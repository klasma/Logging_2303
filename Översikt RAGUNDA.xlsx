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46087</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46087</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46087</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46087</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46087</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46087</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46087</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46087</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46087</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46087</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46087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46087</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46087</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46087</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46087</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46087</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46087</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46087</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46087</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46087</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46087</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46087</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46087</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46087</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46087</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46087</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4591-2024</t>
        </is>
      </c>
      <c r="B29" s="1" t="n">
        <v>45327</v>
      </c>
      <c r="C29" s="1" t="n">
        <v>46087</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46087</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46087</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46087</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4146-2025</t>
        </is>
      </c>
      <c r="B33" s="1" t="n">
        <v>45685.36501157407</v>
      </c>
      <c r="C33" s="1" t="n">
        <v>46087</v>
      </c>
      <c r="D33" t="inlineStr">
        <is>
          <t>JÄMTLANDS LÄN</t>
        </is>
      </c>
      <c r="E33" t="inlineStr">
        <is>
          <t>RAGUNDA</t>
        </is>
      </c>
      <c r="G33" t="n">
        <v>10.7</v>
      </c>
      <c r="H33" t="n">
        <v>1</v>
      </c>
      <c r="I33" t="n">
        <v>5</v>
      </c>
      <c r="J33" t="n">
        <v>2</v>
      </c>
      <c r="K33" t="n">
        <v>2</v>
      </c>
      <c r="L33" t="n">
        <v>0</v>
      </c>
      <c r="M33" t="n">
        <v>0</v>
      </c>
      <c r="N33" t="n">
        <v>0</v>
      </c>
      <c r="O33" t="n">
        <v>4</v>
      </c>
      <c r="P33" t="n">
        <v>2</v>
      </c>
      <c r="Q33" t="n">
        <v>9</v>
      </c>
      <c r="R33" s="2" t="inlineStr">
        <is>
          <t>Knärot
Kopparspindling
Kolflarnlav
Lunglav
Dropptaggsvamp
Dvärgtufs
Korallblylav
Skinnlav
Stuplav</t>
        </is>
      </c>
      <c r="S33">
        <f>HYPERLINK("https://klasma.github.io/Logging_2303/artfynd/A 4146-2025 artfynd.xlsx", "A 4146-2025")</f>
        <v/>
      </c>
      <c r="T33">
        <f>HYPERLINK("https://klasma.github.io/Logging_2303/kartor/A 4146-2025 karta.png", "A 4146-2025")</f>
        <v/>
      </c>
      <c r="U33">
        <f>HYPERLINK("https://klasma.github.io/Logging_2303/knärot/A 4146-2025 karta knärot.png", "A 4146-2025")</f>
        <v/>
      </c>
      <c r="V33">
        <f>HYPERLINK("https://klasma.github.io/Logging_2303/klagomål/A 4146-2025 FSC-klagomål.docx", "A 4146-2025")</f>
        <v/>
      </c>
      <c r="W33">
        <f>HYPERLINK("https://klasma.github.io/Logging_2303/klagomålsmail/A 4146-2025 FSC-klagomål mail.docx", "A 4146-2025")</f>
        <v/>
      </c>
      <c r="X33">
        <f>HYPERLINK("https://klasma.github.io/Logging_2303/tillsyn/A 4146-2025 tillsynsbegäran.docx", "A 4146-2025")</f>
        <v/>
      </c>
      <c r="Y33">
        <f>HYPERLINK("https://klasma.github.io/Logging_2303/tillsynsmail/A 4146-2025 tillsynsbegäran mail.docx", "A 4146-2025")</f>
        <v/>
      </c>
    </row>
    <row r="34" ht="15" customHeight="1">
      <c r="A34" t="inlineStr">
        <is>
          <t>A 25016-2025</t>
        </is>
      </c>
      <c r="B34" s="1" t="n">
        <v>45799.63574074074</v>
      </c>
      <c r="C34" s="1" t="n">
        <v>46087</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58876-2025</t>
        </is>
      </c>
      <c r="B35" s="1" t="n">
        <v>45987.46929398148</v>
      </c>
      <c r="C35" s="1" t="n">
        <v>46087</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24735-2025</t>
        </is>
      </c>
      <c r="B36" s="1" t="n">
        <v>45799.34461805555</v>
      </c>
      <c r="C36" s="1" t="n">
        <v>46087</v>
      </c>
      <c r="D36" t="inlineStr">
        <is>
          <t>JÄMTLANDS LÄN</t>
        </is>
      </c>
      <c r="E36" t="inlineStr">
        <is>
          <t>RAGUNDA</t>
        </is>
      </c>
      <c r="F36" t="inlineStr">
        <is>
          <t>SCA</t>
        </is>
      </c>
      <c r="G36" t="n">
        <v>7.1</v>
      </c>
      <c r="H36" t="n">
        <v>1</v>
      </c>
      <c r="I36" t="n">
        <v>4</v>
      </c>
      <c r="J36" t="n">
        <v>5</v>
      </c>
      <c r="K36" t="n">
        <v>0</v>
      </c>
      <c r="L36" t="n">
        <v>0</v>
      </c>
      <c r="M36" t="n">
        <v>0</v>
      </c>
      <c r="N36" t="n">
        <v>0</v>
      </c>
      <c r="O36" t="n">
        <v>5</v>
      </c>
      <c r="P36" t="n">
        <v>0</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62948-2021</t>
        </is>
      </c>
      <c r="B37" s="1" t="n">
        <v>44504</v>
      </c>
      <c r="C37" s="1" t="n">
        <v>46087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30876-2025</t>
        </is>
      </c>
      <c r="B38" s="1" t="n">
        <v>45832.34461805555</v>
      </c>
      <c r="C38" s="1" t="n">
        <v>46087</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46087</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2316-2026</t>
        </is>
      </c>
      <c r="B40" s="1" t="n">
        <v>46036.59826388889</v>
      </c>
      <c r="C40" s="1" t="n">
        <v>46087</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32068-2024</t>
        </is>
      </c>
      <c r="B41" s="1" t="n">
        <v>45510</v>
      </c>
      <c r="C41" s="1" t="n">
        <v>46087</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46087</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33822-2023</t>
        </is>
      </c>
      <c r="B43" s="1" t="n">
        <v>45121</v>
      </c>
      <c r="C43" s="1" t="n">
        <v>46087</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45008-2023</t>
        </is>
      </c>
      <c r="B44" s="1" t="n">
        <v>45190.96092592592</v>
      </c>
      <c r="C44" s="1" t="n">
        <v>46087</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51037-2025</t>
        </is>
      </c>
      <c r="B45" s="1" t="n">
        <v>45947.40729166667</v>
      </c>
      <c r="C45" s="1" t="n">
        <v>46087</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3634-2024</t>
        </is>
      </c>
      <c r="B46" s="1" t="n">
        <v>45320</v>
      </c>
      <c r="C46" s="1" t="n">
        <v>46087</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24732-2025</t>
        </is>
      </c>
      <c r="B47" s="1" t="n">
        <v>45799.34421296296</v>
      </c>
      <c r="C47" s="1" t="n">
        <v>46087</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60129-2025</t>
        </is>
      </c>
      <c r="B48" s="1" t="n">
        <v>45994.34461805555</v>
      </c>
      <c r="C48" s="1" t="n">
        <v>46087</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46087</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46087</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30335-2025</t>
        </is>
      </c>
      <c r="B51" s="1" t="n">
        <v>45827.5110300926</v>
      </c>
      <c r="C51" s="1" t="n">
        <v>46087</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46087</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46087</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41929-2023</t>
        </is>
      </c>
      <c r="B54" s="1" t="n">
        <v>45176</v>
      </c>
      <c r="C54" s="1" t="n">
        <v>46087</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46087</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26750-2025</t>
        </is>
      </c>
      <c r="B56" s="1" t="n">
        <v>45810.55061342593</v>
      </c>
      <c r="C56" s="1" t="n">
        <v>46087</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46087</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46087</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19399-2025</t>
        </is>
      </c>
      <c r="B59" s="1" t="n">
        <v>45769.67740740741</v>
      </c>
      <c r="C59" s="1" t="n">
        <v>46087</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15977-2024</t>
        </is>
      </c>
      <c r="B60" s="1" t="n">
        <v>45405.57392361111</v>
      </c>
      <c r="C60" s="1" t="n">
        <v>46087</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46087</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46087</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46087</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46087</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49291-2025</t>
        </is>
      </c>
      <c r="B65" s="1" t="n">
        <v>45938.53188657408</v>
      </c>
      <c r="C65" s="1" t="n">
        <v>46087</v>
      </c>
      <c r="D65" t="inlineStr">
        <is>
          <t>JÄMTLANDS LÄN</t>
        </is>
      </c>
      <c r="E65" t="inlineStr">
        <is>
          <t>RAGUNDA</t>
        </is>
      </c>
      <c r="F65" t="inlineStr">
        <is>
          <t>SCA</t>
        </is>
      </c>
      <c r="G65" t="n">
        <v>4.2</v>
      </c>
      <c r="H65" t="n">
        <v>1</v>
      </c>
      <c r="I65" t="n">
        <v>3</v>
      </c>
      <c r="J65" t="n">
        <v>2</v>
      </c>
      <c r="K65" t="n">
        <v>0</v>
      </c>
      <c r="L65" t="n">
        <v>0</v>
      </c>
      <c r="M65" t="n">
        <v>0</v>
      </c>
      <c r="N65" t="n">
        <v>0</v>
      </c>
      <c r="O65" t="n">
        <v>2</v>
      </c>
      <c r="P65" t="n">
        <v>0</v>
      </c>
      <c r="Q65" t="n">
        <v>6</v>
      </c>
      <c r="R65" s="2" t="inlineStr">
        <is>
          <t>Kolflarnlav
Lunglav
Korallblylav
Skinnlav
Vårärt
Blåsippa</t>
        </is>
      </c>
      <c r="S65">
        <f>HYPERLINK("https://klasma.github.io/Logging_2303/artfynd/A 49291-2025 artfynd.xlsx", "A 49291-2025")</f>
        <v/>
      </c>
      <c r="T65">
        <f>HYPERLINK("https://klasma.github.io/Logging_2303/kartor/A 49291-2025 karta.png", "A 49291-2025")</f>
        <v/>
      </c>
      <c r="V65">
        <f>HYPERLINK("https://klasma.github.io/Logging_2303/klagomål/A 49291-2025 FSC-klagomål.docx", "A 49291-2025")</f>
        <v/>
      </c>
      <c r="W65">
        <f>HYPERLINK("https://klasma.github.io/Logging_2303/klagomålsmail/A 49291-2025 FSC-klagomål mail.docx", "A 49291-2025")</f>
        <v/>
      </c>
      <c r="X65">
        <f>HYPERLINK("https://klasma.github.io/Logging_2303/tillsyn/A 49291-2025 tillsynsbegäran.docx", "A 49291-2025")</f>
        <v/>
      </c>
      <c r="Y65">
        <f>HYPERLINK("https://klasma.github.io/Logging_2303/tillsynsmail/A 49291-2025 tillsynsbegäran mail.docx", "A 49291-2025")</f>
        <v/>
      </c>
    </row>
    <row r="66" ht="15" customHeight="1">
      <c r="A66" t="inlineStr">
        <is>
          <t>A 27322-2024</t>
        </is>
      </c>
      <c r="B66" s="1" t="n">
        <v>45471.94783564815</v>
      </c>
      <c r="C66" s="1" t="n">
        <v>46087</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39973-2025</t>
        </is>
      </c>
      <c r="B67" s="1" t="n">
        <v>45893.38584490741</v>
      </c>
      <c r="C67" s="1" t="n">
        <v>46087</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53021-2022</t>
        </is>
      </c>
      <c r="B68" s="1" t="n">
        <v>44875</v>
      </c>
      <c r="C68" s="1" t="n">
        <v>46087</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55646-2023</t>
        </is>
      </c>
      <c r="B69" s="1" t="n">
        <v>45238</v>
      </c>
      <c r="C69" s="1" t="n">
        <v>46087</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11828-2023</t>
        </is>
      </c>
      <c r="B70" s="1" t="n">
        <v>44994</v>
      </c>
      <c r="C70" s="1" t="n">
        <v>46087</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30637-2024</t>
        </is>
      </c>
      <c r="B71" s="1" t="n">
        <v>45495</v>
      </c>
      <c r="C71" s="1" t="n">
        <v>46087</v>
      </c>
      <c r="D71" t="inlineStr">
        <is>
          <t>JÄMTLANDS LÄN</t>
        </is>
      </c>
      <c r="E71" t="inlineStr">
        <is>
          <t>RAGUNDA</t>
        </is>
      </c>
      <c r="G71" t="n">
        <v>4.1</v>
      </c>
      <c r="H71" t="n">
        <v>5</v>
      </c>
      <c r="I71" t="n">
        <v>0</v>
      </c>
      <c r="J71" t="n">
        <v>4</v>
      </c>
      <c r="K71" t="n">
        <v>1</v>
      </c>
      <c r="L71" t="n">
        <v>0</v>
      </c>
      <c r="M71" t="n">
        <v>0</v>
      </c>
      <c r="N71" t="n">
        <v>0</v>
      </c>
      <c r="O71" t="n">
        <v>5</v>
      </c>
      <c r="P71" t="n">
        <v>1</v>
      </c>
      <c r="Q71" t="n">
        <v>6</v>
      </c>
      <c r="R71" s="2" t="inlineStr">
        <is>
          <t>Knärot
Lunglav
Spillkråka
Talltita
Tretåig hackspett
Vanlig groda</t>
        </is>
      </c>
      <c r="S71">
        <f>HYPERLINK("https://klasma.github.io/Logging_2303/artfynd/A 30637-2024 artfynd.xlsx", "A 30637-2024")</f>
        <v/>
      </c>
      <c r="T71">
        <f>HYPERLINK("https://klasma.github.io/Logging_2303/kartor/A 30637-2024 karta.png", "A 30637-2024")</f>
        <v/>
      </c>
      <c r="U71">
        <f>HYPERLINK("https://klasma.github.io/Logging_2303/knärot/A 30637-2024 karta knärot.png", "A 30637-2024")</f>
        <v/>
      </c>
      <c r="V71">
        <f>HYPERLINK("https://klasma.github.io/Logging_2303/klagomål/A 30637-2024 FSC-klagomål.docx", "A 30637-2024")</f>
        <v/>
      </c>
      <c r="W71">
        <f>HYPERLINK("https://klasma.github.io/Logging_2303/klagomålsmail/A 30637-2024 FSC-klagomål mail.docx", "A 30637-2024")</f>
        <v/>
      </c>
      <c r="X71">
        <f>HYPERLINK("https://klasma.github.io/Logging_2303/tillsyn/A 30637-2024 tillsynsbegäran.docx", "A 30637-2024")</f>
        <v/>
      </c>
      <c r="Y71">
        <f>HYPERLINK("https://klasma.github.io/Logging_2303/tillsynsmail/A 30637-2024 tillsynsbegäran mail.docx", "A 30637-2024")</f>
        <v/>
      </c>
      <c r="Z71">
        <f>HYPERLINK("https://klasma.github.io/Logging_2303/fåglar/A 30637-2024 prioriterade fågelarter.docx", "A 30637-2024")</f>
        <v/>
      </c>
    </row>
    <row r="72" ht="15" customHeight="1">
      <c r="A72" t="inlineStr">
        <is>
          <t>A 26326-2024</t>
        </is>
      </c>
      <c r="B72" s="1" t="n">
        <v>45468.97528935185</v>
      </c>
      <c r="C72" s="1" t="n">
        <v>46087</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24431-2024</t>
        </is>
      </c>
      <c r="B73" s="1" t="n">
        <v>45457</v>
      </c>
      <c r="C73" s="1" t="n">
        <v>46087</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9197-2026</t>
        </is>
      </c>
      <c r="B74" s="1" t="n">
        <v>46070.40322916667</v>
      </c>
      <c r="C74" s="1" t="n">
        <v>46087</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2193-2026</t>
        </is>
      </c>
      <c r="B75" s="1" t="n">
        <v>46036.46946759259</v>
      </c>
      <c r="C75" s="1" t="n">
        <v>46087</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30884-2025</t>
        </is>
      </c>
      <c r="B76" s="1" t="n">
        <v>45832.34564814815</v>
      </c>
      <c r="C76" s="1" t="n">
        <v>46087</v>
      </c>
      <c r="D76" t="inlineStr">
        <is>
          <t>JÄMTLANDS LÄN</t>
        </is>
      </c>
      <c r="E76" t="inlineStr">
        <is>
          <t>RAGUNDA</t>
        </is>
      </c>
      <c r="F76" t="inlineStr">
        <is>
          <t>SCA</t>
        </is>
      </c>
      <c r="G76" t="n">
        <v>5.7</v>
      </c>
      <c r="H76" t="n">
        <v>0</v>
      </c>
      <c r="I76" t="n">
        <v>1</v>
      </c>
      <c r="J76" t="n">
        <v>5</v>
      </c>
      <c r="K76" t="n">
        <v>0</v>
      </c>
      <c r="L76" t="n">
        <v>0</v>
      </c>
      <c r="M76" t="n">
        <v>0</v>
      </c>
      <c r="N76" t="n">
        <v>0</v>
      </c>
      <c r="O76" t="n">
        <v>5</v>
      </c>
      <c r="P76" t="n">
        <v>0</v>
      </c>
      <c r="Q76" t="n">
        <v>6</v>
      </c>
      <c r="R76" s="2" t="inlineStr">
        <is>
          <t>Garnlav
Granticka
Rosenticka
Stjärntagging
Ullticka
Rödgul trumpetsvamp</t>
        </is>
      </c>
      <c r="S76">
        <f>HYPERLINK("https://klasma.github.io/Logging_2303/artfynd/A 30884-2025 artfynd.xlsx", "A 30884-2025")</f>
        <v/>
      </c>
      <c r="T76">
        <f>HYPERLINK("https://klasma.github.io/Logging_2303/kartor/A 30884-2025 karta.png", "A 30884-2025")</f>
        <v/>
      </c>
      <c r="V76">
        <f>HYPERLINK("https://klasma.github.io/Logging_2303/klagomål/A 30884-2025 FSC-klagomål.docx", "A 30884-2025")</f>
        <v/>
      </c>
      <c r="W76">
        <f>HYPERLINK("https://klasma.github.io/Logging_2303/klagomålsmail/A 30884-2025 FSC-klagomål mail.docx", "A 30884-2025")</f>
        <v/>
      </c>
      <c r="X76">
        <f>HYPERLINK("https://klasma.github.io/Logging_2303/tillsyn/A 30884-2025 tillsynsbegäran.docx", "A 30884-2025")</f>
        <v/>
      </c>
      <c r="Y76">
        <f>HYPERLINK("https://klasma.github.io/Logging_2303/tillsynsmail/A 30884-2025 tillsynsbegäran mail.docx", "A 30884-2025")</f>
        <v/>
      </c>
    </row>
    <row r="77" ht="15" customHeight="1">
      <c r="A77" t="inlineStr">
        <is>
          <t>A 47115-2025</t>
        </is>
      </c>
      <c r="B77" s="1" t="n">
        <v>45929</v>
      </c>
      <c r="C77" s="1" t="n">
        <v>46087</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19402-2025</t>
        </is>
      </c>
      <c r="B78" s="1" t="n">
        <v>45769.67778935185</v>
      </c>
      <c r="C78" s="1" t="n">
        <v>46087</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34317-2025</t>
        </is>
      </c>
      <c r="B79" s="1" t="n">
        <v>45846</v>
      </c>
      <c r="C79" s="1" t="n">
        <v>46087</v>
      </c>
      <c r="D79" t="inlineStr">
        <is>
          <t>JÄMTLANDS LÄN</t>
        </is>
      </c>
      <c r="E79" t="inlineStr">
        <is>
          <t>RAGUNDA</t>
        </is>
      </c>
      <c r="G79" t="n">
        <v>8.300000000000001</v>
      </c>
      <c r="H79" t="n">
        <v>2</v>
      </c>
      <c r="I79" t="n">
        <v>1</v>
      </c>
      <c r="J79" t="n">
        <v>4</v>
      </c>
      <c r="K79" t="n">
        <v>1</v>
      </c>
      <c r="L79" t="n">
        <v>0</v>
      </c>
      <c r="M79" t="n">
        <v>0</v>
      </c>
      <c r="N79" t="n">
        <v>0</v>
      </c>
      <c r="O79" t="n">
        <v>5</v>
      </c>
      <c r="P79" t="n">
        <v>1</v>
      </c>
      <c r="Q79" t="n">
        <v>6</v>
      </c>
      <c r="R79" s="2" t="inlineStr">
        <is>
          <t>Knärot
Garnlav
Lunglav
Nordtagging
Talltita
Skinnlav</t>
        </is>
      </c>
      <c r="S79">
        <f>HYPERLINK("https://klasma.github.io/Logging_2303/artfynd/A 34317-2025 artfynd.xlsx", "A 34317-2025")</f>
        <v/>
      </c>
      <c r="T79">
        <f>HYPERLINK("https://klasma.github.io/Logging_2303/kartor/A 34317-2025 karta.png", "A 34317-2025")</f>
        <v/>
      </c>
      <c r="U79">
        <f>HYPERLINK("https://klasma.github.io/Logging_2303/knärot/A 34317-2025 karta knärot.png", "A 34317-2025")</f>
        <v/>
      </c>
      <c r="V79">
        <f>HYPERLINK("https://klasma.github.io/Logging_2303/klagomål/A 34317-2025 FSC-klagomål.docx", "A 34317-2025")</f>
        <v/>
      </c>
      <c r="W79">
        <f>HYPERLINK("https://klasma.github.io/Logging_2303/klagomålsmail/A 34317-2025 FSC-klagomål mail.docx", "A 34317-2025")</f>
        <v/>
      </c>
      <c r="X79">
        <f>HYPERLINK("https://klasma.github.io/Logging_2303/tillsyn/A 34317-2025 tillsynsbegäran.docx", "A 34317-2025")</f>
        <v/>
      </c>
      <c r="Y79">
        <f>HYPERLINK("https://klasma.github.io/Logging_2303/tillsynsmail/A 34317-2025 tillsynsbegäran mail.docx", "A 34317-2025")</f>
        <v/>
      </c>
      <c r="Z79">
        <f>HYPERLINK("https://klasma.github.io/Logging_2303/fåglar/A 34317-2025 prioriterade fågelarter.docx", "A 34317-2025")</f>
        <v/>
      </c>
    </row>
    <row r="80" ht="15" customHeight="1">
      <c r="A80" t="inlineStr">
        <is>
          <t>A 36276-2025</t>
        </is>
      </c>
      <c r="B80" s="1" t="n">
        <v>45867.63619212963</v>
      </c>
      <c r="C80" s="1" t="n">
        <v>46087</v>
      </c>
      <c r="D80" t="inlineStr">
        <is>
          <t>JÄMTLANDS LÄN</t>
        </is>
      </c>
      <c r="E80" t="inlineStr">
        <is>
          <t>RAGUNDA</t>
        </is>
      </c>
      <c r="F80" t="inlineStr">
        <is>
          <t>SCA</t>
        </is>
      </c>
      <c r="G80" t="n">
        <v>3.2</v>
      </c>
      <c r="H80" t="n">
        <v>1</v>
      </c>
      <c r="I80" t="n">
        <v>2</v>
      </c>
      <c r="J80" t="n">
        <v>3</v>
      </c>
      <c r="K80" t="n">
        <v>1</v>
      </c>
      <c r="L80" t="n">
        <v>0</v>
      </c>
      <c r="M80" t="n">
        <v>0</v>
      </c>
      <c r="N80" t="n">
        <v>0</v>
      </c>
      <c r="O80" t="n">
        <v>4</v>
      </c>
      <c r="P80" t="n">
        <v>1</v>
      </c>
      <c r="Q80" t="n">
        <v>6</v>
      </c>
      <c r="R80" s="2" t="inlineStr">
        <is>
          <t>Knärot
Garnlav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933-2023</t>
        </is>
      </c>
      <c r="B81" s="1" t="n">
        <v>44932</v>
      </c>
      <c r="C81" s="1" t="n">
        <v>46087</v>
      </c>
      <c r="D81" t="inlineStr">
        <is>
          <t>JÄMTLANDS LÄN</t>
        </is>
      </c>
      <c r="E81" t="inlineStr">
        <is>
          <t>RAGUNDA</t>
        </is>
      </c>
      <c r="F81" t="inlineStr">
        <is>
          <t>SCA</t>
        </is>
      </c>
      <c r="G81" t="n">
        <v>2</v>
      </c>
      <c r="H81" t="n">
        <v>3</v>
      </c>
      <c r="I81" t="n">
        <v>3</v>
      </c>
      <c r="J81" t="n">
        <v>0</v>
      </c>
      <c r="K81" t="n">
        <v>0</v>
      </c>
      <c r="L81" t="n">
        <v>1</v>
      </c>
      <c r="M81" t="n">
        <v>0</v>
      </c>
      <c r="N81" t="n">
        <v>0</v>
      </c>
      <c r="O81" t="n">
        <v>1</v>
      </c>
      <c r="P81" t="n">
        <v>1</v>
      </c>
      <c r="Q81" t="n">
        <v>6</v>
      </c>
      <c r="R81" s="2" t="inlineStr">
        <is>
          <t>Trolldruvemätare
Stor aspticka
Svart trolldruva
Tvåblad
Nattviol
Gullviva</t>
        </is>
      </c>
      <c r="S81">
        <f>HYPERLINK("https://klasma.github.io/Logging_2303/artfynd/A 933-2023 artfynd.xlsx", "A 933-2023")</f>
        <v/>
      </c>
      <c r="T81">
        <f>HYPERLINK("https://klasma.github.io/Logging_2303/kartor/A 933-2023 karta.png", "A 933-2023")</f>
        <v/>
      </c>
      <c r="V81">
        <f>HYPERLINK("https://klasma.github.io/Logging_2303/klagomål/A 933-2023 FSC-klagomål.docx", "A 933-2023")</f>
        <v/>
      </c>
      <c r="W81">
        <f>HYPERLINK("https://klasma.github.io/Logging_2303/klagomålsmail/A 933-2023 FSC-klagomål mail.docx", "A 933-2023")</f>
        <v/>
      </c>
      <c r="X81">
        <f>HYPERLINK("https://klasma.github.io/Logging_2303/tillsyn/A 933-2023 tillsynsbegäran.docx", "A 933-2023")</f>
        <v/>
      </c>
      <c r="Y81">
        <f>HYPERLINK("https://klasma.github.io/Logging_2303/tillsynsmail/A 933-2023 tillsynsbegäran mail.docx", "A 933-2023")</f>
        <v/>
      </c>
    </row>
    <row r="82" ht="15" customHeight="1">
      <c r="A82" t="inlineStr">
        <is>
          <t>A 21037-2021</t>
        </is>
      </c>
      <c r="B82" s="1" t="n">
        <v>44319</v>
      </c>
      <c r="C82" s="1" t="n">
        <v>46087</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46087</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39974-2025</t>
        </is>
      </c>
      <c r="B84" s="1" t="n">
        <v>45893.38599537037</v>
      </c>
      <c r="C84" s="1" t="n">
        <v>46087</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39365-2024</t>
        </is>
      </c>
      <c r="B85" s="1" t="n">
        <v>45551.46912037037</v>
      </c>
      <c r="C85" s="1" t="n">
        <v>46087</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57073-2023</t>
        </is>
      </c>
      <c r="B86" s="1" t="n">
        <v>45244</v>
      </c>
      <c r="C86" s="1" t="n">
        <v>46087</v>
      </c>
      <c r="D86" t="inlineStr">
        <is>
          <t>JÄMTLANDS LÄN</t>
        </is>
      </c>
      <c r="E86" t="inlineStr">
        <is>
          <t>RAGUNDA</t>
        </is>
      </c>
      <c r="F86" t="inlineStr">
        <is>
          <t>SCA</t>
        </is>
      </c>
      <c r="G86" t="n">
        <v>4.1</v>
      </c>
      <c r="H86" t="n">
        <v>1</v>
      </c>
      <c r="I86" t="n">
        <v>0</v>
      </c>
      <c r="J86" t="n">
        <v>4</v>
      </c>
      <c r="K86" t="n">
        <v>1</v>
      </c>
      <c r="L86" t="n">
        <v>0</v>
      </c>
      <c r="M86" t="n">
        <v>0</v>
      </c>
      <c r="N86" t="n">
        <v>0</v>
      </c>
      <c r="O86" t="n">
        <v>5</v>
      </c>
      <c r="P86" t="n">
        <v>1</v>
      </c>
      <c r="Q86" t="n">
        <v>5</v>
      </c>
      <c r="R86" s="2" t="inlineStr">
        <is>
          <t>Läderlappslav
Granticka
Lunglav
Tretåig hackspett
Ullticka</t>
        </is>
      </c>
      <c r="S86">
        <f>HYPERLINK("https://klasma.github.io/Logging_2303/artfynd/A 57073-2023 artfynd.xlsx", "A 57073-2023")</f>
        <v/>
      </c>
      <c r="T86">
        <f>HYPERLINK("https://klasma.github.io/Logging_2303/kartor/A 57073-2023 karta.png", "A 57073-2023")</f>
        <v/>
      </c>
      <c r="V86">
        <f>HYPERLINK("https://klasma.github.io/Logging_2303/klagomål/A 57073-2023 FSC-klagomål.docx", "A 57073-2023")</f>
        <v/>
      </c>
      <c r="W86">
        <f>HYPERLINK("https://klasma.github.io/Logging_2303/klagomålsmail/A 57073-2023 FSC-klagomål mail.docx", "A 57073-2023")</f>
        <v/>
      </c>
      <c r="X86">
        <f>HYPERLINK("https://klasma.github.io/Logging_2303/tillsyn/A 57073-2023 tillsynsbegäran.docx", "A 57073-2023")</f>
        <v/>
      </c>
      <c r="Y86">
        <f>HYPERLINK("https://klasma.github.io/Logging_2303/tillsynsmail/A 57073-2023 tillsynsbegäran mail.docx", "A 57073-2023")</f>
        <v/>
      </c>
      <c r="Z86">
        <f>HYPERLINK("https://klasma.github.io/Logging_2303/fåglar/A 57073-2023 prioriterade fågelarter.docx", "A 57073-2023")</f>
        <v/>
      </c>
    </row>
    <row r="87" ht="15" customHeight="1">
      <c r="A87" t="inlineStr">
        <is>
          <t>A 18629-2024</t>
        </is>
      </c>
      <c r="B87" s="1" t="n">
        <v>45425.96472222222</v>
      </c>
      <c r="C87" s="1" t="n">
        <v>46087</v>
      </c>
      <c r="D87" t="inlineStr">
        <is>
          <t>JÄMTLANDS LÄN</t>
        </is>
      </c>
      <c r="E87" t="inlineStr">
        <is>
          <t>RAGUNDA</t>
        </is>
      </c>
      <c r="F87" t="inlineStr">
        <is>
          <t>SCA</t>
        </is>
      </c>
      <c r="G87" t="n">
        <v>1.6</v>
      </c>
      <c r="H87" t="n">
        <v>2</v>
      </c>
      <c r="I87" t="n">
        <v>1</v>
      </c>
      <c r="J87" t="n">
        <v>3</v>
      </c>
      <c r="K87" t="n">
        <v>0</v>
      </c>
      <c r="L87" t="n">
        <v>0</v>
      </c>
      <c r="M87" t="n">
        <v>0</v>
      </c>
      <c r="N87" t="n">
        <v>0</v>
      </c>
      <c r="O87" t="n">
        <v>3</v>
      </c>
      <c r="P87" t="n">
        <v>0</v>
      </c>
      <c r="Q87" t="n">
        <v>5</v>
      </c>
      <c r="R87" s="2" t="inlineStr">
        <is>
          <t>Garnlav
Lunglav
Tretåig hackspett
Stuplav
Fläcknycklar</t>
        </is>
      </c>
      <c r="S87">
        <f>HYPERLINK("https://klasma.github.io/Logging_2303/artfynd/A 18629-2024 artfynd.xlsx", "A 18629-2024")</f>
        <v/>
      </c>
      <c r="T87">
        <f>HYPERLINK("https://klasma.github.io/Logging_2303/kartor/A 18629-2024 karta.png", "A 18629-2024")</f>
        <v/>
      </c>
      <c r="V87">
        <f>HYPERLINK("https://klasma.github.io/Logging_2303/klagomål/A 18629-2024 FSC-klagomål.docx", "A 18629-2024")</f>
        <v/>
      </c>
      <c r="W87">
        <f>HYPERLINK("https://klasma.github.io/Logging_2303/klagomålsmail/A 18629-2024 FSC-klagomål mail.docx", "A 18629-2024")</f>
        <v/>
      </c>
      <c r="X87">
        <f>HYPERLINK("https://klasma.github.io/Logging_2303/tillsyn/A 18629-2024 tillsynsbegäran.docx", "A 18629-2024")</f>
        <v/>
      </c>
      <c r="Y87">
        <f>HYPERLINK("https://klasma.github.io/Logging_2303/tillsynsmail/A 18629-2024 tillsynsbegäran mail.docx", "A 18629-2024")</f>
        <v/>
      </c>
      <c r="Z87">
        <f>HYPERLINK("https://klasma.github.io/Logging_2303/fåglar/A 18629-2024 prioriterade fågelarter.docx", "A 18629-2024")</f>
        <v/>
      </c>
    </row>
    <row r="88" ht="15" customHeight="1">
      <c r="A88" t="inlineStr">
        <is>
          <t>A 43106-2023</t>
        </is>
      </c>
      <c r="B88" s="1" t="n">
        <v>45182</v>
      </c>
      <c r="C88" s="1" t="n">
        <v>46087</v>
      </c>
      <c r="D88" t="inlineStr">
        <is>
          <t>JÄMTLANDS LÄN</t>
        </is>
      </c>
      <c r="E88" t="inlineStr">
        <is>
          <t>RAGUNDA</t>
        </is>
      </c>
      <c r="F88" t="inlineStr">
        <is>
          <t>SCA</t>
        </is>
      </c>
      <c r="G88" t="n">
        <v>7.6</v>
      </c>
      <c r="H88" t="n">
        <v>0</v>
      </c>
      <c r="I88" t="n">
        <v>0</v>
      </c>
      <c r="J88" t="n">
        <v>5</v>
      </c>
      <c r="K88" t="n">
        <v>0</v>
      </c>
      <c r="L88" t="n">
        <v>0</v>
      </c>
      <c r="M88" t="n">
        <v>0</v>
      </c>
      <c r="N88" t="n">
        <v>0</v>
      </c>
      <c r="O88" t="n">
        <v>5</v>
      </c>
      <c r="P88" t="n">
        <v>0</v>
      </c>
      <c r="Q88" t="n">
        <v>5</v>
      </c>
      <c r="R88" s="2" t="inlineStr">
        <is>
          <t>Blanksvart spiklav
Blågrå svartspik
Harticka
Rosenticka
Ullticka</t>
        </is>
      </c>
      <c r="S88">
        <f>HYPERLINK("https://klasma.github.io/Logging_2303/artfynd/A 43106-2023 artfynd.xlsx", "A 43106-2023")</f>
        <v/>
      </c>
      <c r="T88">
        <f>HYPERLINK("https://klasma.github.io/Logging_2303/kartor/A 43106-2023 karta.png", "A 43106-2023")</f>
        <v/>
      </c>
      <c r="V88">
        <f>HYPERLINK("https://klasma.github.io/Logging_2303/klagomål/A 43106-2023 FSC-klagomål.docx", "A 43106-2023")</f>
        <v/>
      </c>
      <c r="W88">
        <f>HYPERLINK("https://klasma.github.io/Logging_2303/klagomålsmail/A 43106-2023 FSC-klagomål mail.docx", "A 43106-2023")</f>
        <v/>
      </c>
      <c r="X88">
        <f>HYPERLINK("https://klasma.github.io/Logging_2303/tillsyn/A 43106-2023 tillsynsbegäran.docx", "A 43106-2023")</f>
        <v/>
      </c>
      <c r="Y88">
        <f>HYPERLINK("https://klasma.github.io/Logging_2303/tillsynsmail/A 43106-2023 tillsynsbegäran mail.docx", "A 43106-2023")</f>
        <v/>
      </c>
    </row>
    <row r="89" ht="15" customHeight="1">
      <c r="A89" t="inlineStr">
        <is>
          <t>A 27313-2024</t>
        </is>
      </c>
      <c r="B89" s="1" t="n">
        <v>45471.94623842592</v>
      </c>
      <c r="C89" s="1" t="n">
        <v>46087</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30886-2025</t>
        </is>
      </c>
      <c r="B90" s="1" t="n">
        <v>45832.34578703704</v>
      </c>
      <c r="C90" s="1" t="n">
        <v>46087</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60683-2022</t>
        </is>
      </c>
      <c r="B91" s="1" t="n">
        <v>44911</v>
      </c>
      <c r="C91" s="1" t="n">
        <v>46087</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11641-2026</t>
        </is>
      </c>
      <c r="B92" s="1" t="n">
        <v>46084.50094907408</v>
      </c>
      <c r="C92" s="1" t="n">
        <v>46087</v>
      </c>
      <c r="D92" t="inlineStr">
        <is>
          <t>JÄMTLANDS LÄN</t>
        </is>
      </c>
      <c r="E92" t="inlineStr">
        <is>
          <t>RAGUNDA</t>
        </is>
      </c>
      <c r="G92" t="n">
        <v>1.8</v>
      </c>
      <c r="H92" t="n">
        <v>0</v>
      </c>
      <c r="I92" t="n">
        <v>2</v>
      </c>
      <c r="J92" t="n">
        <v>3</v>
      </c>
      <c r="K92" t="n">
        <v>0</v>
      </c>
      <c r="L92" t="n">
        <v>0</v>
      </c>
      <c r="M92" t="n">
        <v>0</v>
      </c>
      <c r="N92" t="n">
        <v>0</v>
      </c>
      <c r="O92" t="n">
        <v>3</v>
      </c>
      <c r="P92" t="n">
        <v>0</v>
      </c>
      <c r="Q92" t="n">
        <v>5</v>
      </c>
      <c r="R92" s="2" t="inlineStr">
        <is>
          <t>Lunglav
Skrovellav
Vitgrynig nållav
Bårdlav
Stuplav</t>
        </is>
      </c>
      <c r="S92">
        <f>HYPERLINK("https://klasma.github.io/Logging_2303/artfynd/A 11641-2026 artfynd.xlsx", "A 11641-2026")</f>
        <v/>
      </c>
      <c r="T92">
        <f>HYPERLINK("https://klasma.github.io/Logging_2303/kartor/A 11641-2026 karta.png", "A 11641-2026")</f>
        <v/>
      </c>
      <c r="U92">
        <f>HYPERLINK("https://klasma.github.io/Logging_2303/knärot/A 11641-2026 karta knärot.png", "A 11641-2026")</f>
        <v/>
      </c>
      <c r="V92">
        <f>HYPERLINK("https://klasma.github.io/Logging_2303/klagomål/A 11641-2026 FSC-klagomål.docx", "A 11641-2026")</f>
        <v/>
      </c>
      <c r="W92">
        <f>HYPERLINK("https://klasma.github.io/Logging_2303/klagomålsmail/A 11641-2026 FSC-klagomål mail.docx", "A 11641-2026")</f>
        <v/>
      </c>
      <c r="X92">
        <f>HYPERLINK("https://klasma.github.io/Logging_2303/tillsyn/A 11641-2026 tillsynsbegäran.docx", "A 11641-2026")</f>
        <v/>
      </c>
      <c r="Y92">
        <f>HYPERLINK("https://klasma.github.io/Logging_2303/tillsynsmail/A 11641-2026 tillsynsbegäran mail.docx", "A 11641-2026")</f>
        <v/>
      </c>
    </row>
    <row r="93" ht="15" customHeight="1">
      <c r="A93" t="inlineStr">
        <is>
          <t>A 15379-2024</t>
        </is>
      </c>
      <c r="B93" s="1" t="n">
        <v>45400.94002314815</v>
      </c>
      <c r="C93" s="1" t="n">
        <v>46087</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35344-2025</t>
        </is>
      </c>
      <c r="B94" s="1" t="n">
        <v>45854.61494212963</v>
      </c>
      <c r="C94" s="1" t="n">
        <v>46087</v>
      </c>
      <c r="D94" t="inlineStr">
        <is>
          <t>JÄMTLANDS LÄN</t>
        </is>
      </c>
      <c r="E94" t="inlineStr">
        <is>
          <t>RAGUNDA</t>
        </is>
      </c>
      <c r="F94" t="inlineStr">
        <is>
          <t>SCA</t>
        </is>
      </c>
      <c r="G94" t="n">
        <v>6.1</v>
      </c>
      <c r="H94" t="n">
        <v>0</v>
      </c>
      <c r="I94" t="n">
        <v>0</v>
      </c>
      <c r="J94" t="n">
        <v>5</v>
      </c>
      <c r="K94" t="n">
        <v>0</v>
      </c>
      <c r="L94" t="n">
        <v>0</v>
      </c>
      <c r="M94" t="n">
        <v>0</v>
      </c>
      <c r="N94" t="n">
        <v>0</v>
      </c>
      <c r="O94" t="n">
        <v>5</v>
      </c>
      <c r="P94" t="n">
        <v>0</v>
      </c>
      <c r="Q94" t="n">
        <v>5</v>
      </c>
      <c r="R94" s="2" t="inlineStr">
        <is>
          <t>Blå taggsvamp
Garnlav
Lunglav
Svart taggsvamp agg.
Vedtrappmossa</t>
        </is>
      </c>
      <c r="S94">
        <f>HYPERLINK("https://klasma.github.io/Logging_2303/artfynd/A 35344-2025 artfynd.xlsx", "A 35344-2025")</f>
        <v/>
      </c>
      <c r="T94">
        <f>HYPERLINK("https://klasma.github.io/Logging_2303/kartor/A 35344-2025 karta.png", "A 35344-2025")</f>
        <v/>
      </c>
      <c r="V94">
        <f>HYPERLINK("https://klasma.github.io/Logging_2303/klagomål/A 35344-2025 FSC-klagomål.docx", "A 35344-2025")</f>
        <v/>
      </c>
      <c r="W94">
        <f>HYPERLINK("https://klasma.github.io/Logging_2303/klagomålsmail/A 35344-2025 FSC-klagomål mail.docx", "A 35344-2025")</f>
        <v/>
      </c>
      <c r="X94">
        <f>HYPERLINK("https://klasma.github.io/Logging_2303/tillsyn/A 35344-2025 tillsynsbegäran.docx", "A 35344-2025")</f>
        <v/>
      </c>
      <c r="Y94">
        <f>HYPERLINK("https://klasma.github.io/Logging_2303/tillsynsmail/A 35344-2025 tillsynsbegäran mail.docx", "A 35344-2025")</f>
        <v/>
      </c>
    </row>
    <row r="95" ht="15" customHeight="1">
      <c r="A95" t="inlineStr">
        <is>
          <t>A 2579-2025</t>
        </is>
      </c>
      <c r="B95" s="1" t="n">
        <v>45674.67744212963</v>
      </c>
      <c r="C95" s="1" t="n">
        <v>46087</v>
      </c>
      <c r="D95" t="inlineStr">
        <is>
          <t>JÄMTLANDS LÄN</t>
        </is>
      </c>
      <c r="E95" t="inlineStr">
        <is>
          <t>RAGUNDA</t>
        </is>
      </c>
      <c r="F95" t="inlineStr">
        <is>
          <t>SCA</t>
        </is>
      </c>
      <c r="G95" t="n">
        <v>5.5</v>
      </c>
      <c r="H95" t="n">
        <v>3</v>
      </c>
      <c r="I95" t="n">
        <v>0</v>
      </c>
      <c r="J95" t="n">
        <v>4</v>
      </c>
      <c r="K95" t="n">
        <v>0</v>
      </c>
      <c r="L95" t="n">
        <v>0</v>
      </c>
      <c r="M95" t="n">
        <v>0</v>
      </c>
      <c r="N95" t="n">
        <v>0</v>
      </c>
      <c r="O95" t="n">
        <v>4</v>
      </c>
      <c r="P95" t="n">
        <v>0</v>
      </c>
      <c r="Q95" t="n">
        <v>5</v>
      </c>
      <c r="R95" s="2" t="inlineStr">
        <is>
          <t>Granticka
Rosenticka
Rördrom
Spillkråka
Revlummer</t>
        </is>
      </c>
      <c r="S95">
        <f>HYPERLINK("https://klasma.github.io/Logging_2303/artfynd/A 2579-2025 artfynd.xlsx", "A 2579-2025")</f>
        <v/>
      </c>
      <c r="T95">
        <f>HYPERLINK("https://klasma.github.io/Logging_2303/kartor/A 2579-2025 karta.png", "A 2579-2025")</f>
        <v/>
      </c>
      <c r="V95">
        <f>HYPERLINK("https://klasma.github.io/Logging_2303/klagomål/A 2579-2025 FSC-klagomål.docx", "A 2579-2025")</f>
        <v/>
      </c>
      <c r="W95">
        <f>HYPERLINK("https://klasma.github.io/Logging_2303/klagomålsmail/A 2579-2025 FSC-klagomål mail.docx", "A 2579-2025")</f>
        <v/>
      </c>
      <c r="X95">
        <f>HYPERLINK("https://klasma.github.io/Logging_2303/tillsyn/A 2579-2025 tillsynsbegäran.docx", "A 2579-2025")</f>
        <v/>
      </c>
      <c r="Y95">
        <f>HYPERLINK("https://klasma.github.io/Logging_2303/tillsynsmail/A 2579-2025 tillsynsbegäran mail.docx", "A 2579-2025")</f>
        <v/>
      </c>
      <c r="Z95">
        <f>HYPERLINK("https://klasma.github.io/Logging_2303/fåglar/A 2579-2025 prioriterade fågelarter.docx", "A 2579-2025")</f>
        <v/>
      </c>
    </row>
    <row r="96" ht="15" customHeight="1">
      <c r="A96" t="inlineStr">
        <is>
          <t>A 13266-2023</t>
        </is>
      </c>
      <c r="B96" s="1" t="n">
        <v>45002.94356481481</v>
      </c>
      <c r="C96" s="1" t="n">
        <v>46087</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46087</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46087</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12024-2022</t>
        </is>
      </c>
      <c r="B99" s="1" t="n">
        <v>44635</v>
      </c>
      <c r="C99" s="1" t="n">
        <v>46087</v>
      </c>
      <c r="D99" t="inlineStr">
        <is>
          <t>JÄMTLANDS LÄN</t>
        </is>
      </c>
      <c r="E99" t="inlineStr">
        <is>
          <t>RAGUNDA</t>
        </is>
      </c>
      <c r="F99" t="inlineStr">
        <is>
          <t>SCA</t>
        </is>
      </c>
      <c r="G99" t="n">
        <v>4.9</v>
      </c>
      <c r="H99" t="n">
        <v>1</v>
      </c>
      <c r="I99" t="n">
        <v>1</v>
      </c>
      <c r="J99" t="n">
        <v>3</v>
      </c>
      <c r="K99" t="n">
        <v>1</v>
      </c>
      <c r="L99" t="n">
        <v>0</v>
      </c>
      <c r="M99" t="n">
        <v>0</v>
      </c>
      <c r="N99" t="n">
        <v>0</v>
      </c>
      <c r="O99" t="n">
        <v>4</v>
      </c>
      <c r="P99" t="n">
        <v>1</v>
      </c>
      <c r="Q99" t="n">
        <v>5</v>
      </c>
      <c r="R99" s="2" t="inlineStr">
        <is>
          <t>Rynkskinn
Garnlav
Tretåig hackspett
Vitgrynig nållav
Dropptaggsvamp</t>
        </is>
      </c>
      <c r="S99">
        <f>HYPERLINK("https://klasma.github.io/Logging_2303/artfynd/A 12024-2022 artfynd.xlsx", "A 12024-2022")</f>
        <v/>
      </c>
      <c r="T99">
        <f>HYPERLINK("https://klasma.github.io/Logging_2303/kartor/A 12024-2022 karta.png", "A 12024-2022")</f>
        <v/>
      </c>
      <c r="V99">
        <f>HYPERLINK("https://klasma.github.io/Logging_2303/klagomål/A 12024-2022 FSC-klagomål.docx", "A 12024-2022")</f>
        <v/>
      </c>
      <c r="W99">
        <f>HYPERLINK("https://klasma.github.io/Logging_2303/klagomålsmail/A 12024-2022 FSC-klagomål mail.docx", "A 12024-2022")</f>
        <v/>
      </c>
      <c r="X99">
        <f>HYPERLINK("https://klasma.github.io/Logging_2303/tillsyn/A 12024-2022 tillsynsbegäran.docx", "A 12024-2022")</f>
        <v/>
      </c>
      <c r="Y99">
        <f>HYPERLINK("https://klasma.github.io/Logging_2303/tillsynsmail/A 12024-2022 tillsynsbegäran mail.docx", "A 12024-2022")</f>
        <v/>
      </c>
      <c r="Z99">
        <f>HYPERLINK("https://klasma.github.io/Logging_2303/fåglar/A 12024-2022 prioriterade fågelarter.docx", "A 12024-2022")</f>
        <v/>
      </c>
    </row>
    <row r="100" ht="15" customHeight="1">
      <c r="A100" t="inlineStr">
        <is>
          <t>A 38169-2024</t>
        </is>
      </c>
      <c r="B100" s="1" t="n">
        <v>45545.45748842593</v>
      </c>
      <c r="C100" s="1" t="n">
        <v>46087</v>
      </c>
      <c r="D100" t="inlineStr">
        <is>
          <t>JÄMTLANDS LÄN</t>
        </is>
      </c>
      <c r="E100" t="inlineStr">
        <is>
          <t>RAGUNDA</t>
        </is>
      </c>
      <c r="G100" t="n">
        <v>7.5</v>
      </c>
      <c r="H100" t="n">
        <v>2</v>
      </c>
      <c r="I100" t="n">
        <v>0</v>
      </c>
      <c r="J100" t="n">
        <v>5</v>
      </c>
      <c r="K100" t="n">
        <v>0</v>
      </c>
      <c r="L100" t="n">
        <v>0</v>
      </c>
      <c r="M100" t="n">
        <v>0</v>
      </c>
      <c r="N100" t="n">
        <v>0</v>
      </c>
      <c r="O100" t="n">
        <v>5</v>
      </c>
      <c r="P100" t="n">
        <v>0</v>
      </c>
      <c r="Q100" t="n">
        <v>5</v>
      </c>
      <c r="R100" s="2" t="inlineStr">
        <is>
          <t>Garnlav
Lunglav
Skrovellav
Talltita
Tretåig hackspett</t>
        </is>
      </c>
      <c r="S100">
        <f>HYPERLINK("https://klasma.github.io/Logging_2303/artfynd/A 38169-2024 artfynd.xlsx", "A 38169-2024")</f>
        <v/>
      </c>
      <c r="T100">
        <f>HYPERLINK("https://klasma.github.io/Logging_2303/kartor/A 38169-2024 karta.png", "A 38169-2024")</f>
        <v/>
      </c>
      <c r="V100">
        <f>HYPERLINK("https://klasma.github.io/Logging_2303/klagomål/A 38169-2024 FSC-klagomål.docx", "A 38169-2024")</f>
        <v/>
      </c>
      <c r="W100">
        <f>HYPERLINK("https://klasma.github.io/Logging_2303/klagomålsmail/A 38169-2024 FSC-klagomål mail.docx", "A 38169-2024")</f>
        <v/>
      </c>
      <c r="X100">
        <f>HYPERLINK("https://klasma.github.io/Logging_2303/tillsyn/A 38169-2024 tillsynsbegäran.docx", "A 38169-2024")</f>
        <v/>
      </c>
      <c r="Y100">
        <f>HYPERLINK("https://klasma.github.io/Logging_2303/tillsynsmail/A 38169-2024 tillsynsbegäran mail.docx", "A 38169-2024")</f>
        <v/>
      </c>
      <c r="Z100">
        <f>HYPERLINK("https://klasma.github.io/Logging_2303/fåglar/A 38169-2024 prioriterade fågelarter.docx", "A 38169-2024")</f>
        <v/>
      </c>
    </row>
    <row r="101" ht="15" customHeight="1">
      <c r="A101" t="inlineStr">
        <is>
          <t>A 15244-2025</t>
        </is>
      </c>
      <c r="B101" s="1" t="n">
        <v>45744.61550925926</v>
      </c>
      <c r="C101" s="1" t="n">
        <v>46087</v>
      </c>
      <c r="D101" t="inlineStr">
        <is>
          <t>JÄMTLANDS LÄN</t>
        </is>
      </c>
      <c r="E101" t="inlineStr">
        <is>
          <t>RAGUNDA</t>
        </is>
      </c>
      <c r="F101" t="inlineStr">
        <is>
          <t>SCA</t>
        </is>
      </c>
      <c r="G101" t="n">
        <v>2.6</v>
      </c>
      <c r="H101" t="n">
        <v>0</v>
      </c>
      <c r="I101" t="n">
        <v>2</v>
      </c>
      <c r="J101" t="n">
        <v>3</v>
      </c>
      <c r="K101" t="n">
        <v>0</v>
      </c>
      <c r="L101" t="n">
        <v>0</v>
      </c>
      <c r="M101" t="n">
        <v>0</v>
      </c>
      <c r="N101" t="n">
        <v>0</v>
      </c>
      <c r="O101" t="n">
        <v>3</v>
      </c>
      <c r="P101" t="n">
        <v>0</v>
      </c>
      <c r="Q101" t="n">
        <v>5</v>
      </c>
      <c r="R101" s="2" t="inlineStr">
        <is>
          <t>Garnlav
Rosenticka
Ullticka
Stuplav
Vedticka</t>
        </is>
      </c>
      <c r="S101">
        <f>HYPERLINK("https://klasma.github.io/Logging_2303/artfynd/A 15244-2025 artfynd.xlsx", "A 15244-2025")</f>
        <v/>
      </c>
      <c r="T101">
        <f>HYPERLINK("https://klasma.github.io/Logging_2303/kartor/A 15244-2025 karta.png", "A 15244-2025")</f>
        <v/>
      </c>
      <c r="V101">
        <f>HYPERLINK("https://klasma.github.io/Logging_2303/klagomål/A 15244-2025 FSC-klagomål.docx", "A 15244-2025")</f>
        <v/>
      </c>
      <c r="W101">
        <f>HYPERLINK("https://klasma.github.io/Logging_2303/klagomålsmail/A 15244-2025 FSC-klagomål mail.docx", "A 15244-2025")</f>
        <v/>
      </c>
      <c r="X101">
        <f>HYPERLINK("https://klasma.github.io/Logging_2303/tillsyn/A 15244-2025 tillsynsbegäran.docx", "A 15244-2025")</f>
        <v/>
      </c>
      <c r="Y101">
        <f>HYPERLINK("https://klasma.github.io/Logging_2303/tillsynsmail/A 15244-2025 tillsynsbegäran mail.docx", "A 15244-2025")</f>
        <v/>
      </c>
    </row>
    <row r="102" ht="15" customHeight="1">
      <c r="A102" t="inlineStr">
        <is>
          <t>A 19851-2022</t>
        </is>
      </c>
      <c r="B102" s="1" t="n">
        <v>44696</v>
      </c>
      <c r="C102" s="1" t="n">
        <v>46087</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46087</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19401-2025</t>
        </is>
      </c>
      <c r="B104" s="1" t="n">
        <v>45769.67767361111</v>
      </c>
      <c r="C104" s="1" t="n">
        <v>46087</v>
      </c>
      <c r="D104" t="inlineStr">
        <is>
          <t>JÄMTLANDS LÄN</t>
        </is>
      </c>
      <c r="E104" t="inlineStr">
        <is>
          <t>RAGUNDA</t>
        </is>
      </c>
      <c r="F104" t="inlineStr">
        <is>
          <t>SCA</t>
        </is>
      </c>
      <c r="G104" t="n">
        <v>4.3</v>
      </c>
      <c r="H104" t="n">
        <v>1</v>
      </c>
      <c r="I104" t="n">
        <v>0</v>
      </c>
      <c r="J104" t="n">
        <v>2</v>
      </c>
      <c r="K104" t="n">
        <v>2</v>
      </c>
      <c r="L104" t="n">
        <v>0</v>
      </c>
      <c r="M104" t="n">
        <v>0</v>
      </c>
      <c r="N104" t="n">
        <v>0</v>
      </c>
      <c r="O104" t="n">
        <v>4</v>
      </c>
      <c r="P104" t="n">
        <v>2</v>
      </c>
      <c r="Q104" t="n">
        <v>4</v>
      </c>
      <c r="R104" s="2" t="inlineStr">
        <is>
          <t>Knärot
Rynkskinn
Rosenticka
Vitgrynig nållav</t>
        </is>
      </c>
      <c r="S104">
        <f>HYPERLINK("https://klasma.github.io/Logging_2303/artfynd/A 19401-2025 artfynd.xlsx", "A 19401-2025")</f>
        <v/>
      </c>
      <c r="T104">
        <f>HYPERLINK("https://klasma.github.io/Logging_2303/kartor/A 19401-2025 karta.png", "A 19401-2025")</f>
        <v/>
      </c>
      <c r="U104">
        <f>HYPERLINK("https://klasma.github.io/Logging_2303/knärot/A 19401-2025 karta knärot.png", "A 19401-2025")</f>
        <v/>
      </c>
      <c r="V104">
        <f>HYPERLINK("https://klasma.github.io/Logging_2303/klagomål/A 19401-2025 FSC-klagomål.docx", "A 19401-2025")</f>
        <v/>
      </c>
      <c r="W104">
        <f>HYPERLINK("https://klasma.github.io/Logging_2303/klagomålsmail/A 19401-2025 FSC-klagomål mail.docx", "A 19401-2025")</f>
        <v/>
      </c>
      <c r="X104">
        <f>HYPERLINK("https://klasma.github.io/Logging_2303/tillsyn/A 19401-2025 tillsynsbegäran.docx", "A 19401-2025")</f>
        <v/>
      </c>
      <c r="Y104">
        <f>HYPERLINK("https://klasma.github.io/Logging_2303/tillsynsmail/A 19401-2025 tillsynsbegäran mail.docx", "A 19401-2025")</f>
        <v/>
      </c>
    </row>
    <row r="105" ht="15" customHeight="1">
      <c r="A105" t="inlineStr">
        <is>
          <t>A 21372-2025</t>
        </is>
      </c>
      <c r="B105" s="1" t="n">
        <v>45782.44871527778</v>
      </c>
      <c r="C105" s="1" t="n">
        <v>46087</v>
      </c>
      <c r="D105" t="inlineStr">
        <is>
          <t>JÄMTLANDS LÄN</t>
        </is>
      </c>
      <c r="E105" t="inlineStr">
        <is>
          <t>RAGUNDA</t>
        </is>
      </c>
      <c r="F105" t="inlineStr">
        <is>
          <t>SCA</t>
        </is>
      </c>
      <c r="G105" t="n">
        <v>2.7</v>
      </c>
      <c r="H105" t="n">
        <v>1</v>
      </c>
      <c r="I105" t="n">
        <v>1</v>
      </c>
      <c r="J105" t="n">
        <v>2</v>
      </c>
      <c r="K105" t="n">
        <v>0</v>
      </c>
      <c r="L105" t="n">
        <v>0</v>
      </c>
      <c r="M105" t="n">
        <v>0</v>
      </c>
      <c r="N105" t="n">
        <v>0</v>
      </c>
      <c r="O105" t="n">
        <v>2</v>
      </c>
      <c r="P105" t="n">
        <v>0</v>
      </c>
      <c r="Q105" t="n">
        <v>4</v>
      </c>
      <c r="R105" s="2" t="inlineStr">
        <is>
          <t>Garnlav
Lunglav
Stuplav
Tjäder</t>
        </is>
      </c>
      <c r="S105">
        <f>HYPERLINK("https://klasma.github.io/Logging_2303/artfynd/A 21372-2025 artfynd.xlsx", "A 21372-2025")</f>
        <v/>
      </c>
      <c r="T105">
        <f>HYPERLINK("https://klasma.github.io/Logging_2303/kartor/A 21372-2025 karta.png", "A 21372-2025")</f>
        <v/>
      </c>
      <c r="V105">
        <f>HYPERLINK("https://klasma.github.io/Logging_2303/klagomål/A 21372-2025 FSC-klagomål.docx", "A 21372-2025")</f>
        <v/>
      </c>
      <c r="W105">
        <f>HYPERLINK("https://klasma.github.io/Logging_2303/klagomålsmail/A 21372-2025 FSC-klagomål mail.docx", "A 21372-2025")</f>
        <v/>
      </c>
      <c r="X105">
        <f>HYPERLINK("https://klasma.github.io/Logging_2303/tillsyn/A 21372-2025 tillsynsbegäran.docx", "A 21372-2025")</f>
        <v/>
      </c>
      <c r="Y105">
        <f>HYPERLINK("https://klasma.github.io/Logging_2303/tillsynsmail/A 21372-2025 tillsynsbegäran mail.docx", "A 21372-2025")</f>
        <v/>
      </c>
      <c r="Z105">
        <f>HYPERLINK("https://klasma.github.io/Logging_2303/fåglar/A 21372-2025 prioriterade fågelarter.docx", "A 21372-2025")</f>
        <v/>
      </c>
    </row>
    <row r="106" ht="15" customHeight="1">
      <c r="A106" t="inlineStr">
        <is>
          <t>A 23682-2021</t>
        </is>
      </c>
      <c r="B106" s="1" t="n">
        <v>44334</v>
      </c>
      <c r="C106" s="1" t="n">
        <v>46087</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46087</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32903-2024</t>
        </is>
      </c>
      <c r="B108" s="1" t="n">
        <v>45516.94723379629</v>
      </c>
      <c r="C108" s="1" t="n">
        <v>46087</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12640-2024</t>
        </is>
      </c>
      <c r="B109" s="1" t="n">
        <v>45384</v>
      </c>
      <c r="C109" s="1" t="n">
        <v>46087</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12268-2024</t>
        </is>
      </c>
      <c r="B110" s="1" t="n">
        <v>45378</v>
      </c>
      <c r="C110" s="1" t="n">
        <v>46087</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40653-2025</t>
        </is>
      </c>
      <c r="B111" s="1" t="n">
        <v>45896.63618055556</v>
      </c>
      <c r="C111" s="1" t="n">
        <v>46087</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52168-2025</t>
        </is>
      </c>
      <c r="B112" s="1" t="n">
        <v>45953.365625</v>
      </c>
      <c r="C112" s="1" t="n">
        <v>46087</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23931-2024</t>
        </is>
      </c>
      <c r="B113" s="1" t="n">
        <v>45455.96195601852</v>
      </c>
      <c r="C113" s="1" t="n">
        <v>46087</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32067-2024</t>
        </is>
      </c>
      <c r="B114" s="1" t="n">
        <v>45510</v>
      </c>
      <c r="C114" s="1" t="n">
        <v>46087</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46087</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26082-2025</t>
        </is>
      </c>
      <c r="B116" s="1" t="n">
        <v>45805.34415509259</v>
      </c>
      <c r="C116" s="1" t="n">
        <v>46087</v>
      </c>
      <c r="D116" t="inlineStr">
        <is>
          <t>JÄMTLANDS LÄN</t>
        </is>
      </c>
      <c r="E116" t="inlineStr">
        <is>
          <t>RAGUNDA</t>
        </is>
      </c>
      <c r="F116" t="inlineStr">
        <is>
          <t>SCA</t>
        </is>
      </c>
      <c r="G116" t="n">
        <v>5</v>
      </c>
      <c r="H116" t="n">
        <v>1</v>
      </c>
      <c r="I116" t="n">
        <v>0</v>
      </c>
      <c r="J116" t="n">
        <v>3</v>
      </c>
      <c r="K116" t="n">
        <v>1</v>
      </c>
      <c r="L116" t="n">
        <v>0</v>
      </c>
      <c r="M116" t="n">
        <v>0</v>
      </c>
      <c r="N116" t="n">
        <v>0</v>
      </c>
      <c r="O116" t="n">
        <v>4</v>
      </c>
      <c r="P116" t="n">
        <v>1</v>
      </c>
      <c r="Q116" t="n">
        <v>4</v>
      </c>
      <c r="R116" s="2" t="inlineStr">
        <is>
          <t>Knärot
Gammelgransskål
Lunglav
Vitgrynig nållav</t>
        </is>
      </c>
      <c r="S116">
        <f>HYPERLINK("https://klasma.github.io/Logging_2303/artfynd/A 26082-2025 artfynd.xlsx", "A 26082-2025")</f>
        <v/>
      </c>
      <c r="T116">
        <f>HYPERLINK("https://klasma.github.io/Logging_2303/kartor/A 26082-2025 karta.png", "A 26082-2025")</f>
        <v/>
      </c>
      <c r="U116">
        <f>HYPERLINK("https://klasma.github.io/Logging_2303/knärot/A 26082-2025 karta knärot.png", "A 26082-2025")</f>
        <v/>
      </c>
      <c r="V116">
        <f>HYPERLINK("https://klasma.github.io/Logging_2303/klagomål/A 26082-2025 FSC-klagomål.docx", "A 26082-2025")</f>
        <v/>
      </c>
      <c r="W116">
        <f>HYPERLINK("https://klasma.github.io/Logging_2303/klagomålsmail/A 26082-2025 FSC-klagomål mail.docx", "A 26082-2025")</f>
        <v/>
      </c>
      <c r="X116">
        <f>HYPERLINK("https://klasma.github.io/Logging_2303/tillsyn/A 26082-2025 tillsynsbegäran.docx", "A 26082-2025")</f>
        <v/>
      </c>
      <c r="Y116">
        <f>HYPERLINK("https://klasma.github.io/Logging_2303/tillsynsmail/A 26082-2025 tillsynsbegäran mail.docx", "A 26082-2025")</f>
        <v/>
      </c>
    </row>
    <row r="117" ht="15" customHeight="1">
      <c r="A117" t="inlineStr">
        <is>
          <t>A 50342-2025</t>
        </is>
      </c>
      <c r="B117" s="1" t="n">
        <v>45944.53186342592</v>
      </c>
      <c r="C117" s="1" t="n">
        <v>46087</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2282-2026</t>
        </is>
      </c>
      <c r="B118" s="1" t="n">
        <v>46036.57798611111</v>
      </c>
      <c r="C118" s="1" t="n">
        <v>46087</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60670-2022</t>
        </is>
      </c>
      <c r="B119" s="1" t="n">
        <v>44911</v>
      </c>
      <c r="C119" s="1" t="n">
        <v>46087</v>
      </c>
      <c r="D119" t="inlineStr">
        <is>
          <t>JÄMTLANDS LÄN</t>
        </is>
      </c>
      <c r="E119" t="inlineStr">
        <is>
          <t>RAGUNDA</t>
        </is>
      </c>
      <c r="F119" t="inlineStr">
        <is>
          <t>SCA</t>
        </is>
      </c>
      <c r="G119" t="n">
        <v>5.1</v>
      </c>
      <c r="H119" t="n">
        <v>0</v>
      </c>
      <c r="I119" t="n">
        <v>0</v>
      </c>
      <c r="J119" t="n">
        <v>4</v>
      </c>
      <c r="K119" t="n">
        <v>0</v>
      </c>
      <c r="L119" t="n">
        <v>0</v>
      </c>
      <c r="M119" t="n">
        <v>0</v>
      </c>
      <c r="N119" t="n">
        <v>0</v>
      </c>
      <c r="O119" t="n">
        <v>4</v>
      </c>
      <c r="P119" t="n">
        <v>0</v>
      </c>
      <c r="Q119" t="n">
        <v>4</v>
      </c>
      <c r="R119" s="2" t="inlineStr">
        <is>
          <t>Doftskinn
Gammelgransskål
Lunglav
Ullticka</t>
        </is>
      </c>
      <c r="S119">
        <f>HYPERLINK("https://klasma.github.io/Logging_2303/artfynd/A 60670-2022 artfynd.xlsx", "A 60670-2022")</f>
        <v/>
      </c>
      <c r="T119">
        <f>HYPERLINK("https://klasma.github.io/Logging_2303/kartor/A 60670-2022 karta.png", "A 60670-2022")</f>
        <v/>
      </c>
      <c r="V119">
        <f>HYPERLINK("https://klasma.github.io/Logging_2303/klagomål/A 60670-2022 FSC-klagomål.docx", "A 60670-2022")</f>
        <v/>
      </c>
      <c r="W119">
        <f>HYPERLINK("https://klasma.github.io/Logging_2303/klagomålsmail/A 60670-2022 FSC-klagomål mail.docx", "A 60670-2022")</f>
        <v/>
      </c>
      <c r="X119">
        <f>HYPERLINK("https://klasma.github.io/Logging_2303/tillsyn/A 60670-2022 tillsynsbegäran.docx", "A 60670-2022")</f>
        <v/>
      </c>
      <c r="Y119">
        <f>HYPERLINK("https://klasma.github.io/Logging_2303/tillsynsmail/A 60670-2022 tillsynsbegäran mail.docx", "A 60670-2022")</f>
        <v/>
      </c>
    </row>
    <row r="120" ht="15" customHeight="1">
      <c r="A120" t="inlineStr">
        <is>
          <t>A 3809-2026</t>
        </is>
      </c>
      <c r="B120" s="1" t="n">
        <v>46043.58364583334</v>
      </c>
      <c r="C120" s="1" t="n">
        <v>46087</v>
      </c>
      <c r="D120" t="inlineStr">
        <is>
          <t>JÄMTLANDS LÄN</t>
        </is>
      </c>
      <c r="E120" t="inlineStr">
        <is>
          <t>RAGUNDA</t>
        </is>
      </c>
      <c r="G120" t="n">
        <v>28.6</v>
      </c>
      <c r="H120" t="n">
        <v>1</v>
      </c>
      <c r="I120" t="n">
        <v>0</v>
      </c>
      <c r="J120" t="n">
        <v>3</v>
      </c>
      <c r="K120" t="n">
        <v>1</v>
      </c>
      <c r="L120" t="n">
        <v>0</v>
      </c>
      <c r="M120" t="n">
        <v>0</v>
      </c>
      <c r="N120" t="n">
        <v>0</v>
      </c>
      <c r="O120" t="n">
        <v>4</v>
      </c>
      <c r="P120" t="n">
        <v>1</v>
      </c>
      <c r="Q120" t="n">
        <v>4</v>
      </c>
      <c r="R120" s="2" t="inlineStr">
        <is>
          <t>Knärot
Garnlav
Lunglav
Vitgrynig nållav</t>
        </is>
      </c>
      <c r="S120">
        <f>HYPERLINK("https://klasma.github.io/Logging_2303/artfynd/A 3809-2026 artfynd.xlsx", "A 3809-2026")</f>
        <v/>
      </c>
      <c r="T120">
        <f>HYPERLINK("https://klasma.github.io/Logging_2303/kartor/A 3809-2026 karta.png", "A 3809-2026")</f>
        <v/>
      </c>
      <c r="U120">
        <f>HYPERLINK("https://klasma.github.io/Logging_2303/knärot/A 3809-2026 karta knärot.png", "A 3809-2026")</f>
        <v/>
      </c>
      <c r="V120">
        <f>HYPERLINK("https://klasma.github.io/Logging_2303/klagomål/A 3809-2026 FSC-klagomål.docx", "A 3809-2026")</f>
        <v/>
      </c>
      <c r="W120">
        <f>HYPERLINK("https://klasma.github.io/Logging_2303/klagomålsmail/A 3809-2026 FSC-klagomål mail.docx", "A 3809-2026")</f>
        <v/>
      </c>
      <c r="X120">
        <f>HYPERLINK("https://klasma.github.io/Logging_2303/tillsyn/A 3809-2026 tillsynsbegäran.docx", "A 3809-2026")</f>
        <v/>
      </c>
      <c r="Y120">
        <f>HYPERLINK("https://klasma.github.io/Logging_2303/tillsynsmail/A 3809-2026 tillsynsbegäran mail.docx", "A 3809-2026")</f>
        <v/>
      </c>
    </row>
    <row r="121" ht="15" customHeight="1">
      <c r="A121" t="inlineStr">
        <is>
          <t>A 30465-2024</t>
        </is>
      </c>
      <c r="B121" s="1" t="n">
        <v>45491</v>
      </c>
      <c r="C121" s="1" t="n">
        <v>46087</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52644-2024</t>
        </is>
      </c>
      <c r="B122" s="1" t="n">
        <v>45610.34415509259</v>
      </c>
      <c r="C122" s="1" t="n">
        <v>46087</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17092-2022</t>
        </is>
      </c>
      <c r="B123" s="1" t="n">
        <v>44677</v>
      </c>
      <c r="C123" s="1" t="n">
        <v>46087</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30483-2024</t>
        </is>
      </c>
      <c r="B124" s="1" t="n">
        <v>45491</v>
      </c>
      <c r="C124" s="1" t="n">
        <v>46087</v>
      </c>
      <c r="D124" t="inlineStr">
        <is>
          <t>JÄMTLANDS LÄN</t>
        </is>
      </c>
      <c r="E124" t="inlineStr">
        <is>
          <t>RAGUNDA</t>
        </is>
      </c>
      <c r="F124" t="inlineStr">
        <is>
          <t>SCA</t>
        </is>
      </c>
      <c r="G124" t="n">
        <v>1.6</v>
      </c>
      <c r="H124" t="n">
        <v>1</v>
      </c>
      <c r="I124" t="n">
        <v>0</v>
      </c>
      <c r="J124" t="n">
        <v>4</v>
      </c>
      <c r="K124" t="n">
        <v>0</v>
      </c>
      <c r="L124" t="n">
        <v>0</v>
      </c>
      <c r="M124" t="n">
        <v>0</v>
      </c>
      <c r="N124" t="n">
        <v>0</v>
      </c>
      <c r="O124" t="n">
        <v>4</v>
      </c>
      <c r="P124" t="n">
        <v>0</v>
      </c>
      <c r="Q124" t="n">
        <v>4</v>
      </c>
      <c r="R124" s="2" t="inlineStr">
        <is>
          <t>Dvärgbägarlav
Järpe
Kolflarnlav
Vedskivlav</t>
        </is>
      </c>
      <c r="S124">
        <f>HYPERLINK("https://klasma.github.io/Logging_2303/artfynd/A 30483-2024 artfynd.xlsx", "A 30483-2024")</f>
        <v/>
      </c>
      <c r="T124">
        <f>HYPERLINK("https://klasma.github.io/Logging_2303/kartor/A 30483-2024 karta.png", "A 30483-2024")</f>
        <v/>
      </c>
      <c r="V124">
        <f>HYPERLINK("https://klasma.github.io/Logging_2303/klagomål/A 30483-2024 FSC-klagomål.docx", "A 30483-2024")</f>
        <v/>
      </c>
      <c r="W124">
        <f>HYPERLINK("https://klasma.github.io/Logging_2303/klagomålsmail/A 30483-2024 FSC-klagomål mail.docx", "A 30483-2024")</f>
        <v/>
      </c>
      <c r="X124">
        <f>HYPERLINK("https://klasma.github.io/Logging_2303/tillsyn/A 30483-2024 tillsynsbegäran.docx", "A 30483-2024")</f>
        <v/>
      </c>
      <c r="Y124">
        <f>HYPERLINK("https://klasma.github.io/Logging_2303/tillsynsmail/A 30483-2024 tillsynsbegäran mail.docx", "A 30483-2024")</f>
        <v/>
      </c>
      <c r="Z124">
        <f>HYPERLINK("https://klasma.github.io/Logging_2303/fåglar/A 30483-2024 prioriterade fågelarter.docx", "A 30483-2024")</f>
        <v/>
      </c>
    </row>
    <row r="125" ht="15" customHeight="1">
      <c r="A125" t="inlineStr">
        <is>
          <t>A 43960-2023</t>
        </is>
      </c>
      <c r="B125" s="1" t="n">
        <v>45187</v>
      </c>
      <c r="C125" s="1" t="n">
        <v>46087</v>
      </c>
      <c r="D125" t="inlineStr">
        <is>
          <t>JÄMTLANDS LÄN</t>
        </is>
      </c>
      <c r="E125" t="inlineStr">
        <is>
          <t>RAGUNDA</t>
        </is>
      </c>
      <c r="F125" t="inlineStr">
        <is>
          <t>SCA</t>
        </is>
      </c>
      <c r="G125" t="n">
        <v>5.5</v>
      </c>
      <c r="H125" t="n">
        <v>0</v>
      </c>
      <c r="I125" t="n">
        <v>1</v>
      </c>
      <c r="J125" t="n">
        <v>3</v>
      </c>
      <c r="K125" t="n">
        <v>0</v>
      </c>
      <c r="L125" t="n">
        <v>0</v>
      </c>
      <c r="M125" t="n">
        <v>0</v>
      </c>
      <c r="N125" t="n">
        <v>0</v>
      </c>
      <c r="O125" t="n">
        <v>3</v>
      </c>
      <c r="P125" t="n">
        <v>0</v>
      </c>
      <c r="Q125" t="n">
        <v>4</v>
      </c>
      <c r="R125" s="2" t="inlineStr">
        <is>
          <t>Granticka
Vedflikmossa
Vedtrappmossa
Vedticka</t>
        </is>
      </c>
      <c r="S125">
        <f>HYPERLINK("https://klasma.github.io/Logging_2303/artfynd/A 43960-2023 artfynd.xlsx", "A 43960-2023")</f>
        <v/>
      </c>
      <c r="T125">
        <f>HYPERLINK("https://klasma.github.io/Logging_2303/kartor/A 43960-2023 karta.png", "A 43960-2023")</f>
        <v/>
      </c>
      <c r="V125">
        <f>HYPERLINK("https://klasma.github.io/Logging_2303/klagomål/A 43960-2023 FSC-klagomål.docx", "A 43960-2023")</f>
        <v/>
      </c>
      <c r="W125">
        <f>HYPERLINK("https://klasma.github.io/Logging_2303/klagomålsmail/A 43960-2023 FSC-klagomål mail.docx", "A 43960-2023")</f>
        <v/>
      </c>
      <c r="X125">
        <f>HYPERLINK("https://klasma.github.io/Logging_2303/tillsyn/A 43960-2023 tillsynsbegäran.docx", "A 43960-2023")</f>
        <v/>
      </c>
      <c r="Y125">
        <f>HYPERLINK("https://klasma.github.io/Logging_2303/tillsynsmail/A 43960-2023 tillsynsbegäran mail.docx", "A 43960-2023")</f>
        <v/>
      </c>
    </row>
    <row r="126" ht="15" customHeight="1">
      <c r="A126" t="inlineStr">
        <is>
          <t>A 48052-2022</t>
        </is>
      </c>
      <c r="B126" s="1" t="n">
        <v>44855</v>
      </c>
      <c r="C126" s="1" t="n">
        <v>46087</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46087</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46087</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46087</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21248-2025</t>
        </is>
      </c>
      <c r="B130" s="1" t="n">
        <v>45779.57392361111</v>
      </c>
      <c r="C130" s="1" t="n">
        <v>46087</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14814-2024</t>
        </is>
      </c>
      <c r="B131" s="1" t="n">
        <v>45397.95748842593</v>
      </c>
      <c r="C131" s="1" t="n">
        <v>46087</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46087</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46087</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46087</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20776-2024</t>
        </is>
      </c>
      <c r="B135" s="1" t="n">
        <v>45436.94686342592</v>
      </c>
      <c r="C135" s="1" t="n">
        <v>46087</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57667-2025</t>
        </is>
      </c>
      <c r="B136" s="1" t="n">
        <v>45981.42767361111</v>
      </c>
      <c r="C136" s="1" t="n">
        <v>46087</v>
      </c>
      <c r="D136" t="inlineStr">
        <is>
          <t>JÄMTLANDS LÄN</t>
        </is>
      </c>
      <c r="E136" t="inlineStr">
        <is>
          <t>RAGUNDA</t>
        </is>
      </c>
      <c r="F136" t="inlineStr">
        <is>
          <t>SCA</t>
        </is>
      </c>
      <c r="G136" t="n">
        <v>1.7</v>
      </c>
      <c r="H136" t="n">
        <v>0</v>
      </c>
      <c r="I136" t="n">
        <v>2</v>
      </c>
      <c r="J136" t="n">
        <v>1</v>
      </c>
      <c r="K136" t="n">
        <v>0</v>
      </c>
      <c r="L136" t="n">
        <v>0</v>
      </c>
      <c r="M136" t="n">
        <v>0</v>
      </c>
      <c r="N136" t="n">
        <v>0</v>
      </c>
      <c r="O136" t="n">
        <v>1</v>
      </c>
      <c r="P136" t="n">
        <v>0</v>
      </c>
      <c r="Q136" t="n">
        <v>3</v>
      </c>
      <c r="R136" s="2" t="inlineStr">
        <is>
          <t>Lunglav
Korallblylav
Luddlav</t>
        </is>
      </c>
      <c r="S136">
        <f>HYPERLINK("https://klasma.github.io/Logging_2303/artfynd/A 57667-2025 artfynd.xlsx", "A 57667-2025")</f>
        <v/>
      </c>
      <c r="T136">
        <f>HYPERLINK("https://klasma.github.io/Logging_2303/kartor/A 57667-2025 karta.png", "A 57667-2025")</f>
        <v/>
      </c>
      <c r="V136">
        <f>HYPERLINK("https://klasma.github.io/Logging_2303/klagomål/A 57667-2025 FSC-klagomål.docx", "A 57667-2025")</f>
        <v/>
      </c>
      <c r="W136">
        <f>HYPERLINK("https://klasma.github.io/Logging_2303/klagomålsmail/A 57667-2025 FSC-klagomål mail.docx", "A 57667-2025")</f>
        <v/>
      </c>
      <c r="X136">
        <f>HYPERLINK("https://klasma.github.io/Logging_2303/tillsyn/A 57667-2025 tillsynsbegäran.docx", "A 57667-2025")</f>
        <v/>
      </c>
      <c r="Y136">
        <f>HYPERLINK("https://klasma.github.io/Logging_2303/tillsynsmail/A 57667-2025 tillsynsbegäran mail.docx", "A 57667-2025")</f>
        <v/>
      </c>
    </row>
    <row r="137" ht="15" customHeight="1">
      <c r="A137" t="inlineStr">
        <is>
          <t>A 7519-2023</t>
        </is>
      </c>
      <c r="B137" s="1" t="n">
        <v>44971</v>
      </c>
      <c r="C137" s="1" t="n">
        <v>46087</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59179-2025</t>
        </is>
      </c>
      <c r="B138" s="1" t="n">
        <v>45988.57350694444</v>
      </c>
      <c r="C138" s="1" t="n">
        <v>46087</v>
      </c>
      <c r="D138" t="inlineStr">
        <is>
          <t>JÄMTLANDS LÄN</t>
        </is>
      </c>
      <c r="E138" t="inlineStr">
        <is>
          <t>RAGUNDA</t>
        </is>
      </c>
      <c r="F138" t="inlineStr">
        <is>
          <t>SCA</t>
        </is>
      </c>
      <c r="G138" t="n">
        <v>2.3</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HYPERLINK("https://klasma.github.io/Logging_2303/artfynd/A 59179-2025 artfynd.xlsx", "A 59179-2025")</f>
        <v/>
      </c>
      <c r="T138">
        <f>HYPERLINK("https://klasma.github.io/Logging_2303/kartor/A 59179-2025 karta.png", "A 59179-2025")</f>
        <v/>
      </c>
      <c r="V138">
        <f>HYPERLINK("https://klasma.github.io/Logging_2303/klagomål/A 59179-2025 FSC-klagomål.docx", "A 59179-2025")</f>
        <v/>
      </c>
      <c r="W138">
        <f>HYPERLINK("https://klasma.github.io/Logging_2303/klagomålsmail/A 59179-2025 FSC-klagomål mail.docx", "A 59179-2025")</f>
        <v/>
      </c>
      <c r="X138">
        <f>HYPERLINK("https://klasma.github.io/Logging_2303/tillsyn/A 59179-2025 tillsynsbegäran.docx", "A 59179-2025")</f>
        <v/>
      </c>
      <c r="Y138">
        <f>HYPERLINK("https://klasma.github.io/Logging_2303/tillsynsmail/A 59179-2025 tillsynsbegäran mail.docx", "A 59179-2025")</f>
        <v/>
      </c>
    </row>
    <row r="139" ht="15" customHeight="1">
      <c r="A139" t="inlineStr">
        <is>
          <t>A 58368-2024</t>
        </is>
      </c>
      <c r="B139" s="1" t="n">
        <v>45632.69822916666</v>
      </c>
      <c r="C139" s="1" t="n">
        <v>46087</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25769-2025</t>
        </is>
      </c>
      <c r="B140" s="1" t="n">
        <v>45804.34474537037</v>
      </c>
      <c r="C140" s="1" t="n">
        <v>46087</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61954-2025</t>
        </is>
      </c>
      <c r="B141" s="1" t="n">
        <v>46003.57381944444</v>
      </c>
      <c r="C141" s="1" t="n">
        <v>46087</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30470-2024</t>
        </is>
      </c>
      <c r="B142" s="1" t="n">
        <v>45491</v>
      </c>
      <c r="C142" s="1" t="n">
        <v>46087</v>
      </c>
      <c r="D142" t="inlineStr">
        <is>
          <t>JÄMTLANDS LÄN</t>
        </is>
      </c>
      <c r="E142" t="inlineStr">
        <is>
          <t>RAGUNDA</t>
        </is>
      </c>
      <c r="F142" t="inlineStr">
        <is>
          <t>SCA</t>
        </is>
      </c>
      <c r="G142" t="n">
        <v>1.4</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HYPERLINK("https://klasma.github.io/Logging_2303/artfynd/A 30470-2024 artfynd.xlsx", "A 30470-2024")</f>
        <v/>
      </c>
      <c r="T142">
        <f>HYPERLINK("https://klasma.github.io/Logging_2303/kartor/A 30470-2024 karta.png", "A 30470-2024")</f>
        <v/>
      </c>
      <c r="U142">
        <f>HYPERLINK("https://klasma.github.io/Logging_2303/knärot/A 30470-2024 karta knärot.png", "A 30470-2024")</f>
        <v/>
      </c>
      <c r="V142">
        <f>HYPERLINK("https://klasma.github.io/Logging_2303/klagomål/A 30470-2024 FSC-klagomål.docx", "A 30470-2024")</f>
        <v/>
      </c>
      <c r="W142">
        <f>HYPERLINK("https://klasma.github.io/Logging_2303/klagomålsmail/A 30470-2024 FSC-klagomål mail.docx", "A 30470-2024")</f>
        <v/>
      </c>
      <c r="X142">
        <f>HYPERLINK("https://klasma.github.io/Logging_2303/tillsyn/A 30470-2024 tillsynsbegäran.docx", "A 30470-2024")</f>
        <v/>
      </c>
      <c r="Y142">
        <f>HYPERLINK("https://klasma.github.io/Logging_2303/tillsynsmail/A 30470-2024 tillsynsbegäran mail.docx", "A 30470-2024")</f>
        <v/>
      </c>
      <c r="Z142">
        <f>HYPERLINK("https://klasma.github.io/Logging_2303/fåglar/A 30470-2024 prioriterade fågelarter.docx", "A 30470-2024")</f>
        <v/>
      </c>
    </row>
    <row r="143" ht="15" customHeight="1">
      <c r="A143" t="inlineStr">
        <is>
          <t>A 5731-2026</t>
        </is>
      </c>
      <c r="B143" s="1" t="n">
        <v>46051.57355324074</v>
      </c>
      <c r="C143" s="1" t="n">
        <v>46087</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33432-2023</t>
        </is>
      </c>
      <c r="B144" s="1" t="n">
        <v>45128</v>
      </c>
      <c r="C144" s="1" t="n">
        <v>46087</v>
      </c>
      <c r="D144" t="inlineStr">
        <is>
          <t>JÄMTLANDS LÄN</t>
        </is>
      </c>
      <c r="E144" t="inlineStr">
        <is>
          <t>RAGUNDA</t>
        </is>
      </c>
      <c r="F144" t="inlineStr">
        <is>
          <t>SCA</t>
        </is>
      </c>
      <c r="G144" t="n">
        <v>10</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33432-2023 artfynd.xlsx", "A 33432-2023")</f>
        <v/>
      </c>
      <c r="T144">
        <f>HYPERLINK("https://klasma.github.io/Logging_2303/kartor/A 33432-2023 karta.png", "A 33432-2023")</f>
        <v/>
      </c>
      <c r="V144">
        <f>HYPERLINK("https://klasma.github.io/Logging_2303/klagomål/A 33432-2023 FSC-klagomål.docx", "A 33432-2023")</f>
        <v/>
      </c>
      <c r="W144">
        <f>HYPERLINK("https://klasma.github.io/Logging_2303/klagomålsmail/A 33432-2023 FSC-klagomål mail.docx", "A 33432-2023")</f>
        <v/>
      </c>
      <c r="X144">
        <f>HYPERLINK("https://klasma.github.io/Logging_2303/tillsyn/A 33432-2023 tillsynsbegäran.docx", "A 33432-2023")</f>
        <v/>
      </c>
      <c r="Y144">
        <f>HYPERLINK("https://klasma.github.io/Logging_2303/tillsynsmail/A 33432-2023 tillsynsbegäran mail.docx", "A 33432-2023")</f>
        <v/>
      </c>
      <c r="Z144">
        <f>HYPERLINK("https://klasma.github.io/Logging_2303/fåglar/A 33432-2023 prioriterade fågelarter.docx", "A 33432-2023")</f>
        <v/>
      </c>
    </row>
    <row r="145" ht="15" customHeight="1">
      <c r="A145" t="inlineStr">
        <is>
          <t>A 22571-2025</t>
        </is>
      </c>
      <c r="B145" s="1" t="n">
        <v>45789.36503472222</v>
      </c>
      <c r="C145" s="1" t="n">
        <v>46087</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57941-2024</t>
        </is>
      </c>
      <c r="B146" s="1" t="n">
        <v>45631</v>
      </c>
      <c r="C146" s="1" t="n">
        <v>46087</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16305-2025</t>
        </is>
      </c>
      <c r="B147" s="1" t="n">
        <v>45751.34650462963</v>
      </c>
      <c r="C147" s="1" t="n">
        <v>46087</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46087</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46087</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34585-2025</t>
        </is>
      </c>
      <c r="B150" s="1" t="n">
        <v>45847.61498842593</v>
      </c>
      <c r="C150" s="1" t="n">
        <v>46087</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46087</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49047-2023</t>
        </is>
      </c>
      <c r="B152" s="1" t="n">
        <v>45209</v>
      </c>
      <c r="C152" s="1" t="n">
        <v>46087</v>
      </c>
      <c r="D152" t="inlineStr">
        <is>
          <t>JÄMTLANDS LÄN</t>
        </is>
      </c>
      <c r="E152" t="inlineStr">
        <is>
          <t>RAGUNDA</t>
        </is>
      </c>
      <c r="F152" t="inlineStr">
        <is>
          <t>SCA</t>
        </is>
      </c>
      <c r="G152" t="n">
        <v>6.9</v>
      </c>
      <c r="H152" t="n">
        <v>0</v>
      </c>
      <c r="I152" t="n">
        <v>0</v>
      </c>
      <c r="J152" t="n">
        <v>3</v>
      </c>
      <c r="K152" t="n">
        <v>0</v>
      </c>
      <c r="L152" t="n">
        <v>0</v>
      </c>
      <c r="M152" t="n">
        <v>0</v>
      </c>
      <c r="N152" t="n">
        <v>0</v>
      </c>
      <c r="O152" t="n">
        <v>3</v>
      </c>
      <c r="P152" t="n">
        <v>0</v>
      </c>
      <c r="Q152" t="n">
        <v>3</v>
      </c>
      <c r="R152" s="2" t="inlineStr">
        <is>
          <t>Lunglav
Rosenticka
Skrovellav</t>
        </is>
      </c>
      <c r="S152">
        <f>HYPERLINK("https://klasma.github.io/Logging_2303/artfynd/A 49047-2023 artfynd.xlsx", "A 49047-2023")</f>
        <v/>
      </c>
      <c r="T152">
        <f>HYPERLINK("https://klasma.github.io/Logging_2303/kartor/A 49047-2023 karta.png", "A 49047-2023")</f>
        <v/>
      </c>
      <c r="V152">
        <f>HYPERLINK("https://klasma.github.io/Logging_2303/klagomål/A 49047-2023 FSC-klagomål.docx", "A 49047-2023")</f>
        <v/>
      </c>
      <c r="W152">
        <f>HYPERLINK("https://klasma.github.io/Logging_2303/klagomålsmail/A 49047-2023 FSC-klagomål mail.docx", "A 49047-2023")</f>
        <v/>
      </c>
      <c r="X152">
        <f>HYPERLINK("https://klasma.github.io/Logging_2303/tillsyn/A 49047-2023 tillsynsbegäran.docx", "A 49047-2023")</f>
        <v/>
      </c>
      <c r="Y152">
        <f>HYPERLINK("https://klasma.github.io/Logging_2303/tillsynsmail/A 49047-2023 tillsynsbegäran mail.docx", "A 49047-2023")</f>
        <v/>
      </c>
    </row>
    <row r="153" ht="15" customHeight="1">
      <c r="A153" t="inlineStr">
        <is>
          <t>A 36504-2023</t>
        </is>
      </c>
      <c r="B153" s="1" t="n">
        <v>45152</v>
      </c>
      <c r="C153" s="1" t="n">
        <v>46087</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33278-2022</t>
        </is>
      </c>
      <c r="B154" s="1" t="n">
        <v>44788</v>
      </c>
      <c r="C154" s="1" t="n">
        <v>46087</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53022-2022</t>
        </is>
      </c>
      <c r="B155" s="1" t="n">
        <v>44875</v>
      </c>
      <c r="C155" s="1" t="n">
        <v>46087</v>
      </c>
      <c r="D155" t="inlineStr">
        <is>
          <t>JÄMTLANDS LÄN</t>
        </is>
      </c>
      <c r="E155" t="inlineStr">
        <is>
          <t>RAGUNDA</t>
        </is>
      </c>
      <c r="F155" t="inlineStr">
        <is>
          <t>SCA</t>
        </is>
      </c>
      <c r="G155" t="n">
        <v>2.7</v>
      </c>
      <c r="H155" t="n">
        <v>0</v>
      </c>
      <c r="I155" t="n">
        <v>1</v>
      </c>
      <c r="J155" t="n">
        <v>2</v>
      </c>
      <c r="K155" t="n">
        <v>0</v>
      </c>
      <c r="L155" t="n">
        <v>0</v>
      </c>
      <c r="M155" t="n">
        <v>0</v>
      </c>
      <c r="N155" t="n">
        <v>0</v>
      </c>
      <c r="O155" t="n">
        <v>2</v>
      </c>
      <c r="P155" t="n">
        <v>0</v>
      </c>
      <c r="Q155" t="n">
        <v>3</v>
      </c>
      <c r="R155" s="2" t="inlineStr">
        <is>
          <t>Garnlav
Lunglav
Dropptaggsvamp</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18616-2024</t>
        </is>
      </c>
      <c r="B156" s="1" t="n">
        <v>45425.96285879629</v>
      </c>
      <c r="C156" s="1" t="n">
        <v>46087</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5048-2025</t>
        </is>
      </c>
      <c r="B157" s="1" t="n">
        <v>45691.44769675926</v>
      </c>
      <c r="C157" s="1" t="n">
        <v>46087</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46087</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46087</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47850-2025</t>
        </is>
      </c>
      <c r="B160" s="1" t="n">
        <v>45932.38626157407</v>
      </c>
      <c r="C160" s="1" t="n">
        <v>46087</v>
      </c>
      <c r="D160" t="inlineStr">
        <is>
          <t>JÄMTLANDS LÄN</t>
        </is>
      </c>
      <c r="E160" t="inlineStr">
        <is>
          <t>RAGUNDA</t>
        </is>
      </c>
      <c r="F160" t="inlineStr">
        <is>
          <t>SCA</t>
        </is>
      </c>
      <c r="G160" t="n">
        <v>2.4</v>
      </c>
      <c r="H160" t="n">
        <v>1</v>
      </c>
      <c r="I160" t="n">
        <v>0</v>
      </c>
      <c r="J160" t="n">
        <v>1</v>
      </c>
      <c r="K160" t="n">
        <v>0</v>
      </c>
      <c r="L160" t="n">
        <v>0</v>
      </c>
      <c r="M160" t="n">
        <v>0</v>
      </c>
      <c r="N160" t="n">
        <v>0</v>
      </c>
      <c r="O160" t="n">
        <v>1</v>
      </c>
      <c r="P160" t="n">
        <v>0</v>
      </c>
      <c r="Q160" t="n">
        <v>2</v>
      </c>
      <c r="R160" s="2" t="inlineStr">
        <is>
          <t>Kolflarnlav
Blåsippa</t>
        </is>
      </c>
      <c r="S160">
        <f>HYPERLINK("https://klasma.github.io/Logging_2303/artfynd/A 47850-2025 artfynd.xlsx", "A 47850-2025")</f>
        <v/>
      </c>
      <c r="T160">
        <f>HYPERLINK("https://klasma.github.io/Logging_2303/kartor/A 47850-2025 karta.png", "A 47850-2025")</f>
        <v/>
      </c>
      <c r="V160">
        <f>HYPERLINK("https://klasma.github.io/Logging_2303/klagomål/A 47850-2025 FSC-klagomål.docx", "A 47850-2025")</f>
        <v/>
      </c>
      <c r="W160">
        <f>HYPERLINK("https://klasma.github.io/Logging_2303/klagomålsmail/A 47850-2025 FSC-klagomål mail.docx", "A 47850-2025")</f>
        <v/>
      </c>
      <c r="X160">
        <f>HYPERLINK("https://klasma.github.io/Logging_2303/tillsyn/A 47850-2025 tillsynsbegäran.docx", "A 47850-2025")</f>
        <v/>
      </c>
      <c r="Y160">
        <f>HYPERLINK("https://klasma.github.io/Logging_2303/tillsynsmail/A 47850-2025 tillsynsbegäran mail.docx", "A 47850-2025")</f>
        <v/>
      </c>
    </row>
    <row r="161" ht="15" customHeight="1">
      <c r="A161" t="inlineStr">
        <is>
          <t>A 3838-2024</t>
        </is>
      </c>
      <c r="B161" s="1" t="n">
        <v>45321</v>
      </c>
      <c r="C161" s="1" t="n">
        <v>46087</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21245-2025</t>
        </is>
      </c>
      <c r="B162" s="1" t="n">
        <v>45779.57350694444</v>
      </c>
      <c r="C162" s="1" t="n">
        <v>46087</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12271-2024</t>
        </is>
      </c>
      <c r="B163" s="1" t="n">
        <v>45378</v>
      </c>
      <c r="C163" s="1" t="n">
        <v>46087</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39495-2024</t>
        </is>
      </c>
      <c r="B164" s="1" t="n">
        <v>45551.65726851852</v>
      </c>
      <c r="C164" s="1" t="n">
        <v>46087</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46087</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30053-2024</t>
        </is>
      </c>
      <c r="B166" s="1" t="n">
        <v>45488.94747685185</v>
      </c>
      <c r="C166" s="1" t="n">
        <v>46087</v>
      </c>
      <c r="D166" t="inlineStr">
        <is>
          <t>JÄMTLANDS LÄN</t>
        </is>
      </c>
      <c r="E166" t="inlineStr">
        <is>
          <t>RAGUNDA</t>
        </is>
      </c>
      <c r="F166" t="inlineStr">
        <is>
          <t>SCA</t>
        </is>
      </c>
      <c r="G166" t="n">
        <v>9.6</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30053-2024 artfynd.xlsx", "A 30053-2024")</f>
        <v/>
      </c>
      <c r="T166">
        <f>HYPERLINK("https://klasma.github.io/Logging_2303/kartor/A 30053-2024 karta.png", "A 30053-2024")</f>
        <v/>
      </c>
      <c r="V166">
        <f>HYPERLINK("https://klasma.github.io/Logging_2303/klagomål/A 30053-2024 FSC-klagomål.docx", "A 30053-2024")</f>
        <v/>
      </c>
      <c r="W166">
        <f>HYPERLINK("https://klasma.github.io/Logging_2303/klagomålsmail/A 30053-2024 FSC-klagomål mail.docx", "A 30053-2024")</f>
        <v/>
      </c>
      <c r="X166">
        <f>HYPERLINK("https://klasma.github.io/Logging_2303/tillsyn/A 30053-2024 tillsynsbegäran.docx", "A 30053-2024")</f>
        <v/>
      </c>
      <c r="Y166">
        <f>HYPERLINK("https://klasma.github.io/Logging_2303/tillsynsmail/A 30053-2024 tillsynsbegäran mail.docx", "A 30053-2024")</f>
        <v/>
      </c>
    </row>
    <row r="167" ht="15" customHeight="1">
      <c r="A167" t="inlineStr">
        <is>
          <t>A 11544-2024</t>
        </is>
      </c>
      <c r="B167" s="1" t="n">
        <v>45372.95680555556</v>
      </c>
      <c r="C167" s="1" t="n">
        <v>46087</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25155-2025</t>
        </is>
      </c>
      <c r="B168" s="1" t="n">
        <v>45800.42782407408</v>
      </c>
      <c r="C168" s="1" t="n">
        <v>46087</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Kötticka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14502-2024</t>
        </is>
      </c>
      <c r="B169" s="1" t="n">
        <v>45394</v>
      </c>
      <c r="C169" s="1" t="n">
        <v>46087</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62636-2025</t>
        </is>
      </c>
      <c r="B170" s="1" t="n">
        <v>46008.3653587963</v>
      </c>
      <c r="C170" s="1" t="n">
        <v>46087</v>
      </c>
      <c r="D170" t="inlineStr">
        <is>
          <t>JÄMTLANDS LÄN</t>
        </is>
      </c>
      <c r="E170" t="inlineStr">
        <is>
          <t>RAGUNDA</t>
        </is>
      </c>
      <c r="G170" t="n">
        <v>3.1</v>
      </c>
      <c r="H170" t="n">
        <v>1</v>
      </c>
      <c r="I170" t="n">
        <v>0</v>
      </c>
      <c r="J170" t="n">
        <v>2</v>
      </c>
      <c r="K170" t="n">
        <v>0</v>
      </c>
      <c r="L170" t="n">
        <v>0</v>
      </c>
      <c r="M170" t="n">
        <v>0</v>
      </c>
      <c r="N170" t="n">
        <v>0</v>
      </c>
      <c r="O170" t="n">
        <v>2</v>
      </c>
      <c r="P170" t="n">
        <v>0</v>
      </c>
      <c r="Q170" t="n">
        <v>2</v>
      </c>
      <c r="R170" s="2" t="inlineStr">
        <is>
          <t>Garnlav
Talltita</t>
        </is>
      </c>
      <c r="S170">
        <f>HYPERLINK("https://klasma.github.io/Logging_2303/artfynd/A 62636-2025 artfynd.xlsx", "A 62636-2025")</f>
        <v/>
      </c>
      <c r="T170">
        <f>HYPERLINK("https://klasma.github.io/Logging_2303/kartor/A 62636-2025 karta.png", "A 62636-2025")</f>
        <v/>
      </c>
      <c r="V170">
        <f>HYPERLINK("https://klasma.github.io/Logging_2303/klagomål/A 62636-2025 FSC-klagomål.docx", "A 62636-2025")</f>
        <v/>
      </c>
      <c r="W170">
        <f>HYPERLINK("https://klasma.github.io/Logging_2303/klagomålsmail/A 62636-2025 FSC-klagomål mail.docx", "A 62636-2025")</f>
        <v/>
      </c>
      <c r="X170">
        <f>HYPERLINK("https://klasma.github.io/Logging_2303/tillsyn/A 62636-2025 tillsynsbegäran.docx", "A 62636-2025")</f>
        <v/>
      </c>
      <c r="Y170">
        <f>HYPERLINK("https://klasma.github.io/Logging_2303/tillsynsmail/A 62636-2025 tillsynsbegäran mail.docx", "A 62636-2025")</f>
        <v/>
      </c>
      <c r="Z170">
        <f>HYPERLINK("https://klasma.github.io/Logging_2303/fåglar/A 62636-2025 prioriterade fågelarter.docx", "A 62636-2025")</f>
        <v/>
      </c>
    </row>
    <row r="171" ht="15" customHeight="1">
      <c r="A171" t="inlineStr">
        <is>
          <t>A 26482-2023</t>
        </is>
      </c>
      <c r="B171" s="1" t="n">
        <v>45089</v>
      </c>
      <c r="C171" s="1" t="n">
        <v>46087</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46087</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56634-2025</t>
        </is>
      </c>
      <c r="B173" s="1" t="n">
        <v>45975.61619212963</v>
      </c>
      <c r="C173" s="1" t="n">
        <v>46087</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10866-2025</t>
        </is>
      </c>
      <c r="B174" s="1" t="n">
        <v>45722.61543981481</v>
      </c>
      <c r="C174" s="1" t="n">
        <v>46087</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46087</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46087</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9749-2026</t>
        </is>
      </c>
      <c r="B177" s="1" t="n">
        <v>46072.53167824074</v>
      </c>
      <c r="C177" s="1" t="n">
        <v>46087</v>
      </c>
      <c r="D177" t="inlineStr">
        <is>
          <t>JÄMTLANDS LÄN</t>
        </is>
      </c>
      <c r="E177" t="inlineStr">
        <is>
          <t>RAGUNDA</t>
        </is>
      </c>
      <c r="F177" t="inlineStr">
        <is>
          <t>SCA</t>
        </is>
      </c>
      <c r="G177" t="n">
        <v>2.7</v>
      </c>
      <c r="H177" t="n">
        <v>1</v>
      </c>
      <c r="I177" t="n">
        <v>0</v>
      </c>
      <c r="J177" t="n">
        <v>2</v>
      </c>
      <c r="K177" t="n">
        <v>0</v>
      </c>
      <c r="L177" t="n">
        <v>0</v>
      </c>
      <c r="M177" t="n">
        <v>0</v>
      </c>
      <c r="N177" t="n">
        <v>0</v>
      </c>
      <c r="O177" t="n">
        <v>2</v>
      </c>
      <c r="P177" t="n">
        <v>0</v>
      </c>
      <c r="Q177" t="n">
        <v>2</v>
      </c>
      <c r="R177" s="2" t="inlineStr">
        <is>
          <t>Järpe
Ullticka</t>
        </is>
      </c>
      <c r="S177">
        <f>HYPERLINK("https://klasma.github.io/Logging_2303/artfynd/A 9749-2026 artfynd.xlsx", "A 9749-2026")</f>
        <v/>
      </c>
      <c r="T177">
        <f>HYPERLINK("https://klasma.github.io/Logging_2303/kartor/A 9749-2026 karta.png", "A 9749-2026")</f>
        <v/>
      </c>
      <c r="V177">
        <f>HYPERLINK("https://klasma.github.io/Logging_2303/klagomål/A 9749-2026 FSC-klagomål.docx", "A 9749-2026")</f>
        <v/>
      </c>
      <c r="W177">
        <f>HYPERLINK("https://klasma.github.io/Logging_2303/klagomålsmail/A 9749-2026 FSC-klagomål mail.docx", "A 9749-2026")</f>
        <v/>
      </c>
      <c r="X177">
        <f>HYPERLINK("https://klasma.github.io/Logging_2303/tillsyn/A 9749-2026 tillsynsbegäran.docx", "A 9749-2026")</f>
        <v/>
      </c>
      <c r="Y177">
        <f>HYPERLINK("https://klasma.github.io/Logging_2303/tillsynsmail/A 9749-2026 tillsynsbegäran mail.docx", "A 9749-2026")</f>
        <v/>
      </c>
      <c r="Z177">
        <f>HYPERLINK("https://klasma.github.io/Logging_2303/fåglar/A 9749-2026 prioriterade fågelarter.docx", "A 9749-2026")</f>
        <v/>
      </c>
    </row>
    <row r="178" ht="15" customHeight="1">
      <c r="A178" t="inlineStr">
        <is>
          <t>A 48427-2023</t>
        </is>
      </c>
      <c r="B178" s="1" t="n">
        <v>45205</v>
      </c>
      <c r="C178" s="1" t="n">
        <v>46087</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48427-2023 artfynd.xlsx", "A 48427-2023")</f>
        <v/>
      </c>
      <c r="T178">
        <f>HYPERLINK("https://klasma.github.io/Logging_2303/kartor/A 48427-2023 karta.png", "A 48427-2023")</f>
        <v/>
      </c>
      <c r="V178">
        <f>HYPERLINK("https://klasma.github.io/Logging_2303/klagomål/A 48427-2023 FSC-klagomål.docx", "A 48427-2023")</f>
        <v/>
      </c>
      <c r="W178">
        <f>HYPERLINK("https://klasma.github.io/Logging_2303/klagomålsmail/A 48427-2023 FSC-klagomål mail.docx", "A 48427-2023")</f>
        <v/>
      </c>
      <c r="X178">
        <f>HYPERLINK("https://klasma.github.io/Logging_2303/tillsyn/A 48427-2023 tillsynsbegäran.docx", "A 48427-2023")</f>
        <v/>
      </c>
      <c r="Y178">
        <f>HYPERLINK("https://klasma.github.io/Logging_2303/tillsynsmail/A 48427-2023 tillsynsbegäran mail.docx", "A 48427-2023")</f>
        <v/>
      </c>
    </row>
    <row r="179" ht="15" customHeight="1">
      <c r="A179" t="inlineStr">
        <is>
          <t>A 19384-2025</t>
        </is>
      </c>
      <c r="B179" s="1" t="n">
        <v>45769.65692129629</v>
      </c>
      <c r="C179" s="1" t="n">
        <v>46087</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55647-2023</t>
        </is>
      </c>
      <c r="B180" s="1" t="n">
        <v>45238</v>
      </c>
      <c r="C180" s="1" t="n">
        <v>46087</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57940-2024</t>
        </is>
      </c>
      <c r="B181" s="1" t="n">
        <v>45631</v>
      </c>
      <c r="C181" s="1" t="n">
        <v>46087</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31960-2025</t>
        </is>
      </c>
      <c r="B182" s="1" t="n">
        <v>45835.344375</v>
      </c>
      <c r="C182" s="1" t="n">
        <v>46087</v>
      </c>
      <c r="D182" t="inlineStr">
        <is>
          <t>JÄMTLANDS LÄN</t>
        </is>
      </c>
      <c r="E182" t="inlineStr">
        <is>
          <t>RAGUNDA</t>
        </is>
      </c>
      <c r="F182" t="inlineStr">
        <is>
          <t>SCA</t>
        </is>
      </c>
      <c r="G182" t="n">
        <v>1.6</v>
      </c>
      <c r="H182" t="n">
        <v>0</v>
      </c>
      <c r="I182" t="n">
        <v>0</v>
      </c>
      <c r="J182" t="n">
        <v>2</v>
      </c>
      <c r="K182" t="n">
        <v>0</v>
      </c>
      <c r="L182" t="n">
        <v>0</v>
      </c>
      <c r="M182" t="n">
        <v>0</v>
      </c>
      <c r="N182" t="n">
        <v>0</v>
      </c>
      <c r="O182" t="n">
        <v>2</v>
      </c>
      <c r="P182" t="n">
        <v>0</v>
      </c>
      <c r="Q182" t="n">
        <v>2</v>
      </c>
      <c r="R182" s="2" t="inlineStr">
        <is>
          <t>Gammelgransskål
Garnlav</t>
        </is>
      </c>
      <c r="S182">
        <f>HYPERLINK("https://klasma.github.io/Logging_2303/artfynd/A 31960-2025 artfynd.xlsx", "A 31960-2025")</f>
        <v/>
      </c>
      <c r="T182">
        <f>HYPERLINK("https://klasma.github.io/Logging_2303/kartor/A 31960-2025 karta.png", "A 31960-2025")</f>
        <v/>
      </c>
      <c r="V182">
        <f>HYPERLINK("https://klasma.github.io/Logging_2303/klagomål/A 31960-2025 FSC-klagomål.docx", "A 31960-2025")</f>
        <v/>
      </c>
      <c r="W182">
        <f>HYPERLINK("https://klasma.github.io/Logging_2303/klagomålsmail/A 31960-2025 FSC-klagomål mail.docx", "A 31960-2025")</f>
        <v/>
      </c>
      <c r="X182">
        <f>HYPERLINK("https://klasma.github.io/Logging_2303/tillsyn/A 31960-2025 tillsynsbegäran.docx", "A 31960-2025")</f>
        <v/>
      </c>
      <c r="Y182">
        <f>HYPERLINK("https://klasma.github.io/Logging_2303/tillsynsmail/A 31960-2025 tillsynsbegäran mail.docx", "A 31960-2025")</f>
        <v/>
      </c>
    </row>
    <row r="183" ht="15" customHeight="1">
      <c r="A183" t="inlineStr">
        <is>
          <t>A 50089-2022</t>
        </is>
      </c>
      <c r="B183" s="1" t="n">
        <v>44865</v>
      </c>
      <c r="C183" s="1" t="n">
        <v>46087</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35131-2025</t>
        </is>
      </c>
      <c r="B184" s="1" t="n">
        <v>45852.63597222222</v>
      </c>
      <c r="C184" s="1" t="n">
        <v>46087</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32736-2023</t>
        </is>
      </c>
      <c r="B185" s="1" t="n">
        <v>45121</v>
      </c>
      <c r="C185" s="1" t="n">
        <v>46087</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Vedtrappmossa
Stor aspticka</t>
        </is>
      </c>
      <c r="S185">
        <f>HYPERLINK("https://klasma.github.io/Logging_2303/artfynd/A 32736-2023 artfynd.xlsx", "A 32736-2023")</f>
        <v/>
      </c>
      <c r="T185">
        <f>HYPERLINK("https://klasma.github.io/Logging_2303/kartor/A 32736-2023 karta.png", "A 32736-2023")</f>
        <v/>
      </c>
      <c r="V185">
        <f>HYPERLINK("https://klasma.github.io/Logging_2303/klagomål/A 32736-2023 FSC-klagomål.docx", "A 32736-2023")</f>
        <v/>
      </c>
      <c r="W185">
        <f>HYPERLINK("https://klasma.github.io/Logging_2303/klagomålsmail/A 32736-2023 FSC-klagomål mail.docx", "A 32736-2023")</f>
        <v/>
      </c>
      <c r="X185">
        <f>HYPERLINK("https://klasma.github.io/Logging_2303/tillsyn/A 32736-2023 tillsynsbegäran.docx", "A 32736-2023")</f>
        <v/>
      </c>
      <c r="Y185">
        <f>HYPERLINK("https://klasma.github.io/Logging_2303/tillsynsmail/A 32736-2023 tillsynsbegäran mail.docx", "A 32736-2023")</f>
        <v/>
      </c>
    </row>
    <row r="186" ht="15" customHeight="1">
      <c r="A186" t="inlineStr">
        <is>
          <t>A 45021-2023</t>
        </is>
      </c>
      <c r="B186" s="1" t="n">
        <v>45190</v>
      </c>
      <c r="C186" s="1" t="n">
        <v>46087</v>
      </c>
      <c r="D186" t="inlineStr">
        <is>
          <t>JÄMTLANDS LÄN</t>
        </is>
      </c>
      <c r="E186" t="inlineStr">
        <is>
          <t>RAGUNDA</t>
        </is>
      </c>
      <c r="F186" t="inlineStr">
        <is>
          <t>SCA</t>
        </is>
      </c>
      <c r="G186" t="n">
        <v>1.6</v>
      </c>
      <c r="H186" t="n">
        <v>1</v>
      </c>
      <c r="I186" t="n">
        <v>0</v>
      </c>
      <c r="J186" t="n">
        <v>1</v>
      </c>
      <c r="K186" t="n">
        <v>0</v>
      </c>
      <c r="L186" t="n">
        <v>0</v>
      </c>
      <c r="M186" t="n">
        <v>0</v>
      </c>
      <c r="N186" t="n">
        <v>0</v>
      </c>
      <c r="O186" t="n">
        <v>1</v>
      </c>
      <c r="P186" t="n">
        <v>0</v>
      </c>
      <c r="Q186" t="n">
        <v>2</v>
      </c>
      <c r="R186" s="2" t="inlineStr">
        <is>
          <t>Lunglav
Fläcknycklar</t>
        </is>
      </c>
      <c r="S186">
        <f>HYPERLINK("https://klasma.github.io/Logging_2303/artfynd/A 45021-2023 artfynd.xlsx", "A 45021-2023")</f>
        <v/>
      </c>
      <c r="T186">
        <f>HYPERLINK("https://klasma.github.io/Logging_2303/kartor/A 45021-2023 karta.png", "A 45021-2023")</f>
        <v/>
      </c>
      <c r="V186">
        <f>HYPERLINK("https://klasma.github.io/Logging_2303/klagomål/A 45021-2023 FSC-klagomål.docx", "A 45021-2023")</f>
        <v/>
      </c>
      <c r="W186">
        <f>HYPERLINK("https://klasma.github.io/Logging_2303/klagomålsmail/A 45021-2023 FSC-klagomål mail.docx", "A 45021-2023")</f>
        <v/>
      </c>
      <c r="X186">
        <f>HYPERLINK("https://klasma.github.io/Logging_2303/tillsyn/A 45021-2023 tillsynsbegäran.docx", "A 45021-2023")</f>
        <v/>
      </c>
      <c r="Y186">
        <f>HYPERLINK("https://klasma.github.io/Logging_2303/tillsynsmail/A 45021-2023 tillsynsbegäran mail.docx", "A 45021-2023")</f>
        <v/>
      </c>
    </row>
    <row r="187" ht="15" customHeight="1">
      <c r="A187" t="inlineStr">
        <is>
          <t>A 44409-2023</t>
        </is>
      </c>
      <c r="B187" s="1" t="n">
        <v>45188</v>
      </c>
      <c r="C187" s="1" t="n">
        <v>46087</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17733-2022</t>
        </is>
      </c>
      <c r="B188" s="1" t="n">
        <v>44680</v>
      </c>
      <c r="C188" s="1" t="n">
        <v>46087</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40826-2023</t>
        </is>
      </c>
      <c r="B189" s="1" t="n">
        <v>45171</v>
      </c>
      <c r="C189" s="1" t="n">
        <v>46087</v>
      </c>
      <c r="D189" t="inlineStr">
        <is>
          <t>JÄMTLANDS LÄN</t>
        </is>
      </c>
      <c r="E189" t="inlineStr">
        <is>
          <t>RAGUNDA</t>
        </is>
      </c>
      <c r="F189" t="inlineStr">
        <is>
          <t>SCA</t>
        </is>
      </c>
      <c r="G189" t="n">
        <v>4.5</v>
      </c>
      <c r="H189" t="n">
        <v>0</v>
      </c>
      <c r="I189" t="n">
        <v>1</v>
      </c>
      <c r="J189" t="n">
        <v>1</v>
      </c>
      <c r="K189" t="n">
        <v>0</v>
      </c>
      <c r="L189" t="n">
        <v>0</v>
      </c>
      <c r="M189" t="n">
        <v>0</v>
      </c>
      <c r="N189" t="n">
        <v>0</v>
      </c>
      <c r="O189" t="n">
        <v>1</v>
      </c>
      <c r="P189" t="n">
        <v>0</v>
      </c>
      <c r="Q189" t="n">
        <v>2</v>
      </c>
      <c r="R189" s="2" t="inlineStr">
        <is>
          <t>Lunglav
Stuplav</t>
        </is>
      </c>
      <c r="S189">
        <f>HYPERLINK("https://klasma.github.io/Logging_2303/artfynd/A 40826-2023 artfynd.xlsx", "A 40826-2023")</f>
        <v/>
      </c>
      <c r="T189">
        <f>HYPERLINK("https://klasma.github.io/Logging_2303/kartor/A 40826-2023 karta.png", "A 40826-2023")</f>
        <v/>
      </c>
      <c r="V189">
        <f>HYPERLINK("https://klasma.github.io/Logging_2303/klagomål/A 40826-2023 FSC-klagomål.docx", "A 40826-2023")</f>
        <v/>
      </c>
      <c r="W189">
        <f>HYPERLINK("https://klasma.github.io/Logging_2303/klagomålsmail/A 40826-2023 FSC-klagomål mail.docx", "A 40826-2023")</f>
        <v/>
      </c>
      <c r="X189">
        <f>HYPERLINK("https://klasma.github.io/Logging_2303/tillsyn/A 40826-2023 tillsynsbegäran.docx", "A 40826-2023")</f>
        <v/>
      </c>
      <c r="Y189">
        <f>HYPERLINK("https://klasma.github.io/Logging_2303/tillsynsmail/A 40826-2023 tillsynsbegäran mail.docx", "A 40826-2023")</f>
        <v/>
      </c>
    </row>
    <row r="190" ht="15" customHeight="1">
      <c r="A190" t="inlineStr">
        <is>
          <t>A 45035-2023</t>
        </is>
      </c>
      <c r="B190" s="1" t="n">
        <v>45191</v>
      </c>
      <c r="C190" s="1" t="n">
        <v>46087</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56285-2023</t>
        </is>
      </c>
      <c r="B191" s="1" t="n">
        <v>45241</v>
      </c>
      <c r="C191" s="1" t="n">
        <v>46087</v>
      </c>
      <c r="D191" t="inlineStr">
        <is>
          <t>JÄMTLANDS LÄN</t>
        </is>
      </c>
      <c r="E191" t="inlineStr">
        <is>
          <t>RAGUNDA</t>
        </is>
      </c>
      <c r="F191" t="inlineStr">
        <is>
          <t>SCA</t>
        </is>
      </c>
      <c r="G191" t="n">
        <v>5.5</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56285-2023 artfynd.xlsx", "A 56285-2023")</f>
        <v/>
      </c>
      <c r="T191">
        <f>HYPERLINK("https://klasma.github.io/Logging_2303/kartor/A 56285-2023 karta.png", "A 56285-2023")</f>
        <v/>
      </c>
      <c r="V191">
        <f>HYPERLINK("https://klasma.github.io/Logging_2303/klagomål/A 56285-2023 FSC-klagomål.docx", "A 56285-2023")</f>
        <v/>
      </c>
      <c r="W191">
        <f>HYPERLINK("https://klasma.github.io/Logging_2303/klagomålsmail/A 56285-2023 FSC-klagomål mail.docx", "A 56285-2023")</f>
        <v/>
      </c>
      <c r="X191">
        <f>HYPERLINK("https://klasma.github.io/Logging_2303/tillsyn/A 56285-2023 tillsynsbegäran.docx", "A 56285-2023")</f>
        <v/>
      </c>
      <c r="Y191">
        <f>HYPERLINK("https://klasma.github.io/Logging_2303/tillsynsmail/A 56285-2023 tillsynsbegäran mail.docx", "A 56285-2023")</f>
        <v/>
      </c>
    </row>
    <row r="192" ht="15" customHeight="1">
      <c r="A192" t="inlineStr">
        <is>
          <t>A 19728-2025</t>
        </is>
      </c>
      <c r="B192" s="1" t="n">
        <v>45771.36548611111</v>
      </c>
      <c r="C192" s="1" t="n">
        <v>46087</v>
      </c>
      <c r="D192" t="inlineStr">
        <is>
          <t>JÄMTLANDS LÄN</t>
        </is>
      </c>
      <c r="E192" t="inlineStr">
        <is>
          <t>RAGUNDA</t>
        </is>
      </c>
      <c r="F192" t="inlineStr">
        <is>
          <t>SCA</t>
        </is>
      </c>
      <c r="G192" t="n">
        <v>6.2</v>
      </c>
      <c r="H192" t="n">
        <v>1</v>
      </c>
      <c r="I192" t="n">
        <v>0</v>
      </c>
      <c r="J192" t="n">
        <v>2</v>
      </c>
      <c r="K192" t="n">
        <v>0</v>
      </c>
      <c r="L192" t="n">
        <v>0</v>
      </c>
      <c r="M192" t="n">
        <v>0</v>
      </c>
      <c r="N192" t="n">
        <v>0</v>
      </c>
      <c r="O192" t="n">
        <v>2</v>
      </c>
      <c r="P192" t="n">
        <v>0</v>
      </c>
      <c r="Q192" t="n">
        <v>2</v>
      </c>
      <c r="R192" s="2" t="inlineStr">
        <is>
          <t>Stjärntagging
Tretåig hackspett</t>
        </is>
      </c>
      <c r="S192">
        <f>HYPERLINK("https://klasma.github.io/Logging_2303/artfynd/A 19728-2025 artfynd.xlsx", "A 19728-2025")</f>
        <v/>
      </c>
      <c r="T192">
        <f>HYPERLINK("https://klasma.github.io/Logging_2303/kartor/A 19728-2025 karta.png", "A 19728-2025")</f>
        <v/>
      </c>
      <c r="V192">
        <f>HYPERLINK("https://klasma.github.io/Logging_2303/klagomål/A 19728-2025 FSC-klagomål.docx", "A 19728-2025")</f>
        <v/>
      </c>
      <c r="W192">
        <f>HYPERLINK("https://klasma.github.io/Logging_2303/klagomålsmail/A 19728-2025 FSC-klagomål mail.docx", "A 19728-2025")</f>
        <v/>
      </c>
      <c r="X192">
        <f>HYPERLINK("https://klasma.github.io/Logging_2303/tillsyn/A 19728-2025 tillsynsbegäran.docx", "A 19728-2025")</f>
        <v/>
      </c>
      <c r="Y192">
        <f>HYPERLINK("https://klasma.github.io/Logging_2303/tillsynsmail/A 19728-2025 tillsynsbegäran mail.docx", "A 19728-2025")</f>
        <v/>
      </c>
      <c r="Z192">
        <f>HYPERLINK("https://klasma.github.io/Logging_2303/fåglar/A 19728-2025 prioriterade fågelarter.docx", "A 19728-2025")</f>
        <v/>
      </c>
    </row>
    <row r="193" ht="15" customHeight="1">
      <c r="A193" t="inlineStr">
        <is>
          <t>A 34715-2024</t>
        </is>
      </c>
      <c r="B193" s="1" t="n">
        <v>45526.56393518519</v>
      </c>
      <c r="C193" s="1" t="n">
        <v>46087</v>
      </c>
      <c r="D193" t="inlineStr">
        <is>
          <t>JÄMTLANDS LÄN</t>
        </is>
      </c>
      <c r="E193" t="inlineStr">
        <is>
          <t>RAGUNDA</t>
        </is>
      </c>
      <c r="F193" t="inlineStr">
        <is>
          <t>SCA</t>
        </is>
      </c>
      <c r="G193" t="n">
        <v>3</v>
      </c>
      <c r="H193" t="n">
        <v>0</v>
      </c>
      <c r="I193" t="n">
        <v>1</v>
      </c>
      <c r="J193" t="n">
        <v>1</v>
      </c>
      <c r="K193" t="n">
        <v>0</v>
      </c>
      <c r="L193" t="n">
        <v>0</v>
      </c>
      <c r="M193" t="n">
        <v>0</v>
      </c>
      <c r="N193" t="n">
        <v>0</v>
      </c>
      <c r="O193" t="n">
        <v>1</v>
      </c>
      <c r="P193" t="n">
        <v>0</v>
      </c>
      <c r="Q193" t="n">
        <v>2</v>
      </c>
      <c r="R193" s="2" t="inlineStr">
        <is>
          <t>Garnlav
Vedticka</t>
        </is>
      </c>
      <c r="S193">
        <f>HYPERLINK("https://klasma.github.io/Logging_2303/artfynd/A 34715-2024 artfynd.xlsx", "A 34715-2024")</f>
        <v/>
      </c>
      <c r="T193">
        <f>HYPERLINK("https://klasma.github.io/Logging_2303/kartor/A 34715-2024 karta.png", "A 34715-2024")</f>
        <v/>
      </c>
      <c r="V193">
        <f>HYPERLINK("https://klasma.github.io/Logging_2303/klagomål/A 34715-2024 FSC-klagomål.docx", "A 34715-2024")</f>
        <v/>
      </c>
      <c r="W193">
        <f>HYPERLINK("https://klasma.github.io/Logging_2303/klagomålsmail/A 34715-2024 FSC-klagomål mail.docx", "A 34715-2024")</f>
        <v/>
      </c>
      <c r="X193">
        <f>HYPERLINK("https://klasma.github.io/Logging_2303/tillsyn/A 34715-2024 tillsynsbegäran.docx", "A 34715-2024")</f>
        <v/>
      </c>
      <c r="Y193">
        <f>HYPERLINK("https://klasma.github.io/Logging_2303/tillsynsmail/A 34715-2024 tillsynsbegäran mail.docx", "A 34715-2024")</f>
        <v/>
      </c>
    </row>
    <row r="194" ht="15" customHeight="1">
      <c r="A194" t="inlineStr">
        <is>
          <t>A 26324-2024</t>
        </is>
      </c>
      <c r="B194" s="1" t="n">
        <v>45468.97495370371</v>
      </c>
      <c r="C194" s="1" t="n">
        <v>46087</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11843-2023</t>
        </is>
      </c>
      <c r="B195" s="1" t="n">
        <v>44993</v>
      </c>
      <c r="C195" s="1" t="n">
        <v>46087</v>
      </c>
      <c r="D195" t="inlineStr">
        <is>
          <t>JÄMTLANDS LÄN</t>
        </is>
      </c>
      <c r="E195" t="inlineStr">
        <is>
          <t>RAGUNDA</t>
        </is>
      </c>
      <c r="G195" t="n">
        <v>6.4</v>
      </c>
      <c r="H195" t="n">
        <v>2</v>
      </c>
      <c r="I195" t="n">
        <v>0</v>
      </c>
      <c r="J195" t="n">
        <v>1</v>
      </c>
      <c r="K195" t="n">
        <v>0</v>
      </c>
      <c r="L195" t="n">
        <v>0</v>
      </c>
      <c r="M195" t="n">
        <v>0</v>
      </c>
      <c r="N195" t="n">
        <v>0</v>
      </c>
      <c r="O195" t="n">
        <v>1</v>
      </c>
      <c r="P195" t="n">
        <v>0</v>
      </c>
      <c r="Q195" t="n">
        <v>2</v>
      </c>
      <c r="R195" s="2" t="inlineStr">
        <is>
          <t>Spillkråka
Revlummer</t>
        </is>
      </c>
      <c r="S195">
        <f>HYPERLINK("https://klasma.github.io/Logging_2303/artfynd/A 11843-2023 artfynd.xlsx", "A 11843-2023")</f>
        <v/>
      </c>
      <c r="T195">
        <f>HYPERLINK("https://klasma.github.io/Logging_2303/kartor/A 11843-2023 karta.png", "A 11843-2023")</f>
        <v/>
      </c>
      <c r="V195">
        <f>HYPERLINK("https://klasma.github.io/Logging_2303/klagomål/A 11843-2023 FSC-klagomål.docx", "A 11843-2023")</f>
        <v/>
      </c>
      <c r="W195">
        <f>HYPERLINK("https://klasma.github.io/Logging_2303/klagomålsmail/A 11843-2023 FSC-klagomål mail.docx", "A 11843-2023")</f>
        <v/>
      </c>
      <c r="X195">
        <f>HYPERLINK("https://klasma.github.io/Logging_2303/tillsyn/A 11843-2023 tillsynsbegäran.docx", "A 11843-2023")</f>
        <v/>
      </c>
      <c r="Y195">
        <f>HYPERLINK("https://klasma.github.io/Logging_2303/tillsynsmail/A 11843-2023 tillsynsbegäran mail.docx", "A 11843-2023")</f>
        <v/>
      </c>
      <c r="Z195">
        <f>HYPERLINK("https://klasma.github.io/Logging_2303/fåglar/A 11843-2023 prioriterade fågelarter.docx", "A 11843-2023")</f>
        <v/>
      </c>
    </row>
    <row r="196" ht="15" customHeight="1">
      <c r="A196" t="inlineStr">
        <is>
          <t>A 36756-2023</t>
        </is>
      </c>
      <c r="B196" s="1" t="n">
        <v>45153</v>
      </c>
      <c r="C196" s="1" t="n">
        <v>46087</v>
      </c>
      <c r="D196" t="inlineStr">
        <is>
          <t>JÄMTLANDS LÄN</t>
        </is>
      </c>
      <c r="E196" t="inlineStr">
        <is>
          <t>RAGUNDA</t>
        </is>
      </c>
      <c r="G196" t="n">
        <v>3.5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11086-2025</t>
        </is>
      </c>
      <c r="B197" s="1" t="n">
        <v>45723.57329861111</v>
      </c>
      <c r="C197" s="1" t="n">
        <v>46087</v>
      </c>
      <c r="D197" t="inlineStr">
        <is>
          <t>JÄMTLANDS LÄN</t>
        </is>
      </c>
      <c r="E197" t="inlineStr">
        <is>
          <t>RAGUNDA</t>
        </is>
      </c>
      <c r="F197" t="inlineStr">
        <is>
          <t>SCA</t>
        </is>
      </c>
      <c r="G197" t="n">
        <v>10.8</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11086-2025 artfynd.xlsx", "A 11086-2025")</f>
        <v/>
      </c>
      <c r="T197">
        <f>HYPERLINK("https://klasma.github.io/Logging_2303/kartor/A 11086-2025 karta.png", "A 11086-2025")</f>
        <v/>
      </c>
      <c r="V197">
        <f>HYPERLINK("https://klasma.github.io/Logging_2303/klagomål/A 11086-2025 FSC-klagomål.docx", "A 11086-2025")</f>
        <v/>
      </c>
      <c r="W197">
        <f>HYPERLINK("https://klasma.github.io/Logging_2303/klagomålsmail/A 11086-2025 FSC-klagomål mail.docx", "A 11086-2025")</f>
        <v/>
      </c>
      <c r="X197">
        <f>HYPERLINK("https://klasma.github.io/Logging_2303/tillsyn/A 11086-2025 tillsynsbegäran.docx", "A 11086-2025")</f>
        <v/>
      </c>
      <c r="Y197">
        <f>HYPERLINK("https://klasma.github.io/Logging_2303/tillsynsmail/A 11086-2025 tillsynsbegäran mail.docx", "A 11086-2025")</f>
        <v/>
      </c>
    </row>
    <row r="198" ht="15" customHeight="1">
      <c r="A198" t="inlineStr">
        <is>
          <t>A 41490-2022</t>
        </is>
      </c>
      <c r="B198" s="1" t="n">
        <v>44826.94976851852</v>
      </c>
      <c r="C198" s="1" t="n">
        <v>46087</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51916-2021</t>
        </is>
      </c>
      <c r="B199" s="1" t="n">
        <v>44462</v>
      </c>
      <c r="C199" s="1" t="n">
        <v>46087</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46087</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46087</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46087</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46087</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46087</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58846-2024</t>
        </is>
      </c>
      <c r="B205" s="1" t="n">
        <v>45636.3863425926</v>
      </c>
      <c r="C205" s="1" t="n">
        <v>46087</v>
      </c>
      <c r="D205" t="inlineStr">
        <is>
          <t>JÄMTLANDS LÄN</t>
        </is>
      </c>
      <c r="E205" t="inlineStr">
        <is>
          <t>RAGUNDA</t>
        </is>
      </c>
      <c r="F205" t="inlineStr">
        <is>
          <t>SCA</t>
        </is>
      </c>
      <c r="G205" t="n">
        <v>1.5</v>
      </c>
      <c r="H205" t="n">
        <v>0</v>
      </c>
      <c r="I205" t="n">
        <v>0</v>
      </c>
      <c r="J205" t="n">
        <v>0</v>
      </c>
      <c r="K205" t="n">
        <v>1</v>
      </c>
      <c r="L205" t="n">
        <v>0</v>
      </c>
      <c r="M205" t="n">
        <v>0</v>
      </c>
      <c r="N205" t="n">
        <v>0</v>
      </c>
      <c r="O205" t="n">
        <v>1</v>
      </c>
      <c r="P205" t="n">
        <v>1</v>
      </c>
      <c r="Q205" t="n">
        <v>1</v>
      </c>
      <c r="R205" s="2" t="inlineStr">
        <is>
          <t>Rynkskinn</t>
        </is>
      </c>
      <c r="S205">
        <f>HYPERLINK("https://klasma.github.io/Logging_2303/artfynd/A 58846-2024 artfynd.xlsx", "A 58846-2024")</f>
        <v/>
      </c>
      <c r="T205">
        <f>HYPERLINK("https://klasma.github.io/Logging_2303/kartor/A 58846-2024 karta.png", "A 58846-2024")</f>
        <v/>
      </c>
      <c r="V205">
        <f>HYPERLINK("https://klasma.github.io/Logging_2303/klagomål/A 58846-2024 FSC-klagomål.docx", "A 58846-2024")</f>
        <v/>
      </c>
      <c r="W205">
        <f>HYPERLINK("https://klasma.github.io/Logging_2303/klagomålsmail/A 58846-2024 FSC-klagomål mail.docx", "A 58846-2024")</f>
        <v/>
      </c>
      <c r="X205">
        <f>HYPERLINK("https://klasma.github.io/Logging_2303/tillsyn/A 58846-2024 tillsynsbegäran.docx", "A 58846-2024")</f>
        <v/>
      </c>
      <c r="Y205">
        <f>HYPERLINK("https://klasma.github.io/Logging_2303/tillsynsmail/A 58846-2024 tillsynsbegäran mail.docx", "A 58846-2024")</f>
        <v/>
      </c>
    </row>
    <row r="206" ht="15" customHeight="1">
      <c r="A206" t="inlineStr">
        <is>
          <t>A 26322-2024</t>
        </is>
      </c>
      <c r="B206" s="1" t="n">
        <v>45468.97461805555</v>
      </c>
      <c r="C206" s="1" t="n">
        <v>46087</v>
      </c>
      <c r="D206" t="inlineStr">
        <is>
          <t>JÄMTLANDS LÄN</t>
        </is>
      </c>
      <c r="E206" t="inlineStr">
        <is>
          <t>RAGUNDA</t>
        </is>
      </c>
      <c r="F206" t="inlineStr">
        <is>
          <t>SCA</t>
        </is>
      </c>
      <c r="G206" t="n">
        <v>9.6</v>
      </c>
      <c r="H206" t="n">
        <v>0</v>
      </c>
      <c r="I206" t="n">
        <v>0</v>
      </c>
      <c r="J206" t="n">
        <v>1</v>
      </c>
      <c r="K206" t="n">
        <v>0</v>
      </c>
      <c r="L206" t="n">
        <v>0</v>
      </c>
      <c r="M206" t="n">
        <v>0</v>
      </c>
      <c r="N206" t="n">
        <v>0</v>
      </c>
      <c r="O206" t="n">
        <v>1</v>
      </c>
      <c r="P206" t="n">
        <v>0</v>
      </c>
      <c r="Q206" t="n">
        <v>1</v>
      </c>
      <c r="R206" s="2" t="inlineStr">
        <is>
          <t>Rosenticka</t>
        </is>
      </c>
      <c r="S206">
        <f>HYPERLINK("https://klasma.github.io/Logging_2303/artfynd/A 26322-2024 artfynd.xlsx", "A 26322-2024")</f>
        <v/>
      </c>
      <c r="T206">
        <f>HYPERLINK("https://klasma.github.io/Logging_2303/kartor/A 26322-2024 karta.png", "A 26322-2024")</f>
        <v/>
      </c>
      <c r="U206">
        <f>HYPERLINK("https://klasma.github.io/Logging_2303/knärot/A 26322-2024 karta knärot.png", "A 26322-2024")</f>
        <v/>
      </c>
      <c r="V206">
        <f>HYPERLINK("https://klasma.github.io/Logging_2303/klagomål/A 26322-2024 FSC-klagomål.docx", "A 26322-2024")</f>
        <v/>
      </c>
      <c r="W206">
        <f>HYPERLINK("https://klasma.github.io/Logging_2303/klagomålsmail/A 26322-2024 FSC-klagomål mail.docx", "A 26322-2024")</f>
        <v/>
      </c>
      <c r="X206">
        <f>HYPERLINK("https://klasma.github.io/Logging_2303/tillsyn/A 26322-2024 tillsynsbegäran.docx", "A 26322-2024")</f>
        <v/>
      </c>
      <c r="Y206">
        <f>HYPERLINK("https://klasma.github.io/Logging_2303/tillsynsmail/A 26322-2024 tillsynsbegäran mail.docx", "A 26322-2024")</f>
        <v/>
      </c>
    </row>
    <row r="207" ht="15" customHeight="1">
      <c r="A207" t="inlineStr">
        <is>
          <t>A 16316-2025</t>
        </is>
      </c>
      <c r="B207" s="1" t="n">
        <v>45751.34795138889</v>
      </c>
      <c r="C207" s="1" t="n">
        <v>46087</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21212-2025</t>
        </is>
      </c>
      <c r="B208" s="1" t="n">
        <v>45779.48993055556</v>
      </c>
      <c r="C208" s="1" t="n">
        <v>46087</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Garnlav</t>
        </is>
      </c>
      <c r="S208">
        <f>HYPERLINK("https://klasma.github.io/Logging_2303/artfynd/A 21212-2025 artfynd.xlsx", "A 21212-2025")</f>
        <v/>
      </c>
      <c r="T208">
        <f>HYPERLINK("https://klasma.github.io/Logging_2303/kartor/A 21212-2025 karta.png", "A 21212-2025")</f>
        <v/>
      </c>
      <c r="V208">
        <f>HYPERLINK("https://klasma.github.io/Logging_2303/klagomål/A 21212-2025 FSC-klagomål.docx", "A 21212-2025")</f>
        <v/>
      </c>
      <c r="W208">
        <f>HYPERLINK("https://klasma.github.io/Logging_2303/klagomålsmail/A 21212-2025 FSC-klagomål mail.docx", "A 21212-2025")</f>
        <v/>
      </c>
      <c r="X208">
        <f>HYPERLINK("https://klasma.github.io/Logging_2303/tillsyn/A 21212-2025 tillsynsbegäran.docx", "A 21212-2025")</f>
        <v/>
      </c>
      <c r="Y208">
        <f>HYPERLINK("https://klasma.github.io/Logging_2303/tillsynsmail/A 21212-2025 tillsynsbegäran mail.docx", "A 21212-2025")</f>
        <v/>
      </c>
    </row>
    <row r="209" ht="15" customHeight="1">
      <c r="A209" t="inlineStr">
        <is>
          <t>A 1057-2024</t>
        </is>
      </c>
      <c r="B209" s="1" t="n">
        <v>45301</v>
      </c>
      <c r="C209" s="1" t="n">
        <v>46087</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978-2024</t>
        </is>
      </c>
      <c r="B210" s="1" t="n">
        <v>45301</v>
      </c>
      <c r="C210" s="1" t="n">
        <v>46087</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49053-2025</t>
        </is>
      </c>
      <c r="B211" s="1" t="n">
        <v>45937.64009259259</v>
      </c>
      <c r="C211" s="1" t="n">
        <v>46087</v>
      </c>
      <c r="D211" t="inlineStr">
        <is>
          <t>JÄMTLANDS LÄN</t>
        </is>
      </c>
      <c r="E211" t="inlineStr">
        <is>
          <t>RAGUNDA</t>
        </is>
      </c>
      <c r="F211" t="inlineStr">
        <is>
          <t>SCA</t>
        </is>
      </c>
      <c r="G211" t="n">
        <v>7</v>
      </c>
      <c r="H211" t="n">
        <v>1</v>
      </c>
      <c r="I211" t="n">
        <v>1</v>
      </c>
      <c r="J211" t="n">
        <v>0</v>
      </c>
      <c r="K211" t="n">
        <v>0</v>
      </c>
      <c r="L211" t="n">
        <v>0</v>
      </c>
      <c r="M211" t="n">
        <v>0</v>
      </c>
      <c r="N211" t="n">
        <v>0</v>
      </c>
      <c r="O211" t="n">
        <v>0</v>
      </c>
      <c r="P211" t="n">
        <v>0</v>
      </c>
      <c r="Q211" t="n">
        <v>1</v>
      </c>
      <c r="R211" s="2" t="inlineStr">
        <is>
          <t>Guckusko</t>
        </is>
      </c>
      <c r="S211">
        <f>HYPERLINK("https://klasma.github.io/Logging_2303/artfynd/A 49053-2025 artfynd.xlsx", "A 49053-2025")</f>
        <v/>
      </c>
      <c r="T211">
        <f>HYPERLINK("https://klasma.github.io/Logging_2303/kartor/A 49053-2025 karta.png", "A 49053-2025")</f>
        <v/>
      </c>
      <c r="V211">
        <f>HYPERLINK("https://klasma.github.io/Logging_2303/klagomål/A 49053-2025 FSC-klagomål.docx", "A 49053-2025")</f>
        <v/>
      </c>
      <c r="W211">
        <f>HYPERLINK("https://klasma.github.io/Logging_2303/klagomålsmail/A 49053-2025 FSC-klagomål mail.docx", "A 49053-2025")</f>
        <v/>
      </c>
      <c r="X211">
        <f>HYPERLINK("https://klasma.github.io/Logging_2303/tillsyn/A 49053-2025 tillsynsbegäran.docx", "A 49053-2025")</f>
        <v/>
      </c>
      <c r="Y211">
        <f>HYPERLINK("https://klasma.github.io/Logging_2303/tillsynsmail/A 49053-2025 tillsynsbegäran mail.docx", "A 49053-2025")</f>
        <v/>
      </c>
    </row>
    <row r="212" ht="15" customHeight="1">
      <c r="A212" t="inlineStr">
        <is>
          <t>A 59104-2023</t>
        </is>
      </c>
      <c r="B212" s="1" t="n">
        <v>45252</v>
      </c>
      <c r="C212" s="1" t="n">
        <v>46087</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44066-2024</t>
        </is>
      </c>
      <c r="B213" s="1" t="n">
        <v>45572.60363425926</v>
      </c>
      <c r="C213" s="1" t="n">
        <v>46087</v>
      </c>
      <c r="D213" t="inlineStr">
        <is>
          <t>JÄMTLANDS LÄN</t>
        </is>
      </c>
      <c r="E213" t="inlineStr">
        <is>
          <t>RAGUNDA</t>
        </is>
      </c>
      <c r="G213" t="n">
        <v>6.4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44066-2024 artfynd.xlsx", "A 44066-2024")</f>
        <v/>
      </c>
      <c r="T213">
        <f>HYPERLINK("https://klasma.github.io/Logging_2303/kartor/A 44066-2024 karta.png", "A 44066-2024")</f>
        <v/>
      </c>
      <c r="V213">
        <f>HYPERLINK("https://klasma.github.io/Logging_2303/klagomål/A 44066-2024 FSC-klagomål.docx", "A 44066-2024")</f>
        <v/>
      </c>
      <c r="W213">
        <f>HYPERLINK("https://klasma.github.io/Logging_2303/klagomålsmail/A 44066-2024 FSC-klagomål mail.docx", "A 44066-2024")</f>
        <v/>
      </c>
      <c r="X213">
        <f>HYPERLINK("https://klasma.github.io/Logging_2303/tillsyn/A 44066-2024 tillsynsbegäran.docx", "A 44066-2024")</f>
        <v/>
      </c>
      <c r="Y213">
        <f>HYPERLINK("https://klasma.github.io/Logging_2303/tillsynsmail/A 44066-2024 tillsynsbegäran mail.docx", "A 44066-2024")</f>
        <v/>
      </c>
      <c r="Z213">
        <f>HYPERLINK("https://klasma.github.io/Logging_2303/fåglar/A 44066-2024 prioriterade fågelarter.docx", "A 44066-2024")</f>
        <v/>
      </c>
    </row>
    <row r="214" ht="15" customHeight="1">
      <c r="A214" t="inlineStr">
        <is>
          <t>A 51912-2025</t>
        </is>
      </c>
      <c r="B214" s="1" t="n">
        <v>45952.46939814815</v>
      </c>
      <c r="C214" s="1" t="n">
        <v>46087</v>
      </c>
      <c r="D214" t="inlineStr">
        <is>
          <t>JÄMTLANDS LÄN</t>
        </is>
      </c>
      <c r="E214" t="inlineStr">
        <is>
          <t>RAGUNDA</t>
        </is>
      </c>
      <c r="F214" t="inlineStr">
        <is>
          <t>SCA</t>
        </is>
      </c>
      <c r="G214" t="n">
        <v>24.2</v>
      </c>
      <c r="H214" t="n">
        <v>1</v>
      </c>
      <c r="I214" t="n">
        <v>0</v>
      </c>
      <c r="J214" t="n">
        <v>0</v>
      </c>
      <c r="K214" t="n">
        <v>1</v>
      </c>
      <c r="L214" t="n">
        <v>0</v>
      </c>
      <c r="M214" t="n">
        <v>0</v>
      </c>
      <c r="N214" t="n">
        <v>0</v>
      </c>
      <c r="O214" t="n">
        <v>1</v>
      </c>
      <c r="P214" t="n">
        <v>1</v>
      </c>
      <c r="Q214" t="n">
        <v>1</v>
      </c>
      <c r="R214" s="2" t="inlineStr">
        <is>
          <t>Norna</t>
        </is>
      </c>
      <c r="S214">
        <f>HYPERLINK("https://klasma.github.io/Logging_2303/artfynd/A 51912-2025 artfynd.xlsx", "A 51912-2025")</f>
        <v/>
      </c>
      <c r="T214">
        <f>HYPERLINK("https://klasma.github.io/Logging_2303/kartor/A 51912-2025 karta.png", "A 51912-2025")</f>
        <v/>
      </c>
      <c r="V214">
        <f>HYPERLINK("https://klasma.github.io/Logging_2303/klagomål/A 51912-2025 FSC-klagomål.docx", "A 51912-2025")</f>
        <v/>
      </c>
      <c r="W214">
        <f>HYPERLINK("https://klasma.github.io/Logging_2303/klagomålsmail/A 51912-2025 FSC-klagomål mail.docx", "A 51912-2025")</f>
        <v/>
      </c>
      <c r="X214">
        <f>HYPERLINK("https://klasma.github.io/Logging_2303/tillsyn/A 51912-2025 tillsynsbegäran.docx", "A 51912-2025")</f>
        <v/>
      </c>
      <c r="Y214">
        <f>HYPERLINK("https://klasma.github.io/Logging_2303/tillsynsmail/A 51912-2025 tillsynsbegäran mail.docx", "A 51912-2025")</f>
        <v/>
      </c>
    </row>
    <row r="215" ht="15" customHeight="1">
      <c r="A215" t="inlineStr">
        <is>
          <t>A 40841-2025</t>
        </is>
      </c>
      <c r="B215" s="1" t="n">
        <v>45897.531875</v>
      </c>
      <c r="C215" s="1" t="n">
        <v>46087</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23930-2024</t>
        </is>
      </c>
      <c r="B216" s="1" t="n">
        <v>45455.96184027778</v>
      </c>
      <c r="C216" s="1" t="n">
        <v>46087</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6703-2024</t>
        </is>
      </c>
      <c r="B217" s="1" t="n">
        <v>45341</v>
      </c>
      <c r="C217" s="1" t="n">
        <v>46087</v>
      </c>
      <c r="D217" t="inlineStr">
        <is>
          <t>JÄMTLANDS LÄN</t>
        </is>
      </c>
      <c r="E217" t="inlineStr">
        <is>
          <t>RAGUNDA</t>
        </is>
      </c>
      <c r="F217" t="inlineStr">
        <is>
          <t>SCA</t>
        </is>
      </c>
      <c r="G217" t="n">
        <v>2.4</v>
      </c>
      <c r="H217" t="n">
        <v>0</v>
      </c>
      <c r="I217" t="n">
        <v>0</v>
      </c>
      <c r="J217" t="n">
        <v>1</v>
      </c>
      <c r="K217" t="n">
        <v>0</v>
      </c>
      <c r="L217" t="n">
        <v>0</v>
      </c>
      <c r="M217" t="n">
        <v>0</v>
      </c>
      <c r="N217" t="n">
        <v>0</v>
      </c>
      <c r="O217" t="n">
        <v>1</v>
      </c>
      <c r="P217" t="n">
        <v>0</v>
      </c>
      <c r="Q217" t="n">
        <v>1</v>
      </c>
      <c r="R217" s="2" t="inlineStr">
        <is>
          <t>Vitgrynig nållav</t>
        </is>
      </c>
      <c r="S217">
        <f>HYPERLINK("https://klasma.github.io/Logging_2303/artfynd/A 6703-2024 artfynd.xlsx", "A 6703-2024")</f>
        <v/>
      </c>
      <c r="T217">
        <f>HYPERLINK("https://klasma.github.io/Logging_2303/kartor/A 6703-2024 karta.png", "A 6703-2024")</f>
        <v/>
      </c>
      <c r="V217">
        <f>HYPERLINK("https://klasma.github.io/Logging_2303/klagomål/A 6703-2024 FSC-klagomål.docx", "A 6703-2024")</f>
        <v/>
      </c>
      <c r="W217">
        <f>HYPERLINK("https://klasma.github.io/Logging_2303/klagomålsmail/A 6703-2024 FSC-klagomål mail.docx", "A 6703-2024")</f>
        <v/>
      </c>
      <c r="X217">
        <f>HYPERLINK("https://klasma.github.io/Logging_2303/tillsyn/A 6703-2024 tillsynsbegäran.docx", "A 6703-2024")</f>
        <v/>
      </c>
      <c r="Y217">
        <f>HYPERLINK("https://klasma.github.io/Logging_2303/tillsynsmail/A 6703-2024 tillsynsbegäran mail.docx", "A 6703-2024")</f>
        <v/>
      </c>
    </row>
    <row r="218" ht="15" customHeight="1">
      <c r="A218" t="inlineStr">
        <is>
          <t>A 24443-2024</t>
        </is>
      </c>
      <c r="B218" s="1" t="n">
        <v>45457.9640625</v>
      </c>
      <c r="C218" s="1" t="n">
        <v>46087</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55756-2025</t>
        </is>
      </c>
      <c r="B219" s="1" t="n">
        <v>45972.59438657408</v>
      </c>
      <c r="C219" s="1" t="n">
        <v>46087</v>
      </c>
      <c r="D219" t="inlineStr">
        <is>
          <t>JÄMTLANDS LÄN</t>
        </is>
      </c>
      <c r="E219" t="inlineStr">
        <is>
          <t>RAGUNDA</t>
        </is>
      </c>
      <c r="G219" t="n">
        <v>1.6</v>
      </c>
      <c r="H219" t="n">
        <v>0</v>
      </c>
      <c r="I219" t="n">
        <v>0</v>
      </c>
      <c r="J219" t="n">
        <v>1</v>
      </c>
      <c r="K219" t="n">
        <v>0</v>
      </c>
      <c r="L219" t="n">
        <v>0</v>
      </c>
      <c r="M219" t="n">
        <v>0</v>
      </c>
      <c r="N219" t="n">
        <v>0</v>
      </c>
      <c r="O219" t="n">
        <v>1</v>
      </c>
      <c r="P219" t="n">
        <v>0</v>
      </c>
      <c r="Q219" t="n">
        <v>1</v>
      </c>
      <c r="R219" s="2" t="inlineStr">
        <is>
          <t>Garnlav</t>
        </is>
      </c>
      <c r="S219">
        <f>HYPERLINK("https://klasma.github.io/Logging_2303/artfynd/A 55756-2025 artfynd.xlsx", "A 55756-2025")</f>
        <v/>
      </c>
      <c r="T219">
        <f>HYPERLINK("https://klasma.github.io/Logging_2303/kartor/A 55756-2025 karta.png", "A 55756-2025")</f>
        <v/>
      </c>
      <c r="V219">
        <f>HYPERLINK("https://klasma.github.io/Logging_2303/klagomål/A 55756-2025 FSC-klagomål.docx", "A 55756-2025")</f>
        <v/>
      </c>
      <c r="W219">
        <f>HYPERLINK("https://klasma.github.io/Logging_2303/klagomålsmail/A 55756-2025 FSC-klagomål mail.docx", "A 55756-2025")</f>
        <v/>
      </c>
      <c r="X219">
        <f>HYPERLINK("https://klasma.github.io/Logging_2303/tillsyn/A 55756-2025 tillsynsbegäran.docx", "A 55756-2025")</f>
        <v/>
      </c>
      <c r="Y219">
        <f>HYPERLINK("https://klasma.github.io/Logging_2303/tillsynsmail/A 55756-2025 tillsynsbegäran mail.docx", "A 55756-2025")</f>
        <v/>
      </c>
    </row>
    <row r="220" ht="15" customHeight="1">
      <c r="A220" t="inlineStr">
        <is>
          <t>A 43526-2025</t>
        </is>
      </c>
      <c r="B220" s="1" t="n">
        <v>45911</v>
      </c>
      <c r="C220" s="1" t="n">
        <v>46087</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48429-2023</t>
        </is>
      </c>
      <c r="B221" s="1" t="n">
        <v>45205</v>
      </c>
      <c r="C221" s="1" t="n">
        <v>46087</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56599-2025</t>
        </is>
      </c>
      <c r="B222" s="1" t="n">
        <v>45975.5734837963</v>
      </c>
      <c r="C222" s="1" t="n">
        <v>46087</v>
      </c>
      <c r="D222" t="inlineStr">
        <is>
          <t>JÄMTLANDS LÄN</t>
        </is>
      </c>
      <c r="E222" t="inlineStr">
        <is>
          <t>RAGUNDA</t>
        </is>
      </c>
      <c r="F222" t="inlineStr">
        <is>
          <t>SCA</t>
        </is>
      </c>
      <c r="G222" t="n">
        <v>2.4</v>
      </c>
      <c r="H222" t="n">
        <v>0</v>
      </c>
      <c r="I222" t="n">
        <v>0</v>
      </c>
      <c r="J222" t="n">
        <v>1</v>
      </c>
      <c r="K222" t="n">
        <v>0</v>
      </c>
      <c r="L222" t="n">
        <v>0</v>
      </c>
      <c r="M222" t="n">
        <v>0</v>
      </c>
      <c r="N222" t="n">
        <v>0</v>
      </c>
      <c r="O222" t="n">
        <v>1</v>
      </c>
      <c r="P222" t="n">
        <v>0</v>
      </c>
      <c r="Q222" t="n">
        <v>1</v>
      </c>
      <c r="R222" s="2" t="inlineStr">
        <is>
          <t>Lunglav</t>
        </is>
      </c>
      <c r="S222">
        <f>HYPERLINK("https://klasma.github.io/Logging_2303/artfynd/A 56599-2025 artfynd.xlsx", "A 56599-2025")</f>
        <v/>
      </c>
      <c r="T222">
        <f>HYPERLINK("https://klasma.github.io/Logging_2303/kartor/A 56599-2025 karta.png", "A 56599-2025")</f>
        <v/>
      </c>
      <c r="V222">
        <f>HYPERLINK("https://klasma.github.io/Logging_2303/klagomål/A 56599-2025 FSC-klagomål.docx", "A 56599-2025")</f>
        <v/>
      </c>
      <c r="W222">
        <f>HYPERLINK("https://klasma.github.io/Logging_2303/klagomålsmail/A 56599-2025 FSC-klagomål mail.docx", "A 56599-2025")</f>
        <v/>
      </c>
      <c r="X222">
        <f>HYPERLINK("https://klasma.github.io/Logging_2303/tillsyn/A 56599-2025 tillsynsbegäran.docx", "A 56599-2025")</f>
        <v/>
      </c>
      <c r="Y222">
        <f>HYPERLINK("https://klasma.github.io/Logging_2303/tillsynsmail/A 56599-2025 tillsynsbegäran mail.docx", "A 56599-2025")</f>
        <v/>
      </c>
    </row>
    <row r="223" ht="15" customHeight="1">
      <c r="A223" t="inlineStr">
        <is>
          <t>A 57478-2025</t>
        </is>
      </c>
      <c r="B223" s="1" t="n">
        <v>45980.57349537037</v>
      </c>
      <c r="C223" s="1" t="n">
        <v>46087</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11040-2023</t>
        </is>
      </c>
      <c r="B224" s="1" t="n">
        <v>44991</v>
      </c>
      <c r="C224" s="1" t="n">
        <v>46087</v>
      </c>
      <c r="D224" t="inlineStr">
        <is>
          <t>JÄMTLANDS LÄN</t>
        </is>
      </c>
      <c r="E224" t="inlineStr">
        <is>
          <t>RAGUNDA</t>
        </is>
      </c>
      <c r="F224" t="inlineStr">
        <is>
          <t>SCA</t>
        </is>
      </c>
      <c r="G224" t="n">
        <v>10.2</v>
      </c>
      <c r="H224" t="n">
        <v>0</v>
      </c>
      <c r="I224" t="n">
        <v>0</v>
      </c>
      <c r="J224" t="n">
        <v>1</v>
      </c>
      <c r="K224" t="n">
        <v>0</v>
      </c>
      <c r="L224" t="n">
        <v>0</v>
      </c>
      <c r="M224" t="n">
        <v>0</v>
      </c>
      <c r="N224" t="n">
        <v>0</v>
      </c>
      <c r="O224" t="n">
        <v>1</v>
      </c>
      <c r="P224" t="n">
        <v>0</v>
      </c>
      <c r="Q224" t="n">
        <v>1</v>
      </c>
      <c r="R224" s="2" t="inlineStr">
        <is>
          <t>Lunglav</t>
        </is>
      </c>
      <c r="S224">
        <f>HYPERLINK("https://klasma.github.io/Logging_2303/artfynd/A 11040-2023 artfynd.xlsx", "A 11040-2023")</f>
        <v/>
      </c>
      <c r="T224">
        <f>HYPERLINK("https://klasma.github.io/Logging_2303/kartor/A 11040-2023 karta.png", "A 11040-2023")</f>
        <v/>
      </c>
      <c r="V224">
        <f>HYPERLINK("https://klasma.github.io/Logging_2303/klagomål/A 11040-2023 FSC-klagomål.docx", "A 11040-2023")</f>
        <v/>
      </c>
      <c r="W224">
        <f>HYPERLINK("https://klasma.github.io/Logging_2303/klagomålsmail/A 11040-2023 FSC-klagomål mail.docx", "A 11040-2023")</f>
        <v/>
      </c>
      <c r="X224">
        <f>HYPERLINK("https://klasma.github.io/Logging_2303/tillsyn/A 11040-2023 tillsynsbegäran.docx", "A 11040-2023")</f>
        <v/>
      </c>
      <c r="Y224">
        <f>HYPERLINK("https://klasma.github.io/Logging_2303/tillsynsmail/A 11040-2023 tillsynsbegäran mail.docx", "A 11040-2023")</f>
        <v/>
      </c>
    </row>
    <row r="225" ht="15" customHeight="1">
      <c r="A225" t="inlineStr">
        <is>
          <t>A 57253-2025</t>
        </is>
      </c>
      <c r="B225" s="1" t="n">
        <v>45979.64381944444</v>
      </c>
      <c r="C225" s="1" t="n">
        <v>46087</v>
      </c>
      <c r="D225" t="inlineStr">
        <is>
          <t>JÄMTLANDS LÄN</t>
        </is>
      </c>
      <c r="E225" t="inlineStr">
        <is>
          <t>RAGUNDA</t>
        </is>
      </c>
      <c r="G225" t="n">
        <v>1.2</v>
      </c>
      <c r="H225" t="n">
        <v>0</v>
      </c>
      <c r="I225" t="n">
        <v>1</v>
      </c>
      <c r="J225" t="n">
        <v>0</v>
      </c>
      <c r="K225" t="n">
        <v>0</v>
      </c>
      <c r="L225" t="n">
        <v>0</v>
      </c>
      <c r="M225" t="n">
        <v>0</v>
      </c>
      <c r="N225" t="n">
        <v>0</v>
      </c>
      <c r="O225" t="n">
        <v>0</v>
      </c>
      <c r="P225" t="n">
        <v>0</v>
      </c>
      <c r="Q225" t="n">
        <v>1</v>
      </c>
      <c r="R225" s="2" t="inlineStr">
        <is>
          <t>Skinnlav</t>
        </is>
      </c>
      <c r="S225">
        <f>HYPERLINK("https://klasma.github.io/Logging_2303/artfynd/A 57253-2025 artfynd.xlsx", "A 57253-2025")</f>
        <v/>
      </c>
      <c r="T225">
        <f>HYPERLINK("https://klasma.github.io/Logging_2303/kartor/A 57253-2025 karta.png", "A 57253-2025")</f>
        <v/>
      </c>
      <c r="V225">
        <f>HYPERLINK("https://klasma.github.io/Logging_2303/klagomål/A 57253-2025 FSC-klagomål.docx", "A 57253-2025")</f>
        <v/>
      </c>
      <c r="W225">
        <f>HYPERLINK("https://klasma.github.io/Logging_2303/klagomålsmail/A 57253-2025 FSC-klagomål mail.docx", "A 57253-2025")</f>
        <v/>
      </c>
      <c r="X225">
        <f>HYPERLINK("https://klasma.github.io/Logging_2303/tillsyn/A 57253-2025 tillsynsbegäran.docx", "A 57253-2025")</f>
        <v/>
      </c>
      <c r="Y225">
        <f>HYPERLINK("https://klasma.github.io/Logging_2303/tillsynsmail/A 57253-2025 tillsynsbegäran mail.docx", "A 57253-2025")</f>
        <v/>
      </c>
    </row>
    <row r="226" ht="15" customHeight="1">
      <c r="A226" t="inlineStr">
        <is>
          <t>A 57479-2025</t>
        </is>
      </c>
      <c r="B226" s="1" t="n">
        <v>45980.5737037037</v>
      </c>
      <c r="C226" s="1" t="n">
        <v>46087</v>
      </c>
      <c r="D226" t="inlineStr">
        <is>
          <t>JÄMTLANDS LÄN</t>
        </is>
      </c>
      <c r="E226" t="inlineStr">
        <is>
          <t>RAGUNDA</t>
        </is>
      </c>
      <c r="F226" t="inlineStr">
        <is>
          <t>SCA</t>
        </is>
      </c>
      <c r="G226" t="n">
        <v>12</v>
      </c>
      <c r="H226" t="n">
        <v>0</v>
      </c>
      <c r="I226" t="n">
        <v>0</v>
      </c>
      <c r="J226" t="n">
        <v>1</v>
      </c>
      <c r="K226" t="n">
        <v>0</v>
      </c>
      <c r="L226" t="n">
        <v>0</v>
      </c>
      <c r="M226" t="n">
        <v>0</v>
      </c>
      <c r="N226" t="n">
        <v>0</v>
      </c>
      <c r="O226" t="n">
        <v>1</v>
      </c>
      <c r="P226" t="n">
        <v>0</v>
      </c>
      <c r="Q226" t="n">
        <v>1</v>
      </c>
      <c r="R226" s="2" t="inlineStr">
        <is>
          <t>Kolflarnlav</t>
        </is>
      </c>
      <c r="S226">
        <f>HYPERLINK("https://klasma.github.io/Logging_2303/artfynd/A 57479-2025 artfynd.xlsx", "A 57479-2025")</f>
        <v/>
      </c>
      <c r="T226">
        <f>HYPERLINK("https://klasma.github.io/Logging_2303/kartor/A 57479-2025 karta.png", "A 57479-2025")</f>
        <v/>
      </c>
      <c r="V226">
        <f>HYPERLINK("https://klasma.github.io/Logging_2303/klagomål/A 57479-2025 FSC-klagomål.docx", "A 57479-2025")</f>
        <v/>
      </c>
      <c r="W226">
        <f>HYPERLINK("https://klasma.github.io/Logging_2303/klagomålsmail/A 57479-2025 FSC-klagomål mail.docx", "A 57479-2025")</f>
        <v/>
      </c>
      <c r="X226">
        <f>HYPERLINK("https://klasma.github.io/Logging_2303/tillsyn/A 57479-2025 tillsynsbegäran.docx", "A 57479-2025")</f>
        <v/>
      </c>
      <c r="Y226">
        <f>HYPERLINK("https://klasma.github.io/Logging_2303/tillsynsmail/A 57479-2025 tillsynsbegäran mail.docx", "A 57479-2025")</f>
        <v/>
      </c>
    </row>
    <row r="227" ht="15" customHeight="1">
      <c r="A227" t="inlineStr">
        <is>
          <t>A 58990-2025</t>
        </is>
      </c>
      <c r="B227" s="1" t="n">
        <v>45987</v>
      </c>
      <c r="C227" s="1" t="n">
        <v>46087</v>
      </c>
      <c r="D227" t="inlineStr">
        <is>
          <t>JÄMTLANDS LÄN</t>
        </is>
      </c>
      <c r="E227" t="inlineStr">
        <is>
          <t>RAGUNDA</t>
        </is>
      </c>
      <c r="F227" t="inlineStr">
        <is>
          <t>SCA</t>
        </is>
      </c>
      <c r="G227" t="n">
        <v>4.6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58990-2025 artfynd.xlsx", "A 58990-2025")</f>
        <v/>
      </c>
      <c r="T227">
        <f>HYPERLINK("https://klasma.github.io/Logging_2303/kartor/A 58990-2025 karta.png", "A 58990-2025")</f>
        <v/>
      </c>
      <c r="V227">
        <f>HYPERLINK("https://klasma.github.io/Logging_2303/klagomål/A 58990-2025 FSC-klagomål.docx", "A 58990-2025")</f>
        <v/>
      </c>
      <c r="W227">
        <f>HYPERLINK("https://klasma.github.io/Logging_2303/klagomålsmail/A 58990-2025 FSC-klagomål mail.docx", "A 58990-2025")</f>
        <v/>
      </c>
      <c r="X227">
        <f>HYPERLINK("https://klasma.github.io/Logging_2303/tillsyn/A 58990-2025 tillsynsbegäran.docx", "A 58990-2025")</f>
        <v/>
      </c>
      <c r="Y227">
        <f>HYPERLINK("https://klasma.github.io/Logging_2303/tillsynsmail/A 58990-2025 tillsynsbegäran mail.docx", "A 58990-2025")</f>
        <v/>
      </c>
      <c r="Z227">
        <f>HYPERLINK("https://klasma.github.io/Logging_2303/fåglar/A 58990-2025 prioriterade fågelarter.docx", "A 58990-2025")</f>
        <v/>
      </c>
    </row>
    <row r="228" ht="15" customHeight="1">
      <c r="A228" t="inlineStr">
        <is>
          <t>A 49091-2022</t>
        </is>
      </c>
      <c r="B228" s="1" t="n">
        <v>44860</v>
      </c>
      <c r="C228" s="1" t="n">
        <v>46087</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30485-2024</t>
        </is>
      </c>
      <c r="B229" s="1" t="n">
        <v>45491.95008101852</v>
      </c>
      <c r="C229" s="1" t="n">
        <v>46087</v>
      </c>
      <c r="D229" t="inlineStr">
        <is>
          <t>JÄMTLANDS LÄN</t>
        </is>
      </c>
      <c r="E229" t="inlineStr">
        <is>
          <t>RAGUNDA</t>
        </is>
      </c>
      <c r="F229" t="inlineStr">
        <is>
          <t>SCA</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HYPERLINK("https://klasma.github.io/Logging_2303/artfynd/A 30485-2024 artfynd.xlsx", "A 30485-2024")</f>
        <v/>
      </c>
      <c r="T229">
        <f>HYPERLINK("https://klasma.github.io/Logging_2303/kartor/A 30485-2024 karta.png", "A 30485-2024")</f>
        <v/>
      </c>
      <c r="V229">
        <f>HYPERLINK("https://klasma.github.io/Logging_2303/klagomål/A 30485-2024 FSC-klagomål.docx", "A 30485-2024")</f>
        <v/>
      </c>
      <c r="W229">
        <f>HYPERLINK("https://klasma.github.io/Logging_2303/klagomålsmail/A 30485-2024 FSC-klagomål mail.docx", "A 30485-2024")</f>
        <v/>
      </c>
      <c r="X229">
        <f>HYPERLINK("https://klasma.github.io/Logging_2303/tillsyn/A 30485-2024 tillsynsbegäran.docx", "A 30485-2024")</f>
        <v/>
      </c>
      <c r="Y229">
        <f>HYPERLINK("https://klasma.github.io/Logging_2303/tillsynsmail/A 30485-2024 tillsynsbegäran mail.docx", "A 30485-2024")</f>
        <v/>
      </c>
    </row>
    <row r="230" ht="15" customHeight="1">
      <c r="A230" t="inlineStr">
        <is>
          <t>A 29921-2024</t>
        </is>
      </c>
      <c r="B230" s="1" t="n">
        <v>45487.92863425926</v>
      </c>
      <c r="C230" s="1" t="n">
        <v>46087</v>
      </c>
      <c r="D230" t="inlineStr">
        <is>
          <t>JÄMTLANDS LÄN</t>
        </is>
      </c>
      <c r="E230" t="inlineStr">
        <is>
          <t>RAGUNDA</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HYPERLINK("https://klasma.github.io/Logging_2303/artfynd/A 29921-2024 artfynd.xlsx", "A 29921-2024")</f>
        <v/>
      </c>
      <c r="T230">
        <f>HYPERLINK("https://klasma.github.io/Logging_2303/kartor/A 29921-2024 karta.png", "A 29921-2024")</f>
        <v/>
      </c>
      <c r="U230">
        <f>HYPERLINK("https://klasma.github.io/Logging_2303/knärot/A 29921-2024 karta knärot.png", "A 29921-2024")</f>
        <v/>
      </c>
      <c r="V230">
        <f>HYPERLINK("https://klasma.github.io/Logging_2303/klagomål/A 29921-2024 FSC-klagomål.docx", "A 29921-2024")</f>
        <v/>
      </c>
      <c r="W230">
        <f>HYPERLINK("https://klasma.github.io/Logging_2303/klagomålsmail/A 29921-2024 FSC-klagomål mail.docx", "A 29921-2024")</f>
        <v/>
      </c>
      <c r="X230">
        <f>HYPERLINK("https://klasma.github.io/Logging_2303/tillsyn/A 29921-2024 tillsynsbegäran.docx", "A 29921-2024")</f>
        <v/>
      </c>
      <c r="Y230">
        <f>HYPERLINK("https://klasma.github.io/Logging_2303/tillsynsmail/A 29921-2024 tillsynsbegäran mail.docx", "A 29921-2024")</f>
        <v/>
      </c>
    </row>
    <row r="231" ht="15" customHeight="1">
      <c r="A231" t="inlineStr">
        <is>
          <t>A 27573-2025</t>
        </is>
      </c>
      <c r="B231" s="1" t="n">
        <v>45813.49061342593</v>
      </c>
      <c r="C231" s="1" t="n">
        <v>46087</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36854-2023</t>
        </is>
      </c>
      <c r="B232" s="1" t="n">
        <v>45153</v>
      </c>
      <c r="C232" s="1" t="n">
        <v>46087</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46087</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46087</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32069-2024</t>
        </is>
      </c>
      <c r="B235" s="1" t="n">
        <v>45510</v>
      </c>
      <c r="C235" s="1" t="n">
        <v>46087</v>
      </c>
      <c r="D235" t="inlineStr">
        <is>
          <t>JÄMTLANDS LÄN</t>
        </is>
      </c>
      <c r="E235" t="inlineStr">
        <is>
          <t>RAGUNDA</t>
        </is>
      </c>
      <c r="F235" t="inlineStr">
        <is>
          <t>SCA</t>
        </is>
      </c>
      <c r="G235" t="n">
        <v>1.8</v>
      </c>
      <c r="H235" t="n">
        <v>0</v>
      </c>
      <c r="I235" t="n">
        <v>0</v>
      </c>
      <c r="J235" t="n">
        <v>1</v>
      </c>
      <c r="K235" t="n">
        <v>0</v>
      </c>
      <c r="L235" t="n">
        <v>0</v>
      </c>
      <c r="M235" t="n">
        <v>0</v>
      </c>
      <c r="N235" t="n">
        <v>0</v>
      </c>
      <c r="O235" t="n">
        <v>1</v>
      </c>
      <c r="P235" t="n">
        <v>0</v>
      </c>
      <c r="Q235" t="n">
        <v>1</v>
      </c>
      <c r="R235" s="2" t="inlineStr">
        <is>
          <t>Lunglav</t>
        </is>
      </c>
      <c r="S235">
        <f>HYPERLINK("https://klasma.github.io/Logging_2303/artfynd/A 32069-2024 artfynd.xlsx", "A 32069-2024")</f>
        <v/>
      </c>
      <c r="T235">
        <f>HYPERLINK("https://klasma.github.io/Logging_2303/kartor/A 32069-2024 karta.png", "A 32069-2024")</f>
        <v/>
      </c>
      <c r="V235">
        <f>HYPERLINK("https://klasma.github.io/Logging_2303/klagomål/A 32069-2024 FSC-klagomål.docx", "A 32069-2024")</f>
        <v/>
      </c>
      <c r="W235">
        <f>HYPERLINK("https://klasma.github.io/Logging_2303/klagomålsmail/A 32069-2024 FSC-klagomål mail.docx", "A 32069-2024")</f>
        <v/>
      </c>
      <c r="X235">
        <f>HYPERLINK("https://klasma.github.io/Logging_2303/tillsyn/A 32069-2024 tillsynsbegäran.docx", "A 32069-2024")</f>
        <v/>
      </c>
      <c r="Y235">
        <f>HYPERLINK("https://klasma.github.io/Logging_2303/tillsynsmail/A 32069-2024 tillsynsbegäran mail.docx", "A 32069-2024")</f>
        <v/>
      </c>
    </row>
    <row r="236" ht="15" customHeight="1">
      <c r="A236" t="inlineStr">
        <is>
          <t>A 10358-2026</t>
        </is>
      </c>
      <c r="B236" s="1" t="n">
        <v>46076</v>
      </c>
      <c r="C236" s="1" t="n">
        <v>46087</v>
      </c>
      <c r="D236" t="inlineStr">
        <is>
          <t>JÄMTLANDS LÄN</t>
        </is>
      </c>
      <c r="E236" t="inlineStr">
        <is>
          <t>RAGUNDA</t>
        </is>
      </c>
      <c r="G236" t="n">
        <v>5.4</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10358-2026 artfynd.xlsx", "A 10358-2026")</f>
        <v/>
      </c>
      <c r="T236">
        <f>HYPERLINK("https://klasma.github.io/Logging_2303/kartor/A 10358-2026 karta.png", "A 10358-2026")</f>
        <v/>
      </c>
      <c r="V236">
        <f>HYPERLINK("https://klasma.github.io/Logging_2303/klagomål/A 10358-2026 FSC-klagomål.docx", "A 10358-2026")</f>
        <v/>
      </c>
      <c r="W236">
        <f>HYPERLINK("https://klasma.github.io/Logging_2303/klagomålsmail/A 10358-2026 FSC-klagomål mail.docx", "A 10358-2026")</f>
        <v/>
      </c>
      <c r="X236">
        <f>HYPERLINK("https://klasma.github.io/Logging_2303/tillsyn/A 10358-2026 tillsynsbegäran.docx", "A 10358-2026")</f>
        <v/>
      </c>
      <c r="Y236">
        <f>HYPERLINK("https://klasma.github.io/Logging_2303/tillsynsmail/A 10358-2026 tillsynsbegäran mail.docx", "A 10358-2026")</f>
        <v/>
      </c>
      <c r="Z236">
        <f>HYPERLINK("https://klasma.github.io/Logging_2303/fåglar/A 10358-2026 prioriterade fågelarter.docx", "A 10358-2026")</f>
        <v/>
      </c>
    </row>
    <row r="237" ht="15" customHeight="1">
      <c r="A237" t="inlineStr">
        <is>
          <t>A 30390-2025</t>
        </is>
      </c>
      <c r="B237" s="1" t="n">
        <v>45827.57371527778</v>
      </c>
      <c r="C237" s="1" t="n">
        <v>46087</v>
      </c>
      <c r="D237" t="inlineStr">
        <is>
          <t>JÄMTLANDS LÄN</t>
        </is>
      </c>
      <c r="E237" t="inlineStr">
        <is>
          <t>RAGUNDA</t>
        </is>
      </c>
      <c r="F237" t="inlineStr">
        <is>
          <t>SCA</t>
        </is>
      </c>
      <c r="G237" t="n">
        <v>11.2</v>
      </c>
      <c r="H237" t="n">
        <v>0</v>
      </c>
      <c r="I237" t="n">
        <v>0</v>
      </c>
      <c r="J237" t="n">
        <v>1</v>
      </c>
      <c r="K237" t="n">
        <v>0</v>
      </c>
      <c r="L237" t="n">
        <v>0</v>
      </c>
      <c r="M237" t="n">
        <v>0</v>
      </c>
      <c r="N237" t="n">
        <v>0</v>
      </c>
      <c r="O237" t="n">
        <v>1</v>
      </c>
      <c r="P237" t="n">
        <v>0</v>
      </c>
      <c r="Q237" t="n">
        <v>1</v>
      </c>
      <c r="R237" s="2" t="inlineStr">
        <is>
          <t>Lunglav</t>
        </is>
      </c>
      <c r="S237">
        <f>HYPERLINK("https://klasma.github.io/Logging_2303/artfynd/A 30390-2025 artfynd.xlsx", "A 30390-2025")</f>
        <v/>
      </c>
      <c r="T237">
        <f>HYPERLINK("https://klasma.github.io/Logging_2303/kartor/A 30390-2025 karta.png", "A 30390-2025")</f>
        <v/>
      </c>
      <c r="U237">
        <f>HYPERLINK("https://klasma.github.io/Logging_2303/knärot/A 30390-2025 karta knärot.png", "A 30390-2025")</f>
        <v/>
      </c>
      <c r="V237">
        <f>HYPERLINK("https://klasma.github.io/Logging_2303/klagomål/A 30390-2025 FSC-klagomål.docx", "A 30390-2025")</f>
        <v/>
      </c>
      <c r="W237">
        <f>HYPERLINK("https://klasma.github.io/Logging_2303/klagomålsmail/A 30390-2025 FSC-klagomål mail.docx", "A 30390-2025")</f>
        <v/>
      </c>
      <c r="X237">
        <f>HYPERLINK("https://klasma.github.io/Logging_2303/tillsyn/A 30390-2025 tillsynsbegäran.docx", "A 30390-2025")</f>
        <v/>
      </c>
      <c r="Y237">
        <f>HYPERLINK("https://klasma.github.io/Logging_2303/tillsynsmail/A 30390-2025 tillsynsbegäran mail.docx", "A 30390-2025")</f>
        <v/>
      </c>
    </row>
    <row r="238" ht="15" customHeight="1">
      <c r="A238" t="inlineStr">
        <is>
          <t>A 2097-2026</t>
        </is>
      </c>
      <c r="B238" s="1" t="n">
        <v>46036.36556712963</v>
      </c>
      <c r="C238" s="1" t="n">
        <v>46087</v>
      </c>
      <c r="D238" t="inlineStr">
        <is>
          <t>JÄMTLANDS LÄN</t>
        </is>
      </c>
      <c r="E238" t="inlineStr">
        <is>
          <t>RAGUNDA</t>
        </is>
      </c>
      <c r="F238" t="inlineStr">
        <is>
          <t>SCA</t>
        </is>
      </c>
      <c r="G238" t="n">
        <v>0.9</v>
      </c>
      <c r="H238" t="n">
        <v>0</v>
      </c>
      <c r="I238" t="n">
        <v>0</v>
      </c>
      <c r="J238" t="n">
        <v>0</v>
      </c>
      <c r="K238" t="n">
        <v>0</v>
      </c>
      <c r="L238" t="n">
        <v>1</v>
      </c>
      <c r="M238" t="n">
        <v>0</v>
      </c>
      <c r="N238" t="n">
        <v>0</v>
      </c>
      <c r="O238" t="n">
        <v>1</v>
      </c>
      <c r="P238" t="n">
        <v>1</v>
      </c>
      <c r="Q238" t="n">
        <v>1</v>
      </c>
      <c r="R238" s="2" t="inlineStr">
        <is>
          <t>Trolldruvemätare</t>
        </is>
      </c>
      <c r="S238">
        <f>HYPERLINK("https://klasma.github.io/Logging_2303/artfynd/A 2097-2026 artfynd.xlsx", "A 2097-2026")</f>
        <v/>
      </c>
      <c r="T238">
        <f>HYPERLINK("https://klasma.github.io/Logging_2303/kartor/A 2097-2026 karta.png", "A 2097-2026")</f>
        <v/>
      </c>
      <c r="V238">
        <f>HYPERLINK("https://klasma.github.io/Logging_2303/klagomål/A 2097-2026 FSC-klagomål.docx", "A 2097-2026")</f>
        <v/>
      </c>
      <c r="W238">
        <f>HYPERLINK("https://klasma.github.io/Logging_2303/klagomålsmail/A 2097-2026 FSC-klagomål mail.docx", "A 2097-2026")</f>
        <v/>
      </c>
      <c r="X238">
        <f>HYPERLINK("https://klasma.github.io/Logging_2303/tillsyn/A 2097-2026 tillsynsbegäran.docx", "A 2097-2026")</f>
        <v/>
      </c>
      <c r="Y238">
        <f>HYPERLINK("https://klasma.github.io/Logging_2303/tillsynsmail/A 2097-2026 tillsynsbegäran mail.docx", "A 2097-2026")</f>
        <v/>
      </c>
    </row>
    <row r="239" ht="15" customHeight="1">
      <c r="A239" t="inlineStr">
        <is>
          <t>A 50164-2023</t>
        </is>
      </c>
      <c r="B239" s="1" t="n">
        <v>45208</v>
      </c>
      <c r="C239" s="1" t="n">
        <v>46087</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2929-2024</t>
        </is>
      </c>
      <c r="B240" s="1" t="n">
        <v>45315</v>
      </c>
      <c r="C240" s="1" t="n">
        <v>46087</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50233-2024</t>
        </is>
      </c>
      <c r="B241" s="1" t="n">
        <v>45600.55265046296</v>
      </c>
      <c r="C241" s="1" t="n">
        <v>46087</v>
      </c>
      <c r="D241" t="inlineStr">
        <is>
          <t>JÄMTLANDS LÄN</t>
        </is>
      </c>
      <c r="E241" t="inlineStr">
        <is>
          <t>RAGUNDA</t>
        </is>
      </c>
      <c r="F241" t="inlineStr">
        <is>
          <t>SCA</t>
        </is>
      </c>
      <c r="G241" t="n">
        <v>5.6</v>
      </c>
      <c r="H241" t="n">
        <v>0</v>
      </c>
      <c r="I241" t="n">
        <v>0</v>
      </c>
      <c r="J241" t="n">
        <v>1</v>
      </c>
      <c r="K241" t="n">
        <v>0</v>
      </c>
      <c r="L241" t="n">
        <v>0</v>
      </c>
      <c r="M241" t="n">
        <v>0</v>
      </c>
      <c r="N241" t="n">
        <v>0</v>
      </c>
      <c r="O241" t="n">
        <v>1</v>
      </c>
      <c r="P241" t="n">
        <v>0</v>
      </c>
      <c r="Q241" t="n">
        <v>1</v>
      </c>
      <c r="R241" s="2" t="inlineStr">
        <is>
          <t>Granticka</t>
        </is>
      </c>
      <c r="S241">
        <f>HYPERLINK("https://klasma.github.io/Logging_2303/artfynd/A 50233-2024 artfynd.xlsx", "A 50233-2024")</f>
        <v/>
      </c>
      <c r="T241">
        <f>HYPERLINK("https://klasma.github.io/Logging_2303/kartor/A 50233-2024 karta.png", "A 50233-2024")</f>
        <v/>
      </c>
      <c r="V241">
        <f>HYPERLINK("https://klasma.github.io/Logging_2303/klagomål/A 50233-2024 FSC-klagomål.docx", "A 50233-2024")</f>
        <v/>
      </c>
      <c r="W241">
        <f>HYPERLINK("https://klasma.github.io/Logging_2303/klagomålsmail/A 50233-2024 FSC-klagomål mail.docx", "A 50233-2024")</f>
        <v/>
      </c>
      <c r="X241">
        <f>HYPERLINK("https://klasma.github.io/Logging_2303/tillsyn/A 50233-2024 tillsynsbegäran.docx", "A 50233-2024")</f>
        <v/>
      </c>
      <c r="Y241">
        <f>HYPERLINK("https://klasma.github.io/Logging_2303/tillsynsmail/A 50233-2024 tillsynsbegäran mail.docx", "A 50233-2024")</f>
        <v/>
      </c>
    </row>
    <row r="242" ht="15" customHeight="1">
      <c r="A242" t="inlineStr">
        <is>
          <t>A 22054-2025</t>
        </is>
      </c>
      <c r="B242" s="1" t="n">
        <v>45785.36525462963</v>
      </c>
      <c r="C242" s="1" t="n">
        <v>46087</v>
      </c>
      <c r="D242" t="inlineStr">
        <is>
          <t>JÄMTLANDS LÄN</t>
        </is>
      </c>
      <c r="E242" t="inlineStr">
        <is>
          <t>RAGUNDA</t>
        </is>
      </c>
      <c r="F242" t="inlineStr">
        <is>
          <t>SCA</t>
        </is>
      </c>
      <c r="G242" t="n">
        <v>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22054-2025 artfynd.xlsx", "A 22054-2025")</f>
        <v/>
      </c>
      <c r="T242">
        <f>HYPERLINK("https://klasma.github.io/Logging_2303/kartor/A 22054-2025 karta.png", "A 22054-2025")</f>
        <v/>
      </c>
      <c r="V242">
        <f>HYPERLINK("https://klasma.github.io/Logging_2303/klagomål/A 22054-2025 FSC-klagomål.docx", "A 22054-2025")</f>
        <v/>
      </c>
      <c r="W242">
        <f>HYPERLINK("https://klasma.github.io/Logging_2303/klagomålsmail/A 22054-2025 FSC-klagomål mail.docx", "A 22054-2025")</f>
        <v/>
      </c>
      <c r="X242">
        <f>HYPERLINK("https://klasma.github.io/Logging_2303/tillsyn/A 22054-2025 tillsynsbegäran.docx", "A 22054-2025")</f>
        <v/>
      </c>
      <c r="Y242">
        <f>HYPERLINK("https://klasma.github.io/Logging_2303/tillsynsmail/A 22054-2025 tillsynsbegäran mail.docx", "A 22054-2025")</f>
        <v/>
      </c>
      <c r="Z242">
        <f>HYPERLINK("https://klasma.github.io/Logging_2303/fåglar/A 22054-2025 prioriterade fågelarter.docx", "A 22054-2025")</f>
        <v/>
      </c>
    </row>
    <row r="243" ht="15" customHeight="1">
      <c r="A243" t="inlineStr">
        <is>
          <t>A 32445-2025</t>
        </is>
      </c>
      <c r="B243" s="1" t="n">
        <v>45838.38627314815</v>
      </c>
      <c r="C243" s="1" t="n">
        <v>46087</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32445-2025 artfynd.xlsx", "A 32445-2025")</f>
        <v/>
      </c>
      <c r="T243">
        <f>HYPERLINK("https://klasma.github.io/Logging_2303/kartor/A 32445-2025 karta.png", "A 32445-2025")</f>
        <v/>
      </c>
      <c r="V243">
        <f>HYPERLINK("https://klasma.github.io/Logging_2303/klagomål/A 32445-2025 FSC-klagomål.docx", "A 32445-2025")</f>
        <v/>
      </c>
      <c r="W243">
        <f>HYPERLINK("https://klasma.github.io/Logging_2303/klagomålsmail/A 32445-2025 FSC-klagomål mail.docx", "A 32445-2025")</f>
        <v/>
      </c>
      <c r="X243">
        <f>HYPERLINK("https://klasma.github.io/Logging_2303/tillsyn/A 32445-2025 tillsynsbegäran.docx", "A 32445-2025")</f>
        <v/>
      </c>
      <c r="Y243">
        <f>HYPERLINK("https://klasma.github.io/Logging_2303/tillsynsmail/A 32445-2025 tillsynsbegäran mail.docx", "A 32445-2025")</f>
        <v/>
      </c>
      <c r="Z243">
        <f>HYPERLINK("https://klasma.github.io/Logging_2303/fåglar/A 32445-2025 prioriterade fågelarter.docx", "A 32445-2025")</f>
        <v/>
      </c>
    </row>
    <row r="244" ht="15" customHeight="1">
      <c r="A244" t="inlineStr">
        <is>
          <t>A 4157-2026</t>
        </is>
      </c>
      <c r="B244" s="1" t="n">
        <v>46044.65694444445</v>
      </c>
      <c r="C244" s="1" t="n">
        <v>46087</v>
      </c>
      <c r="D244" t="inlineStr">
        <is>
          <t>JÄMTLANDS LÄN</t>
        </is>
      </c>
      <c r="E244" t="inlineStr">
        <is>
          <t>RAGUNDA</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HYPERLINK("https://klasma.github.io/Logging_2303/artfynd/A 4157-2026 artfynd.xlsx", "A 4157-2026")</f>
        <v/>
      </c>
      <c r="T244">
        <f>HYPERLINK("https://klasma.github.io/Logging_2303/kartor/A 4157-2026 karta.png", "A 4157-2026")</f>
        <v/>
      </c>
      <c r="V244">
        <f>HYPERLINK("https://klasma.github.io/Logging_2303/klagomål/A 4157-2026 FSC-klagomål.docx", "A 4157-2026")</f>
        <v/>
      </c>
      <c r="W244">
        <f>HYPERLINK("https://klasma.github.io/Logging_2303/klagomålsmail/A 4157-2026 FSC-klagomål mail.docx", "A 4157-2026")</f>
        <v/>
      </c>
      <c r="X244">
        <f>HYPERLINK("https://klasma.github.io/Logging_2303/tillsyn/A 4157-2026 tillsynsbegäran.docx", "A 4157-2026")</f>
        <v/>
      </c>
      <c r="Y244">
        <f>HYPERLINK("https://klasma.github.io/Logging_2303/tillsynsmail/A 4157-2026 tillsynsbegäran mail.docx", "A 4157-2026")</f>
        <v/>
      </c>
    </row>
    <row r="245" ht="15" customHeight="1">
      <c r="A245" t="inlineStr">
        <is>
          <t>A 19751-2025</t>
        </is>
      </c>
      <c r="B245" s="1" t="n">
        <v>45771.3859837963</v>
      </c>
      <c r="C245" s="1" t="n">
        <v>46087</v>
      </c>
      <c r="D245" t="inlineStr">
        <is>
          <t>JÄMTLANDS LÄN</t>
        </is>
      </c>
      <c r="E245" t="inlineStr">
        <is>
          <t>RAGUNDA</t>
        </is>
      </c>
      <c r="F245" t="inlineStr">
        <is>
          <t>SCA</t>
        </is>
      </c>
      <c r="G245" t="n">
        <v>1.1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19751-2025 artfynd.xlsx", "A 19751-2025")</f>
        <v/>
      </c>
      <c r="T245">
        <f>HYPERLINK("https://klasma.github.io/Logging_2303/kartor/A 19751-2025 karta.png", "A 19751-2025")</f>
        <v/>
      </c>
      <c r="V245">
        <f>HYPERLINK("https://klasma.github.io/Logging_2303/klagomål/A 19751-2025 FSC-klagomål.docx", "A 19751-2025")</f>
        <v/>
      </c>
      <c r="W245">
        <f>HYPERLINK("https://klasma.github.io/Logging_2303/klagomålsmail/A 19751-2025 FSC-klagomål mail.docx", "A 19751-2025")</f>
        <v/>
      </c>
      <c r="X245">
        <f>HYPERLINK("https://klasma.github.io/Logging_2303/tillsyn/A 19751-2025 tillsynsbegäran.docx", "A 19751-2025")</f>
        <v/>
      </c>
      <c r="Y245">
        <f>HYPERLINK("https://klasma.github.io/Logging_2303/tillsynsmail/A 19751-2025 tillsynsbegäran mail.docx", "A 19751-2025")</f>
        <v/>
      </c>
      <c r="Z245">
        <f>HYPERLINK("https://klasma.github.io/Logging_2303/fåglar/A 19751-2025 prioriterade fågelarter.docx", "A 19751-2025")</f>
        <v/>
      </c>
    </row>
    <row r="246" ht="15" customHeight="1">
      <c r="A246" t="inlineStr">
        <is>
          <t>A 36224-2023</t>
        </is>
      </c>
      <c r="B246" s="1" t="n">
        <v>45149</v>
      </c>
      <c r="C246" s="1" t="n">
        <v>46087</v>
      </c>
      <c r="D246" t="inlineStr">
        <is>
          <t>JÄMTLANDS LÄN</t>
        </is>
      </c>
      <c r="E246" t="inlineStr">
        <is>
          <t>RAGUNDA</t>
        </is>
      </c>
      <c r="F246" t="inlineStr">
        <is>
          <t>SCA</t>
        </is>
      </c>
      <c r="G246" t="n">
        <v>8.1</v>
      </c>
      <c r="H246" t="n">
        <v>0</v>
      </c>
      <c r="I246" t="n">
        <v>0</v>
      </c>
      <c r="J246" t="n">
        <v>1</v>
      </c>
      <c r="K246" t="n">
        <v>0</v>
      </c>
      <c r="L246" t="n">
        <v>0</v>
      </c>
      <c r="M246" t="n">
        <v>0</v>
      </c>
      <c r="N246" t="n">
        <v>0</v>
      </c>
      <c r="O246" t="n">
        <v>1</v>
      </c>
      <c r="P246" t="n">
        <v>0</v>
      </c>
      <c r="Q246" t="n">
        <v>1</v>
      </c>
      <c r="R246" s="2" t="inlineStr">
        <is>
          <t>Garnlav</t>
        </is>
      </c>
      <c r="S246">
        <f>HYPERLINK("https://klasma.github.io/Logging_2303/artfynd/A 36224-2023 artfynd.xlsx", "A 36224-2023")</f>
        <v/>
      </c>
      <c r="T246">
        <f>HYPERLINK("https://klasma.github.io/Logging_2303/kartor/A 36224-2023 karta.png", "A 36224-2023")</f>
        <v/>
      </c>
      <c r="V246">
        <f>HYPERLINK("https://klasma.github.io/Logging_2303/klagomål/A 36224-2023 FSC-klagomål.docx", "A 36224-2023")</f>
        <v/>
      </c>
      <c r="W246">
        <f>HYPERLINK("https://klasma.github.io/Logging_2303/klagomålsmail/A 36224-2023 FSC-klagomål mail.docx", "A 36224-2023")</f>
        <v/>
      </c>
      <c r="X246">
        <f>HYPERLINK("https://klasma.github.io/Logging_2303/tillsyn/A 36224-2023 tillsynsbegäran.docx", "A 36224-2023")</f>
        <v/>
      </c>
      <c r="Y246">
        <f>HYPERLINK("https://klasma.github.io/Logging_2303/tillsynsmail/A 36224-2023 tillsynsbegäran mail.docx", "A 36224-2023")</f>
        <v/>
      </c>
    </row>
    <row r="247" ht="15" customHeight="1">
      <c r="A247" t="inlineStr">
        <is>
          <t>A 34474-2025</t>
        </is>
      </c>
      <c r="B247" s="1" t="n">
        <v>45847.36528935185</v>
      </c>
      <c r="C247" s="1" t="n">
        <v>46087</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17340-2023</t>
        </is>
      </c>
      <c r="B248" s="1" t="n">
        <v>45033</v>
      </c>
      <c r="C248" s="1" t="n">
        <v>46087</v>
      </c>
      <c r="D248" t="inlineStr">
        <is>
          <t>JÄMTLANDS LÄN</t>
        </is>
      </c>
      <c r="E248" t="inlineStr">
        <is>
          <t>RAGUNDA</t>
        </is>
      </c>
      <c r="G248" t="n">
        <v>1.6</v>
      </c>
      <c r="H248" t="n">
        <v>0</v>
      </c>
      <c r="I248" t="n">
        <v>0</v>
      </c>
      <c r="J248" t="n">
        <v>1</v>
      </c>
      <c r="K248" t="n">
        <v>0</v>
      </c>
      <c r="L248" t="n">
        <v>0</v>
      </c>
      <c r="M248" t="n">
        <v>0</v>
      </c>
      <c r="N248" t="n">
        <v>0</v>
      </c>
      <c r="O248" t="n">
        <v>1</v>
      </c>
      <c r="P248" t="n">
        <v>0</v>
      </c>
      <c r="Q248" t="n">
        <v>1</v>
      </c>
      <c r="R248" s="2" t="inlineStr">
        <is>
          <t>Vedtrappmossa</t>
        </is>
      </c>
      <c r="S248">
        <f>HYPERLINK("https://klasma.github.io/Logging_2303/artfynd/A 17340-2023 artfynd.xlsx", "A 17340-2023")</f>
        <v/>
      </c>
      <c r="T248">
        <f>HYPERLINK("https://klasma.github.io/Logging_2303/kartor/A 17340-2023 karta.png", "A 17340-2023")</f>
        <v/>
      </c>
      <c r="U248">
        <f>HYPERLINK("https://klasma.github.io/Logging_2303/knärot/A 17340-2023 karta knärot.png", "A 17340-2023")</f>
        <v/>
      </c>
      <c r="V248">
        <f>HYPERLINK("https://klasma.github.io/Logging_2303/klagomål/A 17340-2023 FSC-klagomål.docx", "A 17340-2023")</f>
        <v/>
      </c>
      <c r="W248">
        <f>HYPERLINK("https://klasma.github.io/Logging_2303/klagomålsmail/A 17340-2023 FSC-klagomål mail.docx", "A 17340-2023")</f>
        <v/>
      </c>
      <c r="X248">
        <f>HYPERLINK("https://klasma.github.io/Logging_2303/tillsyn/A 17340-2023 tillsynsbegäran.docx", "A 17340-2023")</f>
        <v/>
      </c>
      <c r="Y248">
        <f>HYPERLINK("https://klasma.github.io/Logging_2303/tillsynsmail/A 17340-2023 tillsynsbegäran mail.docx", "A 17340-2023")</f>
        <v/>
      </c>
    </row>
    <row r="249" ht="15" customHeight="1">
      <c r="A249" t="inlineStr">
        <is>
          <t>A 16724-2025</t>
        </is>
      </c>
      <c r="B249" s="1" t="n">
        <v>45754.51064814815</v>
      </c>
      <c r="C249" s="1" t="n">
        <v>46087</v>
      </c>
      <c r="D249" t="inlineStr">
        <is>
          <t>JÄMTLANDS LÄN</t>
        </is>
      </c>
      <c r="E249" t="inlineStr">
        <is>
          <t>RAGUNDA</t>
        </is>
      </c>
      <c r="G249" t="n">
        <v>3.5</v>
      </c>
      <c r="H249" t="n">
        <v>0</v>
      </c>
      <c r="I249" t="n">
        <v>0</v>
      </c>
      <c r="J249" t="n">
        <v>1</v>
      </c>
      <c r="K249" t="n">
        <v>0</v>
      </c>
      <c r="L249" t="n">
        <v>0</v>
      </c>
      <c r="M249" t="n">
        <v>0</v>
      </c>
      <c r="N249" t="n">
        <v>0</v>
      </c>
      <c r="O249" t="n">
        <v>1</v>
      </c>
      <c r="P249" t="n">
        <v>0</v>
      </c>
      <c r="Q249" t="n">
        <v>1</v>
      </c>
      <c r="R249" s="2" t="inlineStr">
        <is>
          <t>Kolflarnlav</t>
        </is>
      </c>
      <c r="S249">
        <f>HYPERLINK("https://klasma.github.io/Logging_2303/artfynd/A 16724-2025 artfynd.xlsx", "A 16724-2025")</f>
        <v/>
      </c>
      <c r="T249">
        <f>HYPERLINK("https://klasma.github.io/Logging_2303/kartor/A 16724-2025 karta.png", "A 16724-2025")</f>
        <v/>
      </c>
      <c r="V249">
        <f>HYPERLINK("https://klasma.github.io/Logging_2303/klagomål/A 16724-2025 FSC-klagomål.docx", "A 16724-2025")</f>
        <v/>
      </c>
      <c r="W249">
        <f>HYPERLINK("https://klasma.github.io/Logging_2303/klagomålsmail/A 16724-2025 FSC-klagomål mail.docx", "A 16724-2025")</f>
        <v/>
      </c>
      <c r="X249">
        <f>HYPERLINK("https://klasma.github.io/Logging_2303/tillsyn/A 16724-2025 tillsynsbegäran.docx", "A 16724-2025")</f>
        <v/>
      </c>
      <c r="Y249">
        <f>HYPERLINK("https://klasma.github.io/Logging_2303/tillsynsmail/A 16724-2025 tillsynsbegäran mail.docx", "A 16724-2025")</f>
        <v/>
      </c>
    </row>
    <row r="250" ht="15" customHeight="1">
      <c r="A250" t="inlineStr">
        <is>
          <t>A 62072-2023</t>
        </is>
      </c>
      <c r="B250" s="1" t="n">
        <v>45266</v>
      </c>
      <c r="C250" s="1" t="n">
        <v>46087</v>
      </c>
      <c r="D250" t="inlineStr">
        <is>
          <t>JÄMTLANDS LÄN</t>
        </is>
      </c>
      <c r="E250" t="inlineStr">
        <is>
          <t>RAGUNDA</t>
        </is>
      </c>
      <c r="G250" t="n">
        <v>4.5</v>
      </c>
      <c r="H250" t="n">
        <v>1</v>
      </c>
      <c r="I250" t="n">
        <v>0</v>
      </c>
      <c r="J250" t="n">
        <v>0</v>
      </c>
      <c r="K250" t="n">
        <v>1</v>
      </c>
      <c r="L250" t="n">
        <v>0</v>
      </c>
      <c r="M250" t="n">
        <v>0</v>
      </c>
      <c r="N250" t="n">
        <v>0</v>
      </c>
      <c r="O250" t="n">
        <v>1</v>
      </c>
      <c r="P250" t="n">
        <v>1</v>
      </c>
      <c r="Q250" t="n">
        <v>1</v>
      </c>
      <c r="R250" s="2" t="inlineStr">
        <is>
          <t>Lappuggla</t>
        </is>
      </c>
      <c r="S250">
        <f>HYPERLINK("https://klasma.github.io/Logging_2303/artfynd/A 62072-2023 artfynd.xlsx", "A 62072-2023")</f>
        <v/>
      </c>
      <c r="T250">
        <f>HYPERLINK("https://klasma.github.io/Logging_2303/kartor/A 62072-2023 karta.png", "A 62072-2023")</f>
        <v/>
      </c>
      <c r="V250">
        <f>HYPERLINK("https://klasma.github.io/Logging_2303/klagomål/A 62072-2023 FSC-klagomål.docx", "A 62072-2023")</f>
        <v/>
      </c>
      <c r="W250">
        <f>HYPERLINK("https://klasma.github.io/Logging_2303/klagomålsmail/A 62072-2023 FSC-klagomål mail.docx", "A 62072-2023")</f>
        <v/>
      </c>
      <c r="X250">
        <f>HYPERLINK("https://klasma.github.io/Logging_2303/tillsyn/A 62072-2023 tillsynsbegäran.docx", "A 62072-2023")</f>
        <v/>
      </c>
      <c r="Y250">
        <f>HYPERLINK("https://klasma.github.io/Logging_2303/tillsynsmail/A 62072-2023 tillsynsbegäran mail.docx", "A 62072-2023")</f>
        <v/>
      </c>
      <c r="Z250">
        <f>HYPERLINK("https://klasma.github.io/Logging_2303/fåglar/A 62072-2023 prioriterade fågelarter.docx", "A 62072-2023")</f>
        <v/>
      </c>
    </row>
    <row r="251" ht="15" customHeight="1">
      <c r="A251" t="inlineStr">
        <is>
          <t>A 25694-2023</t>
        </is>
      </c>
      <c r="B251" s="1" t="n">
        <v>45089</v>
      </c>
      <c r="C251" s="1" t="n">
        <v>46087</v>
      </c>
      <c r="D251" t="inlineStr">
        <is>
          <t>JÄMTLANDS LÄN</t>
        </is>
      </c>
      <c r="E251" t="inlineStr">
        <is>
          <t>RAGUNDA</t>
        </is>
      </c>
      <c r="F251" t="inlineStr">
        <is>
          <t>SCA</t>
        </is>
      </c>
      <c r="G251" t="n">
        <v>1.5</v>
      </c>
      <c r="H251" t="n">
        <v>0</v>
      </c>
      <c r="I251" t="n">
        <v>0</v>
      </c>
      <c r="J251" t="n">
        <v>1</v>
      </c>
      <c r="K251" t="n">
        <v>0</v>
      </c>
      <c r="L251" t="n">
        <v>0</v>
      </c>
      <c r="M251" t="n">
        <v>0</v>
      </c>
      <c r="N251" t="n">
        <v>0</v>
      </c>
      <c r="O251" t="n">
        <v>1</v>
      </c>
      <c r="P251" t="n">
        <v>0</v>
      </c>
      <c r="Q251" t="n">
        <v>1</v>
      </c>
      <c r="R251" s="2" t="inlineStr">
        <is>
          <t>Ullticka</t>
        </is>
      </c>
      <c r="S251">
        <f>HYPERLINK("https://klasma.github.io/Logging_2303/artfynd/A 25694-2023 artfynd.xlsx", "A 25694-2023")</f>
        <v/>
      </c>
      <c r="T251">
        <f>HYPERLINK("https://klasma.github.io/Logging_2303/kartor/A 25694-2023 karta.png", "A 25694-2023")</f>
        <v/>
      </c>
      <c r="V251">
        <f>HYPERLINK("https://klasma.github.io/Logging_2303/klagomål/A 25694-2023 FSC-klagomål.docx", "A 25694-2023")</f>
        <v/>
      </c>
      <c r="W251">
        <f>HYPERLINK("https://klasma.github.io/Logging_2303/klagomålsmail/A 25694-2023 FSC-klagomål mail.docx", "A 25694-2023")</f>
        <v/>
      </c>
      <c r="X251">
        <f>HYPERLINK("https://klasma.github.io/Logging_2303/tillsyn/A 25694-2023 tillsynsbegäran.docx", "A 25694-2023")</f>
        <v/>
      </c>
      <c r="Y251">
        <f>HYPERLINK("https://klasma.github.io/Logging_2303/tillsynsmail/A 25694-2023 tillsynsbegäran mail.docx", "A 25694-2023")</f>
        <v/>
      </c>
    </row>
    <row r="252" ht="15" customHeight="1">
      <c r="A252" t="inlineStr">
        <is>
          <t>A 49770-2024</t>
        </is>
      </c>
      <c r="B252" s="1" t="n">
        <v>45597.34461805555</v>
      </c>
      <c r="C252" s="1" t="n">
        <v>46087</v>
      </c>
      <c r="D252" t="inlineStr">
        <is>
          <t>JÄMTLANDS LÄN</t>
        </is>
      </c>
      <c r="E252" t="inlineStr">
        <is>
          <t>RAGUNDA</t>
        </is>
      </c>
      <c r="F252" t="inlineStr">
        <is>
          <t>Naturvårdsverket</t>
        </is>
      </c>
      <c r="G252" t="n">
        <v>8.9</v>
      </c>
      <c r="H252" t="n">
        <v>1</v>
      </c>
      <c r="I252" t="n">
        <v>0</v>
      </c>
      <c r="J252" t="n">
        <v>0</v>
      </c>
      <c r="K252" t="n">
        <v>1</v>
      </c>
      <c r="L252" t="n">
        <v>0</v>
      </c>
      <c r="M252" t="n">
        <v>0</v>
      </c>
      <c r="N252" t="n">
        <v>0</v>
      </c>
      <c r="O252" t="n">
        <v>1</v>
      </c>
      <c r="P252" t="n">
        <v>1</v>
      </c>
      <c r="Q252" t="n">
        <v>1</v>
      </c>
      <c r="R252" s="2" t="inlineStr">
        <is>
          <t>Doftticka</t>
        </is>
      </c>
      <c r="S252">
        <f>HYPERLINK("https://klasma.github.io/Logging_2303/artfynd/A 49770-2024 artfynd.xlsx", "A 49770-2024")</f>
        <v/>
      </c>
      <c r="T252">
        <f>HYPERLINK("https://klasma.github.io/Logging_2303/kartor/A 49770-2024 karta.png", "A 49770-2024")</f>
        <v/>
      </c>
      <c r="V252">
        <f>HYPERLINK("https://klasma.github.io/Logging_2303/klagomål/A 49770-2024 FSC-klagomål.docx", "A 49770-2024")</f>
        <v/>
      </c>
      <c r="W252">
        <f>HYPERLINK("https://klasma.github.io/Logging_2303/klagomålsmail/A 49770-2024 FSC-klagomål mail.docx", "A 49770-2024")</f>
        <v/>
      </c>
      <c r="X252">
        <f>HYPERLINK("https://klasma.github.io/Logging_2303/tillsyn/A 49770-2024 tillsynsbegäran.docx", "A 49770-2024")</f>
        <v/>
      </c>
      <c r="Y252">
        <f>HYPERLINK("https://klasma.github.io/Logging_2303/tillsynsmail/A 49770-2024 tillsynsbegäran mail.docx", "A 49770-2024")</f>
        <v/>
      </c>
    </row>
    <row r="253" ht="15" customHeight="1">
      <c r="A253" t="inlineStr">
        <is>
          <t>A 36757-2023</t>
        </is>
      </c>
      <c r="B253" s="1" t="n">
        <v>45153</v>
      </c>
      <c r="C253" s="1" t="n">
        <v>46087</v>
      </c>
      <c r="D253" t="inlineStr">
        <is>
          <t>JÄMTLANDS LÄN</t>
        </is>
      </c>
      <c r="E253" t="inlineStr">
        <is>
          <t>RAGUNDA</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36757-2023 artfynd.xlsx", "A 36757-2023")</f>
        <v/>
      </c>
      <c r="T253">
        <f>HYPERLINK("https://klasma.github.io/Logging_2303/kartor/A 36757-2023 karta.png", "A 36757-2023")</f>
        <v/>
      </c>
      <c r="V253">
        <f>HYPERLINK("https://klasma.github.io/Logging_2303/klagomål/A 36757-2023 FSC-klagomål.docx", "A 36757-2023")</f>
        <v/>
      </c>
      <c r="W253">
        <f>HYPERLINK("https://klasma.github.io/Logging_2303/klagomålsmail/A 36757-2023 FSC-klagomål mail.docx", "A 36757-2023")</f>
        <v/>
      </c>
      <c r="X253">
        <f>HYPERLINK("https://klasma.github.io/Logging_2303/tillsyn/A 36757-2023 tillsynsbegäran.docx", "A 36757-2023")</f>
        <v/>
      </c>
      <c r="Y253">
        <f>HYPERLINK("https://klasma.github.io/Logging_2303/tillsynsmail/A 36757-2023 tillsynsbegäran mail.docx", "A 36757-2023")</f>
        <v/>
      </c>
      <c r="Z253">
        <f>HYPERLINK("https://klasma.github.io/Logging_2303/fåglar/A 36757-2023 prioriterade fågelarter.docx", "A 36757-2023")</f>
        <v/>
      </c>
    </row>
    <row r="254" ht="15" customHeight="1">
      <c r="A254" t="inlineStr">
        <is>
          <t>A 43404-2023</t>
        </is>
      </c>
      <c r="B254" s="1" t="n">
        <v>45183</v>
      </c>
      <c r="C254" s="1" t="n">
        <v>46087</v>
      </c>
      <c r="D254" t="inlineStr">
        <is>
          <t>JÄMTLANDS LÄN</t>
        </is>
      </c>
      <c r="E254" t="inlineStr">
        <is>
          <t>RAGUNDA</t>
        </is>
      </c>
      <c r="F254" t="inlineStr">
        <is>
          <t>SCA</t>
        </is>
      </c>
      <c r="G254" t="n">
        <v>0.9</v>
      </c>
      <c r="H254" t="n">
        <v>0</v>
      </c>
      <c r="I254" t="n">
        <v>1</v>
      </c>
      <c r="J254" t="n">
        <v>0</v>
      </c>
      <c r="K254" t="n">
        <v>0</v>
      </c>
      <c r="L254" t="n">
        <v>0</v>
      </c>
      <c r="M254" t="n">
        <v>0</v>
      </c>
      <c r="N254" t="n">
        <v>0</v>
      </c>
      <c r="O254" t="n">
        <v>0</v>
      </c>
      <c r="P254" t="n">
        <v>0</v>
      </c>
      <c r="Q254" t="n">
        <v>1</v>
      </c>
      <c r="R254" s="2" t="inlineStr">
        <is>
          <t>Kryddspindling</t>
        </is>
      </c>
      <c r="S254">
        <f>HYPERLINK("https://klasma.github.io/Logging_2303/artfynd/A 43404-2023 artfynd.xlsx", "A 43404-2023")</f>
        <v/>
      </c>
      <c r="T254">
        <f>HYPERLINK("https://klasma.github.io/Logging_2303/kartor/A 43404-2023 karta.png", "A 43404-2023")</f>
        <v/>
      </c>
      <c r="V254">
        <f>HYPERLINK("https://klasma.github.io/Logging_2303/klagomål/A 43404-2023 FSC-klagomål.docx", "A 43404-2023")</f>
        <v/>
      </c>
      <c r="W254">
        <f>HYPERLINK("https://klasma.github.io/Logging_2303/klagomålsmail/A 43404-2023 FSC-klagomål mail.docx", "A 43404-2023")</f>
        <v/>
      </c>
      <c r="X254">
        <f>HYPERLINK("https://klasma.github.io/Logging_2303/tillsyn/A 43404-2023 tillsynsbegäran.docx", "A 43404-2023")</f>
        <v/>
      </c>
      <c r="Y254">
        <f>HYPERLINK("https://klasma.github.io/Logging_2303/tillsynsmail/A 43404-2023 tillsynsbegäran mail.docx", "A 43404-2023")</f>
        <v/>
      </c>
    </row>
    <row r="255" ht="15" customHeight="1">
      <c r="A255" t="inlineStr">
        <is>
          <t>A 61324-2024</t>
        </is>
      </c>
      <c r="B255" s="1" t="n">
        <v>45646.34438657408</v>
      </c>
      <c r="C255" s="1" t="n">
        <v>46087</v>
      </c>
      <c r="D255" t="inlineStr">
        <is>
          <t>JÄMTLANDS LÄN</t>
        </is>
      </c>
      <c r="E255" t="inlineStr">
        <is>
          <t>RAGUNDA</t>
        </is>
      </c>
      <c r="F255" t="inlineStr">
        <is>
          <t>SCA</t>
        </is>
      </c>
      <c r="G255" t="n">
        <v>11.2</v>
      </c>
      <c r="H255" t="n">
        <v>1</v>
      </c>
      <c r="I255" t="n">
        <v>0</v>
      </c>
      <c r="J255" t="n">
        <v>0</v>
      </c>
      <c r="K255" t="n">
        <v>0</v>
      </c>
      <c r="L255" t="n">
        <v>0</v>
      </c>
      <c r="M255" t="n">
        <v>0</v>
      </c>
      <c r="N255" t="n">
        <v>0</v>
      </c>
      <c r="O255" t="n">
        <v>0</v>
      </c>
      <c r="P255" t="n">
        <v>0</v>
      </c>
      <c r="Q255" t="n">
        <v>1</v>
      </c>
      <c r="R255" s="2" t="inlineStr">
        <is>
          <t>Trana</t>
        </is>
      </c>
      <c r="S255">
        <f>HYPERLINK("https://klasma.github.io/Logging_2303/artfynd/A 61324-2024 artfynd.xlsx", "A 61324-2024")</f>
        <v/>
      </c>
      <c r="T255">
        <f>HYPERLINK("https://klasma.github.io/Logging_2303/kartor/A 61324-2024 karta.png", "A 61324-2024")</f>
        <v/>
      </c>
      <c r="V255">
        <f>HYPERLINK("https://klasma.github.io/Logging_2303/klagomål/A 61324-2024 FSC-klagomål.docx", "A 61324-2024")</f>
        <v/>
      </c>
      <c r="W255">
        <f>HYPERLINK("https://klasma.github.io/Logging_2303/klagomålsmail/A 61324-2024 FSC-klagomål mail.docx", "A 61324-2024")</f>
        <v/>
      </c>
      <c r="X255">
        <f>HYPERLINK("https://klasma.github.io/Logging_2303/tillsyn/A 61324-2024 tillsynsbegäran.docx", "A 61324-2024")</f>
        <v/>
      </c>
      <c r="Y255">
        <f>HYPERLINK("https://klasma.github.io/Logging_2303/tillsynsmail/A 61324-2024 tillsynsbegäran mail.docx", "A 61324-2024")</f>
        <v/>
      </c>
      <c r="Z255">
        <f>HYPERLINK("https://klasma.github.io/Logging_2303/fåglar/A 61324-2024 prioriterade fågelarter.docx", "A 61324-2024")</f>
        <v/>
      </c>
    </row>
    <row r="256" ht="15" customHeight="1">
      <c r="A256" t="inlineStr">
        <is>
          <t>A 19387-2025</t>
        </is>
      </c>
      <c r="B256" s="1" t="n">
        <v>45769.65736111111</v>
      </c>
      <c r="C256" s="1" t="n">
        <v>46087</v>
      </c>
      <c r="D256" t="inlineStr">
        <is>
          <t>JÄMTLANDS LÄN</t>
        </is>
      </c>
      <c r="E256" t="inlineStr">
        <is>
          <t>RAGUNDA</t>
        </is>
      </c>
      <c r="F256" t="inlineStr">
        <is>
          <t>SCA</t>
        </is>
      </c>
      <c r="G256" t="n">
        <v>16.4</v>
      </c>
      <c r="H256" t="n">
        <v>1</v>
      </c>
      <c r="I256" t="n">
        <v>0</v>
      </c>
      <c r="J256" t="n">
        <v>0</v>
      </c>
      <c r="K256" t="n">
        <v>1</v>
      </c>
      <c r="L256" t="n">
        <v>0</v>
      </c>
      <c r="M256" t="n">
        <v>0</v>
      </c>
      <c r="N256" t="n">
        <v>0</v>
      </c>
      <c r="O256" t="n">
        <v>1</v>
      </c>
      <c r="P256" t="n">
        <v>1</v>
      </c>
      <c r="Q256" t="n">
        <v>1</v>
      </c>
      <c r="R256" s="2" t="inlineStr">
        <is>
          <t>Norna</t>
        </is>
      </c>
      <c r="S256">
        <f>HYPERLINK("https://klasma.github.io/Logging_2303/artfynd/A 19387-2025 artfynd.xlsx", "A 19387-2025")</f>
        <v/>
      </c>
      <c r="T256">
        <f>HYPERLINK("https://klasma.github.io/Logging_2303/kartor/A 19387-2025 karta.png", "A 19387-2025")</f>
        <v/>
      </c>
      <c r="V256">
        <f>HYPERLINK("https://klasma.github.io/Logging_2303/klagomål/A 19387-2025 FSC-klagomål.docx", "A 19387-2025")</f>
        <v/>
      </c>
      <c r="W256">
        <f>HYPERLINK("https://klasma.github.io/Logging_2303/klagomålsmail/A 19387-2025 FSC-klagomål mail.docx", "A 19387-2025")</f>
        <v/>
      </c>
      <c r="X256">
        <f>HYPERLINK("https://klasma.github.io/Logging_2303/tillsyn/A 19387-2025 tillsynsbegäran.docx", "A 19387-2025")</f>
        <v/>
      </c>
      <c r="Y256">
        <f>HYPERLINK("https://klasma.github.io/Logging_2303/tillsynsmail/A 19387-2025 tillsynsbegäran mail.docx", "A 19387-2025")</f>
        <v/>
      </c>
    </row>
    <row r="257" ht="15" customHeight="1">
      <c r="A257" t="inlineStr">
        <is>
          <t>A 20575-2025</t>
        </is>
      </c>
      <c r="B257" s="1" t="n">
        <v>45775.67769675926</v>
      </c>
      <c r="C257" s="1" t="n">
        <v>46087</v>
      </c>
      <c r="D257" t="inlineStr">
        <is>
          <t>JÄMTLANDS LÄN</t>
        </is>
      </c>
      <c r="E257" t="inlineStr">
        <is>
          <t>RAGUNDA</t>
        </is>
      </c>
      <c r="F257" t="inlineStr">
        <is>
          <t>SCA</t>
        </is>
      </c>
      <c r="G257" t="n">
        <v>8.1</v>
      </c>
      <c r="H257" t="n">
        <v>1</v>
      </c>
      <c r="I257" t="n">
        <v>0</v>
      </c>
      <c r="J257" t="n">
        <v>1</v>
      </c>
      <c r="K257" t="n">
        <v>0</v>
      </c>
      <c r="L257" t="n">
        <v>0</v>
      </c>
      <c r="M257" t="n">
        <v>0</v>
      </c>
      <c r="N257" t="n">
        <v>0</v>
      </c>
      <c r="O257" t="n">
        <v>1</v>
      </c>
      <c r="P257" t="n">
        <v>0</v>
      </c>
      <c r="Q257" t="n">
        <v>1</v>
      </c>
      <c r="R257" s="2" t="inlineStr">
        <is>
          <t>Skogsfru</t>
        </is>
      </c>
      <c r="S257">
        <f>HYPERLINK("https://klasma.github.io/Logging_2303/artfynd/A 20575-2025 artfynd.xlsx", "A 20575-2025")</f>
        <v/>
      </c>
      <c r="T257">
        <f>HYPERLINK("https://klasma.github.io/Logging_2303/kartor/A 20575-2025 karta.png", "A 20575-2025")</f>
        <v/>
      </c>
      <c r="V257">
        <f>HYPERLINK("https://klasma.github.io/Logging_2303/klagomål/A 20575-2025 FSC-klagomål.docx", "A 20575-2025")</f>
        <v/>
      </c>
      <c r="W257">
        <f>HYPERLINK("https://klasma.github.io/Logging_2303/klagomålsmail/A 20575-2025 FSC-klagomål mail.docx", "A 20575-2025")</f>
        <v/>
      </c>
      <c r="X257">
        <f>HYPERLINK("https://klasma.github.io/Logging_2303/tillsyn/A 20575-2025 tillsynsbegäran.docx", "A 20575-2025")</f>
        <v/>
      </c>
      <c r="Y257">
        <f>HYPERLINK("https://klasma.github.io/Logging_2303/tillsynsmail/A 20575-2025 tillsynsbegäran mail.docx", "A 20575-2025")</f>
        <v/>
      </c>
    </row>
    <row r="258" ht="15" customHeight="1">
      <c r="A258" t="inlineStr">
        <is>
          <t>A 20774-2024</t>
        </is>
      </c>
      <c r="B258" s="1" t="n">
        <v>45436.94644675926</v>
      </c>
      <c r="C258" s="1" t="n">
        <v>46087</v>
      </c>
      <c r="D258" t="inlineStr">
        <is>
          <t>JÄMTLANDS LÄN</t>
        </is>
      </c>
      <c r="E258" t="inlineStr">
        <is>
          <t>RAGUNDA</t>
        </is>
      </c>
      <c r="F258" t="inlineStr">
        <is>
          <t>SCA</t>
        </is>
      </c>
      <c r="G258" t="n">
        <v>2.3</v>
      </c>
      <c r="H258" t="n">
        <v>0</v>
      </c>
      <c r="I258" t="n">
        <v>1</v>
      </c>
      <c r="J258" t="n">
        <v>0</v>
      </c>
      <c r="K258" t="n">
        <v>0</v>
      </c>
      <c r="L258" t="n">
        <v>0</v>
      </c>
      <c r="M258" t="n">
        <v>0</v>
      </c>
      <c r="N258" t="n">
        <v>0</v>
      </c>
      <c r="O258" t="n">
        <v>0</v>
      </c>
      <c r="P258" t="n">
        <v>0</v>
      </c>
      <c r="Q258" t="n">
        <v>1</v>
      </c>
      <c r="R258" s="2" t="inlineStr">
        <is>
          <t>Fjällig taggsvamp s.str.</t>
        </is>
      </c>
      <c r="S258">
        <f>HYPERLINK("https://klasma.github.io/Logging_2303/artfynd/A 20774-2024 artfynd.xlsx", "A 20774-2024")</f>
        <v/>
      </c>
      <c r="T258">
        <f>HYPERLINK("https://klasma.github.io/Logging_2303/kartor/A 20774-2024 karta.png", "A 20774-2024")</f>
        <v/>
      </c>
      <c r="V258">
        <f>HYPERLINK("https://klasma.github.io/Logging_2303/klagomål/A 20774-2024 FSC-klagomål.docx", "A 20774-2024")</f>
        <v/>
      </c>
      <c r="W258">
        <f>HYPERLINK("https://klasma.github.io/Logging_2303/klagomålsmail/A 20774-2024 FSC-klagomål mail.docx", "A 20774-2024")</f>
        <v/>
      </c>
      <c r="X258">
        <f>HYPERLINK("https://klasma.github.io/Logging_2303/tillsyn/A 20774-2024 tillsynsbegäran.docx", "A 20774-2024")</f>
        <v/>
      </c>
      <c r="Y258">
        <f>HYPERLINK("https://klasma.github.io/Logging_2303/tillsynsmail/A 20774-2024 tillsynsbegäran mail.docx", "A 20774-2024")</f>
        <v/>
      </c>
    </row>
    <row r="259" ht="15" customHeight="1">
      <c r="A259" t="inlineStr">
        <is>
          <t>A 26317-2024</t>
        </is>
      </c>
      <c r="B259" s="1" t="n">
        <v>45468</v>
      </c>
      <c r="C259" s="1" t="n">
        <v>46087</v>
      </c>
      <c r="D259" t="inlineStr">
        <is>
          <t>JÄMTLANDS LÄN</t>
        </is>
      </c>
      <c r="E259" t="inlineStr">
        <is>
          <t>RAGUNDA</t>
        </is>
      </c>
      <c r="F259" t="inlineStr">
        <is>
          <t>SCA</t>
        </is>
      </c>
      <c r="G259" t="n">
        <v>3.8</v>
      </c>
      <c r="H259" t="n">
        <v>0</v>
      </c>
      <c r="I259" t="n">
        <v>0</v>
      </c>
      <c r="J259" t="n">
        <v>1</v>
      </c>
      <c r="K259" t="n">
        <v>0</v>
      </c>
      <c r="L259" t="n">
        <v>0</v>
      </c>
      <c r="M259" t="n">
        <v>0</v>
      </c>
      <c r="N259" t="n">
        <v>0</v>
      </c>
      <c r="O259" t="n">
        <v>1</v>
      </c>
      <c r="P259" t="n">
        <v>0</v>
      </c>
      <c r="Q259" t="n">
        <v>1</v>
      </c>
      <c r="R259" s="2" t="inlineStr">
        <is>
          <t>Kortskaftad ärgspik</t>
        </is>
      </c>
      <c r="S259">
        <f>HYPERLINK("https://klasma.github.io/Logging_2303/artfynd/A 26317-2024 artfynd.xlsx", "A 26317-2024")</f>
        <v/>
      </c>
      <c r="T259">
        <f>HYPERLINK("https://klasma.github.io/Logging_2303/kartor/A 26317-2024 karta.png", "A 26317-2024")</f>
        <v/>
      </c>
      <c r="V259">
        <f>HYPERLINK("https://klasma.github.io/Logging_2303/klagomål/A 26317-2024 FSC-klagomål.docx", "A 26317-2024")</f>
        <v/>
      </c>
      <c r="W259">
        <f>HYPERLINK("https://klasma.github.io/Logging_2303/klagomålsmail/A 26317-2024 FSC-klagomål mail.docx", "A 26317-2024")</f>
        <v/>
      </c>
      <c r="X259">
        <f>HYPERLINK("https://klasma.github.io/Logging_2303/tillsyn/A 26317-2024 tillsynsbegäran.docx", "A 26317-2024")</f>
        <v/>
      </c>
      <c r="Y259">
        <f>HYPERLINK("https://klasma.github.io/Logging_2303/tillsynsmail/A 26317-2024 tillsynsbegäran mail.docx", "A 26317-2024")</f>
        <v/>
      </c>
    </row>
    <row r="260" ht="15" customHeight="1">
      <c r="A260" t="inlineStr">
        <is>
          <t>A 31773-2021</t>
        </is>
      </c>
      <c r="B260" s="1" t="n">
        <v>44369</v>
      </c>
      <c r="C260" s="1" t="n">
        <v>46087</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48477-2023</t>
        </is>
      </c>
      <c r="B261" s="1" t="n">
        <v>45206</v>
      </c>
      <c r="C261" s="1" t="n">
        <v>46087</v>
      </c>
      <c r="D261" t="inlineStr">
        <is>
          <t>JÄMTLANDS LÄN</t>
        </is>
      </c>
      <c r="E261" t="inlineStr">
        <is>
          <t>RAGUNDA</t>
        </is>
      </c>
      <c r="F261" t="inlineStr">
        <is>
          <t>SCA</t>
        </is>
      </c>
      <c r="G261" t="n">
        <v>1.8</v>
      </c>
      <c r="H261" t="n">
        <v>0</v>
      </c>
      <c r="I261" t="n">
        <v>1</v>
      </c>
      <c r="J261" t="n">
        <v>0</v>
      </c>
      <c r="K261" t="n">
        <v>0</v>
      </c>
      <c r="L261" t="n">
        <v>0</v>
      </c>
      <c r="M261" t="n">
        <v>0</v>
      </c>
      <c r="N261" t="n">
        <v>0</v>
      </c>
      <c r="O261" t="n">
        <v>0</v>
      </c>
      <c r="P261" t="n">
        <v>0</v>
      </c>
      <c r="Q261" t="n">
        <v>1</v>
      </c>
      <c r="R261" s="2" t="inlineStr">
        <is>
          <t>Dropptaggsvamp</t>
        </is>
      </c>
      <c r="S261">
        <f>HYPERLINK("https://klasma.github.io/Logging_2303/artfynd/A 48477-2023 artfynd.xlsx", "A 48477-2023")</f>
        <v/>
      </c>
      <c r="T261">
        <f>HYPERLINK("https://klasma.github.io/Logging_2303/kartor/A 48477-2023 karta.png", "A 48477-2023")</f>
        <v/>
      </c>
      <c r="V261">
        <f>HYPERLINK("https://klasma.github.io/Logging_2303/klagomål/A 48477-2023 FSC-klagomål.docx", "A 48477-2023")</f>
        <v/>
      </c>
      <c r="W261">
        <f>HYPERLINK("https://klasma.github.io/Logging_2303/klagomålsmail/A 48477-2023 FSC-klagomål mail.docx", "A 48477-2023")</f>
        <v/>
      </c>
      <c r="X261">
        <f>HYPERLINK("https://klasma.github.io/Logging_2303/tillsyn/A 48477-2023 tillsynsbegäran.docx", "A 48477-2023")</f>
        <v/>
      </c>
      <c r="Y261">
        <f>HYPERLINK("https://klasma.github.io/Logging_2303/tillsynsmail/A 48477-2023 tillsynsbegäran mail.docx", "A 48477-2023")</f>
        <v/>
      </c>
    </row>
    <row r="262" ht="15" customHeight="1">
      <c r="A262" t="inlineStr">
        <is>
          <t>A 18985-2023</t>
        </is>
      </c>
      <c r="B262" s="1" t="n">
        <v>45044</v>
      </c>
      <c r="C262" s="1" t="n">
        <v>46087</v>
      </c>
      <c r="D262" t="inlineStr">
        <is>
          <t>JÄMTLANDS LÄN</t>
        </is>
      </c>
      <c r="E262" t="inlineStr">
        <is>
          <t>RAGUNDA</t>
        </is>
      </c>
      <c r="F262" t="inlineStr">
        <is>
          <t>SCA</t>
        </is>
      </c>
      <c r="G262" t="n">
        <v>2.6</v>
      </c>
      <c r="H262" t="n">
        <v>0</v>
      </c>
      <c r="I262" t="n">
        <v>0</v>
      </c>
      <c r="J262" t="n">
        <v>1</v>
      </c>
      <c r="K262" t="n">
        <v>0</v>
      </c>
      <c r="L262" t="n">
        <v>0</v>
      </c>
      <c r="M262" t="n">
        <v>0</v>
      </c>
      <c r="N262" t="n">
        <v>0</v>
      </c>
      <c r="O262" t="n">
        <v>1</v>
      </c>
      <c r="P262" t="n">
        <v>0</v>
      </c>
      <c r="Q262" t="n">
        <v>1</v>
      </c>
      <c r="R262" s="2" t="inlineStr">
        <is>
          <t>Doftskinn</t>
        </is>
      </c>
      <c r="S262">
        <f>HYPERLINK("https://klasma.github.io/Logging_2303/artfynd/A 18985-2023 artfynd.xlsx", "A 18985-2023")</f>
        <v/>
      </c>
      <c r="T262">
        <f>HYPERLINK("https://klasma.github.io/Logging_2303/kartor/A 18985-2023 karta.png", "A 18985-2023")</f>
        <v/>
      </c>
      <c r="V262">
        <f>HYPERLINK("https://klasma.github.io/Logging_2303/klagomål/A 18985-2023 FSC-klagomål.docx", "A 18985-2023")</f>
        <v/>
      </c>
      <c r="W262">
        <f>HYPERLINK("https://klasma.github.io/Logging_2303/klagomålsmail/A 18985-2023 FSC-klagomål mail.docx", "A 18985-2023")</f>
        <v/>
      </c>
      <c r="X262">
        <f>HYPERLINK("https://klasma.github.io/Logging_2303/tillsyn/A 18985-2023 tillsynsbegäran.docx", "A 18985-2023")</f>
        <v/>
      </c>
      <c r="Y262">
        <f>HYPERLINK("https://klasma.github.io/Logging_2303/tillsynsmail/A 18985-2023 tillsynsbegäran mail.docx", "A 18985-2023")</f>
        <v/>
      </c>
    </row>
    <row r="263" ht="15" customHeight="1">
      <c r="A263" t="inlineStr">
        <is>
          <t>A 46050-2022</t>
        </is>
      </c>
      <c r="B263" s="1" t="n">
        <v>44846</v>
      </c>
      <c r="C263" s="1" t="n">
        <v>46087</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46087</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46087</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46087</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46087</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46087</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46087</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46087</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46087</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46087</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46087</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46087</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46087</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14790-2021</t>
        </is>
      </c>
      <c r="B276" s="1" t="n">
        <v>44280</v>
      </c>
      <c r="C276" s="1" t="n">
        <v>46087</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46087</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46087</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46087</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46087</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46087</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46047-2022</t>
        </is>
      </c>
      <c r="B282" s="1" t="n">
        <v>44846.9522337963</v>
      </c>
      <c r="C282" s="1" t="n">
        <v>46087</v>
      </c>
      <c r="D282" t="inlineStr">
        <is>
          <t>JÄMTLANDS LÄN</t>
        </is>
      </c>
      <c r="E282" t="inlineStr">
        <is>
          <t>RAGUNDA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46087</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46087</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46087</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31484-2022</t>
        </is>
      </c>
      <c r="B286" s="1" t="n">
        <v>44774.94414351852</v>
      </c>
      <c r="C286" s="1" t="n">
        <v>46087</v>
      </c>
      <c r="D286" t="inlineStr">
        <is>
          <t>JÄMTLANDS LÄN</t>
        </is>
      </c>
      <c r="E286" t="inlineStr">
        <is>
          <t>RAGUNDA</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46087</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46087</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46087</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46087</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46087</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46087</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46087</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46087</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46087</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46087</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46087</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46087</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46087</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46087</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46087</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46087</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46087</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46087</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46087</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46087</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46087</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46087</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46087</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46087</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46087</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46087</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46087</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46087</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46087</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46087</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46087</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46087</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46087</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46087</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46087</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46087</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46087</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46087</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46087</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46087</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46087</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46087</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46087</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46087</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46087</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46087</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46087</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46087</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46087</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46087</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46087</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46087</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46087</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46087</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46087</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46087</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46087</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46087</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46087</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46087</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46087</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46087</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46087</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46087</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46087</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46087</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46087</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46087</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46087</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46087</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46087</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46087</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46087</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46087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46087</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46087</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46087</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46087</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46087</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46087</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46087</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46087</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46087</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46087</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46087</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46087</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46087</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46087</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46087</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46087</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46087</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46087</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46087</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46087</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46087</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46087</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46087</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46087</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46087</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46087</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46087</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46087</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46087</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46087</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46087</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46087</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46087</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46087</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46087</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46087</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46087</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46087</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46087</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46087</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46087</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46087</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11147-2025</t>
        </is>
      </c>
      <c r="B403" s="1" t="n">
        <v>45723.67777777778</v>
      </c>
      <c r="C403" s="1" t="n">
        <v>46087</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24280-2021</t>
        </is>
      </c>
      <c r="B404" s="1" t="n">
        <v>44336</v>
      </c>
      <c r="C404" s="1" t="n">
        <v>46087</v>
      </c>
      <c r="D404" t="inlineStr">
        <is>
          <t>JÄMTLANDS LÄN</t>
        </is>
      </c>
      <c r="E404" t="inlineStr">
        <is>
          <t>RAGUNDA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23304-2023</t>
        </is>
      </c>
      <c r="B405" s="1" t="n">
        <v>45075.945</v>
      </c>
      <c r="C405" s="1" t="n">
        <v>46087</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46087</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14821-2025</t>
        </is>
      </c>
      <c r="B407" s="1" t="n">
        <v>45743.36</v>
      </c>
      <c r="C407" s="1" t="n">
        <v>46087</v>
      </c>
      <c r="D407" t="inlineStr">
        <is>
          <t>JÄMTLANDS LÄN</t>
        </is>
      </c>
      <c r="E407" t="inlineStr">
        <is>
          <t>RAGUNDA</t>
        </is>
      </c>
      <c r="F407" t="inlineStr">
        <is>
          <t>Kyrkan</t>
        </is>
      </c>
      <c r="G407" t="n">
        <v>6.4</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46087</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46087</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46087</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64492-2023</t>
        </is>
      </c>
      <c r="B411" s="1" t="n">
        <v>45280.92645833334</v>
      </c>
      <c r="C411" s="1" t="n">
        <v>46087</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28596-2021</t>
        </is>
      </c>
      <c r="B412" s="1" t="n">
        <v>44356</v>
      </c>
      <c r="C412" s="1" t="n">
        <v>46087</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60936-2024</t>
        </is>
      </c>
      <c r="B413" s="1" t="n">
        <v>45645.36743055555</v>
      </c>
      <c r="C413" s="1" t="n">
        <v>46087</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46087</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46087</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46087</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46087</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15611-2024</t>
        </is>
      </c>
      <c r="B418" s="1" t="n">
        <v>45401</v>
      </c>
      <c r="C418" s="1" t="n">
        <v>46087</v>
      </c>
      <c r="D418" t="inlineStr">
        <is>
          <t>JÄMTLANDS LÄN</t>
        </is>
      </c>
      <c r="E418" t="inlineStr">
        <is>
          <t>RAGUNDA</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47749-2025</t>
        </is>
      </c>
      <c r="B419" s="1" t="n">
        <v>45931.65711805555</v>
      </c>
      <c r="C419" s="1" t="n">
        <v>46087</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46087</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59557-2023</t>
        </is>
      </c>
      <c r="B421" s="1" t="n">
        <v>45253</v>
      </c>
      <c r="C421" s="1" t="n">
        <v>46087</v>
      </c>
      <c r="D421" t="inlineStr">
        <is>
          <t>JÄMTLANDS LÄN</t>
        </is>
      </c>
      <c r="E421" t="inlineStr">
        <is>
          <t>RAGUNDA</t>
        </is>
      </c>
      <c r="G421" t="n">
        <v>1</v>
      </c>
      <c r="H421" t="n">
        <v>0</v>
      </c>
      <c r="I421" t="n">
        <v>0</v>
      </c>
      <c r="J421" t="n">
        <v>0</v>
      </c>
      <c r="K421" t="n">
        <v>0</v>
      </c>
      <c r="L421" t="n">
        <v>0</v>
      </c>
      <c r="M421" t="n">
        <v>0</v>
      </c>
      <c r="N421" t="n">
        <v>0</v>
      </c>
      <c r="O421" t="n">
        <v>0</v>
      </c>
      <c r="P421" t="n">
        <v>0</v>
      </c>
      <c r="Q421" t="n">
        <v>0</v>
      </c>
      <c r="R421" s="2" t="inlineStr"/>
    </row>
    <row r="422" ht="15" customHeight="1">
      <c r="A422" t="inlineStr">
        <is>
          <t>A 5930-2025</t>
        </is>
      </c>
      <c r="B422" s="1" t="n">
        <v>45695.44724537037</v>
      </c>
      <c r="C422" s="1" t="n">
        <v>46087</v>
      </c>
      <c r="D422" t="inlineStr">
        <is>
          <t>JÄMTLANDS LÄN</t>
        </is>
      </c>
      <c r="E422" t="inlineStr">
        <is>
          <t>RAGUNDA</t>
        </is>
      </c>
      <c r="G422" t="n">
        <v>0.7</v>
      </c>
      <c r="H422" t="n">
        <v>0</v>
      </c>
      <c r="I422" t="n">
        <v>0</v>
      </c>
      <c r="J422" t="n">
        <v>0</v>
      </c>
      <c r="K422" t="n">
        <v>0</v>
      </c>
      <c r="L422" t="n">
        <v>0</v>
      </c>
      <c r="M422" t="n">
        <v>0</v>
      </c>
      <c r="N422" t="n">
        <v>0</v>
      </c>
      <c r="O422" t="n">
        <v>0</v>
      </c>
      <c r="P422" t="n">
        <v>0</v>
      </c>
      <c r="Q422" t="n">
        <v>0</v>
      </c>
      <c r="R422" s="2" t="inlineStr"/>
    </row>
    <row r="423" ht="15" customHeight="1">
      <c r="A423" t="inlineStr">
        <is>
          <t>A 38664-2022</t>
        </is>
      </c>
      <c r="B423" s="1" t="n">
        <v>44813</v>
      </c>
      <c r="C423" s="1" t="n">
        <v>46087</v>
      </c>
      <c r="D423" t="inlineStr">
        <is>
          <t>JÄMTLANDS LÄN</t>
        </is>
      </c>
      <c r="E423" t="inlineStr">
        <is>
          <t>RAGUNDA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19438-2023</t>
        </is>
      </c>
      <c r="B424" s="1" t="n">
        <v>45049</v>
      </c>
      <c r="C424" s="1" t="n">
        <v>46087</v>
      </c>
      <c r="D424" t="inlineStr">
        <is>
          <t>JÄMTLANDS LÄN</t>
        </is>
      </c>
      <c r="E424" t="inlineStr">
        <is>
          <t>RAGUNDA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46087</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38425-2022</t>
        </is>
      </c>
      <c r="B426" s="1" t="n">
        <v>44812.94709490741</v>
      </c>
      <c r="C426" s="1" t="n">
        <v>46087</v>
      </c>
      <c r="D426" t="inlineStr">
        <is>
          <t>JÄMTLANDS LÄN</t>
        </is>
      </c>
      <c r="E426" t="inlineStr">
        <is>
          <t>RAGUNDA</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36922-2022</t>
        </is>
      </c>
      <c r="B427" s="1" t="n">
        <v>44805.94592592592</v>
      </c>
      <c r="C427" s="1" t="n">
        <v>46087</v>
      </c>
      <c r="D427" t="inlineStr">
        <is>
          <t>JÄMTLANDS LÄN</t>
        </is>
      </c>
      <c r="E427" t="inlineStr">
        <is>
          <t>RAGUNDA</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58847-2024</t>
        </is>
      </c>
      <c r="B428" s="1" t="n">
        <v>45636.3864699074</v>
      </c>
      <c r="C428" s="1" t="n">
        <v>46087</v>
      </c>
      <c r="D428" t="inlineStr">
        <is>
          <t>JÄMTLANDS LÄN</t>
        </is>
      </c>
      <c r="E428" t="inlineStr">
        <is>
          <t>RAGUNDA</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21332-2025</t>
        </is>
      </c>
      <c r="B429" s="1" t="n">
        <v>45782.36506944444</v>
      </c>
      <c r="C429" s="1" t="n">
        <v>46087</v>
      </c>
      <c r="D429" t="inlineStr">
        <is>
          <t>JÄMTLANDS LÄN</t>
        </is>
      </c>
      <c r="E429" t="inlineStr">
        <is>
          <t>RAGUNDA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47748-2025</t>
        </is>
      </c>
      <c r="B430" s="1" t="n">
        <v>45931.65693287037</v>
      </c>
      <c r="C430" s="1" t="n">
        <v>46087</v>
      </c>
      <c r="D430" t="inlineStr">
        <is>
          <t>JÄMTLANDS LÄN</t>
        </is>
      </c>
      <c r="E430" t="inlineStr">
        <is>
          <t>RAGUNDA</t>
        </is>
      </c>
      <c r="F430" t="inlineStr">
        <is>
          <t>SCA</t>
        </is>
      </c>
      <c r="G430" t="n">
        <v>8.6</v>
      </c>
      <c r="H430" t="n">
        <v>0</v>
      </c>
      <c r="I430" t="n">
        <v>0</v>
      </c>
      <c r="J430" t="n">
        <v>0</v>
      </c>
      <c r="K430" t="n">
        <v>0</v>
      </c>
      <c r="L430" t="n">
        <v>0</v>
      </c>
      <c r="M430" t="n">
        <v>0</v>
      </c>
      <c r="N430" t="n">
        <v>0</v>
      </c>
      <c r="O430" t="n">
        <v>0</v>
      </c>
      <c r="P430" t="n">
        <v>0</v>
      </c>
      <c r="Q430" t="n">
        <v>0</v>
      </c>
      <c r="R430" s="2" t="inlineStr"/>
    </row>
    <row r="431" ht="15" customHeight="1">
      <c r="A431" t="inlineStr">
        <is>
          <t>A 14513-2025</t>
        </is>
      </c>
      <c r="B431" s="1" t="n">
        <v>45741.63675925926</v>
      </c>
      <c r="C431" s="1" t="n">
        <v>46087</v>
      </c>
      <c r="D431" t="inlineStr">
        <is>
          <t>JÄMTLANDS LÄN</t>
        </is>
      </c>
      <c r="E431" t="inlineStr">
        <is>
          <t>RAGUNDA</t>
        </is>
      </c>
      <c r="F431" t="inlineStr">
        <is>
          <t>SCA</t>
        </is>
      </c>
      <c r="G431" t="n">
        <v>6.8</v>
      </c>
      <c r="H431" t="n">
        <v>0</v>
      </c>
      <c r="I431" t="n">
        <v>0</v>
      </c>
      <c r="J431" t="n">
        <v>0</v>
      </c>
      <c r="K431" t="n">
        <v>0</v>
      </c>
      <c r="L431" t="n">
        <v>0</v>
      </c>
      <c r="M431" t="n">
        <v>0</v>
      </c>
      <c r="N431" t="n">
        <v>0</v>
      </c>
      <c r="O431" t="n">
        <v>0</v>
      </c>
      <c r="P431" t="n">
        <v>0</v>
      </c>
      <c r="Q431" t="n">
        <v>0</v>
      </c>
      <c r="R431" s="2" t="inlineStr"/>
    </row>
    <row r="432" ht="15" customHeight="1">
      <c r="A432" t="inlineStr">
        <is>
          <t>A 48528-2025</t>
        </is>
      </c>
      <c r="B432" s="1" t="n">
        <v>45936.40758101852</v>
      </c>
      <c r="C432" s="1" t="n">
        <v>46087</v>
      </c>
      <c r="D432" t="inlineStr">
        <is>
          <t>JÄMTLANDS LÄN</t>
        </is>
      </c>
      <c r="E432" t="inlineStr">
        <is>
          <t>RAGUNDA</t>
        </is>
      </c>
      <c r="F432" t="inlineStr">
        <is>
          <t>SCA</t>
        </is>
      </c>
      <c r="G432" t="n">
        <v>6.8</v>
      </c>
      <c r="H432" t="n">
        <v>0</v>
      </c>
      <c r="I432" t="n">
        <v>0</v>
      </c>
      <c r="J432" t="n">
        <v>0</v>
      </c>
      <c r="K432" t="n">
        <v>0</v>
      </c>
      <c r="L432" t="n">
        <v>0</v>
      </c>
      <c r="M432" t="n">
        <v>0</v>
      </c>
      <c r="N432" t="n">
        <v>0</v>
      </c>
      <c r="O432" t="n">
        <v>0</v>
      </c>
      <c r="P432" t="n">
        <v>0</v>
      </c>
      <c r="Q432" t="n">
        <v>0</v>
      </c>
      <c r="R432" s="2" t="inlineStr"/>
    </row>
    <row r="433" ht="15" customHeight="1">
      <c r="A433" t="inlineStr">
        <is>
          <t>A 9326-2024</t>
        </is>
      </c>
      <c r="B433" s="1" t="n">
        <v>45358.95818287037</v>
      </c>
      <c r="C433" s="1" t="n">
        <v>46087</v>
      </c>
      <c r="D433" t="inlineStr">
        <is>
          <t>JÄMTLANDS LÄN</t>
        </is>
      </c>
      <c r="E433" t="inlineStr">
        <is>
          <t>RAGUNDA</t>
        </is>
      </c>
      <c r="G433" t="n">
        <v>0.7</v>
      </c>
      <c r="H433" t="n">
        <v>0</v>
      </c>
      <c r="I433" t="n">
        <v>0</v>
      </c>
      <c r="J433" t="n">
        <v>0</v>
      </c>
      <c r="K433" t="n">
        <v>0</v>
      </c>
      <c r="L433" t="n">
        <v>0</v>
      </c>
      <c r="M433" t="n">
        <v>0</v>
      </c>
      <c r="N433" t="n">
        <v>0</v>
      </c>
      <c r="O433" t="n">
        <v>0</v>
      </c>
      <c r="P433" t="n">
        <v>0</v>
      </c>
      <c r="Q433" t="n">
        <v>0</v>
      </c>
      <c r="R433" s="2" t="inlineStr"/>
    </row>
    <row r="434" ht="15" customHeight="1">
      <c r="A434" t="inlineStr">
        <is>
          <t>A 7722-2023</t>
        </is>
      </c>
      <c r="B434" s="1" t="n">
        <v>44972.94140046297</v>
      </c>
      <c r="C434" s="1" t="n">
        <v>46087</v>
      </c>
      <c r="D434" t="inlineStr">
        <is>
          <t>JÄMTLANDS LÄN</t>
        </is>
      </c>
      <c r="E434" t="inlineStr">
        <is>
          <t>RAGUNDA</t>
        </is>
      </c>
      <c r="F434" t="inlineStr">
        <is>
          <t>SCA</t>
        </is>
      </c>
      <c r="G434" t="n">
        <v>5.4</v>
      </c>
      <c r="H434" t="n">
        <v>0</v>
      </c>
      <c r="I434" t="n">
        <v>0</v>
      </c>
      <c r="J434" t="n">
        <v>0</v>
      </c>
      <c r="K434" t="n">
        <v>0</v>
      </c>
      <c r="L434" t="n">
        <v>0</v>
      </c>
      <c r="M434" t="n">
        <v>0</v>
      </c>
      <c r="N434" t="n">
        <v>0</v>
      </c>
      <c r="O434" t="n">
        <v>0</v>
      </c>
      <c r="P434" t="n">
        <v>0</v>
      </c>
      <c r="Q434" t="n">
        <v>0</v>
      </c>
      <c r="R434" s="2" t="inlineStr"/>
    </row>
    <row r="435" ht="15" customHeight="1">
      <c r="A435" t="inlineStr">
        <is>
          <t>A 48742-2025</t>
        </is>
      </c>
      <c r="B435" s="1" t="n">
        <v>45936.67810185185</v>
      </c>
      <c r="C435" s="1" t="n">
        <v>46087</v>
      </c>
      <c r="D435" t="inlineStr">
        <is>
          <t>JÄMTLANDS LÄN</t>
        </is>
      </c>
      <c r="E435" t="inlineStr">
        <is>
          <t>RAGUNDA</t>
        </is>
      </c>
      <c r="F435" t="inlineStr">
        <is>
          <t>SCA</t>
        </is>
      </c>
      <c r="G435" t="n">
        <v>8.9</v>
      </c>
      <c r="H435" t="n">
        <v>0</v>
      </c>
      <c r="I435" t="n">
        <v>0</v>
      </c>
      <c r="J435" t="n">
        <v>0</v>
      </c>
      <c r="K435" t="n">
        <v>0</v>
      </c>
      <c r="L435" t="n">
        <v>0</v>
      </c>
      <c r="M435" t="n">
        <v>0</v>
      </c>
      <c r="N435" t="n">
        <v>0</v>
      </c>
      <c r="O435" t="n">
        <v>0</v>
      </c>
      <c r="P435" t="n">
        <v>0</v>
      </c>
      <c r="Q435" t="n">
        <v>0</v>
      </c>
      <c r="R435" s="2" t="inlineStr"/>
    </row>
    <row r="436" ht="15" customHeight="1">
      <c r="A436" t="inlineStr">
        <is>
          <t>A 20653-2025</t>
        </is>
      </c>
      <c r="B436" s="1" t="n">
        <v>45776.40311342593</v>
      </c>
      <c r="C436" s="1" t="n">
        <v>46087</v>
      </c>
      <c r="D436" t="inlineStr">
        <is>
          <t>JÄMTLANDS LÄN</t>
        </is>
      </c>
      <c r="E436" t="inlineStr">
        <is>
          <t>RAGUNDA</t>
        </is>
      </c>
      <c r="G436" t="n">
        <v>10.8</v>
      </c>
      <c r="H436" t="n">
        <v>0</v>
      </c>
      <c r="I436" t="n">
        <v>0</v>
      </c>
      <c r="J436" t="n">
        <v>0</v>
      </c>
      <c r="K436" t="n">
        <v>0</v>
      </c>
      <c r="L436" t="n">
        <v>0</v>
      </c>
      <c r="M436" t="n">
        <v>0</v>
      </c>
      <c r="N436" t="n">
        <v>0</v>
      </c>
      <c r="O436" t="n">
        <v>0</v>
      </c>
      <c r="P436" t="n">
        <v>0</v>
      </c>
      <c r="Q436" t="n">
        <v>0</v>
      </c>
      <c r="R436" s="2" t="inlineStr"/>
    </row>
    <row r="437" ht="15" customHeight="1">
      <c r="A437" t="inlineStr">
        <is>
          <t>A 7281-2025</t>
        </is>
      </c>
      <c r="B437" s="1" t="n">
        <v>45702.63572916666</v>
      </c>
      <c r="C437" s="1" t="n">
        <v>46087</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20777-2025</t>
        </is>
      </c>
      <c r="B438" s="1" t="n">
        <v>45776.59422453704</v>
      </c>
      <c r="C438" s="1" t="n">
        <v>46087</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20722-2025</t>
        </is>
      </c>
      <c r="B439" s="1" t="n">
        <v>45776.50651620371</v>
      </c>
      <c r="C439" s="1" t="n">
        <v>46087</v>
      </c>
      <c r="D439" t="inlineStr">
        <is>
          <t>JÄMTLANDS LÄN</t>
        </is>
      </c>
      <c r="E439" t="inlineStr">
        <is>
          <t>RAGUNDA</t>
        </is>
      </c>
      <c r="F439" t="inlineStr">
        <is>
          <t>Kommuner</t>
        </is>
      </c>
      <c r="G439" t="n">
        <v>0.8</v>
      </c>
      <c r="H439" t="n">
        <v>0</v>
      </c>
      <c r="I439" t="n">
        <v>0</v>
      </c>
      <c r="J439" t="n">
        <v>0</v>
      </c>
      <c r="K439" t="n">
        <v>0</v>
      </c>
      <c r="L439" t="n">
        <v>0</v>
      </c>
      <c r="M439" t="n">
        <v>0</v>
      </c>
      <c r="N439" t="n">
        <v>0</v>
      </c>
      <c r="O439" t="n">
        <v>0</v>
      </c>
      <c r="P439" t="n">
        <v>0</v>
      </c>
      <c r="Q439" t="n">
        <v>0</v>
      </c>
      <c r="R439" s="2" t="inlineStr"/>
    </row>
    <row r="440" ht="15" customHeight="1">
      <c r="A440" t="inlineStr">
        <is>
          <t>A 20728-2025</t>
        </is>
      </c>
      <c r="B440" s="1" t="n">
        <v>45776.51130787037</v>
      </c>
      <c r="C440" s="1" t="n">
        <v>46087</v>
      </c>
      <c r="D440" t="inlineStr">
        <is>
          <t>JÄMTLANDS LÄN</t>
        </is>
      </c>
      <c r="E440" t="inlineStr">
        <is>
          <t>RAGUNDA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13935-2024</t>
        </is>
      </c>
      <c r="B441" s="1" t="n">
        <v>45391.95329861111</v>
      </c>
      <c r="C441" s="1" t="n">
        <v>46087</v>
      </c>
      <c r="D441" t="inlineStr">
        <is>
          <t>JÄMTLANDS LÄN</t>
        </is>
      </c>
      <c r="E441" t="inlineStr">
        <is>
          <t>RAGUNDA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48748-2025</t>
        </is>
      </c>
      <c r="B442" s="1" t="n">
        <v>45936.67912037037</v>
      </c>
      <c r="C442" s="1" t="n">
        <v>46087</v>
      </c>
      <c r="D442" t="inlineStr">
        <is>
          <t>JÄMTLANDS LÄN</t>
        </is>
      </c>
      <c r="E442" t="inlineStr">
        <is>
          <t>RAGUNDA</t>
        </is>
      </c>
      <c r="F442" t="inlineStr">
        <is>
          <t>SCA</t>
        </is>
      </c>
      <c r="G442" t="n">
        <v>11.1</v>
      </c>
      <c r="H442" t="n">
        <v>0</v>
      </c>
      <c r="I442" t="n">
        <v>0</v>
      </c>
      <c r="J442" t="n">
        <v>0</v>
      </c>
      <c r="K442" t="n">
        <v>0</v>
      </c>
      <c r="L442" t="n">
        <v>0</v>
      </c>
      <c r="M442" t="n">
        <v>0</v>
      </c>
      <c r="N442" t="n">
        <v>0</v>
      </c>
      <c r="O442" t="n">
        <v>0</v>
      </c>
      <c r="P442" t="n">
        <v>0</v>
      </c>
      <c r="Q442" t="n">
        <v>0</v>
      </c>
      <c r="R442" s="2" t="inlineStr"/>
    </row>
    <row r="443" ht="15" customHeight="1">
      <c r="A443" t="inlineStr">
        <is>
          <t>A 18777-2024</t>
        </is>
      </c>
      <c r="B443" s="1" t="n">
        <v>45426</v>
      </c>
      <c r="C443" s="1" t="n">
        <v>46087</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21430-2025</t>
        </is>
      </c>
      <c r="B444" s="1" t="n">
        <v>45782.51099537037</v>
      </c>
      <c r="C444" s="1" t="n">
        <v>46087</v>
      </c>
      <c r="D444" t="inlineStr">
        <is>
          <t>JÄMTLANDS LÄN</t>
        </is>
      </c>
      <c r="E444" t="inlineStr">
        <is>
          <t>RAGUNDA</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48746-2025</t>
        </is>
      </c>
      <c r="B445" s="1" t="n">
        <v>45936.67878472222</v>
      </c>
      <c r="C445" s="1" t="n">
        <v>46087</v>
      </c>
      <c r="D445" t="inlineStr">
        <is>
          <t>JÄMTLANDS LÄN</t>
        </is>
      </c>
      <c r="E445" t="inlineStr">
        <is>
          <t>RAGUNDA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21432-2025</t>
        </is>
      </c>
      <c r="B446" s="1" t="n">
        <v>45782.51109953703</v>
      </c>
      <c r="C446" s="1" t="n">
        <v>46087</v>
      </c>
      <c r="D446" t="inlineStr">
        <is>
          <t>JÄMTLANDS LÄN</t>
        </is>
      </c>
      <c r="E446" t="inlineStr">
        <is>
          <t>RAGUNDA</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21550-2025</t>
        </is>
      </c>
      <c r="B447" s="1" t="n">
        <v>45782.67758101852</v>
      </c>
      <c r="C447" s="1" t="n">
        <v>46087</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21451-2025</t>
        </is>
      </c>
      <c r="B448" s="1" t="n">
        <v>45782.55287037037</v>
      </c>
      <c r="C448" s="1" t="n">
        <v>46087</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21150-2025</t>
        </is>
      </c>
      <c r="B449" s="1" t="n">
        <v>45779.34417824074</v>
      </c>
      <c r="C449" s="1" t="n">
        <v>46087</v>
      </c>
      <c r="D449" t="inlineStr">
        <is>
          <t>JÄMTLANDS LÄN</t>
        </is>
      </c>
      <c r="E449" t="inlineStr">
        <is>
          <t>RAGUNDA</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21331-2025</t>
        </is>
      </c>
      <c r="B450" s="1" t="n">
        <v>45782.36494212963</v>
      </c>
      <c r="C450" s="1" t="n">
        <v>46087</v>
      </c>
      <c r="D450" t="inlineStr">
        <is>
          <t>JÄMTLANDS LÄN</t>
        </is>
      </c>
      <c r="E450" t="inlineStr">
        <is>
          <t>RAGUNDA</t>
        </is>
      </c>
      <c r="F450" t="inlineStr">
        <is>
          <t>SCA</t>
        </is>
      </c>
      <c r="G450" t="n">
        <v>23.1</v>
      </c>
      <c r="H450" t="n">
        <v>0</v>
      </c>
      <c r="I450" t="n">
        <v>0</v>
      </c>
      <c r="J450" t="n">
        <v>0</v>
      </c>
      <c r="K450" t="n">
        <v>0</v>
      </c>
      <c r="L450" t="n">
        <v>0</v>
      </c>
      <c r="M450" t="n">
        <v>0</v>
      </c>
      <c r="N450" t="n">
        <v>0</v>
      </c>
      <c r="O450" t="n">
        <v>0</v>
      </c>
      <c r="P450" t="n">
        <v>0</v>
      </c>
      <c r="Q450" t="n">
        <v>0</v>
      </c>
      <c r="R450" s="2" t="inlineStr"/>
      <c r="U450">
        <f>HYPERLINK("https://klasma.github.io/Logging_2303/knärot/A 21331-2025 karta knärot.png", "A 21331-2025")</f>
        <v/>
      </c>
      <c r="V450">
        <f>HYPERLINK("https://klasma.github.io/Logging_2303/klagomål/A 21331-2025 FSC-klagomål.docx", "A 21331-2025")</f>
        <v/>
      </c>
      <c r="W450">
        <f>HYPERLINK("https://klasma.github.io/Logging_2303/klagomålsmail/A 21331-2025 FSC-klagomål mail.docx", "A 21331-2025")</f>
        <v/>
      </c>
      <c r="X450">
        <f>HYPERLINK("https://klasma.github.io/Logging_2303/tillsyn/A 21331-2025 tillsynsbegäran.docx", "A 21331-2025")</f>
        <v/>
      </c>
      <c r="Y450">
        <f>HYPERLINK("https://klasma.github.io/Logging_2303/tillsynsmail/A 21331-2025 tillsynsbegäran mail.docx", "A 21331-2025")</f>
        <v/>
      </c>
    </row>
    <row r="451" ht="15" customHeight="1">
      <c r="A451" t="inlineStr">
        <is>
          <t>A 21214-2025</t>
        </is>
      </c>
      <c r="B451" s="1" t="n">
        <v>45779.49025462963</v>
      </c>
      <c r="C451" s="1" t="n">
        <v>46087</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22941-2024</t>
        </is>
      </c>
      <c r="B452" s="1" t="n">
        <v>45448.94520833333</v>
      </c>
      <c r="C452" s="1" t="n">
        <v>46087</v>
      </c>
      <c r="D452" t="inlineStr">
        <is>
          <t>JÄMTLANDS LÄN</t>
        </is>
      </c>
      <c r="E452" t="inlineStr">
        <is>
          <t>RAGUNDA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49059-2025</t>
        </is>
      </c>
      <c r="B453" s="1" t="n">
        <v>45937.64123842592</v>
      </c>
      <c r="C453" s="1" t="n">
        <v>46087</v>
      </c>
      <c r="D453" t="inlineStr">
        <is>
          <t>JÄMTLANDS LÄN</t>
        </is>
      </c>
      <c r="E453" t="inlineStr">
        <is>
          <t>RAGUNDA</t>
        </is>
      </c>
      <c r="G453" t="n">
        <v>2.1</v>
      </c>
      <c r="H453" t="n">
        <v>0</v>
      </c>
      <c r="I453" t="n">
        <v>0</v>
      </c>
      <c r="J453" t="n">
        <v>0</v>
      </c>
      <c r="K453" t="n">
        <v>0</v>
      </c>
      <c r="L453" t="n">
        <v>0</v>
      </c>
      <c r="M453" t="n">
        <v>0</v>
      </c>
      <c r="N453" t="n">
        <v>0</v>
      </c>
      <c r="O453" t="n">
        <v>0</v>
      </c>
      <c r="P453" t="n">
        <v>0</v>
      </c>
      <c r="Q453" t="n">
        <v>0</v>
      </c>
      <c r="R453" s="2" t="inlineStr"/>
    </row>
    <row r="454" ht="15" customHeight="1">
      <c r="A454" t="inlineStr">
        <is>
          <t>A 49092-2025</t>
        </is>
      </c>
      <c r="B454" s="1" t="n">
        <v>45937.67792824074</v>
      </c>
      <c r="C454" s="1" t="n">
        <v>46087</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49193-2025</t>
        </is>
      </c>
      <c r="B455" s="1" t="n">
        <v>45938.40831018519</v>
      </c>
      <c r="C455" s="1" t="n">
        <v>46087</v>
      </c>
      <c r="D455" t="inlineStr">
        <is>
          <t>JÄMTLANDS LÄN</t>
        </is>
      </c>
      <c r="E455" t="inlineStr">
        <is>
          <t>RAGUNDA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59670-2023</t>
        </is>
      </c>
      <c r="B456" s="1" t="n">
        <v>45254.96516203704</v>
      </c>
      <c r="C456" s="1" t="n">
        <v>46087</v>
      </c>
      <c r="D456" t="inlineStr">
        <is>
          <t>JÄMTLANDS LÄN</t>
        </is>
      </c>
      <c r="E456" t="inlineStr">
        <is>
          <t>RAGUNDA</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44881-2023</t>
        </is>
      </c>
      <c r="B457" s="1" t="n">
        <v>45187</v>
      </c>
      <c r="C457" s="1" t="n">
        <v>46087</v>
      </c>
      <c r="D457" t="inlineStr">
        <is>
          <t>JÄMTLANDS LÄN</t>
        </is>
      </c>
      <c r="E457" t="inlineStr">
        <is>
          <t>RAGUNDA</t>
        </is>
      </c>
      <c r="G457" t="n">
        <v>2.4</v>
      </c>
      <c r="H457" t="n">
        <v>0</v>
      </c>
      <c r="I457" t="n">
        <v>0</v>
      </c>
      <c r="J457" t="n">
        <v>0</v>
      </c>
      <c r="K457" t="n">
        <v>0</v>
      </c>
      <c r="L457" t="n">
        <v>0</v>
      </c>
      <c r="M457" t="n">
        <v>0</v>
      </c>
      <c r="N457" t="n">
        <v>0</v>
      </c>
      <c r="O457" t="n">
        <v>0</v>
      </c>
      <c r="P457" t="n">
        <v>0</v>
      </c>
      <c r="Q457" t="n">
        <v>0</v>
      </c>
      <c r="R457" s="2" t="inlineStr"/>
    </row>
    <row r="458" ht="15" customHeight="1">
      <c r="A458" t="inlineStr">
        <is>
          <t>A 58193-2022</t>
        </is>
      </c>
      <c r="B458" s="1" t="n">
        <v>44900.95700231481</v>
      </c>
      <c r="C458" s="1" t="n">
        <v>46087</v>
      </c>
      <c r="D458" t="inlineStr">
        <is>
          <t>JÄMTLANDS LÄN</t>
        </is>
      </c>
      <c r="E458" t="inlineStr">
        <is>
          <t>RAGUNDA</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49290-2025</t>
        </is>
      </c>
      <c r="B459" s="1" t="n">
        <v>45938.53168981482</v>
      </c>
      <c r="C459" s="1" t="n">
        <v>46087</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18194-2025</t>
        </is>
      </c>
      <c r="B460" s="1" t="n">
        <v>45761.67744212963</v>
      </c>
      <c r="C460" s="1" t="n">
        <v>46087</v>
      </c>
      <c r="D460" t="inlineStr">
        <is>
          <t>JÄMTLANDS LÄN</t>
        </is>
      </c>
      <c r="E460" t="inlineStr">
        <is>
          <t>RAGUNDA</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26991-2023</t>
        </is>
      </c>
      <c r="B461" s="1" t="n">
        <v>45093.92207175926</v>
      </c>
      <c r="C461" s="1" t="n">
        <v>46087</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49238-2025</t>
        </is>
      </c>
      <c r="B462" s="1" t="n">
        <v>45938.48231481481</v>
      </c>
      <c r="C462" s="1" t="n">
        <v>46087</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13299-2024</t>
        </is>
      </c>
      <c r="B463" s="1" t="n">
        <v>45386.68003472222</v>
      </c>
      <c r="C463" s="1" t="n">
        <v>46087</v>
      </c>
      <c r="D463" t="inlineStr">
        <is>
          <t>JÄMTLANDS LÄN</t>
        </is>
      </c>
      <c r="E463" t="inlineStr">
        <is>
          <t>RAGUNDA</t>
        </is>
      </c>
      <c r="G463" t="n">
        <v>1.9</v>
      </c>
      <c r="H463" t="n">
        <v>0</v>
      </c>
      <c r="I463" t="n">
        <v>0</v>
      </c>
      <c r="J463" t="n">
        <v>0</v>
      </c>
      <c r="K463" t="n">
        <v>0</v>
      </c>
      <c r="L463" t="n">
        <v>0</v>
      </c>
      <c r="M463" t="n">
        <v>0</v>
      </c>
      <c r="N463" t="n">
        <v>0</v>
      </c>
      <c r="O463" t="n">
        <v>0</v>
      </c>
      <c r="P463" t="n">
        <v>0</v>
      </c>
      <c r="Q463" t="n">
        <v>0</v>
      </c>
      <c r="R463" s="2" t="inlineStr"/>
    </row>
    <row r="464" ht="15" customHeight="1">
      <c r="A464" t="inlineStr">
        <is>
          <t>A 58537-2022</t>
        </is>
      </c>
      <c r="B464" s="1" t="n">
        <v>44894</v>
      </c>
      <c r="C464" s="1" t="n">
        <v>46087</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53347-2023</t>
        </is>
      </c>
      <c r="B465" s="1" t="n">
        <v>45223</v>
      </c>
      <c r="C465" s="1" t="n">
        <v>46087</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22948-2024</t>
        </is>
      </c>
      <c r="B466" s="1" t="n">
        <v>45448.94600694445</v>
      </c>
      <c r="C466" s="1" t="n">
        <v>46087</v>
      </c>
      <c r="D466" t="inlineStr">
        <is>
          <t>JÄMTLANDS LÄN</t>
        </is>
      </c>
      <c r="E466" t="inlineStr">
        <is>
          <t>RAGUNDA</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49639-2025</t>
        </is>
      </c>
      <c r="B467" s="1" t="n">
        <v>45939.61253472222</v>
      </c>
      <c r="C467" s="1" t="n">
        <v>46087</v>
      </c>
      <c r="D467" t="inlineStr">
        <is>
          <t>JÄMTLANDS LÄN</t>
        </is>
      </c>
      <c r="E467" t="inlineStr">
        <is>
          <t>RAGUNDA</t>
        </is>
      </c>
      <c r="F467" t="inlineStr">
        <is>
          <t>Kommuner</t>
        </is>
      </c>
      <c r="G467" t="n">
        <v>13.6</v>
      </c>
      <c r="H467" t="n">
        <v>0</v>
      </c>
      <c r="I467" t="n">
        <v>0</v>
      </c>
      <c r="J467" t="n">
        <v>0</v>
      </c>
      <c r="K467" t="n">
        <v>0</v>
      </c>
      <c r="L467" t="n">
        <v>0</v>
      </c>
      <c r="M467" t="n">
        <v>0</v>
      </c>
      <c r="N467" t="n">
        <v>0</v>
      </c>
      <c r="O467" t="n">
        <v>0</v>
      </c>
      <c r="P467" t="n">
        <v>0</v>
      </c>
      <c r="Q467" t="n">
        <v>0</v>
      </c>
      <c r="R467" s="2" t="inlineStr"/>
    </row>
    <row r="468" ht="15" customHeight="1">
      <c r="A468" t="inlineStr">
        <is>
          <t>A 53678-2022</t>
        </is>
      </c>
      <c r="B468" s="1" t="n">
        <v>44879.95768518518</v>
      </c>
      <c r="C468" s="1" t="n">
        <v>46087</v>
      </c>
      <c r="D468" t="inlineStr">
        <is>
          <t>JÄMTLANDS LÄN</t>
        </is>
      </c>
      <c r="E468" t="inlineStr">
        <is>
          <t>RAGUNDA</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14369-2024</t>
        </is>
      </c>
      <c r="B469" s="1" t="n">
        <v>45393.94459490741</v>
      </c>
      <c r="C469" s="1" t="n">
        <v>46087</v>
      </c>
      <c r="D469" t="inlineStr">
        <is>
          <t>JÄMTLANDS LÄN</t>
        </is>
      </c>
      <c r="E469" t="inlineStr">
        <is>
          <t>RAGUNDA</t>
        </is>
      </c>
      <c r="F469" t="inlineStr">
        <is>
          <t>Naturvårdsverket</t>
        </is>
      </c>
      <c r="G469" t="n">
        <v>1.8</v>
      </c>
      <c r="H469" t="n">
        <v>0</v>
      </c>
      <c r="I469" t="n">
        <v>0</v>
      </c>
      <c r="J469" t="n">
        <v>0</v>
      </c>
      <c r="K469" t="n">
        <v>0</v>
      </c>
      <c r="L469" t="n">
        <v>0</v>
      </c>
      <c r="M469" t="n">
        <v>0</v>
      </c>
      <c r="N469" t="n">
        <v>0</v>
      </c>
      <c r="O469" t="n">
        <v>0</v>
      </c>
      <c r="P469" t="n">
        <v>0</v>
      </c>
      <c r="Q469" t="n">
        <v>0</v>
      </c>
      <c r="R469" s="2" t="inlineStr"/>
    </row>
    <row r="470" ht="15" customHeight="1">
      <c r="A470" t="inlineStr">
        <is>
          <t>A 10639-2024</t>
        </is>
      </c>
      <c r="B470" s="1" t="n">
        <v>45367.67256944445</v>
      </c>
      <c r="C470" s="1" t="n">
        <v>46087</v>
      </c>
      <c r="D470" t="inlineStr">
        <is>
          <t>JÄMTLANDS LÄN</t>
        </is>
      </c>
      <c r="E470" t="inlineStr">
        <is>
          <t>RAGUNDA</t>
        </is>
      </c>
      <c r="G470" t="n">
        <v>2</v>
      </c>
      <c r="H470" t="n">
        <v>0</v>
      </c>
      <c r="I470" t="n">
        <v>0</v>
      </c>
      <c r="J470" t="n">
        <v>0</v>
      </c>
      <c r="K470" t="n">
        <v>0</v>
      </c>
      <c r="L470" t="n">
        <v>0</v>
      </c>
      <c r="M470" t="n">
        <v>0</v>
      </c>
      <c r="N470" t="n">
        <v>0</v>
      </c>
      <c r="O470" t="n">
        <v>0</v>
      </c>
      <c r="P470" t="n">
        <v>0</v>
      </c>
      <c r="Q470" t="n">
        <v>0</v>
      </c>
      <c r="R470" s="2" t="inlineStr"/>
    </row>
    <row r="471" ht="15" customHeight="1">
      <c r="A471" t="inlineStr">
        <is>
          <t>A 39192-2025</t>
        </is>
      </c>
      <c r="B471" s="1" t="n">
        <v>45888.6775</v>
      </c>
      <c r="C471" s="1" t="n">
        <v>46087</v>
      </c>
      <c r="D471" t="inlineStr">
        <is>
          <t>JÄMTLANDS LÄN</t>
        </is>
      </c>
      <c r="E471" t="inlineStr">
        <is>
          <t>RAGUNDA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34088-2025</t>
        </is>
      </c>
      <c r="B472" s="1" t="n">
        <v>45845</v>
      </c>
      <c r="C472" s="1" t="n">
        <v>46087</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28216-2025</t>
        </is>
      </c>
      <c r="B473" s="1" t="n">
        <v>45818.46898148148</v>
      </c>
      <c r="C473" s="1" t="n">
        <v>46087</v>
      </c>
      <c r="D473" t="inlineStr">
        <is>
          <t>JÄMTLANDS LÄN</t>
        </is>
      </c>
      <c r="E473" t="inlineStr">
        <is>
          <t>RAGUNDA</t>
        </is>
      </c>
      <c r="G473" t="n">
        <v>6.6</v>
      </c>
      <c r="H473" t="n">
        <v>0</v>
      </c>
      <c r="I473" t="n">
        <v>0</v>
      </c>
      <c r="J473" t="n">
        <v>0</v>
      </c>
      <c r="K473" t="n">
        <v>0</v>
      </c>
      <c r="L473" t="n">
        <v>0</v>
      </c>
      <c r="M473" t="n">
        <v>0</v>
      </c>
      <c r="N473" t="n">
        <v>0</v>
      </c>
      <c r="O473" t="n">
        <v>0</v>
      </c>
      <c r="P473" t="n">
        <v>0</v>
      </c>
      <c r="Q473" t="n">
        <v>0</v>
      </c>
      <c r="R473" s="2" t="inlineStr"/>
    </row>
    <row r="474" ht="15" customHeight="1">
      <c r="A474" t="inlineStr">
        <is>
          <t>A 50649-2022</t>
        </is>
      </c>
      <c r="B474" s="1" t="n">
        <v>44866</v>
      </c>
      <c r="C474" s="1" t="n">
        <v>46087</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49994-2025</t>
        </is>
      </c>
      <c r="B475" s="1" t="n">
        <v>45942.96922453704</v>
      </c>
      <c r="C475" s="1" t="n">
        <v>46087</v>
      </c>
      <c r="D475" t="inlineStr">
        <is>
          <t>JÄMTLANDS LÄN</t>
        </is>
      </c>
      <c r="E475" t="inlineStr">
        <is>
          <t>RAGUNDA</t>
        </is>
      </c>
      <c r="G475" t="n">
        <v>4.5</v>
      </c>
      <c r="H475" t="n">
        <v>0</v>
      </c>
      <c r="I475" t="n">
        <v>0</v>
      </c>
      <c r="J475" t="n">
        <v>0</v>
      </c>
      <c r="K475" t="n">
        <v>0</v>
      </c>
      <c r="L475" t="n">
        <v>0</v>
      </c>
      <c r="M475" t="n">
        <v>0</v>
      </c>
      <c r="N475" t="n">
        <v>0</v>
      </c>
      <c r="O475" t="n">
        <v>0</v>
      </c>
      <c r="P475" t="n">
        <v>0</v>
      </c>
      <c r="Q475" t="n">
        <v>0</v>
      </c>
      <c r="R475" s="2" t="inlineStr"/>
    </row>
    <row r="476" ht="15" customHeight="1">
      <c r="A476" t="inlineStr">
        <is>
          <t>A 49995-2025</t>
        </is>
      </c>
      <c r="B476" s="1" t="n">
        <v>45943.00986111111</v>
      </c>
      <c r="C476" s="1" t="n">
        <v>46087</v>
      </c>
      <c r="D476" t="inlineStr">
        <is>
          <t>JÄMTLANDS LÄN</t>
        </is>
      </c>
      <c r="E476" t="inlineStr">
        <is>
          <t>RAGUNDA</t>
        </is>
      </c>
      <c r="G476" t="n">
        <v>2.5</v>
      </c>
      <c r="H476" t="n">
        <v>0</v>
      </c>
      <c r="I476" t="n">
        <v>0</v>
      </c>
      <c r="J476" t="n">
        <v>0</v>
      </c>
      <c r="K476" t="n">
        <v>0</v>
      </c>
      <c r="L476" t="n">
        <v>0</v>
      </c>
      <c r="M476" t="n">
        <v>0</v>
      </c>
      <c r="N476" t="n">
        <v>0</v>
      </c>
      <c r="O476" t="n">
        <v>0</v>
      </c>
      <c r="P476" t="n">
        <v>0</v>
      </c>
      <c r="Q476" t="n">
        <v>0</v>
      </c>
      <c r="R476" s="2" t="inlineStr"/>
    </row>
    <row r="477" ht="15" customHeight="1">
      <c r="A477" t="inlineStr">
        <is>
          <t>A 50098-2025</t>
        </is>
      </c>
      <c r="B477" s="1" t="n">
        <v>45943.51086805556</v>
      </c>
      <c r="C477" s="1" t="n">
        <v>46087</v>
      </c>
      <c r="D477" t="inlineStr">
        <is>
          <t>JÄMTLANDS LÄN</t>
        </is>
      </c>
      <c r="E477" t="inlineStr">
        <is>
          <t>RAGUNDA</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50126-2025</t>
        </is>
      </c>
      <c r="B478" s="1" t="n">
        <v>45943.55271990741</v>
      </c>
      <c r="C478" s="1" t="n">
        <v>46087</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50081-2025</t>
        </is>
      </c>
      <c r="B479" s="1" t="n">
        <v>45943.46954861111</v>
      </c>
      <c r="C479" s="1" t="n">
        <v>46087</v>
      </c>
      <c r="D479" t="inlineStr">
        <is>
          <t>JÄMTLANDS LÄN</t>
        </is>
      </c>
      <c r="E479" t="inlineStr">
        <is>
          <t>RAGUNDA</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50260-2025</t>
        </is>
      </c>
      <c r="B480" s="1" t="n">
        <v>45944.34515046296</v>
      </c>
      <c r="C480" s="1" t="n">
        <v>46087</v>
      </c>
      <c r="D480" t="inlineStr">
        <is>
          <t>JÄMTLANDS LÄN</t>
        </is>
      </c>
      <c r="E480" t="inlineStr">
        <is>
          <t>RAGUNDA</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60195-2023</t>
        </is>
      </c>
      <c r="B481" s="1" t="n">
        <v>45257</v>
      </c>
      <c r="C481" s="1" t="n">
        <v>46087</v>
      </c>
      <c r="D481" t="inlineStr">
        <is>
          <t>JÄMTLANDS LÄN</t>
        </is>
      </c>
      <c r="E481" t="inlineStr">
        <is>
          <t>RAGUNDA</t>
        </is>
      </c>
      <c r="G481" t="n">
        <v>1.7</v>
      </c>
      <c r="H481" t="n">
        <v>0</v>
      </c>
      <c r="I481" t="n">
        <v>0</v>
      </c>
      <c r="J481" t="n">
        <v>0</v>
      </c>
      <c r="K481" t="n">
        <v>0</v>
      </c>
      <c r="L481" t="n">
        <v>0</v>
      </c>
      <c r="M481" t="n">
        <v>0</v>
      </c>
      <c r="N481" t="n">
        <v>0</v>
      </c>
      <c r="O481" t="n">
        <v>0</v>
      </c>
      <c r="P481" t="n">
        <v>0</v>
      </c>
      <c r="Q481" t="n">
        <v>0</v>
      </c>
      <c r="R481" s="2" t="inlineStr"/>
    </row>
    <row r="482" ht="15" customHeight="1">
      <c r="A482" t="inlineStr">
        <is>
          <t>A 50215-2025</t>
        </is>
      </c>
      <c r="B482" s="1" t="n">
        <v>45943.67842592593</v>
      </c>
      <c r="C482" s="1" t="n">
        <v>46087</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49991-2025</t>
        </is>
      </c>
      <c r="B483" s="1" t="n">
        <v>45942.91568287037</v>
      </c>
      <c r="C483" s="1" t="n">
        <v>46087</v>
      </c>
      <c r="D483" t="inlineStr">
        <is>
          <t>JÄMTLANDS LÄN</t>
        </is>
      </c>
      <c r="E483" t="inlineStr">
        <is>
          <t>RAGUNDA</t>
        </is>
      </c>
      <c r="G483" t="n">
        <v>9</v>
      </c>
      <c r="H483" t="n">
        <v>0</v>
      </c>
      <c r="I483" t="n">
        <v>0</v>
      </c>
      <c r="J483" t="n">
        <v>0</v>
      </c>
      <c r="K483" t="n">
        <v>0</v>
      </c>
      <c r="L483" t="n">
        <v>0</v>
      </c>
      <c r="M483" t="n">
        <v>0</v>
      </c>
      <c r="N483" t="n">
        <v>0</v>
      </c>
      <c r="O483" t="n">
        <v>0</v>
      </c>
      <c r="P483" t="n">
        <v>0</v>
      </c>
      <c r="Q483" t="n">
        <v>0</v>
      </c>
      <c r="R483" s="2" t="inlineStr"/>
    </row>
    <row r="484" ht="15" customHeight="1">
      <c r="A484" t="inlineStr">
        <is>
          <t>A 49993-2025</t>
        </is>
      </c>
      <c r="B484" s="1" t="n">
        <v>45942.94371527778</v>
      </c>
      <c r="C484" s="1" t="n">
        <v>46087</v>
      </c>
      <c r="D484" t="inlineStr">
        <is>
          <t>JÄMTLANDS LÄN</t>
        </is>
      </c>
      <c r="E484" t="inlineStr">
        <is>
          <t>RAGUNDA</t>
        </is>
      </c>
      <c r="G484" t="n">
        <v>1.5</v>
      </c>
      <c r="H484" t="n">
        <v>0</v>
      </c>
      <c r="I484" t="n">
        <v>0</v>
      </c>
      <c r="J484" t="n">
        <v>0</v>
      </c>
      <c r="K484" t="n">
        <v>0</v>
      </c>
      <c r="L484" t="n">
        <v>0</v>
      </c>
      <c r="M484" t="n">
        <v>0</v>
      </c>
      <c r="N484" t="n">
        <v>0</v>
      </c>
      <c r="O484" t="n">
        <v>0</v>
      </c>
      <c r="P484" t="n">
        <v>0</v>
      </c>
      <c r="Q484" t="n">
        <v>0</v>
      </c>
      <c r="R484" s="2" t="inlineStr"/>
    </row>
    <row r="485" ht="15" customHeight="1">
      <c r="A485" t="inlineStr">
        <is>
          <t>A 50125-2025</t>
        </is>
      </c>
      <c r="B485" s="1" t="n">
        <v>45943.55262731481</v>
      </c>
      <c r="C485" s="1" t="n">
        <v>46087</v>
      </c>
      <c r="D485" t="inlineStr">
        <is>
          <t>JÄMTLANDS LÄN</t>
        </is>
      </c>
      <c r="E485" t="inlineStr">
        <is>
          <t>RAGUNDA</t>
        </is>
      </c>
      <c r="F485" t="inlineStr">
        <is>
          <t>Sveaskog</t>
        </is>
      </c>
      <c r="G485" t="n">
        <v>23.2</v>
      </c>
      <c r="H485" t="n">
        <v>0</v>
      </c>
      <c r="I485" t="n">
        <v>0</v>
      </c>
      <c r="J485" t="n">
        <v>0</v>
      </c>
      <c r="K485" t="n">
        <v>0</v>
      </c>
      <c r="L485" t="n">
        <v>0</v>
      </c>
      <c r="M485" t="n">
        <v>0</v>
      </c>
      <c r="N485" t="n">
        <v>0</v>
      </c>
      <c r="O485" t="n">
        <v>0</v>
      </c>
      <c r="P485" t="n">
        <v>0</v>
      </c>
      <c r="Q485" t="n">
        <v>0</v>
      </c>
      <c r="R485" s="2" t="inlineStr"/>
    </row>
    <row r="486" ht="15" customHeight="1">
      <c r="A486" t="inlineStr">
        <is>
          <t>A 2819-2023</t>
        </is>
      </c>
      <c r="B486" s="1" t="n">
        <v>44944</v>
      </c>
      <c r="C486" s="1" t="n">
        <v>46087</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50080-2025</t>
        </is>
      </c>
      <c r="B487" s="1" t="n">
        <v>45943.469375</v>
      </c>
      <c r="C487" s="1" t="n">
        <v>46087</v>
      </c>
      <c r="D487" t="inlineStr">
        <is>
          <t>JÄMTLANDS LÄN</t>
        </is>
      </c>
      <c r="E487" t="inlineStr">
        <is>
          <t>RAGUNDA</t>
        </is>
      </c>
      <c r="F487" t="inlineStr">
        <is>
          <t>Naturvårdsverket</t>
        </is>
      </c>
      <c r="G487" t="n">
        <v>6.1</v>
      </c>
      <c r="H487" t="n">
        <v>0</v>
      </c>
      <c r="I487" t="n">
        <v>0</v>
      </c>
      <c r="J487" t="n">
        <v>0</v>
      </c>
      <c r="K487" t="n">
        <v>0</v>
      </c>
      <c r="L487" t="n">
        <v>0</v>
      </c>
      <c r="M487" t="n">
        <v>0</v>
      </c>
      <c r="N487" t="n">
        <v>0</v>
      </c>
      <c r="O487" t="n">
        <v>0</v>
      </c>
      <c r="P487" t="n">
        <v>0</v>
      </c>
      <c r="Q487" t="n">
        <v>0</v>
      </c>
      <c r="R487" s="2" t="inlineStr"/>
    </row>
    <row r="488" ht="15" customHeight="1">
      <c r="A488" t="inlineStr">
        <is>
          <t>A 182-2023</t>
        </is>
      </c>
      <c r="B488" s="1" t="n">
        <v>44922</v>
      </c>
      <c r="C488" s="1" t="n">
        <v>46087</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66011-2021</t>
        </is>
      </c>
      <c r="B489" s="1" t="n">
        <v>44517.58137731482</v>
      </c>
      <c r="C489" s="1" t="n">
        <v>46087</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32904-2024</t>
        </is>
      </c>
      <c r="B490" s="1" t="n">
        <v>45516.94732638889</v>
      </c>
      <c r="C490" s="1" t="n">
        <v>46087</v>
      </c>
      <c r="D490" t="inlineStr">
        <is>
          <t>JÄMTLANDS LÄN</t>
        </is>
      </c>
      <c r="E490" t="inlineStr">
        <is>
          <t>RAGUNDA</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50504-2025</t>
        </is>
      </c>
      <c r="B491" s="1" t="n">
        <v>45945.4284837963</v>
      </c>
      <c r="C491" s="1" t="n">
        <v>46087</v>
      </c>
      <c r="D491" t="inlineStr">
        <is>
          <t>JÄMTLANDS LÄN</t>
        </is>
      </c>
      <c r="E491" t="inlineStr">
        <is>
          <t>RAGUNDA</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39384-2025</t>
        </is>
      </c>
      <c r="B492" s="1" t="n">
        <v>45889.61517361111</v>
      </c>
      <c r="C492" s="1" t="n">
        <v>46087</v>
      </c>
      <c r="D492" t="inlineStr">
        <is>
          <t>JÄMTLANDS LÄN</t>
        </is>
      </c>
      <c r="E492" t="inlineStr">
        <is>
          <t>RAGUNDA</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50473-2025</t>
        </is>
      </c>
      <c r="B493" s="1" t="n">
        <v>45945.36520833334</v>
      </c>
      <c r="C493" s="1" t="n">
        <v>46087</v>
      </c>
      <c r="D493" t="inlineStr">
        <is>
          <t>JÄMTLANDS LÄN</t>
        </is>
      </c>
      <c r="E493" t="inlineStr">
        <is>
          <t>RAGUNDA</t>
        </is>
      </c>
      <c r="F493" t="inlineStr">
        <is>
          <t>SCA</t>
        </is>
      </c>
      <c r="G493" t="n">
        <v>11.2</v>
      </c>
      <c r="H493" t="n">
        <v>0</v>
      </c>
      <c r="I493" t="n">
        <v>0</v>
      </c>
      <c r="J493" t="n">
        <v>0</v>
      </c>
      <c r="K493" t="n">
        <v>0</v>
      </c>
      <c r="L493" t="n">
        <v>0</v>
      </c>
      <c r="M493" t="n">
        <v>0</v>
      </c>
      <c r="N493" t="n">
        <v>0</v>
      </c>
      <c r="O493" t="n">
        <v>0</v>
      </c>
      <c r="P493" t="n">
        <v>0</v>
      </c>
      <c r="Q493" t="n">
        <v>0</v>
      </c>
      <c r="R493" s="2" t="inlineStr"/>
    </row>
    <row r="494" ht="15" customHeight="1">
      <c r="A494" t="inlineStr">
        <is>
          <t>A 50503-2025</t>
        </is>
      </c>
      <c r="B494" s="1" t="n">
        <v>45945.42746527777</v>
      </c>
      <c r="C494" s="1" t="n">
        <v>46087</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50719-2025</t>
        </is>
      </c>
      <c r="B495" s="1" t="n">
        <v>45946.34642361111</v>
      </c>
      <c r="C495" s="1" t="n">
        <v>46087</v>
      </c>
      <c r="D495" t="inlineStr">
        <is>
          <t>JÄMTLANDS LÄN</t>
        </is>
      </c>
      <c r="E495" t="inlineStr">
        <is>
          <t>RAGUNDA</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50711-2025</t>
        </is>
      </c>
      <c r="B496" s="1" t="n">
        <v>45946.34431712963</v>
      </c>
      <c r="C496" s="1" t="n">
        <v>46087</v>
      </c>
      <c r="D496" t="inlineStr">
        <is>
          <t>JÄMTLANDS LÄN</t>
        </is>
      </c>
      <c r="E496" t="inlineStr">
        <is>
          <t>RAGUNDA</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50716-2025</t>
        </is>
      </c>
      <c r="B497" s="1" t="n">
        <v>45946.34572916666</v>
      </c>
      <c r="C497" s="1" t="n">
        <v>46087</v>
      </c>
      <c r="D497" t="inlineStr">
        <is>
          <t>JÄMTLANDS LÄN</t>
        </is>
      </c>
      <c r="E497" t="inlineStr">
        <is>
          <t>RAGUNDA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51395-2025</t>
        </is>
      </c>
      <c r="B498" s="1" t="n">
        <v>45950.46989583333</v>
      </c>
      <c r="C498" s="1" t="n">
        <v>46087</v>
      </c>
      <c r="D498" t="inlineStr">
        <is>
          <t>JÄMTLANDS LÄN</t>
        </is>
      </c>
      <c r="E498" t="inlineStr">
        <is>
          <t>RAGUNDA</t>
        </is>
      </c>
      <c r="F498" t="inlineStr">
        <is>
          <t>SCA</t>
        </is>
      </c>
      <c r="G498" t="n">
        <v>30.7</v>
      </c>
      <c r="H498" t="n">
        <v>0</v>
      </c>
      <c r="I498" t="n">
        <v>0</v>
      </c>
      <c r="J498" t="n">
        <v>0</v>
      </c>
      <c r="K498" t="n">
        <v>0</v>
      </c>
      <c r="L498" t="n">
        <v>0</v>
      </c>
      <c r="M498" t="n">
        <v>0</v>
      </c>
      <c r="N498" t="n">
        <v>0</v>
      </c>
      <c r="O498" t="n">
        <v>0</v>
      </c>
      <c r="P498" t="n">
        <v>0</v>
      </c>
      <c r="Q498" t="n">
        <v>0</v>
      </c>
      <c r="R498" s="2" t="inlineStr"/>
    </row>
    <row r="499" ht="15" customHeight="1">
      <c r="A499" t="inlineStr">
        <is>
          <t>A 50985-2025</t>
        </is>
      </c>
      <c r="B499" s="1" t="n">
        <v>45947.34506944445</v>
      </c>
      <c r="C499" s="1" t="n">
        <v>46087</v>
      </c>
      <c r="D499" t="inlineStr">
        <is>
          <t>JÄMTLANDS LÄN</t>
        </is>
      </c>
      <c r="E499" t="inlineStr">
        <is>
          <t>RAGUNDA</t>
        </is>
      </c>
      <c r="F499" t="inlineStr">
        <is>
          <t>SCA</t>
        </is>
      </c>
      <c r="G499" t="n">
        <v>8</v>
      </c>
      <c r="H499" t="n">
        <v>0</v>
      </c>
      <c r="I499" t="n">
        <v>0</v>
      </c>
      <c r="J499" t="n">
        <v>0</v>
      </c>
      <c r="K499" t="n">
        <v>0</v>
      </c>
      <c r="L499" t="n">
        <v>0</v>
      </c>
      <c r="M499" t="n">
        <v>0</v>
      </c>
      <c r="N499" t="n">
        <v>0</v>
      </c>
      <c r="O499" t="n">
        <v>0</v>
      </c>
      <c r="P499" t="n">
        <v>0</v>
      </c>
      <c r="Q499" t="n">
        <v>0</v>
      </c>
      <c r="R499" s="2" t="inlineStr"/>
    </row>
    <row r="500" ht="15" customHeight="1">
      <c r="A500" t="inlineStr">
        <is>
          <t>A 23528-2024</t>
        </is>
      </c>
      <c r="B500" s="1" t="n">
        <v>45453.95016203704</v>
      </c>
      <c r="C500" s="1" t="n">
        <v>46087</v>
      </c>
      <c r="D500" t="inlineStr">
        <is>
          <t>JÄMTLANDS LÄN</t>
        </is>
      </c>
      <c r="E500" t="inlineStr">
        <is>
          <t>RAGUNDA</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60629-2023</t>
        </is>
      </c>
      <c r="B501" s="1" t="n">
        <v>45259</v>
      </c>
      <c r="C501" s="1" t="n">
        <v>46087</v>
      </c>
      <c r="D501" t="inlineStr">
        <is>
          <t>JÄMTLANDS LÄN</t>
        </is>
      </c>
      <c r="E501" t="inlineStr">
        <is>
          <t>RAGUNDA</t>
        </is>
      </c>
      <c r="G501" t="n">
        <v>3.4</v>
      </c>
      <c r="H501" t="n">
        <v>0</v>
      </c>
      <c r="I501" t="n">
        <v>0</v>
      </c>
      <c r="J501" t="n">
        <v>0</v>
      </c>
      <c r="K501" t="n">
        <v>0</v>
      </c>
      <c r="L501" t="n">
        <v>0</v>
      </c>
      <c r="M501" t="n">
        <v>0</v>
      </c>
      <c r="N501" t="n">
        <v>0</v>
      </c>
      <c r="O501" t="n">
        <v>0</v>
      </c>
      <c r="P501" t="n">
        <v>0</v>
      </c>
      <c r="Q501" t="n">
        <v>0</v>
      </c>
      <c r="R501" s="2" t="inlineStr"/>
    </row>
    <row r="502" ht="15" customHeight="1">
      <c r="A502" t="inlineStr">
        <is>
          <t>A 51034-2025</t>
        </is>
      </c>
      <c r="B502" s="1" t="n">
        <v>45947.40670138889</v>
      </c>
      <c r="C502" s="1" t="n">
        <v>46087</v>
      </c>
      <c r="D502" t="inlineStr">
        <is>
          <t>JÄMTLANDS LÄN</t>
        </is>
      </c>
      <c r="E502" t="inlineStr">
        <is>
          <t>RAGUNDA</t>
        </is>
      </c>
      <c r="F502" t="inlineStr">
        <is>
          <t>SCA</t>
        </is>
      </c>
      <c r="G502" t="n">
        <v>44.1</v>
      </c>
      <c r="H502" t="n">
        <v>0</v>
      </c>
      <c r="I502" t="n">
        <v>0</v>
      </c>
      <c r="J502" t="n">
        <v>0</v>
      </c>
      <c r="K502" t="n">
        <v>0</v>
      </c>
      <c r="L502" t="n">
        <v>0</v>
      </c>
      <c r="M502" t="n">
        <v>0</v>
      </c>
      <c r="N502" t="n">
        <v>0</v>
      </c>
      <c r="O502" t="n">
        <v>0</v>
      </c>
      <c r="P502" t="n">
        <v>0</v>
      </c>
      <c r="Q502" t="n">
        <v>0</v>
      </c>
      <c r="R502" s="2" t="inlineStr"/>
    </row>
    <row r="503" ht="15" customHeight="1">
      <c r="A503" t="inlineStr">
        <is>
          <t>A 39949-2025</t>
        </is>
      </c>
      <c r="B503" s="1" t="n">
        <v>45892.38619212963</v>
      </c>
      <c r="C503" s="1" t="n">
        <v>46087</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51019-2025</t>
        </is>
      </c>
      <c r="B504" s="1" t="n">
        <v>45947.38623842593</v>
      </c>
      <c r="C504" s="1" t="n">
        <v>46087</v>
      </c>
      <c r="D504" t="inlineStr">
        <is>
          <t>JÄMTLANDS LÄN</t>
        </is>
      </c>
      <c r="E504" t="inlineStr">
        <is>
          <t>RAGUNDA</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51394-2025</t>
        </is>
      </c>
      <c r="B505" s="1" t="n">
        <v>45950.46972222222</v>
      </c>
      <c r="C505" s="1" t="n">
        <v>46087</v>
      </c>
      <c r="D505" t="inlineStr">
        <is>
          <t>JÄMTLANDS LÄN</t>
        </is>
      </c>
      <c r="E505" t="inlineStr">
        <is>
          <t>RAGUNDA</t>
        </is>
      </c>
      <c r="F505" t="inlineStr">
        <is>
          <t>SCA</t>
        </is>
      </c>
      <c r="G505" t="n">
        <v>36.5</v>
      </c>
      <c r="H505" t="n">
        <v>0</v>
      </c>
      <c r="I505" t="n">
        <v>0</v>
      </c>
      <c r="J505" t="n">
        <v>0</v>
      </c>
      <c r="K505" t="n">
        <v>0</v>
      </c>
      <c r="L505" t="n">
        <v>0</v>
      </c>
      <c r="M505" t="n">
        <v>0</v>
      </c>
      <c r="N505" t="n">
        <v>0</v>
      </c>
      <c r="O505" t="n">
        <v>0</v>
      </c>
      <c r="P505" t="n">
        <v>0</v>
      </c>
      <c r="Q505" t="n">
        <v>0</v>
      </c>
      <c r="R505" s="2" t="inlineStr"/>
    </row>
    <row r="506" ht="15" customHeight="1">
      <c r="A506" t="inlineStr">
        <is>
          <t>A 22412-2024</t>
        </is>
      </c>
      <c r="B506" s="1" t="n">
        <v>45446.68947916666</v>
      </c>
      <c r="C506" s="1" t="n">
        <v>46087</v>
      </c>
      <c r="D506" t="inlineStr">
        <is>
          <t>JÄMTLANDS LÄN</t>
        </is>
      </c>
      <c r="E506" t="inlineStr">
        <is>
          <t>RAGUNDA</t>
        </is>
      </c>
      <c r="G506" t="n">
        <v>0.8</v>
      </c>
      <c r="H506" t="n">
        <v>0</v>
      </c>
      <c r="I506" t="n">
        <v>0</v>
      </c>
      <c r="J506" t="n">
        <v>0</v>
      </c>
      <c r="K506" t="n">
        <v>0</v>
      </c>
      <c r="L506" t="n">
        <v>0</v>
      </c>
      <c r="M506" t="n">
        <v>0</v>
      </c>
      <c r="N506" t="n">
        <v>0</v>
      </c>
      <c r="O506" t="n">
        <v>0</v>
      </c>
      <c r="P506" t="n">
        <v>0</v>
      </c>
      <c r="Q506" t="n">
        <v>0</v>
      </c>
      <c r="R506" s="2" t="inlineStr"/>
    </row>
    <row r="507" ht="15" customHeight="1">
      <c r="A507" t="inlineStr">
        <is>
          <t>A 24196-2024</t>
        </is>
      </c>
      <c r="B507" s="1" t="n">
        <v>45456.96569444444</v>
      </c>
      <c r="C507" s="1" t="n">
        <v>46087</v>
      </c>
      <c r="D507" t="inlineStr">
        <is>
          <t>JÄMTLANDS LÄN</t>
        </is>
      </c>
      <c r="E507" t="inlineStr">
        <is>
          <t>RAGUNDA</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39948-2025</t>
        </is>
      </c>
      <c r="B508" s="1" t="n">
        <v>45892.38591435185</v>
      </c>
      <c r="C508" s="1" t="n">
        <v>46087</v>
      </c>
      <c r="D508" t="inlineStr">
        <is>
          <t>JÄMTLANDS LÄN</t>
        </is>
      </c>
      <c r="E508" t="inlineStr">
        <is>
          <t>RAGUNDA</t>
        </is>
      </c>
      <c r="G508" t="n">
        <v>5</v>
      </c>
      <c r="H508" t="n">
        <v>0</v>
      </c>
      <c r="I508" t="n">
        <v>0</v>
      </c>
      <c r="J508" t="n">
        <v>0</v>
      </c>
      <c r="K508" t="n">
        <v>0</v>
      </c>
      <c r="L508" t="n">
        <v>0</v>
      </c>
      <c r="M508" t="n">
        <v>0</v>
      </c>
      <c r="N508" t="n">
        <v>0</v>
      </c>
      <c r="O508" t="n">
        <v>0</v>
      </c>
      <c r="P508" t="n">
        <v>0</v>
      </c>
      <c r="Q508" t="n">
        <v>0</v>
      </c>
      <c r="R508" s="2" t="inlineStr"/>
    </row>
    <row r="509" ht="15" customHeight="1">
      <c r="A509" t="inlineStr">
        <is>
          <t>A 51484-2025</t>
        </is>
      </c>
      <c r="B509" s="1" t="n">
        <v>45950.62196759259</v>
      </c>
      <c r="C509" s="1" t="n">
        <v>46087</v>
      </c>
      <c r="D509" t="inlineStr">
        <is>
          <t>JÄMTLANDS LÄN</t>
        </is>
      </c>
      <c r="E509" t="inlineStr">
        <is>
          <t>RAGUNDA</t>
        </is>
      </c>
      <c r="F509" t="inlineStr">
        <is>
          <t>SCA</t>
        </is>
      </c>
      <c r="G509" t="n">
        <v>23.1</v>
      </c>
      <c r="H509" t="n">
        <v>0</v>
      </c>
      <c r="I509" t="n">
        <v>0</v>
      </c>
      <c r="J509" t="n">
        <v>0</v>
      </c>
      <c r="K509" t="n">
        <v>0</v>
      </c>
      <c r="L509" t="n">
        <v>0</v>
      </c>
      <c r="M509" t="n">
        <v>0</v>
      </c>
      <c r="N509" t="n">
        <v>0</v>
      </c>
      <c r="O509" t="n">
        <v>0</v>
      </c>
      <c r="P509" t="n">
        <v>0</v>
      </c>
      <c r="Q509" t="n">
        <v>0</v>
      </c>
      <c r="R509" s="2" t="inlineStr"/>
    </row>
    <row r="510" ht="15" customHeight="1">
      <c r="A510" t="inlineStr">
        <is>
          <t>A 51491-2025</t>
        </is>
      </c>
      <c r="B510" s="1" t="n">
        <v>45950.63362268519</v>
      </c>
      <c r="C510" s="1" t="n">
        <v>46087</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39947-2025</t>
        </is>
      </c>
      <c r="B511" s="1" t="n">
        <v>45892.34438657408</v>
      </c>
      <c r="C511" s="1" t="n">
        <v>46087</v>
      </c>
      <c r="D511" t="inlineStr">
        <is>
          <t>JÄMTLANDS LÄN</t>
        </is>
      </c>
      <c r="E511" t="inlineStr">
        <is>
          <t>RAGUNDA</t>
        </is>
      </c>
      <c r="G511" t="n">
        <v>6.6</v>
      </c>
      <c r="H511" t="n">
        <v>0</v>
      </c>
      <c r="I511" t="n">
        <v>0</v>
      </c>
      <c r="J511" t="n">
        <v>0</v>
      </c>
      <c r="K511" t="n">
        <v>0</v>
      </c>
      <c r="L511" t="n">
        <v>0</v>
      </c>
      <c r="M511" t="n">
        <v>0</v>
      </c>
      <c r="N511" t="n">
        <v>0</v>
      </c>
      <c r="O511" t="n">
        <v>0</v>
      </c>
      <c r="P511" t="n">
        <v>0</v>
      </c>
      <c r="Q511" t="n">
        <v>0</v>
      </c>
      <c r="R511" s="2" t="inlineStr"/>
    </row>
    <row r="512" ht="15" customHeight="1">
      <c r="A512" t="inlineStr">
        <is>
          <t>A 39951-2025</t>
        </is>
      </c>
      <c r="B512" s="1" t="n">
        <v>45892.38657407407</v>
      </c>
      <c r="C512" s="1" t="n">
        <v>46087</v>
      </c>
      <c r="D512" t="inlineStr">
        <is>
          <t>JÄMTLANDS LÄN</t>
        </is>
      </c>
      <c r="E512" t="inlineStr">
        <is>
          <t>RAGUNDA</t>
        </is>
      </c>
      <c r="G512" t="n">
        <v>2.3</v>
      </c>
      <c r="H512" t="n">
        <v>0</v>
      </c>
      <c r="I512" t="n">
        <v>0</v>
      </c>
      <c r="J512" t="n">
        <v>0</v>
      </c>
      <c r="K512" t="n">
        <v>0</v>
      </c>
      <c r="L512" t="n">
        <v>0</v>
      </c>
      <c r="M512" t="n">
        <v>0</v>
      </c>
      <c r="N512" t="n">
        <v>0</v>
      </c>
      <c r="O512" t="n">
        <v>0</v>
      </c>
      <c r="P512" t="n">
        <v>0</v>
      </c>
      <c r="Q512" t="n">
        <v>0</v>
      </c>
      <c r="R512" s="2" t="inlineStr"/>
    </row>
    <row r="513" ht="15" customHeight="1">
      <c r="A513" t="inlineStr">
        <is>
          <t>A 55701-2021</t>
        </is>
      </c>
      <c r="B513" s="1" t="n">
        <v>44475</v>
      </c>
      <c r="C513" s="1" t="n">
        <v>46087</v>
      </c>
      <c r="D513" t="inlineStr">
        <is>
          <t>JÄMTLANDS LÄN</t>
        </is>
      </c>
      <c r="E513" t="inlineStr">
        <is>
          <t>RAGUNDA</t>
        </is>
      </c>
      <c r="G513" t="n">
        <v>5.6</v>
      </c>
      <c r="H513" t="n">
        <v>0</v>
      </c>
      <c r="I513" t="n">
        <v>0</v>
      </c>
      <c r="J513" t="n">
        <v>0</v>
      </c>
      <c r="K513" t="n">
        <v>0</v>
      </c>
      <c r="L513" t="n">
        <v>0</v>
      </c>
      <c r="M513" t="n">
        <v>0</v>
      </c>
      <c r="N513" t="n">
        <v>0</v>
      </c>
      <c r="O513" t="n">
        <v>0</v>
      </c>
      <c r="P513" t="n">
        <v>0</v>
      </c>
      <c r="Q513" t="n">
        <v>0</v>
      </c>
      <c r="R513" s="2" t="inlineStr"/>
    </row>
    <row r="514" ht="15" customHeight="1">
      <c r="A514" t="inlineStr">
        <is>
          <t>A 57889-2024</t>
        </is>
      </c>
      <c r="B514" s="1" t="n">
        <v>45631.46665509259</v>
      </c>
      <c r="C514" s="1" t="n">
        <v>46087</v>
      </c>
      <c r="D514" t="inlineStr">
        <is>
          <t>JÄMTLANDS LÄN</t>
        </is>
      </c>
      <c r="E514" t="inlineStr">
        <is>
          <t>RAGUNDA</t>
        </is>
      </c>
      <c r="G514" t="n">
        <v>11.1</v>
      </c>
      <c r="H514" t="n">
        <v>0</v>
      </c>
      <c r="I514" t="n">
        <v>0</v>
      </c>
      <c r="J514" t="n">
        <v>0</v>
      </c>
      <c r="K514" t="n">
        <v>0</v>
      </c>
      <c r="L514" t="n">
        <v>0</v>
      </c>
      <c r="M514" t="n">
        <v>0</v>
      </c>
      <c r="N514" t="n">
        <v>0</v>
      </c>
      <c r="O514" t="n">
        <v>0</v>
      </c>
      <c r="P514" t="n">
        <v>0</v>
      </c>
      <c r="Q514" t="n">
        <v>0</v>
      </c>
      <c r="R514" s="2" t="inlineStr"/>
    </row>
    <row r="515" ht="15" customHeight="1">
      <c r="A515" t="inlineStr">
        <is>
          <t>A 39946-2025</t>
        </is>
      </c>
      <c r="B515" s="1" t="n">
        <v>45892.34423611111</v>
      </c>
      <c r="C515" s="1" t="n">
        <v>46087</v>
      </c>
      <c r="D515" t="inlineStr">
        <is>
          <t>JÄMTLANDS LÄN</t>
        </is>
      </c>
      <c r="E515" t="inlineStr">
        <is>
          <t>RAGUNDA</t>
        </is>
      </c>
      <c r="G515" t="n">
        <v>4.7</v>
      </c>
      <c r="H515" t="n">
        <v>0</v>
      </c>
      <c r="I515" t="n">
        <v>0</v>
      </c>
      <c r="J515" t="n">
        <v>0</v>
      </c>
      <c r="K515" t="n">
        <v>0</v>
      </c>
      <c r="L515" t="n">
        <v>0</v>
      </c>
      <c r="M515" t="n">
        <v>0</v>
      </c>
      <c r="N515" t="n">
        <v>0</v>
      </c>
      <c r="O515" t="n">
        <v>0</v>
      </c>
      <c r="P515" t="n">
        <v>0</v>
      </c>
      <c r="Q515" t="n">
        <v>0</v>
      </c>
      <c r="R515" s="2" t="inlineStr"/>
    </row>
    <row r="516" ht="15" customHeight="1">
      <c r="A516" t="inlineStr">
        <is>
          <t>A 39950-2025</t>
        </is>
      </c>
      <c r="B516" s="1" t="n">
        <v>45892.38641203703</v>
      </c>
      <c r="C516" s="1" t="n">
        <v>46087</v>
      </c>
      <c r="D516" t="inlineStr">
        <is>
          <t>JÄMTLANDS LÄN</t>
        </is>
      </c>
      <c r="E516" t="inlineStr">
        <is>
          <t>RAGUNDA</t>
        </is>
      </c>
      <c r="G516" t="n">
        <v>1.1</v>
      </c>
      <c r="H516" t="n">
        <v>0</v>
      </c>
      <c r="I516" t="n">
        <v>0</v>
      </c>
      <c r="J516" t="n">
        <v>0</v>
      </c>
      <c r="K516" t="n">
        <v>0</v>
      </c>
      <c r="L516" t="n">
        <v>0</v>
      </c>
      <c r="M516" t="n">
        <v>0</v>
      </c>
      <c r="N516" t="n">
        <v>0</v>
      </c>
      <c r="O516" t="n">
        <v>0</v>
      </c>
      <c r="P516" t="n">
        <v>0</v>
      </c>
      <c r="Q516" t="n">
        <v>0</v>
      </c>
      <c r="R516" s="2" t="inlineStr"/>
    </row>
    <row r="517" ht="15" customHeight="1">
      <c r="A517" t="inlineStr">
        <is>
          <t>A 39955-2025</t>
        </is>
      </c>
      <c r="B517" s="1" t="n">
        <v>45892.44824074074</v>
      </c>
      <c r="C517" s="1" t="n">
        <v>46087</v>
      </c>
      <c r="D517" t="inlineStr">
        <is>
          <t>JÄMTLANDS LÄN</t>
        </is>
      </c>
      <c r="E517" t="inlineStr">
        <is>
          <t>RAGUNDA</t>
        </is>
      </c>
      <c r="G517" t="n">
        <v>1.4</v>
      </c>
      <c r="H517" t="n">
        <v>0</v>
      </c>
      <c r="I517" t="n">
        <v>0</v>
      </c>
      <c r="J517" t="n">
        <v>0</v>
      </c>
      <c r="K517" t="n">
        <v>0</v>
      </c>
      <c r="L517" t="n">
        <v>0</v>
      </c>
      <c r="M517" t="n">
        <v>0</v>
      </c>
      <c r="N517" t="n">
        <v>0</v>
      </c>
      <c r="O517" t="n">
        <v>0</v>
      </c>
      <c r="P517" t="n">
        <v>0</v>
      </c>
      <c r="Q517" t="n">
        <v>0</v>
      </c>
      <c r="R517" s="2" t="inlineStr"/>
    </row>
    <row r="518" ht="15" customHeight="1">
      <c r="A518" t="inlineStr">
        <is>
          <t>A 39956-2025</t>
        </is>
      </c>
      <c r="B518" s="1" t="n">
        <v>45892.44840277778</v>
      </c>
      <c r="C518" s="1" t="n">
        <v>46087</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24171-2021</t>
        </is>
      </c>
      <c r="B519" s="1" t="n">
        <v>44336</v>
      </c>
      <c r="C519" s="1" t="n">
        <v>46087</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51702-2025</t>
        </is>
      </c>
      <c r="B520" s="1" t="n">
        <v>45951.55305555555</v>
      </c>
      <c r="C520" s="1" t="n">
        <v>46087</v>
      </c>
      <c r="D520" t="inlineStr">
        <is>
          <t>JÄMTLANDS LÄN</t>
        </is>
      </c>
      <c r="E520" t="inlineStr">
        <is>
          <t>RAGUNDA</t>
        </is>
      </c>
      <c r="G520" t="n">
        <v>11.4</v>
      </c>
      <c r="H520" t="n">
        <v>0</v>
      </c>
      <c r="I520" t="n">
        <v>0</v>
      </c>
      <c r="J520" t="n">
        <v>0</v>
      </c>
      <c r="K520" t="n">
        <v>0</v>
      </c>
      <c r="L520" t="n">
        <v>0</v>
      </c>
      <c r="M520" t="n">
        <v>0</v>
      </c>
      <c r="N520" t="n">
        <v>0</v>
      </c>
      <c r="O520" t="n">
        <v>0</v>
      </c>
      <c r="P520" t="n">
        <v>0</v>
      </c>
      <c r="Q520" t="n">
        <v>0</v>
      </c>
      <c r="R520" s="2" t="inlineStr"/>
    </row>
    <row r="521" ht="15" customHeight="1">
      <c r="A521" t="inlineStr">
        <is>
          <t>A 22388-2025</t>
        </is>
      </c>
      <c r="B521" s="1" t="n">
        <v>45786.51077546296</v>
      </c>
      <c r="C521" s="1" t="n">
        <v>46087</v>
      </c>
      <c r="D521" t="inlineStr">
        <is>
          <t>JÄMTLANDS LÄN</t>
        </is>
      </c>
      <c r="E521" t="inlineStr">
        <is>
          <t>RAGUNDA</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51678-2025</t>
        </is>
      </c>
      <c r="B522" s="1" t="n">
        <v>45951.51106481482</v>
      </c>
      <c r="C522" s="1" t="n">
        <v>46087</v>
      </c>
      <c r="D522" t="inlineStr">
        <is>
          <t>JÄMTLANDS LÄN</t>
        </is>
      </c>
      <c r="E522" t="inlineStr">
        <is>
          <t>RAGUNDA</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46087</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51906-2025</t>
        </is>
      </c>
      <c r="B524" s="1" t="n">
        <v>45952.4615162037</v>
      </c>
      <c r="C524" s="1" t="n">
        <v>46087</v>
      </c>
      <c r="D524" t="inlineStr">
        <is>
          <t>JÄMTLANDS LÄN</t>
        </is>
      </c>
      <c r="E524" t="inlineStr">
        <is>
          <t>RAGUNDA</t>
        </is>
      </c>
      <c r="G524" t="n">
        <v>4.5</v>
      </c>
      <c r="H524" t="n">
        <v>0</v>
      </c>
      <c r="I524" t="n">
        <v>0</v>
      </c>
      <c r="J524" t="n">
        <v>0</v>
      </c>
      <c r="K524" t="n">
        <v>0</v>
      </c>
      <c r="L524" t="n">
        <v>0</v>
      </c>
      <c r="M524" t="n">
        <v>0</v>
      </c>
      <c r="N524" t="n">
        <v>0</v>
      </c>
      <c r="O524" t="n">
        <v>0</v>
      </c>
      <c r="P524" t="n">
        <v>0</v>
      </c>
      <c r="Q524" t="n">
        <v>0</v>
      </c>
      <c r="R524" s="2" t="inlineStr"/>
    </row>
    <row r="525" ht="15" customHeight="1">
      <c r="A525" t="inlineStr">
        <is>
          <t>A 51791-2025</t>
        </is>
      </c>
      <c r="B525" s="1" t="n">
        <v>45951.69833333333</v>
      </c>
      <c r="C525" s="1" t="n">
        <v>46087</v>
      </c>
      <c r="D525" t="inlineStr">
        <is>
          <t>JÄMTLANDS LÄN</t>
        </is>
      </c>
      <c r="E525" t="inlineStr">
        <is>
          <t>RAGUNDA</t>
        </is>
      </c>
      <c r="F525" t="inlineStr">
        <is>
          <t>SCA</t>
        </is>
      </c>
      <c r="G525" t="n">
        <v>43.3</v>
      </c>
      <c r="H525" t="n">
        <v>0</v>
      </c>
      <c r="I525" t="n">
        <v>0</v>
      </c>
      <c r="J525" t="n">
        <v>0</v>
      </c>
      <c r="K525" t="n">
        <v>0</v>
      </c>
      <c r="L525" t="n">
        <v>0</v>
      </c>
      <c r="M525" t="n">
        <v>0</v>
      </c>
      <c r="N525" t="n">
        <v>0</v>
      </c>
      <c r="O525" t="n">
        <v>0</v>
      </c>
      <c r="P525" t="n">
        <v>0</v>
      </c>
      <c r="Q525" t="n">
        <v>0</v>
      </c>
      <c r="R525" s="2" t="inlineStr"/>
    </row>
    <row r="526" ht="15" customHeight="1">
      <c r="A526" t="inlineStr">
        <is>
          <t>A 51592-2025</t>
        </is>
      </c>
      <c r="B526" s="1" t="n">
        <v>45951.36541666667</v>
      </c>
      <c r="C526" s="1" t="n">
        <v>46087</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51593-2025</t>
        </is>
      </c>
      <c r="B527" s="1" t="n">
        <v>45951.36548611111</v>
      </c>
      <c r="C527" s="1" t="n">
        <v>46087</v>
      </c>
      <c r="D527" t="inlineStr">
        <is>
          <t>JÄMTLANDS LÄN</t>
        </is>
      </c>
      <c r="E527" t="inlineStr">
        <is>
          <t>RAGUNDA</t>
        </is>
      </c>
      <c r="G527" t="n">
        <v>1.5</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46087</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52093-2025</t>
        </is>
      </c>
      <c r="B529" s="1" t="n">
        <v>45952.67865740741</v>
      </c>
      <c r="C529" s="1" t="n">
        <v>46087</v>
      </c>
      <c r="D529" t="inlineStr">
        <is>
          <t>JÄMTLANDS LÄN</t>
        </is>
      </c>
      <c r="E529" t="inlineStr">
        <is>
          <t>RAGUNDA</t>
        </is>
      </c>
      <c r="F529" t="inlineStr">
        <is>
          <t>SCA</t>
        </is>
      </c>
      <c r="G529" t="n">
        <v>22.7</v>
      </c>
      <c r="H529" t="n">
        <v>0</v>
      </c>
      <c r="I529" t="n">
        <v>0</v>
      </c>
      <c r="J529" t="n">
        <v>0</v>
      </c>
      <c r="K529" t="n">
        <v>0</v>
      </c>
      <c r="L529" t="n">
        <v>0</v>
      </c>
      <c r="M529" t="n">
        <v>0</v>
      </c>
      <c r="N529" t="n">
        <v>0</v>
      </c>
      <c r="O529" t="n">
        <v>0</v>
      </c>
      <c r="P529" t="n">
        <v>0</v>
      </c>
      <c r="Q529" t="n">
        <v>0</v>
      </c>
      <c r="R529" s="2" t="inlineStr"/>
    </row>
    <row r="530" ht="15" customHeight="1">
      <c r="A530" t="inlineStr">
        <is>
          <t>A 52122-2025</t>
        </is>
      </c>
      <c r="B530" s="1" t="n">
        <v>45952.71946759259</v>
      </c>
      <c r="C530" s="1" t="n">
        <v>46087</v>
      </c>
      <c r="D530" t="inlineStr">
        <is>
          <t>JÄMTLANDS LÄN</t>
        </is>
      </c>
      <c r="E530" t="inlineStr">
        <is>
          <t>RAGUNDA</t>
        </is>
      </c>
      <c r="F530" t="inlineStr">
        <is>
          <t>SCA</t>
        </is>
      </c>
      <c r="G530" t="n">
        <v>8</v>
      </c>
      <c r="H530" t="n">
        <v>0</v>
      </c>
      <c r="I530" t="n">
        <v>0</v>
      </c>
      <c r="J530" t="n">
        <v>0</v>
      </c>
      <c r="K530" t="n">
        <v>0</v>
      </c>
      <c r="L530" t="n">
        <v>0</v>
      </c>
      <c r="M530" t="n">
        <v>0</v>
      </c>
      <c r="N530" t="n">
        <v>0</v>
      </c>
      <c r="O530" t="n">
        <v>0</v>
      </c>
      <c r="P530" t="n">
        <v>0</v>
      </c>
      <c r="Q530" t="n">
        <v>0</v>
      </c>
      <c r="R530" s="2" t="inlineStr"/>
    </row>
    <row r="531" ht="15" customHeight="1">
      <c r="A531" t="inlineStr">
        <is>
          <t>A 51882-2025</t>
        </is>
      </c>
      <c r="B531" s="1" t="n">
        <v>45952.40685185185</v>
      </c>
      <c r="C531" s="1" t="n">
        <v>46087</v>
      </c>
      <c r="D531" t="inlineStr">
        <is>
          <t>JÄMTLANDS LÄN</t>
        </is>
      </c>
      <c r="E531" t="inlineStr">
        <is>
          <t>RAGUNDA</t>
        </is>
      </c>
      <c r="F531" t="inlineStr">
        <is>
          <t>SCA</t>
        </is>
      </c>
      <c r="G531" t="n">
        <v>11.9</v>
      </c>
      <c r="H531" t="n">
        <v>0</v>
      </c>
      <c r="I531" t="n">
        <v>0</v>
      </c>
      <c r="J531" t="n">
        <v>0</v>
      </c>
      <c r="K531" t="n">
        <v>0</v>
      </c>
      <c r="L531" t="n">
        <v>0</v>
      </c>
      <c r="M531" t="n">
        <v>0</v>
      </c>
      <c r="N531" t="n">
        <v>0</v>
      </c>
      <c r="O531" t="n">
        <v>0</v>
      </c>
      <c r="P531" t="n">
        <v>0</v>
      </c>
      <c r="Q531" t="n">
        <v>0</v>
      </c>
      <c r="R531" s="2" t="inlineStr"/>
    </row>
    <row r="532" ht="15" customHeight="1">
      <c r="A532" t="inlineStr">
        <is>
          <t>A 51903-2025</t>
        </is>
      </c>
      <c r="B532" s="1" t="n">
        <v>45952.44857638889</v>
      </c>
      <c r="C532" s="1" t="n">
        <v>46087</v>
      </c>
      <c r="D532" t="inlineStr">
        <is>
          <t>JÄMTLANDS LÄN</t>
        </is>
      </c>
      <c r="E532" t="inlineStr">
        <is>
          <t>RAGUNDA</t>
        </is>
      </c>
      <c r="F532" t="inlineStr">
        <is>
          <t>SCA</t>
        </is>
      </c>
      <c r="G532" t="n">
        <v>20.8</v>
      </c>
      <c r="H532" t="n">
        <v>0</v>
      </c>
      <c r="I532" t="n">
        <v>0</v>
      </c>
      <c r="J532" t="n">
        <v>0</v>
      </c>
      <c r="K532" t="n">
        <v>0</v>
      </c>
      <c r="L532" t="n">
        <v>0</v>
      </c>
      <c r="M532" t="n">
        <v>0</v>
      </c>
      <c r="N532" t="n">
        <v>0</v>
      </c>
      <c r="O532" t="n">
        <v>0</v>
      </c>
      <c r="P532" t="n">
        <v>0</v>
      </c>
      <c r="Q532" t="n">
        <v>0</v>
      </c>
      <c r="R532" s="2" t="inlineStr"/>
    </row>
    <row r="533" ht="15" customHeight="1">
      <c r="A533" t="inlineStr">
        <is>
          <t>A 51932-2025</t>
        </is>
      </c>
      <c r="B533" s="1" t="n">
        <v>45952.51094907407</v>
      </c>
      <c r="C533" s="1" t="n">
        <v>46087</v>
      </c>
      <c r="D533" t="inlineStr">
        <is>
          <t>JÄMTLANDS LÄN</t>
        </is>
      </c>
      <c r="E533" t="inlineStr">
        <is>
          <t>RAGUNDA</t>
        </is>
      </c>
      <c r="F533" t="inlineStr">
        <is>
          <t>SCA</t>
        </is>
      </c>
      <c r="G533" t="n">
        <v>39.2</v>
      </c>
      <c r="H533" t="n">
        <v>0</v>
      </c>
      <c r="I533" t="n">
        <v>0</v>
      </c>
      <c r="J533" t="n">
        <v>0</v>
      </c>
      <c r="K533" t="n">
        <v>0</v>
      </c>
      <c r="L533" t="n">
        <v>0</v>
      </c>
      <c r="M533" t="n">
        <v>0</v>
      </c>
      <c r="N533" t="n">
        <v>0</v>
      </c>
      <c r="O533" t="n">
        <v>0</v>
      </c>
      <c r="P533" t="n">
        <v>0</v>
      </c>
      <c r="Q533" t="n">
        <v>0</v>
      </c>
      <c r="R533" s="2" t="inlineStr"/>
    </row>
    <row r="534" ht="15" customHeight="1">
      <c r="A534" t="inlineStr">
        <is>
          <t>A 41161-2025</t>
        </is>
      </c>
      <c r="B534" s="1" t="n">
        <v>45898.53193287037</v>
      </c>
      <c r="C534" s="1" t="n">
        <v>46087</v>
      </c>
      <c r="D534" t="inlineStr">
        <is>
          <t>JÄMTLANDS LÄN</t>
        </is>
      </c>
      <c r="E534" t="inlineStr">
        <is>
          <t>RAGUNDA</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56702-2023</t>
        </is>
      </c>
      <c r="B535" s="1" t="n">
        <v>45243</v>
      </c>
      <c r="C535" s="1" t="n">
        <v>46087</v>
      </c>
      <c r="D535" t="inlineStr">
        <is>
          <t>JÄMTLANDS LÄN</t>
        </is>
      </c>
      <c r="E535" t="inlineStr">
        <is>
          <t>RAGUNDA</t>
        </is>
      </c>
      <c r="F535" t="inlineStr">
        <is>
          <t>SCA</t>
        </is>
      </c>
      <c r="G535" t="n">
        <v>10.3</v>
      </c>
      <c r="H535" t="n">
        <v>0</v>
      </c>
      <c r="I535" t="n">
        <v>0</v>
      </c>
      <c r="J535" t="n">
        <v>0</v>
      </c>
      <c r="K535" t="n">
        <v>0</v>
      </c>
      <c r="L535" t="n">
        <v>0</v>
      </c>
      <c r="M535" t="n">
        <v>0</v>
      </c>
      <c r="N535" t="n">
        <v>0</v>
      </c>
      <c r="O535" t="n">
        <v>0</v>
      </c>
      <c r="P535" t="n">
        <v>0</v>
      </c>
      <c r="Q535" t="n">
        <v>0</v>
      </c>
      <c r="R535" s="2" t="inlineStr"/>
    </row>
    <row r="536" ht="15" customHeight="1">
      <c r="A536" t="inlineStr">
        <is>
          <t>A 63708-2023</t>
        </is>
      </c>
      <c r="B536" s="1" t="n">
        <v>45275.95060185185</v>
      </c>
      <c r="C536" s="1" t="n">
        <v>46087</v>
      </c>
      <c r="D536" t="inlineStr">
        <is>
          <t>JÄMTLANDS LÄN</t>
        </is>
      </c>
      <c r="E536" t="inlineStr">
        <is>
          <t>RAGUNDA</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41140-2025</t>
        </is>
      </c>
      <c r="B537" s="1" t="n">
        <v>45898.49012731481</v>
      </c>
      <c r="C537" s="1" t="n">
        <v>46087</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26651-2024</t>
        </is>
      </c>
      <c r="B538" s="1" t="n">
        <v>45469.94876157407</v>
      </c>
      <c r="C538" s="1" t="n">
        <v>46087</v>
      </c>
      <c r="D538" t="inlineStr">
        <is>
          <t>JÄMTLANDS LÄN</t>
        </is>
      </c>
      <c r="E538" t="inlineStr">
        <is>
          <t>RAGUNDA</t>
        </is>
      </c>
      <c r="F538" t="inlineStr">
        <is>
          <t>SCA</t>
        </is>
      </c>
      <c r="G538" t="n">
        <v>10.4</v>
      </c>
      <c r="H538" t="n">
        <v>0</v>
      </c>
      <c r="I538" t="n">
        <v>0</v>
      </c>
      <c r="J538" t="n">
        <v>0</v>
      </c>
      <c r="K538" t="n">
        <v>0</v>
      </c>
      <c r="L538" t="n">
        <v>0</v>
      </c>
      <c r="M538" t="n">
        <v>0</v>
      </c>
      <c r="N538" t="n">
        <v>0</v>
      </c>
      <c r="O538" t="n">
        <v>0</v>
      </c>
      <c r="P538" t="n">
        <v>0</v>
      </c>
      <c r="Q538" t="n">
        <v>0</v>
      </c>
      <c r="R538" s="2" t="inlineStr"/>
    </row>
    <row r="539" ht="15" customHeight="1">
      <c r="A539" t="inlineStr">
        <is>
          <t>A 52317-2025</t>
        </is>
      </c>
      <c r="B539" s="1" t="n">
        <v>45953.65675925926</v>
      </c>
      <c r="C539" s="1" t="n">
        <v>46087</v>
      </c>
      <c r="D539" t="inlineStr">
        <is>
          <t>JÄMTLANDS LÄN</t>
        </is>
      </c>
      <c r="E539" t="inlineStr">
        <is>
          <t>RAGUNDA</t>
        </is>
      </c>
      <c r="F539" t="inlineStr">
        <is>
          <t>SCA</t>
        </is>
      </c>
      <c r="G539" t="n">
        <v>27.2</v>
      </c>
      <c r="H539" t="n">
        <v>0</v>
      </c>
      <c r="I539" t="n">
        <v>0</v>
      </c>
      <c r="J539" t="n">
        <v>0</v>
      </c>
      <c r="K539" t="n">
        <v>0</v>
      </c>
      <c r="L539" t="n">
        <v>0</v>
      </c>
      <c r="M539" t="n">
        <v>0</v>
      </c>
      <c r="N539" t="n">
        <v>0</v>
      </c>
      <c r="O539" t="n">
        <v>0</v>
      </c>
      <c r="P539" t="n">
        <v>0</v>
      </c>
      <c r="Q539" t="n">
        <v>0</v>
      </c>
      <c r="R539" s="2" t="inlineStr"/>
    </row>
    <row r="540" ht="15" customHeight="1">
      <c r="A540" t="inlineStr">
        <is>
          <t>A 52330-2025</t>
        </is>
      </c>
      <c r="B540" s="1" t="n">
        <v>45953.67752314815</v>
      </c>
      <c r="C540" s="1" t="n">
        <v>46087</v>
      </c>
      <c r="D540" t="inlineStr">
        <is>
          <t>JÄMTLANDS LÄN</t>
        </is>
      </c>
      <c r="E540" t="inlineStr">
        <is>
          <t>RAGUNDA</t>
        </is>
      </c>
      <c r="F540" t="inlineStr">
        <is>
          <t>SCA</t>
        </is>
      </c>
      <c r="G540" t="n">
        <v>10.1</v>
      </c>
      <c r="H540" t="n">
        <v>0</v>
      </c>
      <c r="I540" t="n">
        <v>0</v>
      </c>
      <c r="J540" t="n">
        <v>0</v>
      </c>
      <c r="K540" t="n">
        <v>0</v>
      </c>
      <c r="L540" t="n">
        <v>0</v>
      </c>
      <c r="M540" t="n">
        <v>0</v>
      </c>
      <c r="N540" t="n">
        <v>0</v>
      </c>
      <c r="O540" t="n">
        <v>0</v>
      </c>
      <c r="P540" t="n">
        <v>0</v>
      </c>
      <c r="Q540" t="n">
        <v>0</v>
      </c>
      <c r="R540" s="2" t="inlineStr"/>
    </row>
    <row r="541" ht="15" customHeight="1">
      <c r="A541" t="inlineStr">
        <is>
          <t>A 52395-2025</t>
        </is>
      </c>
      <c r="B541" s="1" t="n">
        <v>45954.34487268519</v>
      </c>
      <c r="C541" s="1" t="n">
        <v>46087</v>
      </c>
      <c r="D541" t="inlineStr">
        <is>
          <t>JÄMTLANDS LÄN</t>
        </is>
      </c>
      <c r="E541" t="inlineStr">
        <is>
          <t>RAGUNDA</t>
        </is>
      </c>
      <c r="F541" t="inlineStr">
        <is>
          <t>SCA</t>
        </is>
      </c>
      <c r="G541" t="n">
        <v>14.2</v>
      </c>
      <c r="H541" t="n">
        <v>0</v>
      </c>
      <c r="I541" t="n">
        <v>0</v>
      </c>
      <c r="J541" t="n">
        <v>0</v>
      </c>
      <c r="K541" t="n">
        <v>0</v>
      </c>
      <c r="L541" t="n">
        <v>0</v>
      </c>
      <c r="M541" t="n">
        <v>0</v>
      </c>
      <c r="N541" t="n">
        <v>0</v>
      </c>
      <c r="O541" t="n">
        <v>0</v>
      </c>
      <c r="P541" t="n">
        <v>0</v>
      </c>
      <c r="Q541" t="n">
        <v>0</v>
      </c>
      <c r="R541" s="2" t="inlineStr"/>
    </row>
    <row r="542" ht="15" customHeight="1">
      <c r="A542" t="inlineStr">
        <is>
          <t>A 41233-2025</t>
        </is>
      </c>
      <c r="B542" s="1" t="n">
        <v>45898.59295138889</v>
      </c>
      <c r="C542" s="1" t="n">
        <v>46087</v>
      </c>
      <c r="D542" t="inlineStr">
        <is>
          <t>JÄMTLANDS LÄN</t>
        </is>
      </c>
      <c r="E542" t="inlineStr">
        <is>
          <t>RAGUNDA</t>
        </is>
      </c>
      <c r="G542" t="n">
        <v>1.7</v>
      </c>
      <c r="H542" t="n">
        <v>0</v>
      </c>
      <c r="I542" t="n">
        <v>0</v>
      </c>
      <c r="J542" t="n">
        <v>0</v>
      </c>
      <c r="K542" t="n">
        <v>0</v>
      </c>
      <c r="L542" t="n">
        <v>0</v>
      </c>
      <c r="M542" t="n">
        <v>0</v>
      </c>
      <c r="N542" t="n">
        <v>0</v>
      </c>
      <c r="O542" t="n">
        <v>0</v>
      </c>
      <c r="P542" t="n">
        <v>0</v>
      </c>
      <c r="Q542" t="n">
        <v>0</v>
      </c>
      <c r="R542" s="2" t="inlineStr"/>
    </row>
    <row r="543" ht="15" customHeight="1">
      <c r="A543" t="inlineStr">
        <is>
          <t>A 41262-2025</t>
        </is>
      </c>
      <c r="B543" s="1" t="n">
        <v>45898.61502314815</v>
      </c>
      <c r="C543" s="1" t="n">
        <v>46087</v>
      </c>
      <c r="D543" t="inlineStr">
        <is>
          <t>JÄMTLANDS LÄN</t>
        </is>
      </c>
      <c r="E543" t="inlineStr">
        <is>
          <t>RAGUNDA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53032-2025</t>
        </is>
      </c>
      <c r="B544" s="1" t="n">
        <v>45958.34462962963</v>
      </c>
      <c r="C544" s="1" t="n">
        <v>46087</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53076-2025</t>
        </is>
      </c>
      <c r="B545" s="1" t="n">
        <v>45958.38604166666</v>
      </c>
      <c r="C545" s="1" t="n">
        <v>46087</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22898-2025</t>
        </is>
      </c>
      <c r="B546" s="1" t="n">
        <v>45790.40670138889</v>
      </c>
      <c r="C546" s="1" t="n">
        <v>46087</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52394-2025</t>
        </is>
      </c>
      <c r="B547" s="1" t="n">
        <v>45954.34466435185</v>
      </c>
      <c r="C547" s="1" t="n">
        <v>46087</v>
      </c>
      <c r="D547" t="inlineStr">
        <is>
          <t>JÄMTLANDS LÄN</t>
        </is>
      </c>
      <c r="E547" t="inlineStr">
        <is>
          <t>RAGUNDA</t>
        </is>
      </c>
      <c r="F547" t="inlineStr">
        <is>
          <t>SCA</t>
        </is>
      </c>
      <c r="G547" t="n">
        <v>53.8</v>
      </c>
      <c r="H547" t="n">
        <v>0</v>
      </c>
      <c r="I547" t="n">
        <v>0</v>
      </c>
      <c r="J547" t="n">
        <v>0</v>
      </c>
      <c r="K547" t="n">
        <v>0</v>
      </c>
      <c r="L547" t="n">
        <v>0</v>
      </c>
      <c r="M547" t="n">
        <v>0</v>
      </c>
      <c r="N547" t="n">
        <v>0</v>
      </c>
      <c r="O547" t="n">
        <v>0</v>
      </c>
      <c r="P547" t="n">
        <v>0</v>
      </c>
      <c r="Q547" t="n">
        <v>0</v>
      </c>
      <c r="R547" s="2" t="inlineStr"/>
    </row>
    <row r="548" ht="15" customHeight="1">
      <c r="A548" t="inlineStr">
        <is>
          <t>A 41422-2025</t>
        </is>
      </c>
      <c r="B548" s="1" t="n">
        <v>45901.38572916666</v>
      </c>
      <c r="C548" s="1" t="n">
        <v>46087</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41423-2025</t>
        </is>
      </c>
      <c r="B549" s="1" t="n">
        <v>45901.38578703703</v>
      </c>
      <c r="C549" s="1" t="n">
        <v>46087</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41656-2025</t>
        </is>
      </c>
      <c r="B550" s="1" t="n">
        <v>45902.34423611111</v>
      </c>
      <c r="C550" s="1" t="n">
        <v>46087</v>
      </c>
      <c r="D550" t="inlineStr">
        <is>
          <t>JÄMTLANDS LÄN</t>
        </is>
      </c>
      <c r="E550" t="inlineStr">
        <is>
          <t>RAGUNDA</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41424-2025</t>
        </is>
      </c>
      <c r="B551" s="1" t="n">
        <v>45901.38584490741</v>
      </c>
      <c r="C551" s="1" t="n">
        <v>46087</v>
      </c>
      <c r="D551" t="inlineStr">
        <is>
          <t>JÄMTLANDS LÄN</t>
        </is>
      </c>
      <c r="E551" t="inlineStr">
        <is>
          <t>RAGUNDA</t>
        </is>
      </c>
      <c r="G551" t="n">
        <v>3</v>
      </c>
      <c r="H551" t="n">
        <v>0</v>
      </c>
      <c r="I551" t="n">
        <v>0</v>
      </c>
      <c r="J551" t="n">
        <v>0</v>
      </c>
      <c r="K551" t="n">
        <v>0</v>
      </c>
      <c r="L551" t="n">
        <v>0</v>
      </c>
      <c r="M551" t="n">
        <v>0</v>
      </c>
      <c r="N551" t="n">
        <v>0</v>
      </c>
      <c r="O551" t="n">
        <v>0</v>
      </c>
      <c r="P551" t="n">
        <v>0</v>
      </c>
      <c r="Q551" t="n">
        <v>0</v>
      </c>
      <c r="R551" s="2" t="inlineStr"/>
    </row>
    <row r="552" ht="15" customHeight="1">
      <c r="A552" t="inlineStr">
        <is>
          <t>A 52430-2025</t>
        </is>
      </c>
      <c r="B552" s="1" t="n">
        <v>45954.38592592593</v>
      </c>
      <c r="C552" s="1" t="n">
        <v>46087</v>
      </c>
      <c r="D552" t="inlineStr">
        <is>
          <t>JÄMTLANDS LÄN</t>
        </is>
      </c>
      <c r="E552" t="inlineStr">
        <is>
          <t>RAGUNDA</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52875-2025</t>
        </is>
      </c>
      <c r="B553" s="1" t="n">
        <v>45957.53211805555</v>
      </c>
      <c r="C553" s="1" t="n">
        <v>46087</v>
      </c>
      <c r="D553" t="inlineStr">
        <is>
          <t>JÄMTLANDS LÄN</t>
        </is>
      </c>
      <c r="E553" t="inlineStr">
        <is>
          <t>RAGUNDA</t>
        </is>
      </c>
      <c r="F553" t="inlineStr">
        <is>
          <t>SCA</t>
        </is>
      </c>
      <c r="G553" t="n">
        <v>34.3</v>
      </c>
      <c r="H553" t="n">
        <v>0</v>
      </c>
      <c r="I553" t="n">
        <v>0</v>
      </c>
      <c r="J553" t="n">
        <v>0</v>
      </c>
      <c r="K553" t="n">
        <v>0</v>
      </c>
      <c r="L553" t="n">
        <v>0</v>
      </c>
      <c r="M553" t="n">
        <v>0</v>
      </c>
      <c r="N553" t="n">
        <v>0</v>
      </c>
      <c r="O553" t="n">
        <v>0</v>
      </c>
      <c r="P553" t="n">
        <v>0</v>
      </c>
      <c r="Q553" t="n">
        <v>0</v>
      </c>
      <c r="R553" s="2" t="inlineStr"/>
    </row>
    <row r="554" ht="15" customHeight="1">
      <c r="A554" t="inlineStr">
        <is>
          <t>A 53211-2025</t>
        </is>
      </c>
      <c r="B554" s="1" t="n">
        <v>45958.59490740741</v>
      </c>
      <c r="C554" s="1" t="n">
        <v>46087</v>
      </c>
      <c r="D554" t="inlineStr">
        <is>
          <t>JÄMTLANDS LÄN</t>
        </is>
      </c>
      <c r="E554" t="inlineStr">
        <is>
          <t>RAGUNDA</t>
        </is>
      </c>
      <c r="F554" t="inlineStr">
        <is>
          <t>SCA</t>
        </is>
      </c>
      <c r="G554" t="n">
        <v>7.4</v>
      </c>
      <c r="H554" t="n">
        <v>0</v>
      </c>
      <c r="I554" t="n">
        <v>0</v>
      </c>
      <c r="J554" t="n">
        <v>0</v>
      </c>
      <c r="K554" t="n">
        <v>0</v>
      </c>
      <c r="L554" t="n">
        <v>0</v>
      </c>
      <c r="M554" t="n">
        <v>0</v>
      </c>
      <c r="N554" t="n">
        <v>0</v>
      </c>
      <c r="O554" t="n">
        <v>0</v>
      </c>
      <c r="P554" t="n">
        <v>0</v>
      </c>
      <c r="Q554" t="n">
        <v>0</v>
      </c>
      <c r="R554" s="2" t="inlineStr"/>
    </row>
    <row r="555" ht="15" customHeight="1">
      <c r="A555" t="inlineStr">
        <is>
          <t>A 52972-2025</t>
        </is>
      </c>
      <c r="B555" s="1" t="n">
        <v>45957.67783564814</v>
      </c>
      <c r="C555" s="1" t="n">
        <v>46087</v>
      </c>
      <c r="D555" t="inlineStr">
        <is>
          <t>JÄMTLANDS LÄN</t>
        </is>
      </c>
      <c r="E555" t="inlineStr">
        <is>
          <t>RAGUNDA</t>
        </is>
      </c>
      <c r="F555" t="inlineStr">
        <is>
          <t>SCA</t>
        </is>
      </c>
      <c r="G555" t="n">
        <v>53.4</v>
      </c>
      <c r="H555" t="n">
        <v>0</v>
      </c>
      <c r="I555" t="n">
        <v>0</v>
      </c>
      <c r="J555" t="n">
        <v>0</v>
      </c>
      <c r="K555" t="n">
        <v>0</v>
      </c>
      <c r="L555" t="n">
        <v>0</v>
      </c>
      <c r="M555" t="n">
        <v>0</v>
      </c>
      <c r="N555" t="n">
        <v>0</v>
      </c>
      <c r="O555" t="n">
        <v>0</v>
      </c>
      <c r="P555" t="n">
        <v>0</v>
      </c>
      <c r="Q555" t="n">
        <v>0</v>
      </c>
      <c r="R555" s="2" t="inlineStr"/>
    </row>
    <row r="556" ht="15" customHeight="1">
      <c r="A556" t="inlineStr">
        <is>
          <t>A 53075-2025</t>
        </is>
      </c>
      <c r="B556" s="1" t="n">
        <v>45958.38584490741</v>
      </c>
      <c r="C556" s="1" t="n">
        <v>46087</v>
      </c>
      <c r="D556" t="inlineStr">
        <is>
          <t>JÄMTLANDS LÄN</t>
        </is>
      </c>
      <c r="E556" t="inlineStr">
        <is>
          <t>RAGUNDA</t>
        </is>
      </c>
      <c r="F556" t="inlineStr">
        <is>
          <t>SCA</t>
        </is>
      </c>
      <c r="G556" t="n">
        <v>28.9</v>
      </c>
      <c r="H556" t="n">
        <v>0</v>
      </c>
      <c r="I556" t="n">
        <v>0</v>
      </c>
      <c r="J556" t="n">
        <v>0</v>
      </c>
      <c r="K556" t="n">
        <v>0</v>
      </c>
      <c r="L556" t="n">
        <v>0</v>
      </c>
      <c r="M556" t="n">
        <v>0</v>
      </c>
      <c r="N556" t="n">
        <v>0</v>
      </c>
      <c r="O556" t="n">
        <v>0</v>
      </c>
      <c r="P556" t="n">
        <v>0</v>
      </c>
      <c r="Q556" t="n">
        <v>0</v>
      </c>
      <c r="R556" s="2" t="inlineStr"/>
    </row>
    <row r="557" ht="15" customHeight="1">
      <c r="A557" t="inlineStr">
        <is>
          <t>A 50486-2023</t>
        </is>
      </c>
      <c r="B557" s="1" t="n">
        <v>45216.92424768519</v>
      </c>
      <c r="C557" s="1" t="n">
        <v>46087</v>
      </c>
      <c r="D557" t="inlineStr">
        <is>
          <t>JÄMTLANDS LÄN</t>
        </is>
      </c>
      <c r="E557" t="inlineStr">
        <is>
          <t>RAGUNDA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53726-2025</t>
        </is>
      </c>
      <c r="B558" s="1" t="n">
        <v>45960.63597222222</v>
      </c>
      <c r="C558" s="1" t="n">
        <v>46087</v>
      </c>
      <c r="D558" t="inlineStr">
        <is>
          <t>JÄMTLANDS LÄN</t>
        </is>
      </c>
      <c r="E558" t="inlineStr">
        <is>
          <t>RAGUNDA</t>
        </is>
      </c>
      <c r="F558" t="inlineStr">
        <is>
          <t>SCA</t>
        </is>
      </c>
      <c r="G558" t="n">
        <v>10.9</v>
      </c>
      <c r="H558" t="n">
        <v>0</v>
      </c>
      <c r="I558" t="n">
        <v>0</v>
      </c>
      <c r="J558" t="n">
        <v>0</v>
      </c>
      <c r="K558" t="n">
        <v>0</v>
      </c>
      <c r="L558" t="n">
        <v>0</v>
      </c>
      <c r="M558" t="n">
        <v>0</v>
      </c>
      <c r="N558" t="n">
        <v>0</v>
      </c>
      <c r="O558" t="n">
        <v>0</v>
      </c>
      <c r="P558" t="n">
        <v>0</v>
      </c>
      <c r="Q558" t="n">
        <v>0</v>
      </c>
      <c r="R558" s="2" t="inlineStr"/>
    </row>
    <row r="559" ht="15" customHeight="1">
      <c r="A559" t="inlineStr">
        <is>
          <t>A 25304-2023</t>
        </is>
      </c>
      <c r="B559" s="1" t="n">
        <v>45086</v>
      </c>
      <c r="C559" s="1" t="n">
        <v>46087</v>
      </c>
      <c r="D559" t="inlineStr">
        <is>
          <t>JÄMTLANDS LÄN</t>
        </is>
      </c>
      <c r="E559" t="inlineStr">
        <is>
          <t>RAGUNDA</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9084-2023</t>
        </is>
      </c>
      <c r="B560" s="1" t="n">
        <v>44979</v>
      </c>
      <c r="C560" s="1" t="n">
        <v>46087</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41876-2025</t>
        </is>
      </c>
      <c r="B561" s="1" t="n">
        <v>45903.34555555556</v>
      </c>
      <c r="C561" s="1" t="n">
        <v>46087</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52578-2025</t>
        </is>
      </c>
      <c r="B562" s="1" t="n">
        <v>45954.61508101852</v>
      </c>
      <c r="C562" s="1" t="n">
        <v>46087</v>
      </c>
      <c r="D562" t="inlineStr">
        <is>
          <t>JÄMTLANDS LÄN</t>
        </is>
      </c>
      <c r="E562" t="inlineStr">
        <is>
          <t>RAGUNDA</t>
        </is>
      </c>
      <c r="F562" t="inlineStr">
        <is>
          <t>SCA</t>
        </is>
      </c>
      <c r="G562" t="n">
        <v>25.2</v>
      </c>
      <c r="H562" t="n">
        <v>0</v>
      </c>
      <c r="I562" t="n">
        <v>0</v>
      </c>
      <c r="J562" t="n">
        <v>0</v>
      </c>
      <c r="K562" t="n">
        <v>0</v>
      </c>
      <c r="L562" t="n">
        <v>0</v>
      </c>
      <c r="M562" t="n">
        <v>0</v>
      </c>
      <c r="N562" t="n">
        <v>0</v>
      </c>
      <c r="O562" t="n">
        <v>0</v>
      </c>
      <c r="P562" t="n">
        <v>0</v>
      </c>
      <c r="Q562" t="n">
        <v>0</v>
      </c>
      <c r="R562" s="2" t="inlineStr"/>
    </row>
    <row r="563" ht="15" customHeight="1">
      <c r="A563" t="inlineStr">
        <is>
          <t>A 9360-2023</t>
        </is>
      </c>
      <c r="B563" s="1" t="n">
        <v>44980.93865740741</v>
      </c>
      <c r="C563" s="1" t="n">
        <v>46087</v>
      </c>
      <c r="D563" t="inlineStr">
        <is>
          <t>JÄMTLANDS LÄN</t>
        </is>
      </c>
      <c r="E563" t="inlineStr">
        <is>
          <t>RAGUNDA</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66706-2021</t>
        </is>
      </c>
      <c r="B564" s="1" t="n">
        <v>44519.94440972222</v>
      </c>
      <c r="C564" s="1" t="n">
        <v>46087</v>
      </c>
      <c r="D564" t="inlineStr">
        <is>
          <t>JÄMTLANDS LÄN</t>
        </is>
      </c>
      <c r="E564" t="inlineStr">
        <is>
          <t>RAGUNDA</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53748-2025</t>
        </is>
      </c>
      <c r="B565" s="1" t="n">
        <v>45960.65673611111</v>
      </c>
      <c r="C565" s="1" t="n">
        <v>46087</v>
      </c>
      <c r="D565" t="inlineStr">
        <is>
          <t>JÄMTLANDS LÄN</t>
        </is>
      </c>
      <c r="E565" t="inlineStr">
        <is>
          <t>RAGUNDA</t>
        </is>
      </c>
      <c r="F565" t="inlineStr">
        <is>
          <t>SCA</t>
        </is>
      </c>
      <c r="G565" t="n">
        <v>14.9</v>
      </c>
      <c r="H565" t="n">
        <v>0</v>
      </c>
      <c r="I565" t="n">
        <v>0</v>
      </c>
      <c r="J565" t="n">
        <v>0</v>
      </c>
      <c r="K565" t="n">
        <v>0</v>
      </c>
      <c r="L565" t="n">
        <v>0</v>
      </c>
      <c r="M565" t="n">
        <v>0</v>
      </c>
      <c r="N565" t="n">
        <v>0</v>
      </c>
      <c r="O565" t="n">
        <v>0</v>
      </c>
      <c r="P565" t="n">
        <v>0</v>
      </c>
      <c r="Q565" t="n">
        <v>0</v>
      </c>
      <c r="R565" s="2" t="inlineStr"/>
    </row>
    <row r="566" ht="15" customHeight="1">
      <c r="A566" t="inlineStr">
        <is>
          <t>A 53549-2025</t>
        </is>
      </c>
      <c r="B566" s="1" t="n">
        <v>45960.38576388889</v>
      </c>
      <c r="C566" s="1" t="n">
        <v>46087</v>
      </c>
      <c r="D566" t="inlineStr">
        <is>
          <t>JÄMTLANDS LÄN</t>
        </is>
      </c>
      <c r="E566" t="inlineStr">
        <is>
          <t>RAGUNDA</t>
        </is>
      </c>
      <c r="G566" t="n">
        <v>5.4</v>
      </c>
      <c r="H566" t="n">
        <v>0</v>
      </c>
      <c r="I566" t="n">
        <v>0</v>
      </c>
      <c r="J566" t="n">
        <v>0</v>
      </c>
      <c r="K566" t="n">
        <v>0</v>
      </c>
      <c r="L566" t="n">
        <v>0</v>
      </c>
      <c r="M566" t="n">
        <v>0</v>
      </c>
      <c r="N566" t="n">
        <v>0</v>
      </c>
      <c r="O566" t="n">
        <v>0</v>
      </c>
      <c r="P566" t="n">
        <v>0</v>
      </c>
      <c r="Q566" t="n">
        <v>0</v>
      </c>
      <c r="R566" s="2" t="inlineStr"/>
    </row>
    <row r="567" ht="15" customHeight="1">
      <c r="A567" t="inlineStr">
        <is>
          <t>A 53765-2025</t>
        </is>
      </c>
      <c r="B567" s="1" t="n">
        <v>45960.67753472222</v>
      </c>
      <c r="C567" s="1" t="n">
        <v>46087</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32259-2024</t>
        </is>
      </c>
      <c r="B568" s="1" t="n">
        <v>45511</v>
      </c>
      <c r="C568" s="1" t="n">
        <v>46087</v>
      </c>
      <c r="D568" t="inlineStr">
        <is>
          <t>JÄMTLANDS LÄN</t>
        </is>
      </c>
      <c r="E568" t="inlineStr">
        <is>
          <t>RAGUNDA</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53986-2025</t>
        </is>
      </c>
      <c r="B569" s="1" t="n">
        <v>45961.57381944444</v>
      </c>
      <c r="C569" s="1" t="n">
        <v>46087</v>
      </c>
      <c r="D569" t="inlineStr">
        <is>
          <t>JÄMTLANDS LÄN</t>
        </is>
      </c>
      <c r="E569" t="inlineStr">
        <is>
          <t>RAGUNDA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53951-2025</t>
        </is>
      </c>
      <c r="B570" s="1" t="n">
        <v>45961.50200231482</v>
      </c>
      <c r="C570" s="1" t="n">
        <v>46087</v>
      </c>
      <c r="D570" t="inlineStr">
        <is>
          <t>JÄMTLANDS LÄN</t>
        </is>
      </c>
      <c r="E570" t="inlineStr">
        <is>
          <t>RAGUNDA</t>
        </is>
      </c>
      <c r="G570" t="n">
        <v>1.8</v>
      </c>
      <c r="H570" t="n">
        <v>0</v>
      </c>
      <c r="I570" t="n">
        <v>0</v>
      </c>
      <c r="J570" t="n">
        <v>0</v>
      </c>
      <c r="K570" t="n">
        <v>0</v>
      </c>
      <c r="L570" t="n">
        <v>0</v>
      </c>
      <c r="M570" t="n">
        <v>0</v>
      </c>
      <c r="N570" t="n">
        <v>0</v>
      </c>
      <c r="O570" t="n">
        <v>0</v>
      </c>
      <c r="P570" t="n">
        <v>0</v>
      </c>
      <c r="Q570" t="n">
        <v>0</v>
      </c>
      <c r="R570" s="2" t="inlineStr"/>
    </row>
    <row r="571" ht="15" customHeight="1">
      <c r="A571" t="inlineStr">
        <is>
          <t>A 42269-2025</t>
        </is>
      </c>
      <c r="B571" s="1" t="n">
        <v>45904.60431712963</v>
      </c>
      <c r="C571" s="1" t="n">
        <v>46087</v>
      </c>
      <c r="D571" t="inlineStr">
        <is>
          <t>JÄMTLANDS LÄN</t>
        </is>
      </c>
      <c r="E571" t="inlineStr">
        <is>
          <t>RAGUNDA</t>
        </is>
      </c>
      <c r="G571" t="n">
        <v>4.3</v>
      </c>
      <c r="H571" t="n">
        <v>0</v>
      </c>
      <c r="I571" t="n">
        <v>0</v>
      </c>
      <c r="J571" t="n">
        <v>0</v>
      </c>
      <c r="K571" t="n">
        <v>0</v>
      </c>
      <c r="L571" t="n">
        <v>0</v>
      </c>
      <c r="M571" t="n">
        <v>0</v>
      </c>
      <c r="N571" t="n">
        <v>0</v>
      </c>
      <c r="O571" t="n">
        <v>0</v>
      </c>
      <c r="P571" t="n">
        <v>0</v>
      </c>
      <c r="Q571" t="n">
        <v>0</v>
      </c>
      <c r="R571" s="2" t="inlineStr"/>
    </row>
    <row r="572" ht="15" customHeight="1">
      <c r="A572" t="inlineStr">
        <is>
          <t>A 53975-2025</t>
        </is>
      </c>
      <c r="B572" s="1" t="n">
        <v>45961.55277777778</v>
      </c>
      <c r="C572" s="1" t="n">
        <v>46087</v>
      </c>
      <c r="D572" t="inlineStr">
        <is>
          <t>JÄMTLANDS LÄN</t>
        </is>
      </c>
      <c r="E572" t="inlineStr">
        <is>
          <t>RAGUNDA</t>
        </is>
      </c>
      <c r="F572" t="inlineStr">
        <is>
          <t>SCA</t>
        </is>
      </c>
      <c r="G572" t="n">
        <v>21.9</v>
      </c>
      <c r="H572" t="n">
        <v>0</v>
      </c>
      <c r="I572" t="n">
        <v>0</v>
      </c>
      <c r="J572" t="n">
        <v>0</v>
      </c>
      <c r="K572" t="n">
        <v>0</v>
      </c>
      <c r="L572" t="n">
        <v>0</v>
      </c>
      <c r="M572" t="n">
        <v>0</v>
      </c>
      <c r="N572" t="n">
        <v>0</v>
      </c>
      <c r="O572" t="n">
        <v>0</v>
      </c>
      <c r="P572" t="n">
        <v>0</v>
      </c>
      <c r="Q572" t="n">
        <v>0</v>
      </c>
      <c r="R572" s="2" t="inlineStr"/>
    </row>
    <row r="573" ht="15" customHeight="1">
      <c r="A573" t="inlineStr">
        <is>
          <t>A 54195-2025</t>
        </is>
      </c>
      <c r="B573" s="1" t="n">
        <v>45964.57413194444</v>
      </c>
      <c r="C573" s="1" t="n">
        <v>46087</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18778-2024</t>
        </is>
      </c>
      <c r="B574" s="1" t="n">
        <v>45426</v>
      </c>
      <c r="C574" s="1" t="n">
        <v>46087</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18781-2024</t>
        </is>
      </c>
      <c r="B575" s="1" t="n">
        <v>45426</v>
      </c>
      <c r="C575" s="1" t="n">
        <v>46087</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17248-2023</t>
        </is>
      </c>
      <c r="B576" s="1" t="n">
        <v>45033</v>
      </c>
      <c r="C576" s="1" t="n">
        <v>46087</v>
      </c>
      <c r="D576" t="inlineStr">
        <is>
          <t>JÄMTLANDS LÄN</t>
        </is>
      </c>
      <c r="E576" t="inlineStr">
        <is>
          <t>RAGUNDA</t>
        </is>
      </c>
      <c r="G576" t="n">
        <v>3</v>
      </c>
      <c r="H576" t="n">
        <v>0</v>
      </c>
      <c r="I576" t="n">
        <v>0</v>
      </c>
      <c r="J576" t="n">
        <v>0</v>
      </c>
      <c r="K576" t="n">
        <v>0</v>
      </c>
      <c r="L576" t="n">
        <v>0</v>
      </c>
      <c r="M576" t="n">
        <v>0</v>
      </c>
      <c r="N576" t="n">
        <v>0</v>
      </c>
      <c r="O576" t="n">
        <v>0</v>
      </c>
      <c r="P576" t="n">
        <v>0</v>
      </c>
      <c r="Q576" t="n">
        <v>0</v>
      </c>
      <c r="R576" s="2" t="inlineStr"/>
    </row>
    <row r="577" ht="15" customHeight="1">
      <c r="A577" t="inlineStr">
        <is>
          <t>A 53263-2024</t>
        </is>
      </c>
      <c r="B577" s="1" t="n">
        <v>45614.34541666666</v>
      </c>
      <c r="C577" s="1" t="n">
        <v>46087</v>
      </c>
      <c r="D577" t="inlineStr">
        <is>
          <t>JÄMTLANDS LÄN</t>
        </is>
      </c>
      <c r="E577" t="inlineStr">
        <is>
          <t>RAGUNDA</t>
        </is>
      </c>
      <c r="G577" t="n">
        <v>1.9</v>
      </c>
      <c r="H577" t="n">
        <v>0</v>
      </c>
      <c r="I577" t="n">
        <v>0</v>
      </c>
      <c r="J577" t="n">
        <v>0</v>
      </c>
      <c r="K577" t="n">
        <v>0</v>
      </c>
      <c r="L577" t="n">
        <v>0</v>
      </c>
      <c r="M577" t="n">
        <v>0</v>
      </c>
      <c r="N577" t="n">
        <v>0</v>
      </c>
      <c r="O577" t="n">
        <v>0</v>
      </c>
      <c r="P577" t="n">
        <v>0</v>
      </c>
      <c r="Q577" t="n">
        <v>0</v>
      </c>
      <c r="R577" s="2" t="inlineStr"/>
    </row>
    <row r="578" ht="15" customHeight="1">
      <c r="A578" t="inlineStr">
        <is>
          <t>A 53948-2025</t>
        </is>
      </c>
      <c r="B578" s="1" t="n">
        <v>45961.50033564815</v>
      </c>
      <c r="C578" s="1" t="n">
        <v>46087</v>
      </c>
      <c r="D578" t="inlineStr">
        <is>
          <t>JÄMTLANDS LÄN</t>
        </is>
      </c>
      <c r="E578" t="inlineStr">
        <is>
          <t>RAGUNDA</t>
        </is>
      </c>
      <c r="G578" t="n">
        <v>7.9</v>
      </c>
      <c r="H578" t="n">
        <v>0</v>
      </c>
      <c r="I578" t="n">
        <v>0</v>
      </c>
      <c r="J578" t="n">
        <v>0</v>
      </c>
      <c r="K578" t="n">
        <v>0</v>
      </c>
      <c r="L578" t="n">
        <v>0</v>
      </c>
      <c r="M578" t="n">
        <v>0</v>
      </c>
      <c r="N578" t="n">
        <v>0</v>
      </c>
      <c r="O578" t="n">
        <v>0</v>
      </c>
      <c r="P578" t="n">
        <v>0</v>
      </c>
      <c r="Q578" t="n">
        <v>0</v>
      </c>
      <c r="R578" s="2" t="inlineStr"/>
    </row>
    <row r="579" ht="15" customHeight="1">
      <c r="A579" t="inlineStr">
        <is>
          <t>A 53973-2025</t>
        </is>
      </c>
      <c r="B579" s="1" t="n">
        <v>45961.55246527777</v>
      </c>
      <c r="C579" s="1" t="n">
        <v>46087</v>
      </c>
      <c r="D579" t="inlineStr">
        <is>
          <t>JÄMTLANDS LÄN</t>
        </is>
      </c>
      <c r="E579" t="inlineStr">
        <is>
          <t>RAGUNDA</t>
        </is>
      </c>
      <c r="G579" t="n">
        <v>2.4</v>
      </c>
      <c r="H579" t="n">
        <v>0</v>
      </c>
      <c r="I579" t="n">
        <v>0</v>
      </c>
      <c r="J579" t="n">
        <v>0</v>
      </c>
      <c r="K579" t="n">
        <v>0</v>
      </c>
      <c r="L579" t="n">
        <v>0</v>
      </c>
      <c r="M579" t="n">
        <v>0</v>
      </c>
      <c r="N579" t="n">
        <v>0</v>
      </c>
      <c r="O579" t="n">
        <v>0</v>
      </c>
      <c r="P579" t="n">
        <v>0</v>
      </c>
      <c r="Q579" t="n">
        <v>0</v>
      </c>
      <c r="R579" s="2" t="inlineStr"/>
    </row>
    <row r="580" ht="15" customHeight="1">
      <c r="A580" t="inlineStr">
        <is>
          <t>A 58630-2024</t>
        </is>
      </c>
      <c r="B580" s="1" t="n">
        <v>45635.57331018519</v>
      </c>
      <c r="C580" s="1" t="n">
        <v>46087</v>
      </c>
      <c r="D580" t="inlineStr">
        <is>
          <t>JÄMTLANDS LÄN</t>
        </is>
      </c>
      <c r="E580" t="inlineStr">
        <is>
          <t>RAGUNDA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54396-2025</t>
        </is>
      </c>
      <c r="B581" s="1" t="n">
        <v>45965.44849537037</v>
      </c>
      <c r="C581" s="1" t="n">
        <v>46087</v>
      </c>
      <c r="D581" t="inlineStr">
        <is>
          <t>JÄMTLANDS LÄN</t>
        </is>
      </c>
      <c r="E581" t="inlineStr">
        <is>
          <t>RAGUNDA</t>
        </is>
      </c>
      <c r="F581" t="inlineStr">
        <is>
          <t>SCA</t>
        </is>
      </c>
      <c r="G581" t="n">
        <v>35.2</v>
      </c>
      <c r="H581" t="n">
        <v>0</v>
      </c>
      <c r="I581" t="n">
        <v>0</v>
      </c>
      <c r="J581" t="n">
        <v>0</v>
      </c>
      <c r="K581" t="n">
        <v>0</v>
      </c>
      <c r="L581" t="n">
        <v>0</v>
      </c>
      <c r="M581" t="n">
        <v>0</v>
      </c>
      <c r="N581" t="n">
        <v>0</v>
      </c>
      <c r="O581" t="n">
        <v>0</v>
      </c>
      <c r="P581" t="n">
        <v>0</v>
      </c>
      <c r="Q581" t="n">
        <v>0</v>
      </c>
      <c r="R581" s="2" t="inlineStr"/>
    </row>
    <row r="582" ht="15" customHeight="1">
      <c r="A582" t="inlineStr">
        <is>
          <t>A 14896-2022</t>
        </is>
      </c>
      <c r="B582" s="1" t="n">
        <v>44656</v>
      </c>
      <c r="C582" s="1" t="n">
        <v>46087</v>
      </c>
      <c r="D582" t="inlineStr">
        <is>
          <t>JÄMTLANDS LÄN</t>
        </is>
      </c>
      <c r="E582" t="inlineStr">
        <is>
          <t>RAGUNDA</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33763-2025</t>
        </is>
      </c>
      <c r="B583" s="1" t="n">
        <v>45842.38579861111</v>
      </c>
      <c r="C583" s="1" t="n">
        <v>46087</v>
      </c>
      <c r="D583" t="inlineStr">
        <is>
          <t>JÄMTLANDS LÄN</t>
        </is>
      </c>
      <c r="E583" t="inlineStr">
        <is>
          <t>RAGUNDA</t>
        </is>
      </c>
      <c r="F583" t="inlineStr">
        <is>
          <t>SCA</t>
        </is>
      </c>
      <c r="G583" t="n">
        <v>13.4</v>
      </c>
      <c r="H583" t="n">
        <v>0</v>
      </c>
      <c r="I583" t="n">
        <v>0</v>
      </c>
      <c r="J583" t="n">
        <v>0</v>
      </c>
      <c r="K583" t="n">
        <v>0</v>
      </c>
      <c r="L583" t="n">
        <v>0</v>
      </c>
      <c r="M583" t="n">
        <v>0</v>
      </c>
      <c r="N583" t="n">
        <v>0</v>
      </c>
      <c r="O583" t="n">
        <v>0</v>
      </c>
      <c r="P583" t="n">
        <v>0</v>
      </c>
      <c r="Q583" t="n">
        <v>0</v>
      </c>
      <c r="R583" s="2" t="inlineStr"/>
    </row>
    <row r="584" ht="15" customHeight="1">
      <c r="A584" t="inlineStr">
        <is>
          <t>A 11551-2024</t>
        </is>
      </c>
      <c r="B584" s="1" t="n">
        <v>45372.95762731481</v>
      </c>
      <c r="C584" s="1" t="n">
        <v>46087</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58909-2025</t>
        </is>
      </c>
      <c r="B585" s="1" t="n">
        <v>45987</v>
      </c>
      <c r="C585" s="1" t="n">
        <v>46087</v>
      </c>
      <c r="D585" t="inlineStr">
        <is>
          <t>JÄMTLANDS LÄN</t>
        </is>
      </c>
      <c r="E585" t="inlineStr">
        <is>
          <t>RAGUNDA</t>
        </is>
      </c>
      <c r="G585" t="n">
        <v>9.5</v>
      </c>
      <c r="H585" t="n">
        <v>0</v>
      </c>
      <c r="I585" t="n">
        <v>0</v>
      </c>
      <c r="J585" t="n">
        <v>0</v>
      </c>
      <c r="K585" t="n">
        <v>0</v>
      </c>
      <c r="L585" t="n">
        <v>0</v>
      </c>
      <c r="M585" t="n">
        <v>0</v>
      </c>
      <c r="N585" t="n">
        <v>0</v>
      </c>
      <c r="O585" t="n">
        <v>0</v>
      </c>
      <c r="P585" t="n">
        <v>0</v>
      </c>
      <c r="Q585" t="n">
        <v>0</v>
      </c>
      <c r="R585" s="2" t="inlineStr"/>
    </row>
    <row r="586" ht="15" customHeight="1">
      <c r="A586" t="inlineStr">
        <is>
          <t>A 23405-2025</t>
        </is>
      </c>
      <c r="B586" s="1" t="n">
        <v>45792.34527777778</v>
      </c>
      <c r="C586" s="1" t="n">
        <v>46087</v>
      </c>
      <c r="D586" t="inlineStr">
        <is>
          <t>JÄMTLANDS LÄN</t>
        </is>
      </c>
      <c r="E586" t="inlineStr">
        <is>
          <t>RAGUNDA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54820-2025</t>
        </is>
      </c>
      <c r="B587" s="1" t="n">
        <v>45966.65728009259</v>
      </c>
      <c r="C587" s="1" t="n">
        <v>46087</v>
      </c>
      <c r="D587" t="inlineStr">
        <is>
          <t>JÄMTLANDS LÄN</t>
        </is>
      </c>
      <c r="E587" t="inlineStr">
        <is>
          <t>RAGUNDA</t>
        </is>
      </c>
      <c r="G587" t="n">
        <v>15.3</v>
      </c>
      <c r="H587" t="n">
        <v>0</v>
      </c>
      <c r="I587" t="n">
        <v>0</v>
      </c>
      <c r="J587" t="n">
        <v>0</v>
      </c>
      <c r="K587" t="n">
        <v>0</v>
      </c>
      <c r="L587" t="n">
        <v>0</v>
      </c>
      <c r="M587" t="n">
        <v>0</v>
      </c>
      <c r="N587" t="n">
        <v>0</v>
      </c>
      <c r="O587" t="n">
        <v>0</v>
      </c>
      <c r="P587" t="n">
        <v>0</v>
      </c>
      <c r="Q587" t="n">
        <v>0</v>
      </c>
      <c r="R587" s="2" t="inlineStr"/>
    </row>
    <row r="588" ht="15" customHeight="1">
      <c r="A588" t="inlineStr">
        <is>
          <t>A 57839-2022</t>
        </is>
      </c>
      <c r="B588" s="1" t="n">
        <v>44897</v>
      </c>
      <c r="C588" s="1" t="n">
        <v>46087</v>
      </c>
      <c r="D588" t="inlineStr">
        <is>
          <t>JÄMTLANDS LÄN</t>
        </is>
      </c>
      <c r="E588" t="inlineStr">
        <is>
          <t>RAGUNDA</t>
        </is>
      </c>
      <c r="F588" t="inlineStr">
        <is>
          <t>SCA</t>
        </is>
      </c>
      <c r="G588" t="n">
        <v>8.5</v>
      </c>
      <c r="H588" t="n">
        <v>0</v>
      </c>
      <c r="I588" t="n">
        <v>0</v>
      </c>
      <c r="J588" t="n">
        <v>0</v>
      </c>
      <c r="K588" t="n">
        <v>0</v>
      </c>
      <c r="L588" t="n">
        <v>0</v>
      </c>
      <c r="M588" t="n">
        <v>0</v>
      </c>
      <c r="N588" t="n">
        <v>0</v>
      </c>
      <c r="O588" t="n">
        <v>0</v>
      </c>
      <c r="P588" t="n">
        <v>0</v>
      </c>
      <c r="Q588" t="n">
        <v>0</v>
      </c>
      <c r="R588" s="2" t="inlineStr"/>
    </row>
    <row r="589" ht="15" customHeight="1">
      <c r="A589" t="inlineStr">
        <is>
          <t>A 23654-2025</t>
        </is>
      </c>
      <c r="B589" s="1" t="n">
        <v>45792.71905092592</v>
      </c>
      <c r="C589" s="1" t="n">
        <v>46087</v>
      </c>
      <c r="D589" t="inlineStr">
        <is>
          <t>JÄMTLANDS LÄN</t>
        </is>
      </c>
      <c r="E589" t="inlineStr">
        <is>
          <t>RAGUNDA</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23507-2025</t>
        </is>
      </c>
      <c r="B590" s="1" t="n">
        <v>45792.49023148148</v>
      </c>
      <c r="C590" s="1" t="n">
        <v>46087</v>
      </c>
      <c r="D590" t="inlineStr">
        <is>
          <t>JÄMTLANDS LÄN</t>
        </is>
      </c>
      <c r="E590" t="inlineStr">
        <is>
          <t>RAGUNDA</t>
        </is>
      </c>
      <c r="F590" t="inlineStr">
        <is>
          <t>SCA</t>
        </is>
      </c>
      <c r="G590" t="n">
        <v>16.4</v>
      </c>
      <c r="H590" t="n">
        <v>0</v>
      </c>
      <c r="I590" t="n">
        <v>0</v>
      </c>
      <c r="J590" t="n">
        <v>0</v>
      </c>
      <c r="K590" t="n">
        <v>0</v>
      </c>
      <c r="L590" t="n">
        <v>0</v>
      </c>
      <c r="M590" t="n">
        <v>0</v>
      </c>
      <c r="N590" t="n">
        <v>0</v>
      </c>
      <c r="O590" t="n">
        <v>0</v>
      </c>
      <c r="P590" t="n">
        <v>0</v>
      </c>
      <c r="Q590" t="n">
        <v>0</v>
      </c>
      <c r="R590" s="2" t="inlineStr"/>
    </row>
    <row r="591" ht="15" customHeight="1">
      <c r="A591" t="inlineStr">
        <is>
          <t>A 60663-2022</t>
        </is>
      </c>
      <c r="B591" s="1" t="n">
        <v>44911.93846064815</v>
      </c>
      <c r="C591" s="1" t="n">
        <v>46087</v>
      </c>
      <c r="D591" t="inlineStr">
        <is>
          <t>JÄMTLANDS LÄN</t>
        </is>
      </c>
      <c r="E591" t="inlineStr">
        <is>
          <t>RAGUNDA</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54794-2025</t>
        </is>
      </c>
      <c r="B592" s="1" t="n">
        <v>45966.63592592593</v>
      </c>
      <c r="C592" s="1" t="n">
        <v>46087</v>
      </c>
      <c r="D592" t="inlineStr">
        <is>
          <t>JÄMTLANDS LÄN</t>
        </is>
      </c>
      <c r="E592" t="inlineStr">
        <is>
          <t>RAGUNDA</t>
        </is>
      </c>
      <c r="G592" t="n">
        <v>4</v>
      </c>
      <c r="H592" t="n">
        <v>0</v>
      </c>
      <c r="I592" t="n">
        <v>0</v>
      </c>
      <c r="J592" t="n">
        <v>0</v>
      </c>
      <c r="K592" t="n">
        <v>0</v>
      </c>
      <c r="L592" t="n">
        <v>0</v>
      </c>
      <c r="M592" t="n">
        <v>0</v>
      </c>
      <c r="N592" t="n">
        <v>0</v>
      </c>
      <c r="O592" t="n">
        <v>0</v>
      </c>
      <c r="P592" t="n">
        <v>0</v>
      </c>
      <c r="Q592" t="n">
        <v>0</v>
      </c>
      <c r="R592" s="2" t="inlineStr"/>
    </row>
    <row r="593" ht="15" customHeight="1">
      <c r="A593" t="inlineStr">
        <is>
          <t>A 43330-2025</t>
        </is>
      </c>
      <c r="B593" s="1" t="n">
        <v>45910.67766203704</v>
      </c>
      <c r="C593" s="1" t="n">
        <v>46087</v>
      </c>
      <c r="D593" t="inlineStr">
        <is>
          <t>JÄMTLANDS LÄN</t>
        </is>
      </c>
      <c r="E593" t="inlineStr">
        <is>
          <t>RAGUNDA</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23586-2025</t>
        </is>
      </c>
      <c r="B594" s="1" t="n">
        <v>45792.63584490741</v>
      </c>
      <c r="C594" s="1" t="n">
        <v>46087</v>
      </c>
      <c r="D594" t="inlineStr">
        <is>
          <t>JÄMTLANDS LÄN</t>
        </is>
      </c>
      <c r="E594" t="inlineStr">
        <is>
          <t>RAGUNDA</t>
        </is>
      </c>
      <c r="F594" t="inlineStr">
        <is>
          <t>SCA</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23413-2025</t>
        </is>
      </c>
      <c r="B595" s="1" t="n">
        <v>45792.34606481482</v>
      </c>
      <c r="C595" s="1" t="n">
        <v>46087</v>
      </c>
      <c r="D595" t="inlineStr">
        <is>
          <t>JÄMTLANDS LÄN</t>
        </is>
      </c>
      <c r="E595" t="inlineStr">
        <is>
          <t>RAGUNDA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43181-2025</t>
        </is>
      </c>
      <c r="B596" s="1" t="n">
        <v>45910.40721064815</v>
      </c>
      <c r="C596" s="1" t="n">
        <v>46087</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59496-2024</t>
        </is>
      </c>
      <c r="B597" s="1" t="n">
        <v>45638</v>
      </c>
      <c r="C597" s="1" t="n">
        <v>46087</v>
      </c>
      <c r="D597" t="inlineStr">
        <is>
          <t>JÄMTLANDS LÄN</t>
        </is>
      </c>
      <c r="E597" t="inlineStr">
        <is>
          <t>RAGUNDA</t>
        </is>
      </c>
      <c r="G597" t="n">
        <v>13.1</v>
      </c>
      <c r="H597" t="n">
        <v>0</v>
      </c>
      <c r="I597" t="n">
        <v>0</v>
      </c>
      <c r="J597" t="n">
        <v>0</v>
      </c>
      <c r="K597" t="n">
        <v>0</v>
      </c>
      <c r="L597" t="n">
        <v>0</v>
      </c>
      <c r="M597" t="n">
        <v>0</v>
      </c>
      <c r="N597" t="n">
        <v>0</v>
      </c>
      <c r="O597" t="n">
        <v>0</v>
      </c>
      <c r="P597" t="n">
        <v>0</v>
      </c>
      <c r="Q597" t="n">
        <v>0</v>
      </c>
      <c r="R597" s="2" t="inlineStr"/>
    </row>
    <row r="598" ht="15" customHeight="1">
      <c r="A598" t="inlineStr">
        <is>
          <t>A 43177-2025</t>
        </is>
      </c>
      <c r="B598" s="1" t="n">
        <v>45910.40667824074</v>
      </c>
      <c r="C598" s="1" t="n">
        <v>46087</v>
      </c>
      <c r="D598" t="inlineStr">
        <is>
          <t>JÄMTLANDS LÄN</t>
        </is>
      </c>
      <c r="E598" t="inlineStr">
        <is>
          <t>RAGUNDA</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46087</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46087</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48249-2024</t>
        </is>
      </c>
      <c r="B601" s="1" t="n">
        <v>45590.40675925926</v>
      </c>
      <c r="C601" s="1" t="n">
        <v>46087</v>
      </c>
      <c r="D601" t="inlineStr">
        <is>
          <t>JÄMTLANDS LÄN</t>
        </is>
      </c>
      <c r="E601" t="inlineStr">
        <is>
          <t>RAGUNDA</t>
        </is>
      </c>
      <c r="F601" t="inlineStr">
        <is>
          <t>SCA</t>
        </is>
      </c>
      <c r="G601" t="n">
        <v>14.4</v>
      </c>
      <c r="H601" t="n">
        <v>0</v>
      </c>
      <c r="I601" t="n">
        <v>0</v>
      </c>
      <c r="J601" t="n">
        <v>0</v>
      </c>
      <c r="K601" t="n">
        <v>0</v>
      </c>
      <c r="L601" t="n">
        <v>0</v>
      </c>
      <c r="M601" t="n">
        <v>0</v>
      </c>
      <c r="N601" t="n">
        <v>0</v>
      </c>
      <c r="O601" t="n">
        <v>0</v>
      </c>
      <c r="P601" t="n">
        <v>0</v>
      </c>
      <c r="Q601" t="n">
        <v>0</v>
      </c>
      <c r="R601" s="2" t="inlineStr"/>
    </row>
    <row r="602" ht="15" customHeight="1">
      <c r="A602" t="inlineStr">
        <is>
          <t>A 23253-2025</t>
        </is>
      </c>
      <c r="B602" s="1" t="n">
        <v>45791.53238425926</v>
      </c>
      <c r="C602" s="1" t="n">
        <v>46087</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61934-2022</t>
        </is>
      </c>
      <c r="B603" s="1" t="n">
        <v>44917</v>
      </c>
      <c r="C603" s="1" t="n">
        <v>46087</v>
      </c>
      <c r="D603" t="inlineStr">
        <is>
          <t>JÄMTLANDS LÄN</t>
        </is>
      </c>
      <c r="E603" t="inlineStr">
        <is>
          <t>RAGUNDA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43776-2025</t>
        </is>
      </c>
      <c r="B604" s="1" t="n">
        <v>45912.51086805556</v>
      </c>
      <c r="C604" s="1" t="n">
        <v>46087</v>
      </c>
      <c r="D604" t="inlineStr">
        <is>
          <t>JÄMTLANDS LÄN</t>
        </is>
      </c>
      <c r="E604" t="inlineStr">
        <is>
          <t>RAGUNDA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43804-2025</t>
        </is>
      </c>
      <c r="B605" s="1" t="n">
        <v>45912.57373842593</v>
      </c>
      <c r="C605" s="1" t="n">
        <v>46087</v>
      </c>
      <c r="D605" t="inlineStr">
        <is>
          <t>JÄMTLANDS LÄN</t>
        </is>
      </c>
      <c r="E605" t="inlineStr">
        <is>
          <t>RAGUNDA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56170-2025</t>
        </is>
      </c>
      <c r="B606" s="1" t="n">
        <v>45974.39398148148</v>
      </c>
      <c r="C606" s="1" t="n">
        <v>46087</v>
      </c>
      <c r="D606" t="inlineStr">
        <is>
          <t>JÄMTLANDS LÄN</t>
        </is>
      </c>
      <c r="E606" t="inlineStr">
        <is>
          <t>RAGUNDA</t>
        </is>
      </c>
      <c r="G606" t="n">
        <v>2</v>
      </c>
      <c r="H606" t="n">
        <v>0</v>
      </c>
      <c r="I606" t="n">
        <v>0</v>
      </c>
      <c r="J606" t="n">
        <v>0</v>
      </c>
      <c r="K606" t="n">
        <v>0</v>
      </c>
      <c r="L606" t="n">
        <v>0</v>
      </c>
      <c r="M606" t="n">
        <v>0</v>
      </c>
      <c r="N606" t="n">
        <v>0</v>
      </c>
      <c r="O606" t="n">
        <v>0</v>
      </c>
      <c r="P606" t="n">
        <v>0</v>
      </c>
      <c r="Q606" t="n">
        <v>0</v>
      </c>
      <c r="R606" s="2" t="inlineStr"/>
    </row>
    <row r="607" ht="15" customHeight="1">
      <c r="A607" t="inlineStr">
        <is>
          <t>A 11558-2023</t>
        </is>
      </c>
      <c r="B607" s="1" t="n">
        <v>44993.94958333333</v>
      </c>
      <c r="C607" s="1" t="n">
        <v>46087</v>
      </c>
      <c r="D607" t="inlineStr">
        <is>
          <t>JÄMTLANDS LÄN</t>
        </is>
      </c>
      <c r="E607" t="inlineStr">
        <is>
          <t>RAGUNDA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43971-2025</t>
        </is>
      </c>
      <c r="B608" s="1" t="n">
        <v>45915.40694444445</v>
      </c>
      <c r="C608" s="1" t="n">
        <v>46087</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18284-2025</t>
        </is>
      </c>
      <c r="B609" s="1" t="n">
        <v>45762.39876157408</v>
      </c>
      <c r="C609" s="1" t="n">
        <v>46087</v>
      </c>
      <c r="D609" t="inlineStr">
        <is>
          <t>JÄMTLANDS LÄN</t>
        </is>
      </c>
      <c r="E609" t="inlineStr">
        <is>
          <t>RAGUNDA</t>
        </is>
      </c>
      <c r="G609" t="n">
        <v>0.2</v>
      </c>
      <c r="H609" t="n">
        <v>0</v>
      </c>
      <c r="I609" t="n">
        <v>0</v>
      </c>
      <c r="J609" t="n">
        <v>0</v>
      </c>
      <c r="K609" t="n">
        <v>0</v>
      </c>
      <c r="L609" t="n">
        <v>0</v>
      </c>
      <c r="M609" t="n">
        <v>0</v>
      </c>
      <c r="N609" t="n">
        <v>0</v>
      </c>
      <c r="O609" t="n">
        <v>0</v>
      </c>
      <c r="P609" t="n">
        <v>0</v>
      </c>
      <c r="Q609" t="n">
        <v>0</v>
      </c>
      <c r="R609" s="2" t="inlineStr"/>
      <c r="U609">
        <f>HYPERLINK("https://klasma.github.io/Logging_2303/knärot/A 18284-2025 karta knärot.png", "A 18284-2025")</f>
        <v/>
      </c>
      <c r="V609">
        <f>HYPERLINK("https://klasma.github.io/Logging_2303/klagomål/A 18284-2025 FSC-klagomål.docx", "A 18284-2025")</f>
        <v/>
      </c>
      <c r="W609">
        <f>HYPERLINK("https://klasma.github.io/Logging_2303/klagomålsmail/A 18284-2025 FSC-klagomål mail.docx", "A 18284-2025")</f>
        <v/>
      </c>
      <c r="X609">
        <f>HYPERLINK("https://klasma.github.io/Logging_2303/tillsyn/A 18284-2025 tillsynsbegäran.docx", "A 18284-2025")</f>
        <v/>
      </c>
      <c r="Y609">
        <f>HYPERLINK("https://klasma.github.io/Logging_2303/tillsynsmail/A 18284-2025 tillsynsbegäran mail.docx", "A 18284-2025")</f>
        <v/>
      </c>
    </row>
    <row r="610" ht="15" customHeight="1">
      <c r="A610" t="inlineStr">
        <is>
          <t>A 55897-2025</t>
        </is>
      </c>
      <c r="B610" s="1" t="n">
        <v>45973.38600694444</v>
      </c>
      <c r="C610" s="1" t="n">
        <v>46087</v>
      </c>
      <c r="D610" t="inlineStr">
        <is>
          <t>JÄMTLANDS LÄN</t>
        </is>
      </c>
      <c r="E610" t="inlineStr">
        <is>
          <t>RAGUNDA</t>
        </is>
      </c>
      <c r="F610" t="inlineStr">
        <is>
          <t>SCA</t>
        </is>
      </c>
      <c r="G610" t="n">
        <v>14.1</v>
      </c>
      <c r="H610" t="n">
        <v>0</v>
      </c>
      <c r="I610" t="n">
        <v>0</v>
      </c>
      <c r="J610" t="n">
        <v>0</v>
      </c>
      <c r="K610" t="n">
        <v>0</v>
      </c>
      <c r="L610" t="n">
        <v>0</v>
      </c>
      <c r="M610" t="n">
        <v>0</v>
      </c>
      <c r="N610" t="n">
        <v>0</v>
      </c>
      <c r="O610" t="n">
        <v>0</v>
      </c>
      <c r="P610" t="n">
        <v>0</v>
      </c>
      <c r="Q610" t="n">
        <v>0</v>
      </c>
      <c r="R610" s="2" t="inlineStr"/>
    </row>
    <row r="611" ht="15" customHeight="1">
      <c r="A611" t="inlineStr">
        <is>
          <t>A 49648-2023</t>
        </is>
      </c>
      <c r="B611" s="1" t="n">
        <v>45211.95061342593</v>
      </c>
      <c r="C611" s="1" t="n">
        <v>46087</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19263-2025</t>
        </is>
      </c>
      <c r="B612" s="1" t="n">
        <v>45769.51075231482</v>
      </c>
      <c r="C612" s="1" t="n">
        <v>46087</v>
      </c>
      <c r="D612" t="inlineStr">
        <is>
          <t>JÄMTLANDS LÄN</t>
        </is>
      </c>
      <c r="E612" t="inlineStr">
        <is>
          <t>RAGUNDA</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56806-2025</t>
        </is>
      </c>
      <c r="B613" s="1" t="n">
        <v>45978.44842592593</v>
      </c>
      <c r="C613" s="1" t="n">
        <v>46087</v>
      </c>
      <c r="D613" t="inlineStr">
        <is>
          <t>JÄMTLANDS LÄN</t>
        </is>
      </c>
      <c r="E613" t="inlineStr">
        <is>
          <t>RAGUNDA</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23840-2025</t>
        </is>
      </c>
      <c r="B614" s="1" t="n">
        <v>45793</v>
      </c>
      <c r="C614" s="1" t="n">
        <v>46087</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58194-2022</t>
        </is>
      </c>
      <c r="B615" s="1" t="n">
        <v>44900</v>
      </c>
      <c r="C615" s="1" t="n">
        <v>46087</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42875-2024</t>
        </is>
      </c>
      <c r="B616" s="1" t="n">
        <v>45566.68125</v>
      </c>
      <c r="C616" s="1" t="n">
        <v>46087</v>
      </c>
      <c r="D616" t="inlineStr">
        <is>
          <t>JÄMTLANDS LÄN</t>
        </is>
      </c>
      <c r="E616" t="inlineStr">
        <is>
          <t>RAGUNDA</t>
        </is>
      </c>
      <c r="G616" t="n">
        <v>0.5</v>
      </c>
      <c r="H616" t="n">
        <v>0</v>
      </c>
      <c r="I616" t="n">
        <v>0</v>
      </c>
      <c r="J616" t="n">
        <v>0</v>
      </c>
      <c r="K616" t="n">
        <v>0</v>
      </c>
      <c r="L616" t="n">
        <v>0</v>
      </c>
      <c r="M616" t="n">
        <v>0</v>
      </c>
      <c r="N616" t="n">
        <v>0</v>
      </c>
      <c r="O616" t="n">
        <v>0</v>
      </c>
      <c r="P616" t="n">
        <v>0</v>
      </c>
      <c r="Q616" t="n">
        <v>0</v>
      </c>
      <c r="R616" s="2" t="inlineStr"/>
    </row>
    <row r="617" ht="15" customHeight="1">
      <c r="A617" t="inlineStr">
        <is>
          <t>A 15864-2024</t>
        </is>
      </c>
      <c r="B617" s="1" t="n">
        <v>45404.99792824074</v>
      </c>
      <c r="C617" s="1" t="n">
        <v>46087</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c r="U617">
        <f>HYPERLINK("https://klasma.github.io/Logging_2303/knärot/A 15864-2024 karta knärot.png", "A 15864-2024")</f>
        <v/>
      </c>
      <c r="V617">
        <f>HYPERLINK("https://klasma.github.io/Logging_2303/klagomål/A 15864-2024 FSC-klagomål.docx", "A 15864-2024")</f>
        <v/>
      </c>
      <c r="W617">
        <f>HYPERLINK("https://klasma.github.io/Logging_2303/klagomålsmail/A 15864-2024 FSC-klagomål mail.docx", "A 15864-2024")</f>
        <v/>
      </c>
      <c r="X617">
        <f>HYPERLINK("https://klasma.github.io/Logging_2303/tillsyn/A 15864-2024 tillsynsbegäran.docx", "A 15864-2024")</f>
        <v/>
      </c>
      <c r="Y617">
        <f>HYPERLINK("https://klasma.github.io/Logging_2303/tillsynsmail/A 15864-2024 tillsynsbegäran mail.docx", "A 15864-2024")</f>
        <v/>
      </c>
    </row>
    <row r="618" ht="15" customHeight="1">
      <c r="A618" t="inlineStr">
        <is>
          <t>A 4015-2022</t>
        </is>
      </c>
      <c r="B618" s="1" t="n">
        <v>44587.92149305555</v>
      </c>
      <c r="C618" s="1" t="n">
        <v>46087</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24158-2025</t>
        </is>
      </c>
      <c r="B619" s="1" t="n">
        <v>45796</v>
      </c>
      <c r="C619" s="1" t="n">
        <v>46087</v>
      </c>
      <c r="D619" t="inlineStr">
        <is>
          <t>JÄMTLANDS LÄN</t>
        </is>
      </c>
      <c r="E619" t="inlineStr">
        <is>
          <t>RAGUNDA</t>
        </is>
      </c>
      <c r="G619" t="n">
        <v>2.9</v>
      </c>
      <c r="H619" t="n">
        <v>0</v>
      </c>
      <c r="I619" t="n">
        <v>0</v>
      </c>
      <c r="J619" t="n">
        <v>0</v>
      </c>
      <c r="K619" t="n">
        <v>0</v>
      </c>
      <c r="L619" t="n">
        <v>0</v>
      </c>
      <c r="M619" t="n">
        <v>0</v>
      </c>
      <c r="N619" t="n">
        <v>0</v>
      </c>
      <c r="O619" t="n">
        <v>0</v>
      </c>
      <c r="P619" t="n">
        <v>0</v>
      </c>
      <c r="Q619" t="n">
        <v>0</v>
      </c>
      <c r="R619" s="2" t="inlineStr"/>
      <c r="U619">
        <f>HYPERLINK("https://klasma.github.io/Logging_2303/knärot/A 24158-2025 karta knärot.png", "A 24158-2025")</f>
        <v/>
      </c>
      <c r="V619">
        <f>HYPERLINK("https://klasma.github.io/Logging_2303/klagomål/A 24158-2025 FSC-klagomål.docx", "A 24158-2025")</f>
        <v/>
      </c>
      <c r="W619">
        <f>HYPERLINK("https://klasma.github.io/Logging_2303/klagomålsmail/A 24158-2025 FSC-klagomål mail.docx", "A 24158-2025")</f>
        <v/>
      </c>
      <c r="X619">
        <f>HYPERLINK("https://klasma.github.io/Logging_2303/tillsyn/A 24158-2025 tillsynsbegäran.docx", "A 24158-2025")</f>
        <v/>
      </c>
      <c r="Y619">
        <f>HYPERLINK("https://klasma.github.io/Logging_2303/tillsynsmail/A 24158-2025 tillsynsbegäran mail.docx", "A 24158-2025")</f>
        <v/>
      </c>
    </row>
    <row r="620" ht="15" customHeight="1">
      <c r="A620" t="inlineStr">
        <is>
          <t>A 24161-2025</t>
        </is>
      </c>
      <c r="B620" s="1" t="n">
        <v>45796</v>
      </c>
      <c r="C620" s="1" t="n">
        <v>46087</v>
      </c>
      <c r="D620" t="inlineStr">
        <is>
          <t>JÄMTLANDS LÄN</t>
        </is>
      </c>
      <c r="E620" t="inlineStr">
        <is>
          <t>RAGUNDA</t>
        </is>
      </c>
      <c r="G620" t="n">
        <v>2.4</v>
      </c>
      <c r="H620" t="n">
        <v>0</v>
      </c>
      <c r="I620" t="n">
        <v>0</v>
      </c>
      <c r="J620" t="n">
        <v>0</v>
      </c>
      <c r="K620" t="n">
        <v>0</v>
      </c>
      <c r="L620" t="n">
        <v>0</v>
      </c>
      <c r="M620" t="n">
        <v>0</v>
      </c>
      <c r="N620" t="n">
        <v>0</v>
      </c>
      <c r="O620" t="n">
        <v>0</v>
      </c>
      <c r="P620" t="n">
        <v>0</v>
      </c>
      <c r="Q620" t="n">
        <v>0</v>
      </c>
      <c r="R620" s="2" t="inlineStr"/>
    </row>
    <row r="621" ht="15" customHeight="1">
      <c r="A621" t="inlineStr">
        <is>
          <t>A 57111-2025</t>
        </is>
      </c>
      <c r="B621" s="1" t="n">
        <v>45978</v>
      </c>
      <c r="C621" s="1" t="n">
        <v>46087</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57117-2025</t>
        </is>
      </c>
      <c r="B622" s="1" t="n">
        <v>45978</v>
      </c>
      <c r="C622" s="1" t="n">
        <v>46087</v>
      </c>
      <c r="D622" t="inlineStr">
        <is>
          <t>JÄMTLANDS LÄN</t>
        </is>
      </c>
      <c r="E622" t="inlineStr">
        <is>
          <t>RAGUNDA</t>
        </is>
      </c>
      <c r="G622" t="n">
        <v>4.2</v>
      </c>
      <c r="H622" t="n">
        <v>0</v>
      </c>
      <c r="I622" t="n">
        <v>0</v>
      </c>
      <c r="J622" t="n">
        <v>0</v>
      </c>
      <c r="K622" t="n">
        <v>0</v>
      </c>
      <c r="L622" t="n">
        <v>0</v>
      </c>
      <c r="M622" t="n">
        <v>0</v>
      </c>
      <c r="N622" t="n">
        <v>0</v>
      </c>
      <c r="O622" t="n">
        <v>0</v>
      </c>
      <c r="P622" t="n">
        <v>0</v>
      </c>
      <c r="Q622" t="n">
        <v>0</v>
      </c>
      <c r="R622" s="2" t="inlineStr"/>
    </row>
    <row r="623" ht="15" customHeight="1">
      <c r="A623" t="inlineStr">
        <is>
          <t>A 2599-2023</t>
        </is>
      </c>
      <c r="B623" s="1" t="n">
        <v>44943.94802083333</v>
      </c>
      <c r="C623" s="1" t="n">
        <v>46087</v>
      </c>
      <c r="D623" t="inlineStr">
        <is>
          <t>JÄMTLANDS LÄN</t>
        </is>
      </c>
      <c r="E623" t="inlineStr">
        <is>
          <t>RAGUNDA</t>
        </is>
      </c>
      <c r="F623" t="inlineStr">
        <is>
          <t>SCA</t>
        </is>
      </c>
      <c r="G623" t="n">
        <v>5.9</v>
      </c>
      <c r="H623" t="n">
        <v>0</v>
      </c>
      <c r="I623" t="n">
        <v>0</v>
      </c>
      <c r="J623" t="n">
        <v>0</v>
      </c>
      <c r="K623" t="n">
        <v>0</v>
      </c>
      <c r="L623" t="n">
        <v>0</v>
      </c>
      <c r="M623" t="n">
        <v>0</v>
      </c>
      <c r="N623" t="n">
        <v>0</v>
      </c>
      <c r="O623" t="n">
        <v>0</v>
      </c>
      <c r="P623" t="n">
        <v>0</v>
      </c>
      <c r="Q623" t="n">
        <v>0</v>
      </c>
      <c r="R623" s="2" t="inlineStr"/>
    </row>
    <row r="624" ht="15" customHeight="1">
      <c r="A624" t="inlineStr">
        <is>
          <t>A 59044-2022</t>
        </is>
      </c>
      <c r="B624" s="1" t="n">
        <v>44903</v>
      </c>
      <c r="C624" s="1" t="n">
        <v>46087</v>
      </c>
      <c r="D624" t="inlineStr">
        <is>
          <t>JÄMTLANDS LÄN</t>
        </is>
      </c>
      <c r="E624" t="inlineStr">
        <is>
          <t>RAGUNDA</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56751-2025</t>
        </is>
      </c>
      <c r="B625" s="1" t="n">
        <v>45978.36538194444</v>
      </c>
      <c r="C625" s="1" t="n">
        <v>46087</v>
      </c>
      <c r="D625" t="inlineStr">
        <is>
          <t>JÄMTLANDS LÄN</t>
        </is>
      </c>
      <c r="E625" t="inlineStr">
        <is>
          <t>RAGUNDA</t>
        </is>
      </c>
      <c r="F625" t="inlineStr">
        <is>
          <t>SCA</t>
        </is>
      </c>
      <c r="G625" t="n">
        <v>34.5</v>
      </c>
      <c r="H625" t="n">
        <v>0</v>
      </c>
      <c r="I625" t="n">
        <v>0</v>
      </c>
      <c r="J625" t="n">
        <v>0</v>
      </c>
      <c r="K625" t="n">
        <v>0</v>
      </c>
      <c r="L625" t="n">
        <v>0</v>
      </c>
      <c r="M625" t="n">
        <v>0</v>
      </c>
      <c r="N625" t="n">
        <v>0</v>
      </c>
      <c r="O625" t="n">
        <v>0</v>
      </c>
      <c r="P625" t="n">
        <v>0</v>
      </c>
      <c r="Q625" t="n">
        <v>0</v>
      </c>
      <c r="R625" s="2" t="inlineStr"/>
    </row>
    <row r="626" ht="15" customHeight="1">
      <c r="A626" t="inlineStr">
        <is>
          <t>A 44954-2025</t>
        </is>
      </c>
      <c r="B626" s="1" t="n">
        <v>45918.61203703703</v>
      </c>
      <c r="C626" s="1" t="n">
        <v>46087</v>
      </c>
      <c r="D626" t="inlineStr">
        <is>
          <t>JÄMTLANDS LÄN</t>
        </is>
      </c>
      <c r="E626" t="inlineStr">
        <is>
          <t>RAGUNDA</t>
        </is>
      </c>
      <c r="G626" t="n">
        <v>3</v>
      </c>
      <c r="H626" t="n">
        <v>0</v>
      </c>
      <c r="I626" t="n">
        <v>0</v>
      </c>
      <c r="J626" t="n">
        <v>0</v>
      </c>
      <c r="K626" t="n">
        <v>0</v>
      </c>
      <c r="L626" t="n">
        <v>0</v>
      </c>
      <c r="M626" t="n">
        <v>0</v>
      </c>
      <c r="N626" t="n">
        <v>0</v>
      </c>
      <c r="O626" t="n">
        <v>0</v>
      </c>
      <c r="P626" t="n">
        <v>0</v>
      </c>
      <c r="Q626" t="n">
        <v>0</v>
      </c>
      <c r="R626" s="2" t="inlineStr"/>
    </row>
    <row r="627" ht="15" customHeight="1">
      <c r="A627" t="inlineStr">
        <is>
          <t>A 4014-2022</t>
        </is>
      </c>
      <c r="B627" s="1" t="n">
        <v>44587.92144675926</v>
      </c>
      <c r="C627" s="1" t="n">
        <v>46087</v>
      </c>
      <c r="D627" t="inlineStr">
        <is>
          <t>JÄMTLANDS LÄN</t>
        </is>
      </c>
      <c r="E627" t="inlineStr">
        <is>
          <t>RAGUNDA</t>
        </is>
      </c>
      <c r="G627" t="n">
        <v>3.6</v>
      </c>
      <c r="H627" t="n">
        <v>0</v>
      </c>
      <c r="I627" t="n">
        <v>0</v>
      </c>
      <c r="J627" t="n">
        <v>0</v>
      </c>
      <c r="K627" t="n">
        <v>0</v>
      </c>
      <c r="L627" t="n">
        <v>0</v>
      </c>
      <c r="M627" t="n">
        <v>0</v>
      </c>
      <c r="N627" t="n">
        <v>0</v>
      </c>
      <c r="O627" t="n">
        <v>0</v>
      </c>
      <c r="P627" t="n">
        <v>0</v>
      </c>
      <c r="Q627" t="n">
        <v>0</v>
      </c>
      <c r="R627" s="2" t="inlineStr"/>
    </row>
    <row r="628" ht="15" customHeight="1">
      <c r="A628" t="inlineStr">
        <is>
          <t>A 8243-2024</t>
        </is>
      </c>
      <c r="B628" s="1" t="n">
        <v>45351.98532407408</v>
      </c>
      <c r="C628" s="1" t="n">
        <v>46087</v>
      </c>
      <c r="D628" t="inlineStr">
        <is>
          <t>JÄMTLANDS LÄN</t>
        </is>
      </c>
      <c r="E628" t="inlineStr">
        <is>
          <t>RAGUNDA</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6902-2024</t>
        </is>
      </c>
      <c r="B629" s="1" t="n">
        <v>45342</v>
      </c>
      <c r="C629" s="1" t="n">
        <v>46087</v>
      </c>
      <c r="D629" t="inlineStr">
        <is>
          <t>JÄMTLANDS LÄN</t>
        </is>
      </c>
      <c r="E629" t="inlineStr">
        <is>
          <t>RAGUNDA</t>
        </is>
      </c>
      <c r="F629" t="inlineStr">
        <is>
          <t>SCA</t>
        </is>
      </c>
      <c r="G629" t="n">
        <v>18.7</v>
      </c>
      <c r="H629" t="n">
        <v>0</v>
      </c>
      <c r="I629" t="n">
        <v>0</v>
      </c>
      <c r="J629" t="n">
        <v>0</v>
      </c>
      <c r="K629" t="n">
        <v>0</v>
      </c>
      <c r="L629" t="n">
        <v>0</v>
      </c>
      <c r="M629" t="n">
        <v>0</v>
      </c>
      <c r="N629" t="n">
        <v>0</v>
      </c>
      <c r="O629" t="n">
        <v>0</v>
      </c>
      <c r="P629" t="n">
        <v>0</v>
      </c>
      <c r="Q629" t="n">
        <v>0</v>
      </c>
      <c r="R629" s="2" t="inlineStr"/>
    </row>
    <row r="630" ht="15" customHeight="1">
      <c r="A630" t="inlineStr">
        <is>
          <t>A 6905-2024</t>
        </is>
      </c>
      <c r="B630" s="1" t="n">
        <v>45342.9462037037</v>
      </c>
      <c r="C630" s="1" t="n">
        <v>46087</v>
      </c>
      <c r="D630" t="inlineStr">
        <is>
          <t>JÄMTLANDS LÄN</t>
        </is>
      </c>
      <c r="E630" t="inlineStr">
        <is>
          <t>RAGUNDA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56435-2025</t>
        </is>
      </c>
      <c r="B631" s="1" t="n">
        <v>45975.34679398148</v>
      </c>
      <c r="C631" s="1" t="n">
        <v>46087</v>
      </c>
      <c r="D631" t="inlineStr">
        <is>
          <t>JÄMTLANDS LÄN</t>
        </is>
      </c>
      <c r="E631" t="inlineStr">
        <is>
          <t>RAGUNDA</t>
        </is>
      </c>
      <c r="F631" t="inlineStr">
        <is>
          <t>SCA</t>
        </is>
      </c>
      <c r="G631" t="n">
        <v>9.199999999999999</v>
      </c>
      <c r="H631" t="n">
        <v>0</v>
      </c>
      <c r="I631" t="n">
        <v>0</v>
      </c>
      <c r="J631" t="n">
        <v>0</v>
      </c>
      <c r="K631" t="n">
        <v>0</v>
      </c>
      <c r="L631" t="n">
        <v>0</v>
      </c>
      <c r="M631" t="n">
        <v>0</v>
      </c>
      <c r="N631" t="n">
        <v>0</v>
      </c>
      <c r="O631" t="n">
        <v>0</v>
      </c>
      <c r="P631" t="n">
        <v>0</v>
      </c>
      <c r="Q631" t="n">
        <v>0</v>
      </c>
      <c r="R631" s="2" t="inlineStr"/>
      <c r="U631">
        <f>HYPERLINK("https://klasma.github.io/Logging_2303/knärot/A 56435-2025 karta knärot.png", "A 56435-2025")</f>
        <v/>
      </c>
      <c r="V631">
        <f>HYPERLINK("https://klasma.github.io/Logging_2303/klagomål/A 56435-2025 FSC-klagomål.docx", "A 56435-2025")</f>
        <v/>
      </c>
      <c r="W631">
        <f>HYPERLINK("https://klasma.github.io/Logging_2303/klagomålsmail/A 56435-2025 FSC-klagomål mail.docx", "A 56435-2025")</f>
        <v/>
      </c>
      <c r="X631">
        <f>HYPERLINK("https://klasma.github.io/Logging_2303/tillsyn/A 56435-2025 tillsynsbegäran.docx", "A 56435-2025")</f>
        <v/>
      </c>
      <c r="Y631">
        <f>HYPERLINK("https://klasma.github.io/Logging_2303/tillsynsmail/A 56435-2025 tillsynsbegäran mail.docx", "A 56435-2025")</f>
        <v/>
      </c>
    </row>
    <row r="632" ht="15" customHeight="1">
      <c r="A632" t="inlineStr">
        <is>
          <t>A 23841-2025</t>
        </is>
      </c>
      <c r="B632" s="1" t="n">
        <v>45793.61523148148</v>
      </c>
      <c r="C632" s="1" t="n">
        <v>46087</v>
      </c>
      <c r="D632" t="inlineStr">
        <is>
          <t>JÄMTLANDS LÄN</t>
        </is>
      </c>
      <c r="E632" t="inlineStr">
        <is>
          <t>RAGUNDA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45279-2025</t>
        </is>
      </c>
      <c r="B633" s="1" t="n">
        <v>45919.71912037037</v>
      </c>
      <c r="C633" s="1" t="n">
        <v>46087</v>
      </c>
      <c r="D633" t="inlineStr">
        <is>
          <t>JÄMTLANDS LÄN</t>
        </is>
      </c>
      <c r="E633" t="inlineStr">
        <is>
          <t>RAGUNDA</t>
        </is>
      </c>
      <c r="F633" t="inlineStr">
        <is>
          <t>SCA</t>
        </is>
      </c>
      <c r="G633" t="n">
        <v>11.5</v>
      </c>
      <c r="H633" t="n">
        <v>0</v>
      </c>
      <c r="I633" t="n">
        <v>0</v>
      </c>
      <c r="J633" t="n">
        <v>0</v>
      </c>
      <c r="K633" t="n">
        <v>0</v>
      </c>
      <c r="L633" t="n">
        <v>0</v>
      </c>
      <c r="M633" t="n">
        <v>0</v>
      </c>
      <c r="N633" t="n">
        <v>0</v>
      </c>
      <c r="O633" t="n">
        <v>0</v>
      </c>
      <c r="P633" t="n">
        <v>0</v>
      </c>
      <c r="Q633" t="n">
        <v>0</v>
      </c>
      <c r="R633" s="2" t="inlineStr"/>
    </row>
    <row r="634" ht="15" customHeight="1">
      <c r="A634" t="inlineStr">
        <is>
          <t>A 24159-2025</t>
        </is>
      </c>
      <c r="B634" s="1" t="n">
        <v>45796</v>
      </c>
      <c r="C634" s="1" t="n">
        <v>46087</v>
      </c>
      <c r="D634" t="inlineStr">
        <is>
          <t>JÄMTLANDS LÄN</t>
        </is>
      </c>
      <c r="E634" t="inlineStr">
        <is>
          <t>RAGUNDA</t>
        </is>
      </c>
      <c r="G634" t="n">
        <v>0.8</v>
      </c>
      <c r="H634" t="n">
        <v>0</v>
      </c>
      <c r="I634" t="n">
        <v>0</v>
      </c>
      <c r="J634" t="n">
        <v>0</v>
      </c>
      <c r="K634" t="n">
        <v>0</v>
      </c>
      <c r="L634" t="n">
        <v>0</v>
      </c>
      <c r="M634" t="n">
        <v>0</v>
      </c>
      <c r="N634" t="n">
        <v>0</v>
      </c>
      <c r="O634" t="n">
        <v>0</v>
      </c>
      <c r="P634" t="n">
        <v>0</v>
      </c>
      <c r="Q634" t="n">
        <v>0</v>
      </c>
      <c r="R634" s="2" t="inlineStr"/>
    </row>
    <row r="635" ht="15" customHeight="1">
      <c r="A635" t="inlineStr">
        <is>
          <t>A 57332-2025</t>
        </is>
      </c>
      <c r="B635" s="1" t="n">
        <v>45980.34467592592</v>
      </c>
      <c r="C635" s="1" t="n">
        <v>46087</v>
      </c>
      <c r="D635" t="inlineStr">
        <is>
          <t>JÄMTLANDS LÄN</t>
        </is>
      </c>
      <c r="E635" t="inlineStr">
        <is>
          <t>RAGUNDA</t>
        </is>
      </c>
      <c r="F635" t="inlineStr">
        <is>
          <t>SCA</t>
        </is>
      </c>
      <c r="G635" t="n">
        <v>22.6</v>
      </c>
      <c r="H635" t="n">
        <v>0</v>
      </c>
      <c r="I635" t="n">
        <v>0</v>
      </c>
      <c r="J635" t="n">
        <v>0</v>
      </c>
      <c r="K635" t="n">
        <v>0</v>
      </c>
      <c r="L635" t="n">
        <v>0</v>
      </c>
      <c r="M635" t="n">
        <v>0</v>
      </c>
      <c r="N635" t="n">
        <v>0</v>
      </c>
      <c r="O635" t="n">
        <v>0</v>
      </c>
      <c r="P635" t="n">
        <v>0</v>
      </c>
      <c r="Q635" t="n">
        <v>0</v>
      </c>
      <c r="R635" s="2" t="inlineStr"/>
    </row>
    <row r="636" ht="15" customHeight="1">
      <c r="A636" t="inlineStr">
        <is>
          <t>A 53989-2024</t>
        </is>
      </c>
      <c r="B636" s="1" t="n">
        <v>45616.34479166667</v>
      </c>
      <c r="C636" s="1" t="n">
        <v>46087</v>
      </c>
      <c r="D636" t="inlineStr">
        <is>
          <t>JÄMTLANDS LÄN</t>
        </is>
      </c>
      <c r="E636" t="inlineStr">
        <is>
          <t>RAGUNDA</t>
        </is>
      </c>
      <c r="F636" t="inlineStr">
        <is>
          <t>SCA</t>
        </is>
      </c>
      <c r="G636" t="n">
        <v>7.2</v>
      </c>
      <c r="H636" t="n">
        <v>0</v>
      </c>
      <c r="I636" t="n">
        <v>0</v>
      </c>
      <c r="J636" t="n">
        <v>0</v>
      </c>
      <c r="K636" t="n">
        <v>0</v>
      </c>
      <c r="L636" t="n">
        <v>0</v>
      </c>
      <c r="M636" t="n">
        <v>0</v>
      </c>
      <c r="N636" t="n">
        <v>0</v>
      </c>
      <c r="O636" t="n">
        <v>0</v>
      </c>
      <c r="P636" t="n">
        <v>0</v>
      </c>
      <c r="Q636" t="n">
        <v>0</v>
      </c>
      <c r="R636" s="2" t="inlineStr"/>
    </row>
    <row r="637" ht="15" customHeight="1">
      <c r="A637" t="inlineStr">
        <is>
          <t>A 21524-2024</t>
        </is>
      </c>
      <c r="B637" s="1" t="n">
        <v>45441</v>
      </c>
      <c r="C637" s="1" t="n">
        <v>46087</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57561-2025</t>
        </is>
      </c>
      <c r="B638" s="1" t="n">
        <v>45980.69885416667</v>
      </c>
      <c r="C638" s="1" t="n">
        <v>46087</v>
      </c>
      <c r="D638" t="inlineStr">
        <is>
          <t>JÄMTLANDS LÄN</t>
        </is>
      </c>
      <c r="E638" t="inlineStr">
        <is>
          <t>RAGUNDA</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42509-2023</t>
        </is>
      </c>
      <c r="B639" s="1" t="n">
        <v>45180</v>
      </c>
      <c r="C639" s="1" t="n">
        <v>46087</v>
      </c>
      <c r="D639" t="inlineStr">
        <is>
          <t>JÄMTLANDS LÄN</t>
        </is>
      </c>
      <c r="E639" t="inlineStr">
        <is>
          <t>RAGUNDA</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57560-2025</t>
        </is>
      </c>
      <c r="B640" s="1" t="n">
        <v>45980.6987962963</v>
      </c>
      <c r="C640" s="1" t="n">
        <v>46087</v>
      </c>
      <c r="D640" t="inlineStr">
        <is>
          <t>JÄMTLANDS LÄN</t>
        </is>
      </c>
      <c r="E640" t="inlineStr">
        <is>
          <t>RAGUNDA</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42510-2023</t>
        </is>
      </c>
      <c r="B641" s="1" t="n">
        <v>45180.95927083334</v>
      </c>
      <c r="C641" s="1" t="n">
        <v>46087</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46087</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64108-2025</t>
        </is>
      </c>
      <c r="B643" s="1" t="n">
        <v>46013</v>
      </c>
      <c r="C643" s="1" t="n">
        <v>46087</v>
      </c>
      <c r="D643" t="inlineStr">
        <is>
          <t>JÄMTLANDS LÄN</t>
        </is>
      </c>
      <c r="E643" t="inlineStr">
        <is>
          <t>RAGUNDA</t>
        </is>
      </c>
      <c r="F643" t="inlineStr">
        <is>
          <t>Kyrkan</t>
        </is>
      </c>
      <c r="G643" t="n">
        <v>1.6</v>
      </c>
      <c r="H643" t="n">
        <v>0</v>
      </c>
      <c r="I643" t="n">
        <v>0</v>
      </c>
      <c r="J643" t="n">
        <v>0</v>
      </c>
      <c r="K643" t="n">
        <v>0</v>
      </c>
      <c r="L643" t="n">
        <v>0</v>
      </c>
      <c r="M643" t="n">
        <v>0</v>
      </c>
      <c r="N643" t="n">
        <v>0</v>
      </c>
      <c r="O643" t="n">
        <v>0</v>
      </c>
      <c r="P643" t="n">
        <v>0</v>
      </c>
      <c r="Q643" t="n">
        <v>0</v>
      </c>
      <c r="R643" s="2" t="inlineStr"/>
    </row>
    <row r="644" ht="15" customHeight="1">
      <c r="A644" t="inlineStr">
        <is>
          <t>A 57184-2025</t>
        </is>
      </c>
      <c r="B644" s="1" t="n">
        <v>45979.57361111111</v>
      </c>
      <c r="C644" s="1" t="n">
        <v>46087</v>
      </c>
      <c r="D644" t="inlineStr">
        <is>
          <t>JÄMTLANDS LÄN</t>
        </is>
      </c>
      <c r="E644" t="inlineStr">
        <is>
          <t>RAGUNDA</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57833-2025</t>
        </is>
      </c>
      <c r="B645" s="1" t="n">
        <v>45981.61541666667</v>
      </c>
      <c r="C645" s="1" t="n">
        <v>46087</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16364-2023</t>
        </is>
      </c>
      <c r="B646" s="1" t="n">
        <v>45028</v>
      </c>
      <c r="C646" s="1" t="n">
        <v>46087</v>
      </c>
      <c r="D646" t="inlineStr">
        <is>
          <t>JÄMTLANDS LÄN</t>
        </is>
      </c>
      <c r="E646" t="inlineStr">
        <is>
          <t>RAGUNDA</t>
        </is>
      </c>
      <c r="G646" t="n">
        <v>0.5</v>
      </c>
      <c r="H646" t="n">
        <v>0</v>
      </c>
      <c r="I646" t="n">
        <v>0</v>
      </c>
      <c r="J646" t="n">
        <v>0</v>
      </c>
      <c r="K646" t="n">
        <v>0</v>
      </c>
      <c r="L646" t="n">
        <v>0</v>
      </c>
      <c r="M646" t="n">
        <v>0</v>
      </c>
      <c r="N646" t="n">
        <v>0</v>
      </c>
      <c r="O646" t="n">
        <v>0</v>
      </c>
      <c r="P646" t="n">
        <v>0</v>
      </c>
      <c r="Q646" t="n">
        <v>0</v>
      </c>
      <c r="R646" s="2" t="inlineStr"/>
    </row>
    <row r="647" ht="15" customHeight="1">
      <c r="A647" t="inlineStr">
        <is>
          <t>A 45894-2025</t>
        </is>
      </c>
      <c r="B647" s="1" t="n">
        <v>45923.67765046296</v>
      </c>
      <c r="C647" s="1" t="n">
        <v>46087</v>
      </c>
      <c r="D647" t="inlineStr">
        <is>
          <t>JÄMTLANDS LÄN</t>
        </is>
      </c>
      <c r="E647" t="inlineStr">
        <is>
          <t>RAGUNDA</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46192-2025</t>
        </is>
      </c>
      <c r="B648" s="1" t="n">
        <v>45924.67789351852</v>
      </c>
      <c r="C648" s="1" t="n">
        <v>46087</v>
      </c>
      <c r="D648" t="inlineStr">
        <is>
          <t>JÄMTLANDS LÄN</t>
        </is>
      </c>
      <c r="E648" t="inlineStr">
        <is>
          <t>RAGUNDA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62407-2023</t>
        </is>
      </c>
      <c r="B649" s="1" t="n">
        <v>45266</v>
      </c>
      <c r="C649" s="1" t="n">
        <v>46087</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38191-2024</t>
        </is>
      </c>
      <c r="B650" s="1" t="n">
        <v>45545.49078703704</v>
      </c>
      <c r="C650" s="1" t="n">
        <v>46087</v>
      </c>
      <c r="D650" t="inlineStr">
        <is>
          <t>JÄMTLANDS LÄN</t>
        </is>
      </c>
      <c r="E650" t="inlineStr">
        <is>
          <t>RAGUNDA</t>
        </is>
      </c>
      <c r="G650" t="n">
        <v>1.6</v>
      </c>
      <c r="H650" t="n">
        <v>0</v>
      </c>
      <c r="I650" t="n">
        <v>0</v>
      </c>
      <c r="J650" t="n">
        <v>0</v>
      </c>
      <c r="K650" t="n">
        <v>0</v>
      </c>
      <c r="L650" t="n">
        <v>0</v>
      </c>
      <c r="M650" t="n">
        <v>0</v>
      </c>
      <c r="N650" t="n">
        <v>0</v>
      </c>
      <c r="O650" t="n">
        <v>0</v>
      </c>
      <c r="P650" t="n">
        <v>0</v>
      </c>
      <c r="Q650" t="n">
        <v>0</v>
      </c>
      <c r="R650" s="2" t="inlineStr"/>
    </row>
    <row r="651" ht="15" customHeight="1">
      <c r="A651" t="inlineStr">
        <is>
          <t>A 58076-2025</t>
        </is>
      </c>
      <c r="B651" s="1" t="n">
        <v>45982.55273148148</v>
      </c>
      <c r="C651" s="1" t="n">
        <v>46087</v>
      </c>
      <c r="D651" t="inlineStr">
        <is>
          <t>JÄMTLANDS LÄN</t>
        </is>
      </c>
      <c r="E651" t="inlineStr">
        <is>
          <t>RAGUNDA</t>
        </is>
      </c>
      <c r="G651" t="n">
        <v>0.1</v>
      </c>
      <c r="H651" t="n">
        <v>0</v>
      </c>
      <c r="I651" t="n">
        <v>0</v>
      </c>
      <c r="J651" t="n">
        <v>0</v>
      </c>
      <c r="K651" t="n">
        <v>0</v>
      </c>
      <c r="L651" t="n">
        <v>0</v>
      </c>
      <c r="M651" t="n">
        <v>0</v>
      </c>
      <c r="N651" t="n">
        <v>0</v>
      </c>
      <c r="O651" t="n">
        <v>0</v>
      </c>
      <c r="P651" t="n">
        <v>0</v>
      </c>
      <c r="Q651" t="n">
        <v>0</v>
      </c>
      <c r="R651" s="2" t="inlineStr"/>
    </row>
    <row r="652" ht="15" customHeight="1">
      <c r="A652" t="inlineStr">
        <is>
          <t>A 58093-2025</t>
        </is>
      </c>
      <c r="B652" s="1" t="n">
        <v>45982.5741087963</v>
      </c>
      <c r="C652" s="1" t="n">
        <v>46087</v>
      </c>
      <c r="D652" t="inlineStr">
        <is>
          <t>JÄMTLANDS LÄN</t>
        </is>
      </c>
      <c r="E652" t="inlineStr">
        <is>
          <t>RAGUNDA</t>
        </is>
      </c>
      <c r="G652" t="n">
        <v>22.2</v>
      </c>
      <c r="H652" t="n">
        <v>0</v>
      </c>
      <c r="I652" t="n">
        <v>0</v>
      </c>
      <c r="J652" t="n">
        <v>0</v>
      </c>
      <c r="K652" t="n">
        <v>0</v>
      </c>
      <c r="L652" t="n">
        <v>0</v>
      </c>
      <c r="M652" t="n">
        <v>0</v>
      </c>
      <c r="N652" t="n">
        <v>0</v>
      </c>
      <c r="O652" t="n">
        <v>0</v>
      </c>
      <c r="P652" t="n">
        <v>0</v>
      </c>
      <c r="Q652" t="n">
        <v>0</v>
      </c>
      <c r="R652" s="2" t="inlineStr"/>
    </row>
    <row r="653" ht="15" customHeight="1">
      <c r="A653" t="inlineStr">
        <is>
          <t>A 57914-2025</t>
        </is>
      </c>
      <c r="B653" s="1" t="n">
        <v>45981</v>
      </c>
      <c r="C653" s="1" t="n">
        <v>46087</v>
      </c>
      <c r="D653" t="inlineStr">
        <is>
          <t>JÄMTLANDS LÄN</t>
        </is>
      </c>
      <c r="E653" t="inlineStr">
        <is>
          <t>RAGUNDA</t>
        </is>
      </c>
      <c r="G653" t="n">
        <v>3.2</v>
      </c>
      <c r="H653" t="n">
        <v>0</v>
      </c>
      <c r="I653" t="n">
        <v>0</v>
      </c>
      <c r="J653" t="n">
        <v>0</v>
      </c>
      <c r="K653" t="n">
        <v>0</v>
      </c>
      <c r="L653" t="n">
        <v>0</v>
      </c>
      <c r="M653" t="n">
        <v>0</v>
      </c>
      <c r="N653" t="n">
        <v>0</v>
      </c>
      <c r="O653" t="n">
        <v>0</v>
      </c>
      <c r="P653" t="n">
        <v>0</v>
      </c>
      <c r="Q653" t="n">
        <v>0</v>
      </c>
      <c r="R653" s="2" t="inlineStr"/>
    </row>
    <row r="654" ht="15" customHeight="1">
      <c r="A654" t="inlineStr">
        <is>
          <t>A 57915-2025</t>
        </is>
      </c>
      <c r="B654" s="1" t="n">
        <v>45981</v>
      </c>
      <c r="C654" s="1" t="n">
        <v>46087</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57963-2025</t>
        </is>
      </c>
      <c r="B655" s="1" t="n">
        <v>45982.37800925926</v>
      </c>
      <c r="C655" s="1" t="n">
        <v>46087</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46549-2023</t>
        </is>
      </c>
      <c r="B656" s="1" t="n">
        <v>45197.94171296297</v>
      </c>
      <c r="C656" s="1" t="n">
        <v>46087</v>
      </c>
      <c r="D656" t="inlineStr">
        <is>
          <t>JÄMTLANDS LÄN</t>
        </is>
      </c>
      <c r="E656" t="inlineStr">
        <is>
          <t>RAGUNDA</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57916-2025</t>
        </is>
      </c>
      <c r="B657" s="1" t="n">
        <v>45981</v>
      </c>
      <c r="C657" s="1" t="n">
        <v>46087</v>
      </c>
      <c r="D657" t="inlineStr">
        <is>
          <t>JÄMTLANDS LÄN</t>
        </is>
      </c>
      <c r="E657" t="inlineStr">
        <is>
          <t>RAGUNDA</t>
        </is>
      </c>
      <c r="G657" t="n">
        <v>5.3</v>
      </c>
      <c r="H657" t="n">
        <v>0</v>
      </c>
      <c r="I657" t="n">
        <v>0</v>
      </c>
      <c r="J657" t="n">
        <v>0</v>
      </c>
      <c r="K657" t="n">
        <v>0</v>
      </c>
      <c r="L657" t="n">
        <v>0</v>
      </c>
      <c r="M657" t="n">
        <v>0</v>
      </c>
      <c r="N657" t="n">
        <v>0</v>
      </c>
      <c r="O657" t="n">
        <v>0</v>
      </c>
      <c r="P657" t="n">
        <v>0</v>
      </c>
      <c r="Q657" t="n">
        <v>0</v>
      </c>
      <c r="R657" s="2" t="inlineStr"/>
    </row>
    <row r="658" ht="15" customHeight="1">
      <c r="A658" t="inlineStr">
        <is>
          <t>A 57970-2025</t>
        </is>
      </c>
      <c r="B658" s="1" t="n">
        <v>45982.38582175926</v>
      </c>
      <c r="C658" s="1" t="n">
        <v>46087</v>
      </c>
      <c r="D658" t="inlineStr">
        <is>
          <t>JÄMTLANDS LÄN</t>
        </is>
      </c>
      <c r="E658" t="inlineStr">
        <is>
          <t>RAGUNDA</t>
        </is>
      </c>
      <c r="G658" t="n">
        <v>4.9</v>
      </c>
      <c r="H658" t="n">
        <v>0</v>
      </c>
      <c r="I658" t="n">
        <v>0</v>
      </c>
      <c r="J658" t="n">
        <v>0</v>
      </c>
      <c r="K658" t="n">
        <v>0</v>
      </c>
      <c r="L658" t="n">
        <v>0</v>
      </c>
      <c r="M658" t="n">
        <v>0</v>
      </c>
      <c r="N658" t="n">
        <v>0</v>
      </c>
      <c r="O658" t="n">
        <v>0</v>
      </c>
      <c r="P658" t="n">
        <v>0</v>
      </c>
      <c r="Q658" t="n">
        <v>0</v>
      </c>
      <c r="R658" s="2" t="inlineStr"/>
    </row>
    <row r="659" ht="15" customHeight="1">
      <c r="A659" t="inlineStr">
        <is>
          <t>A 57785-2025</t>
        </is>
      </c>
      <c r="B659" s="1" t="n">
        <v>45981.57393518519</v>
      </c>
      <c r="C659" s="1" t="n">
        <v>46087</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46689-2025</t>
        </is>
      </c>
      <c r="B660" s="1" t="n">
        <v>45926.55307870371</v>
      </c>
      <c r="C660" s="1" t="n">
        <v>46087</v>
      </c>
      <c r="D660" t="inlineStr">
        <is>
          <t>JÄMTLANDS LÄN</t>
        </is>
      </c>
      <c r="E660" t="inlineStr">
        <is>
          <t>RAGUNDA</t>
        </is>
      </c>
      <c r="F660" t="inlineStr">
        <is>
          <t>SCA</t>
        </is>
      </c>
      <c r="G660" t="n">
        <v>8</v>
      </c>
      <c r="H660" t="n">
        <v>0</v>
      </c>
      <c r="I660" t="n">
        <v>0</v>
      </c>
      <c r="J660" t="n">
        <v>0</v>
      </c>
      <c r="K660" t="n">
        <v>0</v>
      </c>
      <c r="L660" t="n">
        <v>0</v>
      </c>
      <c r="M660" t="n">
        <v>0</v>
      </c>
      <c r="N660" t="n">
        <v>0</v>
      </c>
      <c r="O660" t="n">
        <v>0</v>
      </c>
      <c r="P660" t="n">
        <v>0</v>
      </c>
      <c r="Q660" t="n">
        <v>0</v>
      </c>
      <c r="R660" s="2" t="inlineStr"/>
    </row>
    <row r="661" ht="15" customHeight="1">
      <c r="A661" t="inlineStr">
        <is>
          <t>A 46275-2025</t>
        </is>
      </c>
      <c r="B661" s="1" t="n">
        <v>45925.3711574074</v>
      </c>
      <c r="C661" s="1" t="n">
        <v>46087</v>
      </c>
      <c r="D661" t="inlineStr">
        <is>
          <t>JÄMTLANDS LÄN</t>
        </is>
      </c>
      <c r="E661" t="inlineStr">
        <is>
          <t>RAGUNDA</t>
        </is>
      </c>
      <c r="G661" t="n">
        <v>2.7</v>
      </c>
      <c r="H661" t="n">
        <v>0</v>
      </c>
      <c r="I661" t="n">
        <v>0</v>
      </c>
      <c r="J661" t="n">
        <v>0</v>
      </c>
      <c r="K661" t="n">
        <v>0</v>
      </c>
      <c r="L661" t="n">
        <v>0</v>
      </c>
      <c r="M661" t="n">
        <v>0</v>
      </c>
      <c r="N661" t="n">
        <v>0</v>
      </c>
      <c r="O661" t="n">
        <v>0</v>
      </c>
      <c r="P661" t="n">
        <v>0</v>
      </c>
      <c r="Q661" t="n">
        <v>0</v>
      </c>
      <c r="R661" s="2" t="inlineStr"/>
    </row>
    <row r="662" ht="15" customHeight="1">
      <c r="A662" t="inlineStr">
        <is>
          <t>A 46710-2025</t>
        </is>
      </c>
      <c r="B662" s="1" t="n">
        <v>45926.57337962963</v>
      </c>
      <c r="C662" s="1" t="n">
        <v>46087</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46751-2025</t>
        </is>
      </c>
      <c r="B663" s="1" t="n">
        <v>45926.6153125</v>
      </c>
      <c r="C663" s="1" t="n">
        <v>46087</v>
      </c>
      <c r="D663" t="inlineStr">
        <is>
          <t>JÄMTLANDS LÄN</t>
        </is>
      </c>
      <c r="E663" t="inlineStr">
        <is>
          <t>RAGUNDA</t>
        </is>
      </c>
      <c r="F663" t="inlineStr">
        <is>
          <t>SCA</t>
        </is>
      </c>
      <c r="G663" t="n">
        <v>7.8</v>
      </c>
      <c r="H663" t="n">
        <v>0</v>
      </c>
      <c r="I663" t="n">
        <v>0</v>
      </c>
      <c r="J663" t="n">
        <v>0</v>
      </c>
      <c r="K663" t="n">
        <v>0</v>
      </c>
      <c r="L663" t="n">
        <v>0</v>
      </c>
      <c r="M663" t="n">
        <v>0</v>
      </c>
      <c r="N663" t="n">
        <v>0</v>
      </c>
      <c r="O663" t="n">
        <v>0</v>
      </c>
      <c r="P663" t="n">
        <v>0</v>
      </c>
      <c r="Q663" t="n">
        <v>0</v>
      </c>
      <c r="R663" s="2" t="inlineStr"/>
    </row>
    <row r="664" ht="15" customHeight="1">
      <c r="A664" t="inlineStr">
        <is>
          <t>A 46753-2025</t>
        </is>
      </c>
      <c r="B664" s="1" t="n">
        <v>45926.61552083334</v>
      </c>
      <c r="C664" s="1" t="n">
        <v>46087</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24391-2025</t>
        </is>
      </c>
      <c r="B665" s="1" t="n">
        <v>45797.63627314815</v>
      </c>
      <c r="C665" s="1" t="n">
        <v>46087</v>
      </c>
      <c r="D665" t="inlineStr">
        <is>
          <t>JÄMTLANDS LÄN</t>
        </is>
      </c>
      <c r="E665" t="inlineStr">
        <is>
          <t>RAGUNDA</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25376-2025</t>
        </is>
      </c>
      <c r="B666" s="1" t="n">
        <v>45800.63619212963</v>
      </c>
      <c r="C666" s="1" t="n">
        <v>46087</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58638-2025</t>
        </is>
      </c>
      <c r="B667" s="1" t="n">
        <v>45986.49016203704</v>
      </c>
      <c r="C667" s="1" t="n">
        <v>46087</v>
      </c>
      <c r="D667" t="inlineStr">
        <is>
          <t>JÄMTLANDS LÄN</t>
        </is>
      </c>
      <c r="E667" t="inlineStr">
        <is>
          <t>RAGUNDA</t>
        </is>
      </c>
      <c r="G667" t="n">
        <v>1.3</v>
      </c>
      <c r="H667" t="n">
        <v>0</v>
      </c>
      <c r="I667" t="n">
        <v>0</v>
      </c>
      <c r="J667" t="n">
        <v>0</v>
      </c>
      <c r="K667" t="n">
        <v>0</v>
      </c>
      <c r="L667" t="n">
        <v>0</v>
      </c>
      <c r="M667" t="n">
        <v>0</v>
      </c>
      <c r="N667" t="n">
        <v>0</v>
      </c>
      <c r="O667" t="n">
        <v>0</v>
      </c>
      <c r="P667" t="n">
        <v>0</v>
      </c>
      <c r="Q667" t="n">
        <v>0</v>
      </c>
      <c r="R667" s="2" t="inlineStr"/>
    </row>
    <row r="668" ht="15" customHeight="1">
      <c r="A668" t="inlineStr">
        <is>
          <t>A 55214-2022</t>
        </is>
      </c>
      <c r="B668" s="1" t="n">
        <v>44886</v>
      </c>
      <c r="C668" s="1" t="n">
        <v>46087</v>
      </c>
      <c r="D668" t="inlineStr">
        <is>
          <t>JÄMTLANDS LÄN</t>
        </is>
      </c>
      <c r="E668" t="inlineStr">
        <is>
          <t>RAGUNDA</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58559-2025</t>
        </is>
      </c>
      <c r="B669" s="1" t="n">
        <v>45986.34475694445</v>
      </c>
      <c r="C669" s="1" t="n">
        <v>46087</v>
      </c>
      <c r="D669" t="inlineStr">
        <is>
          <t>JÄMTLANDS LÄN</t>
        </is>
      </c>
      <c r="E669" t="inlineStr">
        <is>
          <t>RAGUNDA</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40246-2024</t>
        </is>
      </c>
      <c r="B670" s="1" t="n">
        <v>45554.61583333334</v>
      </c>
      <c r="C670" s="1" t="n">
        <v>46087</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47228-2025</t>
        </is>
      </c>
      <c r="B671" s="1" t="n">
        <v>45930.3990162037</v>
      </c>
      <c r="C671" s="1" t="n">
        <v>46087</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46974-2025</t>
        </is>
      </c>
      <c r="B672" s="1" t="n">
        <v>45929.51104166666</v>
      </c>
      <c r="C672" s="1" t="n">
        <v>46087</v>
      </c>
      <c r="D672" t="inlineStr">
        <is>
          <t>JÄMTLANDS LÄN</t>
        </is>
      </c>
      <c r="E672" t="inlineStr">
        <is>
          <t>RAGUNDA</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47037-2025</t>
        </is>
      </c>
      <c r="B673" s="1" t="n">
        <v>45929.59456018519</v>
      </c>
      <c r="C673" s="1" t="n">
        <v>46087</v>
      </c>
      <c r="D673" t="inlineStr">
        <is>
          <t>JÄMTLANDS LÄN</t>
        </is>
      </c>
      <c r="E673" t="inlineStr">
        <is>
          <t>RAGUNDA</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47119-2025</t>
        </is>
      </c>
      <c r="B674" s="1" t="n">
        <v>45929.67795138889</v>
      </c>
      <c r="C674" s="1" t="n">
        <v>46087</v>
      </c>
      <c r="D674" t="inlineStr">
        <is>
          <t>JÄMTLANDS LÄN</t>
        </is>
      </c>
      <c r="E674" t="inlineStr">
        <is>
          <t>RAGUNDA</t>
        </is>
      </c>
      <c r="F674" t="inlineStr">
        <is>
          <t>SCA</t>
        </is>
      </c>
      <c r="G674" t="n">
        <v>22.7</v>
      </c>
      <c r="H674" t="n">
        <v>0</v>
      </c>
      <c r="I674" t="n">
        <v>0</v>
      </c>
      <c r="J674" t="n">
        <v>0</v>
      </c>
      <c r="K674" t="n">
        <v>0</v>
      </c>
      <c r="L674" t="n">
        <v>0</v>
      </c>
      <c r="M674" t="n">
        <v>0</v>
      </c>
      <c r="N674" t="n">
        <v>0</v>
      </c>
      <c r="O674" t="n">
        <v>0</v>
      </c>
      <c r="P674" t="n">
        <v>0</v>
      </c>
      <c r="Q674" t="n">
        <v>0</v>
      </c>
      <c r="R674" s="2" t="inlineStr"/>
    </row>
    <row r="675" ht="15" customHeight="1">
      <c r="A675" t="inlineStr">
        <is>
          <t>A 47122-2025</t>
        </is>
      </c>
      <c r="B675" s="1" t="n">
        <v>45929.67878472222</v>
      </c>
      <c r="C675" s="1" t="n">
        <v>46087</v>
      </c>
      <c r="D675" t="inlineStr">
        <is>
          <t>JÄMTLANDS LÄN</t>
        </is>
      </c>
      <c r="E675" t="inlineStr">
        <is>
          <t>RAGUNDA</t>
        </is>
      </c>
      <c r="F675" t="inlineStr">
        <is>
          <t>SCA</t>
        </is>
      </c>
      <c r="G675" t="n">
        <v>31.1</v>
      </c>
      <c r="H675" t="n">
        <v>0</v>
      </c>
      <c r="I675" t="n">
        <v>0</v>
      </c>
      <c r="J675" t="n">
        <v>0</v>
      </c>
      <c r="K675" t="n">
        <v>0</v>
      </c>
      <c r="L675" t="n">
        <v>0</v>
      </c>
      <c r="M675" t="n">
        <v>0</v>
      </c>
      <c r="N675" t="n">
        <v>0</v>
      </c>
      <c r="O675" t="n">
        <v>0</v>
      </c>
      <c r="P675" t="n">
        <v>0</v>
      </c>
      <c r="Q675" t="n">
        <v>0</v>
      </c>
      <c r="R675" s="2" t="inlineStr"/>
    </row>
    <row r="676" ht="15" customHeight="1">
      <c r="A676" t="inlineStr">
        <is>
          <t>A 53109-2025</t>
        </is>
      </c>
      <c r="B676" s="1" t="n">
        <v>45958</v>
      </c>
      <c r="C676" s="1" t="n">
        <v>46087</v>
      </c>
      <c r="D676" t="inlineStr">
        <is>
          <t>JÄMTLANDS LÄN</t>
        </is>
      </c>
      <c r="E676" t="inlineStr">
        <is>
          <t>RAGUNDA</t>
        </is>
      </c>
      <c r="G676" t="n">
        <v>2.1</v>
      </c>
      <c r="H676" t="n">
        <v>0</v>
      </c>
      <c r="I676" t="n">
        <v>0</v>
      </c>
      <c r="J676" t="n">
        <v>0</v>
      </c>
      <c r="K676" t="n">
        <v>0</v>
      </c>
      <c r="L676" t="n">
        <v>0</v>
      </c>
      <c r="M676" t="n">
        <v>0</v>
      </c>
      <c r="N676" t="n">
        <v>0</v>
      </c>
      <c r="O676" t="n">
        <v>0</v>
      </c>
      <c r="P676" t="n">
        <v>0</v>
      </c>
      <c r="Q676" t="n">
        <v>0</v>
      </c>
      <c r="R676" s="2" t="inlineStr"/>
    </row>
    <row r="677" ht="15" customHeight="1">
      <c r="A677" t="inlineStr">
        <is>
          <t>A 46909-2025</t>
        </is>
      </c>
      <c r="B677" s="1" t="n">
        <v>45929.40673611111</v>
      </c>
      <c r="C677" s="1" t="n">
        <v>46087</v>
      </c>
      <c r="D677" t="inlineStr">
        <is>
          <t>JÄMTLANDS LÄN</t>
        </is>
      </c>
      <c r="E677" t="inlineStr">
        <is>
          <t>RAGUNDA</t>
        </is>
      </c>
      <c r="G677" t="n">
        <v>5.7</v>
      </c>
      <c r="H677" t="n">
        <v>0</v>
      </c>
      <c r="I677" t="n">
        <v>0</v>
      </c>
      <c r="J677" t="n">
        <v>0</v>
      </c>
      <c r="K677" t="n">
        <v>0</v>
      </c>
      <c r="L677" t="n">
        <v>0</v>
      </c>
      <c r="M677" t="n">
        <v>0</v>
      </c>
      <c r="N677" t="n">
        <v>0</v>
      </c>
      <c r="O677" t="n">
        <v>0</v>
      </c>
      <c r="P677" t="n">
        <v>0</v>
      </c>
      <c r="Q677" t="n">
        <v>0</v>
      </c>
      <c r="R677" s="2" t="inlineStr"/>
    </row>
    <row r="678" ht="15" customHeight="1">
      <c r="A678" t="inlineStr">
        <is>
          <t>A 59214-2025</t>
        </is>
      </c>
      <c r="B678" s="1" t="n">
        <v>45988.61623842592</v>
      </c>
      <c r="C678" s="1" t="n">
        <v>46087</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58918-2025</t>
        </is>
      </c>
      <c r="B679" s="1" t="n">
        <v>45987.52952546296</v>
      </c>
      <c r="C679" s="1" t="n">
        <v>46087</v>
      </c>
      <c r="D679" t="inlineStr">
        <is>
          <t>JÄMTLANDS LÄN</t>
        </is>
      </c>
      <c r="E679" t="inlineStr">
        <is>
          <t>RAGUNDA</t>
        </is>
      </c>
      <c r="G679" t="n">
        <v>2</v>
      </c>
      <c r="H679" t="n">
        <v>0</v>
      </c>
      <c r="I679" t="n">
        <v>0</v>
      </c>
      <c r="J679" t="n">
        <v>0</v>
      </c>
      <c r="K679" t="n">
        <v>0</v>
      </c>
      <c r="L679" t="n">
        <v>0</v>
      </c>
      <c r="M679" t="n">
        <v>0</v>
      </c>
      <c r="N679" t="n">
        <v>0</v>
      </c>
      <c r="O679" t="n">
        <v>0</v>
      </c>
      <c r="P679" t="n">
        <v>0</v>
      </c>
      <c r="Q679" t="n">
        <v>0</v>
      </c>
      <c r="R679" s="2" t="inlineStr"/>
    </row>
    <row r="680" ht="15" customHeight="1">
      <c r="A680" t="inlineStr">
        <is>
          <t>A 25350-2025</t>
        </is>
      </c>
      <c r="B680" s="1" t="n">
        <v>45800</v>
      </c>
      <c r="C680" s="1" t="n">
        <v>46087</v>
      </c>
      <c r="D680" t="inlineStr">
        <is>
          <t>JÄMTLANDS LÄN</t>
        </is>
      </c>
      <c r="E680" t="inlineStr">
        <is>
          <t>RAGUNDA</t>
        </is>
      </c>
      <c r="G680" t="n">
        <v>2.4</v>
      </c>
      <c r="H680" t="n">
        <v>0</v>
      </c>
      <c r="I680" t="n">
        <v>0</v>
      </c>
      <c r="J680" t="n">
        <v>0</v>
      </c>
      <c r="K680" t="n">
        <v>0</v>
      </c>
      <c r="L680" t="n">
        <v>0</v>
      </c>
      <c r="M680" t="n">
        <v>0</v>
      </c>
      <c r="N680" t="n">
        <v>0</v>
      </c>
      <c r="O680" t="n">
        <v>0</v>
      </c>
      <c r="P680" t="n">
        <v>0</v>
      </c>
      <c r="Q680" t="n">
        <v>0</v>
      </c>
      <c r="R680" s="2" t="inlineStr"/>
    </row>
    <row r="681" ht="15" customHeight="1">
      <c r="A681" t="inlineStr">
        <is>
          <t>A 21853-2024</t>
        </is>
      </c>
      <c r="B681" s="1" t="n">
        <v>45442.96296296296</v>
      </c>
      <c r="C681" s="1" t="n">
        <v>46087</v>
      </c>
      <c r="D681" t="inlineStr">
        <is>
          <t>JÄMTLANDS LÄN</t>
        </is>
      </c>
      <c r="E681" t="inlineStr">
        <is>
          <t>RAGUNDA</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29775-2023</t>
        </is>
      </c>
      <c r="B682" s="1" t="n">
        <v>45098</v>
      </c>
      <c r="C682" s="1" t="n">
        <v>46087</v>
      </c>
      <c r="D682" t="inlineStr">
        <is>
          <t>JÄMTLANDS LÄN</t>
        </is>
      </c>
      <c r="E682" t="inlineStr">
        <is>
          <t>RAGUNDA</t>
        </is>
      </c>
      <c r="G682" t="n">
        <v>3.6</v>
      </c>
      <c r="H682" t="n">
        <v>0</v>
      </c>
      <c r="I682" t="n">
        <v>0</v>
      </c>
      <c r="J682" t="n">
        <v>0</v>
      </c>
      <c r="K682" t="n">
        <v>0</v>
      </c>
      <c r="L682" t="n">
        <v>0</v>
      </c>
      <c r="M682" t="n">
        <v>0</v>
      </c>
      <c r="N682" t="n">
        <v>0</v>
      </c>
      <c r="O682" t="n">
        <v>0</v>
      </c>
      <c r="P682" t="n">
        <v>0</v>
      </c>
      <c r="Q682" t="n">
        <v>0</v>
      </c>
      <c r="R682" s="2" t="inlineStr"/>
    </row>
    <row r="683" ht="15" customHeight="1">
      <c r="A683" t="inlineStr">
        <is>
          <t>A 47229-2025</t>
        </is>
      </c>
      <c r="B683" s="1" t="n">
        <v>45930.40166666666</v>
      </c>
      <c r="C683" s="1" t="n">
        <v>46087</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47075-2025</t>
        </is>
      </c>
      <c r="B684" s="1" t="n">
        <v>45929.63728009259</v>
      </c>
      <c r="C684" s="1" t="n">
        <v>46087</v>
      </c>
      <c r="D684" t="inlineStr">
        <is>
          <t>JÄMTLANDS LÄN</t>
        </is>
      </c>
      <c r="E684" t="inlineStr">
        <is>
          <t>RAGUNDA</t>
        </is>
      </c>
      <c r="F684" t="inlineStr">
        <is>
          <t>SCA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46825-2025</t>
        </is>
      </c>
      <c r="B685" s="1" t="n">
        <v>45926.92506944444</v>
      </c>
      <c r="C685" s="1" t="n">
        <v>46087</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40365-2024</t>
        </is>
      </c>
      <c r="B686" s="1" t="n">
        <v>45555.38509259259</v>
      </c>
      <c r="C686" s="1" t="n">
        <v>46087</v>
      </c>
      <c r="D686" t="inlineStr">
        <is>
          <t>JÄMTLANDS LÄN</t>
        </is>
      </c>
      <c r="E686" t="inlineStr">
        <is>
          <t>RAGUNDA</t>
        </is>
      </c>
      <c r="G686" t="n">
        <v>7.8</v>
      </c>
      <c r="H686" t="n">
        <v>0</v>
      </c>
      <c r="I686" t="n">
        <v>0</v>
      </c>
      <c r="J686" t="n">
        <v>0</v>
      </c>
      <c r="K686" t="n">
        <v>0</v>
      </c>
      <c r="L686" t="n">
        <v>0</v>
      </c>
      <c r="M686" t="n">
        <v>0</v>
      </c>
      <c r="N686" t="n">
        <v>0</v>
      </c>
      <c r="O686" t="n">
        <v>0</v>
      </c>
      <c r="P686" t="n">
        <v>0</v>
      </c>
      <c r="Q686" t="n">
        <v>0</v>
      </c>
      <c r="R686" s="2" t="inlineStr"/>
    </row>
    <row r="687" ht="15" customHeight="1">
      <c r="A687" t="inlineStr">
        <is>
          <t>A 25152-2025</t>
        </is>
      </c>
      <c r="B687" s="1" t="n">
        <v>45800.42743055556</v>
      </c>
      <c r="C687" s="1" t="n">
        <v>46087</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25175-2025</t>
        </is>
      </c>
      <c r="B688" s="1" t="n">
        <v>45800.44822916666</v>
      </c>
      <c r="C688" s="1" t="n">
        <v>46087</v>
      </c>
      <c r="D688" t="inlineStr">
        <is>
          <t>JÄMTLANDS LÄN</t>
        </is>
      </c>
      <c r="E688" t="inlineStr">
        <is>
          <t>RAGUNDA</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25177-2025</t>
        </is>
      </c>
      <c r="B689" s="1" t="n">
        <v>45800.44862268519</v>
      </c>
      <c r="C689" s="1" t="n">
        <v>46087</v>
      </c>
      <c r="D689" t="inlineStr">
        <is>
          <t>JÄMTLANDS LÄN</t>
        </is>
      </c>
      <c r="E689" t="inlineStr">
        <is>
          <t>RAGUNDA</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59692-2025</t>
        </is>
      </c>
      <c r="B690" s="1" t="n">
        <v>45992.49001157407</v>
      </c>
      <c r="C690" s="1" t="n">
        <v>46087</v>
      </c>
      <c r="D690" t="inlineStr">
        <is>
          <t>JÄMTLANDS LÄN</t>
        </is>
      </c>
      <c r="E690" t="inlineStr">
        <is>
          <t>RAGUNDA</t>
        </is>
      </c>
      <c r="G690" t="n">
        <v>2.7</v>
      </c>
      <c r="H690" t="n">
        <v>0</v>
      </c>
      <c r="I690" t="n">
        <v>0</v>
      </c>
      <c r="J690" t="n">
        <v>0</v>
      </c>
      <c r="K690" t="n">
        <v>0</v>
      </c>
      <c r="L690" t="n">
        <v>0</v>
      </c>
      <c r="M690" t="n">
        <v>0</v>
      </c>
      <c r="N690" t="n">
        <v>0</v>
      </c>
      <c r="O690" t="n">
        <v>0</v>
      </c>
      <c r="P690" t="n">
        <v>0</v>
      </c>
      <c r="Q690" t="n">
        <v>0</v>
      </c>
      <c r="R690" s="2" t="inlineStr"/>
    </row>
    <row r="691" ht="15" customHeight="1">
      <c r="A691" t="inlineStr">
        <is>
          <t>A 59693-2025</t>
        </is>
      </c>
      <c r="B691" s="1" t="n">
        <v>45992.49009259259</v>
      </c>
      <c r="C691" s="1" t="n">
        <v>46087</v>
      </c>
      <c r="D691" t="inlineStr">
        <is>
          <t>JÄMTLANDS LÄN</t>
        </is>
      </c>
      <c r="E691" t="inlineStr">
        <is>
          <t>RAGUNDA</t>
        </is>
      </c>
      <c r="G691" t="n">
        <v>0.7</v>
      </c>
      <c r="H691" t="n">
        <v>0</v>
      </c>
      <c r="I691" t="n">
        <v>0</v>
      </c>
      <c r="J691" t="n">
        <v>0</v>
      </c>
      <c r="K691" t="n">
        <v>0</v>
      </c>
      <c r="L691" t="n">
        <v>0</v>
      </c>
      <c r="M691" t="n">
        <v>0</v>
      </c>
      <c r="N691" t="n">
        <v>0</v>
      </c>
      <c r="O691" t="n">
        <v>0</v>
      </c>
      <c r="P691" t="n">
        <v>0</v>
      </c>
      <c r="Q691" t="n">
        <v>0</v>
      </c>
      <c r="R691" s="2" t="inlineStr"/>
    </row>
    <row r="692" ht="15" customHeight="1">
      <c r="A692" t="inlineStr">
        <is>
          <t>A 59491-2025</t>
        </is>
      </c>
      <c r="B692" s="1" t="n">
        <v>45989.60376157407</v>
      </c>
      <c r="C692" s="1" t="n">
        <v>46087</v>
      </c>
      <c r="D692" t="inlineStr">
        <is>
          <t>JÄMTLANDS LÄN</t>
        </is>
      </c>
      <c r="E692" t="inlineStr">
        <is>
          <t>RAGUNDA</t>
        </is>
      </c>
      <c r="G692" t="n">
        <v>0.9</v>
      </c>
      <c r="H692" t="n">
        <v>0</v>
      </c>
      <c r="I692" t="n">
        <v>0</v>
      </c>
      <c r="J692" t="n">
        <v>0</v>
      </c>
      <c r="K692" t="n">
        <v>0</v>
      </c>
      <c r="L692" t="n">
        <v>0</v>
      </c>
      <c r="M692" t="n">
        <v>0</v>
      </c>
      <c r="N692" t="n">
        <v>0</v>
      </c>
      <c r="O692" t="n">
        <v>0</v>
      </c>
      <c r="P692" t="n">
        <v>0</v>
      </c>
      <c r="Q692" t="n">
        <v>0</v>
      </c>
      <c r="R692" s="2" t="inlineStr"/>
    </row>
    <row r="693" ht="15" customHeight="1">
      <c r="A693" t="inlineStr">
        <is>
          <t>A 59499-2025</t>
        </is>
      </c>
      <c r="B693" s="1" t="n">
        <v>45989.61846064815</v>
      </c>
      <c r="C693" s="1" t="n">
        <v>46087</v>
      </c>
      <c r="D693" t="inlineStr">
        <is>
          <t>JÄMTLANDS LÄN</t>
        </is>
      </c>
      <c r="E693" t="inlineStr">
        <is>
          <t>RAGUNDA</t>
        </is>
      </c>
      <c r="G693" t="n">
        <v>2</v>
      </c>
      <c r="H693" t="n">
        <v>0</v>
      </c>
      <c r="I693" t="n">
        <v>0</v>
      </c>
      <c r="J693" t="n">
        <v>0</v>
      </c>
      <c r="K693" t="n">
        <v>0</v>
      </c>
      <c r="L693" t="n">
        <v>0</v>
      </c>
      <c r="M693" t="n">
        <v>0</v>
      </c>
      <c r="N693" t="n">
        <v>0</v>
      </c>
      <c r="O693" t="n">
        <v>0</v>
      </c>
      <c r="P693" t="n">
        <v>0</v>
      </c>
      <c r="Q693" t="n">
        <v>0</v>
      </c>
      <c r="R693" s="2" t="inlineStr"/>
    </row>
    <row r="694" ht="15" customHeight="1">
      <c r="A694" t="inlineStr">
        <is>
          <t>A 59503-2025</t>
        </is>
      </c>
      <c r="B694" s="1" t="n">
        <v>45989.62703703704</v>
      </c>
      <c r="C694" s="1" t="n">
        <v>46087</v>
      </c>
      <c r="D694" t="inlineStr">
        <is>
          <t>JÄMTLANDS LÄN</t>
        </is>
      </c>
      <c r="E694" t="inlineStr">
        <is>
          <t>RAGUNDA</t>
        </is>
      </c>
      <c r="G694" t="n">
        <v>0.6</v>
      </c>
      <c r="H694" t="n">
        <v>0</v>
      </c>
      <c r="I694" t="n">
        <v>0</v>
      </c>
      <c r="J694" t="n">
        <v>0</v>
      </c>
      <c r="K694" t="n">
        <v>0</v>
      </c>
      <c r="L694" t="n">
        <v>0</v>
      </c>
      <c r="M694" t="n">
        <v>0</v>
      </c>
      <c r="N694" t="n">
        <v>0</v>
      </c>
      <c r="O694" t="n">
        <v>0</v>
      </c>
      <c r="P694" t="n">
        <v>0</v>
      </c>
      <c r="Q694" t="n">
        <v>0</v>
      </c>
      <c r="R694" s="2" t="inlineStr"/>
    </row>
    <row r="695" ht="15" customHeight="1">
      <c r="A695" t="inlineStr">
        <is>
          <t>A 59740-2025</t>
        </is>
      </c>
      <c r="B695" s="1" t="n">
        <v>45992.5743287037</v>
      </c>
      <c r="C695" s="1" t="n">
        <v>46087</v>
      </c>
      <c r="D695" t="inlineStr">
        <is>
          <t>JÄMTLANDS LÄN</t>
        </is>
      </c>
      <c r="E695" t="inlineStr">
        <is>
          <t>RAGUNDA</t>
        </is>
      </c>
      <c r="F695" t="inlineStr">
        <is>
          <t>SCA</t>
        </is>
      </c>
      <c r="G695" t="n">
        <v>14.1</v>
      </c>
      <c r="H695" t="n">
        <v>0</v>
      </c>
      <c r="I695" t="n">
        <v>0</v>
      </c>
      <c r="J695" t="n">
        <v>0</v>
      </c>
      <c r="K695" t="n">
        <v>0</v>
      </c>
      <c r="L695" t="n">
        <v>0</v>
      </c>
      <c r="M695" t="n">
        <v>0</v>
      </c>
      <c r="N695" t="n">
        <v>0</v>
      </c>
      <c r="O695" t="n">
        <v>0</v>
      </c>
      <c r="P695" t="n">
        <v>0</v>
      </c>
      <c r="Q695" t="n">
        <v>0</v>
      </c>
      <c r="R695" s="2" t="inlineStr"/>
    </row>
    <row r="696" ht="15" customHeight="1">
      <c r="A696" t="inlineStr">
        <is>
          <t>A 60456-2023</t>
        </is>
      </c>
      <c r="B696" s="1" t="n">
        <v>45258</v>
      </c>
      <c r="C696" s="1" t="n">
        <v>46087</v>
      </c>
      <c r="D696" t="inlineStr">
        <is>
          <t>JÄMTLANDS LÄN</t>
        </is>
      </c>
      <c r="E696" t="inlineStr">
        <is>
          <t>RAGUNDA</t>
        </is>
      </c>
      <c r="G696" t="n">
        <v>1.8</v>
      </c>
      <c r="H696" t="n">
        <v>0</v>
      </c>
      <c r="I696" t="n">
        <v>0</v>
      </c>
      <c r="J696" t="n">
        <v>0</v>
      </c>
      <c r="K696" t="n">
        <v>0</v>
      </c>
      <c r="L696" t="n">
        <v>0</v>
      </c>
      <c r="M696" t="n">
        <v>0</v>
      </c>
      <c r="N696" t="n">
        <v>0</v>
      </c>
      <c r="O696" t="n">
        <v>0</v>
      </c>
      <c r="P696" t="n">
        <v>0</v>
      </c>
      <c r="Q696" t="n">
        <v>0</v>
      </c>
      <c r="R696" s="2" t="inlineStr"/>
    </row>
    <row r="697" ht="15" customHeight="1">
      <c r="A697" t="inlineStr">
        <is>
          <t>A 59738-2025</t>
        </is>
      </c>
      <c r="B697" s="1" t="n">
        <v>45992.57408564815</v>
      </c>
      <c r="C697" s="1" t="n">
        <v>46087</v>
      </c>
      <c r="D697" t="inlineStr">
        <is>
          <t>JÄMTLANDS LÄN</t>
        </is>
      </c>
      <c r="E697" t="inlineStr">
        <is>
          <t>RAGUNDA</t>
        </is>
      </c>
      <c r="F697" t="inlineStr">
        <is>
          <t>SCA</t>
        </is>
      </c>
      <c r="G697" t="n">
        <v>12.5</v>
      </c>
      <c r="H697" t="n">
        <v>0</v>
      </c>
      <c r="I697" t="n">
        <v>0</v>
      </c>
      <c r="J697" t="n">
        <v>0</v>
      </c>
      <c r="K697" t="n">
        <v>0</v>
      </c>
      <c r="L697" t="n">
        <v>0</v>
      </c>
      <c r="M697" t="n">
        <v>0</v>
      </c>
      <c r="N697" t="n">
        <v>0</v>
      </c>
      <c r="O697" t="n">
        <v>0</v>
      </c>
      <c r="P697" t="n">
        <v>0</v>
      </c>
      <c r="Q697" t="n">
        <v>0</v>
      </c>
      <c r="R697" s="2" t="inlineStr"/>
    </row>
    <row r="698" ht="15" customHeight="1">
      <c r="A698" t="inlineStr">
        <is>
          <t>A 59739-2025</t>
        </is>
      </c>
      <c r="B698" s="1" t="n">
        <v>45992.57417824074</v>
      </c>
      <c r="C698" s="1" t="n">
        <v>46087</v>
      </c>
      <c r="D698" t="inlineStr">
        <is>
          <t>JÄMTLANDS LÄN</t>
        </is>
      </c>
      <c r="E698" t="inlineStr">
        <is>
          <t>RAGUNDA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58438-2022</t>
        </is>
      </c>
      <c r="B699" s="1" t="n">
        <v>44901</v>
      </c>
      <c r="C699" s="1" t="n">
        <v>46087</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58442-2022</t>
        </is>
      </c>
      <c r="B700" s="1" t="n">
        <v>44901</v>
      </c>
      <c r="C700" s="1" t="n">
        <v>46087</v>
      </c>
      <c r="D700" t="inlineStr">
        <is>
          <t>JÄMTLANDS LÄN</t>
        </is>
      </c>
      <c r="E700" t="inlineStr">
        <is>
          <t>RAGUNDA</t>
        </is>
      </c>
      <c r="F700" t="inlineStr">
        <is>
          <t>SCA</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25631-2025</t>
        </is>
      </c>
      <c r="B701" s="1" t="n">
        <v>45803.5946875</v>
      </c>
      <c r="C701" s="1" t="n">
        <v>46087</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49229-2024</t>
        </is>
      </c>
      <c r="B702" s="1" t="n">
        <v>45595.42738425926</v>
      </c>
      <c r="C702" s="1" t="n">
        <v>46087</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60130-2025</t>
        </is>
      </c>
      <c r="B703" s="1" t="n">
        <v>45994.34467592592</v>
      </c>
      <c r="C703" s="1" t="n">
        <v>46087</v>
      </c>
      <c r="D703" t="inlineStr">
        <is>
          <t>JÄMTLANDS LÄN</t>
        </is>
      </c>
      <c r="E703" t="inlineStr">
        <is>
          <t>RAGUNDA</t>
        </is>
      </c>
      <c r="G703" t="n">
        <v>4.9</v>
      </c>
      <c r="H703" t="n">
        <v>0</v>
      </c>
      <c r="I703" t="n">
        <v>0</v>
      </c>
      <c r="J703" t="n">
        <v>0</v>
      </c>
      <c r="K703" t="n">
        <v>0</v>
      </c>
      <c r="L703" t="n">
        <v>0</v>
      </c>
      <c r="M703" t="n">
        <v>0</v>
      </c>
      <c r="N703" t="n">
        <v>0</v>
      </c>
      <c r="O703" t="n">
        <v>0</v>
      </c>
      <c r="P703" t="n">
        <v>0</v>
      </c>
      <c r="Q703" t="n">
        <v>0</v>
      </c>
      <c r="R703" s="2" t="inlineStr"/>
    </row>
    <row r="704" ht="15" customHeight="1">
      <c r="A704" t="inlineStr">
        <is>
          <t>A 59931-2025</t>
        </is>
      </c>
      <c r="B704" s="1" t="n">
        <v>45993.40177083333</v>
      </c>
      <c r="C704" s="1" t="n">
        <v>46087</v>
      </c>
      <c r="D704" t="inlineStr">
        <is>
          <t>JÄMTLANDS LÄN</t>
        </is>
      </c>
      <c r="E704" t="inlineStr">
        <is>
          <t>RAGUNDA</t>
        </is>
      </c>
      <c r="G704" t="n">
        <v>4</v>
      </c>
      <c r="H704" t="n">
        <v>0</v>
      </c>
      <c r="I704" t="n">
        <v>0</v>
      </c>
      <c r="J704" t="n">
        <v>0</v>
      </c>
      <c r="K704" t="n">
        <v>0</v>
      </c>
      <c r="L704" t="n">
        <v>0</v>
      </c>
      <c r="M704" t="n">
        <v>0</v>
      </c>
      <c r="N704" t="n">
        <v>0</v>
      </c>
      <c r="O704" t="n">
        <v>0</v>
      </c>
      <c r="P704" t="n">
        <v>0</v>
      </c>
      <c r="Q704" t="n">
        <v>0</v>
      </c>
      <c r="R704" s="2" t="inlineStr"/>
    </row>
    <row r="705" ht="15" customHeight="1">
      <c r="A705" t="inlineStr">
        <is>
          <t>A 60062-2025</t>
        </is>
      </c>
      <c r="B705" s="1" t="n">
        <v>45993.65694444445</v>
      </c>
      <c r="C705" s="1" t="n">
        <v>46087</v>
      </c>
      <c r="D705" t="inlineStr">
        <is>
          <t>JÄMTLANDS LÄN</t>
        </is>
      </c>
      <c r="E705" t="inlineStr">
        <is>
          <t>RAGUNDA</t>
        </is>
      </c>
      <c r="F705" t="inlineStr">
        <is>
          <t>SCA</t>
        </is>
      </c>
      <c r="G705" t="n">
        <v>5.8</v>
      </c>
      <c r="H705" t="n">
        <v>0</v>
      </c>
      <c r="I705" t="n">
        <v>0</v>
      </c>
      <c r="J705" t="n">
        <v>0</v>
      </c>
      <c r="K705" t="n">
        <v>0</v>
      </c>
      <c r="L705" t="n">
        <v>0</v>
      </c>
      <c r="M705" t="n">
        <v>0</v>
      </c>
      <c r="N705" t="n">
        <v>0</v>
      </c>
      <c r="O705" t="n">
        <v>0</v>
      </c>
      <c r="P705" t="n">
        <v>0</v>
      </c>
      <c r="Q705" t="n">
        <v>0</v>
      </c>
      <c r="R705" s="2" t="inlineStr"/>
    </row>
    <row r="706" ht="15" customHeight="1">
      <c r="A706" t="inlineStr">
        <is>
          <t>A 25659-2025</t>
        </is>
      </c>
      <c r="B706" s="1" t="n">
        <v>45803.61552083334</v>
      </c>
      <c r="C706" s="1" t="n">
        <v>46087</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25661-2025</t>
        </is>
      </c>
      <c r="B707" s="1" t="n">
        <v>45803.61557870371</v>
      </c>
      <c r="C707" s="1" t="n">
        <v>46087</v>
      </c>
      <c r="D707" t="inlineStr">
        <is>
          <t>JÄMTLANDS LÄN</t>
        </is>
      </c>
      <c r="E707" t="inlineStr">
        <is>
          <t>RAGUNDA</t>
        </is>
      </c>
      <c r="G707" t="n">
        <v>1.4</v>
      </c>
      <c r="H707" t="n">
        <v>0</v>
      </c>
      <c r="I707" t="n">
        <v>0</v>
      </c>
      <c r="J707" t="n">
        <v>0</v>
      </c>
      <c r="K707" t="n">
        <v>0</v>
      </c>
      <c r="L707" t="n">
        <v>0</v>
      </c>
      <c r="M707" t="n">
        <v>0</v>
      </c>
      <c r="N707" t="n">
        <v>0</v>
      </c>
      <c r="O707" t="n">
        <v>0</v>
      </c>
      <c r="P707" t="n">
        <v>0</v>
      </c>
      <c r="Q707" t="n">
        <v>0</v>
      </c>
      <c r="R707" s="2" t="inlineStr"/>
    </row>
    <row r="708" ht="15" customHeight="1">
      <c r="A708" t="inlineStr">
        <is>
          <t>A 55524-2024</t>
        </is>
      </c>
      <c r="B708" s="1" t="n">
        <v>45622.47435185185</v>
      </c>
      <c r="C708" s="1" t="n">
        <v>46087</v>
      </c>
      <c r="D708" t="inlineStr">
        <is>
          <t>JÄMTLANDS LÄN</t>
        </is>
      </c>
      <c r="E708" t="inlineStr">
        <is>
          <t>RAGUNDA</t>
        </is>
      </c>
      <c r="G708" t="n">
        <v>1.4</v>
      </c>
      <c r="H708" t="n">
        <v>0</v>
      </c>
      <c r="I708" t="n">
        <v>0</v>
      </c>
      <c r="J708" t="n">
        <v>0</v>
      </c>
      <c r="K708" t="n">
        <v>0</v>
      </c>
      <c r="L708" t="n">
        <v>0</v>
      </c>
      <c r="M708" t="n">
        <v>0</v>
      </c>
      <c r="N708" t="n">
        <v>0</v>
      </c>
      <c r="O708" t="n">
        <v>0</v>
      </c>
      <c r="P708" t="n">
        <v>0</v>
      </c>
      <c r="Q708" t="n">
        <v>0</v>
      </c>
      <c r="R708" s="2" t="inlineStr"/>
    </row>
    <row r="709" ht="15" customHeight="1">
      <c r="A709" t="inlineStr">
        <is>
          <t>A 19419-2024</t>
        </is>
      </c>
      <c r="B709" s="1" t="n">
        <v>45429</v>
      </c>
      <c r="C709" s="1" t="n">
        <v>46087</v>
      </c>
      <c r="D709" t="inlineStr">
        <is>
          <t>JÄMTLANDS LÄN</t>
        </is>
      </c>
      <c r="E709" t="inlineStr">
        <is>
          <t>RAGUNDA</t>
        </is>
      </c>
      <c r="G709" t="n">
        <v>3.5</v>
      </c>
      <c r="H709" t="n">
        <v>0</v>
      </c>
      <c r="I709" t="n">
        <v>0</v>
      </c>
      <c r="J709" t="n">
        <v>0</v>
      </c>
      <c r="K709" t="n">
        <v>0</v>
      </c>
      <c r="L709" t="n">
        <v>0</v>
      </c>
      <c r="M709" t="n">
        <v>0</v>
      </c>
      <c r="N709" t="n">
        <v>0</v>
      </c>
      <c r="O709" t="n">
        <v>0</v>
      </c>
      <c r="P709" t="n">
        <v>0</v>
      </c>
      <c r="Q709" t="n">
        <v>0</v>
      </c>
      <c r="R709" s="2" t="inlineStr"/>
    </row>
    <row r="710" ht="15" customHeight="1">
      <c r="A710" t="inlineStr">
        <is>
          <t>A 25944-2025</t>
        </is>
      </c>
      <c r="B710" s="1" t="n">
        <v>45804.59487268519</v>
      </c>
      <c r="C710" s="1" t="n">
        <v>46087</v>
      </c>
      <c r="D710" t="inlineStr">
        <is>
          <t>JÄMTLANDS LÄN</t>
        </is>
      </c>
      <c r="E710" t="inlineStr">
        <is>
          <t>RAGUNDA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60128-2025</t>
        </is>
      </c>
      <c r="B711" s="1" t="n">
        <v>45994.34456018519</v>
      </c>
      <c r="C711" s="1" t="n">
        <v>46087</v>
      </c>
      <c r="D711" t="inlineStr">
        <is>
          <t>JÄMTLANDS LÄN</t>
        </is>
      </c>
      <c r="E711" t="inlineStr">
        <is>
          <t>RAGUNDA</t>
        </is>
      </c>
      <c r="G711" t="n">
        <v>7.1</v>
      </c>
      <c r="H711" t="n">
        <v>0</v>
      </c>
      <c r="I711" t="n">
        <v>0</v>
      </c>
      <c r="J711" t="n">
        <v>0</v>
      </c>
      <c r="K711" t="n">
        <v>0</v>
      </c>
      <c r="L711" t="n">
        <v>0</v>
      </c>
      <c r="M711" t="n">
        <v>0</v>
      </c>
      <c r="N711" t="n">
        <v>0</v>
      </c>
      <c r="O711" t="n">
        <v>0</v>
      </c>
      <c r="P711" t="n">
        <v>0</v>
      </c>
      <c r="Q711" t="n">
        <v>0</v>
      </c>
      <c r="R711" s="2" t="inlineStr"/>
    </row>
    <row r="712" ht="15" customHeight="1">
      <c r="A712" t="inlineStr">
        <is>
          <t>A 25814-2025</t>
        </is>
      </c>
      <c r="B712" s="1" t="n">
        <v>45804.42642361111</v>
      </c>
      <c r="C712" s="1" t="n">
        <v>46087</v>
      </c>
      <c r="D712" t="inlineStr">
        <is>
          <t>JÄMTLANDS LÄN</t>
        </is>
      </c>
      <c r="E712" t="inlineStr">
        <is>
          <t>RAGUNDA</t>
        </is>
      </c>
      <c r="G712" t="n">
        <v>0.8</v>
      </c>
      <c r="H712" t="n">
        <v>0</v>
      </c>
      <c r="I712" t="n">
        <v>0</v>
      </c>
      <c r="J712" t="n">
        <v>0</v>
      </c>
      <c r="K712" t="n">
        <v>0</v>
      </c>
      <c r="L712" t="n">
        <v>0</v>
      </c>
      <c r="M712" t="n">
        <v>0</v>
      </c>
      <c r="N712" t="n">
        <v>0</v>
      </c>
      <c r="O712" t="n">
        <v>0</v>
      </c>
      <c r="P712" t="n">
        <v>0</v>
      </c>
      <c r="Q712" t="n">
        <v>0</v>
      </c>
      <c r="R712" s="2" t="inlineStr"/>
    </row>
    <row r="713" ht="15" customHeight="1">
      <c r="A713" t="inlineStr">
        <is>
          <t>A 60307-2025</t>
        </is>
      </c>
      <c r="B713" s="1" t="n">
        <v>45994.6842824074</v>
      </c>
      <c r="C713" s="1" t="n">
        <v>46087</v>
      </c>
      <c r="D713" t="inlineStr">
        <is>
          <t>JÄMTLANDS LÄN</t>
        </is>
      </c>
      <c r="E713" t="inlineStr">
        <is>
          <t>RAGUNDA</t>
        </is>
      </c>
      <c r="G713" t="n">
        <v>4</v>
      </c>
      <c r="H713" t="n">
        <v>0</v>
      </c>
      <c r="I713" t="n">
        <v>0</v>
      </c>
      <c r="J713" t="n">
        <v>0</v>
      </c>
      <c r="K713" t="n">
        <v>0</v>
      </c>
      <c r="L713" t="n">
        <v>0</v>
      </c>
      <c r="M713" t="n">
        <v>0</v>
      </c>
      <c r="N713" t="n">
        <v>0</v>
      </c>
      <c r="O713" t="n">
        <v>0</v>
      </c>
      <c r="P713" t="n">
        <v>0</v>
      </c>
      <c r="Q713" t="n">
        <v>0</v>
      </c>
      <c r="R713" s="2" t="inlineStr"/>
    </row>
    <row r="714" ht="15" customHeight="1">
      <c r="A714" t="inlineStr">
        <is>
          <t>A 60389-2025</t>
        </is>
      </c>
      <c r="B714" s="1" t="n">
        <v>45995.38628472222</v>
      </c>
      <c r="C714" s="1" t="n">
        <v>46087</v>
      </c>
      <c r="D714" t="inlineStr">
        <is>
          <t>JÄMTLANDS LÄN</t>
        </is>
      </c>
      <c r="E714" t="inlineStr">
        <is>
          <t>RAGUNDA</t>
        </is>
      </c>
      <c r="G714" t="n">
        <v>3.3</v>
      </c>
      <c r="H714" t="n">
        <v>0</v>
      </c>
      <c r="I714" t="n">
        <v>0</v>
      </c>
      <c r="J714" t="n">
        <v>0</v>
      </c>
      <c r="K714" t="n">
        <v>0</v>
      </c>
      <c r="L714" t="n">
        <v>0</v>
      </c>
      <c r="M714" t="n">
        <v>0</v>
      </c>
      <c r="N714" t="n">
        <v>0</v>
      </c>
      <c r="O714" t="n">
        <v>0</v>
      </c>
      <c r="P714" t="n">
        <v>0</v>
      </c>
      <c r="Q714" t="n">
        <v>0</v>
      </c>
      <c r="R714" s="2" t="inlineStr"/>
    </row>
    <row r="715" ht="15" customHeight="1">
      <c r="A715" t="inlineStr">
        <is>
          <t>A 60387-2025</t>
        </is>
      </c>
      <c r="B715" s="1" t="n">
        <v>45995.38611111111</v>
      </c>
      <c r="C715" s="1" t="n">
        <v>46087</v>
      </c>
      <c r="D715" t="inlineStr">
        <is>
          <t>JÄMTLANDS LÄN</t>
        </is>
      </c>
      <c r="E715" t="inlineStr">
        <is>
          <t>RAGUNDA</t>
        </is>
      </c>
      <c r="G715" t="n">
        <v>8.5</v>
      </c>
      <c r="H715" t="n">
        <v>0</v>
      </c>
      <c r="I715" t="n">
        <v>0</v>
      </c>
      <c r="J715" t="n">
        <v>0</v>
      </c>
      <c r="K715" t="n">
        <v>0</v>
      </c>
      <c r="L715" t="n">
        <v>0</v>
      </c>
      <c r="M715" t="n">
        <v>0</v>
      </c>
      <c r="N715" t="n">
        <v>0</v>
      </c>
      <c r="O715" t="n">
        <v>0</v>
      </c>
      <c r="P715" t="n">
        <v>0</v>
      </c>
      <c r="Q715" t="n">
        <v>0</v>
      </c>
      <c r="R715" s="2" t="inlineStr"/>
    </row>
    <row r="716" ht="15" customHeight="1">
      <c r="A716" t="inlineStr">
        <is>
          <t>A 60630-2025</t>
        </is>
      </c>
      <c r="B716" s="1" t="n">
        <v>45996.42120370371</v>
      </c>
      <c r="C716" s="1" t="n">
        <v>46087</v>
      </c>
      <c r="D716" t="inlineStr">
        <is>
          <t>JÄMTLANDS LÄN</t>
        </is>
      </c>
      <c r="E716" t="inlineStr">
        <is>
          <t>RAGUNDA</t>
        </is>
      </c>
      <c r="G716" t="n">
        <v>13.2</v>
      </c>
      <c r="H716" t="n">
        <v>0</v>
      </c>
      <c r="I716" t="n">
        <v>0</v>
      </c>
      <c r="J716" t="n">
        <v>0</v>
      </c>
      <c r="K716" t="n">
        <v>0</v>
      </c>
      <c r="L716" t="n">
        <v>0</v>
      </c>
      <c r="M716" t="n">
        <v>0</v>
      </c>
      <c r="N716" t="n">
        <v>0</v>
      </c>
      <c r="O716" t="n">
        <v>0</v>
      </c>
      <c r="P716" t="n">
        <v>0</v>
      </c>
      <c r="Q716" t="n">
        <v>0</v>
      </c>
      <c r="R716" s="2" t="inlineStr"/>
    </row>
    <row r="717" ht="15" customHeight="1">
      <c r="A717" t="inlineStr">
        <is>
          <t>A 61233-2025</t>
        </is>
      </c>
      <c r="B717" s="1" t="n">
        <v>46000.6359837963</v>
      </c>
      <c r="C717" s="1" t="n">
        <v>46087</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61266-2025</t>
        </is>
      </c>
      <c r="B718" s="1" t="n">
        <v>46000.67784722222</v>
      </c>
      <c r="C718" s="1" t="n">
        <v>46087</v>
      </c>
      <c r="D718" t="inlineStr">
        <is>
          <t>JÄMTLANDS LÄN</t>
        </is>
      </c>
      <c r="E718" t="inlineStr">
        <is>
          <t>RAGUNDA</t>
        </is>
      </c>
      <c r="G718" t="n">
        <v>7.9</v>
      </c>
      <c r="H718" t="n">
        <v>0</v>
      </c>
      <c r="I718" t="n">
        <v>0</v>
      </c>
      <c r="J718" t="n">
        <v>0</v>
      </c>
      <c r="K718" t="n">
        <v>0</v>
      </c>
      <c r="L718" t="n">
        <v>0</v>
      </c>
      <c r="M718" t="n">
        <v>0</v>
      </c>
      <c r="N718" t="n">
        <v>0</v>
      </c>
      <c r="O718" t="n">
        <v>0</v>
      </c>
      <c r="P718" t="n">
        <v>0</v>
      </c>
      <c r="Q718" t="n">
        <v>0</v>
      </c>
      <c r="R718" s="2" t="inlineStr"/>
    </row>
    <row r="719" ht="15" customHeight="1">
      <c r="A719" t="inlineStr">
        <is>
          <t>A 46211-2024</t>
        </is>
      </c>
      <c r="B719" s="1" t="n">
        <v>45581.55260416667</v>
      </c>
      <c r="C719" s="1" t="n">
        <v>46087</v>
      </c>
      <c r="D719" t="inlineStr">
        <is>
          <t>JÄMTLANDS LÄN</t>
        </is>
      </c>
      <c r="E719" t="inlineStr">
        <is>
          <t>RAGUNDA</t>
        </is>
      </c>
      <c r="G719" t="n">
        <v>7.3</v>
      </c>
      <c r="H719" t="n">
        <v>0</v>
      </c>
      <c r="I719" t="n">
        <v>0</v>
      </c>
      <c r="J719" t="n">
        <v>0</v>
      </c>
      <c r="K719" t="n">
        <v>0</v>
      </c>
      <c r="L719" t="n">
        <v>0</v>
      </c>
      <c r="M719" t="n">
        <v>0</v>
      </c>
      <c r="N719" t="n">
        <v>0</v>
      </c>
      <c r="O719" t="n">
        <v>0</v>
      </c>
      <c r="P719" t="n">
        <v>0</v>
      </c>
      <c r="Q719" t="n">
        <v>0</v>
      </c>
      <c r="R719" s="2" t="inlineStr"/>
    </row>
    <row r="720" ht="15" customHeight="1">
      <c r="A720" t="inlineStr">
        <is>
          <t>A 19613-2023</t>
        </is>
      </c>
      <c r="B720" s="1" t="n">
        <v>45050.94020833333</v>
      </c>
      <c r="C720" s="1" t="n">
        <v>46087</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8679-2023</t>
        </is>
      </c>
      <c r="B721" s="1" t="n">
        <v>44977.98670138889</v>
      </c>
      <c r="C721" s="1" t="n">
        <v>46087</v>
      </c>
      <c r="D721" t="inlineStr">
        <is>
          <t>JÄMTLANDS LÄN</t>
        </is>
      </c>
      <c r="E721" t="inlineStr">
        <is>
          <t>RAGUNDA</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60775-2025</t>
        </is>
      </c>
      <c r="B722" s="1" t="n">
        <v>45999.3905787037</v>
      </c>
      <c r="C722" s="1" t="n">
        <v>46087</v>
      </c>
      <c r="D722" t="inlineStr">
        <is>
          <t>JÄMTLANDS LÄN</t>
        </is>
      </c>
      <c r="E722" t="inlineStr">
        <is>
          <t>RAGUNDA</t>
        </is>
      </c>
      <c r="G722" t="n">
        <v>15.7</v>
      </c>
      <c r="H722" t="n">
        <v>0</v>
      </c>
      <c r="I722" t="n">
        <v>0</v>
      </c>
      <c r="J722" t="n">
        <v>0</v>
      </c>
      <c r="K722" t="n">
        <v>0</v>
      </c>
      <c r="L722" t="n">
        <v>0</v>
      </c>
      <c r="M722" t="n">
        <v>0</v>
      </c>
      <c r="N722" t="n">
        <v>0</v>
      </c>
      <c r="O722" t="n">
        <v>0</v>
      </c>
      <c r="P722" t="n">
        <v>0</v>
      </c>
      <c r="Q722" t="n">
        <v>0</v>
      </c>
      <c r="R722" s="2" t="inlineStr"/>
    </row>
    <row r="723" ht="15" customHeight="1">
      <c r="A723" t="inlineStr">
        <is>
          <t>A 25994-2025</t>
        </is>
      </c>
      <c r="B723" s="1" t="n">
        <v>45804.65672453704</v>
      </c>
      <c r="C723" s="1" t="n">
        <v>46087</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14158-2024</t>
        </is>
      </c>
      <c r="B724" s="1" t="n">
        <v>45392</v>
      </c>
      <c r="C724" s="1" t="n">
        <v>46087</v>
      </c>
      <c r="D724" t="inlineStr">
        <is>
          <t>JÄMTLANDS LÄN</t>
        </is>
      </c>
      <c r="E724" t="inlineStr">
        <is>
          <t>RAGUNDA</t>
        </is>
      </c>
      <c r="G724" t="n">
        <v>0.7</v>
      </c>
      <c r="H724" t="n">
        <v>0</v>
      </c>
      <c r="I724" t="n">
        <v>0</v>
      </c>
      <c r="J724" t="n">
        <v>0</v>
      </c>
      <c r="K724" t="n">
        <v>0</v>
      </c>
      <c r="L724" t="n">
        <v>0</v>
      </c>
      <c r="M724" t="n">
        <v>0</v>
      </c>
      <c r="N724" t="n">
        <v>0</v>
      </c>
      <c r="O724" t="n">
        <v>0</v>
      </c>
      <c r="P724" t="n">
        <v>0</v>
      </c>
      <c r="Q724" t="n">
        <v>0</v>
      </c>
      <c r="R724" s="2" t="inlineStr"/>
    </row>
    <row r="725" ht="15" customHeight="1">
      <c r="A725" t="inlineStr">
        <is>
          <t>A 55649-2023</t>
        </is>
      </c>
      <c r="B725" s="1" t="n">
        <v>45238</v>
      </c>
      <c r="C725" s="1" t="n">
        <v>46087</v>
      </c>
      <c r="D725" t="inlineStr">
        <is>
          <t>JÄMTLANDS LÄN</t>
        </is>
      </c>
      <c r="E725" t="inlineStr">
        <is>
          <t>RAGUNDA</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53769-2023</t>
        </is>
      </c>
      <c r="B726" s="1" t="n">
        <v>45230</v>
      </c>
      <c r="C726" s="1" t="n">
        <v>46087</v>
      </c>
      <c r="D726" t="inlineStr">
        <is>
          <t>JÄMTLANDS LÄN</t>
        </is>
      </c>
      <c r="E726" t="inlineStr">
        <is>
          <t>RAGUNDA</t>
        </is>
      </c>
      <c r="F726" t="inlineStr">
        <is>
          <t>SCA</t>
        </is>
      </c>
      <c r="G726" t="n">
        <v>11.6</v>
      </c>
      <c r="H726" t="n">
        <v>0</v>
      </c>
      <c r="I726" t="n">
        <v>0</v>
      </c>
      <c r="J726" t="n">
        <v>0</v>
      </c>
      <c r="K726" t="n">
        <v>0</v>
      </c>
      <c r="L726" t="n">
        <v>0</v>
      </c>
      <c r="M726" t="n">
        <v>0</v>
      </c>
      <c r="N726" t="n">
        <v>0</v>
      </c>
      <c r="O726" t="n">
        <v>0</v>
      </c>
      <c r="P726" t="n">
        <v>0</v>
      </c>
      <c r="Q726" t="n">
        <v>0</v>
      </c>
      <c r="R726" s="2" t="inlineStr"/>
    </row>
    <row r="727" ht="15" customHeight="1">
      <c r="A727" t="inlineStr">
        <is>
          <t>A 26283-2025</t>
        </is>
      </c>
      <c r="B727" s="1" t="n">
        <v>45805.61495370371</v>
      </c>
      <c r="C727" s="1" t="n">
        <v>46087</v>
      </c>
      <c r="D727" t="inlineStr">
        <is>
          <t>JÄMTLANDS LÄN</t>
        </is>
      </c>
      <c r="E727" t="inlineStr">
        <is>
          <t>RAGUNDA</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60760-2025</t>
        </is>
      </c>
      <c r="B728" s="1" t="n">
        <v>45999.38597222222</v>
      </c>
      <c r="C728" s="1" t="n">
        <v>46087</v>
      </c>
      <c r="D728" t="inlineStr">
        <is>
          <t>JÄMTLANDS LÄN</t>
        </is>
      </c>
      <c r="E728" t="inlineStr">
        <is>
          <t>RAGUNDA</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61697-2025</t>
        </is>
      </c>
      <c r="B729" s="1" t="n">
        <v>46002</v>
      </c>
      <c r="C729" s="1" t="n">
        <v>46087</v>
      </c>
      <c r="D729" t="inlineStr">
        <is>
          <t>JÄMTLANDS LÄN</t>
        </is>
      </c>
      <c r="E729" t="inlineStr">
        <is>
          <t>RAGUNDA</t>
        </is>
      </c>
      <c r="G729" t="n">
        <v>1.3</v>
      </c>
      <c r="H729" t="n">
        <v>0</v>
      </c>
      <c r="I729" t="n">
        <v>0</v>
      </c>
      <c r="J729" t="n">
        <v>0</v>
      </c>
      <c r="K729" t="n">
        <v>0</v>
      </c>
      <c r="L729" t="n">
        <v>0</v>
      </c>
      <c r="M729" t="n">
        <v>0</v>
      </c>
      <c r="N729" t="n">
        <v>0</v>
      </c>
      <c r="O729" t="n">
        <v>0</v>
      </c>
      <c r="P729" t="n">
        <v>0</v>
      </c>
      <c r="Q729" t="n">
        <v>0</v>
      </c>
      <c r="R729" s="2" t="inlineStr"/>
    </row>
    <row r="730" ht="15" customHeight="1">
      <c r="A730" t="inlineStr">
        <is>
          <t>A 40919-2024</t>
        </is>
      </c>
      <c r="B730" s="1" t="n">
        <v>45558.63575231482</v>
      </c>
      <c r="C730" s="1" t="n">
        <v>46087</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15024-2022</t>
        </is>
      </c>
      <c r="B731" s="1" t="n">
        <v>44657</v>
      </c>
      <c r="C731" s="1" t="n">
        <v>46087</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3841-2026</t>
        </is>
      </c>
      <c r="B732" s="1" t="n">
        <v>46043</v>
      </c>
      <c r="C732" s="1" t="n">
        <v>46087</v>
      </c>
      <c r="D732" t="inlineStr">
        <is>
          <t>JÄMTLANDS LÄN</t>
        </is>
      </c>
      <c r="E732" t="inlineStr">
        <is>
          <t>RAGUNDA</t>
        </is>
      </c>
      <c r="F732" t="inlineStr">
        <is>
          <t>Kommuner</t>
        </is>
      </c>
      <c r="G732" t="n">
        <v>0.6</v>
      </c>
      <c r="H732" t="n">
        <v>0</v>
      </c>
      <c r="I732" t="n">
        <v>0</v>
      </c>
      <c r="J732" t="n">
        <v>0</v>
      </c>
      <c r="K732" t="n">
        <v>0</v>
      </c>
      <c r="L732" t="n">
        <v>0</v>
      </c>
      <c r="M732" t="n">
        <v>0</v>
      </c>
      <c r="N732" t="n">
        <v>0</v>
      </c>
      <c r="O732" t="n">
        <v>0</v>
      </c>
      <c r="P732" t="n">
        <v>0</v>
      </c>
      <c r="Q732" t="n">
        <v>0</v>
      </c>
      <c r="R732" s="2" t="inlineStr"/>
    </row>
    <row r="733" ht="15" customHeight="1">
      <c r="A733" t="inlineStr">
        <is>
          <t>A 61509-2025</t>
        </is>
      </c>
      <c r="B733" s="1" t="n">
        <v>46001.68189814815</v>
      </c>
      <c r="C733" s="1" t="n">
        <v>46087</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48192-2024</t>
        </is>
      </c>
      <c r="B734" s="1" t="n">
        <v>45590</v>
      </c>
      <c r="C734" s="1" t="n">
        <v>46087</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24258-2025</t>
        </is>
      </c>
      <c r="B735" s="1" t="n">
        <v>45797.40800925926</v>
      </c>
      <c r="C735" s="1" t="n">
        <v>46087</v>
      </c>
      <c r="D735" t="inlineStr">
        <is>
          <t>JÄMTLANDS LÄN</t>
        </is>
      </c>
      <c r="E735" t="inlineStr">
        <is>
          <t>RAGUNDA</t>
        </is>
      </c>
      <c r="G735" t="n">
        <v>1.2</v>
      </c>
      <c r="H735" t="n">
        <v>0</v>
      </c>
      <c r="I735" t="n">
        <v>0</v>
      </c>
      <c r="J735" t="n">
        <v>0</v>
      </c>
      <c r="K735" t="n">
        <v>0</v>
      </c>
      <c r="L735" t="n">
        <v>0</v>
      </c>
      <c r="M735" t="n">
        <v>0</v>
      </c>
      <c r="N735" t="n">
        <v>0</v>
      </c>
      <c r="O735" t="n">
        <v>0</v>
      </c>
      <c r="P735" t="n">
        <v>0</v>
      </c>
      <c r="Q735" t="n">
        <v>0</v>
      </c>
      <c r="R735" s="2" t="inlineStr"/>
    </row>
    <row r="736" ht="15" customHeight="1">
      <c r="A736" t="inlineStr">
        <is>
          <t>A 61755-2025</t>
        </is>
      </c>
      <c r="B736" s="1" t="n">
        <v>46002</v>
      </c>
      <c r="C736" s="1" t="n">
        <v>46087</v>
      </c>
      <c r="D736" t="inlineStr">
        <is>
          <t>JÄMTLANDS LÄN</t>
        </is>
      </c>
      <c r="E736" t="inlineStr">
        <is>
          <t>RAGUNDA</t>
        </is>
      </c>
      <c r="G736" t="n">
        <v>0.9</v>
      </c>
      <c r="H736" t="n">
        <v>0</v>
      </c>
      <c r="I736" t="n">
        <v>0</v>
      </c>
      <c r="J736" t="n">
        <v>0</v>
      </c>
      <c r="K736" t="n">
        <v>0</v>
      </c>
      <c r="L736" t="n">
        <v>0</v>
      </c>
      <c r="M736" t="n">
        <v>0</v>
      </c>
      <c r="N736" t="n">
        <v>0</v>
      </c>
      <c r="O736" t="n">
        <v>0</v>
      </c>
      <c r="P736" t="n">
        <v>0</v>
      </c>
      <c r="Q736" t="n">
        <v>0</v>
      </c>
      <c r="R736" s="2" t="inlineStr"/>
    </row>
    <row r="737" ht="15" customHeight="1">
      <c r="A737" t="inlineStr">
        <is>
          <t>A 12768-2022</t>
        </is>
      </c>
      <c r="B737" s="1" t="n">
        <v>44641</v>
      </c>
      <c r="C737" s="1" t="n">
        <v>46087</v>
      </c>
      <c r="D737" t="inlineStr">
        <is>
          <t>JÄMTLANDS LÄN</t>
        </is>
      </c>
      <c r="E737" t="inlineStr">
        <is>
          <t>RAGUNDA</t>
        </is>
      </c>
      <c r="F737" t="inlineStr">
        <is>
          <t>SCA</t>
        </is>
      </c>
      <c r="G737" t="n">
        <v>8</v>
      </c>
      <c r="H737" t="n">
        <v>0</v>
      </c>
      <c r="I737" t="n">
        <v>0</v>
      </c>
      <c r="J737" t="n">
        <v>0</v>
      </c>
      <c r="K737" t="n">
        <v>0</v>
      </c>
      <c r="L737" t="n">
        <v>0</v>
      </c>
      <c r="M737" t="n">
        <v>0</v>
      </c>
      <c r="N737" t="n">
        <v>0</v>
      </c>
      <c r="O737" t="n">
        <v>0</v>
      </c>
      <c r="P737" t="n">
        <v>0</v>
      </c>
      <c r="Q737" t="n">
        <v>0</v>
      </c>
      <c r="R737" s="2" t="inlineStr"/>
    </row>
    <row r="738" ht="15" customHeight="1">
      <c r="A738" t="inlineStr">
        <is>
          <t>A 12773-2022</t>
        </is>
      </c>
      <c r="B738" s="1" t="n">
        <v>44641</v>
      </c>
      <c r="C738" s="1" t="n">
        <v>46087</v>
      </c>
      <c r="D738" t="inlineStr">
        <is>
          <t>JÄMTLANDS LÄN</t>
        </is>
      </c>
      <c r="E738" t="inlineStr">
        <is>
          <t>RAGUNDA</t>
        </is>
      </c>
      <c r="F738" t="inlineStr">
        <is>
          <t>SCA</t>
        </is>
      </c>
      <c r="G738" t="n">
        <v>14.7</v>
      </c>
      <c r="H738" t="n">
        <v>0</v>
      </c>
      <c r="I738" t="n">
        <v>0</v>
      </c>
      <c r="J738" t="n">
        <v>0</v>
      </c>
      <c r="K738" t="n">
        <v>0</v>
      </c>
      <c r="L738" t="n">
        <v>0</v>
      </c>
      <c r="M738" t="n">
        <v>0</v>
      </c>
      <c r="N738" t="n">
        <v>0</v>
      </c>
      <c r="O738" t="n">
        <v>0</v>
      </c>
      <c r="P738" t="n">
        <v>0</v>
      </c>
      <c r="Q738" t="n">
        <v>0</v>
      </c>
      <c r="R738" s="2" t="inlineStr"/>
    </row>
    <row r="739" ht="15" customHeight="1">
      <c r="A739" t="inlineStr">
        <is>
          <t>A 26172-2025</t>
        </is>
      </c>
      <c r="B739" s="1" t="n">
        <v>45805.46613425926</v>
      </c>
      <c r="C739" s="1" t="n">
        <v>46087</v>
      </c>
      <c r="D739" t="inlineStr">
        <is>
          <t>JÄMTLANDS LÄN</t>
        </is>
      </c>
      <c r="E739" t="inlineStr">
        <is>
          <t>RAGUNDA</t>
        </is>
      </c>
      <c r="G739" t="n">
        <v>2.1</v>
      </c>
      <c r="H739" t="n">
        <v>0</v>
      </c>
      <c r="I739" t="n">
        <v>0</v>
      </c>
      <c r="J739" t="n">
        <v>0</v>
      </c>
      <c r="K739" t="n">
        <v>0</v>
      </c>
      <c r="L739" t="n">
        <v>0</v>
      </c>
      <c r="M739" t="n">
        <v>0</v>
      </c>
      <c r="N739" t="n">
        <v>0</v>
      </c>
      <c r="O739" t="n">
        <v>0</v>
      </c>
      <c r="P739" t="n">
        <v>0</v>
      </c>
      <c r="Q739" t="n">
        <v>0</v>
      </c>
      <c r="R739" s="2" t="inlineStr"/>
    </row>
    <row r="740" ht="15" customHeight="1">
      <c r="A740" t="inlineStr">
        <is>
          <t>A 10788-2025</t>
        </is>
      </c>
      <c r="B740" s="1" t="n">
        <v>45722.48982638889</v>
      </c>
      <c r="C740" s="1" t="n">
        <v>46087</v>
      </c>
      <c r="D740" t="inlineStr">
        <is>
          <t>JÄMTLANDS LÄN</t>
        </is>
      </c>
      <c r="E740" t="inlineStr">
        <is>
          <t>RAGUNDA</t>
        </is>
      </c>
      <c r="G740" t="n">
        <v>3.5</v>
      </c>
      <c r="H740" t="n">
        <v>0</v>
      </c>
      <c r="I740" t="n">
        <v>0</v>
      </c>
      <c r="J740" t="n">
        <v>0</v>
      </c>
      <c r="K740" t="n">
        <v>0</v>
      </c>
      <c r="L740" t="n">
        <v>0</v>
      </c>
      <c r="M740" t="n">
        <v>0</v>
      </c>
      <c r="N740" t="n">
        <v>0</v>
      </c>
      <c r="O740" t="n">
        <v>0</v>
      </c>
      <c r="P740" t="n">
        <v>0</v>
      </c>
      <c r="Q740" t="n">
        <v>0</v>
      </c>
      <c r="R740" s="2" t="inlineStr"/>
    </row>
    <row r="741" ht="15" customHeight="1">
      <c r="A741" t="inlineStr">
        <is>
          <t>A 26246-2025</t>
        </is>
      </c>
      <c r="B741" s="1" t="n">
        <v>45805.57390046296</v>
      </c>
      <c r="C741" s="1" t="n">
        <v>46087</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4616-2026</t>
        </is>
      </c>
      <c r="B742" s="1" t="n">
        <v>46048.37070601852</v>
      </c>
      <c r="C742" s="1" t="n">
        <v>46087</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row>
    <row r="743" ht="15" customHeight="1">
      <c r="A743" t="inlineStr">
        <is>
          <t>A 2001-2025</t>
        </is>
      </c>
      <c r="B743" s="1" t="n">
        <v>45672.44898148148</v>
      </c>
      <c r="C743" s="1" t="n">
        <v>46087</v>
      </c>
      <c r="D743" t="inlineStr">
        <is>
          <t>JÄMTLANDS LÄN</t>
        </is>
      </c>
      <c r="E743" t="inlineStr">
        <is>
          <t>RAGUNDA</t>
        </is>
      </c>
      <c r="F743" t="inlineStr">
        <is>
          <t>SCA</t>
        </is>
      </c>
      <c r="G743" t="n">
        <v>16.2</v>
      </c>
      <c r="H743" t="n">
        <v>0</v>
      </c>
      <c r="I743" t="n">
        <v>0</v>
      </c>
      <c r="J743" t="n">
        <v>0</v>
      </c>
      <c r="K743" t="n">
        <v>0</v>
      </c>
      <c r="L743" t="n">
        <v>0</v>
      </c>
      <c r="M743" t="n">
        <v>0</v>
      </c>
      <c r="N743" t="n">
        <v>0</v>
      </c>
      <c r="O743" t="n">
        <v>0</v>
      </c>
      <c r="P743" t="n">
        <v>0</v>
      </c>
      <c r="Q743" t="n">
        <v>0</v>
      </c>
      <c r="R743" s="2" t="inlineStr"/>
    </row>
    <row r="744" ht="15" customHeight="1">
      <c r="A744" t="inlineStr">
        <is>
          <t>A 4629-2026</t>
        </is>
      </c>
      <c r="B744" s="1" t="n">
        <v>46048.38622685185</v>
      </c>
      <c r="C744" s="1" t="n">
        <v>46087</v>
      </c>
      <c r="D744" t="inlineStr">
        <is>
          <t>JÄMTLANDS LÄN</t>
        </is>
      </c>
      <c r="E744" t="inlineStr">
        <is>
          <t>RAGUNDA</t>
        </is>
      </c>
      <c r="G744" t="n">
        <v>1</v>
      </c>
      <c r="H744" t="n">
        <v>0</v>
      </c>
      <c r="I744" t="n">
        <v>0</v>
      </c>
      <c r="J744" t="n">
        <v>0</v>
      </c>
      <c r="K744" t="n">
        <v>0</v>
      </c>
      <c r="L744" t="n">
        <v>0</v>
      </c>
      <c r="M744" t="n">
        <v>0</v>
      </c>
      <c r="N744" t="n">
        <v>0</v>
      </c>
      <c r="O744" t="n">
        <v>0</v>
      </c>
      <c r="P744" t="n">
        <v>0</v>
      </c>
      <c r="Q744" t="n">
        <v>0</v>
      </c>
      <c r="R744" s="2" t="inlineStr"/>
    </row>
    <row r="745" ht="15" customHeight="1">
      <c r="A745" t="inlineStr">
        <is>
          <t>A 18375-2022</t>
        </is>
      </c>
      <c r="B745" s="1" t="n">
        <v>44685</v>
      </c>
      <c r="C745" s="1" t="n">
        <v>46087</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55536-2024</t>
        </is>
      </c>
      <c r="B746" s="1" t="n">
        <v>45622</v>
      </c>
      <c r="C746" s="1" t="n">
        <v>46087</v>
      </c>
      <c r="D746" t="inlineStr">
        <is>
          <t>JÄMTLANDS LÄN</t>
        </is>
      </c>
      <c r="E746" t="inlineStr">
        <is>
          <t>RAGUNDA</t>
        </is>
      </c>
      <c r="G746" t="n">
        <v>0.8</v>
      </c>
      <c r="H746" t="n">
        <v>0</v>
      </c>
      <c r="I746" t="n">
        <v>0</v>
      </c>
      <c r="J746" t="n">
        <v>0</v>
      </c>
      <c r="K746" t="n">
        <v>0</v>
      </c>
      <c r="L746" t="n">
        <v>0</v>
      </c>
      <c r="M746" t="n">
        <v>0</v>
      </c>
      <c r="N746" t="n">
        <v>0</v>
      </c>
      <c r="O746" t="n">
        <v>0</v>
      </c>
      <c r="P746" t="n">
        <v>0</v>
      </c>
      <c r="Q746" t="n">
        <v>0</v>
      </c>
      <c r="R746" s="2" t="inlineStr"/>
    </row>
    <row r="747" ht="15" customHeight="1">
      <c r="A747" t="inlineStr">
        <is>
          <t>A 2411-2023</t>
        </is>
      </c>
      <c r="B747" s="1" t="n">
        <v>44942</v>
      </c>
      <c r="C747" s="1" t="n">
        <v>46087</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73278-2021</t>
        </is>
      </c>
      <c r="B748" s="1" t="n">
        <v>44550.92168981482</v>
      </c>
      <c r="C748" s="1" t="n">
        <v>46087</v>
      </c>
      <c r="D748" t="inlineStr">
        <is>
          <t>JÄMTLANDS LÄN</t>
        </is>
      </c>
      <c r="E748" t="inlineStr">
        <is>
          <t>RAGUNDA</t>
        </is>
      </c>
      <c r="G748" t="n">
        <v>4.4</v>
      </c>
      <c r="H748" t="n">
        <v>0</v>
      </c>
      <c r="I748" t="n">
        <v>0</v>
      </c>
      <c r="J748" t="n">
        <v>0</v>
      </c>
      <c r="K748" t="n">
        <v>0</v>
      </c>
      <c r="L748" t="n">
        <v>0</v>
      </c>
      <c r="M748" t="n">
        <v>0</v>
      </c>
      <c r="N748" t="n">
        <v>0</v>
      </c>
      <c r="O748" t="n">
        <v>0</v>
      </c>
      <c r="P748" t="n">
        <v>0</v>
      </c>
      <c r="Q748" t="n">
        <v>0</v>
      </c>
      <c r="R748" s="2" t="inlineStr"/>
    </row>
    <row r="749" ht="15" customHeight="1">
      <c r="A749" t="inlineStr">
        <is>
          <t>A 11834-2023</t>
        </is>
      </c>
      <c r="B749" s="1" t="n">
        <v>44994.94296296296</v>
      </c>
      <c r="C749" s="1" t="n">
        <v>46087</v>
      </c>
      <c r="D749" t="inlineStr">
        <is>
          <t>JÄMTLANDS LÄN</t>
        </is>
      </c>
      <c r="E749" t="inlineStr">
        <is>
          <t>RAGUNDA</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4627-2026</t>
        </is>
      </c>
      <c r="B750" s="1" t="n">
        <v>46048.3860300926</v>
      </c>
      <c r="C750" s="1" t="n">
        <v>46087</v>
      </c>
      <c r="D750" t="inlineStr">
        <is>
          <t>JÄMTLANDS LÄN</t>
        </is>
      </c>
      <c r="E750" t="inlineStr">
        <is>
          <t>RAGUNDA</t>
        </is>
      </c>
      <c r="G750" t="n">
        <v>0.5</v>
      </c>
      <c r="H750" t="n">
        <v>0</v>
      </c>
      <c r="I750" t="n">
        <v>0</v>
      </c>
      <c r="J750" t="n">
        <v>0</v>
      </c>
      <c r="K750" t="n">
        <v>0</v>
      </c>
      <c r="L750" t="n">
        <v>0</v>
      </c>
      <c r="M750" t="n">
        <v>0</v>
      </c>
      <c r="N750" t="n">
        <v>0</v>
      </c>
      <c r="O750" t="n">
        <v>0</v>
      </c>
      <c r="P750" t="n">
        <v>0</v>
      </c>
      <c r="Q750" t="n">
        <v>0</v>
      </c>
      <c r="R750" s="2" t="inlineStr"/>
    </row>
    <row r="751" ht="15" customHeight="1">
      <c r="A751" t="inlineStr">
        <is>
          <t>A 53264-2024</t>
        </is>
      </c>
      <c r="B751" s="1" t="n">
        <v>45614.34545138889</v>
      </c>
      <c r="C751" s="1" t="n">
        <v>46087</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50431-2024</t>
        </is>
      </c>
      <c r="B752" s="1" t="n">
        <v>45601.40686342592</v>
      </c>
      <c r="C752" s="1" t="n">
        <v>46087</v>
      </c>
      <c r="D752" t="inlineStr">
        <is>
          <t>JÄMTLANDS LÄN</t>
        </is>
      </c>
      <c r="E752" t="inlineStr">
        <is>
          <t>RAGUNDA</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4628-2026</t>
        </is>
      </c>
      <c r="B753" s="1" t="n">
        <v>46048.3862037037</v>
      </c>
      <c r="C753" s="1" t="n">
        <v>46087</v>
      </c>
      <c r="D753" t="inlineStr">
        <is>
          <t>JÄMTLANDS LÄN</t>
        </is>
      </c>
      <c r="E753" t="inlineStr">
        <is>
          <t>RAGUNDA</t>
        </is>
      </c>
      <c r="G753" t="n">
        <v>0.3</v>
      </c>
      <c r="H753" t="n">
        <v>0</v>
      </c>
      <c r="I753" t="n">
        <v>0</v>
      </c>
      <c r="J753" t="n">
        <v>0</v>
      </c>
      <c r="K753" t="n">
        <v>0</v>
      </c>
      <c r="L753" t="n">
        <v>0</v>
      </c>
      <c r="M753" t="n">
        <v>0</v>
      </c>
      <c r="N753" t="n">
        <v>0</v>
      </c>
      <c r="O753" t="n">
        <v>0</v>
      </c>
      <c r="P753" t="n">
        <v>0</v>
      </c>
      <c r="Q753" t="n">
        <v>0</v>
      </c>
      <c r="R753" s="2" t="inlineStr"/>
    </row>
    <row r="754" ht="15" customHeight="1">
      <c r="A754" t="inlineStr">
        <is>
          <t>A 4839-2026</t>
        </is>
      </c>
      <c r="B754" s="1" t="n">
        <v>46048.61520833334</v>
      </c>
      <c r="C754" s="1" t="n">
        <v>46087</v>
      </c>
      <c r="D754" t="inlineStr">
        <is>
          <t>JÄMTLANDS LÄN</t>
        </is>
      </c>
      <c r="E754" t="inlineStr">
        <is>
          <t>RAGUNDA</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4841-2026</t>
        </is>
      </c>
      <c r="B755" s="1" t="n">
        <v>46048.61550925926</v>
      </c>
      <c r="C755" s="1" t="n">
        <v>46087</v>
      </c>
      <c r="D755" t="inlineStr">
        <is>
          <t>JÄMTLANDS LÄN</t>
        </is>
      </c>
      <c r="E755" t="inlineStr">
        <is>
          <t>RAGUNDA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16334-2025</t>
        </is>
      </c>
      <c r="B756" s="1" t="n">
        <v>45751.36490740741</v>
      </c>
      <c r="C756" s="1" t="n">
        <v>46087</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4237-2026</t>
        </is>
      </c>
      <c r="B757" s="1" t="n">
        <v>46044.92743055556</v>
      </c>
      <c r="C757" s="1" t="n">
        <v>46087</v>
      </c>
      <c r="D757" t="inlineStr">
        <is>
          <t>JÄMTLANDS LÄN</t>
        </is>
      </c>
      <c r="E757" t="inlineStr">
        <is>
          <t>RAGUNDA</t>
        </is>
      </c>
      <c r="G757" t="n">
        <v>1.3</v>
      </c>
      <c r="H757" t="n">
        <v>0</v>
      </c>
      <c r="I757" t="n">
        <v>0</v>
      </c>
      <c r="J757" t="n">
        <v>0</v>
      </c>
      <c r="K757" t="n">
        <v>0</v>
      </c>
      <c r="L757" t="n">
        <v>0</v>
      </c>
      <c r="M757" t="n">
        <v>0</v>
      </c>
      <c r="N757" t="n">
        <v>0</v>
      </c>
      <c r="O757" t="n">
        <v>0</v>
      </c>
      <c r="P757" t="n">
        <v>0</v>
      </c>
      <c r="Q757" t="n">
        <v>0</v>
      </c>
      <c r="R757" s="2" t="inlineStr"/>
    </row>
    <row r="758" ht="15" customHeight="1">
      <c r="A758" t="inlineStr">
        <is>
          <t>A 7284-2024</t>
        </is>
      </c>
      <c r="B758" s="1" t="n">
        <v>45344.92865740741</v>
      </c>
      <c r="C758" s="1" t="n">
        <v>46087</v>
      </c>
      <c r="D758" t="inlineStr">
        <is>
          <t>JÄMTLANDS LÄN</t>
        </is>
      </c>
      <c r="E758" t="inlineStr">
        <is>
          <t>RAGUNDA</t>
        </is>
      </c>
      <c r="G758" t="n">
        <v>2.1</v>
      </c>
      <c r="H758" t="n">
        <v>0</v>
      </c>
      <c r="I758" t="n">
        <v>0</v>
      </c>
      <c r="J758" t="n">
        <v>0</v>
      </c>
      <c r="K758" t="n">
        <v>0</v>
      </c>
      <c r="L758" t="n">
        <v>0</v>
      </c>
      <c r="M758" t="n">
        <v>0</v>
      </c>
      <c r="N758" t="n">
        <v>0</v>
      </c>
      <c r="O758" t="n">
        <v>0</v>
      </c>
      <c r="P758" t="n">
        <v>0</v>
      </c>
      <c r="Q758" t="n">
        <v>0</v>
      </c>
      <c r="R758" s="2" t="inlineStr"/>
    </row>
    <row r="759" ht="15" customHeight="1">
      <c r="A759" t="inlineStr">
        <is>
          <t>A 7285-2024</t>
        </is>
      </c>
      <c r="B759" s="1" t="n">
        <v>45344.92873842592</v>
      </c>
      <c r="C759" s="1" t="n">
        <v>46087</v>
      </c>
      <c r="D759" t="inlineStr">
        <is>
          <t>JÄMTLANDS LÄN</t>
        </is>
      </c>
      <c r="E759" t="inlineStr">
        <is>
          <t>RAGUNDA</t>
        </is>
      </c>
      <c r="G759" t="n">
        <v>0.5</v>
      </c>
      <c r="H759" t="n">
        <v>0</v>
      </c>
      <c r="I759" t="n">
        <v>0</v>
      </c>
      <c r="J759" t="n">
        <v>0</v>
      </c>
      <c r="K759" t="n">
        <v>0</v>
      </c>
      <c r="L759" t="n">
        <v>0</v>
      </c>
      <c r="M759" t="n">
        <v>0</v>
      </c>
      <c r="N759" t="n">
        <v>0</v>
      </c>
      <c r="O759" t="n">
        <v>0</v>
      </c>
      <c r="P759" t="n">
        <v>0</v>
      </c>
      <c r="Q759" t="n">
        <v>0</v>
      </c>
      <c r="R759" s="2" t="inlineStr"/>
    </row>
    <row r="760" ht="15" customHeight="1">
      <c r="A760" t="inlineStr">
        <is>
          <t>A 2242-2024</t>
        </is>
      </c>
      <c r="B760" s="1" t="n">
        <v>45309</v>
      </c>
      <c r="C760" s="1" t="n">
        <v>46087</v>
      </c>
      <c r="D760" t="inlineStr">
        <is>
          <t>JÄMTLANDS LÄN</t>
        </is>
      </c>
      <c r="E760" t="inlineStr">
        <is>
          <t>RAGUNDA</t>
        </is>
      </c>
      <c r="G760" t="n">
        <v>0.9</v>
      </c>
      <c r="H760" t="n">
        <v>0</v>
      </c>
      <c r="I760" t="n">
        <v>0</v>
      </c>
      <c r="J760" t="n">
        <v>0</v>
      </c>
      <c r="K760" t="n">
        <v>0</v>
      </c>
      <c r="L760" t="n">
        <v>0</v>
      </c>
      <c r="M760" t="n">
        <v>0</v>
      </c>
      <c r="N760" t="n">
        <v>0</v>
      </c>
      <c r="O760" t="n">
        <v>0</v>
      </c>
      <c r="P760" t="n">
        <v>0</v>
      </c>
      <c r="Q760" t="n">
        <v>0</v>
      </c>
      <c r="R760" s="2" t="inlineStr"/>
    </row>
    <row r="761" ht="15" customHeight="1">
      <c r="A761" t="inlineStr">
        <is>
          <t>A 2248-2024</t>
        </is>
      </c>
      <c r="B761" s="1" t="n">
        <v>45309</v>
      </c>
      <c r="C761" s="1" t="n">
        <v>46087</v>
      </c>
      <c r="D761" t="inlineStr">
        <is>
          <t>JÄMTLANDS LÄN</t>
        </is>
      </c>
      <c r="E761" t="inlineStr">
        <is>
          <t>RAGUNDA</t>
        </is>
      </c>
      <c r="G761" t="n">
        <v>4.2</v>
      </c>
      <c r="H761" t="n">
        <v>0</v>
      </c>
      <c r="I761" t="n">
        <v>0</v>
      </c>
      <c r="J761" t="n">
        <v>0</v>
      </c>
      <c r="K761" t="n">
        <v>0</v>
      </c>
      <c r="L761" t="n">
        <v>0</v>
      </c>
      <c r="M761" t="n">
        <v>0</v>
      </c>
      <c r="N761" t="n">
        <v>0</v>
      </c>
      <c r="O761" t="n">
        <v>0</v>
      </c>
      <c r="P761" t="n">
        <v>0</v>
      </c>
      <c r="Q761" t="n">
        <v>0</v>
      </c>
      <c r="R761" s="2" t="inlineStr"/>
    </row>
    <row r="762" ht="15" customHeight="1">
      <c r="A762" t="inlineStr">
        <is>
          <t>A 62819-2025</t>
        </is>
      </c>
      <c r="B762" s="1" t="n">
        <v>46008</v>
      </c>
      <c r="C762" s="1" t="n">
        <v>46087</v>
      </c>
      <c r="D762" t="inlineStr">
        <is>
          <t>JÄMTLANDS LÄN</t>
        </is>
      </c>
      <c r="E762" t="inlineStr">
        <is>
          <t>RAGUNDA</t>
        </is>
      </c>
      <c r="G762" t="n">
        <v>3.5</v>
      </c>
      <c r="H762" t="n">
        <v>0</v>
      </c>
      <c r="I762" t="n">
        <v>0</v>
      </c>
      <c r="J762" t="n">
        <v>0</v>
      </c>
      <c r="K762" t="n">
        <v>0</v>
      </c>
      <c r="L762" t="n">
        <v>0</v>
      </c>
      <c r="M762" t="n">
        <v>0</v>
      </c>
      <c r="N762" t="n">
        <v>0</v>
      </c>
      <c r="O762" t="n">
        <v>0</v>
      </c>
      <c r="P762" t="n">
        <v>0</v>
      </c>
      <c r="Q762" t="n">
        <v>0</v>
      </c>
      <c r="R762" s="2" t="inlineStr"/>
    </row>
    <row r="763" ht="15" customHeight="1">
      <c r="A763" t="inlineStr">
        <is>
          <t>A 24197-2024</t>
        </is>
      </c>
      <c r="B763" s="1" t="n">
        <v>45456.96601851852</v>
      </c>
      <c r="C763" s="1" t="n">
        <v>46087</v>
      </c>
      <c r="D763" t="inlineStr">
        <is>
          <t>JÄMTLANDS LÄN</t>
        </is>
      </c>
      <c r="E763" t="inlineStr">
        <is>
          <t>RAGUNDA</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4916-2025</t>
        </is>
      </c>
      <c r="B764" s="1" t="n">
        <v>45688.68196759259</v>
      </c>
      <c r="C764" s="1" t="n">
        <v>46087</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62490-2025</t>
        </is>
      </c>
      <c r="B765" s="1" t="n">
        <v>46007.5697337963</v>
      </c>
      <c r="C765" s="1" t="n">
        <v>46087</v>
      </c>
      <c r="D765" t="inlineStr">
        <is>
          <t>JÄMTLANDS LÄN</t>
        </is>
      </c>
      <c r="E765" t="inlineStr">
        <is>
          <t>RAGUNDA</t>
        </is>
      </c>
      <c r="F765" t="inlineStr">
        <is>
          <t>Kommuner</t>
        </is>
      </c>
      <c r="G765" t="n">
        <v>0.8</v>
      </c>
      <c r="H765" t="n">
        <v>0</v>
      </c>
      <c r="I765" t="n">
        <v>0</v>
      </c>
      <c r="J765" t="n">
        <v>0</v>
      </c>
      <c r="K765" t="n">
        <v>0</v>
      </c>
      <c r="L765" t="n">
        <v>0</v>
      </c>
      <c r="M765" t="n">
        <v>0</v>
      </c>
      <c r="N765" t="n">
        <v>0</v>
      </c>
      <c r="O765" t="n">
        <v>0</v>
      </c>
      <c r="P765" t="n">
        <v>0</v>
      </c>
      <c r="Q765" t="n">
        <v>0</v>
      </c>
      <c r="R765" s="2" t="inlineStr"/>
    </row>
    <row r="766" ht="15" customHeight="1">
      <c r="A766" t="inlineStr">
        <is>
          <t>A 51396-2024</t>
        </is>
      </c>
      <c r="B766" s="1" t="n">
        <v>45604.4190625</v>
      </c>
      <c r="C766" s="1" t="n">
        <v>46087</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5359-2026</t>
        </is>
      </c>
      <c r="B767" s="1" t="n">
        <v>46050.4484837963</v>
      </c>
      <c r="C767" s="1" t="n">
        <v>46087</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62638-2025</t>
        </is>
      </c>
      <c r="B768" s="1" t="n">
        <v>46008.36564814814</v>
      </c>
      <c r="C768" s="1" t="n">
        <v>46087</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26640-2025</t>
        </is>
      </c>
      <c r="B769" s="1" t="n">
        <v>45810.36495370371</v>
      </c>
      <c r="C769" s="1" t="n">
        <v>46087</v>
      </c>
      <c r="D769" t="inlineStr">
        <is>
          <t>JÄMTLANDS LÄN</t>
        </is>
      </c>
      <c r="E769" t="inlineStr">
        <is>
          <t>RAGUNDA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62436-2025</t>
        </is>
      </c>
      <c r="B770" s="1" t="n">
        <v>46007</v>
      </c>
      <c r="C770" s="1" t="n">
        <v>46087</v>
      </c>
      <c r="D770" t="inlineStr">
        <is>
          <t>JÄMTLANDS LÄN</t>
        </is>
      </c>
      <c r="E770" t="inlineStr">
        <is>
          <t>RAGUNDA</t>
        </is>
      </c>
      <c r="G770" t="n">
        <v>0.7</v>
      </c>
      <c r="H770" t="n">
        <v>0</v>
      </c>
      <c r="I770" t="n">
        <v>0</v>
      </c>
      <c r="J770" t="n">
        <v>0</v>
      </c>
      <c r="K770" t="n">
        <v>0</v>
      </c>
      <c r="L770" t="n">
        <v>0</v>
      </c>
      <c r="M770" t="n">
        <v>0</v>
      </c>
      <c r="N770" t="n">
        <v>0</v>
      </c>
      <c r="O770" t="n">
        <v>0</v>
      </c>
      <c r="P770" t="n">
        <v>0</v>
      </c>
      <c r="Q770" t="n">
        <v>0</v>
      </c>
      <c r="R770" s="2" t="inlineStr"/>
    </row>
    <row r="771" ht="15" customHeight="1">
      <c r="A771" t="inlineStr">
        <is>
          <t>A 53762-2023</t>
        </is>
      </c>
      <c r="B771" s="1" t="n">
        <v>45230.96376157407</v>
      </c>
      <c r="C771" s="1" t="n">
        <v>46087</v>
      </c>
      <c r="D771" t="inlineStr">
        <is>
          <t>JÄMTLANDS LÄN</t>
        </is>
      </c>
      <c r="E771" t="inlineStr">
        <is>
          <t>RAGUNDA</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62467-2025</t>
        </is>
      </c>
      <c r="B772" s="1" t="n">
        <v>46007.5108912037</v>
      </c>
      <c r="C772" s="1" t="n">
        <v>46087</v>
      </c>
      <c r="D772" t="inlineStr">
        <is>
          <t>JÄMTLANDS LÄN</t>
        </is>
      </c>
      <c r="E772" t="inlineStr">
        <is>
          <t>RAGUNDA</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23305-2023</t>
        </is>
      </c>
      <c r="B773" s="1" t="n">
        <v>45075.94506944445</v>
      </c>
      <c r="C773" s="1" t="n">
        <v>46087</v>
      </c>
      <c r="D773" t="inlineStr">
        <is>
          <t>JÄMTLANDS LÄN</t>
        </is>
      </c>
      <c r="E773" t="inlineStr">
        <is>
          <t>RAGUNDA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19089-2024</t>
        </is>
      </c>
      <c r="B774" s="1" t="n">
        <v>45428.00471064815</v>
      </c>
      <c r="C774" s="1" t="n">
        <v>46087</v>
      </c>
      <c r="D774" t="inlineStr">
        <is>
          <t>JÄMTLANDS LÄN</t>
        </is>
      </c>
      <c r="E774" t="inlineStr">
        <is>
          <t>RAGUNDA</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5073-2026</t>
        </is>
      </c>
      <c r="B775" s="1" t="n">
        <v>46049.51126157407</v>
      </c>
      <c r="C775" s="1" t="n">
        <v>46087</v>
      </c>
      <c r="D775" t="inlineStr">
        <is>
          <t>JÄMTLANDS LÄN</t>
        </is>
      </c>
      <c r="E775" t="inlineStr">
        <is>
          <t>RAGUNDA</t>
        </is>
      </c>
      <c r="G775" t="n">
        <v>5.9</v>
      </c>
      <c r="H775" t="n">
        <v>0</v>
      </c>
      <c r="I775" t="n">
        <v>0</v>
      </c>
      <c r="J775" t="n">
        <v>0</v>
      </c>
      <c r="K775" t="n">
        <v>0</v>
      </c>
      <c r="L775" t="n">
        <v>0</v>
      </c>
      <c r="M775" t="n">
        <v>0</v>
      </c>
      <c r="N775" t="n">
        <v>0</v>
      </c>
      <c r="O775" t="n">
        <v>0</v>
      </c>
      <c r="P775" t="n">
        <v>0</v>
      </c>
      <c r="Q775" t="n">
        <v>0</v>
      </c>
      <c r="R775" s="2" t="inlineStr"/>
    </row>
    <row r="776" ht="15" customHeight="1">
      <c r="A776" t="inlineStr">
        <is>
          <t>A 62432-2025</t>
        </is>
      </c>
      <c r="B776" s="1" t="n">
        <v>46007</v>
      </c>
      <c r="C776" s="1" t="n">
        <v>46087</v>
      </c>
      <c r="D776" t="inlineStr">
        <is>
          <t>JÄMTLANDS LÄN</t>
        </is>
      </c>
      <c r="E776" t="inlineStr">
        <is>
          <t>RAGUNDA</t>
        </is>
      </c>
      <c r="G776" t="n">
        <v>4.7</v>
      </c>
      <c r="H776" t="n">
        <v>0</v>
      </c>
      <c r="I776" t="n">
        <v>0</v>
      </c>
      <c r="J776" t="n">
        <v>0</v>
      </c>
      <c r="K776" t="n">
        <v>0</v>
      </c>
      <c r="L776" t="n">
        <v>0</v>
      </c>
      <c r="M776" t="n">
        <v>0</v>
      </c>
      <c r="N776" t="n">
        <v>0</v>
      </c>
      <c r="O776" t="n">
        <v>0</v>
      </c>
      <c r="P776" t="n">
        <v>0</v>
      </c>
      <c r="Q776" t="n">
        <v>0</v>
      </c>
      <c r="R776" s="2" t="inlineStr"/>
    </row>
    <row r="777" ht="15" customHeight="1">
      <c r="A777" t="inlineStr">
        <is>
          <t>A 5009-2026</t>
        </is>
      </c>
      <c r="B777" s="1" t="n">
        <v>46049.42839120371</v>
      </c>
      <c r="C777" s="1" t="n">
        <v>46087</v>
      </c>
      <c r="D777" t="inlineStr">
        <is>
          <t>JÄMTLANDS LÄN</t>
        </is>
      </c>
      <c r="E777" t="inlineStr">
        <is>
          <t>RAGUNDA</t>
        </is>
      </c>
      <c r="F777" t="inlineStr">
        <is>
          <t>SCA</t>
        </is>
      </c>
      <c r="G777" t="n">
        <v>37.4</v>
      </c>
      <c r="H777" t="n">
        <v>0</v>
      </c>
      <c r="I777" t="n">
        <v>0</v>
      </c>
      <c r="J777" t="n">
        <v>0</v>
      </c>
      <c r="K777" t="n">
        <v>0</v>
      </c>
      <c r="L777" t="n">
        <v>0</v>
      </c>
      <c r="M777" t="n">
        <v>0</v>
      </c>
      <c r="N777" t="n">
        <v>0</v>
      </c>
      <c r="O777" t="n">
        <v>0</v>
      </c>
      <c r="P777" t="n">
        <v>0</v>
      </c>
      <c r="Q777" t="n">
        <v>0</v>
      </c>
      <c r="R777" s="2" t="inlineStr"/>
    </row>
    <row r="778" ht="15" customHeight="1">
      <c r="A778" t="inlineStr">
        <is>
          <t>A 4615-2023</t>
        </is>
      </c>
      <c r="B778" s="1" t="n">
        <v>44956.93924768519</v>
      </c>
      <c r="C778" s="1" t="n">
        <v>46087</v>
      </c>
      <c r="D778" t="inlineStr">
        <is>
          <t>JÄMTLANDS LÄN</t>
        </is>
      </c>
      <c r="E778" t="inlineStr">
        <is>
          <t>RAGUNDA</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2673-2024</t>
        </is>
      </c>
      <c r="B779" s="1" t="n">
        <v>45314</v>
      </c>
      <c r="C779" s="1" t="n">
        <v>46087</v>
      </c>
      <c r="D779" t="inlineStr">
        <is>
          <t>JÄMTLANDS LÄN</t>
        </is>
      </c>
      <c r="E779" t="inlineStr">
        <is>
          <t>RAGUNDA</t>
        </is>
      </c>
      <c r="G779" t="n">
        <v>0.9</v>
      </c>
      <c r="H779" t="n">
        <v>0</v>
      </c>
      <c r="I779" t="n">
        <v>0</v>
      </c>
      <c r="J779" t="n">
        <v>0</v>
      </c>
      <c r="K779" t="n">
        <v>0</v>
      </c>
      <c r="L779" t="n">
        <v>0</v>
      </c>
      <c r="M779" t="n">
        <v>0</v>
      </c>
      <c r="N779" t="n">
        <v>0</v>
      </c>
      <c r="O779" t="n">
        <v>0</v>
      </c>
      <c r="P779" t="n">
        <v>0</v>
      </c>
      <c r="Q779" t="n">
        <v>0</v>
      </c>
      <c r="R779" s="2" t="inlineStr"/>
    </row>
    <row r="780" ht="15" customHeight="1">
      <c r="A780" t="inlineStr">
        <is>
          <t>A 62691-2025</t>
        </is>
      </c>
      <c r="B780" s="1" t="n">
        <v>46008.4759837963</v>
      </c>
      <c r="C780" s="1" t="n">
        <v>46087</v>
      </c>
      <c r="D780" t="inlineStr">
        <is>
          <t>JÄMTLANDS LÄN</t>
        </is>
      </c>
      <c r="E780" t="inlineStr">
        <is>
          <t>RAGUNDA</t>
        </is>
      </c>
      <c r="G780" t="n">
        <v>2.6</v>
      </c>
      <c r="H780" t="n">
        <v>0</v>
      </c>
      <c r="I780" t="n">
        <v>0</v>
      </c>
      <c r="J780" t="n">
        <v>0</v>
      </c>
      <c r="K780" t="n">
        <v>0</v>
      </c>
      <c r="L780" t="n">
        <v>0</v>
      </c>
      <c r="M780" t="n">
        <v>0</v>
      </c>
      <c r="N780" t="n">
        <v>0</v>
      </c>
      <c r="O780" t="n">
        <v>0</v>
      </c>
      <c r="P780" t="n">
        <v>0</v>
      </c>
      <c r="Q780" t="n">
        <v>0</v>
      </c>
      <c r="R780" s="2" t="inlineStr"/>
    </row>
    <row r="781" ht="15" customHeight="1">
      <c r="A781" t="inlineStr">
        <is>
          <t>A 57112-2024</t>
        </is>
      </c>
      <c r="B781" s="1" t="n">
        <v>45629.36486111111</v>
      </c>
      <c r="C781" s="1" t="n">
        <v>46087</v>
      </c>
      <c r="D781" t="inlineStr">
        <is>
          <t>JÄMTLANDS LÄN</t>
        </is>
      </c>
      <c r="E781" t="inlineStr">
        <is>
          <t>RAGUNDA</t>
        </is>
      </c>
      <c r="G781" t="n">
        <v>0.7</v>
      </c>
      <c r="H781" t="n">
        <v>0</v>
      </c>
      <c r="I781" t="n">
        <v>0</v>
      </c>
      <c r="J781" t="n">
        <v>0</v>
      </c>
      <c r="K781" t="n">
        <v>0</v>
      </c>
      <c r="L781" t="n">
        <v>0</v>
      </c>
      <c r="M781" t="n">
        <v>0</v>
      </c>
      <c r="N781" t="n">
        <v>0</v>
      </c>
      <c r="O781" t="n">
        <v>0</v>
      </c>
      <c r="P781" t="n">
        <v>0</v>
      </c>
      <c r="Q781" t="n">
        <v>0</v>
      </c>
      <c r="R781" s="2" t="inlineStr"/>
    </row>
    <row r="782" ht="15" customHeight="1">
      <c r="A782" t="inlineStr">
        <is>
          <t>A 36375-2022</t>
        </is>
      </c>
      <c r="B782" s="1" t="n">
        <v>44803.94351851852</v>
      </c>
      <c r="C782" s="1" t="n">
        <v>46087</v>
      </c>
      <c r="D782" t="inlineStr">
        <is>
          <t>JÄMTLANDS LÄN</t>
        </is>
      </c>
      <c r="E782" t="inlineStr">
        <is>
          <t>RAGUNDA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17667-2025</t>
        </is>
      </c>
      <c r="B783" s="1" t="n">
        <v>45758.36487268518</v>
      </c>
      <c r="C783" s="1" t="n">
        <v>46087</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5148-2023</t>
        </is>
      </c>
      <c r="B784" s="1" t="n">
        <v>44958</v>
      </c>
      <c r="C784" s="1" t="n">
        <v>46087</v>
      </c>
      <c r="D784" t="inlineStr">
        <is>
          <t>JÄMTLANDS LÄN</t>
        </is>
      </c>
      <c r="E784" t="inlineStr">
        <is>
          <t>RAGUNDA</t>
        </is>
      </c>
      <c r="G784" t="n">
        <v>2.9</v>
      </c>
      <c r="H784" t="n">
        <v>0</v>
      </c>
      <c r="I784" t="n">
        <v>0</v>
      </c>
      <c r="J784" t="n">
        <v>0</v>
      </c>
      <c r="K784" t="n">
        <v>0</v>
      </c>
      <c r="L784" t="n">
        <v>0</v>
      </c>
      <c r="M784" t="n">
        <v>0</v>
      </c>
      <c r="N784" t="n">
        <v>0</v>
      </c>
      <c r="O784" t="n">
        <v>0</v>
      </c>
      <c r="P784" t="n">
        <v>0</v>
      </c>
      <c r="Q784" t="n">
        <v>0</v>
      </c>
      <c r="R784" s="2" t="inlineStr"/>
    </row>
    <row r="785" ht="15" customHeight="1">
      <c r="A785" t="inlineStr">
        <is>
          <t>A 63141-2025</t>
        </is>
      </c>
      <c r="B785" s="1" t="n">
        <v>46010.34440972222</v>
      </c>
      <c r="C785" s="1" t="n">
        <v>46087</v>
      </c>
      <c r="D785" t="inlineStr">
        <is>
          <t>JÄMTLANDS LÄN</t>
        </is>
      </c>
      <c r="E785" t="inlineStr">
        <is>
          <t>RAGUNDA</t>
        </is>
      </c>
      <c r="F785" t="inlineStr">
        <is>
          <t>SCA</t>
        </is>
      </c>
      <c r="G785" t="n">
        <v>24.4</v>
      </c>
      <c r="H785" t="n">
        <v>0</v>
      </c>
      <c r="I785" t="n">
        <v>0</v>
      </c>
      <c r="J785" t="n">
        <v>0</v>
      </c>
      <c r="K785" t="n">
        <v>0</v>
      </c>
      <c r="L785" t="n">
        <v>0</v>
      </c>
      <c r="M785" t="n">
        <v>0</v>
      </c>
      <c r="N785" t="n">
        <v>0</v>
      </c>
      <c r="O785" t="n">
        <v>0</v>
      </c>
      <c r="P785" t="n">
        <v>0</v>
      </c>
      <c r="Q785" t="n">
        <v>0</v>
      </c>
      <c r="R785" s="2" t="inlineStr"/>
    </row>
    <row r="786" ht="15" customHeight="1">
      <c r="A786" t="inlineStr">
        <is>
          <t>A 51049-2024</t>
        </is>
      </c>
      <c r="B786" s="1" t="n">
        <v>45603.44644675926</v>
      </c>
      <c r="C786" s="1" t="n">
        <v>46087</v>
      </c>
      <c r="D786" t="inlineStr">
        <is>
          <t>JÄMTLANDS LÄN</t>
        </is>
      </c>
      <c r="E786" t="inlineStr">
        <is>
          <t>RAGUNDA</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55489-2024</t>
        </is>
      </c>
      <c r="B787" s="1" t="n">
        <v>45622.44774305556</v>
      </c>
      <c r="C787" s="1" t="n">
        <v>46087</v>
      </c>
      <c r="D787" t="inlineStr">
        <is>
          <t>JÄMTLANDS LÄN</t>
        </is>
      </c>
      <c r="E787" t="inlineStr">
        <is>
          <t>RAGUNDA</t>
        </is>
      </c>
      <c r="G787" t="n">
        <v>1.6</v>
      </c>
      <c r="H787" t="n">
        <v>0</v>
      </c>
      <c r="I787" t="n">
        <v>0</v>
      </c>
      <c r="J787" t="n">
        <v>0</v>
      </c>
      <c r="K787" t="n">
        <v>0</v>
      </c>
      <c r="L787" t="n">
        <v>0</v>
      </c>
      <c r="M787" t="n">
        <v>0</v>
      </c>
      <c r="N787" t="n">
        <v>0</v>
      </c>
      <c r="O787" t="n">
        <v>0</v>
      </c>
      <c r="P787" t="n">
        <v>0</v>
      </c>
      <c r="Q787" t="n">
        <v>0</v>
      </c>
      <c r="R787" s="2" t="inlineStr"/>
    </row>
    <row r="788" ht="15" customHeight="1">
      <c r="A788" t="inlineStr">
        <is>
          <t>A 14074-2023</t>
        </is>
      </c>
      <c r="B788" s="1" t="n">
        <v>45009.089375</v>
      </c>
      <c r="C788" s="1" t="n">
        <v>46087</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62927-2025</t>
        </is>
      </c>
      <c r="B789" s="1" t="n">
        <v>46009.38609953703</v>
      </c>
      <c r="C789" s="1" t="n">
        <v>46087</v>
      </c>
      <c r="D789" t="inlineStr">
        <is>
          <t>JÄMTLANDS LÄN</t>
        </is>
      </c>
      <c r="E789" t="inlineStr">
        <is>
          <t>RAGUNDA</t>
        </is>
      </c>
      <c r="G789" t="n">
        <v>6.3</v>
      </c>
      <c r="H789" t="n">
        <v>0</v>
      </c>
      <c r="I789" t="n">
        <v>0</v>
      </c>
      <c r="J789" t="n">
        <v>0</v>
      </c>
      <c r="K789" t="n">
        <v>0</v>
      </c>
      <c r="L789" t="n">
        <v>0</v>
      </c>
      <c r="M789" t="n">
        <v>0</v>
      </c>
      <c r="N789" t="n">
        <v>0</v>
      </c>
      <c r="O789" t="n">
        <v>0</v>
      </c>
      <c r="P789" t="n">
        <v>0</v>
      </c>
      <c r="Q789" t="n">
        <v>0</v>
      </c>
      <c r="R789" s="2" t="inlineStr"/>
      <c r="U789">
        <f>HYPERLINK("https://klasma.github.io/Logging_2303/knärot/A 62927-2025 karta knärot.png", "A 62927-2025")</f>
        <v/>
      </c>
      <c r="V789">
        <f>HYPERLINK("https://klasma.github.io/Logging_2303/klagomål/A 62927-2025 FSC-klagomål.docx", "A 62927-2025")</f>
        <v/>
      </c>
      <c r="W789">
        <f>HYPERLINK("https://klasma.github.io/Logging_2303/klagomålsmail/A 62927-2025 FSC-klagomål mail.docx", "A 62927-2025")</f>
        <v/>
      </c>
      <c r="X789">
        <f>HYPERLINK("https://klasma.github.io/Logging_2303/tillsyn/A 62927-2025 tillsynsbegäran.docx", "A 62927-2025")</f>
        <v/>
      </c>
      <c r="Y789">
        <f>HYPERLINK("https://klasma.github.io/Logging_2303/tillsynsmail/A 62927-2025 tillsynsbegäran mail.docx", "A 62927-2025")</f>
        <v/>
      </c>
    </row>
    <row r="790" ht="15" customHeight="1">
      <c r="A790" t="inlineStr">
        <is>
          <t>A 54764-2024</t>
        </is>
      </c>
      <c r="B790" s="1" t="n">
        <v>45618.46921296296</v>
      </c>
      <c r="C790" s="1" t="n">
        <v>46087</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63060-2025</t>
        </is>
      </c>
      <c r="B791" s="1" t="n">
        <v>46009.64414351852</v>
      </c>
      <c r="C791" s="1" t="n">
        <v>46087</v>
      </c>
      <c r="D791" t="inlineStr">
        <is>
          <t>JÄMTLANDS LÄN</t>
        </is>
      </c>
      <c r="E791" t="inlineStr">
        <is>
          <t>RAGUNDA</t>
        </is>
      </c>
      <c r="G791" t="n">
        <v>6.5</v>
      </c>
      <c r="H791" t="n">
        <v>0</v>
      </c>
      <c r="I791" t="n">
        <v>0</v>
      </c>
      <c r="J791" t="n">
        <v>0</v>
      </c>
      <c r="K791" t="n">
        <v>0</v>
      </c>
      <c r="L791" t="n">
        <v>0</v>
      </c>
      <c r="M791" t="n">
        <v>0</v>
      </c>
      <c r="N791" t="n">
        <v>0</v>
      </c>
      <c r="O791" t="n">
        <v>0</v>
      </c>
      <c r="P791" t="n">
        <v>0</v>
      </c>
      <c r="Q791" t="n">
        <v>0</v>
      </c>
      <c r="R791" s="2" t="inlineStr"/>
    </row>
    <row r="792" ht="15" customHeight="1">
      <c r="A792" t="inlineStr">
        <is>
          <t>A 7279-2024</t>
        </is>
      </c>
      <c r="B792" s="1" t="n">
        <v>45344.92822916667</v>
      </c>
      <c r="C792" s="1" t="n">
        <v>46087</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63057-2025</t>
        </is>
      </c>
      <c r="B793" s="1" t="n">
        <v>46009.63837962963</v>
      </c>
      <c r="C793" s="1" t="n">
        <v>46087</v>
      </c>
      <c r="D793" t="inlineStr">
        <is>
          <t>JÄMTLANDS LÄN</t>
        </is>
      </c>
      <c r="E793" t="inlineStr">
        <is>
          <t>RAGUNDA</t>
        </is>
      </c>
      <c r="G793" t="n">
        <v>13.7</v>
      </c>
      <c r="H793" t="n">
        <v>0</v>
      </c>
      <c r="I793" t="n">
        <v>0</v>
      </c>
      <c r="J793" t="n">
        <v>0</v>
      </c>
      <c r="K793" t="n">
        <v>0</v>
      </c>
      <c r="L793" t="n">
        <v>0</v>
      </c>
      <c r="M793" t="n">
        <v>0</v>
      </c>
      <c r="N793" t="n">
        <v>0</v>
      </c>
      <c r="O793" t="n">
        <v>0</v>
      </c>
      <c r="P793" t="n">
        <v>0</v>
      </c>
      <c r="Q793" t="n">
        <v>0</v>
      </c>
      <c r="R793" s="2" t="inlineStr"/>
    </row>
    <row r="794" ht="15" customHeight="1">
      <c r="A794" t="inlineStr">
        <is>
          <t>A 6174-2026</t>
        </is>
      </c>
      <c r="B794" s="1" t="n">
        <v>46055.34457175926</v>
      </c>
      <c r="C794" s="1" t="n">
        <v>46087</v>
      </c>
      <c r="D794" t="inlineStr">
        <is>
          <t>JÄMTLANDS LÄN</t>
        </is>
      </c>
      <c r="E794" t="inlineStr">
        <is>
          <t>RAGUNDA</t>
        </is>
      </c>
      <c r="F794" t="inlineStr">
        <is>
          <t>SCA</t>
        </is>
      </c>
      <c r="G794" t="n">
        <v>24.3</v>
      </c>
      <c r="H794" t="n">
        <v>0</v>
      </c>
      <c r="I794" t="n">
        <v>0</v>
      </c>
      <c r="J794" t="n">
        <v>0</v>
      </c>
      <c r="K794" t="n">
        <v>0</v>
      </c>
      <c r="L794" t="n">
        <v>0</v>
      </c>
      <c r="M794" t="n">
        <v>0</v>
      </c>
      <c r="N794" t="n">
        <v>0</v>
      </c>
      <c r="O794" t="n">
        <v>0</v>
      </c>
      <c r="P794" t="n">
        <v>0</v>
      </c>
      <c r="Q794" t="n">
        <v>0</v>
      </c>
      <c r="R794" s="2" t="inlineStr"/>
    </row>
    <row r="795" ht="15" customHeight="1">
      <c r="A795" t="inlineStr">
        <is>
          <t>A 10706-2023</t>
        </is>
      </c>
      <c r="B795" s="1" t="n">
        <v>44984</v>
      </c>
      <c r="C795" s="1" t="n">
        <v>46087</v>
      </c>
      <c r="D795" t="inlineStr">
        <is>
          <t>JÄMTLANDS LÄN</t>
        </is>
      </c>
      <c r="E795" t="inlineStr">
        <is>
          <t>RAGUNDA</t>
        </is>
      </c>
      <c r="G795" t="n">
        <v>7.7</v>
      </c>
      <c r="H795" t="n">
        <v>0</v>
      </c>
      <c r="I795" t="n">
        <v>0</v>
      </c>
      <c r="J795" t="n">
        <v>0</v>
      </c>
      <c r="K795" t="n">
        <v>0</v>
      </c>
      <c r="L795" t="n">
        <v>0</v>
      </c>
      <c r="M795" t="n">
        <v>0</v>
      </c>
      <c r="N795" t="n">
        <v>0</v>
      </c>
      <c r="O795" t="n">
        <v>0</v>
      </c>
      <c r="P795" t="n">
        <v>0</v>
      </c>
      <c r="Q795" t="n">
        <v>0</v>
      </c>
      <c r="R795" s="2" t="inlineStr"/>
    </row>
    <row r="796" ht="15" customHeight="1">
      <c r="A796" t="inlineStr">
        <is>
          <t>A 6693-2026</t>
        </is>
      </c>
      <c r="B796" s="1" t="n">
        <v>46056.63649305556</v>
      </c>
      <c r="C796" s="1" t="n">
        <v>46087</v>
      </c>
      <c r="D796" t="inlineStr">
        <is>
          <t>JÄMTLANDS LÄN</t>
        </is>
      </c>
      <c r="E796" t="inlineStr">
        <is>
          <t>RAGUNDA</t>
        </is>
      </c>
      <c r="G796" t="n">
        <v>4.3</v>
      </c>
      <c r="H796" t="n">
        <v>0</v>
      </c>
      <c r="I796" t="n">
        <v>0</v>
      </c>
      <c r="J796" t="n">
        <v>0</v>
      </c>
      <c r="K796" t="n">
        <v>0</v>
      </c>
      <c r="L796" t="n">
        <v>0</v>
      </c>
      <c r="M796" t="n">
        <v>0</v>
      </c>
      <c r="N796" t="n">
        <v>0</v>
      </c>
      <c r="O796" t="n">
        <v>0</v>
      </c>
      <c r="P796" t="n">
        <v>0</v>
      </c>
      <c r="Q796" t="n">
        <v>0</v>
      </c>
      <c r="R796" s="2" t="inlineStr"/>
    </row>
    <row r="797" ht="15" customHeight="1">
      <c r="A797" t="inlineStr">
        <is>
          <t>A 891-2022</t>
        </is>
      </c>
      <c r="B797" s="1" t="n">
        <v>44571</v>
      </c>
      <c r="C797" s="1" t="n">
        <v>46087</v>
      </c>
      <c r="D797" t="inlineStr">
        <is>
          <t>JÄMTLANDS LÄN</t>
        </is>
      </c>
      <c r="E797" t="inlineStr">
        <is>
          <t>RAGUNDA</t>
        </is>
      </c>
      <c r="G797" t="n">
        <v>1.7</v>
      </c>
      <c r="H797" t="n">
        <v>0</v>
      </c>
      <c r="I797" t="n">
        <v>0</v>
      </c>
      <c r="J797" t="n">
        <v>0</v>
      </c>
      <c r="K797" t="n">
        <v>0</v>
      </c>
      <c r="L797" t="n">
        <v>0</v>
      </c>
      <c r="M797" t="n">
        <v>0</v>
      </c>
      <c r="N797" t="n">
        <v>0</v>
      </c>
      <c r="O797" t="n">
        <v>0</v>
      </c>
      <c r="P797" t="n">
        <v>0</v>
      </c>
      <c r="Q797" t="n">
        <v>0</v>
      </c>
      <c r="R797" s="2" t="inlineStr"/>
    </row>
    <row r="798" ht="15" customHeight="1">
      <c r="A798" t="inlineStr">
        <is>
          <t>A 63672-2025</t>
        </is>
      </c>
      <c r="B798" s="1" t="n">
        <v>46014.47575231481</v>
      </c>
      <c r="C798" s="1" t="n">
        <v>46087</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19404-2025</t>
        </is>
      </c>
      <c r="B799" s="1" t="n">
        <v>45769.67802083334</v>
      </c>
      <c r="C799" s="1" t="n">
        <v>46087</v>
      </c>
      <c r="D799" t="inlineStr">
        <is>
          <t>JÄMTLANDS LÄN</t>
        </is>
      </c>
      <c r="E799" t="inlineStr">
        <is>
          <t>RAGUNDA</t>
        </is>
      </c>
      <c r="F799" t="inlineStr">
        <is>
          <t>SCA</t>
        </is>
      </c>
      <c r="G799" t="n">
        <v>3</v>
      </c>
      <c r="H799" t="n">
        <v>0</v>
      </c>
      <c r="I799" t="n">
        <v>0</v>
      </c>
      <c r="J799" t="n">
        <v>0</v>
      </c>
      <c r="K799" t="n">
        <v>0</v>
      </c>
      <c r="L799" t="n">
        <v>0</v>
      </c>
      <c r="M799" t="n">
        <v>0</v>
      </c>
      <c r="N799" t="n">
        <v>0</v>
      </c>
      <c r="O799" t="n">
        <v>0</v>
      </c>
      <c r="P799" t="n">
        <v>0</v>
      </c>
      <c r="Q799" t="n">
        <v>0</v>
      </c>
      <c r="R799" s="2" t="inlineStr"/>
      <c r="U799">
        <f>HYPERLINK("https://klasma.github.io/Logging_2303/knärot/A 19404-2025 karta knärot.png", "A 19404-2025")</f>
        <v/>
      </c>
      <c r="V799">
        <f>HYPERLINK("https://klasma.github.io/Logging_2303/klagomål/A 19404-2025 FSC-klagomål.docx", "A 19404-2025")</f>
        <v/>
      </c>
      <c r="W799">
        <f>HYPERLINK("https://klasma.github.io/Logging_2303/klagomålsmail/A 19404-2025 FSC-klagomål mail.docx", "A 19404-2025")</f>
        <v/>
      </c>
      <c r="X799">
        <f>HYPERLINK("https://klasma.github.io/Logging_2303/tillsyn/A 19404-2025 tillsynsbegäran.docx", "A 19404-2025")</f>
        <v/>
      </c>
      <c r="Y799">
        <f>HYPERLINK("https://klasma.github.io/Logging_2303/tillsynsmail/A 19404-2025 tillsynsbegäran mail.docx", "A 19404-2025")</f>
        <v/>
      </c>
    </row>
    <row r="800" ht="15" customHeight="1">
      <c r="A800" t="inlineStr">
        <is>
          <t>A 63671-2025</t>
        </is>
      </c>
      <c r="B800" s="1" t="n">
        <v>46014.46555555556</v>
      </c>
      <c r="C800" s="1" t="n">
        <v>46087</v>
      </c>
      <c r="D800" t="inlineStr">
        <is>
          <t>JÄMTLANDS LÄN</t>
        </is>
      </c>
      <c r="E800" t="inlineStr">
        <is>
          <t>RAGUNDA</t>
        </is>
      </c>
      <c r="G800" t="n">
        <v>0.9</v>
      </c>
      <c r="H800" t="n">
        <v>0</v>
      </c>
      <c r="I800" t="n">
        <v>0</v>
      </c>
      <c r="J800" t="n">
        <v>0</v>
      </c>
      <c r="K800" t="n">
        <v>0</v>
      </c>
      <c r="L800" t="n">
        <v>0</v>
      </c>
      <c r="M800" t="n">
        <v>0</v>
      </c>
      <c r="N800" t="n">
        <v>0</v>
      </c>
      <c r="O800" t="n">
        <v>0</v>
      </c>
      <c r="P800" t="n">
        <v>0</v>
      </c>
      <c r="Q800" t="n">
        <v>0</v>
      </c>
      <c r="R800" s="2" t="inlineStr"/>
    </row>
    <row r="801" ht="15" customHeight="1">
      <c r="A801" t="inlineStr">
        <is>
          <t>A 8416-2023</t>
        </is>
      </c>
      <c r="B801" s="1" t="n">
        <v>44977.44373842593</v>
      </c>
      <c r="C801" s="1" t="n">
        <v>46087</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40801-2023</t>
        </is>
      </c>
      <c r="B802" s="1" t="n">
        <v>45170</v>
      </c>
      <c r="C802" s="1" t="n">
        <v>46087</v>
      </c>
      <c r="D802" t="inlineStr">
        <is>
          <t>JÄMTLANDS LÄN</t>
        </is>
      </c>
      <c r="E802" t="inlineStr">
        <is>
          <t>RAGUNDA</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6569-2026</t>
        </is>
      </c>
      <c r="B803" s="1" t="n">
        <v>46052</v>
      </c>
      <c r="C803" s="1" t="n">
        <v>46087</v>
      </c>
      <c r="D803" t="inlineStr">
        <is>
          <t>JÄMTLANDS LÄN</t>
        </is>
      </c>
      <c r="E803" t="inlineStr">
        <is>
          <t>RAGUNDA</t>
        </is>
      </c>
      <c r="G803" t="n">
        <v>0.7</v>
      </c>
      <c r="H803" t="n">
        <v>0</v>
      </c>
      <c r="I803" t="n">
        <v>0</v>
      </c>
      <c r="J803" t="n">
        <v>0</v>
      </c>
      <c r="K803" t="n">
        <v>0</v>
      </c>
      <c r="L803" t="n">
        <v>0</v>
      </c>
      <c r="M803" t="n">
        <v>0</v>
      </c>
      <c r="N803" t="n">
        <v>0</v>
      </c>
      <c r="O803" t="n">
        <v>0</v>
      </c>
      <c r="P803" t="n">
        <v>0</v>
      </c>
      <c r="Q803" t="n">
        <v>0</v>
      </c>
      <c r="R803" s="2" t="inlineStr"/>
    </row>
    <row r="804" ht="15" customHeight="1">
      <c r="A804" t="inlineStr">
        <is>
          <t>A 27510-2025</t>
        </is>
      </c>
      <c r="B804" s="1" t="n">
        <v>45813.42790509259</v>
      </c>
      <c r="C804" s="1" t="n">
        <v>46087</v>
      </c>
      <c r="D804" t="inlineStr">
        <is>
          <t>JÄMTLANDS LÄN</t>
        </is>
      </c>
      <c r="E804" t="inlineStr">
        <is>
          <t>RAGUNDA</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27499-2024</t>
        </is>
      </c>
      <c r="B805" s="1" t="n">
        <v>45474.50608796296</v>
      </c>
      <c r="C805" s="1" t="n">
        <v>46087</v>
      </c>
      <c r="D805" t="inlineStr">
        <is>
          <t>JÄMTLANDS LÄN</t>
        </is>
      </c>
      <c r="E805" t="inlineStr">
        <is>
          <t>RAGUNDA</t>
        </is>
      </c>
      <c r="G805" t="n">
        <v>1.3</v>
      </c>
      <c r="H805" t="n">
        <v>0</v>
      </c>
      <c r="I805" t="n">
        <v>0</v>
      </c>
      <c r="J805" t="n">
        <v>0</v>
      </c>
      <c r="K805" t="n">
        <v>0</v>
      </c>
      <c r="L805" t="n">
        <v>0</v>
      </c>
      <c r="M805" t="n">
        <v>0</v>
      </c>
      <c r="N805" t="n">
        <v>0</v>
      </c>
      <c r="O805" t="n">
        <v>0</v>
      </c>
      <c r="P805" t="n">
        <v>0</v>
      </c>
      <c r="Q805" t="n">
        <v>0</v>
      </c>
      <c r="R805" s="2" t="inlineStr"/>
    </row>
    <row r="806" ht="15" customHeight="1">
      <c r="A806" t="inlineStr">
        <is>
          <t>A 52148-2024</t>
        </is>
      </c>
      <c r="B806" s="1" t="n">
        <v>45608.52354166667</v>
      </c>
      <c r="C806" s="1" t="n">
        <v>46087</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63578-2025</t>
        </is>
      </c>
      <c r="B807" s="1" t="n">
        <v>46013.67690972222</v>
      </c>
      <c r="C807" s="1" t="n">
        <v>46087</v>
      </c>
      <c r="D807" t="inlineStr">
        <is>
          <t>JÄMTLANDS LÄN</t>
        </is>
      </c>
      <c r="E807" t="inlineStr">
        <is>
          <t>RAGUNDA</t>
        </is>
      </c>
      <c r="G807" t="n">
        <v>2.7</v>
      </c>
      <c r="H807" t="n">
        <v>0</v>
      </c>
      <c r="I807" t="n">
        <v>0</v>
      </c>
      <c r="J807" t="n">
        <v>0</v>
      </c>
      <c r="K807" t="n">
        <v>0</v>
      </c>
      <c r="L807" t="n">
        <v>0</v>
      </c>
      <c r="M807" t="n">
        <v>0</v>
      </c>
      <c r="N807" t="n">
        <v>0</v>
      </c>
      <c r="O807" t="n">
        <v>0</v>
      </c>
      <c r="P807" t="n">
        <v>0</v>
      </c>
      <c r="Q807" t="n">
        <v>0</v>
      </c>
      <c r="R807" s="2" t="inlineStr"/>
    </row>
    <row r="808" ht="15" customHeight="1">
      <c r="A808" t="inlineStr">
        <is>
          <t>A 462-2023</t>
        </is>
      </c>
      <c r="B808" s="1" t="n">
        <v>44929</v>
      </c>
      <c r="C808" s="1" t="n">
        <v>46087</v>
      </c>
      <c r="D808" t="inlineStr">
        <is>
          <t>JÄMTLANDS LÄN</t>
        </is>
      </c>
      <c r="E808" t="inlineStr">
        <is>
          <t>RAGUNDA</t>
        </is>
      </c>
      <c r="G808" t="n">
        <v>4.5</v>
      </c>
      <c r="H808" t="n">
        <v>0</v>
      </c>
      <c r="I808" t="n">
        <v>0</v>
      </c>
      <c r="J808" t="n">
        <v>0</v>
      </c>
      <c r="K808" t="n">
        <v>0</v>
      </c>
      <c r="L808" t="n">
        <v>0</v>
      </c>
      <c r="M808" t="n">
        <v>0</v>
      </c>
      <c r="N808" t="n">
        <v>0</v>
      </c>
      <c r="O808" t="n">
        <v>0</v>
      </c>
      <c r="P808" t="n">
        <v>0</v>
      </c>
      <c r="Q808" t="n">
        <v>0</v>
      </c>
      <c r="R808" s="2" t="inlineStr"/>
    </row>
    <row r="809" ht="15" customHeight="1">
      <c r="A809" t="inlineStr">
        <is>
          <t>A 26645-2024</t>
        </is>
      </c>
      <c r="B809" s="1" t="n">
        <v>45469.94667824074</v>
      </c>
      <c r="C809" s="1" t="n">
        <v>46087</v>
      </c>
      <c r="D809" t="inlineStr">
        <is>
          <t>JÄMTLANDS LÄN</t>
        </is>
      </c>
      <c r="E809" t="inlineStr">
        <is>
          <t>RAGUNDA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55633-2025</t>
        </is>
      </c>
      <c r="B810" s="1" t="n">
        <v>45972</v>
      </c>
      <c r="C810" s="1" t="n">
        <v>46087</v>
      </c>
      <c r="D810" t="inlineStr">
        <is>
          <t>JÄMTLANDS LÄN</t>
        </is>
      </c>
      <c r="E810" t="inlineStr">
        <is>
          <t>RAGUNDA</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55671-2025</t>
        </is>
      </c>
      <c r="B811" s="1" t="n">
        <v>45972</v>
      </c>
      <c r="C811" s="1" t="n">
        <v>46087</v>
      </c>
      <c r="D811" t="inlineStr">
        <is>
          <t>JÄMTLANDS LÄN</t>
        </is>
      </c>
      <c r="E811" t="inlineStr">
        <is>
          <t>RAGUNDA</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55797-2025</t>
        </is>
      </c>
      <c r="B812" s="1" t="n">
        <v>45972.65693287037</v>
      </c>
      <c r="C812" s="1" t="n">
        <v>46087</v>
      </c>
      <c r="D812" t="inlineStr">
        <is>
          <t>JÄMTLANDS LÄN</t>
        </is>
      </c>
      <c r="E812" t="inlineStr">
        <is>
          <t>RAGUNDA</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32258-2024</t>
        </is>
      </c>
      <c r="B813" s="1" t="n">
        <v>45511</v>
      </c>
      <c r="C813" s="1" t="n">
        <v>46087</v>
      </c>
      <c r="D813" t="inlineStr">
        <is>
          <t>JÄMTLANDS LÄN</t>
        </is>
      </c>
      <c r="E813" t="inlineStr">
        <is>
          <t>RAGUNDA</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53727-2025</t>
        </is>
      </c>
      <c r="B814" s="1" t="n">
        <v>45960.63630787037</v>
      </c>
      <c r="C814" s="1" t="n">
        <v>46087</v>
      </c>
      <c r="D814" t="inlineStr">
        <is>
          <t>JÄMTLANDS LÄN</t>
        </is>
      </c>
      <c r="E814" t="inlineStr">
        <is>
          <t>RAGUNDA</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55547-2025</t>
        </is>
      </c>
      <c r="B815" s="1" t="n">
        <v>45971</v>
      </c>
      <c r="C815" s="1" t="n">
        <v>46087</v>
      </c>
      <c r="D815" t="inlineStr">
        <is>
          <t>JÄMTLANDS LÄN</t>
        </is>
      </c>
      <c r="E815" t="inlineStr">
        <is>
          <t>RAGUNDA</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18989-2025</t>
        </is>
      </c>
      <c r="B816" s="1" t="n">
        <v>45764</v>
      </c>
      <c r="C816" s="1" t="n">
        <v>46087</v>
      </c>
      <c r="D816" t="inlineStr">
        <is>
          <t>JÄMTLANDS LÄN</t>
        </is>
      </c>
      <c r="E816" t="inlineStr">
        <is>
          <t>RAGUNDA</t>
        </is>
      </c>
      <c r="G816" t="n">
        <v>0.9</v>
      </c>
      <c r="H816" t="n">
        <v>0</v>
      </c>
      <c r="I816" t="n">
        <v>0</v>
      </c>
      <c r="J816" t="n">
        <v>0</v>
      </c>
      <c r="K816" t="n">
        <v>0</v>
      </c>
      <c r="L816" t="n">
        <v>0</v>
      </c>
      <c r="M816" t="n">
        <v>0</v>
      </c>
      <c r="N816" t="n">
        <v>0</v>
      </c>
      <c r="O816" t="n">
        <v>0</v>
      </c>
      <c r="P816" t="n">
        <v>0</v>
      </c>
      <c r="Q816" t="n">
        <v>0</v>
      </c>
      <c r="R816" s="2" t="inlineStr"/>
    </row>
    <row r="817" ht="15" customHeight="1">
      <c r="A817" t="inlineStr">
        <is>
          <t>A 63714-2025</t>
        </is>
      </c>
      <c r="B817" s="1" t="n">
        <v>46014</v>
      </c>
      <c r="C817" s="1" t="n">
        <v>46087</v>
      </c>
      <c r="D817" t="inlineStr">
        <is>
          <t>JÄMTLANDS LÄN</t>
        </is>
      </c>
      <c r="E817" t="inlineStr">
        <is>
          <t>RAGUNDA</t>
        </is>
      </c>
      <c r="F817" t="inlineStr">
        <is>
          <t>Sveaskog</t>
        </is>
      </c>
      <c r="G817" t="n">
        <v>8.5</v>
      </c>
      <c r="H817" t="n">
        <v>0</v>
      </c>
      <c r="I817" t="n">
        <v>0</v>
      </c>
      <c r="J817" t="n">
        <v>0</v>
      </c>
      <c r="K817" t="n">
        <v>0</v>
      </c>
      <c r="L817" t="n">
        <v>0</v>
      </c>
      <c r="M817" t="n">
        <v>0</v>
      </c>
      <c r="N817" t="n">
        <v>0</v>
      </c>
      <c r="O817" t="n">
        <v>0</v>
      </c>
      <c r="P817" t="n">
        <v>0</v>
      </c>
      <c r="Q817" t="n">
        <v>0</v>
      </c>
      <c r="R817" s="2" t="inlineStr"/>
    </row>
    <row r="818" ht="15" customHeight="1">
      <c r="A818" t="inlineStr">
        <is>
          <t>A 15672-2021</t>
        </is>
      </c>
      <c r="B818" s="1" t="n">
        <v>44286</v>
      </c>
      <c r="C818" s="1" t="n">
        <v>46087</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50650-2023</t>
        </is>
      </c>
      <c r="B819" s="1" t="n">
        <v>45210</v>
      </c>
      <c r="C819" s="1" t="n">
        <v>46087</v>
      </c>
      <c r="D819" t="inlineStr">
        <is>
          <t>JÄMTLANDS LÄN</t>
        </is>
      </c>
      <c r="E819" t="inlineStr">
        <is>
          <t>RAGUNDA</t>
        </is>
      </c>
      <c r="G819" t="n">
        <v>1.3</v>
      </c>
      <c r="H819" t="n">
        <v>0</v>
      </c>
      <c r="I819" t="n">
        <v>0</v>
      </c>
      <c r="J819" t="n">
        <v>0</v>
      </c>
      <c r="K819" t="n">
        <v>0</v>
      </c>
      <c r="L819" t="n">
        <v>0</v>
      </c>
      <c r="M819" t="n">
        <v>0</v>
      </c>
      <c r="N819" t="n">
        <v>0</v>
      </c>
      <c r="O819" t="n">
        <v>0</v>
      </c>
      <c r="P819" t="n">
        <v>0</v>
      </c>
      <c r="Q819" t="n">
        <v>0</v>
      </c>
      <c r="R819" s="2" t="inlineStr"/>
    </row>
    <row r="820" ht="15" customHeight="1">
      <c r="A820" t="inlineStr">
        <is>
          <t>A 564-2025</t>
        </is>
      </c>
      <c r="B820" s="1" t="n">
        <v>45664.55241898148</v>
      </c>
      <c r="C820" s="1" t="n">
        <v>46087</v>
      </c>
      <c r="D820" t="inlineStr">
        <is>
          <t>JÄMTLANDS LÄN</t>
        </is>
      </c>
      <c r="E820" t="inlineStr">
        <is>
          <t>RAGUNDA</t>
        </is>
      </c>
      <c r="F820" t="inlineStr">
        <is>
          <t>SCA</t>
        </is>
      </c>
      <c r="G820" t="n">
        <v>7</v>
      </c>
      <c r="H820" t="n">
        <v>0</v>
      </c>
      <c r="I820" t="n">
        <v>0</v>
      </c>
      <c r="J820" t="n">
        <v>0</v>
      </c>
      <c r="K820" t="n">
        <v>0</v>
      </c>
      <c r="L820" t="n">
        <v>0</v>
      </c>
      <c r="M820" t="n">
        <v>0</v>
      </c>
      <c r="N820" t="n">
        <v>0</v>
      </c>
      <c r="O820" t="n">
        <v>0</v>
      </c>
      <c r="P820" t="n">
        <v>0</v>
      </c>
      <c r="Q820" t="n">
        <v>0</v>
      </c>
      <c r="R820" s="2" t="inlineStr"/>
    </row>
    <row r="821" ht="15" customHeight="1">
      <c r="A821" t="inlineStr">
        <is>
          <t>A 7777-2026</t>
        </is>
      </c>
      <c r="B821" s="1" t="n">
        <v>46062.57324074074</v>
      </c>
      <c r="C821" s="1" t="n">
        <v>46087</v>
      </c>
      <c r="D821" t="inlineStr">
        <is>
          <t>JÄMTLANDS LÄN</t>
        </is>
      </c>
      <c r="E821" t="inlineStr">
        <is>
          <t>RAGUNDA</t>
        </is>
      </c>
      <c r="G821" t="n">
        <v>6.4</v>
      </c>
      <c r="H821" t="n">
        <v>0</v>
      </c>
      <c r="I821" t="n">
        <v>0</v>
      </c>
      <c r="J821" t="n">
        <v>0</v>
      </c>
      <c r="K821" t="n">
        <v>0</v>
      </c>
      <c r="L821" t="n">
        <v>0</v>
      </c>
      <c r="M821" t="n">
        <v>0</v>
      </c>
      <c r="N821" t="n">
        <v>0</v>
      </c>
      <c r="O821" t="n">
        <v>0</v>
      </c>
      <c r="P821" t="n">
        <v>0</v>
      </c>
      <c r="Q821" t="n">
        <v>0</v>
      </c>
      <c r="R821" s="2" t="inlineStr"/>
    </row>
    <row r="822" ht="15" customHeight="1">
      <c r="A822" t="inlineStr">
        <is>
          <t>A 63828-2025</t>
        </is>
      </c>
      <c r="B822" s="1" t="n">
        <v>46020.37814814815</v>
      </c>
      <c r="C822" s="1" t="n">
        <v>46087</v>
      </c>
      <c r="D822" t="inlineStr">
        <is>
          <t>JÄMTLANDS LÄN</t>
        </is>
      </c>
      <c r="E822" t="inlineStr">
        <is>
          <t>RAGUNDA</t>
        </is>
      </c>
      <c r="G822" t="n">
        <v>4.7</v>
      </c>
      <c r="H822" t="n">
        <v>0</v>
      </c>
      <c r="I822" t="n">
        <v>0</v>
      </c>
      <c r="J822" t="n">
        <v>0</v>
      </c>
      <c r="K822" t="n">
        <v>0</v>
      </c>
      <c r="L822" t="n">
        <v>0</v>
      </c>
      <c r="M822" t="n">
        <v>0</v>
      </c>
      <c r="N822" t="n">
        <v>0</v>
      </c>
      <c r="O822" t="n">
        <v>0</v>
      </c>
      <c r="P822" t="n">
        <v>0</v>
      </c>
      <c r="Q822" t="n">
        <v>0</v>
      </c>
      <c r="R822" s="2" t="inlineStr"/>
    </row>
    <row r="823" ht="15" customHeight="1">
      <c r="A823" t="inlineStr">
        <is>
          <t>A 3767-2025</t>
        </is>
      </c>
      <c r="B823" s="1" t="n">
        <v>45681.60203703704</v>
      </c>
      <c r="C823" s="1" t="n">
        <v>46087</v>
      </c>
      <c r="D823" t="inlineStr">
        <is>
          <t>JÄMTLANDS LÄN</t>
        </is>
      </c>
      <c r="E823" t="inlineStr">
        <is>
          <t>RAGUNDA</t>
        </is>
      </c>
      <c r="G823" t="n">
        <v>4.9</v>
      </c>
      <c r="H823" t="n">
        <v>0</v>
      </c>
      <c r="I823" t="n">
        <v>0</v>
      </c>
      <c r="J823" t="n">
        <v>0</v>
      </c>
      <c r="K823" t="n">
        <v>0</v>
      </c>
      <c r="L823" t="n">
        <v>0</v>
      </c>
      <c r="M823" t="n">
        <v>0</v>
      </c>
      <c r="N823" t="n">
        <v>0</v>
      </c>
      <c r="O823" t="n">
        <v>0</v>
      </c>
      <c r="P823" t="n">
        <v>0</v>
      </c>
      <c r="Q823" t="n">
        <v>0</v>
      </c>
      <c r="R823" s="2" t="inlineStr"/>
    </row>
    <row r="824" ht="15" customHeight="1">
      <c r="A824" t="inlineStr">
        <is>
          <t>A 3186-2025</t>
        </is>
      </c>
      <c r="B824" s="1" t="n">
        <v>45679.40362268518</v>
      </c>
      <c r="C824" s="1" t="n">
        <v>46087</v>
      </c>
      <c r="D824" t="inlineStr">
        <is>
          <t>JÄMTLANDS LÄN</t>
        </is>
      </c>
      <c r="E824" t="inlineStr">
        <is>
          <t>RAGUNDA</t>
        </is>
      </c>
      <c r="G824" t="n">
        <v>5.2</v>
      </c>
      <c r="H824" t="n">
        <v>0</v>
      </c>
      <c r="I824" t="n">
        <v>0</v>
      </c>
      <c r="J824" t="n">
        <v>0</v>
      </c>
      <c r="K824" t="n">
        <v>0</v>
      </c>
      <c r="L824" t="n">
        <v>0</v>
      </c>
      <c r="M824" t="n">
        <v>0</v>
      </c>
      <c r="N824" t="n">
        <v>0</v>
      </c>
      <c r="O824" t="n">
        <v>0</v>
      </c>
      <c r="P824" t="n">
        <v>0</v>
      </c>
      <c r="Q824" t="n">
        <v>0</v>
      </c>
      <c r="R824" s="2" t="inlineStr"/>
    </row>
    <row r="825" ht="15" customHeight="1">
      <c r="A825" t="inlineStr">
        <is>
          <t>A 33650-2025</t>
        </is>
      </c>
      <c r="B825" s="1" t="n">
        <v>45841</v>
      </c>
      <c r="C825" s="1" t="n">
        <v>46087</v>
      </c>
      <c r="D825" t="inlineStr">
        <is>
          <t>JÄMTLANDS LÄN</t>
        </is>
      </c>
      <c r="E825" t="inlineStr">
        <is>
          <t>RAGUNDA</t>
        </is>
      </c>
      <c r="G825" t="n">
        <v>1.4</v>
      </c>
      <c r="H825" t="n">
        <v>0</v>
      </c>
      <c r="I825" t="n">
        <v>0</v>
      </c>
      <c r="J825" t="n">
        <v>0</v>
      </c>
      <c r="K825" t="n">
        <v>0</v>
      </c>
      <c r="L825" t="n">
        <v>0</v>
      </c>
      <c r="M825" t="n">
        <v>0</v>
      </c>
      <c r="N825" t="n">
        <v>0</v>
      </c>
      <c r="O825" t="n">
        <v>0</v>
      </c>
      <c r="P825" t="n">
        <v>0</v>
      </c>
      <c r="Q825" t="n">
        <v>0</v>
      </c>
      <c r="R825" s="2" t="inlineStr"/>
    </row>
    <row r="826" ht="15" customHeight="1">
      <c r="A826" t="inlineStr">
        <is>
          <t>A 1308-2025</t>
        </is>
      </c>
      <c r="B826" s="1" t="n">
        <v>45667.55239583334</v>
      </c>
      <c r="C826" s="1" t="n">
        <v>46087</v>
      </c>
      <c r="D826" t="inlineStr">
        <is>
          <t>JÄMTLANDS LÄN</t>
        </is>
      </c>
      <c r="E826" t="inlineStr">
        <is>
          <t>RAGUNDA</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41262-2021</t>
        </is>
      </c>
      <c r="B827" s="1" t="n">
        <v>44424</v>
      </c>
      <c r="C827" s="1" t="n">
        <v>46087</v>
      </c>
      <c r="D827" t="inlineStr">
        <is>
          <t>JÄMTLANDS LÄN</t>
        </is>
      </c>
      <c r="E827" t="inlineStr">
        <is>
          <t>RAGUNDA</t>
        </is>
      </c>
      <c r="G827" t="n">
        <v>2.6</v>
      </c>
      <c r="H827" t="n">
        <v>0</v>
      </c>
      <c r="I827" t="n">
        <v>0</v>
      </c>
      <c r="J827" t="n">
        <v>0</v>
      </c>
      <c r="K827" t="n">
        <v>0</v>
      </c>
      <c r="L827" t="n">
        <v>0</v>
      </c>
      <c r="M827" t="n">
        <v>0</v>
      </c>
      <c r="N827" t="n">
        <v>0</v>
      </c>
      <c r="O827" t="n">
        <v>0</v>
      </c>
      <c r="P827" t="n">
        <v>0</v>
      </c>
      <c r="Q827" t="n">
        <v>0</v>
      </c>
      <c r="R827" s="2" t="inlineStr"/>
    </row>
    <row r="828" ht="15" customHeight="1">
      <c r="A828" t="inlineStr">
        <is>
          <t>A 36371-2023</t>
        </is>
      </c>
      <c r="B828" s="1" t="n">
        <v>45149</v>
      </c>
      <c r="C828" s="1" t="n">
        <v>46087</v>
      </c>
      <c r="D828" t="inlineStr">
        <is>
          <t>JÄMTLANDS LÄN</t>
        </is>
      </c>
      <c r="E828" t="inlineStr">
        <is>
          <t>RAGUNDA</t>
        </is>
      </c>
      <c r="G828" t="n">
        <v>25.7</v>
      </c>
      <c r="H828" t="n">
        <v>0</v>
      </c>
      <c r="I828" t="n">
        <v>0</v>
      </c>
      <c r="J828" t="n">
        <v>0</v>
      </c>
      <c r="K828" t="n">
        <v>0</v>
      </c>
      <c r="L828" t="n">
        <v>0</v>
      </c>
      <c r="M828" t="n">
        <v>0</v>
      </c>
      <c r="N828" t="n">
        <v>0</v>
      </c>
      <c r="O828" t="n">
        <v>0</v>
      </c>
      <c r="P828" t="n">
        <v>0</v>
      </c>
      <c r="Q828" t="n">
        <v>0</v>
      </c>
      <c r="R828" s="2" t="inlineStr"/>
    </row>
    <row r="829" ht="15" customHeight="1">
      <c r="A829" t="inlineStr">
        <is>
          <t>A 557-2026</t>
        </is>
      </c>
      <c r="B829" s="1" t="n">
        <v>46021</v>
      </c>
      <c r="C829" s="1" t="n">
        <v>46087</v>
      </c>
      <c r="D829" t="inlineStr">
        <is>
          <t>JÄMTLANDS LÄN</t>
        </is>
      </c>
      <c r="E829" t="inlineStr">
        <is>
          <t>RAGUNDA</t>
        </is>
      </c>
      <c r="G829" t="n">
        <v>1.5</v>
      </c>
      <c r="H829" t="n">
        <v>0</v>
      </c>
      <c r="I829" t="n">
        <v>0</v>
      </c>
      <c r="J829" t="n">
        <v>0</v>
      </c>
      <c r="K829" t="n">
        <v>0</v>
      </c>
      <c r="L829" t="n">
        <v>0</v>
      </c>
      <c r="M829" t="n">
        <v>0</v>
      </c>
      <c r="N829" t="n">
        <v>0</v>
      </c>
      <c r="O829" t="n">
        <v>0</v>
      </c>
      <c r="P829" t="n">
        <v>0</v>
      </c>
      <c r="Q829" t="n">
        <v>0</v>
      </c>
      <c r="R829" s="2" t="inlineStr"/>
    </row>
    <row r="830" ht="15" customHeight="1">
      <c r="A830" t="inlineStr">
        <is>
          <t>A 51579-2024</t>
        </is>
      </c>
      <c r="B830" s="1" t="n">
        <v>45604.63575231482</v>
      </c>
      <c r="C830" s="1" t="n">
        <v>46087</v>
      </c>
      <c r="D830" t="inlineStr">
        <is>
          <t>JÄMTLANDS LÄN</t>
        </is>
      </c>
      <c r="E830" t="inlineStr">
        <is>
          <t>RAGUNDA</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8067-2026</t>
        </is>
      </c>
      <c r="B831" s="1" t="n">
        <v>46063.6358912037</v>
      </c>
      <c r="C831" s="1" t="n">
        <v>46087</v>
      </c>
      <c r="D831" t="inlineStr">
        <is>
          <t>JÄMTLANDS LÄN</t>
        </is>
      </c>
      <c r="E831" t="inlineStr">
        <is>
          <t>RAGUNDA</t>
        </is>
      </c>
      <c r="F831" t="inlineStr">
        <is>
          <t>SCA</t>
        </is>
      </c>
      <c r="G831" t="n">
        <v>5</v>
      </c>
      <c r="H831" t="n">
        <v>0</v>
      </c>
      <c r="I831" t="n">
        <v>0</v>
      </c>
      <c r="J831" t="n">
        <v>0</v>
      </c>
      <c r="K831" t="n">
        <v>0</v>
      </c>
      <c r="L831" t="n">
        <v>0</v>
      </c>
      <c r="M831" t="n">
        <v>0</v>
      </c>
      <c r="N831" t="n">
        <v>0</v>
      </c>
      <c r="O831" t="n">
        <v>0</v>
      </c>
      <c r="P831" t="n">
        <v>0</v>
      </c>
      <c r="Q831" t="n">
        <v>0</v>
      </c>
      <c r="R831" s="2" t="inlineStr"/>
    </row>
    <row r="832" ht="15" customHeight="1">
      <c r="A832" t="inlineStr">
        <is>
          <t>A 44630-2023</t>
        </is>
      </c>
      <c r="B832" s="1" t="n">
        <v>45184</v>
      </c>
      <c r="C832" s="1" t="n">
        <v>46087</v>
      </c>
      <c r="D832" t="inlineStr">
        <is>
          <t>JÄMTLANDS LÄN</t>
        </is>
      </c>
      <c r="E832" t="inlineStr">
        <is>
          <t>RAGUNDA</t>
        </is>
      </c>
      <c r="G832" t="n">
        <v>3.4</v>
      </c>
      <c r="H832" t="n">
        <v>0</v>
      </c>
      <c r="I832" t="n">
        <v>0</v>
      </c>
      <c r="J832" t="n">
        <v>0</v>
      </c>
      <c r="K832" t="n">
        <v>0</v>
      </c>
      <c r="L832" t="n">
        <v>0</v>
      </c>
      <c r="M832" t="n">
        <v>0</v>
      </c>
      <c r="N832" t="n">
        <v>0</v>
      </c>
      <c r="O832" t="n">
        <v>0</v>
      </c>
      <c r="P832" t="n">
        <v>0</v>
      </c>
      <c r="Q832" t="n">
        <v>0</v>
      </c>
      <c r="R832" s="2" t="inlineStr"/>
    </row>
    <row r="833" ht="15" customHeight="1">
      <c r="A833" t="inlineStr">
        <is>
          <t>A 8312-2026</t>
        </is>
      </c>
      <c r="B833" s="1" t="n">
        <v>46064</v>
      </c>
      <c r="C833" s="1" t="n">
        <v>46087</v>
      </c>
      <c r="D833" t="inlineStr">
        <is>
          <t>JÄMTLANDS LÄN</t>
        </is>
      </c>
      <c r="E833" t="inlineStr">
        <is>
          <t>RAGUNDA</t>
        </is>
      </c>
      <c r="G833" t="n">
        <v>4.8</v>
      </c>
      <c r="H833" t="n">
        <v>0</v>
      </c>
      <c r="I833" t="n">
        <v>0</v>
      </c>
      <c r="J833" t="n">
        <v>0</v>
      </c>
      <c r="K833" t="n">
        <v>0</v>
      </c>
      <c r="L833" t="n">
        <v>0</v>
      </c>
      <c r="M833" t="n">
        <v>0</v>
      </c>
      <c r="N833" t="n">
        <v>0</v>
      </c>
      <c r="O833" t="n">
        <v>0</v>
      </c>
      <c r="P833" t="n">
        <v>0</v>
      </c>
      <c r="Q833" t="n">
        <v>0</v>
      </c>
      <c r="R833" s="2" t="inlineStr"/>
    </row>
    <row r="834" ht="15" customHeight="1">
      <c r="A834" t="inlineStr">
        <is>
          <t>A 12522-2023</t>
        </is>
      </c>
      <c r="B834" s="1" t="n">
        <v>45000</v>
      </c>
      <c r="C834" s="1" t="n">
        <v>46087</v>
      </c>
      <c r="D834" t="inlineStr">
        <is>
          <t>JÄMTLANDS LÄN</t>
        </is>
      </c>
      <c r="E834" t="inlineStr">
        <is>
          <t>RAGUNDA</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12523-2023</t>
        </is>
      </c>
      <c r="B835" s="1" t="n">
        <v>45000</v>
      </c>
      <c r="C835" s="1" t="n">
        <v>46087</v>
      </c>
      <c r="D835" t="inlineStr">
        <is>
          <t>JÄMTLANDS LÄN</t>
        </is>
      </c>
      <c r="E835" t="inlineStr">
        <is>
          <t>RAGUNDA</t>
        </is>
      </c>
      <c r="F835" t="inlineStr">
        <is>
          <t>SCA</t>
        </is>
      </c>
      <c r="G835" t="n">
        <v>14.3</v>
      </c>
      <c r="H835" t="n">
        <v>0</v>
      </c>
      <c r="I835" t="n">
        <v>0</v>
      </c>
      <c r="J835" t="n">
        <v>0</v>
      </c>
      <c r="K835" t="n">
        <v>0</v>
      </c>
      <c r="L835" t="n">
        <v>0</v>
      </c>
      <c r="M835" t="n">
        <v>0</v>
      </c>
      <c r="N835" t="n">
        <v>0</v>
      </c>
      <c r="O835" t="n">
        <v>0</v>
      </c>
      <c r="P835" t="n">
        <v>0</v>
      </c>
      <c r="Q835" t="n">
        <v>0</v>
      </c>
      <c r="R835" s="2" t="inlineStr"/>
    </row>
    <row r="836" ht="15" customHeight="1">
      <c r="A836" t="inlineStr">
        <is>
          <t>A 122-2026</t>
        </is>
      </c>
      <c r="B836" s="1" t="n">
        <v>46024.57335648148</v>
      </c>
      <c r="C836" s="1" t="n">
        <v>46087</v>
      </c>
      <c r="D836" t="inlineStr">
        <is>
          <t>JÄMTLANDS LÄN</t>
        </is>
      </c>
      <c r="E836" t="inlineStr">
        <is>
          <t>RAGUNDA</t>
        </is>
      </c>
      <c r="F836" t="inlineStr">
        <is>
          <t>SCA</t>
        </is>
      </c>
      <c r="G836" t="n">
        <v>15.3</v>
      </c>
      <c r="H836" t="n">
        <v>0</v>
      </c>
      <c r="I836" t="n">
        <v>0</v>
      </c>
      <c r="J836" t="n">
        <v>0</v>
      </c>
      <c r="K836" t="n">
        <v>0</v>
      </c>
      <c r="L836" t="n">
        <v>0</v>
      </c>
      <c r="M836" t="n">
        <v>0</v>
      </c>
      <c r="N836" t="n">
        <v>0</v>
      </c>
      <c r="O836" t="n">
        <v>0</v>
      </c>
      <c r="P836" t="n">
        <v>0</v>
      </c>
      <c r="Q836" t="n">
        <v>0</v>
      </c>
      <c r="R836" s="2" t="inlineStr"/>
    </row>
    <row r="837" ht="15" customHeight="1">
      <c r="A837" t="inlineStr">
        <is>
          <t>A 36246-2024</t>
        </is>
      </c>
      <c r="B837" s="1" t="n">
        <v>45534</v>
      </c>
      <c r="C837" s="1" t="n">
        <v>46087</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32063-2024</t>
        </is>
      </c>
      <c r="B838" s="1" t="n">
        <v>45510</v>
      </c>
      <c r="C838" s="1" t="n">
        <v>46087</v>
      </c>
      <c r="D838" t="inlineStr">
        <is>
          <t>JÄMTLANDS LÄN</t>
        </is>
      </c>
      <c r="E838" t="inlineStr">
        <is>
          <t>RAGUNDA</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5307-2025</t>
        </is>
      </c>
      <c r="B839" s="1" t="n">
        <v>45692.48993055556</v>
      </c>
      <c r="C839" s="1" t="n">
        <v>46087</v>
      </c>
      <c r="D839" t="inlineStr">
        <is>
          <t>JÄMTLANDS LÄN</t>
        </is>
      </c>
      <c r="E839" t="inlineStr">
        <is>
          <t>RAGUNDA</t>
        </is>
      </c>
      <c r="F839" t="inlineStr">
        <is>
          <t>SCA</t>
        </is>
      </c>
      <c r="G839" t="n">
        <v>20.9</v>
      </c>
      <c r="H839" t="n">
        <v>0</v>
      </c>
      <c r="I839" t="n">
        <v>0</v>
      </c>
      <c r="J839" t="n">
        <v>0</v>
      </c>
      <c r="K839" t="n">
        <v>0</v>
      </c>
      <c r="L839" t="n">
        <v>0</v>
      </c>
      <c r="M839" t="n">
        <v>0</v>
      </c>
      <c r="N839" t="n">
        <v>0</v>
      </c>
      <c r="O839" t="n">
        <v>0</v>
      </c>
      <c r="P839" t="n">
        <v>0</v>
      </c>
      <c r="Q839" t="n">
        <v>0</v>
      </c>
      <c r="R839" s="2" t="inlineStr"/>
    </row>
    <row r="840" ht="15" customHeight="1">
      <c r="A840" t="inlineStr">
        <is>
          <t>A 48066-2022</t>
        </is>
      </c>
      <c r="B840" s="1" t="n">
        <v>44855</v>
      </c>
      <c r="C840" s="1" t="n">
        <v>46087</v>
      </c>
      <c r="D840" t="inlineStr">
        <is>
          <t>JÄMTLANDS LÄN</t>
        </is>
      </c>
      <c r="E840" t="inlineStr">
        <is>
          <t>RAGUNDA</t>
        </is>
      </c>
      <c r="F840" t="inlineStr">
        <is>
          <t>SCA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26942-2021</t>
        </is>
      </c>
      <c r="B841" s="1" t="n">
        <v>44349.91978009259</v>
      </c>
      <c r="C841" s="1" t="n">
        <v>46087</v>
      </c>
      <c r="D841" t="inlineStr">
        <is>
          <t>JÄMTLANDS LÄN</t>
        </is>
      </c>
      <c r="E841" t="inlineStr">
        <is>
          <t>RAGUNDA</t>
        </is>
      </c>
      <c r="G841" t="n">
        <v>6.2</v>
      </c>
      <c r="H841" t="n">
        <v>0</v>
      </c>
      <c r="I841" t="n">
        <v>0</v>
      </c>
      <c r="J841" t="n">
        <v>0</v>
      </c>
      <c r="K841" t="n">
        <v>0</v>
      </c>
      <c r="L841" t="n">
        <v>0</v>
      </c>
      <c r="M841" t="n">
        <v>0</v>
      </c>
      <c r="N841" t="n">
        <v>0</v>
      </c>
      <c r="O841" t="n">
        <v>0</v>
      </c>
      <c r="P841" t="n">
        <v>0</v>
      </c>
      <c r="Q841" t="n">
        <v>0</v>
      </c>
      <c r="R841" s="2" t="inlineStr"/>
    </row>
    <row r="842" ht="15" customHeight="1">
      <c r="A842" t="inlineStr">
        <is>
          <t>A 28637-2025</t>
        </is>
      </c>
      <c r="B842" s="1" t="n">
        <v>45819.6359375</v>
      </c>
      <c r="C842" s="1" t="n">
        <v>46087</v>
      </c>
      <c r="D842" t="inlineStr">
        <is>
          <t>JÄMTLANDS LÄN</t>
        </is>
      </c>
      <c r="E842" t="inlineStr">
        <is>
          <t>RAGUNDA</t>
        </is>
      </c>
      <c r="F842" t="inlineStr">
        <is>
          <t>SCA</t>
        </is>
      </c>
      <c r="G842" t="n">
        <v>6.6</v>
      </c>
      <c r="H842" t="n">
        <v>0</v>
      </c>
      <c r="I842" t="n">
        <v>0</v>
      </c>
      <c r="J842" t="n">
        <v>0</v>
      </c>
      <c r="K842" t="n">
        <v>0</v>
      </c>
      <c r="L842" t="n">
        <v>0</v>
      </c>
      <c r="M842" t="n">
        <v>0</v>
      </c>
      <c r="N842" t="n">
        <v>0</v>
      </c>
      <c r="O842" t="n">
        <v>0</v>
      </c>
      <c r="P842" t="n">
        <v>0</v>
      </c>
      <c r="Q842" t="n">
        <v>0</v>
      </c>
      <c r="R842" s="2" t="inlineStr"/>
    </row>
    <row r="843" ht="15" customHeight="1">
      <c r="A843" t="inlineStr">
        <is>
          <t>A 9097-2026</t>
        </is>
      </c>
      <c r="B843" s="1" t="n">
        <v>46069.63592592593</v>
      </c>
      <c r="C843" s="1" t="n">
        <v>46087</v>
      </c>
      <c r="D843" t="inlineStr">
        <is>
          <t>JÄMTLANDS LÄN</t>
        </is>
      </c>
      <c r="E843" t="inlineStr">
        <is>
          <t>RAGUNDA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56504-2024</t>
        </is>
      </c>
      <c r="B844" s="1" t="n">
        <v>45625.51068287037</v>
      </c>
      <c r="C844" s="1" t="n">
        <v>46087</v>
      </c>
      <c r="D844" t="inlineStr">
        <is>
          <t>JÄMTLANDS LÄN</t>
        </is>
      </c>
      <c r="E844" t="inlineStr">
        <is>
          <t>RAGUNDA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222-2026</t>
        </is>
      </c>
      <c r="B845" s="1" t="n">
        <v>46026.84054398148</v>
      </c>
      <c r="C845" s="1" t="n">
        <v>46087</v>
      </c>
      <c r="D845" t="inlineStr">
        <is>
          <t>JÄMTLANDS LÄN</t>
        </is>
      </c>
      <c r="E845" t="inlineStr">
        <is>
          <t>RAGUNDA</t>
        </is>
      </c>
      <c r="G845" t="n">
        <v>10.6</v>
      </c>
      <c r="H845" t="n">
        <v>0</v>
      </c>
      <c r="I845" t="n">
        <v>0</v>
      </c>
      <c r="J845" t="n">
        <v>0</v>
      </c>
      <c r="K845" t="n">
        <v>0</v>
      </c>
      <c r="L845" t="n">
        <v>0</v>
      </c>
      <c r="M845" t="n">
        <v>0</v>
      </c>
      <c r="N845" t="n">
        <v>0</v>
      </c>
      <c r="O845" t="n">
        <v>0</v>
      </c>
      <c r="P845" t="n">
        <v>0</v>
      </c>
      <c r="Q845" t="n">
        <v>0</v>
      </c>
      <c r="R845" s="2" t="inlineStr"/>
    </row>
    <row r="846" ht="15" customHeight="1">
      <c r="A846" t="inlineStr">
        <is>
          <t>A 9316-2026</t>
        </is>
      </c>
      <c r="B846" s="1" t="n">
        <v>46070.62200231481</v>
      </c>
      <c r="C846" s="1" t="n">
        <v>46087</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265-2026</t>
        </is>
      </c>
      <c r="B847" s="1" t="n">
        <v>46027.44956018519</v>
      </c>
      <c r="C847" s="1" t="n">
        <v>46087</v>
      </c>
      <c r="D847" t="inlineStr">
        <is>
          <t>JÄMTLANDS LÄN</t>
        </is>
      </c>
      <c r="E847" t="inlineStr">
        <is>
          <t>RAGUNDA</t>
        </is>
      </c>
      <c r="G847" t="n">
        <v>3.8</v>
      </c>
      <c r="H847" t="n">
        <v>0</v>
      </c>
      <c r="I847" t="n">
        <v>0</v>
      </c>
      <c r="J847" t="n">
        <v>0</v>
      </c>
      <c r="K847" t="n">
        <v>0</v>
      </c>
      <c r="L847" t="n">
        <v>0</v>
      </c>
      <c r="M847" t="n">
        <v>0</v>
      </c>
      <c r="N847" t="n">
        <v>0</v>
      </c>
      <c r="O847" t="n">
        <v>0</v>
      </c>
      <c r="P847" t="n">
        <v>0</v>
      </c>
      <c r="Q847" t="n">
        <v>0</v>
      </c>
      <c r="R847" s="2" t="inlineStr"/>
    </row>
    <row r="848" ht="15" customHeight="1">
      <c r="A848" t="inlineStr">
        <is>
          <t>A 5938-2025</t>
        </is>
      </c>
      <c r="B848" s="1" t="n">
        <v>45695.45868055556</v>
      </c>
      <c r="C848" s="1" t="n">
        <v>46087</v>
      </c>
      <c r="D848" t="inlineStr">
        <is>
          <t>JÄMTLANDS LÄN</t>
        </is>
      </c>
      <c r="E848" t="inlineStr">
        <is>
          <t>RAGUNDA</t>
        </is>
      </c>
      <c r="G848" t="n">
        <v>1</v>
      </c>
      <c r="H848" t="n">
        <v>0</v>
      </c>
      <c r="I848" t="n">
        <v>0</v>
      </c>
      <c r="J848" t="n">
        <v>0</v>
      </c>
      <c r="K848" t="n">
        <v>0</v>
      </c>
      <c r="L848" t="n">
        <v>0</v>
      </c>
      <c r="M848" t="n">
        <v>0</v>
      </c>
      <c r="N848" t="n">
        <v>0</v>
      </c>
      <c r="O848" t="n">
        <v>0</v>
      </c>
      <c r="P848" t="n">
        <v>0</v>
      </c>
      <c r="Q848" t="n">
        <v>0</v>
      </c>
      <c r="R848" s="2" t="inlineStr"/>
    </row>
    <row r="849" ht="15" customHeight="1">
      <c r="A849" t="inlineStr">
        <is>
          <t>A 9042-2026</t>
        </is>
      </c>
      <c r="B849" s="1" t="n">
        <v>46069.54721064815</v>
      </c>
      <c r="C849" s="1" t="n">
        <v>46087</v>
      </c>
      <c r="D849" t="inlineStr">
        <is>
          <t>JÄMTLANDS LÄN</t>
        </is>
      </c>
      <c r="E849" t="inlineStr">
        <is>
          <t>RAGUNDA</t>
        </is>
      </c>
      <c r="G849" t="n">
        <v>1.7</v>
      </c>
      <c r="H849" t="n">
        <v>0</v>
      </c>
      <c r="I849" t="n">
        <v>0</v>
      </c>
      <c r="J849" t="n">
        <v>0</v>
      </c>
      <c r="K849" t="n">
        <v>0</v>
      </c>
      <c r="L849" t="n">
        <v>0</v>
      </c>
      <c r="M849" t="n">
        <v>0</v>
      </c>
      <c r="N849" t="n">
        <v>0</v>
      </c>
      <c r="O849" t="n">
        <v>0</v>
      </c>
      <c r="P849" t="n">
        <v>0</v>
      </c>
      <c r="Q849" t="n">
        <v>0</v>
      </c>
      <c r="R849" s="2" t="inlineStr"/>
    </row>
    <row r="850" ht="15" customHeight="1">
      <c r="A850" t="inlineStr">
        <is>
          <t>A 28173-2024</t>
        </is>
      </c>
      <c r="B850" s="1" t="n">
        <v>45476.94533564815</v>
      </c>
      <c r="C850" s="1" t="n">
        <v>46087</v>
      </c>
      <c r="D850" t="inlineStr">
        <is>
          <t>JÄMTLANDS LÄN</t>
        </is>
      </c>
      <c r="E850" t="inlineStr">
        <is>
          <t>RAGUNDA</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35537-2021</t>
        </is>
      </c>
      <c r="B851" s="1" t="n">
        <v>44384</v>
      </c>
      <c r="C851" s="1" t="n">
        <v>46087</v>
      </c>
      <c r="D851" t="inlineStr">
        <is>
          <t>JÄMTLANDS LÄN</t>
        </is>
      </c>
      <c r="E851" t="inlineStr">
        <is>
          <t>RAGUNDA</t>
        </is>
      </c>
      <c r="G851" t="n">
        <v>3.1</v>
      </c>
      <c r="H851" t="n">
        <v>0</v>
      </c>
      <c r="I851" t="n">
        <v>0</v>
      </c>
      <c r="J851" t="n">
        <v>0</v>
      </c>
      <c r="K851" t="n">
        <v>0</v>
      </c>
      <c r="L851" t="n">
        <v>0</v>
      </c>
      <c r="M851" t="n">
        <v>0</v>
      </c>
      <c r="N851" t="n">
        <v>0</v>
      </c>
      <c r="O851" t="n">
        <v>0</v>
      </c>
      <c r="P851" t="n">
        <v>0</v>
      </c>
      <c r="Q851" t="n">
        <v>0</v>
      </c>
      <c r="R851" s="2" t="inlineStr"/>
    </row>
    <row r="852" ht="15" customHeight="1">
      <c r="A852" t="inlineStr">
        <is>
          <t>A 28973-2025</t>
        </is>
      </c>
      <c r="B852" s="1" t="n">
        <v>45821.34513888889</v>
      </c>
      <c r="C852" s="1" t="n">
        <v>46087</v>
      </c>
      <c r="D852" t="inlineStr">
        <is>
          <t>JÄMTLANDS LÄN</t>
        </is>
      </c>
      <c r="E852" t="inlineStr">
        <is>
          <t>RAGUNDA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9566-2026</t>
        </is>
      </c>
      <c r="B853" s="1" t="n">
        <v>46071.65679398148</v>
      </c>
      <c r="C853" s="1" t="n">
        <v>46087</v>
      </c>
      <c r="D853" t="inlineStr">
        <is>
          <t>JÄMTLANDS LÄN</t>
        </is>
      </c>
      <c r="E853" t="inlineStr">
        <is>
          <t>RAGUNDA</t>
        </is>
      </c>
      <c r="F853" t="inlineStr">
        <is>
          <t>SCA</t>
        </is>
      </c>
      <c r="G853" t="n">
        <v>18.9</v>
      </c>
      <c r="H853" t="n">
        <v>0</v>
      </c>
      <c r="I853" t="n">
        <v>0</v>
      </c>
      <c r="J853" t="n">
        <v>0</v>
      </c>
      <c r="K853" t="n">
        <v>0</v>
      </c>
      <c r="L853" t="n">
        <v>0</v>
      </c>
      <c r="M853" t="n">
        <v>0</v>
      </c>
      <c r="N853" t="n">
        <v>0</v>
      </c>
      <c r="O853" t="n">
        <v>0</v>
      </c>
      <c r="P853" t="n">
        <v>0</v>
      </c>
      <c r="Q853" t="n">
        <v>0</v>
      </c>
      <c r="R853" s="2" t="inlineStr"/>
    </row>
    <row r="854" ht="15" customHeight="1">
      <c r="A854" t="inlineStr">
        <is>
          <t>A 9538-2026</t>
        </is>
      </c>
      <c r="B854" s="1" t="n">
        <v>46071.61511574074</v>
      </c>
      <c r="C854" s="1" t="n">
        <v>46087</v>
      </c>
      <c r="D854" t="inlineStr">
        <is>
          <t>JÄMTLANDS LÄN</t>
        </is>
      </c>
      <c r="E854" t="inlineStr">
        <is>
          <t>RAGUNDA</t>
        </is>
      </c>
      <c r="G854" t="n">
        <v>1.7</v>
      </c>
      <c r="H854" t="n">
        <v>0</v>
      </c>
      <c r="I854" t="n">
        <v>0</v>
      </c>
      <c r="J854" t="n">
        <v>0</v>
      </c>
      <c r="K854" t="n">
        <v>0</v>
      </c>
      <c r="L854" t="n">
        <v>0</v>
      </c>
      <c r="M854" t="n">
        <v>0</v>
      </c>
      <c r="N854" t="n">
        <v>0</v>
      </c>
      <c r="O854" t="n">
        <v>0</v>
      </c>
      <c r="P854" t="n">
        <v>0</v>
      </c>
      <c r="Q854" t="n">
        <v>0</v>
      </c>
      <c r="R854" s="2" t="inlineStr"/>
    </row>
    <row r="855" ht="15" customHeight="1">
      <c r="A855" t="inlineStr">
        <is>
          <t>A 647-2026</t>
        </is>
      </c>
      <c r="B855" s="1" t="n">
        <v>46029.57357638889</v>
      </c>
      <c r="C855" s="1" t="n">
        <v>46087</v>
      </c>
      <c r="D855" t="inlineStr">
        <is>
          <t>JÄMTLANDS LÄN</t>
        </is>
      </c>
      <c r="E855" t="inlineStr">
        <is>
          <t>RAGUNDA</t>
        </is>
      </c>
      <c r="F855" t="inlineStr">
        <is>
          <t>SCA</t>
        </is>
      </c>
      <c r="G855" t="n">
        <v>6</v>
      </c>
      <c r="H855" t="n">
        <v>0</v>
      </c>
      <c r="I855" t="n">
        <v>0</v>
      </c>
      <c r="J855" t="n">
        <v>0</v>
      </c>
      <c r="K855" t="n">
        <v>0</v>
      </c>
      <c r="L855" t="n">
        <v>0</v>
      </c>
      <c r="M855" t="n">
        <v>0</v>
      </c>
      <c r="N855" t="n">
        <v>0</v>
      </c>
      <c r="O855" t="n">
        <v>0</v>
      </c>
      <c r="P855" t="n">
        <v>0</v>
      </c>
      <c r="Q855" t="n">
        <v>0</v>
      </c>
      <c r="R855" s="2" t="inlineStr"/>
    </row>
    <row r="856" ht="15" customHeight="1">
      <c r="A856" t="inlineStr">
        <is>
          <t>A 29723-2025</t>
        </is>
      </c>
      <c r="B856" s="1" t="n">
        <v>45825.57675925926</v>
      </c>
      <c r="C856" s="1" t="n">
        <v>46087</v>
      </c>
      <c r="D856" t="inlineStr">
        <is>
          <t>JÄMTLANDS LÄN</t>
        </is>
      </c>
      <c r="E856" t="inlineStr">
        <is>
          <t>RAGUNDA</t>
        </is>
      </c>
      <c r="G856" t="n">
        <v>3.1</v>
      </c>
      <c r="H856" t="n">
        <v>0</v>
      </c>
      <c r="I856" t="n">
        <v>0</v>
      </c>
      <c r="J856" t="n">
        <v>0</v>
      </c>
      <c r="K856" t="n">
        <v>0</v>
      </c>
      <c r="L856" t="n">
        <v>0</v>
      </c>
      <c r="M856" t="n">
        <v>0</v>
      </c>
      <c r="N856" t="n">
        <v>0</v>
      </c>
      <c r="O856" t="n">
        <v>0</v>
      </c>
      <c r="P856" t="n">
        <v>0</v>
      </c>
      <c r="Q856" t="n">
        <v>0</v>
      </c>
      <c r="R856" s="2" t="inlineStr"/>
    </row>
    <row r="857" ht="15" customHeight="1">
      <c r="A857" t="inlineStr">
        <is>
          <t>A 29731-2025</t>
        </is>
      </c>
      <c r="B857" s="1" t="n">
        <v>45825.58252314815</v>
      </c>
      <c r="C857" s="1" t="n">
        <v>46087</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9537-2026</t>
        </is>
      </c>
      <c r="B858" s="1" t="n">
        <v>46071.61503472222</v>
      </c>
      <c r="C858" s="1" t="n">
        <v>46087</v>
      </c>
      <c r="D858" t="inlineStr">
        <is>
          <t>JÄMTLANDS LÄN</t>
        </is>
      </c>
      <c r="E858" t="inlineStr">
        <is>
          <t>RAGUNDA</t>
        </is>
      </c>
      <c r="G858" t="n">
        <v>0.7</v>
      </c>
      <c r="H858" t="n">
        <v>0</v>
      </c>
      <c r="I858" t="n">
        <v>0</v>
      </c>
      <c r="J858" t="n">
        <v>0</v>
      </c>
      <c r="K858" t="n">
        <v>0</v>
      </c>
      <c r="L858" t="n">
        <v>0</v>
      </c>
      <c r="M858" t="n">
        <v>0</v>
      </c>
      <c r="N858" t="n">
        <v>0</v>
      </c>
      <c r="O858" t="n">
        <v>0</v>
      </c>
      <c r="P858" t="n">
        <v>0</v>
      </c>
      <c r="Q858" t="n">
        <v>0</v>
      </c>
      <c r="R858" s="2" t="inlineStr"/>
    </row>
    <row r="859" ht="15" customHeight="1">
      <c r="A859" t="inlineStr">
        <is>
          <t>A 18248-2023</t>
        </is>
      </c>
      <c r="B859" s="1" t="n">
        <v>45040</v>
      </c>
      <c r="C859" s="1" t="n">
        <v>46087</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45438-2022</t>
        </is>
      </c>
      <c r="B860" s="1" t="n">
        <v>44844.95368055555</v>
      </c>
      <c r="C860" s="1" t="n">
        <v>46087</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30459-2021</t>
        </is>
      </c>
      <c r="B861" s="1" t="n">
        <v>44362</v>
      </c>
      <c r="C861" s="1" t="n">
        <v>46087</v>
      </c>
      <c r="D861" t="inlineStr">
        <is>
          <t>JÄMTLANDS LÄN</t>
        </is>
      </c>
      <c r="E861" t="inlineStr">
        <is>
          <t>RAGUNDA</t>
        </is>
      </c>
      <c r="G861" t="n">
        <v>1</v>
      </c>
      <c r="H861" t="n">
        <v>0</v>
      </c>
      <c r="I861" t="n">
        <v>0</v>
      </c>
      <c r="J861" t="n">
        <v>0</v>
      </c>
      <c r="K861" t="n">
        <v>0</v>
      </c>
      <c r="L861" t="n">
        <v>0</v>
      </c>
      <c r="M861" t="n">
        <v>0</v>
      </c>
      <c r="N861" t="n">
        <v>0</v>
      </c>
      <c r="O861" t="n">
        <v>0</v>
      </c>
      <c r="P861" t="n">
        <v>0</v>
      </c>
      <c r="Q861" t="n">
        <v>0</v>
      </c>
      <c r="R861" s="2" t="inlineStr"/>
    </row>
    <row r="862" ht="15" customHeight="1">
      <c r="A862" t="inlineStr">
        <is>
          <t>A 9513-2026</t>
        </is>
      </c>
      <c r="B862" s="1" t="n">
        <v>46071.59444444445</v>
      </c>
      <c r="C862" s="1" t="n">
        <v>46087</v>
      </c>
      <c r="D862" t="inlineStr">
        <is>
          <t>JÄMTLANDS LÄN</t>
        </is>
      </c>
      <c r="E862" t="inlineStr">
        <is>
          <t>RAGUNDA</t>
        </is>
      </c>
      <c r="F862" t="inlineStr">
        <is>
          <t>SCA</t>
        </is>
      </c>
      <c r="G862" t="n">
        <v>26.1</v>
      </c>
      <c r="H862" t="n">
        <v>0</v>
      </c>
      <c r="I862" t="n">
        <v>0</v>
      </c>
      <c r="J862" t="n">
        <v>0</v>
      </c>
      <c r="K862" t="n">
        <v>0</v>
      </c>
      <c r="L862" t="n">
        <v>0</v>
      </c>
      <c r="M862" t="n">
        <v>0</v>
      </c>
      <c r="N862" t="n">
        <v>0</v>
      </c>
      <c r="O862" t="n">
        <v>0</v>
      </c>
      <c r="P862" t="n">
        <v>0</v>
      </c>
      <c r="Q862" t="n">
        <v>0</v>
      </c>
      <c r="R862" s="2" t="inlineStr"/>
    </row>
    <row r="863" ht="15" customHeight="1">
      <c r="A863" t="inlineStr">
        <is>
          <t>A 29263-2024</t>
        </is>
      </c>
      <c r="B863" s="1" t="n">
        <v>45482.94891203703</v>
      </c>
      <c r="C863" s="1" t="n">
        <v>46087</v>
      </c>
      <c r="D863" t="inlineStr">
        <is>
          <t>JÄMTLANDS LÄN</t>
        </is>
      </c>
      <c r="E863" t="inlineStr">
        <is>
          <t>RAGUNDA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29265-2024</t>
        </is>
      </c>
      <c r="B864" s="1" t="n">
        <v>45482.9491087963</v>
      </c>
      <c r="C864" s="1" t="n">
        <v>46087</v>
      </c>
      <c r="D864" t="inlineStr">
        <is>
          <t>JÄMTLANDS LÄN</t>
        </is>
      </c>
      <c r="E864" t="inlineStr">
        <is>
          <t>RAGUNDA</t>
        </is>
      </c>
      <c r="F864" t="inlineStr">
        <is>
          <t>SCA</t>
        </is>
      </c>
      <c r="G864" t="n">
        <v>11.6</v>
      </c>
      <c r="H864" t="n">
        <v>0</v>
      </c>
      <c r="I864" t="n">
        <v>0</v>
      </c>
      <c r="J864" t="n">
        <v>0</v>
      </c>
      <c r="K864" t="n">
        <v>0</v>
      </c>
      <c r="L864" t="n">
        <v>0</v>
      </c>
      <c r="M864" t="n">
        <v>0</v>
      </c>
      <c r="N864" t="n">
        <v>0</v>
      </c>
      <c r="O864" t="n">
        <v>0</v>
      </c>
      <c r="P864" t="n">
        <v>0</v>
      </c>
      <c r="Q864" t="n">
        <v>0</v>
      </c>
      <c r="R864" s="2" t="inlineStr"/>
    </row>
    <row r="865" ht="15" customHeight="1">
      <c r="A865" t="inlineStr">
        <is>
          <t>A 13898-2023</t>
        </is>
      </c>
      <c r="B865" s="1" t="n">
        <v>45008.01408564814</v>
      </c>
      <c r="C865" s="1" t="n">
        <v>46087</v>
      </c>
      <c r="D865" t="inlineStr">
        <is>
          <t>JÄMTLANDS LÄN</t>
        </is>
      </c>
      <c r="E865" t="inlineStr">
        <is>
          <t>RAGUNDA</t>
        </is>
      </c>
      <c r="F865" t="inlineStr">
        <is>
          <t>SCA</t>
        </is>
      </c>
      <c r="G865" t="n">
        <v>5</v>
      </c>
      <c r="H865" t="n">
        <v>0</v>
      </c>
      <c r="I865" t="n">
        <v>0</v>
      </c>
      <c r="J865" t="n">
        <v>0</v>
      </c>
      <c r="K865" t="n">
        <v>0</v>
      </c>
      <c r="L865" t="n">
        <v>0</v>
      </c>
      <c r="M865" t="n">
        <v>0</v>
      </c>
      <c r="N865" t="n">
        <v>0</v>
      </c>
      <c r="O865" t="n">
        <v>0</v>
      </c>
      <c r="P865" t="n">
        <v>0</v>
      </c>
      <c r="Q865" t="n">
        <v>0</v>
      </c>
      <c r="R865" s="2" t="inlineStr"/>
    </row>
    <row r="866" ht="15" customHeight="1">
      <c r="A866" t="inlineStr">
        <is>
          <t>A 41693-2023</t>
        </is>
      </c>
      <c r="B866" s="1" t="n">
        <v>45176</v>
      </c>
      <c r="C866" s="1" t="n">
        <v>46087</v>
      </c>
      <c r="D866" t="inlineStr">
        <is>
          <t>JÄMTLANDS LÄN</t>
        </is>
      </c>
      <c r="E866" t="inlineStr">
        <is>
          <t>RAGUNDA</t>
        </is>
      </c>
      <c r="G866" t="n">
        <v>5.5</v>
      </c>
      <c r="H866" t="n">
        <v>0</v>
      </c>
      <c r="I866" t="n">
        <v>0</v>
      </c>
      <c r="J866" t="n">
        <v>0</v>
      </c>
      <c r="K866" t="n">
        <v>0</v>
      </c>
      <c r="L866" t="n">
        <v>0</v>
      </c>
      <c r="M866" t="n">
        <v>0</v>
      </c>
      <c r="N866" t="n">
        <v>0</v>
      </c>
      <c r="O866" t="n">
        <v>0</v>
      </c>
      <c r="P866" t="n">
        <v>0</v>
      </c>
      <c r="Q866" t="n">
        <v>0</v>
      </c>
      <c r="R866" s="2" t="inlineStr"/>
    </row>
    <row r="867" ht="15" customHeight="1">
      <c r="A867" t="inlineStr">
        <is>
          <t>A 9736-2026</t>
        </is>
      </c>
      <c r="B867" s="1" t="n">
        <v>46072.49005787037</v>
      </c>
      <c r="C867" s="1" t="n">
        <v>46087</v>
      </c>
      <c r="D867" t="inlineStr">
        <is>
          <t>JÄMTLANDS LÄN</t>
        </is>
      </c>
      <c r="E867" t="inlineStr">
        <is>
          <t>RAGUNDA</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3770-2025</t>
        </is>
      </c>
      <c r="B868" s="1" t="n">
        <v>45681.6050925926</v>
      </c>
      <c r="C868" s="1" t="n">
        <v>46087</v>
      </c>
      <c r="D868" t="inlineStr">
        <is>
          <t>JÄMTLANDS LÄN</t>
        </is>
      </c>
      <c r="E868" t="inlineStr">
        <is>
          <t>RAGUNDA</t>
        </is>
      </c>
      <c r="G868" t="n">
        <v>2.7</v>
      </c>
      <c r="H868" t="n">
        <v>0</v>
      </c>
      <c r="I868" t="n">
        <v>0</v>
      </c>
      <c r="J868" t="n">
        <v>0</v>
      </c>
      <c r="K868" t="n">
        <v>0</v>
      </c>
      <c r="L868" t="n">
        <v>0</v>
      </c>
      <c r="M868" t="n">
        <v>0</v>
      </c>
      <c r="N868" t="n">
        <v>0</v>
      </c>
      <c r="O868" t="n">
        <v>0</v>
      </c>
      <c r="P868" t="n">
        <v>0</v>
      </c>
      <c r="Q868" t="n">
        <v>0</v>
      </c>
      <c r="R868" s="2" t="inlineStr"/>
    </row>
    <row r="869" ht="15" customHeight="1">
      <c r="A869" t="inlineStr">
        <is>
          <t>A 1333-2026</t>
        </is>
      </c>
      <c r="B869" s="1" t="n">
        <v>46031.57340277778</v>
      </c>
      <c r="C869" s="1" t="n">
        <v>46087</v>
      </c>
      <c r="D869" t="inlineStr">
        <is>
          <t>JÄMTLANDS LÄN</t>
        </is>
      </c>
      <c r="E869" t="inlineStr">
        <is>
          <t>RAGUNDA</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11252-2025</t>
        </is>
      </c>
      <c r="B870" s="1" t="n">
        <v>45726.38615740741</v>
      </c>
      <c r="C870" s="1" t="n">
        <v>46087</v>
      </c>
      <c r="D870" t="inlineStr">
        <is>
          <t>JÄMTLANDS LÄN</t>
        </is>
      </c>
      <c r="E870" t="inlineStr">
        <is>
          <t>RAGUNDA</t>
        </is>
      </c>
      <c r="G870" t="n">
        <v>1.9</v>
      </c>
      <c r="H870" t="n">
        <v>0</v>
      </c>
      <c r="I870" t="n">
        <v>0</v>
      </c>
      <c r="J870" t="n">
        <v>0</v>
      </c>
      <c r="K870" t="n">
        <v>0</v>
      </c>
      <c r="L870" t="n">
        <v>0</v>
      </c>
      <c r="M870" t="n">
        <v>0</v>
      </c>
      <c r="N870" t="n">
        <v>0</v>
      </c>
      <c r="O870" t="n">
        <v>0</v>
      </c>
      <c r="P870" t="n">
        <v>0</v>
      </c>
      <c r="Q870" t="n">
        <v>0</v>
      </c>
      <c r="R870" s="2" t="inlineStr"/>
    </row>
    <row r="871" ht="15" customHeight="1">
      <c r="A871" t="inlineStr">
        <is>
          <t>A 7668-2025</t>
        </is>
      </c>
      <c r="B871" s="1" t="n">
        <v>45706.34450231482</v>
      </c>
      <c r="C871" s="1" t="n">
        <v>46087</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9548-2025</t>
        </is>
      </c>
      <c r="B872" s="1" t="n">
        <v>45715.59405092592</v>
      </c>
      <c r="C872" s="1" t="n">
        <v>46087</v>
      </c>
      <c r="D872" t="inlineStr">
        <is>
          <t>JÄMTLANDS LÄN</t>
        </is>
      </c>
      <c r="E872" t="inlineStr">
        <is>
          <t>RAGUNDA</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10344-2026</t>
        </is>
      </c>
      <c r="B873" s="1" t="n">
        <v>46076.68523148148</v>
      </c>
      <c r="C873" s="1" t="n">
        <v>46087</v>
      </c>
      <c r="D873" t="inlineStr">
        <is>
          <t>JÄMTLANDS LÄN</t>
        </is>
      </c>
      <c r="E873" t="inlineStr">
        <is>
          <t>RAGUNDA</t>
        </is>
      </c>
      <c r="G873" t="n">
        <v>2.6</v>
      </c>
      <c r="H873" t="n">
        <v>0</v>
      </c>
      <c r="I873" t="n">
        <v>0</v>
      </c>
      <c r="J873" t="n">
        <v>0</v>
      </c>
      <c r="K873" t="n">
        <v>0</v>
      </c>
      <c r="L873" t="n">
        <v>0</v>
      </c>
      <c r="M873" t="n">
        <v>0</v>
      </c>
      <c r="N873" t="n">
        <v>0</v>
      </c>
      <c r="O873" t="n">
        <v>0</v>
      </c>
      <c r="P873" t="n">
        <v>0</v>
      </c>
      <c r="Q873" t="n">
        <v>0</v>
      </c>
      <c r="R873" s="2" t="inlineStr"/>
    </row>
    <row r="874" ht="15" customHeight="1">
      <c r="A874" t="inlineStr">
        <is>
          <t>A 10090-2026</t>
        </is>
      </c>
      <c r="B874" s="1" t="n">
        <v>46073.69875</v>
      </c>
      <c r="C874" s="1" t="n">
        <v>46087</v>
      </c>
      <c r="D874" t="inlineStr">
        <is>
          <t>JÄMTLANDS LÄN</t>
        </is>
      </c>
      <c r="E874" t="inlineStr">
        <is>
          <t>RAGUNDA</t>
        </is>
      </c>
      <c r="G874" t="n">
        <v>0.8</v>
      </c>
      <c r="H874" t="n">
        <v>0</v>
      </c>
      <c r="I874" t="n">
        <v>0</v>
      </c>
      <c r="J874" t="n">
        <v>0</v>
      </c>
      <c r="K874" t="n">
        <v>0</v>
      </c>
      <c r="L874" t="n">
        <v>0</v>
      </c>
      <c r="M874" t="n">
        <v>0</v>
      </c>
      <c r="N874" t="n">
        <v>0</v>
      </c>
      <c r="O874" t="n">
        <v>0</v>
      </c>
      <c r="P874" t="n">
        <v>0</v>
      </c>
      <c r="Q874" t="n">
        <v>0</v>
      </c>
      <c r="R874" s="2" t="inlineStr"/>
    </row>
    <row r="875" ht="15" customHeight="1">
      <c r="A875" t="inlineStr">
        <is>
          <t>A 30088-2025</t>
        </is>
      </c>
      <c r="B875" s="1" t="n">
        <v>45826.65759259259</v>
      </c>
      <c r="C875" s="1" t="n">
        <v>46087</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57237-2022</t>
        </is>
      </c>
      <c r="B876" s="1" t="n">
        <v>44889</v>
      </c>
      <c r="C876" s="1" t="n">
        <v>46087</v>
      </c>
      <c r="D876" t="inlineStr">
        <is>
          <t>JÄMTLANDS LÄN</t>
        </is>
      </c>
      <c r="E876" t="inlineStr">
        <is>
          <t>RAGUNDA</t>
        </is>
      </c>
      <c r="G876" t="n">
        <v>2.2</v>
      </c>
      <c r="H876" t="n">
        <v>0</v>
      </c>
      <c r="I876" t="n">
        <v>0</v>
      </c>
      <c r="J876" t="n">
        <v>0</v>
      </c>
      <c r="K876" t="n">
        <v>0</v>
      </c>
      <c r="L876" t="n">
        <v>0</v>
      </c>
      <c r="M876" t="n">
        <v>0</v>
      </c>
      <c r="N876" t="n">
        <v>0</v>
      </c>
      <c r="O876" t="n">
        <v>0</v>
      </c>
      <c r="P876" t="n">
        <v>0</v>
      </c>
      <c r="Q876" t="n">
        <v>0</v>
      </c>
      <c r="R876" s="2" t="inlineStr"/>
    </row>
    <row r="877" ht="15" customHeight="1">
      <c r="A877" t="inlineStr">
        <is>
          <t>A 31463-2024</t>
        </is>
      </c>
      <c r="B877" s="1" t="n">
        <v>45505</v>
      </c>
      <c r="C877" s="1" t="n">
        <v>46087</v>
      </c>
      <c r="D877" t="inlineStr">
        <is>
          <t>JÄMTLANDS LÄN</t>
        </is>
      </c>
      <c r="E877" t="inlineStr">
        <is>
          <t>RAGUNDA</t>
        </is>
      </c>
      <c r="F877" t="inlineStr">
        <is>
          <t>SCA</t>
        </is>
      </c>
      <c r="G877" t="n">
        <v>20.3</v>
      </c>
      <c r="H877" t="n">
        <v>0</v>
      </c>
      <c r="I877" t="n">
        <v>0</v>
      </c>
      <c r="J877" t="n">
        <v>0</v>
      </c>
      <c r="K877" t="n">
        <v>0</v>
      </c>
      <c r="L877" t="n">
        <v>0</v>
      </c>
      <c r="M877" t="n">
        <v>0</v>
      </c>
      <c r="N877" t="n">
        <v>0</v>
      </c>
      <c r="O877" t="n">
        <v>0</v>
      </c>
      <c r="P877" t="n">
        <v>0</v>
      </c>
      <c r="Q877" t="n">
        <v>0</v>
      </c>
      <c r="R877" s="2" t="inlineStr"/>
    </row>
    <row r="878" ht="15" customHeight="1">
      <c r="A878" t="inlineStr">
        <is>
          <t>A 13263-2025</t>
        </is>
      </c>
      <c r="B878" s="1" t="n">
        <v>45735.53177083333</v>
      </c>
      <c r="C878" s="1" t="n">
        <v>46087</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13276-2025</t>
        </is>
      </c>
      <c r="B879" s="1" t="n">
        <v>45735.5517824074</v>
      </c>
      <c r="C879" s="1" t="n">
        <v>46087</v>
      </c>
      <c r="D879" t="inlineStr">
        <is>
          <t>JÄMTLANDS LÄN</t>
        </is>
      </c>
      <c r="E879" t="inlineStr">
        <is>
          <t>RAGUNDA</t>
        </is>
      </c>
      <c r="G879" t="n">
        <v>16.6</v>
      </c>
      <c r="H879" t="n">
        <v>0</v>
      </c>
      <c r="I879" t="n">
        <v>0</v>
      </c>
      <c r="J879" t="n">
        <v>0</v>
      </c>
      <c r="K879" t="n">
        <v>0</v>
      </c>
      <c r="L879" t="n">
        <v>0</v>
      </c>
      <c r="M879" t="n">
        <v>0</v>
      </c>
      <c r="N879" t="n">
        <v>0</v>
      </c>
      <c r="O879" t="n">
        <v>0</v>
      </c>
      <c r="P879" t="n">
        <v>0</v>
      </c>
      <c r="Q879" t="n">
        <v>0</v>
      </c>
      <c r="R879" s="2" t="inlineStr"/>
    </row>
    <row r="880" ht="15" customHeight="1">
      <c r="A880" t="inlineStr">
        <is>
          <t>A 12405-2025</t>
        </is>
      </c>
      <c r="B880" s="1" t="n">
        <v>45730.42738425926</v>
      </c>
      <c r="C880" s="1" t="n">
        <v>46087</v>
      </c>
      <c r="D880" t="inlineStr">
        <is>
          <t>JÄMTLANDS LÄN</t>
        </is>
      </c>
      <c r="E880" t="inlineStr">
        <is>
          <t>RAGUNDA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12808-2025</t>
        </is>
      </c>
      <c r="B881" s="1" t="n">
        <v>45733.61554398148</v>
      </c>
      <c r="C881" s="1" t="n">
        <v>46087</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46546-2023</t>
        </is>
      </c>
      <c r="B882" s="1" t="n">
        <v>45197.94152777778</v>
      </c>
      <c r="C882" s="1" t="n">
        <v>46087</v>
      </c>
      <c r="D882" t="inlineStr">
        <is>
          <t>JÄMTLANDS LÄN</t>
        </is>
      </c>
      <c r="E882" t="inlineStr">
        <is>
          <t>RAGUNDA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6716-2025</t>
        </is>
      </c>
      <c r="B883" s="1" t="n">
        <v>45700.57324074074</v>
      </c>
      <c r="C883" s="1" t="n">
        <v>46087</v>
      </c>
      <c r="D883" t="inlineStr">
        <is>
          <t>JÄMTLANDS LÄN</t>
        </is>
      </c>
      <c r="E883" t="inlineStr">
        <is>
          <t>RAGUNDA</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30823-2023</t>
        </is>
      </c>
      <c r="B884" s="1" t="n">
        <v>45112</v>
      </c>
      <c r="C884" s="1" t="n">
        <v>46087</v>
      </c>
      <c r="D884" t="inlineStr">
        <is>
          <t>JÄMTLANDS LÄN</t>
        </is>
      </c>
      <c r="E884" t="inlineStr">
        <is>
          <t>RAGUNDA</t>
        </is>
      </c>
      <c r="F884" t="inlineStr">
        <is>
          <t>SCA</t>
        </is>
      </c>
      <c r="G884" t="n">
        <v>9</v>
      </c>
      <c r="H884" t="n">
        <v>0</v>
      </c>
      <c r="I884" t="n">
        <v>0</v>
      </c>
      <c r="J884" t="n">
        <v>0</v>
      </c>
      <c r="K884" t="n">
        <v>0</v>
      </c>
      <c r="L884" t="n">
        <v>0</v>
      </c>
      <c r="M884" t="n">
        <v>0</v>
      </c>
      <c r="N884" t="n">
        <v>0</v>
      </c>
      <c r="O884" t="n">
        <v>0</v>
      </c>
      <c r="P884" t="n">
        <v>0</v>
      </c>
      <c r="Q884" t="n">
        <v>0</v>
      </c>
      <c r="R884" s="2" t="inlineStr"/>
    </row>
    <row r="885" ht="15" customHeight="1">
      <c r="A885" t="inlineStr">
        <is>
          <t>A 10740-2026</t>
        </is>
      </c>
      <c r="B885" s="1" t="n">
        <v>46078.5109375</v>
      </c>
      <c r="C885" s="1" t="n">
        <v>46087</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30484-2024</t>
        </is>
      </c>
      <c r="B886" s="1" t="n">
        <v>45491</v>
      </c>
      <c r="C886" s="1" t="n">
        <v>46087</v>
      </c>
      <c r="D886" t="inlineStr">
        <is>
          <t>JÄMTLANDS LÄN</t>
        </is>
      </c>
      <c r="E886" t="inlineStr">
        <is>
          <t>RAGUNDA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30348-2025</t>
        </is>
      </c>
      <c r="B887" s="1" t="n">
        <v>45827.53178240741</v>
      </c>
      <c r="C887" s="1" t="n">
        <v>46087</v>
      </c>
      <c r="D887" t="inlineStr">
        <is>
          <t>JÄMTLANDS LÄN</t>
        </is>
      </c>
      <c r="E887" t="inlineStr">
        <is>
          <t>RAGUNDA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2173-2026</t>
        </is>
      </c>
      <c r="B888" s="1" t="n">
        <v>46036.44984953704</v>
      </c>
      <c r="C888" s="1" t="n">
        <v>46087</v>
      </c>
      <c r="D888" t="inlineStr">
        <is>
          <t>JÄMTLANDS LÄN</t>
        </is>
      </c>
      <c r="E888" t="inlineStr">
        <is>
          <t>RAGUNDA</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30434-2025</t>
        </is>
      </c>
      <c r="B889" s="1" t="n">
        <v>45827.63582175926</v>
      </c>
      <c r="C889" s="1" t="n">
        <v>46087</v>
      </c>
      <c r="D889" t="inlineStr">
        <is>
          <t>JÄMTLANDS LÄN</t>
        </is>
      </c>
      <c r="E889" t="inlineStr">
        <is>
          <t>RAGUNDA</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11288-2022</t>
        </is>
      </c>
      <c r="B890" s="1" t="n">
        <v>44629</v>
      </c>
      <c r="C890" s="1" t="n">
        <v>46087</v>
      </c>
      <c r="D890" t="inlineStr">
        <is>
          <t>JÄMTLANDS LÄN</t>
        </is>
      </c>
      <c r="E890" t="inlineStr">
        <is>
          <t>RAGUNDA</t>
        </is>
      </c>
      <c r="G890" t="n">
        <v>4.9</v>
      </c>
      <c r="H890" t="n">
        <v>0</v>
      </c>
      <c r="I890" t="n">
        <v>0</v>
      </c>
      <c r="J890" t="n">
        <v>0</v>
      </c>
      <c r="K890" t="n">
        <v>0</v>
      </c>
      <c r="L890" t="n">
        <v>0</v>
      </c>
      <c r="M890" t="n">
        <v>0</v>
      </c>
      <c r="N890" t="n">
        <v>0</v>
      </c>
      <c r="O890" t="n">
        <v>0</v>
      </c>
      <c r="P890" t="n">
        <v>0</v>
      </c>
      <c r="Q890" t="n">
        <v>0</v>
      </c>
      <c r="R890" s="2" t="inlineStr"/>
    </row>
    <row r="891" ht="15" customHeight="1">
      <c r="A891" t="inlineStr">
        <is>
          <t>A 19865-2023</t>
        </is>
      </c>
      <c r="B891" s="1" t="n">
        <v>45053.94305555556</v>
      </c>
      <c r="C891" s="1" t="n">
        <v>46087</v>
      </c>
      <c r="D891" t="inlineStr">
        <is>
          <t>JÄMTLANDS LÄN</t>
        </is>
      </c>
      <c r="E891" t="inlineStr">
        <is>
          <t>RAGUNDA</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1554-2024</t>
        </is>
      </c>
      <c r="B892" s="1" t="n">
        <v>45306</v>
      </c>
      <c r="C892" s="1" t="n">
        <v>46087</v>
      </c>
      <c r="D892" t="inlineStr">
        <is>
          <t>JÄMTLANDS LÄN</t>
        </is>
      </c>
      <c r="E892" t="inlineStr">
        <is>
          <t>RAGUNDA</t>
        </is>
      </c>
      <c r="G892" t="n">
        <v>4.3</v>
      </c>
      <c r="H892" t="n">
        <v>0</v>
      </c>
      <c r="I892" t="n">
        <v>0</v>
      </c>
      <c r="J892" t="n">
        <v>0</v>
      </c>
      <c r="K892" t="n">
        <v>0</v>
      </c>
      <c r="L892" t="n">
        <v>0</v>
      </c>
      <c r="M892" t="n">
        <v>0</v>
      </c>
      <c r="N892" t="n">
        <v>0</v>
      </c>
      <c r="O892" t="n">
        <v>0</v>
      </c>
      <c r="P892" t="n">
        <v>0</v>
      </c>
      <c r="Q892" t="n">
        <v>0</v>
      </c>
      <c r="R892" s="2" t="inlineStr"/>
    </row>
    <row r="893" ht="15" customHeight="1">
      <c r="A893" t="inlineStr">
        <is>
          <t>A 2233-2026</t>
        </is>
      </c>
      <c r="B893" s="1" t="n">
        <v>46036.53207175926</v>
      </c>
      <c r="C893" s="1" t="n">
        <v>46087</v>
      </c>
      <c r="D893" t="inlineStr">
        <is>
          <t>JÄMTLANDS LÄN</t>
        </is>
      </c>
      <c r="E893" t="inlineStr">
        <is>
          <t>RAGUNDA</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50160-2023</t>
        </is>
      </c>
      <c r="B894" s="1" t="n">
        <v>45208</v>
      </c>
      <c r="C894" s="1" t="n">
        <v>46087</v>
      </c>
      <c r="D894" t="inlineStr">
        <is>
          <t>JÄMTLANDS LÄN</t>
        </is>
      </c>
      <c r="E894" t="inlineStr">
        <is>
          <t>RAGUNDA</t>
        </is>
      </c>
      <c r="G894" t="n">
        <v>4.6</v>
      </c>
      <c r="H894" t="n">
        <v>0</v>
      </c>
      <c r="I894" t="n">
        <v>0</v>
      </c>
      <c r="J894" t="n">
        <v>0</v>
      </c>
      <c r="K894" t="n">
        <v>0</v>
      </c>
      <c r="L894" t="n">
        <v>0</v>
      </c>
      <c r="M894" t="n">
        <v>0</v>
      </c>
      <c r="N894" t="n">
        <v>0</v>
      </c>
      <c r="O894" t="n">
        <v>0</v>
      </c>
      <c r="P894" t="n">
        <v>0</v>
      </c>
      <c r="Q894" t="n">
        <v>0</v>
      </c>
      <c r="R894" s="2" t="inlineStr"/>
    </row>
    <row r="895" ht="15" customHeight="1">
      <c r="A895" t="inlineStr">
        <is>
          <t>A 10649-2026</t>
        </is>
      </c>
      <c r="B895" s="1" t="n">
        <v>46078.34486111111</v>
      </c>
      <c r="C895" s="1" t="n">
        <v>46087</v>
      </c>
      <c r="D895" t="inlineStr">
        <is>
          <t>JÄMTLANDS LÄN</t>
        </is>
      </c>
      <c r="E895" t="inlineStr">
        <is>
          <t>RAGUNDA</t>
        </is>
      </c>
      <c r="F895" t="inlineStr">
        <is>
          <t>SCA</t>
        </is>
      </c>
      <c r="G895" t="n">
        <v>45.5</v>
      </c>
      <c r="H895" t="n">
        <v>0</v>
      </c>
      <c r="I895" t="n">
        <v>0</v>
      </c>
      <c r="J895" t="n">
        <v>0</v>
      </c>
      <c r="K895" t="n">
        <v>0</v>
      </c>
      <c r="L895" t="n">
        <v>0</v>
      </c>
      <c r="M895" t="n">
        <v>0</v>
      </c>
      <c r="N895" t="n">
        <v>0</v>
      </c>
      <c r="O895" t="n">
        <v>0</v>
      </c>
      <c r="P895" t="n">
        <v>0</v>
      </c>
      <c r="Q895" t="n">
        <v>0</v>
      </c>
      <c r="R895" s="2" t="inlineStr"/>
    </row>
    <row r="896" ht="15" customHeight="1">
      <c r="A896" t="inlineStr">
        <is>
          <t>A 22011-2023</t>
        </is>
      </c>
      <c r="B896" s="1" t="n">
        <v>45068</v>
      </c>
      <c r="C896" s="1" t="n">
        <v>46087</v>
      </c>
      <c r="D896" t="inlineStr">
        <is>
          <t>JÄMTLANDS LÄN</t>
        </is>
      </c>
      <c r="E896" t="inlineStr">
        <is>
          <t>RAGUNDA</t>
        </is>
      </c>
      <c r="F896" t="inlineStr">
        <is>
          <t>SCA</t>
        </is>
      </c>
      <c r="G896" t="n">
        <v>12.2</v>
      </c>
      <c r="H896" t="n">
        <v>0</v>
      </c>
      <c r="I896" t="n">
        <v>0</v>
      </c>
      <c r="J896" t="n">
        <v>0</v>
      </c>
      <c r="K896" t="n">
        <v>0</v>
      </c>
      <c r="L896" t="n">
        <v>0</v>
      </c>
      <c r="M896" t="n">
        <v>0</v>
      </c>
      <c r="N896" t="n">
        <v>0</v>
      </c>
      <c r="O896" t="n">
        <v>0</v>
      </c>
      <c r="P896" t="n">
        <v>0</v>
      </c>
      <c r="Q896" t="n">
        <v>0</v>
      </c>
      <c r="R896" s="2" t="inlineStr"/>
    </row>
    <row r="897" ht="15" customHeight="1">
      <c r="A897" t="inlineStr">
        <is>
          <t>A 2271-2026</t>
        </is>
      </c>
      <c r="B897" s="1" t="n">
        <v>46036.57347222222</v>
      </c>
      <c r="C897" s="1" t="n">
        <v>46087</v>
      </c>
      <c r="D897" t="inlineStr">
        <is>
          <t>JÄMTLANDS LÄN</t>
        </is>
      </c>
      <c r="E897" t="inlineStr">
        <is>
          <t>RAGUNDA</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13389-2025</t>
        </is>
      </c>
      <c r="B898" s="1" t="n">
        <v>45735.69842592593</v>
      </c>
      <c r="C898" s="1" t="n">
        <v>46087</v>
      </c>
      <c r="D898" t="inlineStr">
        <is>
          <t>JÄMTLANDS LÄN</t>
        </is>
      </c>
      <c r="E898" t="inlineStr">
        <is>
          <t>RAGUNDA</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2831-2024</t>
        </is>
      </c>
      <c r="B899" s="1" t="n">
        <v>45314.92758101852</v>
      </c>
      <c r="C899" s="1" t="n">
        <v>46087</v>
      </c>
      <c r="D899" t="inlineStr">
        <is>
          <t>JÄMTLANDS LÄN</t>
        </is>
      </c>
      <c r="E899" t="inlineStr">
        <is>
          <t>RAGUNDA</t>
        </is>
      </c>
      <c r="G899" t="n">
        <v>0.6</v>
      </c>
      <c r="H899" t="n">
        <v>0</v>
      </c>
      <c r="I899" t="n">
        <v>0</v>
      </c>
      <c r="J899" t="n">
        <v>0</v>
      </c>
      <c r="K899" t="n">
        <v>0</v>
      </c>
      <c r="L899" t="n">
        <v>0</v>
      </c>
      <c r="M899" t="n">
        <v>0</v>
      </c>
      <c r="N899" t="n">
        <v>0</v>
      </c>
      <c r="O899" t="n">
        <v>0</v>
      </c>
      <c r="P899" t="n">
        <v>0</v>
      </c>
      <c r="Q899" t="n">
        <v>0</v>
      </c>
      <c r="R899" s="2" t="inlineStr"/>
    </row>
    <row r="900" ht="15" customHeight="1">
      <c r="A900" t="inlineStr">
        <is>
          <t>A 10410-2026</t>
        </is>
      </c>
      <c r="B900" s="1" t="n">
        <v>46077.34527777778</v>
      </c>
      <c r="C900" s="1" t="n">
        <v>46087</v>
      </c>
      <c r="D900" t="inlineStr">
        <is>
          <t>JÄMTLANDS LÄN</t>
        </is>
      </c>
      <c r="E900" t="inlineStr">
        <is>
          <t>RAGUNDA</t>
        </is>
      </c>
      <c r="F900" t="inlineStr">
        <is>
          <t>SCA</t>
        </is>
      </c>
      <c r="G900" t="n">
        <v>46.5</v>
      </c>
      <c r="H900" t="n">
        <v>0</v>
      </c>
      <c r="I900" t="n">
        <v>0</v>
      </c>
      <c r="J900" t="n">
        <v>0</v>
      </c>
      <c r="K900" t="n">
        <v>0</v>
      </c>
      <c r="L900" t="n">
        <v>0</v>
      </c>
      <c r="M900" t="n">
        <v>0</v>
      </c>
      <c r="N900" t="n">
        <v>0</v>
      </c>
      <c r="O900" t="n">
        <v>0</v>
      </c>
      <c r="P900" t="n">
        <v>0</v>
      </c>
      <c r="Q900" t="n">
        <v>0</v>
      </c>
      <c r="R900" s="2" t="inlineStr"/>
    </row>
    <row r="901" ht="15" customHeight="1">
      <c r="A901" t="inlineStr">
        <is>
          <t>A 10570-2026</t>
        </is>
      </c>
      <c r="B901" s="1" t="n">
        <v>46077.6568287037</v>
      </c>
      <c r="C901" s="1" t="n">
        <v>46087</v>
      </c>
      <c r="D901" t="inlineStr">
        <is>
          <t>JÄMTLANDS LÄN</t>
        </is>
      </c>
      <c r="E901" t="inlineStr">
        <is>
          <t>RAGUNDA</t>
        </is>
      </c>
      <c r="F901" t="inlineStr">
        <is>
          <t>SCA</t>
        </is>
      </c>
      <c r="G901" t="n">
        <v>22.9</v>
      </c>
      <c r="H901" t="n">
        <v>0</v>
      </c>
      <c r="I901" t="n">
        <v>0</v>
      </c>
      <c r="J901" t="n">
        <v>0</v>
      </c>
      <c r="K901" t="n">
        <v>0</v>
      </c>
      <c r="L901" t="n">
        <v>0</v>
      </c>
      <c r="M901" t="n">
        <v>0</v>
      </c>
      <c r="N901" t="n">
        <v>0</v>
      </c>
      <c r="O901" t="n">
        <v>0</v>
      </c>
      <c r="P901" t="n">
        <v>0</v>
      </c>
      <c r="Q901" t="n">
        <v>0</v>
      </c>
      <c r="R901" s="2" t="inlineStr"/>
    </row>
    <row r="902" ht="15" customHeight="1">
      <c r="A902" t="inlineStr">
        <is>
          <t>A 2156-2026</t>
        </is>
      </c>
      <c r="B902" s="1" t="n">
        <v>46036.42771990741</v>
      </c>
      <c r="C902" s="1" t="n">
        <v>46087</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30883-2025</t>
        </is>
      </c>
      <c r="B903" s="1" t="n">
        <v>45832.34552083333</v>
      </c>
      <c r="C903" s="1" t="n">
        <v>46087</v>
      </c>
      <c r="D903" t="inlineStr">
        <is>
          <t>JÄMTLANDS LÄN</t>
        </is>
      </c>
      <c r="E903" t="inlineStr">
        <is>
          <t>RAGUNDA</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50157-2023</t>
        </is>
      </c>
      <c r="B904" s="1" t="n">
        <v>45208</v>
      </c>
      <c r="C904" s="1" t="n">
        <v>46087</v>
      </c>
      <c r="D904" t="inlineStr">
        <is>
          <t>JÄMTLANDS LÄN</t>
        </is>
      </c>
      <c r="E904" t="inlineStr">
        <is>
          <t>RAGUNDA</t>
        </is>
      </c>
      <c r="G904" t="n">
        <v>0.9</v>
      </c>
      <c r="H904" t="n">
        <v>0</v>
      </c>
      <c r="I904" t="n">
        <v>0</v>
      </c>
      <c r="J904" t="n">
        <v>0</v>
      </c>
      <c r="K904" t="n">
        <v>0</v>
      </c>
      <c r="L904" t="n">
        <v>0</v>
      </c>
      <c r="M904" t="n">
        <v>0</v>
      </c>
      <c r="N904" t="n">
        <v>0</v>
      </c>
      <c r="O904" t="n">
        <v>0</v>
      </c>
      <c r="P904" t="n">
        <v>0</v>
      </c>
      <c r="Q904" t="n">
        <v>0</v>
      </c>
      <c r="R904" s="2" t="inlineStr"/>
    </row>
    <row r="905" ht="15" customHeight="1">
      <c r="A905" t="inlineStr">
        <is>
          <t>A 2123-2026</t>
        </is>
      </c>
      <c r="B905" s="1" t="n">
        <v>46036.38618055556</v>
      </c>
      <c r="C905" s="1" t="n">
        <v>46087</v>
      </c>
      <c r="D905" t="inlineStr">
        <is>
          <t>JÄMTLANDS LÄN</t>
        </is>
      </c>
      <c r="E905" t="inlineStr">
        <is>
          <t>RAGUNDA</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13264-2025</t>
        </is>
      </c>
      <c r="B906" s="1" t="n">
        <v>45735</v>
      </c>
      <c r="C906" s="1" t="n">
        <v>46087</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37268-2024</t>
        </is>
      </c>
      <c r="B907" s="1" t="n">
        <v>45540.38586805556</v>
      </c>
      <c r="C907" s="1" t="n">
        <v>46087</v>
      </c>
      <c r="D907" t="inlineStr">
        <is>
          <t>JÄMTLANDS LÄN</t>
        </is>
      </c>
      <c r="E907" t="inlineStr">
        <is>
          <t>RAGUNDA</t>
        </is>
      </c>
      <c r="F907" t="inlineStr">
        <is>
          <t>SCA</t>
        </is>
      </c>
      <c r="G907" t="n">
        <v>6.3</v>
      </c>
      <c r="H907" t="n">
        <v>0</v>
      </c>
      <c r="I907" t="n">
        <v>0</v>
      </c>
      <c r="J907" t="n">
        <v>0</v>
      </c>
      <c r="K907" t="n">
        <v>0</v>
      </c>
      <c r="L907" t="n">
        <v>0</v>
      </c>
      <c r="M907" t="n">
        <v>0</v>
      </c>
      <c r="N907" t="n">
        <v>0</v>
      </c>
      <c r="O907" t="n">
        <v>0</v>
      </c>
      <c r="P907" t="n">
        <v>0</v>
      </c>
      <c r="Q907" t="n">
        <v>0</v>
      </c>
      <c r="R907" s="2" t="inlineStr"/>
    </row>
    <row r="908" ht="15" customHeight="1">
      <c r="A908" t="inlineStr">
        <is>
          <t>A 41179-2022</t>
        </is>
      </c>
      <c r="B908" s="1" t="n">
        <v>44825</v>
      </c>
      <c r="C908" s="1" t="n">
        <v>46087</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17598-2021</t>
        </is>
      </c>
      <c r="B909" s="1" t="n">
        <v>44299</v>
      </c>
      <c r="C909" s="1" t="n">
        <v>46087</v>
      </c>
      <c r="D909" t="inlineStr">
        <is>
          <t>JÄMTLANDS LÄN</t>
        </is>
      </c>
      <c r="E909" t="inlineStr">
        <is>
          <t>RAGUNDA</t>
        </is>
      </c>
      <c r="G909" t="n">
        <v>4.6</v>
      </c>
      <c r="H909" t="n">
        <v>0</v>
      </c>
      <c r="I909" t="n">
        <v>0</v>
      </c>
      <c r="J909" t="n">
        <v>0</v>
      </c>
      <c r="K909" t="n">
        <v>0</v>
      </c>
      <c r="L909" t="n">
        <v>0</v>
      </c>
      <c r="M909" t="n">
        <v>0</v>
      </c>
      <c r="N909" t="n">
        <v>0</v>
      </c>
      <c r="O909" t="n">
        <v>0</v>
      </c>
      <c r="P909" t="n">
        <v>0</v>
      </c>
      <c r="Q909" t="n">
        <v>0</v>
      </c>
      <c r="R909" s="2" t="inlineStr"/>
    </row>
    <row r="910" ht="15" customHeight="1">
      <c r="A910" t="inlineStr">
        <is>
          <t>A 62541-2022</t>
        </is>
      </c>
      <c r="B910" s="1" t="n">
        <v>44917</v>
      </c>
      <c r="C910" s="1" t="n">
        <v>46087</v>
      </c>
      <c r="D910" t="inlineStr">
        <is>
          <t>JÄMTLANDS LÄN</t>
        </is>
      </c>
      <c r="E910" t="inlineStr">
        <is>
          <t>RAGUNDA</t>
        </is>
      </c>
      <c r="G910" t="n">
        <v>2.6</v>
      </c>
      <c r="H910" t="n">
        <v>0</v>
      </c>
      <c r="I910" t="n">
        <v>0</v>
      </c>
      <c r="J910" t="n">
        <v>0</v>
      </c>
      <c r="K910" t="n">
        <v>0</v>
      </c>
      <c r="L910" t="n">
        <v>0</v>
      </c>
      <c r="M910" t="n">
        <v>0</v>
      </c>
      <c r="N910" t="n">
        <v>0</v>
      </c>
      <c r="O910" t="n">
        <v>0</v>
      </c>
      <c r="P910" t="n">
        <v>0</v>
      </c>
      <c r="Q910" t="n">
        <v>0</v>
      </c>
      <c r="R910" s="2" t="inlineStr"/>
    </row>
    <row r="911" ht="15" customHeight="1">
      <c r="A911" t="inlineStr">
        <is>
          <t>A 30880-2025</t>
        </is>
      </c>
      <c r="B911" s="1" t="n">
        <v>45832.34524305556</v>
      </c>
      <c r="C911" s="1" t="n">
        <v>46087</v>
      </c>
      <c r="D911" t="inlineStr">
        <is>
          <t>JÄMTLANDS LÄN</t>
        </is>
      </c>
      <c r="E911" t="inlineStr">
        <is>
          <t>RAGUNDA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30887-2025</t>
        </is>
      </c>
      <c r="B912" s="1" t="n">
        <v>45832.3459375</v>
      </c>
      <c r="C912" s="1" t="n">
        <v>46087</v>
      </c>
      <c r="D912" t="inlineStr">
        <is>
          <t>JÄMTLANDS LÄN</t>
        </is>
      </c>
      <c r="E912" t="inlineStr">
        <is>
          <t>RAGUNDA</t>
        </is>
      </c>
      <c r="F912" t="inlineStr">
        <is>
          <t>SCA</t>
        </is>
      </c>
      <c r="G912" t="n">
        <v>10.1</v>
      </c>
      <c r="H912" t="n">
        <v>0</v>
      </c>
      <c r="I912" t="n">
        <v>0</v>
      </c>
      <c r="J912" t="n">
        <v>0</v>
      </c>
      <c r="K912" t="n">
        <v>0</v>
      </c>
      <c r="L912" t="n">
        <v>0</v>
      </c>
      <c r="M912" t="n">
        <v>0</v>
      </c>
      <c r="N912" t="n">
        <v>0</v>
      </c>
      <c r="O912" t="n">
        <v>0</v>
      </c>
      <c r="P912" t="n">
        <v>0</v>
      </c>
      <c r="Q912" t="n">
        <v>0</v>
      </c>
      <c r="R912" s="2" t="inlineStr"/>
    </row>
    <row r="913" ht="15" customHeight="1">
      <c r="A913" t="inlineStr">
        <is>
          <t>A 61400-2022</t>
        </is>
      </c>
      <c r="B913" s="1" t="n">
        <v>44915</v>
      </c>
      <c r="C913" s="1" t="n">
        <v>46087</v>
      </c>
      <c r="D913" t="inlineStr">
        <is>
          <t>JÄMTLANDS LÄN</t>
        </is>
      </c>
      <c r="E913" t="inlineStr">
        <is>
          <t>RAGUNDA</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24861-2023</t>
        </is>
      </c>
      <c r="B914" s="1" t="n">
        <v>45078</v>
      </c>
      <c r="C914" s="1" t="n">
        <v>46087</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11243-2026</t>
        </is>
      </c>
      <c r="B915" s="1" t="n">
        <v>46080.53181712963</v>
      </c>
      <c r="C915" s="1" t="n">
        <v>46087</v>
      </c>
      <c r="D915" t="inlineStr">
        <is>
          <t>JÄMTLANDS LÄN</t>
        </is>
      </c>
      <c r="E915" t="inlineStr">
        <is>
          <t>RAGUNDA</t>
        </is>
      </c>
      <c r="F915" t="inlineStr">
        <is>
          <t>SCA</t>
        </is>
      </c>
      <c r="G915" t="n">
        <v>52.9</v>
      </c>
      <c r="H915" t="n">
        <v>0</v>
      </c>
      <c r="I915" t="n">
        <v>0</v>
      </c>
      <c r="J915" t="n">
        <v>0</v>
      </c>
      <c r="K915" t="n">
        <v>0</v>
      </c>
      <c r="L915" t="n">
        <v>0</v>
      </c>
      <c r="M915" t="n">
        <v>0</v>
      </c>
      <c r="N915" t="n">
        <v>0</v>
      </c>
      <c r="O915" t="n">
        <v>0</v>
      </c>
      <c r="P915" t="n">
        <v>0</v>
      </c>
      <c r="Q915" t="n">
        <v>0</v>
      </c>
      <c r="R915" s="2" t="inlineStr"/>
    </row>
    <row r="916" ht="15" customHeight="1">
      <c r="A916" t="inlineStr">
        <is>
          <t>A 38270-2021</t>
        </is>
      </c>
      <c r="B916" s="1" t="n">
        <v>44405.92065972222</v>
      </c>
      <c r="C916" s="1" t="n">
        <v>46087</v>
      </c>
      <c r="D916" t="inlineStr">
        <is>
          <t>JÄMTLANDS LÄN</t>
        </is>
      </c>
      <c r="E916" t="inlineStr">
        <is>
          <t>RAGUNDA</t>
        </is>
      </c>
      <c r="G916" t="n">
        <v>1.3</v>
      </c>
      <c r="H916" t="n">
        <v>0</v>
      </c>
      <c r="I916" t="n">
        <v>0</v>
      </c>
      <c r="J916" t="n">
        <v>0</v>
      </c>
      <c r="K916" t="n">
        <v>0</v>
      </c>
      <c r="L916" t="n">
        <v>0</v>
      </c>
      <c r="M916" t="n">
        <v>0</v>
      </c>
      <c r="N916" t="n">
        <v>0</v>
      </c>
      <c r="O916" t="n">
        <v>0</v>
      </c>
      <c r="P916" t="n">
        <v>0</v>
      </c>
      <c r="Q916" t="n">
        <v>0</v>
      </c>
      <c r="R916" s="2" t="inlineStr"/>
    </row>
    <row r="917" ht="15" customHeight="1">
      <c r="A917" t="inlineStr">
        <is>
          <t>A 4866-2025</t>
        </is>
      </c>
      <c r="B917" s="1" t="n">
        <v>45688.67542824074</v>
      </c>
      <c r="C917" s="1" t="n">
        <v>46087</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179-2025</t>
        </is>
      </c>
      <c r="B918" s="1" t="n">
        <v>45659.69822916666</v>
      </c>
      <c r="C918" s="1" t="n">
        <v>46087</v>
      </c>
      <c r="D918" t="inlineStr">
        <is>
          <t>JÄMTLANDS LÄN</t>
        </is>
      </c>
      <c r="E918" t="inlineStr">
        <is>
          <t>RAGUNDA</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20088-2023</t>
        </is>
      </c>
      <c r="B919" s="1" t="n">
        <v>45054</v>
      </c>
      <c r="C919" s="1" t="n">
        <v>46087</v>
      </c>
      <c r="D919" t="inlineStr">
        <is>
          <t>JÄMTLANDS LÄN</t>
        </is>
      </c>
      <c r="E919" t="inlineStr">
        <is>
          <t>RAGUNDA</t>
        </is>
      </c>
      <c r="F919" t="inlineStr">
        <is>
          <t>SCA</t>
        </is>
      </c>
      <c r="G919" t="n">
        <v>23.4</v>
      </c>
      <c r="H919" t="n">
        <v>0</v>
      </c>
      <c r="I919" t="n">
        <v>0</v>
      </c>
      <c r="J919" t="n">
        <v>0</v>
      </c>
      <c r="K919" t="n">
        <v>0</v>
      </c>
      <c r="L919" t="n">
        <v>0</v>
      </c>
      <c r="M919" t="n">
        <v>0</v>
      </c>
      <c r="N919" t="n">
        <v>0</v>
      </c>
      <c r="O919" t="n">
        <v>0</v>
      </c>
      <c r="P919" t="n">
        <v>0</v>
      </c>
      <c r="Q919" t="n">
        <v>0</v>
      </c>
      <c r="R919" s="2" t="inlineStr"/>
    </row>
    <row r="920" ht="15" customHeight="1">
      <c r="A920" t="inlineStr">
        <is>
          <t>A 59136-2023</t>
        </is>
      </c>
      <c r="B920" s="1" t="n">
        <v>45251</v>
      </c>
      <c r="C920" s="1" t="n">
        <v>46087</v>
      </c>
      <c r="D920" t="inlineStr">
        <is>
          <t>JÄMTLANDS LÄN</t>
        </is>
      </c>
      <c r="E920" t="inlineStr">
        <is>
          <t>RAGUNDA</t>
        </is>
      </c>
      <c r="G920" t="n">
        <v>1.7</v>
      </c>
      <c r="H920" t="n">
        <v>0</v>
      </c>
      <c r="I920" t="n">
        <v>0</v>
      </c>
      <c r="J920" t="n">
        <v>0</v>
      </c>
      <c r="K920" t="n">
        <v>0</v>
      </c>
      <c r="L920" t="n">
        <v>0</v>
      </c>
      <c r="M920" t="n">
        <v>0</v>
      </c>
      <c r="N920" t="n">
        <v>0</v>
      </c>
      <c r="O920" t="n">
        <v>0</v>
      </c>
      <c r="P920" t="n">
        <v>0</v>
      </c>
      <c r="Q920" t="n">
        <v>0</v>
      </c>
      <c r="R920" s="2" t="inlineStr"/>
    </row>
    <row r="921" ht="15" customHeight="1">
      <c r="A921" t="inlineStr">
        <is>
          <t>A 35274-2023</t>
        </is>
      </c>
      <c r="B921" s="1" t="n">
        <v>45145</v>
      </c>
      <c r="C921" s="1" t="n">
        <v>46087</v>
      </c>
      <c r="D921" t="inlineStr">
        <is>
          <t>JÄMTLANDS LÄN</t>
        </is>
      </c>
      <c r="E921" t="inlineStr">
        <is>
          <t>RAGUNDA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64264-2023</t>
        </is>
      </c>
      <c r="B922" s="1" t="n">
        <v>45279.94564814815</v>
      </c>
      <c r="C922" s="1" t="n">
        <v>46087</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26347-2023</t>
        </is>
      </c>
      <c r="B923" s="1" t="n">
        <v>45091</v>
      </c>
      <c r="C923" s="1" t="n">
        <v>46087</v>
      </c>
      <c r="D923" t="inlineStr">
        <is>
          <t>JÄMTLANDS LÄN</t>
        </is>
      </c>
      <c r="E923" t="inlineStr">
        <is>
          <t>RAGUNDA</t>
        </is>
      </c>
      <c r="F923" t="inlineStr">
        <is>
          <t>SCA</t>
        </is>
      </c>
      <c r="G923" t="n">
        <v>6.6</v>
      </c>
      <c r="H923" t="n">
        <v>0</v>
      </c>
      <c r="I923" t="n">
        <v>0</v>
      </c>
      <c r="J923" t="n">
        <v>0</v>
      </c>
      <c r="K923" t="n">
        <v>0</v>
      </c>
      <c r="L923" t="n">
        <v>0</v>
      </c>
      <c r="M923" t="n">
        <v>0</v>
      </c>
      <c r="N923" t="n">
        <v>0</v>
      </c>
      <c r="O923" t="n">
        <v>0</v>
      </c>
      <c r="P923" t="n">
        <v>0</v>
      </c>
      <c r="Q923" t="n">
        <v>0</v>
      </c>
      <c r="R923" s="2" t="inlineStr"/>
    </row>
    <row r="924" ht="15" customHeight="1">
      <c r="A924" t="inlineStr">
        <is>
          <t>A 51538-2022</t>
        </is>
      </c>
      <c r="B924" s="1" t="n">
        <v>44869</v>
      </c>
      <c r="C924" s="1" t="n">
        <v>46087</v>
      </c>
      <c r="D924" t="inlineStr">
        <is>
          <t>JÄMTLANDS LÄN</t>
        </is>
      </c>
      <c r="E924" t="inlineStr">
        <is>
          <t>RAGUNDA</t>
        </is>
      </c>
      <c r="G924" t="n">
        <v>6.8</v>
      </c>
      <c r="H924" t="n">
        <v>0</v>
      </c>
      <c r="I924" t="n">
        <v>0</v>
      </c>
      <c r="J924" t="n">
        <v>0</v>
      </c>
      <c r="K924" t="n">
        <v>0</v>
      </c>
      <c r="L924" t="n">
        <v>0</v>
      </c>
      <c r="M924" t="n">
        <v>0</v>
      </c>
      <c r="N924" t="n">
        <v>0</v>
      </c>
      <c r="O924" t="n">
        <v>0</v>
      </c>
      <c r="P924" t="n">
        <v>0</v>
      </c>
      <c r="Q924" t="n">
        <v>0</v>
      </c>
      <c r="R924" s="2" t="inlineStr"/>
    </row>
    <row r="925" ht="15" customHeight="1">
      <c r="A925" t="inlineStr">
        <is>
          <t>A 59492-2024</t>
        </is>
      </c>
      <c r="B925" s="1" t="n">
        <v>45638</v>
      </c>
      <c r="C925" s="1" t="n">
        <v>46087</v>
      </c>
      <c r="D925" t="inlineStr">
        <is>
          <t>JÄMTLANDS LÄN</t>
        </is>
      </c>
      <c r="E925" t="inlineStr">
        <is>
          <t>RAGUNDA</t>
        </is>
      </c>
      <c r="G925" t="n">
        <v>1.2</v>
      </c>
      <c r="H925" t="n">
        <v>0</v>
      </c>
      <c r="I925" t="n">
        <v>0</v>
      </c>
      <c r="J925" t="n">
        <v>0</v>
      </c>
      <c r="K925" t="n">
        <v>0</v>
      </c>
      <c r="L925" t="n">
        <v>0</v>
      </c>
      <c r="M925" t="n">
        <v>0</v>
      </c>
      <c r="N925" t="n">
        <v>0</v>
      </c>
      <c r="O925" t="n">
        <v>0</v>
      </c>
      <c r="P925" t="n">
        <v>0</v>
      </c>
      <c r="Q925" t="n">
        <v>0</v>
      </c>
      <c r="R925" s="2" t="inlineStr"/>
    </row>
    <row r="926" ht="15" customHeight="1">
      <c r="A926" t="inlineStr">
        <is>
          <t>A 3561-2026</t>
        </is>
      </c>
      <c r="B926" s="1" t="n">
        <v>46042.67142361111</v>
      </c>
      <c r="C926" s="1" t="n">
        <v>46087</v>
      </c>
      <c r="D926" t="inlineStr">
        <is>
          <t>JÄMTLANDS LÄN</t>
        </is>
      </c>
      <c r="E926" t="inlineStr">
        <is>
          <t>RAGUNDA</t>
        </is>
      </c>
      <c r="G926" t="n">
        <v>3.8</v>
      </c>
      <c r="H926" t="n">
        <v>0</v>
      </c>
      <c r="I926" t="n">
        <v>0</v>
      </c>
      <c r="J926" t="n">
        <v>0</v>
      </c>
      <c r="K926" t="n">
        <v>0</v>
      </c>
      <c r="L926" t="n">
        <v>0</v>
      </c>
      <c r="M926" t="n">
        <v>0</v>
      </c>
      <c r="N926" t="n">
        <v>0</v>
      </c>
      <c r="O926" t="n">
        <v>0</v>
      </c>
      <c r="P926" t="n">
        <v>0</v>
      </c>
      <c r="Q926" t="n">
        <v>0</v>
      </c>
      <c r="R926" s="2" t="inlineStr"/>
    </row>
    <row r="927" ht="15" customHeight="1">
      <c r="A927" t="inlineStr">
        <is>
          <t>A 61109-2024</t>
        </is>
      </c>
      <c r="B927" s="1" t="n">
        <v>45645.55672453704</v>
      </c>
      <c r="C927" s="1" t="n">
        <v>46087</v>
      </c>
      <c r="D927" t="inlineStr">
        <is>
          <t>JÄMTLANDS LÄN</t>
        </is>
      </c>
      <c r="E927" t="inlineStr">
        <is>
          <t>RAGUNDA</t>
        </is>
      </c>
      <c r="G927" t="n">
        <v>4</v>
      </c>
      <c r="H927" t="n">
        <v>0</v>
      </c>
      <c r="I927" t="n">
        <v>0</v>
      </c>
      <c r="J927" t="n">
        <v>0</v>
      </c>
      <c r="K927" t="n">
        <v>0</v>
      </c>
      <c r="L927" t="n">
        <v>0</v>
      </c>
      <c r="M927" t="n">
        <v>0</v>
      </c>
      <c r="N927" t="n">
        <v>0</v>
      </c>
      <c r="O927" t="n">
        <v>0</v>
      </c>
      <c r="P927" t="n">
        <v>0</v>
      </c>
      <c r="Q927" t="n">
        <v>0</v>
      </c>
      <c r="R927" s="2" t="inlineStr"/>
    </row>
    <row r="928" ht="15" customHeight="1">
      <c r="A928" t="inlineStr">
        <is>
          <t>A 31882-2025</t>
        </is>
      </c>
      <c r="B928" s="1" t="n">
        <v>45834.65662037037</v>
      </c>
      <c r="C928" s="1" t="n">
        <v>46087</v>
      </c>
      <c r="D928" t="inlineStr">
        <is>
          <t>JÄMTLANDS LÄN</t>
        </is>
      </c>
      <c r="E928" t="inlineStr">
        <is>
          <t>RAGUNDA</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27373-2023</t>
        </is>
      </c>
      <c r="B929" s="1" t="n">
        <v>45096.93866898148</v>
      </c>
      <c r="C929" s="1" t="n">
        <v>46087</v>
      </c>
      <c r="D929" t="inlineStr">
        <is>
          <t>JÄMTLANDS LÄN</t>
        </is>
      </c>
      <c r="E929" t="inlineStr">
        <is>
          <t>RAGUNDA</t>
        </is>
      </c>
      <c r="F929" t="inlineStr">
        <is>
          <t>SCA</t>
        </is>
      </c>
      <c r="G929" t="n">
        <v>6.9</v>
      </c>
      <c r="H929" t="n">
        <v>0</v>
      </c>
      <c r="I929" t="n">
        <v>0</v>
      </c>
      <c r="J929" t="n">
        <v>0</v>
      </c>
      <c r="K929" t="n">
        <v>0</v>
      </c>
      <c r="L929" t="n">
        <v>0</v>
      </c>
      <c r="M929" t="n">
        <v>0</v>
      </c>
      <c r="N929" t="n">
        <v>0</v>
      </c>
      <c r="O929" t="n">
        <v>0</v>
      </c>
      <c r="P929" t="n">
        <v>0</v>
      </c>
      <c r="Q929" t="n">
        <v>0</v>
      </c>
      <c r="R929" s="2" t="inlineStr"/>
    </row>
    <row r="930" ht="15" customHeight="1">
      <c r="A930" t="inlineStr">
        <is>
          <t>A 16321-2025</t>
        </is>
      </c>
      <c r="B930" s="1" t="n">
        <v>45751.34873842593</v>
      </c>
      <c r="C930" s="1" t="n">
        <v>46087</v>
      </c>
      <c r="D930" t="inlineStr">
        <is>
          <t>JÄMTLANDS LÄN</t>
        </is>
      </c>
      <c r="E930" t="inlineStr">
        <is>
          <t>RAGUNDA</t>
        </is>
      </c>
      <c r="F930" t="inlineStr">
        <is>
          <t>SCA</t>
        </is>
      </c>
      <c r="G930" t="n">
        <v>63.3</v>
      </c>
      <c r="H930" t="n">
        <v>0</v>
      </c>
      <c r="I930" t="n">
        <v>0</v>
      </c>
      <c r="J930" t="n">
        <v>0</v>
      </c>
      <c r="K930" t="n">
        <v>0</v>
      </c>
      <c r="L930" t="n">
        <v>0</v>
      </c>
      <c r="M930" t="n">
        <v>0</v>
      </c>
      <c r="N930" t="n">
        <v>0</v>
      </c>
      <c r="O930" t="n">
        <v>0</v>
      </c>
      <c r="P930" t="n">
        <v>0</v>
      </c>
      <c r="Q930" t="n">
        <v>0</v>
      </c>
      <c r="R930" s="2" t="inlineStr"/>
    </row>
    <row r="931" ht="15" customHeight="1">
      <c r="A931" t="inlineStr">
        <is>
          <t>A 55904-2022</t>
        </is>
      </c>
      <c r="B931" s="1" t="n">
        <v>44888</v>
      </c>
      <c r="C931" s="1" t="n">
        <v>46087</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3065-2026</t>
        </is>
      </c>
      <c r="B932" s="1" t="n">
        <v>46040.47866898148</v>
      </c>
      <c r="C932" s="1" t="n">
        <v>46087</v>
      </c>
      <c r="D932" t="inlineStr">
        <is>
          <t>JÄMTLANDS LÄN</t>
        </is>
      </c>
      <c r="E932" t="inlineStr">
        <is>
          <t>RAGUNDA</t>
        </is>
      </c>
      <c r="G932" t="n">
        <v>2</v>
      </c>
      <c r="H932" t="n">
        <v>0</v>
      </c>
      <c r="I932" t="n">
        <v>0</v>
      </c>
      <c r="J932" t="n">
        <v>0</v>
      </c>
      <c r="K932" t="n">
        <v>0</v>
      </c>
      <c r="L932" t="n">
        <v>0</v>
      </c>
      <c r="M932" t="n">
        <v>0</v>
      </c>
      <c r="N932" t="n">
        <v>0</v>
      </c>
      <c r="O932" t="n">
        <v>0</v>
      </c>
      <c r="P932" t="n">
        <v>0</v>
      </c>
      <c r="Q932" t="n">
        <v>0</v>
      </c>
      <c r="R932" s="2" t="inlineStr"/>
    </row>
    <row r="933" ht="15" customHeight="1">
      <c r="A933" t="inlineStr">
        <is>
          <t>A 19854-2025</t>
        </is>
      </c>
      <c r="B933" s="1" t="n">
        <v>45771.51074074074</v>
      </c>
      <c r="C933" s="1" t="n">
        <v>46087</v>
      </c>
      <c r="D933" t="inlineStr">
        <is>
          <t>JÄMTLANDS LÄN</t>
        </is>
      </c>
      <c r="E933" t="inlineStr">
        <is>
          <t>RAGUNDA</t>
        </is>
      </c>
      <c r="F933" t="inlineStr">
        <is>
          <t>SCA</t>
        </is>
      </c>
      <c r="G933" t="n">
        <v>8.4</v>
      </c>
      <c r="H933" t="n">
        <v>0</v>
      </c>
      <c r="I933" t="n">
        <v>0</v>
      </c>
      <c r="J933" t="n">
        <v>0</v>
      </c>
      <c r="K933" t="n">
        <v>0</v>
      </c>
      <c r="L933" t="n">
        <v>0</v>
      </c>
      <c r="M933" t="n">
        <v>0</v>
      </c>
      <c r="N933" t="n">
        <v>0</v>
      </c>
      <c r="O933" t="n">
        <v>0</v>
      </c>
      <c r="P933" t="n">
        <v>0</v>
      </c>
      <c r="Q933" t="n">
        <v>0</v>
      </c>
      <c r="R933" s="2" t="inlineStr"/>
    </row>
    <row r="934" ht="15" customHeight="1">
      <c r="A934" t="inlineStr">
        <is>
          <t>A 6688-2024</t>
        </is>
      </c>
      <c r="B934" s="1" t="n">
        <v>45341</v>
      </c>
      <c r="C934" s="1" t="n">
        <v>46087</v>
      </c>
      <c r="D934" t="inlineStr">
        <is>
          <t>JÄMTLANDS LÄN</t>
        </is>
      </c>
      <c r="E934" t="inlineStr">
        <is>
          <t>RAGUNDA</t>
        </is>
      </c>
      <c r="G934" t="n">
        <v>2</v>
      </c>
      <c r="H934" t="n">
        <v>0</v>
      </c>
      <c r="I934" t="n">
        <v>0</v>
      </c>
      <c r="J934" t="n">
        <v>0</v>
      </c>
      <c r="K934" t="n">
        <v>0</v>
      </c>
      <c r="L934" t="n">
        <v>0</v>
      </c>
      <c r="M934" t="n">
        <v>0</v>
      </c>
      <c r="N934" t="n">
        <v>0</v>
      </c>
      <c r="O934" t="n">
        <v>0</v>
      </c>
      <c r="P934" t="n">
        <v>0</v>
      </c>
      <c r="Q934" t="n">
        <v>0</v>
      </c>
      <c r="R934" s="2" t="inlineStr"/>
    </row>
    <row r="935" ht="15" customHeight="1">
      <c r="A935" t="inlineStr">
        <is>
          <t>A 30642-2024</t>
        </is>
      </c>
      <c r="B935" s="1" t="n">
        <v>45495.57677083334</v>
      </c>
      <c r="C935" s="1" t="n">
        <v>46087</v>
      </c>
      <c r="D935" t="inlineStr">
        <is>
          <t>JÄMTLANDS LÄN</t>
        </is>
      </c>
      <c r="E935" t="inlineStr">
        <is>
          <t>RAGUNDA</t>
        </is>
      </c>
      <c r="G935" t="n">
        <v>2.7</v>
      </c>
      <c r="H935" t="n">
        <v>0</v>
      </c>
      <c r="I935" t="n">
        <v>0</v>
      </c>
      <c r="J935" t="n">
        <v>0</v>
      </c>
      <c r="K935" t="n">
        <v>0</v>
      </c>
      <c r="L935" t="n">
        <v>0</v>
      </c>
      <c r="M935" t="n">
        <v>0</v>
      </c>
      <c r="N935" t="n">
        <v>0</v>
      </c>
      <c r="O935" t="n">
        <v>0</v>
      </c>
      <c r="P935" t="n">
        <v>0</v>
      </c>
      <c r="Q935" t="n">
        <v>0</v>
      </c>
      <c r="R935" s="2" t="inlineStr"/>
    </row>
    <row r="936" ht="15" customHeight="1">
      <c r="A936" t="inlineStr">
        <is>
          <t>A 32762-2025</t>
        </is>
      </c>
      <c r="B936" s="1" t="n">
        <v>45838</v>
      </c>
      <c r="C936" s="1" t="n">
        <v>46087</v>
      </c>
      <c r="D936" t="inlineStr">
        <is>
          <t>JÄMTLANDS LÄN</t>
        </is>
      </c>
      <c r="E936" t="inlineStr">
        <is>
          <t>RAGUNDA</t>
        </is>
      </c>
      <c r="G936" t="n">
        <v>0.6</v>
      </c>
      <c r="H936" t="n">
        <v>0</v>
      </c>
      <c r="I936" t="n">
        <v>0</v>
      </c>
      <c r="J936" t="n">
        <v>0</v>
      </c>
      <c r="K936" t="n">
        <v>0</v>
      </c>
      <c r="L936" t="n">
        <v>0</v>
      </c>
      <c r="M936" t="n">
        <v>0</v>
      </c>
      <c r="N936" t="n">
        <v>0</v>
      </c>
      <c r="O936" t="n">
        <v>0</v>
      </c>
      <c r="P936" t="n">
        <v>0</v>
      </c>
      <c r="Q936" t="n">
        <v>0</v>
      </c>
      <c r="R936" s="2" t="inlineStr"/>
    </row>
    <row r="937" ht="15" customHeight="1">
      <c r="A937" t="inlineStr">
        <is>
          <t>A 16635-2025</t>
        </is>
      </c>
      <c r="B937" s="1" t="n">
        <v>45754</v>
      </c>
      <c r="C937" s="1" t="n">
        <v>46087</v>
      </c>
      <c r="D937" t="inlineStr">
        <is>
          <t>JÄMTLANDS LÄN</t>
        </is>
      </c>
      <c r="E937" t="inlineStr">
        <is>
          <t>RAGUNDA</t>
        </is>
      </c>
      <c r="F937" t="inlineStr">
        <is>
          <t>SCA</t>
        </is>
      </c>
      <c r="G937" t="n">
        <v>55.4</v>
      </c>
      <c r="H937" t="n">
        <v>0</v>
      </c>
      <c r="I937" t="n">
        <v>0</v>
      </c>
      <c r="J937" t="n">
        <v>0</v>
      </c>
      <c r="K937" t="n">
        <v>0</v>
      </c>
      <c r="L937" t="n">
        <v>0</v>
      </c>
      <c r="M937" t="n">
        <v>0</v>
      </c>
      <c r="N937" t="n">
        <v>0</v>
      </c>
      <c r="O937" t="n">
        <v>0</v>
      </c>
      <c r="P937" t="n">
        <v>0</v>
      </c>
      <c r="Q937" t="n">
        <v>0</v>
      </c>
      <c r="R937" s="2" t="inlineStr"/>
    </row>
    <row r="938" ht="15" customHeight="1">
      <c r="A938" t="inlineStr">
        <is>
          <t>A 11876-2026</t>
        </is>
      </c>
      <c r="B938" s="1" t="n">
        <v>46085.50024305555</v>
      </c>
      <c r="C938" s="1" t="n">
        <v>46087</v>
      </c>
      <c r="D938" t="inlineStr">
        <is>
          <t>JÄMTLANDS LÄN</t>
        </is>
      </c>
      <c r="E938" t="inlineStr">
        <is>
          <t>RAGUNDA</t>
        </is>
      </c>
      <c r="G938" t="n">
        <v>2.4</v>
      </c>
      <c r="H938" t="n">
        <v>0</v>
      </c>
      <c r="I938" t="n">
        <v>0</v>
      </c>
      <c r="J938" t="n">
        <v>0</v>
      </c>
      <c r="K938" t="n">
        <v>0</v>
      </c>
      <c r="L938" t="n">
        <v>0</v>
      </c>
      <c r="M938" t="n">
        <v>0</v>
      </c>
      <c r="N938" t="n">
        <v>0</v>
      </c>
      <c r="O938" t="n">
        <v>0</v>
      </c>
      <c r="P938" t="n">
        <v>0</v>
      </c>
      <c r="Q938" t="n">
        <v>0</v>
      </c>
      <c r="R938" s="2" t="inlineStr"/>
    </row>
    <row r="939" ht="15" customHeight="1">
      <c r="A939" t="inlineStr">
        <is>
          <t>A 11878-2026</t>
        </is>
      </c>
      <c r="B939" s="1" t="n">
        <v>46085.50053240741</v>
      </c>
      <c r="C939" s="1" t="n">
        <v>46087</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11880-2026</t>
        </is>
      </c>
      <c r="B940" s="1" t="n">
        <v>46085.50150462963</v>
      </c>
      <c r="C940" s="1" t="n">
        <v>46087</v>
      </c>
      <c r="D940" t="inlineStr">
        <is>
          <t>JÄMTLANDS LÄN</t>
        </is>
      </c>
      <c r="E940" t="inlineStr">
        <is>
          <t>RAGUNDA</t>
        </is>
      </c>
      <c r="G940" t="n">
        <v>4</v>
      </c>
      <c r="H940" t="n">
        <v>0</v>
      </c>
      <c r="I940" t="n">
        <v>0</v>
      </c>
      <c r="J940" t="n">
        <v>0</v>
      </c>
      <c r="K940" t="n">
        <v>0</v>
      </c>
      <c r="L940" t="n">
        <v>0</v>
      </c>
      <c r="M940" t="n">
        <v>0</v>
      </c>
      <c r="N940" t="n">
        <v>0</v>
      </c>
      <c r="O940" t="n">
        <v>0</v>
      </c>
      <c r="P940" t="n">
        <v>0</v>
      </c>
      <c r="Q940" t="n">
        <v>0</v>
      </c>
      <c r="R940" s="2" t="inlineStr"/>
    </row>
    <row r="941" ht="15" customHeight="1">
      <c r="A941" t="inlineStr">
        <is>
          <t>A 12179-2026</t>
        </is>
      </c>
      <c r="B941" s="1" t="n">
        <v>46086.69835648148</v>
      </c>
      <c r="C941" s="1" t="n">
        <v>46087</v>
      </c>
      <c r="D941" t="inlineStr">
        <is>
          <t>JÄMTLANDS LÄN</t>
        </is>
      </c>
      <c r="E941" t="inlineStr">
        <is>
          <t>RAGUNDA</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37479-2023</t>
        </is>
      </c>
      <c r="B942" s="1" t="n">
        <v>45156</v>
      </c>
      <c r="C942" s="1" t="n">
        <v>46087</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3813-2026</t>
        </is>
      </c>
      <c r="B943" s="1" t="n">
        <v>46043.58447916667</v>
      </c>
      <c r="C943" s="1" t="n">
        <v>46087</v>
      </c>
      <c r="D943" t="inlineStr">
        <is>
          <t>JÄMTLANDS LÄN</t>
        </is>
      </c>
      <c r="E943" t="inlineStr">
        <is>
          <t>RAGUNDA</t>
        </is>
      </c>
      <c r="F943" t="inlineStr">
        <is>
          <t>SCA</t>
        </is>
      </c>
      <c r="G943" t="n">
        <v>23.2</v>
      </c>
      <c r="H943" t="n">
        <v>0</v>
      </c>
      <c r="I943" t="n">
        <v>0</v>
      </c>
      <c r="J943" t="n">
        <v>0</v>
      </c>
      <c r="K943" t="n">
        <v>0</v>
      </c>
      <c r="L943" t="n">
        <v>0</v>
      </c>
      <c r="M943" t="n">
        <v>0</v>
      </c>
      <c r="N943" t="n">
        <v>0</v>
      </c>
      <c r="O943" t="n">
        <v>0</v>
      </c>
      <c r="P943" t="n">
        <v>0</v>
      </c>
      <c r="Q943" t="n">
        <v>0</v>
      </c>
      <c r="R943" s="2" t="inlineStr"/>
    </row>
    <row r="944" ht="15" customHeight="1">
      <c r="A944" t="inlineStr">
        <is>
          <t>A 32306-2025</t>
        </is>
      </c>
      <c r="B944" s="1" t="n">
        <v>45835.72046296296</v>
      </c>
      <c r="C944" s="1" t="n">
        <v>46087</v>
      </c>
      <c r="D944" t="inlineStr">
        <is>
          <t>JÄMTLANDS LÄN</t>
        </is>
      </c>
      <c r="E944" t="inlineStr">
        <is>
          <t>RAGUNDA</t>
        </is>
      </c>
      <c r="G944" t="n">
        <v>10.2</v>
      </c>
      <c r="H944" t="n">
        <v>0</v>
      </c>
      <c r="I944" t="n">
        <v>0</v>
      </c>
      <c r="J944" t="n">
        <v>0</v>
      </c>
      <c r="K944" t="n">
        <v>0</v>
      </c>
      <c r="L944" t="n">
        <v>0</v>
      </c>
      <c r="M944" t="n">
        <v>0</v>
      </c>
      <c r="N944" t="n">
        <v>0</v>
      </c>
      <c r="O944" t="n">
        <v>0</v>
      </c>
      <c r="P944" t="n">
        <v>0</v>
      </c>
      <c r="Q944" t="n">
        <v>0</v>
      </c>
      <c r="R944" s="2" t="inlineStr"/>
    </row>
    <row r="945" ht="15" customHeight="1">
      <c r="A945" t="inlineStr">
        <is>
          <t>A 32757-2025</t>
        </is>
      </c>
      <c r="B945" s="1" t="n">
        <v>45838</v>
      </c>
      <c r="C945" s="1" t="n">
        <v>46087</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41772-2024</t>
        </is>
      </c>
      <c r="B946" s="1" t="n">
        <v>45561.34663194444</v>
      </c>
      <c r="C946" s="1" t="n">
        <v>46087</v>
      </c>
      <c r="D946" t="inlineStr">
        <is>
          <t>JÄMTLANDS LÄN</t>
        </is>
      </c>
      <c r="E946" t="inlineStr">
        <is>
          <t>RAGUNDA</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11882-2026</t>
        </is>
      </c>
      <c r="B947" s="1" t="n">
        <v>46085.504375</v>
      </c>
      <c r="C947" s="1" t="n">
        <v>46087</v>
      </c>
      <c r="D947" t="inlineStr">
        <is>
          <t>JÄMTLANDS LÄN</t>
        </is>
      </c>
      <c r="E947" t="inlineStr">
        <is>
          <t>RAGUNDA</t>
        </is>
      </c>
      <c r="G947" t="n">
        <v>7</v>
      </c>
      <c r="H947" t="n">
        <v>0</v>
      </c>
      <c r="I947" t="n">
        <v>0</v>
      </c>
      <c r="J947" t="n">
        <v>0</v>
      </c>
      <c r="K947" t="n">
        <v>0</v>
      </c>
      <c r="L947" t="n">
        <v>0</v>
      </c>
      <c r="M947" t="n">
        <v>0</v>
      </c>
      <c r="N947" t="n">
        <v>0</v>
      </c>
      <c r="O947" t="n">
        <v>0</v>
      </c>
      <c r="P947" t="n">
        <v>0</v>
      </c>
      <c r="Q947" t="n">
        <v>0</v>
      </c>
      <c r="R947" s="2" t="inlineStr"/>
    </row>
    <row r="948" ht="15" customHeight="1">
      <c r="A948" t="inlineStr">
        <is>
          <t>A 32660-2025</t>
        </is>
      </c>
      <c r="B948" s="1" t="n">
        <v>45838.67887731481</v>
      </c>
      <c r="C948" s="1" t="n">
        <v>46087</v>
      </c>
      <c r="D948" t="inlineStr">
        <is>
          <t>JÄMTLANDS LÄN</t>
        </is>
      </c>
      <c r="E948" t="inlineStr">
        <is>
          <t>RAGUNDA</t>
        </is>
      </c>
      <c r="F948" t="inlineStr">
        <is>
          <t>SCA</t>
        </is>
      </c>
      <c r="G948" t="n">
        <v>10.3</v>
      </c>
      <c r="H948" t="n">
        <v>0</v>
      </c>
      <c r="I948" t="n">
        <v>0</v>
      </c>
      <c r="J948" t="n">
        <v>0</v>
      </c>
      <c r="K948" t="n">
        <v>0</v>
      </c>
      <c r="L948" t="n">
        <v>0</v>
      </c>
      <c r="M948" t="n">
        <v>0</v>
      </c>
      <c r="N948" t="n">
        <v>0</v>
      </c>
      <c r="O948" t="n">
        <v>0</v>
      </c>
      <c r="P948" t="n">
        <v>0</v>
      </c>
      <c r="Q948" t="n">
        <v>0</v>
      </c>
      <c r="R948" s="2" t="inlineStr"/>
    </row>
    <row r="949" ht="15" customHeight="1">
      <c r="A949" t="inlineStr">
        <is>
          <t>A 12660-2024</t>
        </is>
      </c>
      <c r="B949" s="1" t="n">
        <v>45384</v>
      </c>
      <c r="C949" s="1" t="n">
        <v>46087</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4099-2026</t>
        </is>
      </c>
      <c r="B950" s="1" t="n">
        <v>46044.57357638889</v>
      </c>
      <c r="C950" s="1" t="n">
        <v>46087</v>
      </c>
      <c r="D950" t="inlineStr">
        <is>
          <t>JÄMTLANDS LÄN</t>
        </is>
      </c>
      <c r="E950" t="inlineStr">
        <is>
          <t>RAGUNDA</t>
        </is>
      </c>
      <c r="G950" t="n">
        <v>8.4</v>
      </c>
      <c r="H950" t="n">
        <v>0</v>
      </c>
      <c r="I950" t="n">
        <v>0</v>
      </c>
      <c r="J950" t="n">
        <v>0</v>
      </c>
      <c r="K950" t="n">
        <v>0</v>
      </c>
      <c r="L950" t="n">
        <v>0</v>
      </c>
      <c r="M950" t="n">
        <v>0</v>
      </c>
      <c r="N950" t="n">
        <v>0</v>
      </c>
      <c r="O950" t="n">
        <v>0</v>
      </c>
      <c r="P950" t="n">
        <v>0</v>
      </c>
      <c r="Q950" t="n">
        <v>0</v>
      </c>
      <c r="R950" s="2" t="inlineStr"/>
    </row>
    <row r="951" ht="15" customHeight="1">
      <c r="A951" t="inlineStr">
        <is>
          <t>A 25332-2023</t>
        </is>
      </c>
      <c r="B951" s="1" t="n">
        <v>45086.94010416666</v>
      </c>
      <c r="C951" s="1" t="n">
        <v>46087</v>
      </c>
      <c r="D951" t="inlineStr">
        <is>
          <t>JÄMTLANDS LÄN</t>
        </is>
      </c>
      <c r="E951" t="inlineStr">
        <is>
          <t>RAGUNDA</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4142-2026</t>
        </is>
      </c>
      <c r="B952" s="1" t="n">
        <v>46044.63607638889</v>
      </c>
      <c r="C952" s="1" t="n">
        <v>46087</v>
      </c>
      <c r="D952" t="inlineStr">
        <is>
          <t>JÄMTLANDS LÄN</t>
        </is>
      </c>
      <c r="E952" t="inlineStr">
        <is>
          <t>RAGUNDA</t>
        </is>
      </c>
      <c r="F952" t="inlineStr">
        <is>
          <t>SCA</t>
        </is>
      </c>
      <c r="G952" t="n">
        <v>19.3</v>
      </c>
      <c r="H952" t="n">
        <v>0</v>
      </c>
      <c r="I952" t="n">
        <v>0</v>
      </c>
      <c r="J952" t="n">
        <v>0</v>
      </c>
      <c r="K952" t="n">
        <v>0</v>
      </c>
      <c r="L952" t="n">
        <v>0</v>
      </c>
      <c r="M952" t="n">
        <v>0</v>
      </c>
      <c r="N952" t="n">
        <v>0</v>
      </c>
      <c r="O952" t="n">
        <v>0</v>
      </c>
      <c r="P952" t="n">
        <v>0</v>
      </c>
      <c r="Q952" t="n">
        <v>0</v>
      </c>
      <c r="R952" s="2" t="inlineStr"/>
    </row>
    <row r="953" ht="15" customHeight="1">
      <c r="A953" t="inlineStr">
        <is>
          <t>A 32527-2025</t>
        </is>
      </c>
      <c r="B953" s="1" t="n">
        <v>45838.48996527777</v>
      </c>
      <c r="C953" s="1" t="n">
        <v>46087</v>
      </c>
      <c r="D953" t="inlineStr">
        <is>
          <t>JÄMTLANDS LÄN</t>
        </is>
      </c>
      <c r="E953" t="inlineStr">
        <is>
          <t>RAGUNDA</t>
        </is>
      </c>
      <c r="G953" t="n">
        <v>5</v>
      </c>
      <c r="H953" t="n">
        <v>0</v>
      </c>
      <c r="I953" t="n">
        <v>0</v>
      </c>
      <c r="J953" t="n">
        <v>0</v>
      </c>
      <c r="K953" t="n">
        <v>0</v>
      </c>
      <c r="L953" t="n">
        <v>0</v>
      </c>
      <c r="M953" t="n">
        <v>0</v>
      </c>
      <c r="N953" t="n">
        <v>0</v>
      </c>
      <c r="O953" t="n">
        <v>0</v>
      </c>
      <c r="P953" t="n">
        <v>0</v>
      </c>
      <c r="Q953" t="n">
        <v>0</v>
      </c>
      <c r="R953" s="2" t="inlineStr"/>
    </row>
    <row r="954" ht="15" customHeight="1">
      <c r="A954" t="inlineStr">
        <is>
          <t>A 33615-2023</t>
        </is>
      </c>
      <c r="B954" s="1" t="n">
        <v>45119</v>
      </c>
      <c r="C954" s="1" t="n">
        <v>46087</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43132-2023</t>
        </is>
      </c>
      <c r="B955" s="1" t="n">
        <v>45182</v>
      </c>
      <c r="C955" s="1" t="n">
        <v>46087</v>
      </c>
      <c r="D955" t="inlineStr">
        <is>
          <t>JÄMTLANDS LÄN</t>
        </is>
      </c>
      <c r="E955" t="inlineStr">
        <is>
          <t>RAGUNDA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11832-2026</t>
        </is>
      </c>
      <c r="B956" s="1" t="n">
        <v>46085.42788194444</v>
      </c>
      <c r="C956" s="1" t="n">
        <v>46087</v>
      </c>
      <c r="D956" t="inlineStr">
        <is>
          <t>JÄMTLANDS LÄN</t>
        </is>
      </c>
      <c r="E956" t="inlineStr">
        <is>
          <t>RAGUNDA</t>
        </is>
      </c>
      <c r="F956" t="inlineStr">
        <is>
          <t>SCA</t>
        </is>
      </c>
      <c r="G956" t="n">
        <v>6.9</v>
      </c>
      <c r="H956" t="n">
        <v>0</v>
      </c>
      <c r="I956" t="n">
        <v>0</v>
      </c>
      <c r="J956" t="n">
        <v>0</v>
      </c>
      <c r="K956" t="n">
        <v>0</v>
      </c>
      <c r="L956" t="n">
        <v>0</v>
      </c>
      <c r="M956" t="n">
        <v>0</v>
      </c>
      <c r="N956" t="n">
        <v>0</v>
      </c>
      <c r="O956" t="n">
        <v>0</v>
      </c>
      <c r="P956" t="n">
        <v>0</v>
      </c>
      <c r="Q956" t="n">
        <v>0</v>
      </c>
      <c r="R956" s="2" t="inlineStr"/>
    </row>
    <row r="957" ht="15" customHeight="1">
      <c r="A957" t="inlineStr">
        <is>
          <t>A 32021-2025</t>
        </is>
      </c>
      <c r="B957" s="1" t="n">
        <v>45835.40668981482</v>
      </c>
      <c r="C957" s="1" t="n">
        <v>46087</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32655-2025</t>
        </is>
      </c>
      <c r="B958" s="1" t="n">
        <v>45838.67800925926</v>
      </c>
      <c r="C958" s="1" t="n">
        <v>46087</v>
      </c>
      <c r="D958" t="inlineStr">
        <is>
          <t>JÄMTLANDS LÄN</t>
        </is>
      </c>
      <c r="E958" t="inlineStr">
        <is>
          <t>RAGUNDA</t>
        </is>
      </c>
      <c r="G958" t="n">
        <v>2.8</v>
      </c>
      <c r="H958" t="n">
        <v>0</v>
      </c>
      <c r="I958" t="n">
        <v>0</v>
      </c>
      <c r="J958" t="n">
        <v>0</v>
      </c>
      <c r="K958" t="n">
        <v>0</v>
      </c>
      <c r="L958" t="n">
        <v>0</v>
      </c>
      <c r="M958" t="n">
        <v>0</v>
      </c>
      <c r="N958" t="n">
        <v>0</v>
      </c>
      <c r="O958" t="n">
        <v>0</v>
      </c>
      <c r="P958" t="n">
        <v>0</v>
      </c>
      <c r="Q958" t="n">
        <v>0</v>
      </c>
      <c r="R958" s="2" t="inlineStr"/>
    </row>
    <row r="959" ht="15" customHeight="1">
      <c r="A959" t="inlineStr">
        <is>
          <t>A 8654-2024</t>
        </is>
      </c>
      <c r="B959" s="1" t="n">
        <v>45356.03784722222</v>
      </c>
      <c r="C959" s="1" t="n">
        <v>46087</v>
      </c>
      <c r="D959" t="inlineStr">
        <is>
          <t>JÄMTLANDS LÄN</t>
        </is>
      </c>
      <c r="E959" t="inlineStr">
        <is>
          <t>RAGUNDA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9325-2024</t>
        </is>
      </c>
      <c r="B960" s="1" t="n">
        <v>45358.95813657407</v>
      </c>
      <c r="C960" s="1" t="n">
        <v>46087</v>
      </c>
      <c r="D960" t="inlineStr">
        <is>
          <t>JÄMTLANDS LÄN</t>
        </is>
      </c>
      <c r="E960" t="inlineStr">
        <is>
          <t>RAGUNDA</t>
        </is>
      </c>
      <c r="G960" t="n">
        <v>3.1</v>
      </c>
      <c r="H960" t="n">
        <v>0</v>
      </c>
      <c r="I960" t="n">
        <v>0</v>
      </c>
      <c r="J960" t="n">
        <v>0</v>
      </c>
      <c r="K960" t="n">
        <v>0</v>
      </c>
      <c r="L960" t="n">
        <v>0</v>
      </c>
      <c r="M960" t="n">
        <v>0</v>
      </c>
      <c r="N960" t="n">
        <v>0</v>
      </c>
      <c r="O960" t="n">
        <v>0</v>
      </c>
      <c r="P960" t="n">
        <v>0</v>
      </c>
      <c r="Q960" t="n">
        <v>0</v>
      </c>
      <c r="R960" s="2" t="inlineStr"/>
    </row>
    <row r="961" ht="15" customHeight="1">
      <c r="A961" t="inlineStr">
        <is>
          <t>A 32151-2025</t>
        </is>
      </c>
      <c r="B961" s="1" t="n">
        <v>45835.53166666667</v>
      </c>
      <c r="C961" s="1" t="n">
        <v>46087</v>
      </c>
      <c r="D961" t="inlineStr">
        <is>
          <t>JÄMTLANDS LÄN</t>
        </is>
      </c>
      <c r="E961" t="inlineStr">
        <is>
          <t>RAGUNDA</t>
        </is>
      </c>
      <c r="F961" t="inlineStr">
        <is>
          <t>SCA</t>
        </is>
      </c>
      <c r="G961" t="n">
        <v>12.3</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46087</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8678-2023</t>
        </is>
      </c>
      <c r="B963" s="1" t="n">
        <v>44977.98660879629</v>
      </c>
      <c r="C963" s="1" t="n">
        <v>46087</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4047-2026</t>
        </is>
      </c>
      <c r="B964" s="1" t="n">
        <v>46044.46944444445</v>
      </c>
      <c r="C964" s="1" t="n">
        <v>46087</v>
      </c>
      <c r="D964" t="inlineStr">
        <is>
          <t>JÄMTLANDS LÄN</t>
        </is>
      </c>
      <c r="E964" t="inlineStr">
        <is>
          <t>RAGUNDA</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32096-2025</t>
        </is>
      </c>
      <c r="B965" s="1" t="n">
        <v>45835.46334490741</v>
      </c>
      <c r="C965" s="1" t="n">
        <v>46087</v>
      </c>
      <c r="D965" t="inlineStr">
        <is>
          <t>JÄMTLANDS LÄN</t>
        </is>
      </c>
      <c r="E965" t="inlineStr">
        <is>
          <t>RAGUNDA</t>
        </is>
      </c>
      <c r="G965" t="n">
        <v>0.9</v>
      </c>
      <c r="H965" t="n">
        <v>0</v>
      </c>
      <c r="I965" t="n">
        <v>0</v>
      </c>
      <c r="J965" t="n">
        <v>0</v>
      </c>
      <c r="K965" t="n">
        <v>0</v>
      </c>
      <c r="L965" t="n">
        <v>0</v>
      </c>
      <c r="M965" t="n">
        <v>0</v>
      </c>
      <c r="N965" t="n">
        <v>0</v>
      </c>
      <c r="O965" t="n">
        <v>0</v>
      </c>
      <c r="P965" t="n">
        <v>0</v>
      </c>
      <c r="Q965" t="n">
        <v>0</v>
      </c>
      <c r="R965" s="2" t="inlineStr"/>
    </row>
    <row r="966" ht="15" customHeight="1">
      <c r="A966" t="inlineStr">
        <is>
          <t>A 4046-2026</t>
        </is>
      </c>
      <c r="B966" s="1" t="n">
        <v>46044.46921296296</v>
      </c>
      <c r="C966" s="1" t="n">
        <v>46087</v>
      </c>
      <c r="D966" t="inlineStr">
        <is>
          <t>JÄMTLANDS LÄN</t>
        </is>
      </c>
      <c r="E966" t="inlineStr">
        <is>
          <t>RAGUNDA</t>
        </is>
      </c>
      <c r="G966" t="n">
        <v>5.3</v>
      </c>
      <c r="H966" t="n">
        <v>0</v>
      </c>
      <c r="I966" t="n">
        <v>0</v>
      </c>
      <c r="J966" t="n">
        <v>0</v>
      </c>
      <c r="K966" t="n">
        <v>0</v>
      </c>
      <c r="L966" t="n">
        <v>0</v>
      </c>
      <c r="M966" t="n">
        <v>0</v>
      </c>
      <c r="N966" t="n">
        <v>0</v>
      </c>
      <c r="O966" t="n">
        <v>0</v>
      </c>
      <c r="P966" t="n">
        <v>0</v>
      </c>
      <c r="Q966" t="n">
        <v>0</v>
      </c>
      <c r="R966" s="2" t="inlineStr"/>
    </row>
    <row r="967" ht="15" customHeight="1">
      <c r="A967" t="inlineStr">
        <is>
          <t>A 4073-2026</t>
        </is>
      </c>
      <c r="B967" s="1" t="n">
        <v>46044.53168981482</v>
      </c>
      <c r="C967" s="1" t="n">
        <v>46087</v>
      </c>
      <c r="D967" t="inlineStr">
        <is>
          <t>JÄMTLANDS LÄN</t>
        </is>
      </c>
      <c r="E967" t="inlineStr">
        <is>
          <t>RAGUNDA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29766-2023</t>
        </is>
      </c>
      <c r="B968" s="1" t="n">
        <v>45098</v>
      </c>
      <c r="C968" s="1" t="n">
        <v>46087</v>
      </c>
      <c r="D968" t="inlineStr">
        <is>
          <t>JÄMTLANDS LÄN</t>
        </is>
      </c>
      <c r="E968" t="inlineStr">
        <is>
          <t>RAGUNDA</t>
        </is>
      </c>
      <c r="G968" t="n">
        <v>2.7</v>
      </c>
      <c r="H968" t="n">
        <v>0</v>
      </c>
      <c r="I968" t="n">
        <v>0</v>
      </c>
      <c r="J968" t="n">
        <v>0</v>
      </c>
      <c r="K968" t="n">
        <v>0</v>
      </c>
      <c r="L968" t="n">
        <v>0</v>
      </c>
      <c r="M968" t="n">
        <v>0</v>
      </c>
      <c r="N968" t="n">
        <v>0</v>
      </c>
      <c r="O968" t="n">
        <v>0</v>
      </c>
      <c r="P968" t="n">
        <v>0</v>
      </c>
      <c r="Q968" t="n">
        <v>0</v>
      </c>
      <c r="R968" s="2" t="inlineStr"/>
    </row>
    <row r="969" ht="15" customHeight="1">
      <c r="A969" t="inlineStr">
        <is>
          <t>A 32748-2025</t>
        </is>
      </c>
      <c r="B969" s="1" t="n">
        <v>45839.42822916667</v>
      </c>
      <c r="C969" s="1" t="n">
        <v>46087</v>
      </c>
      <c r="D969" t="inlineStr">
        <is>
          <t>JÄMTLANDS LÄN</t>
        </is>
      </c>
      <c r="E969" t="inlineStr">
        <is>
          <t>RAGUNDA</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32777-2025</t>
        </is>
      </c>
      <c r="B970" s="1" t="n">
        <v>45839.46915509259</v>
      </c>
      <c r="C970" s="1" t="n">
        <v>46087</v>
      </c>
      <c r="D970" t="inlineStr">
        <is>
          <t>JÄMTLANDS LÄN</t>
        </is>
      </c>
      <c r="E970" t="inlineStr">
        <is>
          <t>RAGUNDA</t>
        </is>
      </c>
      <c r="F970" t="inlineStr">
        <is>
          <t>SCA</t>
        </is>
      </c>
      <c r="G970" t="n">
        <v>21.7</v>
      </c>
      <c r="H970" t="n">
        <v>0</v>
      </c>
      <c r="I970" t="n">
        <v>0</v>
      </c>
      <c r="J970" t="n">
        <v>0</v>
      </c>
      <c r="K970" t="n">
        <v>0</v>
      </c>
      <c r="L970" t="n">
        <v>0</v>
      </c>
      <c r="M970" t="n">
        <v>0</v>
      </c>
      <c r="N970" t="n">
        <v>0</v>
      </c>
      <c r="O970" t="n">
        <v>0</v>
      </c>
      <c r="P970" t="n">
        <v>0</v>
      </c>
      <c r="Q970" t="n">
        <v>0</v>
      </c>
      <c r="R970" s="2" t="inlineStr"/>
    </row>
    <row r="971" ht="15" customHeight="1">
      <c r="A971" t="inlineStr">
        <is>
          <t>A 32430-2025</t>
        </is>
      </c>
      <c r="B971" s="1" t="n">
        <v>45838.36532407408</v>
      </c>
      <c r="C971" s="1" t="n">
        <v>46087</v>
      </c>
      <c r="D971" t="inlineStr">
        <is>
          <t>JÄMTLANDS LÄN</t>
        </is>
      </c>
      <c r="E971" t="inlineStr">
        <is>
          <t>RAGUNDA</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60935-2024</t>
        </is>
      </c>
      <c r="B972" s="1" t="n">
        <v>45645.36740740741</v>
      </c>
      <c r="C972" s="1" t="n">
        <v>46087</v>
      </c>
      <c r="D972" t="inlineStr">
        <is>
          <t>JÄMTLANDS LÄN</t>
        </is>
      </c>
      <c r="E972" t="inlineStr">
        <is>
          <t>RAGUNDA</t>
        </is>
      </c>
      <c r="G972" t="n">
        <v>2.6</v>
      </c>
      <c r="H972" t="n">
        <v>0</v>
      </c>
      <c r="I972" t="n">
        <v>0</v>
      </c>
      <c r="J972" t="n">
        <v>0</v>
      </c>
      <c r="K972" t="n">
        <v>0</v>
      </c>
      <c r="L972" t="n">
        <v>0</v>
      </c>
      <c r="M972" t="n">
        <v>0</v>
      </c>
      <c r="N972" t="n">
        <v>0</v>
      </c>
      <c r="O972" t="n">
        <v>0</v>
      </c>
      <c r="P972" t="n">
        <v>0</v>
      </c>
      <c r="Q972" t="n">
        <v>0</v>
      </c>
      <c r="R972" s="2" t="inlineStr"/>
    </row>
    <row r="973" ht="15" customHeight="1">
      <c r="A973" t="inlineStr">
        <is>
          <t>A 32796-2025</t>
        </is>
      </c>
      <c r="B973" s="1" t="n">
        <v>45839.49082175926</v>
      </c>
      <c r="C973" s="1" t="n">
        <v>46087</v>
      </c>
      <c r="D973" t="inlineStr">
        <is>
          <t>JÄMTLANDS LÄN</t>
        </is>
      </c>
      <c r="E973" t="inlineStr">
        <is>
          <t>RAGUNDA</t>
        </is>
      </c>
      <c r="G973" t="n">
        <v>1.7</v>
      </c>
      <c r="H973" t="n">
        <v>0</v>
      </c>
      <c r="I973" t="n">
        <v>0</v>
      </c>
      <c r="J973" t="n">
        <v>0</v>
      </c>
      <c r="K973" t="n">
        <v>0</v>
      </c>
      <c r="L973" t="n">
        <v>0</v>
      </c>
      <c r="M973" t="n">
        <v>0</v>
      </c>
      <c r="N973" t="n">
        <v>0</v>
      </c>
      <c r="O973" t="n">
        <v>0</v>
      </c>
      <c r="P973" t="n">
        <v>0</v>
      </c>
      <c r="Q973" t="n">
        <v>0</v>
      </c>
      <c r="R973" s="2" t="inlineStr"/>
    </row>
    <row r="974" ht="15" customHeight="1">
      <c r="A974" t="inlineStr">
        <is>
          <t>A 32747-2025</t>
        </is>
      </c>
      <c r="B974" s="1" t="n">
        <v>45839.42810185185</v>
      </c>
      <c r="C974" s="1" t="n">
        <v>46087</v>
      </c>
      <c r="D974" t="inlineStr">
        <is>
          <t>JÄMTLANDS LÄN</t>
        </is>
      </c>
      <c r="E974" t="inlineStr">
        <is>
          <t>RAGUNDA</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14156-2024</t>
        </is>
      </c>
      <c r="B975" s="1" t="n">
        <v>45392</v>
      </c>
      <c r="C975" s="1" t="n">
        <v>46087</v>
      </c>
      <c r="D975" t="inlineStr">
        <is>
          <t>JÄMTLANDS LÄN</t>
        </is>
      </c>
      <c r="E975" t="inlineStr">
        <is>
          <t>RAGUNDA</t>
        </is>
      </c>
      <c r="G975" t="n">
        <v>0.6</v>
      </c>
      <c r="H975" t="n">
        <v>0</v>
      </c>
      <c r="I975" t="n">
        <v>0</v>
      </c>
      <c r="J975" t="n">
        <v>0</v>
      </c>
      <c r="K975" t="n">
        <v>0</v>
      </c>
      <c r="L975" t="n">
        <v>0</v>
      </c>
      <c r="M975" t="n">
        <v>0</v>
      </c>
      <c r="N975" t="n">
        <v>0</v>
      </c>
      <c r="O975" t="n">
        <v>0</v>
      </c>
      <c r="P975" t="n">
        <v>0</v>
      </c>
      <c r="Q975" t="n">
        <v>0</v>
      </c>
      <c r="R975" s="2" t="inlineStr"/>
    </row>
    <row r="976" ht="15" customHeight="1">
      <c r="A976" t="inlineStr">
        <is>
          <t>A 14157-2024</t>
        </is>
      </c>
      <c r="B976" s="1" t="n">
        <v>45392.92903935185</v>
      </c>
      <c r="C976" s="1" t="n">
        <v>46087</v>
      </c>
      <c r="D976" t="inlineStr">
        <is>
          <t>JÄMTLANDS LÄN</t>
        </is>
      </c>
      <c r="E976" t="inlineStr">
        <is>
          <t>RAGUNDA</t>
        </is>
      </c>
      <c r="G976" t="n">
        <v>1.7</v>
      </c>
      <c r="H976" t="n">
        <v>0</v>
      </c>
      <c r="I976" t="n">
        <v>0</v>
      </c>
      <c r="J976" t="n">
        <v>0</v>
      </c>
      <c r="K976" t="n">
        <v>0</v>
      </c>
      <c r="L976" t="n">
        <v>0</v>
      </c>
      <c r="M976" t="n">
        <v>0</v>
      </c>
      <c r="N976" t="n">
        <v>0</v>
      </c>
      <c r="O976" t="n">
        <v>0</v>
      </c>
      <c r="P976" t="n">
        <v>0</v>
      </c>
      <c r="Q976" t="n">
        <v>0</v>
      </c>
      <c r="R976" s="2" t="inlineStr"/>
    </row>
    <row r="977" ht="15" customHeight="1">
      <c r="A977" t="inlineStr">
        <is>
          <t>A 32751-2025</t>
        </is>
      </c>
      <c r="B977" s="1" t="n">
        <v>45839.42864583333</v>
      </c>
      <c r="C977" s="1" t="n">
        <v>46087</v>
      </c>
      <c r="D977" t="inlineStr">
        <is>
          <t>JÄMTLANDS LÄN</t>
        </is>
      </c>
      <c r="E977" t="inlineStr">
        <is>
          <t>RAGUNDA</t>
        </is>
      </c>
      <c r="F977" t="inlineStr">
        <is>
          <t>SCA</t>
        </is>
      </c>
      <c r="G977" t="n">
        <v>10</v>
      </c>
      <c r="H977" t="n">
        <v>0</v>
      </c>
      <c r="I977" t="n">
        <v>0</v>
      </c>
      <c r="J977" t="n">
        <v>0</v>
      </c>
      <c r="K977" t="n">
        <v>0</v>
      </c>
      <c r="L977" t="n">
        <v>0</v>
      </c>
      <c r="M977" t="n">
        <v>0</v>
      </c>
      <c r="N977" t="n">
        <v>0</v>
      </c>
      <c r="O977" t="n">
        <v>0</v>
      </c>
      <c r="P977" t="n">
        <v>0</v>
      </c>
      <c r="Q977" t="n">
        <v>0</v>
      </c>
      <c r="R977" s="2" t="inlineStr"/>
    </row>
    <row r="978" ht="15" customHeight="1">
      <c r="A978" t="inlineStr">
        <is>
          <t>A 32846-2025</t>
        </is>
      </c>
      <c r="B978" s="1" t="n">
        <v>45839.57331018519</v>
      </c>
      <c r="C978" s="1" t="n">
        <v>46087</v>
      </c>
      <c r="D978" t="inlineStr">
        <is>
          <t>JÄMTLANDS LÄN</t>
        </is>
      </c>
      <c r="E978" t="inlineStr">
        <is>
          <t>RAGUNDA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33140-2025</t>
        </is>
      </c>
      <c r="B979" s="1" t="n">
        <v>45840.52225694444</v>
      </c>
      <c r="C979" s="1" t="n">
        <v>46087</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44727-2024</t>
        </is>
      </c>
      <c r="B980" s="1" t="n">
        <v>45574.57967592592</v>
      </c>
      <c r="C980" s="1" t="n">
        <v>46087</v>
      </c>
      <c r="D980" t="inlineStr">
        <is>
          <t>JÄMTLANDS LÄN</t>
        </is>
      </c>
      <c r="E980" t="inlineStr">
        <is>
          <t>RAGUNDA</t>
        </is>
      </c>
      <c r="G980" t="n">
        <v>4.7</v>
      </c>
      <c r="H980" t="n">
        <v>0</v>
      </c>
      <c r="I980" t="n">
        <v>0</v>
      </c>
      <c r="J980" t="n">
        <v>0</v>
      </c>
      <c r="K980" t="n">
        <v>0</v>
      </c>
      <c r="L980" t="n">
        <v>0</v>
      </c>
      <c r="M980" t="n">
        <v>0</v>
      </c>
      <c r="N980" t="n">
        <v>0</v>
      </c>
      <c r="O980" t="n">
        <v>0</v>
      </c>
      <c r="P980" t="n">
        <v>0</v>
      </c>
      <c r="Q980" t="n">
        <v>0</v>
      </c>
      <c r="R980" s="2" t="inlineStr"/>
    </row>
    <row r="981" ht="15" customHeight="1">
      <c r="A981" t="inlineStr">
        <is>
          <t>A 21661-2023</t>
        </is>
      </c>
      <c r="B981" s="1" t="n">
        <v>45063</v>
      </c>
      <c r="C981" s="1" t="n">
        <v>46087</v>
      </c>
      <c r="D981" t="inlineStr">
        <is>
          <t>JÄMTLANDS LÄN</t>
        </is>
      </c>
      <c r="E981" t="inlineStr">
        <is>
          <t>RAGUNDA</t>
        </is>
      </c>
      <c r="G981" t="n">
        <v>1.5</v>
      </c>
      <c r="H981" t="n">
        <v>0</v>
      </c>
      <c r="I981" t="n">
        <v>0</v>
      </c>
      <c r="J981" t="n">
        <v>0</v>
      </c>
      <c r="K981" t="n">
        <v>0</v>
      </c>
      <c r="L981" t="n">
        <v>0</v>
      </c>
      <c r="M981" t="n">
        <v>0</v>
      </c>
      <c r="N981" t="n">
        <v>0</v>
      </c>
      <c r="O981" t="n">
        <v>0</v>
      </c>
      <c r="P981" t="n">
        <v>0</v>
      </c>
      <c r="Q981" t="n">
        <v>0</v>
      </c>
      <c r="R981" s="2" t="inlineStr"/>
    </row>
    <row r="982" ht="15" customHeight="1">
      <c r="A982" t="inlineStr">
        <is>
          <t>A 7281-2024</t>
        </is>
      </c>
      <c r="B982" s="1" t="n">
        <v>45344</v>
      </c>
      <c r="C982" s="1" t="n">
        <v>46087</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19382-2025</t>
        </is>
      </c>
      <c r="B983" s="1" t="n">
        <v>45769.65659722222</v>
      </c>
      <c r="C983" s="1" t="n">
        <v>46087</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19403-2025</t>
        </is>
      </c>
      <c r="B984" s="1" t="n">
        <v>45769.67790509259</v>
      </c>
      <c r="C984" s="1" t="n">
        <v>46087</v>
      </c>
      <c r="D984" t="inlineStr">
        <is>
          <t>JÄMTLANDS LÄN</t>
        </is>
      </c>
      <c r="E984" t="inlineStr">
        <is>
          <t>RAGUNDA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60225-2022</t>
        </is>
      </c>
      <c r="B985" s="1" t="n">
        <v>44903</v>
      </c>
      <c r="C985" s="1" t="n">
        <v>46087</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33556-2025</t>
        </is>
      </c>
      <c r="B986" s="1" t="n">
        <v>45841.57427083333</v>
      </c>
      <c r="C986" s="1" t="n">
        <v>46087</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61045-2022</t>
        </is>
      </c>
      <c r="B987" s="1" t="n">
        <v>44914</v>
      </c>
      <c r="C987" s="1" t="n">
        <v>46087</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33790-2025</t>
        </is>
      </c>
      <c r="B988" s="1" t="n">
        <v>45842.42608796297</v>
      </c>
      <c r="C988" s="1" t="n">
        <v>46087</v>
      </c>
      <c r="D988" t="inlineStr">
        <is>
          <t>JÄMTLANDS LÄN</t>
        </is>
      </c>
      <c r="E988" t="inlineStr">
        <is>
          <t>RAGUNDA</t>
        </is>
      </c>
      <c r="G988" t="n">
        <v>0.3</v>
      </c>
      <c r="H988" t="n">
        <v>0</v>
      </c>
      <c r="I988" t="n">
        <v>0</v>
      </c>
      <c r="J988" t="n">
        <v>0</v>
      </c>
      <c r="K988" t="n">
        <v>0</v>
      </c>
      <c r="L988" t="n">
        <v>0</v>
      </c>
      <c r="M988" t="n">
        <v>0</v>
      </c>
      <c r="N988" t="n">
        <v>0</v>
      </c>
      <c r="O988" t="n">
        <v>0</v>
      </c>
      <c r="P988" t="n">
        <v>0</v>
      </c>
      <c r="Q988" t="n">
        <v>0</v>
      </c>
      <c r="R988" s="2" t="inlineStr"/>
    </row>
    <row r="989" ht="15" customHeight="1">
      <c r="A989" t="inlineStr">
        <is>
          <t>A 34296-2025</t>
        </is>
      </c>
      <c r="B989" s="1" t="n">
        <v>45846.34454861111</v>
      </c>
      <c r="C989" s="1" t="n">
        <v>46087</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16320-2025</t>
        </is>
      </c>
      <c r="B990" s="1" t="n">
        <v>45751.34859953704</v>
      </c>
      <c r="C990" s="1" t="n">
        <v>46087</v>
      </c>
      <c r="D990" t="inlineStr">
        <is>
          <t>JÄMTLANDS LÄN</t>
        </is>
      </c>
      <c r="E990" t="inlineStr">
        <is>
          <t>RAGUNDA</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11557-2023</t>
        </is>
      </c>
      <c r="B991" s="1" t="n">
        <v>44993.94950231481</v>
      </c>
      <c r="C991" s="1" t="n">
        <v>46087</v>
      </c>
      <c r="D991" t="inlineStr">
        <is>
          <t>JÄMTLANDS LÄN</t>
        </is>
      </c>
      <c r="E991" t="inlineStr">
        <is>
          <t>RAGUNDA</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11562-2023</t>
        </is>
      </c>
      <c r="B992" s="1" t="n">
        <v>44993</v>
      </c>
      <c r="C992" s="1" t="n">
        <v>46087</v>
      </c>
      <c r="D992" t="inlineStr">
        <is>
          <t>JÄMTLANDS LÄN</t>
        </is>
      </c>
      <c r="E992" t="inlineStr">
        <is>
          <t>RAGUNDA</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44958.94298611111</v>
      </c>
      <c r="C993" s="1" t="n">
        <v>46087</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34461-2025</t>
        </is>
      </c>
      <c r="B994" s="1" t="n">
        <v>45847.34474537037</v>
      </c>
      <c r="C994" s="1" t="n">
        <v>46087</v>
      </c>
      <c r="D994" t="inlineStr">
        <is>
          <t>JÄMTLANDS LÄN</t>
        </is>
      </c>
      <c r="E994" t="inlineStr">
        <is>
          <t>RAGUNDA</t>
        </is>
      </c>
      <c r="F994" t="inlineStr">
        <is>
          <t>SCA</t>
        </is>
      </c>
      <c r="G994" t="n">
        <v>44.8</v>
      </c>
      <c r="H994" t="n">
        <v>0</v>
      </c>
      <c r="I994" t="n">
        <v>0</v>
      </c>
      <c r="J994" t="n">
        <v>0</v>
      </c>
      <c r="K994" t="n">
        <v>0</v>
      </c>
      <c r="L994" t="n">
        <v>0</v>
      </c>
      <c r="M994" t="n">
        <v>0</v>
      </c>
      <c r="N994" t="n">
        <v>0</v>
      </c>
      <c r="O994" t="n">
        <v>0</v>
      </c>
      <c r="P994" t="n">
        <v>0</v>
      </c>
      <c r="Q994" t="n">
        <v>0</v>
      </c>
      <c r="R994" s="2" t="inlineStr"/>
    </row>
    <row r="995" ht="15" customHeight="1">
      <c r="A995" t="inlineStr">
        <is>
          <t>A 34464-2025</t>
        </is>
      </c>
      <c r="B995" s="1" t="n">
        <v>45847.34528935186</v>
      </c>
      <c r="C995" s="1" t="n">
        <v>46087</v>
      </c>
      <c r="D995" t="inlineStr">
        <is>
          <t>JÄMTLANDS LÄN</t>
        </is>
      </c>
      <c r="E995" t="inlineStr">
        <is>
          <t>RAGUNDA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34468-2025</t>
        </is>
      </c>
      <c r="B996" s="1" t="n">
        <v>45847.34597222223</v>
      </c>
      <c r="C996" s="1" t="n">
        <v>46087</v>
      </c>
      <c r="D996" t="inlineStr">
        <is>
          <t>JÄMTLANDS LÄN</t>
        </is>
      </c>
      <c r="E996" t="inlineStr">
        <is>
          <t>RAGUNDA</t>
        </is>
      </c>
      <c r="F996" t="inlineStr">
        <is>
          <t>SCA</t>
        </is>
      </c>
      <c r="G996" t="n">
        <v>10</v>
      </c>
      <c r="H996" t="n">
        <v>0</v>
      </c>
      <c r="I996" t="n">
        <v>0</v>
      </c>
      <c r="J996" t="n">
        <v>0</v>
      </c>
      <c r="K996" t="n">
        <v>0</v>
      </c>
      <c r="L996" t="n">
        <v>0</v>
      </c>
      <c r="M996" t="n">
        <v>0</v>
      </c>
      <c r="N996" t="n">
        <v>0</v>
      </c>
      <c r="O996" t="n">
        <v>0</v>
      </c>
      <c r="P996" t="n">
        <v>0</v>
      </c>
      <c r="Q996" t="n">
        <v>0</v>
      </c>
      <c r="R996" s="2" t="inlineStr"/>
    </row>
    <row r="997" ht="15" customHeight="1">
      <c r="A997" t="inlineStr">
        <is>
          <t>A 34586-2025</t>
        </is>
      </c>
      <c r="B997" s="1" t="n">
        <v>45847.61513888889</v>
      </c>
      <c r="C997" s="1" t="n">
        <v>46087</v>
      </c>
      <c r="D997" t="inlineStr">
        <is>
          <t>JÄMTLANDS LÄN</t>
        </is>
      </c>
      <c r="E997" t="inlineStr">
        <is>
          <t>RAGUNDA</t>
        </is>
      </c>
      <c r="G997" t="n">
        <v>1.6</v>
      </c>
      <c r="H997" t="n">
        <v>0</v>
      </c>
      <c r="I997" t="n">
        <v>0</v>
      </c>
      <c r="J997" t="n">
        <v>0</v>
      </c>
      <c r="K997" t="n">
        <v>0</v>
      </c>
      <c r="L997" t="n">
        <v>0</v>
      </c>
      <c r="M997" t="n">
        <v>0</v>
      </c>
      <c r="N997" t="n">
        <v>0</v>
      </c>
      <c r="O997" t="n">
        <v>0</v>
      </c>
      <c r="P997" t="n">
        <v>0</v>
      </c>
      <c r="Q997" t="n">
        <v>0</v>
      </c>
      <c r="R997" s="2" t="inlineStr"/>
    </row>
    <row r="998" ht="15" customHeight="1">
      <c r="A998" t="inlineStr">
        <is>
          <t>A 34607-2025</t>
        </is>
      </c>
      <c r="B998" s="1" t="n">
        <v>45847.65703703704</v>
      </c>
      <c r="C998" s="1" t="n">
        <v>46087</v>
      </c>
      <c r="D998" t="inlineStr">
        <is>
          <t>JÄMTLANDS LÄN</t>
        </is>
      </c>
      <c r="E998" t="inlineStr">
        <is>
          <t>RAGUNDA</t>
        </is>
      </c>
      <c r="F998" t="inlineStr">
        <is>
          <t>SCA</t>
        </is>
      </c>
      <c r="G998" t="n">
        <v>31.4</v>
      </c>
      <c r="H998" t="n">
        <v>0</v>
      </c>
      <c r="I998" t="n">
        <v>0</v>
      </c>
      <c r="J998" t="n">
        <v>0</v>
      </c>
      <c r="K998" t="n">
        <v>0</v>
      </c>
      <c r="L998" t="n">
        <v>0</v>
      </c>
      <c r="M998" t="n">
        <v>0</v>
      </c>
      <c r="N998" t="n">
        <v>0</v>
      </c>
      <c r="O998" t="n">
        <v>0</v>
      </c>
      <c r="P998" t="n">
        <v>0</v>
      </c>
      <c r="Q998" t="n">
        <v>0</v>
      </c>
      <c r="R998" s="2" t="inlineStr"/>
    </row>
    <row r="999" ht="15" customHeight="1">
      <c r="A999" t="inlineStr">
        <is>
          <t>A 41343-2024</t>
        </is>
      </c>
      <c r="B999" s="1" t="n">
        <v>45559.67745370371</v>
      </c>
      <c r="C999" s="1" t="n">
        <v>46087</v>
      </c>
      <c r="D999" t="inlineStr">
        <is>
          <t>JÄMTLANDS LÄN</t>
        </is>
      </c>
      <c r="E999" t="inlineStr">
        <is>
          <t>RAGUNDA</t>
        </is>
      </c>
      <c r="F999" t="inlineStr">
        <is>
          <t>SCA</t>
        </is>
      </c>
      <c r="G999" t="n">
        <v>25.1</v>
      </c>
      <c r="H999" t="n">
        <v>0</v>
      </c>
      <c r="I999" t="n">
        <v>0</v>
      </c>
      <c r="J999" t="n">
        <v>0</v>
      </c>
      <c r="K999" t="n">
        <v>0</v>
      </c>
      <c r="L999" t="n">
        <v>0</v>
      </c>
      <c r="M999" t="n">
        <v>0</v>
      </c>
      <c r="N999" t="n">
        <v>0</v>
      </c>
      <c r="O999" t="n">
        <v>0</v>
      </c>
      <c r="P999" t="n">
        <v>0</v>
      </c>
      <c r="Q999" t="n">
        <v>0</v>
      </c>
      <c r="R999" s="2" t="inlineStr"/>
    </row>
    <row r="1000" ht="15" customHeight="1">
      <c r="A1000" t="inlineStr">
        <is>
          <t>A 34772-2025</t>
        </is>
      </c>
      <c r="B1000" s="1" t="n">
        <v>45848.65658564815</v>
      </c>
      <c r="C1000" s="1" t="n">
        <v>46087</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34466-2025</t>
        </is>
      </c>
      <c r="B1001" s="1" t="n">
        <v>45847.34565972222</v>
      </c>
      <c r="C1001" s="1" t="n">
        <v>46087</v>
      </c>
      <c r="D1001" t="inlineStr">
        <is>
          <t>JÄMTLANDS LÄN</t>
        </is>
      </c>
      <c r="E1001" t="inlineStr">
        <is>
          <t>RAGUNDA</t>
        </is>
      </c>
      <c r="F1001" t="inlineStr">
        <is>
          <t>SCA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34588-2025</t>
        </is>
      </c>
      <c r="B1002" s="1" t="n">
        <v>45847.61548611111</v>
      </c>
      <c r="C1002" s="1" t="n">
        <v>46087</v>
      </c>
      <c r="D1002" t="inlineStr">
        <is>
          <t>JÄMTLANDS LÄN</t>
        </is>
      </c>
      <c r="E1002" t="inlineStr">
        <is>
          <t>RAGUNDA</t>
        </is>
      </c>
      <c r="G1002" t="n">
        <v>32.3</v>
      </c>
      <c r="H1002" t="n">
        <v>0</v>
      </c>
      <c r="I1002" t="n">
        <v>0</v>
      </c>
      <c r="J1002" t="n">
        <v>0</v>
      </c>
      <c r="K1002" t="n">
        <v>0</v>
      </c>
      <c r="L1002" t="n">
        <v>0</v>
      </c>
      <c r="M1002" t="n">
        <v>0</v>
      </c>
      <c r="N1002" t="n">
        <v>0</v>
      </c>
      <c r="O1002" t="n">
        <v>0</v>
      </c>
      <c r="P1002" t="n">
        <v>0</v>
      </c>
      <c r="Q1002" t="n">
        <v>0</v>
      </c>
      <c r="R1002" s="2" t="inlineStr"/>
    </row>
    <row r="1003" ht="15" customHeight="1">
      <c r="A1003" t="inlineStr">
        <is>
          <t>A 12039-2023</t>
        </is>
      </c>
      <c r="B1003" s="1" t="n">
        <v>44995.98341435185</v>
      </c>
      <c r="C1003" s="1" t="n">
        <v>46087</v>
      </c>
      <c r="D1003" t="inlineStr">
        <is>
          <t>JÄMTLANDS LÄN</t>
        </is>
      </c>
      <c r="E1003" t="inlineStr">
        <is>
          <t>RAGUNDA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12050-2023</t>
        </is>
      </c>
      <c r="B1004" s="1" t="n">
        <v>44995.98644675926</v>
      </c>
      <c r="C1004" s="1" t="n">
        <v>46087</v>
      </c>
      <c r="D1004" t="inlineStr">
        <is>
          <t>JÄMTLANDS LÄN</t>
        </is>
      </c>
      <c r="E1004" t="inlineStr">
        <is>
          <t>RAGUNDA</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34463-2025</t>
        </is>
      </c>
      <c r="B1005" s="1" t="n">
        <v>45847.34515046296</v>
      </c>
      <c r="C1005" s="1" t="n">
        <v>46087</v>
      </c>
      <c r="D1005" t="inlineStr">
        <is>
          <t>JÄMTLANDS LÄN</t>
        </is>
      </c>
      <c r="E1005" t="inlineStr">
        <is>
          <t>RAGUNDA</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2751-2024</t>
        </is>
      </c>
      <c r="B1006" s="1" t="n">
        <v>45314</v>
      </c>
      <c r="C1006" s="1" t="n">
        <v>46087</v>
      </c>
      <c r="D1006" t="inlineStr">
        <is>
          <t>JÄMTLANDS LÄN</t>
        </is>
      </c>
      <c r="E1006" t="inlineStr">
        <is>
          <t>RAGUNDA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34710-2025</t>
        </is>
      </c>
      <c r="B1007" s="1" t="n">
        <v>45848.49774305556</v>
      </c>
      <c r="C1007" s="1" t="n">
        <v>46087</v>
      </c>
      <c r="D1007" t="inlineStr">
        <is>
          <t>JÄMTLANDS LÄN</t>
        </is>
      </c>
      <c r="E1007" t="inlineStr">
        <is>
          <t>RAGUNDA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36986-2023</t>
        </is>
      </c>
      <c r="B1008" s="1" t="n">
        <v>45154.95525462963</v>
      </c>
      <c r="C1008" s="1" t="n">
        <v>46087</v>
      </c>
      <c r="D1008" t="inlineStr">
        <is>
          <t>JÄMTLANDS LÄN</t>
        </is>
      </c>
      <c r="E1008" t="inlineStr">
        <is>
          <t>RAGUNDA</t>
        </is>
      </c>
      <c r="F1008" t="inlineStr">
        <is>
          <t>SCA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14368-2024</t>
        </is>
      </c>
      <c r="B1009" s="1" t="n">
        <v>45393.94431712963</v>
      </c>
      <c r="C1009" s="1" t="n">
        <v>46087</v>
      </c>
      <c r="D1009" t="inlineStr">
        <is>
          <t>JÄMTLANDS LÄN</t>
        </is>
      </c>
      <c r="E1009" t="inlineStr">
        <is>
          <t>RAGUNDA</t>
        </is>
      </c>
      <c r="F1009" t="inlineStr">
        <is>
          <t>Naturvårdsverket</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34709-2025</t>
        </is>
      </c>
      <c r="B1010" s="1" t="n">
        <v>45848.49761574074</v>
      </c>
      <c r="C1010" s="1" t="n">
        <v>46087</v>
      </c>
      <c r="D1010" t="inlineStr">
        <is>
          <t>JÄMTLANDS LÄN</t>
        </is>
      </c>
      <c r="E1010" t="inlineStr">
        <is>
          <t>RAGUNDA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18159-2023</t>
        </is>
      </c>
      <c r="B1011" s="1" t="n">
        <v>45040.94277777777</v>
      </c>
      <c r="C1011" s="1" t="n">
        <v>46087</v>
      </c>
      <c r="D1011" t="inlineStr">
        <is>
          <t>JÄMTLANDS LÄN</t>
        </is>
      </c>
      <c r="E1011" t="inlineStr">
        <is>
          <t>RAGUNDA</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35092-2025</t>
        </is>
      </c>
      <c r="B1012" s="1" t="n">
        <v>45852.53185185185</v>
      </c>
      <c r="C1012" s="1" t="n">
        <v>46087</v>
      </c>
      <c r="D1012" t="inlineStr">
        <is>
          <t>JÄMTLANDS LÄN</t>
        </is>
      </c>
      <c r="E1012" t="inlineStr">
        <is>
          <t>RAGUNDA</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34998-2025</t>
        </is>
      </c>
      <c r="B1013" s="1" t="n">
        <v>45850.34434027778</v>
      </c>
      <c r="C1013" s="1" t="n">
        <v>46087</v>
      </c>
      <c r="D1013" t="inlineStr">
        <is>
          <t>JÄMTLANDS LÄN</t>
        </is>
      </c>
      <c r="E1013" t="inlineStr">
        <is>
          <t>RAGUNDA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34968-2025</t>
        </is>
      </c>
      <c r="B1014" s="1" t="n">
        <v>45849.65663194445</v>
      </c>
      <c r="C1014" s="1" t="n">
        <v>46087</v>
      </c>
      <c r="D1014" t="inlineStr">
        <is>
          <t>JÄMTLANDS LÄN</t>
        </is>
      </c>
      <c r="E1014" t="inlineStr">
        <is>
          <t>RAGUNDA</t>
        </is>
      </c>
      <c r="F1014" t="inlineStr">
        <is>
          <t>SCA</t>
        </is>
      </c>
      <c r="G1014" t="n">
        <v>20.2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46087</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34999-2025</t>
        </is>
      </c>
      <c r="B1016" s="1" t="n">
        <v>45850.34450231482</v>
      </c>
      <c r="C1016" s="1" t="n">
        <v>46087</v>
      </c>
      <c r="D1016" t="inlineStr">
        <is>
          <t>JÄMTLANDS LÄN</t>
        </is>
      </c>
      <c r="E1016" t="inlineStr">
        <is>
          <t>RAGUNDA</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35091-2025</t>
        </is>
      </c>
      <c r="B1017" s="1" t="n">
        <v>45852.53168981482</v>
      </c>
      <c r="C1017" s="1" t="n">
        <v>46087</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37543-2023</t>
        </is>
      </c>
      <c r="B1018" s="1" t="n">
        <v>45158.94231481481</v>
      </c>
      <c r="C1018" s="1" t="n">
        <v>46087</v>
      </c>
      <c r="D1018" t="inlineStr">
        <is>
          <t>JÄMTLANDS LÄN</t>
        </is>
      </c>
      <c r="E1018" t="inlineStr">
        <is>
          <t>RAGUNDA</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35355-2025</t>
        </is>
      </c>
      <c r="B1019" s="1" t="n">
        <v>45854.65663194445</v>
      </c>
      <c r="C1019" s="1" t="n">
        <v>46087</v>
      </c>
      <c r="D1019" t="inlineStr">
        <is>
          <t>JÄMTLANDS LÄN</t>
        </is>
      </c>
      <c r="E1019" t="inlineStr">
        <is>
          <t>RAGUNDA</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53171-2024</t>
        </is>
      </c>
      <c r="B1020" s="1" t="n">
        <v>45611.65679398148</v>
      </c>
      <c r="C1020" s="1" t="n">
        <v>46087</v>
      </c>
      <c r="D1020" t="inlineStr">
        <is>
          <t>JÄMTLANDS LÄN</t>
        </is>
      </c>
      <c r="E1020" t="inlineStr">
        <is>
          <t>RAGUNDA</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1523-2024</t>
        </is>
      </c>
      <c r="B1021" s="1" t="n">
        <v>45306</v>
      </c>
      <c r="C1021" s="1" t="n">
        <v>46087</v>
      </c>
      <c r="D1021" t="inlineStr">
        <is>
          <t>JÄMTLANDS LÄN</t>
        </is>
      </c>
      <c r="E1021" t="inlineStr">
        <is>
          <t>RAGUNDA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64265-2023</t>
        </is>
      </c>
      <c r="B1022" s="1" t="n">
        <v>45279.94572916667</v>
      </c>
      <c r="C1022" s="1" t="n">
        <v>46087</v>
      </c>
      <c r="D1022" t="inlineStr">
        <is>
          <t>JÄMTLANDS LÄN</t>
        </is>
      </c>
      <c r="E1022" t="inlineStr">
        <is>
          <t>RAGUNDA</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35477-2025</t>
        </is>
      </c>
      <c r="B1023" s="1" t="n">
        <v>45855.67899305555</v>
      </c>
      <c r="C1023" s="1" t="n">
        <v>46087</v>
      </c>
      <c r="D1023" t="inlineStr">
        <is>
          <t>JÄMTLANDS LÄN</t>
        </is>
      </c>
      <c r="E1023" t="inlineStr">
        <is>
          <t>RAGUNDA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35541-2025</t>
        </is>
      </c>
      <c r="B1024" s="1" t="n">
        <v>45856.46931712963</v>
      </c>
      <c r="C1024" s="1" t="n">
        <v>46087</v>
      </c>
      <c r="D1024" t="inlineStr">
        <is>
          <t>JÄMTLANDS LÄN</t>
        </is>
      </c>
      <c r="E1024" t="inlineStr">
        <is>
          <t>RAGUNDA</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35462-2025</t>
        </is>
      </c>
      <c r="B1025" s="1" t="n">
        <v>45855.61523148148</v>
      </c>
      <c r="C1025" s="1" t="n">
        <v>46087</v>
      </c>
      <c r="D1025" t="inlineStr">
        <is>
          <t>JÄMTLANDS LÄN</t>
        </is>
      </c>
      <c r="E1025" t="inlineStr">
        <is>
          <t>RAGUNDA</t>
        </is>
      </c>
      <c r="F1025" t="inlineStr">
        <is>
          <t>SCA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44605-2024</t>
        </is>
      </c>
      <c r="B1026" s="1" t="n">
        <v>45574.51185185185</v>
      </c>
      <c r="C1026" s="1" t="n">
        <v>46087</v>
      </c>
      <c r="D1026" t="inlineStr">
        <is>
          <t>JÄMTLANDS LÄN</t>
        </is>
      </c>
      <c r="E1026" t="inlineStr">
        <is>
          <t>RAGUNDA</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35689-2025</t>
        </is>
      </c>
      <c r="B1027" s="1" t="n">
        <v>45860.30229166667</v>
      </c>
      <c r="C1027" s="1" t="n">
        <v>46087</v>
      </c>
      <c r="D1027" t="inlineStr">
        <is>
          <t>JÄMTLANDS LÄN</t>
        </is>
      </c>
      <c r="E1027" t="inlineStr">
        <is>
          <t>RAGUNDA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35658-2025</t>
        </is>
      </c>
      <c r="B1028" s="1" t="n">
        <v>45859.594375</v>
      </c>
      <c r="C1028" s="1" t="n">
        <v>46087</v>
      </c>
      <c r="D1028" t="inlineStr">
        <is>
          <t>JÄMTLANDS LÄN</t>
        </is>
      </c>
      <c r="E1028" t="inlineStr">
        <is>
          <t>RAGUNDA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53136-2024</t>
        </is>
      </c>
      <c r="B1029" s="1" t="n">
        <v>45611.5953125</v>
      </c>
      <c r="C1029" s="1" t="n">
        <v>46087</v>
      </c>
      <c r="D1029" t="inlineStr">
        <is>
          <t>JÄMTLANDS LÄN</t>
        </is>
      </c>
      <c r="E1029" t="inlineStr">
        <is>
          <t>RAGUNDA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52228-2024</t>
        </is>
      </c>
      <c r="B1030" s="1" t="n">
        <v>45608.6078587963</v>
      </c>
      <c r="C1030" s="1" t="n">
        <v>46087</v>
      </c>
      <c r="D1030" t="inlineStr">
        <is>
          <t>JÄMTLANDS LÄN</t>
        </is>
      </c>
      <c r="E1030" t="inlineStr">
        <is>
          <t>RAGUNDA</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59372-2024</t>
        </is>
      </c>
      <c r="B1031" s="1" t="n">
        <v>45638.34431712963</v>
      </c>
      <c r="C1031" s="1" t="n">
        <v>46087</v>
      </c>
      <c r="D1031" t="inlineStr">
        <is>
          <t>JÄMTLANDS LÄN</t>
        </is>
      </c>
      <c r="E1031" t="inlineStr">
        <is>
          <t>RAGUNDA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62115-2024</t>
        </is>
      </c>
      <c r="B1032" s="1" t="n">
        <v>45656</v>
      </c>
      <c r="C1032" s="1" t="n">
        <v>46087</v>
      </c>
      <c r="D1032" t="inlineStr">
        <is>
          <t>JÄMTLANDS LÄN</t>
        </is>
      </c>
      <c r="E1032" t="inlineStr">
        <is>
          <t>RAGUNDA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4594-2024</t>
        </is>
      </c>
      <c r="B1033" s="1" t="n">
        <v>45327.94459490741</v>
      </c>
      <c r="C1033" s="1" t="n">
        <v>46087</v>
      </c>
      <c r="D1033" t="inlineStr">
        <is>
          <t>JÄMTLANDS LÄN</t>
        </is>
      </c>
      <c r="E1033" t="inlineStr">
        <is>
          <t>RAGUNDA</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3018-2024</t>
        </is>
      </c>
      <c r="B1034" s="1" t="n">
        <v>45315.9492824074</v>
      </c>
      <c r="C1034" s="1" t="n">
        <v>46087</v>
      </c>
      <c r="D1034" t="inlineStr">
        <is>
          <t>JÄMTLANDS LÄN</t>
        </is>
      </c>
      <c r="E1034" t="inlineStr">
        <is>
          <t>RAGUNDA</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48065-2023</t>
        </is>
      </c>
      <c r="B1035" s="1" t="n">
        <v>45204.94399305555</v>
      </c>
      <c r="C1035" s="1" t="n">
        <v>46087</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44597-2024</t>
        </is>
      </c>
      <c r="B1036" s="1" t="n">
        <v>45574.51087962963</v>
      </c>
      <c r="C1036" s="1" t="n">
        <v>46087</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44598-2024</t>
        </is>
      </c>
      <c r="B1037" s="1" t="n">
        <v>45574.51090277778</v>
      </c>
      <c r="C1037" s="1" t="n">
        <v>46087</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54092-2024</t>
        </is>
      </c>
      <c r="B1038" s="1" t="n">
        <v>45616.5108912037</v>
      </c>
      <c r="C1038" s="1" t="n">
        <v>46087</v>
      </c>
      <c r="D1038" t="inlineStr">
        <is>
          <t>JÄMTLANDS LÄN</t>
        </is>
      </c>
      <c r="E1038" t="inlineStr">
        <is>
          <t>RAGUNDA</t>
        </is>
      </c>
      <c r="F1038" t="inlineStr">
        <is>
          <t>Naturvårdsverket</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49659-2023</t>
        </is>
      </c>
      <c r="B1039" s="1" t="n">
        <v>45211.95134259259</v>
      </c>
      <c r="C1039" s="1" t="n">
        <v>46087</v>
      </c>
      <c r="D1039" t="inlineStr">
        <is>
          <t>JÄMTLANDS LÄN</t>
        </is>
      </c>
      <c r="E1039" t="inlineStr">
        <is>
          <t>RAGUNDA</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23734-2024</t>
        </is>
      </c>
      <c r="B1040" s="1" t="n">
        <v>45454.95960648148</v>
      </c>
      <c r="C1040" s="1" t="n">
        <v>46087</v>
      </c>
      <c r="D1040" t="inlineStr">
        <is>
          <t>JÄMTLANDS LÄN</t>
        </is>
      </c>
      <c r="E1040" t="inlineStr">
        <is>
          <t>RAGUNDA</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12653-2024</t>
        </is>
      </c>
      <c r="B1041" s="1" t="n">
        <v>45384</v>
      </c>
      <c r="C1041" s="1" t="n">
        <v>46087</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36541-2025</t>
        </is>
      </c>
      <c r="B1042" s="1" t="n">
        <v>45869.65666666667</v>
      </c>
      <c r="C1042" s="1" t="n">
        <v>46087</v>
      </c>
      <c r="D1042" t="inlineStr">
        <is>
          <t>JÄMTLANDS LÄN</t>
        </is>
      </c>
      <c r="E1042" t="inlineStr">
        <is>
          <t>RAGUNDA</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36544-2025</t>
        </is>
      </c>
      <c r="B1043" s="1" t="n">
        <v>45869.67744212963</v>
      </c>
      <c r="C1043" s="1" t="n">
        <v>46087</v>
      </c>
      <c r="D1043" t="inlineStr">
        <is>
          <t>JÄMTLANDS LÄN</t>
        </is>
      </c>
      <c r="E1043" t="inlineStr">
        <is>
          <t>RAGUNDA</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34483-2023</t>
        </is>
      </c>
      <c r="B1044" s="1" t="n">
        <v>45139.94681712963</v>
      </c>
      <c r="C1044" s="1" t="n">
        <v>46087</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23567-2024</t>
        </is>
      </c>
      <c r="B1045" s="1" t="n">
        <v>45453.95538194444</v>
      </c>
      <c r="C1045" s="1" t="n">
        <v>46087</v>
      </c>
      <c r="D1045" t="inlineStr">
        <is>
          <t>JÄMTLANDS LÄN</t>
        </is>
      </c>
      <c r="E1045" t="inlineStr">
        <is>
          <t>RAGUNDA</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57116-2024</t>
        </is>
      </c>
      <c r="B1046" s="1" t="n">
        <v>45629.36513888889</v>
      </c>
      <c r="C1046" s="1" t="n">
        <v>46087</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36553-2025</t>
        </is>
      </c>
      <c r="B1047" s="1" t="n">
        <v>45870.34439814815</v>
      </c>
      <c r="C1047" s="1" t="n">
        <v>46087</v>
      </c>
      <c r="D1047" t="inlineStr">
        <is>
          <t>JÄMTLANDS LÄN</t>
        </is>
      </c>
      <c r="E1047" t="inlineStr">
        <is>
          <t>RAGUNDA</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38312-2024</t>
        </is>
      </c>
      <c r="B1048" s="1" t="n">
        <v>45545.64957175926</v>
      </c>
      <c r="C1048" s="1" t="n">
        <v>46087</v>
      </c>
      <c r="D1048" t="inlineStr">
        <is>
          <t>JÄMTLANDS LÄN</t>
        </is>
      </c>
      <c r="E1048" t="inlineStr">
        <is>
          <t>RAGUNDA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9262-2025</t>
        </is>
      </c>
      <c r="B1049" s="1" t="n">
        <v>45714.60649305556</v>
      </c>
      <c r="C1049" s="1" t="n">
        <v>46087</v>
      </c>
      <c r="D1049" t="inlineStr">
        <is>
          <t>JÄMTLANDS LÄN</t>
        </is>
      </c>
      <c r="E1049" t="inlineStr">
        <is>
          <t>RAGUNDA</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16982-2024</t>
        </is>
      </c>
      <c r="B1050" s="1" t="n">
        <v>45412.02506944445</v>
      </c>
      <c r="C1050" s="1" t="n">
        <v>46087</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58564-2024</t>
        </is>
      </c>
      <c r="B1051" s="1" t="n">
        <v>45635.47243055556</v>
      </c>
      <c r="C1051" s="1" t="n">
        <v>46087</v>
      </c>
      <c r="D1051" t="inlineStr">
        <is>
          <t>JÄMTLANDS LÄN</t>
        </is>
      </c>
      <c r="E1051" t="inlineStr">
        <is>
          <t>RAGUNDA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53144-2024</t>
        </is>
      </c>
      <c r="B1052" s="1" t="n">
        <v>45611</v>
      </c>
      <c r="C1052" s="1" t="n">
        <v>46087</v>
      </c>
      <c r="D1052" t="inlineStr">
        <is>
          <t>JÄMTLANDS LÄN</t>
        </is>
      </c>
      <c r="E1052" t="inlineStr">
        <is>
          <t>RAGUNDA</t>
        </is>
      </c>
      <c r="F1052" t="inlineStr">
        <is>
          <t>SCA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5806-2025</t>
        </is>
      </c>
      <c r="B1053" s="1" t="n">
        <v>45694.69826388889</v>
      </c>
      <c r="C1053" s="1" t="n">
        <v>46087</v>
      </c>
      <c r="D1053" t="inlineStr">
        <is>
          <t>JÄMTLANDS LÄN</t>
        </is>
      </c>
      <c r="E1053" t="inlineStr">
        <is>
          <t>RAGUNDA</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36947-2025</t>
        </is>
      </c>
      <c r="B1054" s="1" t="n">
        <v>45874.59496527778</v>
      </c>
      <c r="C1054" s="1" t="n">
        <v>46087</v>
      </c>
      <c r="D1054" t="inlineStr">
        <is>
          <t>JÄMTLANDS LÄN</t>
        </is>
      </c>
      <c r="E1054" t="inlineStr">
        <is>
          <t>RAGUNDA</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20773-2024</t>
        </is>
      </c>
      <c r="B1055" s="1" t="n">
        <v>45436.94636574074</v>
      </c>
      <c r="C1055" s="1" t="n">
        <v>46087</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32075-2025</t>
        </is>
      </c>
      <c r="B1056" s="1" t="n">
        <v>45835.4506712963</v>
      </c>
      <c r="C1056" s="1" t="n">
        <v>46087</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36994-2025</t>
        </is>
      </c>
      <c r="B1057" s="1" t="n">
        <v>45874.67746527777</v>
      </c>
      <c r="C1057" s="1" t="n">
        <v>46087</v>
      </c>
      <c r="D1057" t="inlineStr">
        <is>
          <t>JÄMTLANDS LÄN</t>
        </is>
      </c>
      <c r="E1057" t="inlineStr">
        <is>
          <t>RAGUNDA</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32874-2025</t>
        </is>
      </c>
      <c r="B1058" s="1" t="n">
        <v>45839</v>
      </c>
      <c r="C1058" s="1" t="n">
        <v>46087</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14076-2023</t>
        </is>
      </c>
      <c r="B1059" s="1" t="n">
        <v>45009.0897337963</v>
      </c>
      <c r="C1059" s="1" t="n">
        <v>46087</v>
      </c>
      <c r="D1059" t="inlineStr">
        <is>
          <t>JÄMTLANDS LÄN</t>
        </is>
      </c>
      <c r="E1059" t="inlineStr">
        <is>
          <t>RAGUNDA</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37008-2025</t>
        </is>
      </c>
      <c r="B1060" s="1" t="n">
        <v>45874.69844907407</v>
      </c>
      <c r="C1060" s="1" t="n">
        <v>46087</v>
      </c>
      <c r="D1060" t="inlineStr">
        <is>
          <t>JÄMTLANDS LÄN</t>
        </is>
      </c>
      <c r="E1060" t="inlineStr">
        <is>
          <t>RAGUNDA</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45335-2023</t>
        </is>
      </c>
      <c r="B1061" s="1" t="n">
        <v>45191</v>
      </c>
      <c r="C1061" s="1" t="n">
        <v>46087</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10972-2022</t>
        </is>
      </c>
      <c r="B1062" s="1" t="n">
        <v>44628</v>
      </c>
      <c r="C1062" s="1" t="n">
        <v>46087</v>
      </c>
      <c r="D1062" t="inlineStr">
        <is>
          <t>JÄMTLANDS LÄN</t>
        </is>
      </c>
      <c r="E1062" t="inlineStr">
        <is>
          <t>RAGUNDA</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37292-2025</t>
        </is>
      </c>
      <c r="B1063" s="1" t="n">
        <v>45876.53188657408</v>
      </c>
      <c r="C1063" s="1" t="n">
        <v>46087</v>
      </c>
      <c r="D1063" t="inlineStr">
        <is>
          <t>JÄMTLANDS LÄN</t>
        </is>
      </c>
      <c r="E1063" t="inlineStr">
        <is>
          <t>RAGUNDA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43102-2023</t>
        </is>
      </c>
      <c r="B1064" s="1" t="n">
        <v>45182</v>
      </c>
      <c r="C1064" s="1" t="n">
        <v>46087</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6694-2024</t>
        </is>
      </c>
      <c r="B1065" s="1" t="n">
        <v>45341.95381944445</v>
      </c>
      <c r="C1065" s="1" t="n">
        <v>46087</v>
      </c>
      <c r="D1065" t="inlineStr">
        <is>
          <t>JÄMTLANDS LÄN</t>
        </is>
      </c>
      <c r="E1065" t="inlineStr">
        <is>
          <t>RAGUNDA</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21083-2024</t>
        </is>
      </c>
      <c r="B1066" s="1" t="n">
        <v>45439.92752314815</v>
      </c>
      <c r="C1066" s="1" t="n">
        <v>46087</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59759-2024</t>
        </is>
      </c>
      <c r="B1067" s="1" t="n">
        <v>45639.55240740741</v>
      </c>
      <c r="C1067" s="1" t="n">
        <v>46087</v>
      </c>
      <c r="D1067" t="inlineStr">
        <is>
          <t>JÄMTLANDS LÄN</t>
        </is>
      </c>
      <c r="E1067" t="inlineStr">
        <is>
          <t>RAGUNDA</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12204-2025</t>
        </is>
      </c>
      <c r="B1068" s="1" t="n">
        <v>45729.51074074074</v>
      </c>
      <c r="C1068" s="1" t="n">
        <v>46087</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11245-2025</t>
        </is>
      </c>
      <c r="B1069" s="1" t="n">
        <v>45726.38575231482</v>
      </c>
      <c r="C1069" s="1" t="n">
        <v>46087</v>
      </c>
      <c r="D1069" t="inlineStr">
        <is>
          <t>JÄMTLANDS LÄN</t>
        </is>
      </c>
      <c r="E1069" t="inlineStr">
        <is>
          <t>RAGUNDA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13905-2025</t>
        </is>
      </c>
      <c r="B1070" s="1" t="n">
        <v>45737.63574074074</v>
      </c>
      <c r="C1070" s="1" t="n">
        <v>46087</v>
      </c>
      <c r="D1070" t="inlineStr">
        <is>
          <t>JÄMTLANDS LÄN</t>
        </is>
      </c>
      <c r="E1070" t="inlineStr">
        <is>
          <t>RAGUNDA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9504-2025</t>
        </is>
      </c>
      <c r="B1071" s="1" t="n">
        <v>45714</v>
      </c>
      <c r="C1071" s="1" t="n">
        <v>46087</v>
      </c>
      <c r="D1071" t="inlineStr">
        <is>
          <t>JÄMTLANDS LÄN</t>
        </is>
      </c>
      <c r="E1071" t="inlineStr">
        <is>
          <t>RAGUNDA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4125-2024</t>
        </is>
      </c>
      <c r="B1072" s="1" t="n">
        <v>45323</v>
      </c>
      <c r="C1072" s="1" t="n">
        <v>46087</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44980-2023</t>
        </is>
      </c>
      <c r="B1073" s="1" t="n">
        <v>45190</v>
      </c>
      <c r="C1073" s="1" t="n">
        <v>46087</v>
      </c>
      <c r="D1073" t="inlineStr">
        <is>
          <t>JÄMTLANDS LÄN</t>
        </is>
      </c>
      <c r="E1073" t="inlineStr">
        <is>
          <t>RAGUNDA</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27777-2022</t>
        </is>
      </c>
      <c r="B1074" s="1" t="n">
        <v>44743</v>
      </c>
      <c r="C1074" s="1" t="n">
        <v>46087</v>
      </c>
      <c r="D1074" t="inlineStr">
        <is>
          <t>JÄMTLANDS LÄN</t>
        </is>
      </c>
      <c r="E1074" t="inlineStr">
        <is>
          <t>RAGUNDA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51245-2024</t>
        </is>
      </c>
      <c r="B1075" s="1" t="n">
        <v>45603.67850694444</v>
      </c>
      <c r="C1075" s="1" t="n">
        <v>46087</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61923-2024</t>
        </is>
      </c>
      <c r="B1076" s="1" t="n">
        <v>45653.44836805556</v>
      </c>
      <c r="C1076" s="1" t="n">
        <v>46087</v>
      </c>
      <c r="D1076" t="inlineStr">
        <is>
          <t>JÄMTLANDS LÄN</t>
        </is>
      </c>
      <c r="E1076" t="inlineStr">
        <is>
          <t>RAGUNDA</t>
        </is>
      </c>
      <c r="F1076" t="inlineStr">
        <is>
          <t>SCA</t>
        </is>
      </c>
      <c r="G1076" t="n">
        <v>11.1</v>
      </c>
      <c r="H1076" t="n">
        <v>0</v>
      </c>
      <c r="I1076" t="n">
        <v>0</v>
      </c>
      <c r="J1076" t="n">
        <v>0</v>
      </c>
      <c r="K1076" t="n">
        <v>0</v>
      </c>
      <c r="L1076" t="n">
        <v>0</v>
      </c>
      <c r="M1076" t="n">
        <v>0</v>
      </c>
      <c r="N1076" t="n">
        <v>0</v>
      </c>
      <c r="O1076" t="n">
        <v>0</v>
      </c>
      <c r="P1076" t="n">
        <v>0</v>
      </c>
      <c r="Q1076" t="n">
        <v>0</v>
      </c>
      <c r="R1076" s="2" t="inlineStr"/>
    </row>
    <row r="1077" ht="15" customHeight="1">
      <c r="A1077" t="inlineStr">
        <is>
          <t>A 50503-2024</t>
        </is>
      </c>
      <c r="B1077" s="1" t="n">
        <v>45601.5315625</v>
      </c>
      <c r="C1077" s="1" t="n">
        <v>46087</v>
      </c>
      <c r="D1077" t="inlineStr">
        <is>
          <t>JÄMTLANDS LÄN</t>
        </is>
      </c>
      <c r="E1077" t="inlineStr">
        <is>
          <t>RAGUNDA</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59556-2024</t>
        </is>
      </c>
      <c r="B1078" s="1" t="n">
        <v>45638.63600694444</v>
      </c>
      <c r="C1078" s="1" t="n">
        <v>46087</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13302-2022</t>
        </is>
      </c>
      <c r="B1079" s="1" t="n">
        <v>44644</v>
      </c>
      <c r="C1079" s="1" t="n">
        <v>46087</v>
      </c>
      <c r="D1079" t="inlineStr">
        <is>
          <t>JÄMTLANDS LÄN</t>
        </is>
      </c>
      <c r="E1079" t="inlineStr">
        <is>
          <t>RAGUNDA</t>
        </is>
      </c>
      <c r="F1079" t="inlineStr">
        <is>
          <t>SCA</t>
        </is>
      </c>
      <c r="G1079" t="n">
        <v>35.6</v>
      </c>
      <c r="H1079" t="n">
        <v>0</v>
      </c>
      <c r="I1079" t="n">
        <v>0</v>
      </c>
      <c r="J1079" t="n">
        <v>0</v>
      </c>
      <c r="K1079" t="n">
        <v>0</v>
      </c>
      <c r="L1079" t="n">
        <v>0</v>
      </c>
      <c r="M1079" t="n">
        <v>0</v>
      </c>
      <c r="N1079" t="n">
        <v>0</v>
      </c>
      <c r="O1079" t="n">
        <v>0</v>
      </c>
      <c r="P1079" t="n">
        <v>0</v>
      </c>
      <c r="Q1079" t="n">
        <v>0</v>
      </c>
      <c r="R1079" s="2" t="inlineStr"/>
    </row>
    <row r="1080" ht="15" customHeight="1">
      <c r="A1080" t="inlineStr">
        <is>
          <t>A 18225-2024</t>
        </is>
      </c>
      <c r="B1080" s="1" t="n">
        <v>45420</v>
      </c>
      <c r="C1080" s="1" t="n">
        <v>46087</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61598-2024</t>
        </is>
      </c>
      <c r="B1081" s="1" t="n">
        <v>45646.63605324074</v>
      </c>
      <c r="C1081" s="1" t="n">
        <v>46087</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7280-2024</t>
        </is>
      </c>
      <c r="B1082" s="1" t="n">
        <v>45344</v>
      </c>
      <c r="C1082" s="1" t="n">
        <v>46087</v>
      </c>
      <c r="D1082" t="inlineStr">
        <is>
          <t>JÄMTLANDS LÄN</t>
        </is>
      </c>
      <c r="E1082" t="inlineStr">
        <is>
          <t>RAGUNDA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46087</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61107-2024</t>
        </is>
      </c>
      <c r="B1084" s="1" t="n">
        <v>45645.55665509259</v>
      </c>
      <c r="C1084" s="1" t="n">
        <v>46087</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5313-2025</t>
        </is>
      </c>
      <c r="B1085" s="1" t="n">
        <v>45692.51069444444</v>
      </c>
      <c r="C1085" s="1" t="n">
        <v>46087</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5357-2025</t>
        </is>
      </c>
      <c r="B1086" s="1" t="n">
        <v>45692.57326388889</v>
      </c>
      <c r="C1086" s="1" t="n">
        <v>46087</v>
      </c>
      <c r="D1086" t="inlineStr">
        <is>
          <t>JÄMTLANDS LÄN</t>
        </is>
      </c>
      <c r="E1086" t="inlineStr">
        <is>
          <t>RAGUNDA</t>
        </is>
      </c>
      <c r="F1086" t="inlineStr">
        <is>
          <t>SCA</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44494-2024</t>
        </is>
      </c>
      <c r="B1087" s="1" t="n">
        <v>45574.39081018518</v>
      </c>
      <c r="C1087" s="1" t="n">
        <v>46087</v>
      </c>
      <c r="D1087" t="inlineStr">
        <is>
          <t>JÄMTLANDS LÄN</t>
        </is>
      </c>
      <c r="E1087" t="inlineStr">
        <is>
          <t>RAGUNDA</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12983-2025</t>
        </is>
      </c>
      <c r="B1088" s="1" t="n">
        <v>45734.4633912037</v>
      </c>
      <c r="C1088" s="1" t="n">
        <v>46087</v>
      </c>
      <c r="D1088" t="inlineStr">
        <is>
          <t>JÄMTLANDS LÄN</t>
        </is>
      </c>
      <c r="E1088" t="inlineStr">
        <is>
          <t>RAGUNDA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39626-2024</t>
        </is>
      </c>
      <c r="B1089" s="1" t="n">
        <v>45552.44096064815</v>
      </c>
      <c r="C1089" s="1" t="n">
        <v>46087</v>
      </c>
      <c r="D1089" t="inlineStr">
        <is>
          <t>JÄMTLANDS LÄN</t>
        </is>
      </c>
      <c r="E1089" t="inlineStr">
        <is>
          <t>RAGUNDA</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45631-2024</t>
        </is>
      </c>
      <c r="B1090" s="1" t="n">
        <v>45579.47052083333</v>
      </c>
      <c r="C1090" s="1" t="n">
        <v>46087</v>
      </c>
      <c r="D1090" t="inlineStr">
        <is>
          <t>JÄMTLANDS LÄN</t>
        </is>
      </c>
      <c r="E1090" t="inlineStr">
        <is>
          <t>RAGUNDA</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62135-2024</t>
        </is>
      </c>
      <c r="B1091" s="1" t="n">
        <v>45656.64223379629</v>
      </c>
      <c r="C1091" s="1" t="n">
        <v>46087</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8802-2022</t>
        </is>
      </c>
      <c r="B1092" s="1" t="n">
        <v>44614</v>
      </c>
      <c r="C1092" s="1" t="n">
        <v>46087</v>
      </c>
      <c r="D1092" t="inlineStr">
        <is>
          <t>JÄMTLANDS LÄN</t>
        </is>
      </c>
      <c r="E1092" t="inlineStr">
        <is>
          <t>RAGUNDA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9823-2025</t>
        </is>
      </c>
      <c r="B1093" s="1" t="n">
        <v>45716</v>
      </c>
      <c r="C1093" s="1" t="n">
        <v>46087</v>
      </c>
      <c r="D1093" t="inlineStr">
        <is>
          <t>JÄMTLANDS LÄN</t>
        </is>
      </c>
      <c r="E1093" t="inlineStr">
        <is>
          <t>RAGUNDA</t>
        </is>
      </c>
      <c r="F1093" t="inlineStr">
        <is>
          <t>SCA</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9847-2025</t>
        </is>
      </c>
      <c r="B1094" s="1" t="n">
        <v>45716.61487268518</v>
      </c>
      <c r="C1094" s="1" t="n">
        <v>46087</v>
      </c>
      <c r="D1094" t="inlineStr">
        <is>
          <t>JÄMTLANDS LÄN</t>
        </is>
      </c>
      <c r="E1094" t="inlineStr">
        <is>
          <t>RAGUNDA</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20987-2023</t>
        </is>
      </c>
      <c r="B1095" s="1" t="n">
        <v>45056</v>
      </c>
      <c r="C1095" s="1" t="n">
        <v>46087</v>
      </c>
      <c r="D1095" t="inlineStr">
        <is>
          <t>JÄMTLANDS LÄN</t>
        </is>
      </c>
      <c r="E1095" t="inlineStr">
        <is>
          <t>RAGUNDA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20994-2023</t>
        </is>
      </c>
      <c r="B1096" s="1" t="n">
        <v>45056</v>
      </c>
      <c r="C1096" s="1" t="n">
        <v>46087</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6490-2022</t>
        </is>
      </c>
      <c r="B1097" s="1" t="n">
        <v>44601</v>
      </c>
      <c r="C1097" s="1" t="n">
        <v>46087</v>
      </c>
      <c r="D1097" t="inlineStr">
        <is>
          <t>JÄMTLANDS LÄN</t>
        </is>
      </c>
      <c r="E1097" t="inlineStr">
        <is>
          <t>RAGUNDA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23287-2024</t>
        </is>
      </c>
      <c r="B1098" s="1" t="n">
        <v>45453.42041666667</v>
      </c>
      <c r="C1098" s="1" t="n">
        <v>46087</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53740-2024</t>
        </is>
      </c>
      <c r="B1099" s="1" t="n">
        <v>45615.47091435185</v>
      </c>
      <c r="C1099" s="1" t="n">
        <v>46087</v>
      </c>
      <c r="D1099" t="inlineStr">
        <is>
          <t>JÄMTLANDS LÄN</t>
        </is>
      </c>
      <c r="E1099" t="inlineStr">
        <is>
          <t>RAGUNDA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1325-2025</t>
        </is>
      </c>
      <c r="B1100" s="1" t="n">
        <v>45667.57342592593</v>
      </c>
      <c r="C1100" s="1" t="n">
        <v>46087</v>
      </c>
      <c r="D1100" t="inlineStr">
        <is>
          <t>JÄMTLANDS LÄN</t>
        </is>
      </c>
      <c r="E1100" t="inlineStr">
        <is>
          <t>RAGUNDA</t>
        </is>
      </c>
      <c r="F1100" t="inlineStr">
        <is>
          <t>SCA</t>
        </is>
      </c>
      <c r="G1100" t="n">
        <v>20.2</v>
      </c>
      <c r="H1100" t="n">
        <v>0</v>
      </c>
      <c r="I1100" t="n">
        <v>0</v>
      </c>
      <c r="J1100" t="n">
        <v>0</v>
      </c>
      <c r="K1100" t="n">
        <v>0</v>
      </c>
      <c r="L1100" t="n">
        <v>0</v>
      </c>
      <c r="M1100" t="n">
        <v>0</v>
      </c>
      <c r="N1100" t="n">
        <v>0</v>
      </c>
      <c r="O1100" t="n">
        <v>0</v>
      </c>
      <c r="P1100" t="n">
        <v>0</v>
      </c>
      <c r="Q1100" t="n">
        <v>0</v>
      </c>
      <c r="R1100" s="2" t="inlineStr"/>
    </row>
    <row r="1101" ht="15" customHeight="1">
      <c r="A1101" t="inlineStr">
        <is>
          <t>A 1326-2025</t>
        </is>
      </c>
      <c r="B1101" s="1" t="n">
        <v>45667.57347222222</v>
      </c>
      <c r="C1101" s="1" t="n">
        <v>46087</v>
      </c>
      <c r="D1101" t="inlineStr">
        <is>
          <t>JÄMTLANDS LÄN</t>
        </is>
      </c>
      <c r="E1101" t="inlineStr">
        <is>
          <t>RAGUNDA</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14696-2022</t>
        </is>
      </c>
      <c r="B1102" s="1" t="n">
        <v>44655</v>
      </c>
      <c r="C1102" s="1" t="n">
        <v>46087</v>
      </c>
      <c r="D1102" t="inlineStr">
        <is>
          <t>JÄMTLANDS LÄN</t>
        </is>
      </c>
      <c r="E1102" t="inlineStr">
        <is>
          <t>RAGUNDA</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45952-2023</t>
        </is>
      </c>
      <c r="B1103" s="1" t="n">
        <v>45195</v>
      </c>
      <c r="C1103" s="1" t="n">
        <v>46087</v>
      </c>
      <c r="D1103" t="inlineStr">
        <is>
          <t>JÄMTLANDS LÄN</t>
        </is>
      </c>
      <c r="E1103" t="inlineStr">
        <is>
          <t>RAGUNDA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45954-2023</t>
        </is>
      </c>
      <c r="B1104" s="1" t="n">
        <v>45195.94679398148</v>
      </c>
      <c r="C1104" s="1" t="n">
        <v>46087</v>
      </c>
      <c r="D1104" t="inlineStr">
        <is>
          <t>JÄMTLANDS LÄN</t>
        </is>
      </c>
      <c r="E1104" t="inlineStr">
        <is>
          <t>RAGUNDA</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45955-2023</t>
        </is>
      </c>
      <c r="B1105" s="1" t="n">
        <v>45195.94685185186</v>
      </c>
      <c r="C1105" s="1" t="n">
        <v>46087</v>
      </c>
      <c r="D1105" t="inlineStr">
        <is>
          <t>JÄMTLANDS LÄN</t>
        </is>
      </c>
      <c r="E1105" t="inlineStr">
        <is>
          <t>RAGUNDA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8787-2022</t>
        </is>
      </c>
      <c r="B1106" s="1" t="n">
        <v>44614</v>
      </c>
      <c r="C1106" s="1" t="n">
        <v>46087</v>
      </c>
      <c r="D1106" t="inlineStr">
        <is>
          <t>JÄMTLANDS LÄN</t>
        </is>
      </c>
      <c r="E1106" t="inlineStr">
        <is>
          <t>RAGUNDA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5308-2025</t>
        </is>
      </c>
      <c r="B1107" s="1" t="n">
        <v>45692.49008101852</v>
      </c>
      <c r="C1107" s="1" t="n">
        <v>46087</v>
      </c>
      <c r="D1107" t="inlineStr">
        <is>
          <t>JÄMTLANDS LÄN</t>
        </is>
      </c>
      <c r="E1107" t="inlineStr">
        <is>
          <t>RAGUNDA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45253-2023</t>
        </is>
      </c>
      <c r="B1108" s="1" t="n">
        <v>45187</v>
      </c>
      <c r="C1108" s="1" t="n">
        <v>46087</v>
      </c>
      <c r="D1108" t="inlineStr">
        <is>
          <t>JÄMTLANDS LÄN</t>
        </is>
      </c>
      <c r="E1108" t="inlineStr">
        <is>
          <t>RAGUNDA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3104-2025</t>
        </is>
      </c>
      <c r="B1109" s="1" t="n">
        <v>45678.67761574074</v>
      </c>
      <c r="C1109" s="1" t="n">
        <v>46087</v>
      </c>
      <c r="D1109" t="inlineStr">
        <is>
          <t>JÄMTLANDS LÄN</t>
        </is>
      </c>
      <c r="E1109" t="inlineStr">
        <is>
          <t>RAGUNDA</t>
        </is>
      </c>
      <c r="F1109" t="inlineStr">
        <is>
          <t>SCA</t>
        </is>
      </c>
      <c r="G1109" t="n">
        <v>46.2</v>
      </c>
      <c r="H1109" t="n">
        <v>0</v>
      </c>
      <c r="I1109" t="n">
        <v>0</v>
      </c>
      <c r="J1109" t="n">
        <v>0</v>
      </c>
      <c r="K1109" t="n">
        <v>0</v>
      </c>
      <c r="L1109" t="n">
        <v>0</v>
      </c>
      <c r="M1109" t="n">
        <v>0</v>
      </c>
      <c r="N1109" t="n">
        <v>0</v>
      </c>
      <c r="O1109" t="n">
        <v>0</v>
      </c>
      <c r="P1109" t="n">
        <v>0</v>
      </c>
      <c r="Q1109" t="n">
        <v>0</v>
      </c>
      <c r="R1109" s="2" t="inlineStr"/>
    </row>
    <row r="1110" ht="15" customHeight="1">
      <c r="A1110" t="inlineStr">
        <is>
          <t>A 36046-2023</t>
        </is>
      </c>
      <c r="B1110" s="1" t="n">
        <v>45148</v>
      </c>
      <c r="C1110" s="1" t="n">
        <v>46087</v>
      </c>
      <c r="D1110" t="inlineStr">
        <is>
          <t>JÄMTLANDS LÄN</t>
        </is>
      </c>
      <c r="E1110" t="inlineStr">
        <is>
          <t>RAGUNDA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18193-2022</t>
        </is>
      </c>
      <c r="B1111" s="1" t="n">
        <v>44684.94032407407</v>
      </c>
      <c r="C1111" s="1" t="n">
        <v>46087</v>
      </c>
      <c r="D1111" t="inlineStr">
        <is>
          <t>JÄMTLANDS LÄN</t>
        </is>
      </c>
      <c r="E1111" t="inlineStr">
        <is>
          <t>RAGUNDA</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34323-2023</t>
        </is>
      </c>
      <c r="B1112" s="1" t="n">
        <v>45138.94925925926</v>
      </c>
      <c r="C1112" s="1" t="n">
        <v>46087</v>
      </c>
      <c r="D1112" t="inlineStr">
        <is>
          <t>JÄMTLANDS LÄN</t>
        </is>
      </c>
      <c r="E1112" t="inlineStr">
        <is>
          <t>RAGUNDA</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58843-2024</t>
        </is>
      </c>
      <c r="B1113" s="1" t="n">
        <v>45636.38599537037</v>
      </c>
      <c r="C1113" s="1" t="n">
        <v>46087</v>
      </c>
      <c r="D1113" t="inlineStr">
        <is>
          <t>JÄMTLANDS LÄN</t>
        </is>
      </c>
      <c r="E1113" t="inlineStr">
        <is>
          <t>RAGUNDA</t>
        </is>
      </c>
      <c r="F1113" t="inlineStr">
        <is>
          <t>SCA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45953-2023</t>
        </is>
      </c>
      <c r="B1114" s="1" t="n">
        <v>45195.94672453704</v>
      </c>
      <c r="C1114" s="1" t="n">
        <v>46087</v>
      </c>
      <c r="D1114" t="inlineStr">
        <is>
          <t>JÄMTLANDS LÄN</t>
        </is>
      </c>
      <c r="E1114" t="inlineStr">
        <is>
          <t>RAGUNDA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30824-2023</t>
        </is>
      </c>
      <c r="B1115" s="1" t="n">
        <v>45112.94303240741</v>
      </c>
      <c r="C1115" s="1" t="n">
        <v>46087</v>
      </c>
      <c r="D1115" t="inlineStr">
        <is>
          <t>JÄMTLANDS LÄN</t>
        </is>
      </c>
      <c r="E1115" t="inlineStr">
        <is>
          <t>RAGUNDA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30825-2023</t>
        </is>
      </c>
      <c r="B1116" s="1" t="n">
        <v>45112.94310185185</v>
      </c>
      <c r="C1116" s="1" t="n">
        <v>46087</v>
      </c>
      <c r="D1116" t="inlineStr">
        <is>
          <t>JÄMTLANDS LÄN</t>
        </is>
      </c>
      <c r="E1116" t="inlineStr">
        <is>
          <t>RAGUNDA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31506-2024</t>
        </is>
      </c>
      <c r="B1117" s="1" t="n">
        <v>45505</v>
      </c>
      <c r="C1117" s="1" t="n">
        <v>46087</v>
      </c>
      <c r="D1117" t="inlineStr">
        <is>
          <t>JÄMTLANDS LÄN</t>
        </is>
      </c>
      <c r="E1117" t="inlineStr">
        <is>
          <t>RAGUNDA</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55222-2024</t>
        </is>
      </c>
      <c r="B1118" s="1" t="n">
        <v>45621.57395833333</v>
      </c>
      <c r="C1118" s="1" t="n">
        <v>46087</v>
      </c>
      <c r="D1118" t="inlineStr">
        <is>
          <t>JÄMTLANDS LÄN</t>
        </is>
      </c>
      <c r="E1118" t="inlineStr">
        <is>
          <t>RAGUNDA</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44755-2024</t>
        </is>
      </c>
      <c r="B1119" s="1" t="n">
        <v>45574.61184027778</v>
      </c>
      <c r="C1119" s="1" t="n">
        <v>46087</v>
      </c>
      <c r="D1119" t="inlineStr">
        <is>
          <t>JÄMTLANDS LÄN</t>
        </is>
      </c>
      <c r="E1119" t="inlineStr">
        <is>
          <t>RAGUNDA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44766-2024</t>
        </is>
      </c>
      <c r="B1120" s="1" t="n">
        <v>45574.62297453704</v>
      </c>
      <c r="C1120" s="1" t="n">
        <v>46087</v>
      </c>
      <c r="D1120" t="inlineStr">
        <is>
          <t>JÄMTLANDS LÄN</t>
        </is>
      </c>
      <c r="E1120" t="inlineStr">
        <is>
          <t>RAGUNDA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44778-2024</t>
        </is>
      </c>
      <c r="B1121" s="1" t="n">
        <v>45574.63355324074</v>
      </c>
      <c r="C1121" s="1" t="n">
        <v>46087</v>
      </c>
      <c r="D1121" t="inlineStr">
        <is>
          <t>JÄMTLANDS LÄN</t>
        </is>
      </c>
      <c r="E1121" t="inlineStr">
        <is>
          <t>RAGUNDA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8795-2022</t>
        </is>
      </c>
      <c r="B1122" s="1" t="n">
        <v>44614</v>
      </c>
      <c r="C1122" s="1" t="n">
        <v>46087</v>
      </c>
      <c r="D1122" t="inlineStr">
        <is>
          <t>JÄMTLANDS LÄN</t>
        </is>
      </c>
      <c r="E1122" t="inlineStr">
        <is>
          <t>RAGUNDA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14905-2022</t>
        </is>
      </c>
      <c r="B1123" s="1" t="n">
        <v>44656.94708333333</v>
      </c>
      <c r="C1123" s="1" t="n">
        <v>46087</v>
      </c>
      <c r="D1123" t="inlineStr">
        <is>
          <t>JÄMTLANDS LÄN</t>
        </is>
      </c>
      <c r="E1123" t="inlineStr">
        <is>
          <t>RAGUNDA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6257-2025</t>
        </is>
      </c>
      <c r="B1124" s="1" t="n">
        <v>45698.59409722222</v>
      </c>
      <c r="C1124" s="1" t="n">
        <v>46087</v>
      </c>
      <c r="D1124" t="inlineStr">
        <is>
          <t>JÄMTLANDS LÄN</t>
        </is>
      </c>
      <c r="E1124" t="inlineStr">
        <is>
          <t>RAGUNDA</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42508-2023</t>
        </is>
      </c>
      <c r="B1125" s="1" t="n">
        <v>45180.95907407408</v>
      </c>
      <c r="C1125" s="1" t="n">
        <v>46087</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59286-2023</t>
        </is>
      </c>
      <c r="B1126" s="1" t="n">
        <v>45253</v>
      </c>
      <c r="C1126" s="1" t="n">
        <v>46087</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7284-2025</t>
        </is>
      </c>
      <c r="B1127" s="1" t="n">
        <v>45702.63604166666</v>
      </c>
      <c r="C1127" s="1" t="n">
        <v>46087</v>
      </c>
      <c r="D1127" t="inlineStr">
        <is>
          <t>JÄMTLANDS LÄN</t>
        </is>
      </c>
      <c r="E1127" t="inlineStr">
        <is>
          <t>RAGUNDA</t>
        </is>
      </c>
      <c r="F1127" t="inlineStr">
        <is>
          <t>SCA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60012-2023</t>
        </is>
      </c>
      <c r="B1128" s="1" t="n">
        <v>45257</v>
      </c>
      <c r="C1128" s="1" t="n">
        <v>46087</v>
      </c>
      <c r="D1128" t="inlineStr">
        <is>
          <t>JÄMTLANDS LÄN</t>
        </is>
      </c>
      <c r="E1128" t="inlineStr">
        <is>
          <t>RAGUNDA</t>
        </is>
      </c>
      <c r="F1128" t="inlineStr">
        <is>
          <t>SCA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20221-2025</t>
        </is>
      </c>
      <c r="B1129" s="1" t="n">
        <v>45772.6565625</v>
      </c>
      <c r="C1129" s="1" t="n">
        <v>46087</v>
      </c>
      <c r="D1129" t="inlineStr">
        <is>
          <t>JÄMTLANDS LÄN</t>
        </is>
      </c>
      <c r="E1129" t="inlineStr">
        <is>
          <t>RAGUNDA</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45145.95326388889</v>
      </c>
      <c r="C1130" s="1" t="n">
        <v>46087</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31435-2022</t>
        </is>
      </c>
      <c r="B1131" s="1" t="n">
        <v>44774</v>
      </c>
      <c r="C1131" s="1" t="n">
        <v>46087</v>
      </c>
      <c r="D1131" t="inlineStr">
        <is>
          <t>JÄMTLANDS LÄN</t>
        </is>
      </c>
      <c r="E1131" t="inlineStr">
        <is>
          <t>RAGUNDA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50211-2023</t>
        </is>
      </c>
      <c r="B1132" s="1" t="n">
        <v>45215.94657407407</v>
      </c>
      <c r="C1132" s="1" t="n">
        <v>46087</v>
      </c>
      <c r="D1132" t="inlineStr">
        <is>
          <t>JÄMTLANDS LÄN</t>
        </is>
      </c>
      <c r="E1132" t="inlineStr">
        <is>
          <t>RAGUNDA</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16529-2022</t>
        </is>
      </c>
      <c r="B1133" s="1" t="n">
        <v>44671</v>
      </c>
      <c r="C1133" s="1" t="n">
        <v>46087</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40269-2022</t>
        </is>
      </c>
      <c r="B1134" s="1" t="n">
        <v>44820</v>
      </c>
      <c r="C1134" s="1" t="n">
        <v>46087</v>
      </c>
      <c r="D1134" t="inlineStr">
        <is>
          <t>JÄMTLANDS LÄN</t>
        </is>
      </c>
      <c r="E1134" t="inlineStr">
        <is>
          <t>RAGUNDA</t>
        </is>
      </c>
      <c r="F1134" t="inlineStr">
        <is>
          <t>SCA</t>
        </is>
      </c>
      <c r="G1134" t="n">
        <v>77.8</v>
      </c>
      <c r="H1134" t="n">
        <v>0</v>
      </c>
      <c r="I1134" t="n">
        <v>0</v>
      </c>
      <c r="J1134" t="n">
        <v>0</v>
      </c>
      <c r="K1134" t="n">
        <v>0</v>
      </c>
      <c r="L1134" t="n">
        <v>0</v>
      </c>
      <c r="M1134" t="n">
        <v>0</v>
      </c>
      <c r="N1134" t="n">
        <v>0</v>
      </c>
      <c r="O1134" t="n">
        <v>0</v>
      </c>
      <c r="P1134" t="n">
        <v>0</v>
      </c>
      <c r="Q1134" t="n">
        <v>0</v>
      </c>
      <c r="R1134" s="2" t="inlineStr"/>
    </row>
    <row r="1135" ht="15" customHeight="1">
      <c r="A1135" t="inlineStr">
        <is>
          <t>A 44536-2022</t>
        </is>
      </c>
      <c r="B1135" s="1" t="n">
        <v>44839</v>
      </c>
      <c r="C1135" s="1" t="n">
        <v>46087</v>
      </c>
      <c r="D1135" t="inlineStr">
        <is>
          <t>JÄMTLANDS LÄN</t>
        </is>
      </c>
      <c r="E1135" t="inlineStr">
        <is>
          <t>RAGUNDA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36212-2023</t>
        </is>
      </c>
      <c r="B1136" s="1" t="n">
        <v>45149.95241898148</v>
      </c>
      <c r="C1136" s="1" t="n">
        <v>46087</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53860-2023</t>
        </is>
      </c>
      <c r="B1137" s="1" t="n">
        <v>45224</v>
      </c>
      <c r="C1137" s="1" t="n">
        <v>46087</v>
      </c>
      <c r="D1137" t="inlineStr">
        <is>
          <t>JÄMTLANDS LÄN</t>
        </is>
      </c>
      <c r="E1137" t="inlineStr">
        <is>
          <t>RAGUNDA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54599-2023</t>
        </is>
      </c>
      <c r="B1138" s="1" t="n">
        <v>45233.92591435185</v>
      </c>
      <c r="C1138" s="1" t="n">
        <v>46087</v>
      </c>
      <c r="D1138" t="inlineStr">
        <is>
          <t>JÄMTLANDS LÄN</t>
        </is>
      </c>
      <c r="E1138" t="inlineStr">
        <is>
          <t>RAGUNDA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10610-2024</t>
        </is>
      </c>
      <c r="B1139" s="1" t="n">
        <v>45367.04693287037</v>
      </c>
      <c r="C1139" s="1" t="n">
        <v>46087</v>
      </c>
      <c r="D1139" t="inlineStr">
        <is>
          <t>JÄMTLANDS LÄN</t>
        </is>
      </c>
      <c r="E1139" t="inlineStr">
        <is>
          <t>RAGUNDA</t>
        </is>
      </c>
      <c r="F1139" t="inlineStr">
        <is>
          <t>SCA</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8779-2025</t>
        </is>
      </c>
      <c r="B1140" s="1" t="n">
        <v>45712.61552083334</v>
      </c>
      <c r="C1140" s="1" t="n">
        <v>46087</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20574-2025</t>
        </is>
      </c>
      <c r="B1141" s="1" t="n">
        <v>45775.67747685185</v>
      </c>
      <c r="C1141" s="1" t="n">
        <v>46087</v>
      </c>
      <c r="D1141" t="inlineStr">
        <is>
          <t>JÄMTLANDS LÄN</t>
        </is>
      </c>
      <c r="E1141" t="inlineStr">
        <is>
          <t>RAGUNDA</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16676-2022</t>
        </is>
      </c>
      <c r="B1142" s="1" t="n">
        <v>44672.94018518519</v>
      </c>
      <c r="C1142" s="1" t="n">
        <v>46087</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57078-2023</t>
        </is>
      </c>
      <c r="B1143" s="1" t="n">
        <v>45244.96774305555</v>
      </c>
      <c r="C1143" s="1" t="n">
        <v>46087</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12976-2025</t>
        </is>
      </c>
      <c r="B1144" s="1" t="n">
        <v>45734.45268518518</v>
      </c>
      <c r="C1144" s="1" t="n">
        <v>46087</v>
      </c>
      <c r="D1144" t="inlineStr">
        <is>
          <t>JÄMTLANDS LÄN</t>
        </is>
      </c>
      <c r="E1144" t="inlineStr">
        <is>
          <t>RAGUNDA</t>
        </is>
      </c>
      <c r="G1144" t="n">
        <v>24.2</v>
      </c>
      <c r="H1144" t="n">
        <v>0</v>
      </c>
      <c r="I1144" t="n">
        <v>0</v>
      </c>
      <c r="J1144" t="n">
        <v>0</v>
      </c>
      <c r="K1144" t="n">
        <v>0</v>
      </c>
      <c r="L1144" t="n">
        <v>0</v>
      </c>
      <c r="M1144" t="n">
        <v>0</v>
      </c>
      <c r="N1144" t="n">
        <v>0</v>
      </c>
      <c r="O1144" t="n">
        <v>0</v>
      </c>
      <c r="P1144" t="n">
        <v>0</v>
      </c>
      <c r="Q1144" t="n">
        <v>0</v>
      </c>
      <c r="R1144" s="2" t="inlineStr"/>
    </row>
    <row r="1145" ht="15" customHeight="1">
      <c r="A1145" t="inlineStr">
        <is>
          <t>A 56286-2023</t>
        </is>
      </c>
      <c r="B1145" s="1" t="n">
        <v>45241.95741898148</v>
      </c>
      <c r="C1145" s="1" t="n">
        <v>46087</v>
      </c>
      <c r="D1145" t="inlineStr">
        <is>
          <t>JÄMTLANDS LÄN</t>
        </is>
      </c>
      <c r="E1145" t="inlineStr">
        <is>
          <t>RAGUNDA</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56287-2023</t>
        </is>
      </c>
      <c r="B1146" s="1" t="n">
        <v>45241</v>
      </c>
      <c r="C1146" s="1" t="n">
        <v>46087</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59658-2023</t>
        </is>
      </c>
      <c r="B1147" s="1" t="n">
        <v>45254.96402777778</v>
      </c>
      <c r="C1147" s="1" t="n">
        <v>46087</v>
      </c>
      <c r="D1147" t="inlineStr">
        <is>
          <t>JÄMTLANDS LÄN</t>
        </is>
      </c>
      <c r="E1147" t="inlineStr">
        <is>
          <t>RAGUNDA</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28081-2022</t>
        </is>
      </c>
      <c r="B1148" s="1" t="n">
        <v>44746</v>
      </c>
      <c r="C1148" s="1" t="n">
        <v>46087</v>
      </c>
      <c r="D1148" t="inlineStr">
        <is>
          <t>JÄMTLANDS LÄN</t>
        </is>
      </c>
      <c r="E1148" t="inlineStr">
        <is>
          <t>RAGUNDA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37324-2022</t>
        </is>
      </c>
      <c r="B1149" s="1" t="n">
        <v>44806</v>
      </c>
      <c r="C1149" s="1" t="n">
        <v>46087</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62106-2023</t>
        </is>
      </c>
      <c r="B1150" s="1" t="n">
        <v>45266.95082175926</v>
      </c>
      <c r="C1150" s="1" t="n">
        <v>46087</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4592-2024</t>
        </is>
      </c>
      <c r="B1151" s="1" t="n">
        <v>45327.94443287037</v>
      </c>
      <c r="C1151" s="1" t="n">
        <v>46087</v>
      </c>
      <c r="D1151" t="inlineStr">
        <is>
          <t>JÄMTLANDS LÄN</t>
        </is>
      </c>
      <c r="E1151" t="inlineStr">
        <is>
          <t>RAGUNDA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18984-2023</t>
        </is>
      </c>
      <c r="B1152" s="1" t="n">
        <v>45044</v>
      </c>
      <c r="C1152" s="1" t="n">
        <v>46087</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8241-2024</t>
        </is>
      </c>
      <c r="B1153" s="1" t="n">
        <v>45351.98496527778</v>
      </c>
      <c r="C1153" s="1" t="n">
        <v>46087</v>
      </c>
      <c r="D1153" t="inlineStr">
        <is>
          <t>JÄMTLANDS LÄN</t>
        </is>
      </c>
      <c r="E1153" t="inlineStr">
        <is>
          <t>RAGUNDA</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14512-2025</t>
        </is>
      </c>
      <c r="B1154" s="1" t="n">
        <v>45741.63659722222</v>
      </c>
      <c r="C1154" s="1" t="n">
        <v>46087</v>
      </c>
      <c r="D1154" t="inlineStr">
        <is>
          <t>JÄMTLANDS LÄN</t>
        </is>
      </c>
      <c r="E1154" t="inlineStr">
        <is>
          <t>RAGUNDA</t>
        </is>
      </c>
      <c r="F1154" t="inlineStr">
        <is>
          <t>SCA</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53019-2023</t>
        </is>
      </c>
      <c r="B1155" s="1" t="n">
        <v>45222</v>
      </c>
      <c r="C1155" s="1" t="n">
        <v>46087</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59996-2023</t>
        </is>
      </c>
      <c r="B1156" s="1" t="n">
        <v>45257.92826388889</v>
      </c>
      <c r="C1156" s="1" t="n">
        <v>46087</v>
      </c>
      <c r="D1156" t="inlineStr">
        <is>
          <t>JÄMTLANDS LÄN</t>
        </is>
      </c>
      <c r="E1156" t="inlineStr">
        <is>
          <t>RAGUNDA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1537-2024</t>
        </is>
      </c>
      <c r="B1157" s="1" t="n">
        <v>45306</v>
      </c>
      <c r="C1157" s="1" t="n">
        <v>46087</v>
      </c>
      <c r="D1157" t="inlineStr">
        <is>
          <t>JÄMTLANDS LÄN</t>
        </is>
      </c>
      <c r="E1157" t="inlineStr">
        <is>
          <t>RAGUNDA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29257-2024</t>
        </is>
      </c>
      <c r="B1158" s="1" t="n">
        <v>45482.94815972223</v>
      </c>
      <c r="C1158" s="1" t="n">
        <v>46087</v>
      </c>
      <c r="D1158" t="inlineStr">
        <is>
          <t>JÄMTLANDS LÄN</t>
        </is>
      </c>
      <c r="E1158" t="inlineStr">
        <is>
          <t>RAGUNDA</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55487-2023</t>
        </is>
      </c>
      <c r="B1159" s="1" t="n">
        <v>45238</v>
      </c>
      <c r="C1159" s="1" t="n">
        <v>46087</v>
      </c>
      <c r="D1159" t="inlineStr">
        <is>
          <t>JÄMTLANDS LÄN</t>
        </is>
      </c>
      <c r="E1159" t="inlineStr">
        <is>
          <t>RAGUNDA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20770-2024</t>
        </is>
      </c>
      <c r="B1160" s="1" t="n">
        <v>45436.94613425926</v>
      </c>
      <c r="C1160" s="1" t="n">
        <v>46087</v>
      </c>
      <c r="D1160" t="inlineStr">
        <is>
          <t>JÄMTLANDS LÄN</t>
        </is>
      </c>
      <c r="E1160" t="inlineStr">
        <is>
          <t>RAGUNDA</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19383-2025</t>
        </is>
      </c>
      <c r="B1161" s="1" t="n">
        <v>45769.65688657408</v>
      </c>
      <c r="C1161" s="1" t="n">
        <v>46087</v>
      </c>
      <c r="D1161" t="inlineStr">
        <is>
          <t>JÄMTLANDS LÄN</t>
        </is>
      </c>
      <c r="E1161" t="inlineStr">
        <is>
          <t>RAGUNDA</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12783-2023</t>
        </is>
      </c>
      <c r="B1162" s="1" t="n">
        <v>45000</v>
      </c>
      <c r="C1162" s="1" t="n">
        <v>46087</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35153-2024</t>
        </is>
      </c>
      <c r="B1163" s="1" t="n">
        <v>45530</v>
      </c>
      <c r="C1163" s="1" t="n">
        <v>46087</v>
      </c>
      <c r="D1163" t="inlineStr">
        <is>
          <t>JÄMTLANDS LÄN</t>
        </is>
      </c>
      <c r="E1163" t="inlineStr">
        <is>
          <t>RAGUNDA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61197-2023</t>
        </is>
      </c>
      <c r="B1164" s="1" t="n">
        <v>45260</v>
      </c>
      <c r="C1164" s="1" t="n">
        <v>46087</v>
      </c>
      <c r="D1164" t="inlineStr">
        <is>
          <t>JÄMTLANDS LÄN</t>
        </is>
      </c>
      <c r="E1164" t="inlineStr">
        <is>
          <t>RAGUNDA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31135-2023</t>
        </is>
      </c>
      <c r="B1165" s="1" t="n">
        <v>45103</v>
      </c>
      <c r="C1165" s="1" t="n">
        <v>46087</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13767-2022</t>
        </is>
      </c>
      <c r="B1166" s="1" t="n">
        <v>44649.47048611111</v>
      </c>
      <c r="C1166" s="1" t="n">
        <v>46087</v>
      </c>
      <c r="D1166" t="inlineStr">
        <is>
          <t>JÄMTLANDS LÄN</t>
        </is>
      </c>
      <c r="E1166" t="inlineStr">
        <is>
          <t>RAGUNDA</t>
        </is>
      </c>
      <c r="F1166" t="inlineStr">
        <is>
          <t>Kommuner</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22569-2023</t>
        </is>
      </c>
      <c r="B1167" s="1" t="n">
        <v>45069</v>
      </c>
      <c r="C1167" s="1" t="n">
        <v>46087</v>
      </c>
      <c r="D1167" t="inlineStr">
        <is>
          <t>JÄMTLANDS LÄN</t>
        </is>
      </c>
      <c r="E1167" t="inlineStr">
        <is>
          <t>RAGUNDA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4212-2024</t>
        </is>
      </c>
      <c r="B1168" s="1" t="n">
        <v>45324</v>
      </c>
      <c r="C1168" s="1" t="n">
        <v>46087</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43405-2023</t>
        </is>
      </c>
      <c r="B1169" s="1" t="n">
        <v>45183.95563657407</v>
      </c>
      <c r="C1169" s="1" t="n">
        <v>46087</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56984-2022</t>
        </is>
      </c>
      <c r="B1170" s="1" t="n">
        <v>44894.79018518519</v>
      </c>
      <c r="C1170" s="1" t="n">
        <v>46087</v>
      </c>
      <c r="D1170" t="inlineStr">
        <is>
          <t>JÄMTLANDS LÄN</t>
        </is>
      </c>
      <c r="E1170" t="inlineStr">
        <is>
          <t>RAGUNDA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5958-2023</t>
        </is>
      </c>
      <c r="B1171" s="1" t="n">
        <v>44963</v>
      </c>
      <c r="C1171" s="1" t="n">
        <v>46087</v>
      </c>
      <c r="D1171" t="inlineStr">
        <is>
          <t>JÄMTLANDS LÄN</t>
        </is>
      </c>
      <c r="E1171" t="inlineStr">
        <is>
          <t>RAGUNDA</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50521-2024</t>
        </is>
      </c>
      <c r="B1172" s="1" t="n">
        <v>45601.55331018518</v>
      </c>
      <c r="C1172" s="1" t="n">
        <v>46087</v>
      </c>
      <c r="D1172" t="inlineStr">
        <is>
          <t>JÄMTLANDS LÄN</t>
        </is>
      </c>
      <c r="E1172" t="inlineStr">
        <is>
          <t>RAGUNDA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29920-2024</t>
        </is>
      </c>
      <c r="B1173" s="1" t="n">
        <v>45487.92856481481</v>
      </c>
      <c r="C1173" s="1" t="n">
        <v>46087</v>
      </c>
      <c r="D1173" t="inlineStr">
        <is>
          <t>JÄMTLANDS LÄN</t>
        </is>
      </c>
      <c r="E1173" t="inlineStr">
        <is>
          <t>RAGUNDA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62011-2022</t>
        </is>
      </c>
      <c r="B1174" s="1" t="n">
        <v>44914</v>
      </c>
      <c r="C1174" s="1" t="n">
        <v>46087</v>
      </c>
      <c r="D1174" t="inlineStr">
        <is>
          <t>JÄMTLANDS LÄN</t>
        </is>
      </c>
      <c r="E1174" t="inlineStr">
        <is>
          <t>RAGUNDA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22311-2024</t>
        </is>
      </c>
      <c r="B1175" s="1" t="n">
        <v>45446.57052083333</v>
      </c>
      <c r="C1175" s="1" t="n">
        <v>46087</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19866-2023</t>
        </is>
      </c>
      <c r="B1176" s="1" t="n">
        <v>45053.94313657407</v>
      </c>
      <c r="C1176" s="1" t="n">
        <v>46087</v>
      </c>
      <c r="D1176" t="inlineStr">
        <is>
          <t>JÄMTLANDS LÄN</t>
        </is>
      </c>
      <c r="E1176" t="inlineStr">
        <is>
          <t>RAGUNDA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53935-2022</t>
        </is>
      </c>
      <c r="B1177" s="1" t="n">
        <v>44880</v>
      </c>
      <c r="C1177" s="1" t="n">
        <v>46087</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18631-2024</t>
        </is>
      </c>
      <c r="B1178" s="1" t="n">
        <v>45425.96494212963</v>
      </c>
      <c r="C1178" s="1" t="n">
        <v>46087</v>
      </c>
      <c r="D1178" t="inlineStr">
        <is>
          <t>JÄMTLANDS LÄN</t>
        </is>
      </c>
      <c r="E1178" t="inlineStr">
        <is>
          <t>RAGUNDA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12805-2025</t>
        </is>
      </c>
      <c r="B1179" s="1" t="n">
        <v>45733.61497685185</v>
      </c>
      <c r="C1179" s="1" t="n">
        <v>46087</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11062-2023</t>
        </is>
      </c>
      <c r="B1180" s="1" t="n">
        <v>44991</v>
      </c>
      <c r="C1180" s="1" t="n">
        <v>46087</v>
      </c>
      <c r="D1180" t="inlineStr">
        <is>
          <t>JÄMTLANDS LÄN</t>
        </is>
      </c>
      <c r="E1180" t="inlineStr">
        <is>
          <t>RAGUNDA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69153-2021</t>
        </is>
      </c>
      <c r="B1181" s="1" t="n">
        <v>44530.94694444445</v>
      </c>
      <c r="C1181" s="1" t="n">
        <v>46087</v>
      </c>
      <c r="D1181" t="inlineStr">
        <is>
          <t>JÄMTLANDS LÄN</t>
        </is>
      </c>
      <c r="E1181" t="inlineStr">
        <is>
          <t>RAGUNDA</t>
        </is>
      </c>
      <c r="F1181" t="inlineStr">
        <is>
          <t>SCA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4882-2023</t>
        </is>
      </c>
      <c r="B1182" s="1" t="n">
        <v>44957.94075231482</v>
      </c>
      <c r="C1182" s="1" t="n">
        <v>46087</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39608-2024</t>
        </is>
      </c>
      <c r="B1183" s="1" t="n">
        <v>45552.39113425926</v>
      </c>
      <c r="C1183" s="1" t="n">
        <v>46087</v>
      </c>
      <c r="D1183" t="inlineStr">
        <is>
          <t>JÄMTLANDS LÄN</t>
        </is>
      </c>
      <c r="E1183" t="inlineStr">
        <is>
          <t>RAGUNDA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18454-2021</t>
        </is>
      </c>
      <c r="B1184" s="1" t="n">
        <v>44305.92047453704</v>
      </c>
      <c r="C1184" s="1" t="n">
        <v>46087</v>
      </c>
      <c r="D1184" t="inlineStr">
        <is>
          <t>JÄMTLANDS LÄN</t>
        </is>
      </c>
      <c r="E1184" t="inlineStr">
        <is>
          <t>RAGUNDA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26455-2023</t>
        </is>
      </c>
      <c r="B1185" s="1" t="n">
        <v>45092</v>
      </c>
      <c r="C1185" s="1" t="n">
        <v>46087</v>
      </c>
      <c r="D1185" t="inlineStr">
        <is>
          <t>JÄMTLANDS LÄN</t>
        </is>
      </c>
      <c r="E1185" t="inlineStr">
        <is>
          <t>RAGUNDA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6801-2023</t>
        </is>
      </c>
      <c r="B1186" s="1" t="n">
        <v>44966.95328703704</v>
      </c>
      <c r="C1186" s="1" t="n">
        <v>46087</v>
      </c>
      <c r="D1186" t="inlineStr">
        <is>
          <t>JÄMTLANDS LÄN</t>
        </is>
      </c>
      <c r="E1186" t="inlineStr">
        <is>
          <t>RAGUNDA</t>
        </is>
      </c>
      <c r="F1186" t="inlineStr">
        <is>
          <t>SCA</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10641-2024</t>
        </is>
      </c>
      <c r="B1187" s="1" t="n">
        <v>45367.69850694444</v>
      </c>
      <c r="C1187" s="1" t="n">
        <v>46087</v>
      </c>
      <c r="D1187" t="inlineStr">
        <is>
          <t>JÄMTLANDS LÄN</t>
        </is>
      </c>
      <c r="E1187" t="inlineStr">
        <is>
          <t>RAGUNDA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10644-2024</t>
        </is>
      </c>
      <c r="B1188" s="1" t="n">
        <v>45367.71348379629</v>
      </c>
      <c r="C1188" s="1" t="n">
        <v>46087</v>
      </c>
      <c r="D1188" t="inlineStr">
        <is>
          <t>JÄMTLANDS LÄN</t>
        </is>
      </c>
      <c r="E1188" t="inlineStr">
        <is>
          <t>RAGUNDA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17559-2023</t>
        </is>
      </c>
      <c r="B1189" s="1" t="n">
        <v>45034</v>
      </c>
      <c r="C1189" s="1" t="n">
        <v>46087</v>
      </c>
      <c r="D1189" t="inlineStr">
        <is>
          <t>JÄMTLANDS LÄN</t>
        </is>
      </c>
      <c r="E1189" t="inlineStr">
        <is>
          <t>RAGUNDA</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30826-2023</t>
        </is>
      </c>
      <c r="B1190" s="1" t="n">
        <v>45112</v>
      </c>
      <c r="C1190" s="1" t="n">
        <v>46087</v>
      </c>
      <c r="D1190" t="inlineStr">
        <is>
          <t>JÄMTLANDS LÄN</t>
        </is>
      </c>
      <c r="E1190" t="inlineStr">
        <is>
          <t>RAGUNDA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56191-2022</t>
        </is>
      </c>
      <c r="B1191" s="1" t="n">
        <v>44889.95015046297</v>
      </c>
      <c r="C1191" s="1" t="n">
        <v>46087</v>
      </c>
      <c r="D1191" t="inlineStr">
        <is>
          <t>JÄMTLANDS LÄN</t>
        </is>
      </c>
      <c r="E1191" t="inlineStr">
        <is>
          <t>RAGUNDA</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33621-2023</t>
        </is>
      </c>
      <c r="B1192" s="1" t="n">
        <v>45119</v>
      </c>
      <c r="C1192" s="1" t="n">
        <v>46087</v>
      </c>
      <c r="D1192" t="inlineStr">
        <is>
          <t>JÄMTLANDS LÄN</t>
        </is>
      </c>
      <c r="E1192" t="inlineStr">
        <is>
          <t>RAGUNDA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65216-2023</t>
        </is>
      </c>
      <c r="B1193" s="1" t="n">
        <v>45289</v>
      </c>
      <c r="C1193" s="1" t="n">
        <v>46087</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60838-2023</t>
        </is>
      </c>
      <c r="B1194" s="1" t="n">
        <v>45260.92561342593</v>
      </c>
      <c r="C1194" s="1" t="n">
        <v>46087</v>
      </c>
      <c r="D1194" t="inlineStr">
        <is>
          <t>JÄMTLANDS LÄN</t>
        </is>
      </c>
      <c r="E1194" t="inlineStr">
        <is>
          <t>RAGUNDA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2133-2023</t>
        </is>
      </c>
      <c r="B1195" s="1" t="n">
        <v>44939</v>
      </c>
      <c r="C1195" s="1" t="n">
        <v>46087</v>
      </c>
      <c r="D1195" t="inlineStr">
        <is>
          <t>JÄMTLANDS LÄN</t>
        </is>
      </c>
      <c r="E1195" t="inlineStr">
        <is>
          <t>RAGUNDA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49647-2024</t>
        </is>
      </c>
      <c r="B1196" s="1" t="n">
        <v>45596.61533564814</v>
      </c>
      <c r="C1196" s="1" t="n">
        <v>46087</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64415-2023</t>
        </is>
      </c>
      <c r="B1197" s="1" t="n">
        <v>45280</v>
      </c>
      <c r="C1197" s="1" t="n">
        <v>46087</v>
      </c>
      <c r="D1197" t="inlineStr">
        <is>
          <t>JÄMTLANDS LÄN</t>
        </is>
      </c>
      <c r="E1197" t="inlineStr">
        <is>
          <t>RAGUNDA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38782-2021</t>
        </is>
      </c>
      <c r="B1198" s="1" t="n">
        <v>44410</v>
      </c>
      <c r="C1198" s="1" t="n">
        <v>46087</v>
      </c>
      <c r="D1198" t="inlineStr">
        <is>
          <t>JÄMTLANDS LÄN</t>
        </is>
      </c>
      <c r="E1198" t="inlineStr">
        <is>
          <t>RAGUNDA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16250-2022</t>
        </is>
      </c>
      <c r="B1199" s="1" t="n">
        <v>44670</v>
      </c>
      <c r="C1199" s="1" t="n">
        <v>46087</v>
      </c>
      <c r="D1199" t="inlineStr">
        <is>
          <t>JÄMTLANDS LÄN</t>
        </is>
      </c>
      <c r="E1199" t="inlineStr">
        <is>
          <t>RAGUNDA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13334-2024</t>
        </is>
      </c>
      <c r="B1200" s="1" t="n">
        <v>45386</v>
      </c>
      <c r="C1200" s="1" t="n">
        <v>46087</v>
      </c>
      <c r="D1200" t="inlineStr">
        <is>
          <t>JÄMTLANDS LÄN</t>
        </is>
      </c>
      <c r="E1200" t="inlineStr">
        <is>
          <t>RAGUNDA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55669-2023</t>
        </is>
      </c>
      <c r="B1201" s="1" t="n">
        <v>45238.96797453704</v>
      </c>
      <c r="C1201" s="1" t="n">
        <v>46087</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51389-2024</t>
        </is>
      </c>
      <c r="B1202" s="1" t="n">
        <v>45604.40540509259</v>
      </c>
      <c r="C1202" s="1" t="n">
        <v>46087</v>
      </c>
      <c r="D1202" t="inlineStr">
        <is>
          <t>JÄMTLANDS LÄN</t>
        </is>
      </c>
      <c r="E1202" t="inlineStr">
        <is>
          <t>RAGUNDA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51393-2024</t>
        </is>
      </c>
      <c r="B1203" s="1" t="n">
        <v>45604.41625</v>
      </c>
      <c r="C1203" s="1" t="n">
        <v>46087</v>
      </c>
      <c r="D1203" t="inlineStr">
        <is>
          <t>JÄMTLANDS LÄN</t>
        </is>
      </c>
      <c r="E1203" t="inlineStr">
        <is>
          <t>RAGUNDA</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43339-2024</t>
        </is>
      </c>
      <c r="B1204" s="1" t="n">
        <v>45568.51075231482</v>
      </c>
      <c r="C1204" s="1" t="n">
        <v>46087</v>
      </c>
      <c r="D1204" t="inlineStr">
        <is>
          <t>JÄMTLANDS LÄN</t>
        </is>
      </c>
      <c r="E1204" t="inlineStr">
        <is>
          <t>RAGUNDA</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38548-2024</t>
        </is>
      </c>
      <c r="B1205" s="1" t="n">
        <v>45546</v>
      </c>
      <c r="C1205" s="1" t="n">
        <v>46087</v>
      </c>
      <c r="D1205" t="inlineStr">
        <is>
          <t>JÄMTLANDS LÄN</t>
        </is>
      </c>
      <c r="E1205" t="inlineStr">
        <is>
          <t>RAGUNDA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26026-2024</t>
        </is>
      </c>
      <c r="B1206" s="1" t="n">
        <v>45467.96207175926</v>
      </c>
      <c r="C1206" s="1" t="n">
        <v>46087</v>
      </c>
      <c r="D1206" t="inlineStr">
        <is>
          <t>JÄMTLANDS LÄN</t>
        </is>
      </c>
      <c r="E1206" t="inlineStr">
        <is>
          <t>RAGUNDA</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5971-2025</t>
        </is>
      </c>
      <c r="B1207" s="1" t="n">
        <v>45695.51070601852</v>
      </c>
      <c r="C1207" s="1" t="n">
        <v>46087</v>
      </c>
      <c r="D1207" t="inlineStr">
        <is>
          <t>JÄMTLANDS LÄN</t>
        </is>
      </c>
      <c r="E1207" t="inlineStr">
        <is>
          <t>RAGUNDA</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51537-2022</t>
        </is>
      </c>
      <c r="B1208" s="1" t="n">
        <v>44869</v>
      </c>
      <c r="C1208" s="1" t="n">
        <v>46087</v>
      </c>
      <c r="D1208" t="inlineStr">
        <is>
          <t>JÄMTLANDS LÄN</t>
        </is>
      </c>
      <c r="E1208" t="inlineStr">
        <is>
          <t>RAGUNDA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12995-2023</t>
        </is>
      </c>
      <c r="B1209" s="1" t="n">
        <v>45002.0328125</v>
      </c>
      <c r="C1209" s="1" t="n">
        <v>46087</v>
      </c>
      <c r="D1209" t="inlineStr">
        <is>
          <t>JÄMTLANDS LÄN</t>
        </is>
      </c>
      <c r="E1209" t="inlineStr">
        <is>
          <t>RAGUNDA</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8800-2025</t>
        </is>
      </c>
      <c r="B1210" s="1" t="n">
        <v>45712.65671296296</v>
      </c>
      <c r="C1210" s="1" t="n">
        <v>46087</v>
      </c>
      <c r="D1210" t="inlineStr">
        <is>
          <t>JÄMTLANDS LÄN</t>
        </is>
      </c>
      <c r="E1210" t="inlineStr">
        <is>
          <t>RAGUNDA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56284-2023</t>
        </is>
      </c>
      <c r="B1211" s="1" t="n">
        <v>45241.95724537037</v>
      </c>
      <c r="C1211" s="1" t="n">
        <v>46087</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18610-2024</t>
        </is>
      </c>
      <c r="B1212" s="1" t="n">
        <v>45425.96230324074</v>
      </c>
      <c r="C1212" s="1" t="n">
        <v>46087</v>
      </c>
      <c r="D1212" t="inlineStr">
        <is>
          <t>JÄMTLANDS LÄN</t>
        </is>
      </c>
      <c r="E1212" t="inlineStr">
        <is>
          <t>RAGUNDA</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30563-2023</t>
        </is>
      </c>
      <c r="B1213" s="1" t="n">
        <v>45111.92793981481</v>
      </c>
      <c r="C1213" s="1" t="n">
        <v>46087</v>
      </c>
      <c r="D1213" t="inlineStr">
        <is>
          <t>JÄMTLANDS LÄN</t>
        </is>
      </c>
      <c r="E1213" t="inlineStr">
        <is>
          <t>RAGUNDA</t>
        </is>
      </c>
      <c r="F1213" t="inlineStr">
        <is>
          <t>Övriga Aktiebolag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8886-2024</t>
        </is>
      </c>
      <c r="B1214" s="1" t="n">
        <v>45357.05300925926</v>
      </c>
      <c r="C1214" s="1" t="n">
        <v>46087</v>
      </c>
      <c r="D1214" t="inlineStr">
        <is>
          <t>JÄMTLANDS LÄN</t>
        </is>
      </c>
      <c r="E1214" t="inlineStr">
        <is>
          <t>RAGUNDA</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18615-2024</t>
        </is>
      </c>
      <c r="B1215" s="1" t="n">
        <v>45425.96275462963</v>
      </c>
      <c r="C1215" s="1" t="n">
        <v>46087</v>
      </c>
      <c r="D1215" t="inlineStr">
        <is>
          <t>JÄMTLANDS LÄN</t>
        </is>
      </c>
      <c r="E1215" t="inlineStr">
        <is>
          <t>RAGUNDA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23303-2024</t>
        </is>
      </c>
      <c r="B1216" s="1" t="n">
        <v>45453.4444212963</v>
      </c>
      <c r="C1216" s="1" t="n">
        <v>46087</v>
      </c>
      <c r="D1216" t="inlineStr">
        <is>
          <t>JÄMTLANDS LÄN</t>
        </is>
      </c>
      <c r="E1216" t="inlineStr">
        <is>
          <t>RAGUNDA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465-2023</t>
        </is>
      </c>
      <c r="B1217" s="1" t="n">
        <v>44929</v>
      </c>
      <c r="C1217" s="1" t="n">
        <v>46087</v>
      </c>
      <c r="D1217" t="inlineStr">
        <is>
          <t>JÄMTLANDS LÄN</t>
        </is>
      </c>
      <c r="E1217" t="inlineStr">
        <is>
          <t>RAGUNDA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32832-2021</t>
        </is>
      </c>
      <c r="B1218" s="1" t="n">
        <v>44375</v>
      </c>
      <c r="C1218" s="1" t="n">
        <v>46087</v>
      </c>
      <c r="D1218" t="inlineStr">
        <is>
          <t>JÄMTLANDS LÄN</t>
        </is>
      </c>
      <c r="E1218" t="inlineStr">
        <is>
          <t>RAGUNDA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3938-2024</t>
        </is>
      </c>
      <c r="B1219" s="1" t="n">
        <v>45322</v>
      </c>
      <c r="C1219" s="1" t="n">
        <v>46087</v>
      </c>
      <c r="D1219" t="inlineStr">
        <is>
          <t>JÄMTLANDS LÄN</t>
        </is>
      </c>
      <c r="E1219" t="inlineStr">
        <is>
          <t>RAGUNDA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62081-2022</t>
        </is>
      </c>
      <c r="B1220" s="1" t="n">
        <v>44918</v>
      </c>
      <c r="C1220" s="1" t="n">
        <v>46087</v>
      </c>
      <c r="D1220" t="inlineStr">
        <is>
          <t>JÄMTLANDS LÄN</t>
        </is>
      </c>
      <c r="E1220" t="inlineStr">
        <is>
          <t>RAGUNDA</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55508-2024</t>
        </is>
      </c>
      <c r="B1221" s="1" t="n">
        <v>45622.46200231482</v>
      </c>
      <c r="C1221" s="1" t="n">
        <v>46087</v>
      </c>
      <c r="D1221" t="inlineStr">
        <is>
          <t>JÄMTLANDS LÄN</t>
        </is>
      </c>
      <c r="E1221" t="inlineStr">
        <is>
          <t>RAGUNDA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12521-2023</t>
        </is>
      </c>
      <c r="B1222" s="1" t="n">
        <v>45000</v>
      </c>
      <c r="C1222" s="1" t="n">
        <v>46087</v>
      </c>
      <c r="D1222" t="inlineStr">
        <is>
          <t>JÄMTLANDS LÄN</t>
        </is>
      </c>
      <c r="E1222" t="inlineStr">
        <is>
          <t>RAGUNDA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3720-2025</t>
        </is>
      </c>
      <c r="B1223" s="1" t="n">
        <v>45681.5315625</v>
      </c>
      <c r="C1223" s="1" t="n">
        <v>46087</v>
      </c>
      <c r="D1223" t="inlineStr">
        <is>
          <t>JÄMTLANDS LÄN</t>
        </is>
      </c>
      <c r="E1223" t="inlineStr">
        <is>
          <t>RAGUNDA</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2339-2025</t>
        </is>
      </c>
      <c r="B1224" s="1" t="n">
        <v>45673.66358796296</v>
      </c>
      <c r="C1224" s="1" t="n">
        <v>46087</v>
      </c>
      <c r="D1224" t="inlineStr">
        <is>
          <t>JÄMTLANDS LÄN</t>
        </is>
      </c>
      <c r="E1224" t="inlineStr">
        <is>
          <t>RAGUNDA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17742-2022</t>
        </is>
      </c>
      <c r="B1225" s="1" t="n">
        <v>44680.95246527778</v>
      </c>
      <c r="C1225" s="1" t="n">
        <v>46087</v>
      </c>
      <c r="D1225" t="inlineStr">
        <is>
          <t>JÄMTLANDS LÄN</t>
        </is>
      </c>
      <c r="E1225" t="inlineStr">
        <is>
          <t>RAGUNDA</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50555-2024</t>
        </is>
      </c>
      <c r="B1226" s="1" t="n">
        <v>45601.59518518519</v>
      </c>
      <c r="C1226" s="1" t="n">
        <v>46087</v>
      </c>
      <c r="D1226" t="inlineStr">
        <is>
          <t>JÄMTLANDS LÄN</t>
        </is>
      </c>
      <c r="E1226" t="inlineStr">
        <is>
          <t>RAGUNDA</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53676-2022</t>
        </is>
      </c>
      <c r="B1227" s="1" t="n">
        <v>44879</v>
      </c>
      <c r="C1227" s="1" t="n">
        <v>46087</v>
      </c>
      <c r="D1227" t="inlineStr">
        <is>
          <t>JÄMTLANDS LÄN</t>
        </is>
      </c>
      <c r="E1227" t="inlineStr">
        <is>
          <t>RAGUNDA</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14212-2023</t>
        </is>
      </c>
      <c r="B1228" s="1" t="n">
        <v>45009</v>
      </c>
      <c r="C1228" s="1" t="n">
        <v>46087</v>
      </c>
      <c r="D1228" t="inlineStr">
        <is>
          <t>JÄMTLANDS LÄN</t>
        </is>
      </c>
      <c r="E1228" t="inlineStr">
        <is>
          <t>RAGUNDA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20772-2024</t>
        </is>
      </c>
      <c r="B1229" s="1" t="n">
        <v>45436.94628472222</v>
      </c>
      <c r="C1229" s="1" t="n">
        <v>46087</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18614-2024</t>
        </is>
      </c>
      <c r="B1230" s="1" t="n">
        <v>45425.96263888889</v>
      </c>
      <c r="C1230" s="1" t="n">
        <v>46087</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53757-2024</t>
        </is>
      </c>
      <c r="B1231" s="1" t="n">
        <v>45615.50034722222</v>
      </c>
      <c r="C1231" s="1" t="n">
        <v>46087</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19246-2023</t>
        </is>
      </c>
      <c r="B1232" s="1" t="n">
        <v>45048.94340277778</v>
      </c>
      <c r="C1232" s="1" t="n">
        <v>46087</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464-2023</t>
        </is>
      </c>
      <c r="B1233" s="1" t="n">
        <v>44929.92489583333</v>
      </c>
      <c r="C1233" s="1" t="n">
        <v>46087</v>
      </c>
      <c r="D1233" t="inlineStr">
        <is>
          <t>JÄMTLANDS LÄN</t>
        </is>
      </c>
      <c r="E1233" t="inlineStr">
        <is>
          <t>RAGUNDA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49649-2024</t>
        </is>
      </c>
      <c r="B1234" s="1" t="n">
        <v>45596.61553240741</v>
      </c>
      <c r="C1234" s="1" t="n">
        <v>46087</v>
      </c>
      <c r="D1234" t="inlineStr">
        <is>
          <t>JÄMTLANDS LÄN</t>
        </is>
      </c>
      <c r="E1234" t="inlineStr">
        <is>
          <t>RAGUNDA</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20426-2024</t>
        </is>
      </c>
      <c r="B1235" s="1" t="n">
        <v>45435</v>
      </c>
      <c r="C1235" s="1" t="n">
        <v>46087</v>
      </c>
      <c r="D1235" t="inlineStr">
        <is>
          <t>JÄMTLANDS LÄN</t>
        </is>
      </c>
      <c r="E1235" t="inlineStr">
        <is>
          <t>RAGUNDA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41344-2024</t>
        </is>
      </c>
      <c r="B1236" s="1" t="n">
        <v>45559.67759259259</v>
      </c>
      <c r="C1236" s="1" t="n">
        <v>46087</v>
      </c>
      <c r="D1236" t="inlineStr">
        <is>
          <t>JÄMTLANDS LÄN</t>
        </is>
      </c>
      <c r="E1236" t="inlineStr">
        <is>
          <t>RAGUNDA</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58955-2024</t>
        </is>
      </c>
      <c r="B1237" s="1" t="n">
        <v>45636.57329861111</v>
      </c>
      <c r="C1237" s="1" t="n">
        <v>46087</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4878-2022</t>
        </is>
      </c>
      <c r="B1238" s="1" t="n">
        <v>44593</v>
      </c>
      <c r="C1238" s="1" t="n">
        <v>46087</v>
      </c>
      <c r="D1238" t="inlineStr">
        <is>
          <t>JÄMTLANDS LÄN</t>
        </is>
      </c>
      <c r="E1238" t="inlineStr">
        <is>
          <t>RAGUNDA</t>
        </is>
      </c>
      <c r="G1238" t="n">
        <v>21.7</v>
      </c>
      <c r="H1238" t="n">
        <v>0</v>
      </c>
      <c r="I1238" t="n">
        <v>0</v>
      </c>
      <c r="J1238" t="n">
        <v>0</v>
      </c>
      <c r="K1238" t="n">
        <v>0</v>
      </c>
      <c r="L1238" t="n">
        <v>0</v>
      </c>
      <c r="M1238" t="n">
        <v>0</v>
      </c>
      <c r="N1238" t="n">
        <v>0</v>
      </c>
      <c r="O1238" t="n">
        <v>0</v>
      </c>
      <c r="P1238" t="n">
        <v>0</v>
      </c>
      <c r="Q1238" t="n">
        <v>0</v>
      </c>
      <c r="R1238" s="2" t="inlineStr"/>
    </row>
    <row r="1239" ht="15" customHeight="1">
      <c r="A1239" t="inlineStr">
        <is>
          <t>A 39489-2023</t>
        </is>
      </c>
      <c r="B1239" s="1" t="n">
        <v>45166</v>
      </c>
      <c r="C1239" s="1" t="n">
        <v>46087</v>
      </c>
      <c r="D1239" t="inlineStr">
        <is>
          <t>JÄMTLANDS LÄN</t>
        </is>
      </c>
      <c r="E1239" t="inlineStr">
        <is>
          <t>RAGUNDA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11058-2025</t>
        </is>
      </c>
      <c r="B1240" s="1" t="n">
        <v>45723.51079861111</v>
      </c>
      <c r="C1240" s="1" t="n">
        <v>46087</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15554-2025</t>
        </is>
      </c>
      <c r="B1241" s="1" t="n">
        <v>45747.67739583334</v>
      </c>
      <c r="C1241" s="1" t="n">
        <v>46087</v>
      </c>
      <c r="D1241" t="inlineStr">
        <is>
          <t>JÄMTLANDS LÄN</t>
        </is>
      </c>
      <c r="E1241" t="inlineStr">
        <is>
          <t>RAGUNDA</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57170-2024</t>
        </is>
      </c>
      <c r="B1242" s="1" t="n">
        <v>45629.42759259259</v>
      </c>
      <c r="C1242" s="1" t="n">
        <v>46087</v>
      </c>
      <c r="D1242" t="inlineStr">
        <is>
          <t>JÄMTLANDS LÄN</t>
        </is>
      </c>
      <c r="E1242" t="inlineStr">
        <is>
          <t>RAGUNDA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29940-2023</t>
        </is>
      </c>
      <c r="B1243" s="1" t="n">
        <v>45107</v>
      </c>
      <c r="C1243" s="1" t="n">
        <v>46087</v>
      </c>
      <c r="D1243" t="inlineStr">
        <is>
          <t>JÄMTLANDS LÄN</t>
        </is>
      </c>
      <c r="E1243" t="inlineStr">
        <is>
          <t>RAGUNDA</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66471-2021</t>
        </is>
      </c>
      <c r="B1244" s="1" t="n">
        <v>44518</v>
      </c>
      <c r="C1244" s="1" t="n">
        <v>46087</v>
      </c>
      <c r="D1244" t="inlineStr">
        <is>
          <t>JÄMTLANDS LÄN</t>
        </is>
      </c>
      <c r="E1244" t="inlineStr">
        <is>
          <t>RAGUNDA</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22731-2023</t>
        </is>
      </c>
      <c r="B1245" s="1" t="n">
        <v>45071</v>
      </c>
      <c r="C1245" s="1" t="n">
        <v>46087</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33877-2023</t>
        </is>
      </c>
      <c r="B1246" s="1" t="n">
        <v>45133</v>
      </c>
      <c r="C1246" s="1" t="n">
        <v>46087</v>
      </c>
      <c r="D1246" t="inlineStr">
        <is>
          <t>JÄMTLANDS LÄN</t>
        </is>
      </c>
      <c r="E1246" t="inlineStr">
        <is>
          <t>RAGUNDA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8775-2025</t>
        </is>
      </c>
      <c r="B1247" s="1" t="n">
        <v>45712.61502314815</v>
      </c>
      <c r="C1247" s="1" t="n">
        <v>46087</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8776-2025</t>
        </is>
      </c>
      <c r="B1248" s="1" t="n">
        <v>45712.61510416667</v>
      </c>
      <c r="C1248" s="1" t="n">
        <v>46087</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57749-2024</t>
        </is>
      </c>
      <c r="B1249" s="1" t="n">
        <v>45630.7862037037</v>
      </c>
      <c r="C1249" s="1" t="n">
        <v>46087</v>
      </c>
      <c r="D1249" t="inlineStr">
        <is>
          <t>JÄMTLANDS LÄN</t>
        </is>
      </c>
      <c r="E1249" t="inlineStr">
        <is>
          <t>RAGUNDA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5067-2024</t>
        </is>
      </c>
      <c r="B1250" s="1" t="n">
        <v>45329.95806712963</v>
      </c>
      <c r="C1250" s="1" t="n">
        <v>46087</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5429-2024</t>
        </is>
      </c>
      <c r="B1251" s="1" t="n">
        <v>45331.92746527777</v>
      </c>
      <c r="C1251" s="1" t="n">
        <v>46087</v>
      </c>
      <c r="D1251" t="inlineStr">
        <is>
          <t>JÄMTLANDS LÄN</t>
        </is>
      </c>
      <c r="E1251" t="inlineStr">
        <is>
          <t>RAGUNDA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28742-2023</t>
        </is>
      </c>
      <c r="B1252" s="1" t="n">
        <v>45103</v>
      </c>
      <c r="C1252" s="1" t="n">
        <v>46087</v>
      </c>
      <c r="D1252" t="inlineStr">
        <is>
          <t>JÄMTLANDS LÄN</t>
        </is>
      </c>
      <c r="E1252" t="inlineStr">
        <is>
          <t>RAGUNDA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22981-2023</t>
        </is>
      </c>
      <c r="B1253" s="1" t="n">
        <v>45072.92737268518</v>
      </c>
      <c r="C1253" s="1" t="n">
        <v>46087</v>
      </c>
      <c r="D1253" t="inlineStr">
        <is>
          <t>JÄMTLANDS LÄN</t>
        </is>
      </c>
      <c r="E1253" t="inlineStr">
        <is>
          <t>RAGUNDA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21726-2023</t>
        </is>
      </c>
      <c r="B1254" s="1" t="n">
        <v>45065.42894675926</v>
      </c>
      <c r="C1254" s="1" t="n">
        <v>46087</v>
      </c>
      <c r="D1254" t="inlineStr">
        <is>
          <t>JÄMTLANDS LÄN</t>
        </is>
      </c>
      <c r="E1254" t="inlineStr">
        <is>
          <t>RAGUNDA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55514-2024</t>
        </is>
      </c>
      <c r="B1255" s="1" t="n">
        <v>45622.46910879629</v>
      </c>
      <c r="C1255" s="1" t="n">
        <v>46087</v>
      </c>
      <c r="D1255" t="inlineStr">
        <is>
          <t>JÄMTLANDS LÄN</t>
        </is>
      </c>
      <c r="E1255" t="inlineStr">
        <is>
          <t>RAGUNDA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24441-2024</t>
        </is>
      </c>
      <c r="B1256" s="1" t="n">
        <v>45457.96372685185</v>
      </c>
      <c r="C1256" s="1" t="n">
        <v>46087</v>
      </c>
      <c r="D1256" t="inlineStr">
        <is>
          <t>JÄMTLANDS LÄN</t>
        </is>
      </c>
      <c r="E1256" t="inlineStr">
        <is>
          <t>RAGUNDA</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934-2023</t>
        </is>
      </c>
      <c r="B1257" s="1" t="n">
        <v>44932.93927083333</v>
      </c>
      <c r="C1257" s="1" t="n">
        <v>46087</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37242-2024</t>
        </is>
      </c>
      <c r="B1258" s="1" t="n">
        <v>45540.34428240741</v>
      </c>
      <c r="C1258" s="1" t="n">
        <v>46087</v>
      </c>
      <c r="D1258" t="inlineStr">
        <is>
          <t>JÄMTLANDS LÄN</t>
        </is>
      </c>
      <c r="E1258" t="inlineStr">
        <is>
          <t>RAGUNDA</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9232-2025</t>
        </is>
      </c>
      <c r="B1259" s="1" t="n">
        <v>45714.55064814815</v>
      </c>
      <c r="C1259" s="1" t="n">
        <v>46087</v>
      </c>
      <c r="D1259" t="inlineStr">
        <is>
          <t>JÄMTLANDS LÄN</t>
        </is>
      </c>
      <c r="E1259" t="inlineStr">
        <is>
          <t>RAGUNDA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41656-2023</t>
        </is>
      </c>
      <c r="B1260" s="1" t="n">
        <v>45175</v>
      </c>
      <c r="C1260" s="1" t="n">
        <v>46087</v>
      </c>
      <c r="D1260" t="inlineStr">
        <is>
          <t>JÄMTLANDS LÄN</t>
        </is>
      </c>
      <c r="E1260" t="inlineStr">
        <is>
          <t>RAGUNDA</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36317-2024</t>
        </is>
      </c>
      <c r="B1261" s="1" t="n">
        <v>45534.63537037037</v>
      </c>
      <c r="C1261" s="1" t="n">
        <v>46087</v>
      </c>
      <c r="D1261" t="inlineStr">
        <is>
          <t>JÄMTLANDS LÄN</t>
        </is>
      </c>
      <c r="E1261" t="inlineStr">
        <is>
          <t>RAGUNDA</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36226-2023</t>
        </is>
      </c>
      <c r="B1262" s="1" t="n">
        <v>45149.95372685185</v>
      </c>
      <c r="C1262" s="1" t="n">
        <v>46087</v>
      </c>
      <c r="D1262" t="inlineStr">
        <is>
          <t>JÄMTLANDS LÄN</t>
        </is>
      </c>
      <c r="E1262" t="inlineStr">
        <is>
          <t>RAGUNDA</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59368-2022</t>
        </is>
      </c>
      <c r="B1263" s="1" t="n">
        <v>44904.94824074074</v>
      </c>
      <c r="C1263" s="1" t="n">
        <v>46087</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893-2025</t>
        </is>
      </c>
      <c r="B1264" s="1" t="n">
        <v>45665.65684027778</v>
      </c>
      <c r="C1264" s="1" t="n">
        <v>46087</v>
      </c>
      <c r="D1264" t="inlineStr">
        <is>
          <t>JÄMTLANDS LÄN</t>
        </is>
      </c>
      <c r="E1264" t="inlineStr">
        <is>
          <t>RAGUNDA</t>
        </is>
      </c>
      <c r="F1264" t="inlineStr">
        <is>
          <t>SCA</t>
        </is>
      </c>
      <c r="G1264" t="n">
        <v>45.1</v>
      </c>
      <c r="H1264" t="n">
        <v>0</v>
      </c>
      <c r="I1264" t="n">
        <v>0</v>
      </c>
      <c r="J1264" t="n">
        <v>0</v>
      </c>
      <c r="K1264" t="n">
        <v>0</v>
      </c>
      <c r="L1264" t="n">
        <v>0</v>
      </c>
      <c r="M1264" t="n">
        <v>0</v>
      </c>
      <c r="N1264" t="n">
        <v>0</v>
      </c>
      <c r="O1264" t="n">
        <v>0</v>
      </c>
      <c r="P1264" t="n">
        <v>0</v>
      </c>
      <c r="Q1264" t="n">
        <v>0</v>
      </c>
      <c r="R1264" s="2" t="inlineStr"/>
    </row>
    <row r="1265" ht="15" customHeight="1">
      <c r="A1265" t="inlineStr">
        <is>
          <t>A 7520-2023</t>
        </is>
      </c>
      <c r="B1265" s="1" t="n">
        <v>44971</v>
      </c>
      <c r="C1265" s="1" t="n">
        <v>46087</v>
      </c>
      <c r="D1265" t="inlineStr">
        <is>
          <t>JÄMTLANDS LÄN</t>
        </is>
      </c>
      <c r="E1265" t="inlineStr">
        <is>
          <t>RAGUNDA</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53549-2024</t>
        </is>
      </c>
      <c r="B1266" s="1" t="n">
        <v>45614.63869212963</v>
      </c>
      <c r="C1266" s="1" t="n">
        <v>46087</v>
      </c>
      <c r="D1266" t="inlineStr">
        <is>
          <t>JÄMTLANDS LÄN</t>
        </is>
      </c>
      <c r="E1266" t="inlineStr">
        <is>
          <t>RAGUNDA</t>
        </is>
      </c>
      <c r="F1266" t="inlineStr">
        <is>
          <t>Kyrkan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53955-2022</t>
        </is>
      </c>
      <c r="B1267" s="1" t="n">
        <v>44880.95741898148</v>
      </c>
      <c r="C1267" s="1" t="n">
        <v>46087</v>
      </c>
      <c r="D1267" t="inlineStr">
        <is>
          <t>JÄMTLANDS LÄN</t>
        </is>
      </c>
      <c r="E1267" t="inlineStr">
        <is>
          <t>RAGUNDA</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9567-2025</t>
        </is>
      </c>
      <c r="B1268" s="1" t="n">
        <v>45715.61523148148</v>
      </c>
      <c r="C1268" s="1" t="n">
        <v>46087</v>
      </c>
      <c r="D1268" t="inlineStr">
        <is>
          <t>JÄMTLANDS LÄN</t>
        </is>
      </c>
      <c r="E1268" t="inlineStr">
        <is>
          <t>RAGUNDA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53287-2022</t>
        </is>
      </c>
      <c r="B1269" s="1" t="n">
        <v>44876</v>
      </c>
      <c r="C1269" s="1" t="n">
        <v>46087</v>
      </c>
      <c r="D1269" t="inlineStr">
        <is>
          <t>JÄMTLANDS LÄN</t>
        </is>
      </c>
      <c r="E1269" t="inlineStr">
        <is>
          <t>RAGUNDA</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46087</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29319-2023</t>
        </is>
      </c>
      <c r="B1271" s="1" t="n">
        <v>45105</v>
      </c>
      <c r="C1271" s="1" t="n">
        <v>46087</v>
      </c>
      <c r="D1271" t="inlineStr">
        <is>
          <t>JÄMTLANDS LÄN</t>
        </is>
      </c>
      <c r="E1271" t="inlineStr">
        <is>
          <t>RAGUNDA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17323-2025</t>
        </is>
      </c>
      <c r="B1272" s="1" t="n">
        <v>45756.63601851852</v>
      </c>
      <c r="C1272" s="1" t="n">
        <v>46087</v>
      </c>
      <c r="D1272" t="inlineStr">
        <is>
          <t>JÄMTLANDS LÄN</t>
        </is>
      </c>
      <c r="E1272" t="inlineStr">
        <is>
          <t>RAGUNDA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19486-2024</t>
        </is>
      </c>
      <c r="B1273" s="1" t="n">
        <v>45429</v>
      </c>
      <c r="C1273" s="1" t="n">
        <v>46087</v>
      </c>
      <c r="D1273" t="inlineStr">
        <is>
          <t>JÄMTLANDS LÄN</t>
        </is>
      </c>
      <c r="E1273" t="inlineStr">
        <is>
          <t>RAGUNDA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13941-2025</t>
        </is>
      </c>
      <c r="B1274" s="1" t="n">
        <v>45737.69822916666</v>
      </c>
      <c r="C1274" s="1" t="n">
        <v>46087</v>
      </c>
      <c r="D1274" t="inlineStr">
        <is>
          <t>JÄMTLANDS LÄN</t>
        </is>
      </c>
      <c r="E1274" t="inlineStr">
        <is>
          <t>RAGUNDA</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26646-2023</t>
        </is>
      </c>
      <c r="B1275" s="1" t="n">
        <v>45092</v>
      </c>
      <c r="C1275" s="1" t="n">
        <v>46087</v>
      </c>
      <c r="D1275" t="inlineStr">
        <is>
          <t>JÄMTLANDS LÄN</t>
        </is>
      </c>
      <c r="E1275" t="inlineStr">
        <is>
          <t>RAGUNDA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27291-2022</t>
        </is>
      </c>
      <c r="B1276" s="1" t="n">
        <v>44741.94070601852</v>
      </c>
      <c r="C1276" s="1" t="n">
        <v>46087</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49650-2024</t>
        </is>
      </c>
      <c r="B1277" s="1" t="n">
        <v>45596.61569444444</v>
      </c>
      <c r="C1277" s="1" t="n">
        <v>46087</v>
      </c>
      <c r="D1277" t="inlineStr">
        <is>
          <t>JÄMTLANDS LÄN</t>
        </is>
      </c>
      <c r="E1277" t="inlineStr">
        <is>
          <t>RAGUNDA</t>
        </is>
      </c>
      <c r="F1277" t="inlineStr">
        <is>
          <t>Naturvårdsverket</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49651-2024</t>
        </is>
      </c>
      <c r="B1278" s="1" t="n">
        <v>45596.61582175926</v>
      </c>
      <c r="C1278" s="1" t="n">
        <v>46087</v>
      </c>
      <c r="D1278" t="inlineStr">
        <is>
          <t>JÄMTLANDS LÄN</t>
        </is>
      </c>
      <c r="E1278" t="inlineStr">
        <is>
          <t>RAGUNDA</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6477-2024</t>
        </is>
      </c>
      <c r="B1279" s="1" t="n">
        <v>45338.95405092592</v>
      </c>
      <c r="C1279" s="1" t="n">
        <v>46087</v>
      </c>
      <c r="D1279" t="inlineStr">
        <is>
          <t>JÄMTLANDS LÄN</t>
        </is>
      </c>
      <c r="E1279" t="inlineStr">
        <is>
          <t>RAGUNDA</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60443-2023</t>
        </is>
      </c>
      <c r="B1280" s="1" t="n">
        <v>45258</v>
      </c>
      <c r="C1280" s="1" t="n">
        <v>46087</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44759-2024</t>
        </is>
      </c>
      <c r="B1281" s="1" t="n">
        <v>45574.61634259259</v>
      </c>
      <c r="C1281" s="1" t="n">
        <v>46087</v>
      </c>
      <c r="D1281" t="inlineStr">
        <is>
          <t>JÄMTLANDS LÄN</t>
        </is>
      </c>
      <c r="E1281" t="inlineStr">
        <is>
          <t>RAGUNDA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993-2025</t>
        </is>
      </c>
      <c r="B1282" s="1" t="n">
        <v>45666.44943287037</v>
      </c>
      <c r="C1282" s="1" t="n">
        <v>46087</v>
      </c>
      <c r="D1282" t="inlineStr">
        <is>
          <t>JÄMTLANDS LÄN</t>
        </is>
      </c>
      <c r="E1282" t="inlineStr">
        <is>
          <t>RAGUNDA</t>
        </is>
      </c>
      <c r="G1282" t="n">
        <v>11.3</v>
      </c>
      <c r="H1282" t="n">
        <v>0</v>
      </c>
      <c r="I1282" t="n">
        <v>0</v>
      </c>
      <c r="J1282" t="n">
        <v>0</v>
      </c>
      <c r="K1282" t="n">
        <v>0</v>
      </c>
      <c r="L1282" t="n">
        <v>0</v>
      </c>
      <c r="M1282" t="n">
        <v>0</v>
      </c>
      <c r="N1282" t="n">
        <v>0</v>
      </c>
      <c r="O1282" t="n">
        <v>0</v>
      </c>
      <c r="P1282" t="n">
        <v>0</v>
      </c>
      <c r="Q1282" t="n">
        <v>0</v>
      </c>
      <c r="R1282" s="2" t="inlineStr"/>
    </row>
    <row r="1283">
      <c r="A1283" t="inlineStr">
        <is>
          <t>A 57064-2024</t>
        </is>
      </c>
      <c r="B1283" s="1" t="n">
        <v>45629.35326388889</v>
      </c>
      <c r="C1283" s="1" t="n">
        <v>46087</v>
      </c>
      <c r="D1283" t="inlineStr">
        <is>
          <t>JÄMTLANDS LÄN</t>
        </is>
      </c>
      <c r="E1283" t="inlineStr">
        <is>
          <t>RAGUNDA</t>
        </is>
      </c>
      <c r="F1283" t="inlineStr">
        <is>
          <t>Naturvårdsverket</t>
        </is>
      </c>
      <c r="G1283" t="n">
        <v>0.5</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2026-03-06T11:15:43Z</dcterms:created>
  <dcterms:modified xmlns:dcterms="http://purl.org/dc/terms/" xmlns:xsi="http://www.w3.org/2001/XMLSchema-instance" xsi:type="dcterms:W3CDTF">2026-03-06T11:15:44Z</dcterms:modified>
</cp:coreProperties>
</file>