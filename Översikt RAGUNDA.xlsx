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45900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45900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45900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45900</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45900</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45900</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45900</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45900</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45900</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45900</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45900</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45900</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45900</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45900</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45900</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45900</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45900</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45900</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45900</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45900</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45900</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45900</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45900</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45900</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45900</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45900</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45900</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45900</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45900</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45900</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22986-2025</t>
        </is>
      </c>
      <c r="B32" s="1" t="n">
        <v>45790.57349537037</v>
      </c>
      <c r="C32" s="1" t="n">
        <v>45900</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45900</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45900</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45900</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45900</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45900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45900</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45900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45900</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45900</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45900</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45900</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45900</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32068-2024</t>
        </is>
      </c>
      <c r="B45" s="1" t="n">
        <v>45510</v>
      </c>
      <c r="C45" s="1" t="n">
        <v>45900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45900</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19278-2025</t>
        </is>
      </c>
      <c r="B47" s="1" t="n">
        <v>45769.53180555555</v>
      </c>
      <c r="C47" s="1" t="n">
        <v>45900</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62948-2021</t>
        </is>
      </c>
      <c r="B48" s="1" t="n">
        <v>44504</v>
      </c>
      <c r="C48" s="1" t="n">
        <v>45900</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45900</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45190.96092592592</v>
      </c>
      <c r="C50" s="1" t="n">
        <v>45900</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45900</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45900</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45900</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45900</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55465-2024</t>
        </is>
      </c>
      <c r="B55" s="1" t="n">
        <v>45622</v>
      </c>
      <c r="C55" s="1" t="n">
        <v>45900</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31197-2023</t>
        </is>
      </c>
      <c r="B56" s="1" t="n">
        <v>45113</v>
      </c>
      <c r="C56" s="1" t="n">
        <v>45900</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10982-2025</t>
        </is>
      </c>
      <c r="B57" s="1" t="n">
        <v>45723.40688657408</v>
      </c>
      <c r="C57" s="1" t="n">
        <v>45900</v>
      </c>
      <c r="D57" t="inlineStr">
        <is>
          <t>JÄMTLANDS LÄN</t>
        </is>
      </c>
      <c r="E57" t="inlineStr">
        <is>
          <t>RAGUNDA</t>
        </is>
      </c>
      <c r="F57" t="inlineStr">
        <is>
          <t>SCA</t>
        </is>
      </c>
      <c r="G57" t="n">
        <v>6.4</v>
      </c>
      <c r="H57" t="n">
        <v>0</v>
      </c>
      <c r="I57" t="n">
        <v>6</v>
      </c>
      <c r="J57" t="n">
        <v>2</v>
      </c>
      <c r="K57" t="n">
        <v>0</v>
      </c>
      <c r="L57" t="n">
        <v>0</v>
      </c>
      <c r="M57" t="n">
        <v>0</v>
      </c>
      <c r="N57" t="n">
        <v>0</v>
      </c>
      <c r="O57" t="n">
        <v>2</v>
      </c>
      <c r="P57" t="n">
        <v>0</v>
      </c>
      <c r="Q57" t="n">
        <v>8</v>
      </c>
      <c r="R57" s="2" t="inlineStr">
        <is>
          <t>Orange taggsvamp
Skrovlig taggsvamp
Barrfagerspindling
Bårdlav
Dropptaggsvamp
Skarp dropptaggsvamp
Stuplav
Svart trolldruva</t>
        </is>
      </c>
      <c r="S57">
        <f>HYPERLINK("https://klasma.github.io/Logging_2303/artfynd/A 10982-2025 artfynd.xlsx", "A 10982-2025")</f>
        <v/>
      </c>
      <c r="T57">
        <f>HYPERLINK("https://klasma.github.io/Logging_2303/kartor/A 10982-2025 karta.png", "A 10982-2025")</f>
        <v/>
      </c>
      <c r="V57">
        <f>HYPERLINK("https://klasma.github.io/Logging_2303/klagomål/A 10982-2025 FSC-klagomål.docx", "A 10982-2025")</f>
        <v/>
      </c>
      <c r="W57">
        <f>HYPERLINK("https://klasma.github.io/Logging_2303/klagomålsmail/A 10982-2025 FSC-klagomål mail.docx", "A 10982-2025")</f>
        <v/>
      </c>
      <c r="X57">
        <f>HYPERLINK("https://klasma.github.io/Logging_2303/tillsyn/A 10982-2025 tillsynsbegäran.docx", "A 10982-2025")</f>
        <v/>
      </c>
      <c r="Y57">
        <f>HYPERLINK("https://klasma.github.io/Logging_2303/tillsynsmail/A 10982-2025 tillsynsbegäran mail.docx", "A 10982-2025")</f>
        <v/>
      </c>
    </row>
    <row r="58" ht="15" customHeight="1">
      <c r="A58" t="inlineStr">
        <is>
          <t>A 56211-2020</t>
        </is>
      </c>
      <c r="B58" s="1" t="n">
        <v>44133</v>
      </c>
      <c r="C58" s="1" t="n">
        <v>45900</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45900</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45900</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45900</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45900</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45900</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22466-2025</t>
        </is>
      </c>
      <c r="B64" s="1" t="n">
        <v>45786.61517361111</v>
      </c>
      <c r="C64" s="1" t="n">
        <v>45900</v>
      </c>
      <c r="D64" t="inlineStr">
        <is>
          <t>JÄMTLANDS LÄN</t>
        </is>
      </c>
      <c r="E64" t="inlineStr">
        <is>
          <t>RAGUNDA</t>
        </is>
      </c>
      <c r="F64" t="inlineStr">
        <is>
          <t>SCA</t>
        </is>
      </c>
      <c r="G64" t="n">
        <v>3.2</v>
      </c>
      <c r="H64" t="n">
        <v>3</v>
      </c>
      <c r="I64" t="n">
        <v>1</v>
      </c>
      <c r="J64" t="n">
        <v>4</v>
      </c>
      <c r="K64" t="n">
        <v>0</v>
      </c>
      <c r="L64" t="n">
        <v>0</v>
      </c>
      <c r="M64" t="n">
        <v>0</v>
      </c>
      <c r="N64" t="n">
        <v>0</v>
      </c>
      <c r="O64" t="n">
        <v>4</v>
      </c>
      <c r="P64" t="n">
        <v>0</v>
      </c>
      <c r="Q64" t="n">
        <v>7</v>
      </c>
      <c r="R64" s="2" t="inlineStr">
        <is>
          <t>Gammelgransskål
Garnlav
Lunglav
Tretåig hackspett
Stuplav
Kungsfågel
Revlummer</t>
        </is>
      </c>
      <c r="S64">
        <f>HYPERLINK("https://klasma.github.io/Logging_2303/artfynd/A 22466-2025 artfynd.xlsx", "A 22466-2025")</f>
        <v/>
      </c>
      <c r="T64">
        <f>HYPERLINK("https://klasma.github.io/Logging_2303/kartor/A 22466-2025 karta.png", "A 22466-2025")</f>
        <v/>
      </c>
      <c r="V64">
        <f>HYPERLINK("https://klasma.github.io/Logging_2303/klagomål/A 22466-2025 FSC-klagomål.docx", "A 22466-2025")</f>
        <v/>
      </c>
      <c r="W64">
        <f>HYPERLINK("https://klasma.github.io/Logging_2303/klagomålsmail/A 22466-2025 FSC-klagomål mail.docx", "A 22466-2025")</f>
        <v/>
      </c>
      <c r="X64">
        <f>HYPERLINK("https://klasma.github.io/Logging_2303/tillsyn/A 22466-2025 tillsynsbegäran.docx", "A 22466-2025")</f>
        <v/>
      </c>
      <c r="Y64">
        <f>HYPERLINK("https://klasma.github.io/Logging_2303/tillsynsmail/A 22466-2025 tillsynsbegäran mail.docx", "A 22466-2025")</f>
        <v/>
      </c>
      <c r="Z64">
        <f>HYPERLINK("https://klasma.github.io/Logging_2303/fåglar/A 22466-2025 prioriterade fågelarter.docx", "A 22466-2025")</f>
        <v/>
      </c>
    </row>
    <row r="65" ht="15" customHeight="1">
      <c r="A65" t="inlineStr">
        <is>
          <t>A 33806-2023</t>
        </is>
      </c>
      <c r="B65" s="1" t="n">
        <v>45121</v>
      </c>
      <c r="C65" s="1" t="n">
        <v>45900</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61386-2022</t>
        </is>
      </c>
      <c r="B66" s="1" t="n">
        <v>44915</v>
      </c>
      <c r="C66" s="1" t="n">
        <v>45900</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45900</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24169-2021</t>
        </is>
      </c>
      <c r="B68" s="1" t="n">
        <v>44336</v>
      </c>
      <c r="C68" s="1" t="n">
        <v>45900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15977-2024</t>
        </is>
      </c>
      <c r="B69" s="1" t="n">
        <v>45405.57392361111</v>
      </c>
      <c r="C69" s="1" t="n">
        <v>45900</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20397-2024</t>
        </is>
      </c>
      <c r="B70" s="1" t="n">
        <v>45435.54734953704</v>
      </c>
      <c r="C70" s="1" t="n">
        <v>45900</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11829-2023</t>
        </is>
      </c>
      <c r="B71" s="1" t="n">
        <v>44994</v>
      </c>
      <c r="C71" s="1" t="n">
        <v>45900</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41719-2023</t>
        </is>
      </c>
      <c r="B72" s="1" t="n">
        <v>45176</v>
      </c>
      <c r="C72" s="1" t="n">
        <v>45900</v>
      </c>
      <c r="D72" t="inlineStr">
        <is>
          <t>JÄMTLANDS LÄN</t>
        </is>
      </c>
      <c r="E72" t="inlineStr">
        <is>
          <t>RAGUNDA</t>
        </is>
      </c>
      <c r="G72" t="n">
        <v>14.5</v>
      </c>
      <c r="H72" t="n">
        <v>1</v>
      </c>
      <c r="I72" t="n">
        <v>1</v>
      </c>
      <c r="J72" t="n">
        <v>5</v>
      </c>
      <c r="K72" t="n">
        <v>0</v>
      </c>
      <c r="L72" t="n">
        <v>0</v>
      </c>
      <c r="M72" t="n">
        <v>0</v>
      </c>
      <c r="N72" t="n">
        <v>0</v>
      </c>
      <c r="O72" t="n">
        <v>5</v>
      </c>
      <c r="P72" t="n">
        <v>0</v>
      </c>
      <c r="Q72" t="n">
        <v>7</v>
      </c>
      <c r="R72" s="2" t="inlineStr">
        <is>
          <t>Dvärgbägarlav
Garnlav
Lunglav
Rosenticka
Vedflikmossa
Skinnlav
Tjäder</t>
        </is>
      </c>
      <c r="S72">
        <f>HYPERLINK("https://klasma.github.io/Logging_2303/artfynd/A 41719-2023 artfynd.xlsx", "A 41719-2023")</f>
        <v/>
      </c>
      <c r="T72">
        <f>HYPERLINK("https://klasma.github.io/Logging_2303/kartor/A 41719-2023 karta.png", "A 41719-2023")</f>
        <v/>
      </c>
      <c r="V72">
        <f>HYPERLINK("https://klasma.github.io/Logging_2303/klagomål/A 41719-2023 FSC-klagomål.docx", "A 41719-2023")</f>
        <v/>
      </c>
      <c r="W72">
        <f>HYPERLINK("https://klasma.github.io/Logging_2303/klagomålsmail/A 41719-2023 FSC-klagomål mail.docx", "A 41719-2023")</f>
        <v/>
      </c>
      <c r="X72">
        <f>HYPERLINK("https://klasma.github.io/Logging_2303/tillsyn/A 41719-2023 tillsynsbegäran.docx", "A 41719-2023")</f>
        <v/>
      </c>
      <c r="Y72">
        <f>HYPERLINK("https://klasma.github.io/Logging_2303/tillsynsmail/A 41719-2023 tillsynsbegäran mail.docx", "A 41719-2023")</f>
        <v/>
      </c>
      <c r="Z72">
        <f>HYPERLINK("https://klasma.github.io/Logging_2303/fåglar/A 41719-2023 prioriterade fågelarter.docx", "A 41719-2023")</f>
        <v/>
      </c>
    </row>
    <row r="73" ht="15" customHeight="1">
      <c r="A73" t="inlineStr">
        <is>
          <t>A 37237-2023</t>
        </is>
      </c>
      <c r="B73" s="1" t="n">
        <v>45155</v>
      </c>
      <c r="C73" s="1" t="n">
        <v>45900</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45900</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45900</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45900</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45900</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45900</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36276-2025</t>
        </is>
      </c>
      <c r="B79" s="1" t="n">
        <v>45867.63619212963</v>
      </c>
      <c r="C79" s="1" t="n">
        <v>45900</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30884-2025</t>
        </is>
      </c>
      <c r="B80" s="1" t="n">
        <v>45832.34564814815</v>
      </c>
      <c r="C80" s="1" t="n">
        <v>45900</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11828-2023</t>
        </is>
      </c>
      <c r="B81" s="1" t="n">
        <v>44994</v>
      </c>
      <c r="C81" s="1" t="n">
        <v>45900</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19402-2025</t>
        </is>
      </c>
      <c r="B82" s="1" t="n">
        <v>45769.67778935185</v>
      </c>
      <c r="C82" s="1" t="n">
        <v>45900</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26326-2024</t>
        </is>
      </c>
      <c r="B83" s="1" t="n">
        <v>45468.97528935185</v>
      </c>
      <c r="C83" s="1" t="n">
        <v>45900</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39973-2025</t>
        </is>
      </c>
      <c r="B84" s="1" t="n">
        <v>45893.38584490741</v>
      </c>
      <c r="C84" s="1" t="n">
        <v>45900</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34317-2025</t>
        </is>
      </c>
      <c r="B85" s="1" t="n">
        <v>45846.41361111111</v>
      </c>
      <c r="C85" s="1" t="n">
        <v>45900</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45900</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45900</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24431-2024</t>
        </is>
      </c>
      <c r="B88" s="1" t="n">
        <v>45457</v>
      </c>
      <c r="C88" s="1" t="n">
        <v>45900</v>
      </c>
      <c r="D88" t="inlineStr">
        <is>
          <t>JÄMTLANDS LÄN</t>
        </is>
      </c>
      <c r="E88" t="inlineStr">
        <is>
          <t>RAGUNDA</t>
        </is>
      </c>
      <c r="F88" t="inlineStr">
        <is>
          <t>SCA</t>
        </is>
      </c>
      <c r="G88" t="n">
        <v>3.6</v>
      </c>
      <c r="H88" t="n">
        <v>1</v>
      </c>
      <c r="I88" t="n">
        <v>0</v>
      </c>
      <c r="J88" t="n">
        <v>6</v>
      </c>
      <c r="K88" t="n">
        <v>0</v>
      </c>
      <c r="L88" t="n">
        <v>0</v>
      </c>
      <c r="M88" t="n">
        <v>0</v>
      </c>
      <c r="N88" t="n">
        <v>0</v>
      </c>
      <c r="O88" t="n">
        <v>6</v>
      </c>
      <c r="P88" t="n">
        <v>0</v>
      </c>
      <c r="Q88" t="n">
        <v>6</v>
      </c>
      <c r="R88" s="2" t="inlineStr">
        <is>
          <t>Doftskinn
Gammelgransskål
Rosenticka
Tretåig hackspett
Ullticka
Vitgrynig nållav</t>
        </is>
      </c>
      <c r="S88">
        <f>HYPERLINK("https://klasma.github.io/Logging_2303/artfynd/A 24431-2024 artfynd.xlsx", "A 24431-2024")</f>
        <v/>
      </c>
      <c r="T88">
        <f>HYPERLINK("https://klasma.github.io/Logging_2303/kartor/A 24431-2024 karta.png", "A 24431-2024")</f>
        <v/>
      </c>
      <c r="V88">
        <f>HYPERLINK("https://klasma.github.io/Logging_2303/klagomål/A 24431-2024 FSC-klagomål.docx", "A 24431-2024")</f>
        <v/>
      </c>
      <c r="W88">
        <f>HYPERLINK("https://klasma.github.io/Logging_2303/klagomålsmail/A 24431-2024 FSC-klagomål mail.docx", "A 24431-2024")</f>
        <v/>
      </c>
      <c r="X88">
        <f>HYPERLINK("https://klasma.github.io/Logging_2303/tillsyn/A 24431-2024 tillsynsbegäran.docx", "A 24431-2024")</f>
        <v/>
      </c>
      <c r="Y88">
        <f>HYPERLINK("https://klasma.github.io/Logging_2303/tillsynsmail/A 24431-2024 tillsynsbegäran mail.docx", "A 24431-2024")</f>
        <v/>
      </c>
      <c r="Z88">
        <f>HYPERLINK("https://klasma.github.io/Logging_2303/fåglar/A 24431-2024 prioriterade fågelarter.docx", "A 24431-2024")</f>
        <v/>
      </c>
    </row>
    <row r="89" ht="15" customHeight="1">
      <c r="A89" t="inlineStr">
        <is>
          <t>A 933-2023</t>
        </is>
      </c>
      <c r="B89" s="1" t="n">
        <v>44932</v>
      </c>
      <c r="C89" s="1" t="n">
        <v>45900</v>
      </c>
      <c r="D89" t="inlineStr">
        <is>
          <t>JÄMTLANDS LÄN</t>
        </is>
      </c>
      <c r="E89" t="inlineStr">
        <is>
          <t>RAGUNDA</t>
        </is>
      </c>
      <c r="F89" t="inlineStr">
        <is>
          <t>SCA</t>
        </is>
      </c>
      <c r="G89" t="n">
        <v>2</v>
      </c>
      <c r="H89" t="n">
        <v>3</v>
      </c>
      <c r="I89" t="n">
        <v>3</v>
      </c>
      <c r="J89" t="n">
        <v>0</v>
      </c>
      <c r="K89" t="n">
        <v>0</v>
      </c>
      <c r="L89" t="n">
        <v>1</v>
      </c>
      <c r="M89" t="n">
        <v>0</v>
      </c>
      <c r="N89" t="n">
        <v>0</v>
      </c>
      <c r="O89" t="n">
        <v>1</v>
      </c>
      <c r="P89" t="n">
        <v>1</v>
      </c>
      <c r="Q89" t="n">
        <v>6</v>
      </c>
      <c r="R89" s="2" t="inlineStr">
        <is>
          <t>Trolldruvemätare
Stor aspticka
Svart trolldruva
Tvåblad
Nattviol
Gullviva</t>
        </is>
      </c>
      <c r="S89">
        <f>HYPERLINK("https://klasma.github.io/Logging_2303/artfynd/A 933-2023 artfynd.xlsx", "A 933-2023")</f>
        <v/>
      </c>
      <c r="T89">
        <f>HYPERLINK("https://klasma.github.io/Logging_2303/kartor/A 933-2023 karta.png", "A 933-2023")</f>
        <v/>
      </c>
      <c r="V89">
        <f>HYPERLINK("https://klasma.github.io/Logging_2303/klagomål/A 933-2023 FSC-klagomål.docx", "A 933-2023")</f>
        <v/>
      </c>
      <c r="W89">
        <f>HYPERLINK("https://klasma.github.io/Logging_2303/klagomålsmail/A 933-2023 FSC-klagomål mail.docx", "A 933-2023")</f>
        <v/>
      </c>
      <c r="X89">
        <f>HYPERLINK("https://klasma.github.io/Logging_2303/tillsyn/A 933-2023 tillsynsbegäran.docx", "A 933-2023")</f>
        <v/>
      </c>
      <c r="Y89">
        <f>HYPERLINK("https://klasma.github.io/Logging_2303/tillsynsmail/A 933-2023 tillsynsbegäran mail.docx", "A 933-2023")</f>
        <v/>
      </c>
    </row>
    <row r="90" ht="15" customHeight="1">
      <c r="A90" t="inlineStr">
        <is>
          <t>A 55646-2023</t>
        </is>
      </c>
      <c r="B90" s="1" t="n">
        <v>45238</v>
      </c>
      <c r="C90" s="1" t="n">
        <v>45900</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12040-2025</t>
        </is>
      </c>
      <c r="B91" s="1" t="n">
        <v>45728.65684027778</v>
      </c>
      <c r="C91" s="1" t="n">
        <v>45900</v>
      </c>
      <c r="D91" t="inlineStr">
        <is>
          <t>JÄMTLANDS LÄN</t>
        </is>
      </c>
      <c r="E91" t="inlineStr">
        <is>
          <t>RAGUNDA</t>
        </is>
      </c>
      <c r="F91" t="inlineStr">
        <is>
          <t>SCA</t>
        </is>
      </c>
      <c r="G91" t="n">
        <v>28.5</v>
      </c>
      <c r="H91" t="n">
        <v>0</v>
      </c>
      <c r="I91" t="n">
        <v>2</v>
      </c>
      <c r="J91" t="n">
        <v>4</v>
      </c>
      <c r="K91" t="n">
        <v>0</v>
      </c>
      <c r="L91" t="n">
        <v>0</v>
      </c>
      <c r="M91" t="n">
        <v>0</v>
      </c>
      <c r="N91" t="n">
        <v>0</v>
      </c>
      <c r="O91" t="n">
        <v>4</v>
      </c>
      <c r="P91" t="n">
        <v>0</v>
      </c>
      <c r="Q91" t="n">
        <v>6</v>
      </c>
      <c r="R91" s="2" t="inlineStr">
        <is>
          <t>Blå taggsvamp
Skrovlig taggsvamp
Tallriska
Äggvaxskivling
Dropptaggsvamp
Skarp dropptaggsvamp</t>
        </is>
      </c>
      <c r="S91">
        <f>HYPERLINK("https://klasma.github.io/Logging_2303/artfynd/A 12040-2025 artfynd.xlsx", "A 12040-2025")</f>
        <v/>
      </c>
      <c r="T91">
        <f>HYPERLINK("https://klasma.github.io/Logging_2303/kartor/A 12040-2025 karta.png", "A 12040-2025")</f>
        <v/>
      </c>
      <c r="V91">
        <f>HYPERLINK("https://klasma.github.io/Logging_2303/klagomål/A 12040-2025 FSC-klagomål.docx", "A 12040-2025")</f>
        <v/>
      </c>
      <c r="W91">
        <f>HYPERLINK("https://klasma.github.io/Logging_2303/klagomålsmail/A 12040-2025 FSC-klagomål mail.docx", "A 12040-2025")</f>
        <v/>
      </c>
      <c r="X91">
        <f>HYPERLINK("https://klasma.github.io/Logging_2303/tillsyn/A 12040-2025 tillsynsbegäran.docx", "A 12040-2025")</f>
        <v/>
      </c>
      <c r="Y91">
        <f>HYPERLINK("https://klasma.github.io/Logging_2303/tillsynsmail/A 12040-2025 tillsynsbegäran mail.docx", "A 12040-2025")</f>
        <v/>
      </c>
    </row>
    <row r="92" ht="15" customHeight="1">
      <c r="A92" t="inlineStr">
        <is>
          <t>A 14908-2022</t>
        </is>
      </c>
      <c r="B92" s="1" t="n">
        <v>44656</v>
      </c>
      <c r="C92" s="1" t="n">
        <v>45900</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45900</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45900</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39365-2024</t>
        </is>
      </c>
      <c r="B95" s="1" t="n">
        <v>45551.46912037037</v>
      </c>
      <c r="C95" s="1" t="n">
        <v>45900</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45969-2023</t>
        </is>
      </c>
      <c r="B96" s="1" t="n">
        <v>45195</v>
      </c>
      <c r="C96" s="1" t="n">
        <v>45900</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18629-2024</t>
        </is>
      </c>
      <c r="B97" s="1" t="n">
        <v>45425.96472222222</v>
      </c>
      <c r="C97" s="1" t="n">
        <v>45900</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30886-2025</t>
        </is>
      </c>
      <c r="B98" s="1" t="n">
        <v>45832.34578703704</v>
      </c>
      <c r="C98" s="1" t="n">
        <v>45900</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43106-2023</t>
        </is>
      </c>
      <c r="B99" s="1" t="n">
        <v>45182</v>
      </c>
      <c r="C99" s="1" t="n">
        <v>45900</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57073-2023</t>
        </is>
      </c>
      <c r="B100" s="1" t="n">
        <v>45244</v>
      </c>
      <c r="C100" s="1" t="n">
        <v>45900</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2579-2025</t>
        </is>
      </c>
      <c r="B101" s="1" t="n">
        <v>45674.67744212963</v>
      </c>
      <c r="C101" s="1" t="n">
        <v>45900</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27313-2024</t>
        </is>
      </c>
      <c r="B102" s="1" t="n">
        <v>45471.94623842592</v>
      </c>
      <c r="C102" s="1" t="n">
        <v>45900</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39974-2025</t>
        </is>
      </c>
      <c r="B103" s="1" t="n">
        <v>45893.38599537037</v>
      </c>
      <c r="C103" s="1" t="n">
        <v>45900</v>
      </c>
      <c r="D103" t="inlineStr">
        <is>
          <t>JÄMTLANDS LÄN</t>
        </is>
      </c>
      <c r="E103" t="inlineStr">
        <is>
          <t>RAGUNDA</t>
        </is>
      </c>
      <c r="F103" t="inlineStr">
        <is>
          <t>SCA</t>
        </is>
      </c>
      <c r="G103" t="n">
        <v>2.5</v>
      </c>
      <c r="H103" t="n">
        <v>0</v>
      </c>
      <c r="I103" t="n">
        <v>2</v>
      </c>
      <c r="J103" t="n">
        <v>3</v>
      </c>
      <c r="K103" t="n">
        <v>0</v>
      </c>
      <c r="L103" t="n">
        <v>0</v>
      </c>
      <c r="M103" t="n">
        <v>0</v>
      </c>
      <c r="N103" t="n">
        <v>0</v>
      </c>
      <c r="O103" t="n">
        <v>3</v>
      </c>
      <c r="P103" t="n">
        <v>0</v>
      </c>
      <c r="Q103" t="n">
        <v>5</v>
      </c>
      <c r="R103" s="2" t="inlineStr">
        <is>
          <t>Garnlav
Lunglav
Skrovellav
Dropptaggsvamp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60683-2022</t>
        </is>
      </c>
      <c r="B104" s="1" t="n">
        <v>44911</v>
      </c>
      <c r="C104" s="1" t="n">
        <v>45900</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15379-2024</t>
        </is>
      </c>
      <c r="B105" s="1" t="n">
        <v>45400.94002314815</v>
      </c>
      <c r="C105" s="1" t="n">
        <v>45900</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38169-2024</t>
        </is>
      </c>
      <c r="B106" s="1" t="n">
        <v>45545.45748842593</v>
      </c>
      <c r="C106" s="1" t="n">
        <v>45900</v>
      </c>
      <c r="D106" t="inlineStr">
        <is>
          <t>JÄMTLANDS LÄN</t>
        </is>
      </c>
      <c r="E106" t="inlineStr">
        <is>
          <t>RAGUNDA</t>
        </is>
      </c>
      <c r="G106" t="n">
        <v>7.5</v>
      </c>
      <c r="H106" t="n">
        <v>2</v>
      </c>
      <c r="I106" t="n">
        <v>0</v>
      </c>
      <c r="J106" t="n">
        <v>5</v>
      </c>
      <c r="K106" t="n">
        <v>0</v>
      </c>
      <c r="L106" t="n">
        <v>0</v>
      </c>
      <c r="M106" t="n">
        <v>0</v>
      </c>
      <c r="N106" t="n">
        <v>0</v>
      </c>
      <c r="O106" t="n">
        <v>5</v>
      </c>
      <c r="P106" t="n">
        <v>0</v>
      </c>
      <c r="Q106" t="n">
        <v>5</v>
      </c>
      <c r="R106" s="2" t="inlineStr">
        <is>
          <t>Garnlav
Lunglav
Skrovellav
Talltita
Tretåig hackspett</t>
        </is>
      </c>
      <c r="S106">
        <f>HYPERLINK("https://klasma.github.io/Logging_2303/artfynd/A 38169-2024 artfynd.xlsx", "A 38169-2024")</f>
        <v/>
      </c>
      <c r="T106">
        <f>HYPERLINK("https://klasma.github.io/Logging_2303/kartor/A 38169-2024 karta.png", "A 38169-2024")</f>
        <v/>
      </c>
      <c r="V106">
        <f>HYPERLINK("https://klasma.github.io/Logging_2303/klagomål/A 38169-2024 FSC-klagomål.docx", "A 38169-2024")</f>
        <v/>
      </c>
      <c r="W106">
        <f>HYPERLINK("https://klasma.github.io/Logging_2303/klagomålsmail/A 38169-2024 FSC-klagomål mail.docx", "A 38169-2024")</f>
        <v/>
      </c>
      <c r="X106">
        <f>HYPERLINK("https://klasma.github.io/Logging_2303/tillsyn/A 38169-2024 tillsynsbegäran.docx", "A 38169-2024")</f>
        <v/>
      </c>
      <c r="Y106">
        <f>HYPERLINK("https://klasma.github.io/Logging_2303/tillsynsmail/A 38169-2024 tillsynsbegäran mail.docx", "A 38169-2024")</f>
        <v/>
      </c>
      <c r="Z106">
        <f>HYPERLINK("https://klasma.github.io/Logging_2303/fåglar/A 38169-2024 prioriterade fågelarter.docx", "A 38169-2024")</f>
        <v/>
      </c>
    </row>
    <row r="107" ht="15" customHeight="1">
      <c r="A107" t="inlineStr">
        <is>
          <t>A 15244-2025</t>
        </is>
      </c>
      <c r="B107" s="1" t="n">
        <v>45744.61550925926</v>
      </c>
      <c r="C107" s="1" t="n">
        <v>45900</v>
      </c>
      <c r="D107" t="inlineStr">
        <is>
          <t>JÄMTLANDS LÄN</t>
        </is>
      </c>
      <c r="E107" t="inlineStr">
        <is>
          <t>RAGUNDA</t>
        </is>
      </c>
      <c r="F107" t="inlineStr">
        <is>
          <t>SCA</t>
        </is>
      </c>
      <c r="G107" t="n">
        <v>2.6</v>
      </c>
      <c r="H107" t="n">
        <v>0</v>
      </c>
      <c r="I107" t="n">
        <v>2</v>
      </c>
      <c r="J107" t="n">
        <v>3</v>
      </c>
      <c r="K107" t="n">
        <v>0</v>
      </c>
      <c r="L107" t="n">
        <v>0</v>
      </c>
      <c r="M107" t="n">
        <v>0</v>
      </c>
      <c r="N107" t="n">
        <v>0</v>
      </c>
      <c r="O107" t="n">
        <v>3</v>
      </c>
      <c r="P107" t="n">
        <v>0</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8636-2021</t>
        </is>
      </c>
      <c r="B108" s="1" t="n">
        <v>44245</v>
      </c>
      <c r="C108" s="1" t="n">
        <v>45900</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23676-2021</t>
        </is>
      </c>
      <c r="B109" s="1" t="n">
        <v>44334.62565972222</v>
      </c>
      <c r="C109" s="1" t="n">
        <v>45900</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19851-2022</t>
        </is>
      </c>
      <c r="B110" s="1" t="n">
        <v>44696</v>
      </c>
      <c r="C110" s="1" t="n">
        <v>45900</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15667-2022</t>
        </is>
      </c>
      <c r="B111" s="1" t="n">
        <v>44662</v>
      </c>
      <c r="C111" s="1" t="n">
        <v>45900</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23663-2021</t>
        </is>
      </c>
      <c r="B112" s="1" t="n">
        <v>44334</v>
      </c>
      <c r="C112" s="1" t="n">
        <v>45900</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23663-2021 artfynd.xlsx", "A 23663-2021")</f>
        <v/>
      </c>
      <c r="T112">
        <f>HYPERLINK("https://klasma.github.io/Logging_2303/kartor/A 23663-2021 karta.png", "A 23663-2021")</f>
        <v/>
      </c>
      <c r="U112">
        <f>HYPERLINK("https://klasma.github.io/Logging_2303/knärot/A 23663-2021 karta knärot.png", "A 23663-2021")</f>
        <v/>
      </c>
      <c r="V112">
        <f>HYPERLINK("https://klasma.github.io/Logging_2303/klagomål/A 23663-2021 FSC-klagomål.docx", "A 23663-2021")</f>
        <v/>
      </c>
      <c r="W112">
        <f>HYPERLINK("https://klasma.github.io/Logging_2303/klagomålsmail/A 23663-2021 FSC-klagomål mail.docx", "A 23663-2021")</f>
        <v/>
      </c>
      <c r="X112">
        <f>HYPERLINK("https://klasma.github.io/Logging_2303/tillsyn/A 23663-2021 tillsynsbegäran.docx", "A 23663-2021")</f>
        <v/>
      </c>
      <c r="Y112">
        <f>HYPERLINK("https://klasma.github.io/Logging_2303/tillsynsmail/A 23663-2021 tillsynsbegäran mail.docx", "A 23663-2021")</f>
        <v/>
      </c>
    </row>
    <row r="113" ht="15" customHeight="1">
      <c r="A113" t="inlineStr">
        <is>
          <t>A 23682-2021</t>
        </is>
      </c>
      <c r="B113" s="1" t="n">
        <v>44334</v>
      </c>
      <c r="C113" s="1" t="n">
        <v>45900</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60670-2022</t>
        </is>
      </c>
      <c r="B114" s="1" t="n">
        <v>44911</v>
      </c>
      <c r="C114" s="1" t="n">
        <v>45900</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21372-2025</t>
        </is>
      </c>
      <c r="B115" s="1" t="n">
        <v>45782.44871527778</v>
      </c>
      <c r="C115" s="1" t="n">
        <v>45900</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45900</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45900</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23931-2024</t>
        </is>
      </c>
      <c r="B118" s="1" t="n">
        <v>45455.96195601852</v>
      </c>
      <c r="C118" s="1" t="n">
        <v>45900</v>
      </c>
      <c r="D118" t="inlineStr">
        <is>
          <t>JÄMTLANDS LÄN</t>
        </is>
      </c>
      <c r="E118" t="inlineStr">
        <is>
          <t>RAGUNDA</t>
        </is>
      </c>
      <c r="F118" t="inlineStr">
        <is>
          <t>SCA</t>
        </is>
      </c>
      <c r="G118" t="n">
        <v>4</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23931-2024 artfynd.xlsx", "A 23931-2024")</f>
        <v/>
      </c>
      <c r="T118">
        <f>HYPERLINK("https://klasma.github.io/Logging_2303/kartor/A 23931-2024 karta.png", "A 23931-2024")</f>
        <v/>
      </c>
      <c r="U118">
        <f>HYPERLINK("https://klasma.github.io/Logging_2303/knärot/A 23931-2024 karta knärot.png", "A 23931-2024")</f>
        <v/>
      </c>
      <c r="V118">
        <f>HYPERLINK("https://klasma.github.io/Logging_2303/klagomål/A 23931-2024 FSC-klagomål.docx", "A 23931-2024")</f>
        <v/>
      </c>
      <c r="W118">
        <f>HYPERLINK("https://klasma.github.io/Logging_2303/klagomålsmail/A 23931-2024 FSC-klagomål mail.docx", "A 23931-2024")</f>
        <v/>
      </c>
      <c r="X118">
        <f>HYPERLINK("https://klasma.github.io/Logging_2303/tillsyn/A 23931-2024 tillsynsbegäran.docx", "A 23931-2024")</f>
        <v/>
      </c>
      <c r="Y118">
        <f>HYPERLINK("https://klasma.github.io/Logging_2303/tillsynsmail/A 23931-2024 tillsynsbegäran mail.docx", "A 23931-2024")</f>
        <v/>
      </c>
    </row>
    <row r="119" ht="15" customHeight="1">
      <c r="A119" t="inlineStr">
        <is>
          <t>A 26082-2025</t>
        </is>
      </c>
      <c r="B119" s="1" t="n">
        <v>45805.34415509259</v>
      </c>
      <c r="C119" s="1" t="n">
        <v>45900</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52644-2024</t>
        </is>
      </c>
      <c r="B120" s="1" t="n">
        <v>45610.34415509259</v>
      </c>
      <c r="C120" s="1" t="n">
        <v>45900</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51686-2020</t>
        </is>
      </c>
      <c r="B121" s="1" t="n">
        <v>44113</v>
      </c>
      <c r="C121" s="1" t="n">
        <v>45900</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32067-2024</t>
        </is>
      </c>
      <c r="B122" s="1" t="n">
        <v>45510</v>
      </c>
      <c r="C122" s="1" t="n">
        <v>45900</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45900</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17092-2022</t>
        </is>
      </c>
      <c r="B124" s="1" t="n">
        <v>44677</v>
      </c>
      <c r="C124" s="1" t="n">
        <v>45900</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40653-2025</t>
        </is>
      </c>
      <c r="B125" s="1" t="n">
        <v>45896.63618055556</v>
      </c>
      <c r="C125" s="1" t="n">
        <v>45900</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45900</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30465-2024</t>
        </is>
      </c>
      <c r="B127" s="1" t="n">
        <v>45491</v>
      </c>
      <c r="C127" s="1" t="n">
        <v>45900</v>
      </c>
      <c r="D127" t="inlineStr">
        <is>
          <t>JÄMTLANDS LÄN</t>
        </is>
      </c>
      <c r="E127" t="inlineStr">
        <is>
          <t>RAGUNDA</t>
        </is>
      </c>
      <c r="F127" t="inlineStr">
        <is>
          <t>SCA</t>
        </is>
      </c>
      <c r="G127" t="n">
        <v>3.7</v>
      </c>
      <c r="H127" t="n">
        <v>1</v>
      </c>
      <c r="I127" t="n">
        <v>0</v>
      </c>
      <c r="J127" t="n">
        <v>4</v>
      </c>
      <c r="K127" t="n">
        <v>0</v>
      </c>
      <c r="L127" t="n">
        <v>0</v>
      </c>
      <c r="M127" t="n">
        <v>0</v>
      </c>
      <c r="N127" t="n">
        <v>0</v>
      </c>
      <c r="O127" t="n">
        <v>4</v>
      </c>
      <c r="P127" t="n">
        <v>0</v>
      </c>
      <c r="Q127" t="n">
        <v>4</v>
      </c>
      <c r="R127" s="2" t="inlineStr">
        <is>
          <t>Granticka
Tretåig hackspett
Ullticka
Violmussling</t>
        </is>
      </c>
      <c r="S127">
        <f>HYPERLINK("https://klasma.github.io/Logging_2303/artfynd/A 30465-2024 artfynd.xlsx", "A 30465-2024")</f>
        <v/>
      </c>
      <c r="T127">
        <f>HYPERLINK("https://klasma.github.io/Logging_2303/kartor/A 30465-2024 karta.png", "A 30465-2024")</f>
        <v/>
      </c>
      <c r="V127">
        <f>HYPERLINK("https://klasma.github.io/Logging_2303/klagomål/A 30465-2024 FSC-klagomål.docx", "A 30465-2024")</f>
        <v/>
      </c>
      <c r="W127">
        <f>HYPERLINK("https://klasma.github.io/Logging_2303/klagomålsmail/A 30465-2024 FSC-klagomål mail.docx", "A 30465-2024")</f>
        <v/>
      </c>
      <c r="X127">
        <f>HYPERLINK("https://klasma.github.io/Logging_2303/tillsyn/A 30465-2024 tillsynsbegäran.docx", "A 30465-2024")</f>
        <v/>
      </c>
      <c r="Y127">
        <f>HYPERLINK("https://klasma.github.io/Logging_2303/tillsynsmail/A 30465-2024 tillsynsbegäran mail.docx", "A 30465-2024")</f>
        <v/>
      </c>
      <c r="Z127">
        <f>HYPERLINK("https://klasma.github.io/Logging_2303/fåglar/A 30465-2024 prioriterade fågelarter.docx", "A 30465-2024")</f>
        <v/>
      </c>
    </row>
    <row r="128" ht="15" customHeight="1">
      <c r="A128" t="inlineStr">
        <is>
          <t>A 30483-2024</t>
        </is>
      </c>
      <c r="B128" s="1" t="n">
        <v>45491</v>
      </c>
      <c r="C128" s="1" t="n">
        <v>45900</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43960-2023</t>
        </is>
      </c>
      <c r="B129" s="1" t="n">
        <v>45187</v>
      </c>
      <c r="C129" s="1" t="n">
        <v>45900</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48052-2022</t>
        </is>
      </c>
      <c r="B130" s="1" t="n">
        <v>44855</v>
      </c>
      <c r="C130" s="1" t="n">
        <v>45900</v>
      </c>
      <c r="D130" t="inlineStr">
        <is>
          <t>JÄMTLANDS LÄN</t>
        </is>
      </c>
      <c r="E130" t="inlineStr">
        <is>
          <t>RAGUNDA</t>
        </is>
      </c>
      <c r="F130" t="inlineStr">
        <is>
          <t>SCA</t>
        </is>
      </c>
      <c r="G130" t="n">
        <v>8.6</v>
      </c>
      <c r="H130" t="n">
        <v>0</v>
      </c>
      <c r="I130" t="n">
        <v>1</v>
      </c>
      <c r="J130" t="n">
        <v>2</v>
      </c>
      <c r="K130" t="n">
        <v>0</v>
      </c>
      <c r="L130" t="n">
        <v>0</v>
      </c>
      <c r="M130" t="n">
        <v>0</v>
      </c>
      <c r="N130" t="n">
        <v>0</v>
      </c>
      <c r="O130" t="n">
        <v>2</v>
      </c>
      <c r="P130" t="n">
        <v>0</v>
      </c>
      <c r="Q130" t="n">
        <v>3</v>
      </c>
      <c r="R130" s="2" t="inlineStr">
        <is>
          <t>Lunglav
Ullticka
Stuplav</t>
        </is>
      </c>
      <c r="S130">
        <f>HYPERLINK("https://klasma.github.io/Logging_2303/artfynd/A 48052-2022 artfynd.xlsx", "A 48052-2022")</f>
        <v/>
      </c>
      <c r="T130">
        <f>HYPERLINK("https://klasma.github.io/Logging_2303/kartor/A 48052-2022 karta.png", "A 48052-2022")</f>
        <v/>
      </c>
      <c r="V130">
        <f>HYPERLINK("https://klasma.github.io/Logging_2303/klagomål/A 48052-2022 FSC-klagomål.docx", "A 48052-2022")</f>
        <v/>
      </c>
      <c r="W130">
        <f>HYPERLINK("https://klasma.github.io/Logging_2303/klagomålsmail/A 48052-2022 FSC-klagomål mail.docx", "A 48052-2022")</f>
        <v/>
      </c>
      <c r="X130">
        <f>HYPERLINK("https://klasma.github.io/Logging_2303/tillsyn/A 48052-2022 tillsynsbegäran.docx", "A 48052-2022")</f>
        <v/>
      </c>
      <c r="Y130">
        <f>HYPERLINK("https://klasma.github.io/Logging_2303/tillsynsmail/A 48052-2022 tillsynsbegäran mail.docx", "A 48052-2022")</f>
        <v/>
      </c>
    </row>
    <row r="131" ht="15" customHeight="1">
      <c r="A131" t="inlineStr">
        <is>
          <t>A 31727-2021</t>
        </is>
      </c>
      <c r="B131" s="1" t="n">
        <v>44369.92025462963</v>
      </c>
      <c r="C131" s="1" t="n">
        <v>45900</v>
      </c>
      <c r="D131" t="inlineStr">
        <is>
          <t>JÄMTLANDS LÄN</t>
        </is>
      </c>
      <c r="E131" t="inlineStr">
        <is>
          <t>RAGUNDA</t>
        </is>
      </c>
      <c r="G131" t="n">
        <v>1</v>
      </c>
      <c r="H131" t="n">
        <v>0</v>
      </c>
      <c r="I131" t="n">
        <v>1</v>
      </c>
      <c r="J131" t="n">
        <v>2</v>
      </c>
      <c r="K131" t="n">
        <v>0</v>
      </c>
      <c r="L131" t="n">
        <v>0</v>
      </c>
      <c r="M131" t="n">
        <v>0</v>
      </c>
      <c r="N131" t="n">
        <v>0</v>
      </c>
      <c r="O131" t="n">
        <v>2</v>
      </c>
      <c r="P131" t="n">
        <v>0</v>
      </c>
      <c r="Q131" t="n">
        <v>3</v>
      </c>
      <c r="R131" s="2" t="inlineStr">
        <is>
          <t>Lunglav
Ullticka
Luddlav</t>
        </is>
      </c>
      <c r="S131">
        <f>HYPERLINK("https://klasma.github.io/Logging_2303/artfynd/A 31727-2021 artfynd.xlsx", "A 31727-2021")</f>
        <v/>
      </c>
      <c r="T131">
        <f>HYPERLINK("https://klasma.github.io/Logging_2303/kartor/A 31727-2021 karta.png", "A 31727-2021")</f>
        <v/>
      </c>
      <c r="V131">
        <f>HYPERLINK("https://klasma.github.io/Logging_2303/klagomål/A 31727-2021 FSC-klagomål.docx", "A 31727-2021")</f>
        <v/>
      </c>
      <c r="W131">
        <f>HYPERLINK("https://klasma.github.io/Logging_2303/klagomålsmail/A 31727-2021 FSC-klagomål mail.docx", "A 31727-2021")</f>
        <v/>
      </c>
      <c r="X131">
        <f>HYPERLINK("https://klasma.github.io/Logging_2303/tillsyn/A 31727-2021 tillsynsbegäran.docx", "A 31727-2021")</f>
        <v/>
      </c>
      <c r="Y131">
        <f>HYPERLINK("https://klasma.github.io/Logging_2303/tillsynsmail/A 31727-2021 tillsynsbegäran mail.docx", "A 31727-2021")</f>
        <v/>
      </c>
    </row>
    <row r="132" ht="15" customHeight="1">
      <c r="A132" t="inlineStr">
        <is>
          <t>A 22730-2023</t>
        </is>
      </c>
      <c r="B132" s="1" t="n">
        <v>45071</v>
      </c>
      <c r="C132" s="1" t="n">
        <v>45900</v>
      </c>
      <c r="D132" t="inlineStr">
        <is>
          <t>JÄMTLANDS LÄN</t>
        </is>
      </c>
      <c r="E132" t="inlineStr">
        <is>
          <t>RAGUNDA</t>
        </is>
      </c>
      <c r="G132" t="n">
        <v>3.6</v>
      </c>
      <c r="H132" t="n">
        <v>0</v>
      </c>
      <c r="I132" t="n">
        <v>0</v>
      </c>
      <c r="J132" t="n">
        <v>3</v>
      </c>
      <c r="K132" t="n">
        <v>0</v>
      </c>
      <c r="L132" t="n">
        <v>0</v>
      </c>
      <c r="M132" t="n">
        <v>0</v>
      </c>
      <c r="N132" t="n">
        <v>0</v>
      </c>
      <c r="O132" t="n">
        <v>3</v>
      </c>
      <c r="P132" t="n">
        <v>0</v>
      </c>
      <c r="Q132" t="n">
        <v>3</v>
      </c>
      <c r="R132" s="2" t="inlineStr">
        <is>
          <t>Garnlav
Lunglav
Vitgrynig nållav</t>
        </is>
      </c>
      <c r="S132">
        <f>HYPERLINK("https://klasma.github.io/Logging_2303/artfynd/A 22730-2023 artfynd.xlsx", "A 22730-2023")</f>
        <v/>
      </c>
      <c r="T132">
        <f>HYPERLINK("https://klasma.github.io/Logging_2303/kartor/A 22730-2023 karta.png", "A 22730-2023")</f>
        <v/>
      </c>
      <c r="V132">
        <f>HYPERLINK("https://klasma.github.io/Logging_2303/klagomål/A 22730-2023 FSC-klagomål.docx", "A 22730-2023")</f>
        <v/>
      </c>
      <c r="W132">
        <f>HYPERLINK("https://klasma.github.io/Logging_2303/klagomålsmail/A 22730-2023 FSC-klagomål mail.docx", "A 22730-2023")</f>
        <v/>
      </c>
      <c r="X132">
        <f>HYPERLINK("https://klasma.github.io/Logging_2303/tillsyn/A 22730-2023 tillsynsbegäran.docx", "A 22730-2023")</f>
        <v/>
      </c>
      <c r="Y132">
        <f>HYPERLINK("https://klasma.github.io/Logging_2303/tillsynsmail/A 22730-2023 tillsynsbegäran mail.docx", "A 22730-2023")</f>
        <v/>
      </c>
    </row>
    <row r="133" ht="15" customHeight="1">
      <c r="A133" t="inlineStr">
        <is>
          <t>A 12737-2025</t>
        </is>
      </c>
      <c r="B133" s="1" t="n">
        <v>45733</v>
      </c>
      <c r="C133" s="1" t="n">
        <v>45900</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21248-2025</t>
        </is>
      </c>
      <c r="B134" s="1" t="n">
        <v>45779.57392361111</v>
      </c>
      <c r="C134" s="1" t="n">
        <v>45900</v>
      </c>
      <c r="D134" t="inlineStr">
        <is>
          <t>JÄMTLANDS LÄN</t>
        </is>
      </c>
      <c r="E134" t="inlineStr">
        <is>
          <t>RAGUNDA</t>
        </is>
      </c>
      <c r="F134" t="inlineStr">
        <is>
          <t>SCA</t>
        </is>
      </c>
      <c r="G134" t="n">
        <v>2.9</v>
      </c>
      <c r="H134" t="n">
        <v>1</v>
      </c>
      <c r="I134" t="n">
        <v>1</v>
      </c>
      <c r="J134" t="n">
        <v>2</v>
      </c>
      <c r="K134" t="n">
        <v>0</v>
      </c>
      <c r="L134" t="n">
        <v>0</v>
      </c>
      <c r="M134" t="n">
        <v>0</v>
      </c>
      <c r="N134" t="n">
        <v>0</v>
      </c>
      <c r="O134" t="n">
        <v>2</v>
      </c>
      <c r="P134" t="n">
        <v>0</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14814-2024</t>
        </is>
      </c>
      <c r="B135" s="1" t="n">
        <v>45397.95748842593</v>
      </c>
      <c r="C135" s="1" t="n">
        <v>45900</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16305-2025</t>
        </is>
      </c>
      <c r="B136" s="1" t="n">
        <v>45751.34650462963</v>
      </c>
      <c r="C136" s="1" t="n">
        <v>45900</v>
      </c>
      <c r="D136" t="inlineStr">
        <is>
          <t>JÄMTLANDS LÄN</t>
        </is>
      </c>
      <c r="E136" t="inlineStr">
        <is>
          <t>RAGUNDA</t>
        </is>
      </c>
      <c r="F136" t="inlineStr">
        <is>
          <t>SCA</t>
        </is>
      </c>
      <c r="G136" t="n">
        <v>2.5</v>
      </c>
      <c r="H136" t="n">
        <v>0</v>
      </c>
      <c r="I136" t="n">
        <v>2</v>
      </c>
      <c r="J136" t="n">
        <v>1</v>
      </c>
      <c r="K136" t="n">
        <v>0</v>
      </c>
      <c r="L136" t="n">
        <v>0</v>
      </c>
      <c r="M136" t="n">
        <v>0</v>
      </c>
      <c r="N136" t="n">
        <v>0</v>
      </c>
      <c r="O136" t="n">
        <v>1</v>
      </c>
      <c r="P136" t="n">
        <v>0</v>
      </c>
      <c r="Q136" t="n">
        <v>3</v>
      </c>
      <c r="R136" s="2" t="inlineStr">
        <is>
          <t>Lunglav
Bollvitmossa
Källmossa</t>
        </is>
      </c>
      <c r="S136">
        <f>HYPERLINK("https://klasma.github.io/Logging_2303/artfynd/A 16305-2025 artfynd.xlsx", "A 16305-2025")</f>
        <v/>
      </c>
      <c r="T136">
        <f>HYPERLINK("https://klasma.github.io/Logging_2303/kartor/A 16305-2025 karta.png", "A 16305-2025")</f>
        <v/>
      </c>
      <c r="V136">
        <f>HYPERLINK("https://klasma.github.io/Logging_2303/klagomål/A 16305-2025 FSC-klagomål.docx", "A 16305-2025")</f>
        <v/>
      </c>
      <c r="W136">
        <f>HYPERLINK("https://klasma.github.io/Logging_2303/klagomålsmail/A 16305-2025 FSC-klagomål mail.docx", "A 16305-2025")</f>
        <v/>
      </c>
      <c r="X136">
        <f>HYPERLINK("https://klasma.github.io/Logging_2303/tillsyn/A 16305-2025 tillsynsbegäran.docx", "A 16305-2025")</f>
        <v/>
      </c>
      <c r="Y136">
        <f>HYPERLINK("https://klasma.github.io/Logging_2303/tillsynsmail/A 16305-2025 tillsynsbegäran mail.docx", "A 16305-2025")</f>
        <v/>
      </c>
    </row>
    <row r="137" ht="15" customHeight="1">
      <c r="A137" t="inlineStr">
        <is>
          <t>A 28178-2023</t>
        </is>
      </c>
      <c r="B137" s="1" t="n">
        <v>45093</v>
      </c>
      <c r="C137" s="1" t="n">
        <v>45900</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48054-2022</t>
        </is>
      </c>
      <c r="B138" s="1" t="n">
        <v>44855</v>
      </c>
      <c r="C138" s="1" t="n">
        <v>45900</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45900</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32903-2024</t>
        </is>
      </c>
      <c r="B140" s="1" t="n">
        <v>45516.94723379629</v>
      </c>
      <c r="C140" s="1" t="n">
        <v>45900</v>
      </c>
      <c r="D140" t="inlineStr">
        <is>
          <t>JÄMTLANDS LÄN</t>
        </is>
      </c>
      <c r="E140" t="inlineStr">
        <is>
          <t>RAGUNDA</t>
        </is>
      </c>
      <c r="F140" t="inlineStr">
        <is>
          <t>SCA</t>
        </is>
      </c>
      <c r="G140" t="n">
        <v>4.7</v>
      </c>
      <c r="H140" t="n">
        <v>0</v>
      </c>
      <c r="I140" t="n">
        <v>2</v>
      </c>
      <c r="J140" t="n">
        <v>1</v>
      </c>
      <c r="K140" t="n">
        <v>0</v>
      </c>
      <c r="L140" t="n">
        <v>0</v>
      </c>
      <c r="M140" t="n">
        <v>0</v>
      </c>
      <c r="N140" t="n">
        <v>0</v>
      </c>
      <c r="O140" t="n">
        <v>1</v>
      </c>
      <c r="P140" t="n">
        <v>0</v>
      </c>
      <c r="Q140" t="n">
        <v>3</v>
      </c>
      <c r="R140" s="2" t="inlineStr">
        <is>
          <t>Lunglav
Bollvitmossa
Luddlav</t>
        </is>
      </c>
      <c r="S140">
        <f>HYPERLINK("https://klasma.github.io/Logging_2303/artfynd/A 32903-2024 artfynd.xlsx", "A 32903-2024")</f>
        <v/>
      </c>
      <c r="T140">
        <f>HYPERLINK("https://klasma.github.io/Logging_2303/kartor/A 32903-2024 karta.png", "A 32903-2024")</f>
        <v/>
      </c>
      <c r="V140">
        <f>HYPERLINK("https://klasma.github.io/Logging_2303/klagomål/A 32903-2024 FSC-klagomål.docx", "A 32903-2024")</f>
        <v/>
      </c>
      <c r="W140">
        <f>HYPERLINK("https://klasma.github.io/Logging_2303/klagomålsmail/A 32903-2024 FSC-klagomål mail.docx", "A 32903-2024")</f>
        <v/>
      </c>
      <c r="X140">
        <f>HYPERLINK("https://klasma.github.io/Logging_2303/tillsyn/A 32903-2024 tillsynsbegäran.docx", "A 32903-2024")</f>
        <v/>
      </c>
      <c r="Y140">
        <f>HYPERLINK("https://klasma.github.io/Logging_2303/tillsynsmail/A 32903-2024 tillsynsbegäran mail.docx", "A 32903-2024")</f>
        <v/>
      </c>
    </row>
    <row r="141" ht="15" customHeight="1">
      <c r="A141" t="inlineStr">
        <is>
          <t>A 58737-2022</t>
        </is>
      </c>
      <c r="B141" s="1" t="n">
        <v>44902</v>
      </c>
      <c r="C141" s="1" t="n">
        <v>45900</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51010-2020</t>
        </is>
      </c>
      <c r="B142" s="1" t="n">
        <v>44111</v>
      </c>
      <c r="C142" s="1" t="n">
        <v>45900</v>
      </c>
      <c r="D142" t="inlineStr">
        <is>
          <t>JÄMTLANDS LÄN</t>
        </is>
      </c>
      <c r="E142" t="inlineStr">
        <is>
          <t>RAGUNDA</t>
        </is>
      </c>
      <c r="F142" t="inlineStr">
        <is>
          <t>SCA</t>
        </is>
      </c>
      <c r="G142" t="n">
        <v>4.1</v>
      </c>
      <c r="H142" t="n">
        <v>0</v>
      </c>
      <c r="I142" t="n">
        <v>0</v>
      </c>
      <c r="J142" t="n">
        <v>3</v>
      </c>
      <c r="K142" t="n">
        <v>0</v>
      </c>
      <c r="L142" t="n">
        <v>0</v>
      </c>
      <c r="M142" t="n">
        <v>0</v>
      </c>
      <c r="N142" t="n">
        <v>0</v>
      </c>
      <c r="O142" t="n">
        <v>3</v>
      </c>
      <c r="P142" t="n">
        <v>0</v>
      </c>
      <c r="Q142" t="n">
        <v>3</v>
      </c>
      <c r="R142" s="2" t="inlineStr">
        <is>
          <t>Garnlav
Lunglav
Ullticka</t>
        </is>
      </c>
      <c r="S142">
        <f>HYPERLINK("https://klasma.github.io/Logging_2303/artfynd/A 51010-2020 artfynd.xlsx", "A 51010-2020")</f>
        <v/>
      </c>
      <c r="T142">
        <f>HYPERLINK("https://klasma.github.io/Logging_2303/kartor/A 51010-2020 karta.png", "A 51010-2020")</f>
        <v/>
      </c>
      <c r="V142">
        <f>HYPERLINK("https://klasma.github.io/Logging_2303/klagomål/A 51010-2020 FSC-klagomål.docx", "A 51010-2020")</f>
        <v/>
      </c>
      <c r="W142">
        <f>HYPERLINK("https://klasma.github.io/Logging_2303/klagomålsmail/A 51010-2020 FSC-klagomål mail.docx", "A 51010-2020")</f>
        <v/>
      </c>
      <c r="X142">
        <f>HYPERLINK("https://klasma.github.io/Logging_2303/tillsyn/A 51010-2020 tillsynsbegäran.docx", "A 51010-2020")</f>
        <v/>
      </c>
      <c r="Y142">
        <f>HYPERLINK("https://klasma.github.io/Logging_2303/tillsynsmail/A 51010-2020 tillsynsbegäran mail.docx", "A 51010-2020")</f>
        <v/>
      </c>
    </row>
    <row r="143" ht="15" customHeight="1">
      <c r="A143" t="inlineStr">
        <is>
          <t>A 20776-2024</t>
        </is>
      </c>
      <c r="B143" s="1" t="n">
        <v>45436.94686342592</v>
      </c>
      <c r="C143" s="1" t="n">
        <v>45900</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57941-2024</t>
        </is>
      </c>
      <c r="B144" s="1" t="n">
        <v>45631</v>
      </c>
      <c r="C144" s="1" t="n">
        <v>45900</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25769-2025</t>
        </is>
      </c>
      <c r="B145" s="1" t="n">
        <v>45804.34474537037</v>
      </c>
      <c r="C145" s="1" t="n">
        <v>45900</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30470-2024</t>
        </is>
      </c>
      <c r="B146" s="1" t="n">
        <v>45491.94715277778</v>
      </c>
      <c r="C146" s="1" t="n">
        <v>45900</v>
      </c>
      <c r="D146" t="inlineStr">
        <is>
          <t>JÄMTLANDS LÄN</t>
        </is>
      </c>
      <c r="E146" t="inlineStr">
        <is>
          <t>RAGUNDA</t>
        </is>
      </c>
      <c r="F146" t="inlineStr">
        <is>
          <t>SCA</t>
        </is>
      </c>
      <c r="G146" t="n">
        <v>1.4</v>
      </c>
      <c r="H146" t="n">
        <v>2</v>
      </c>
      <c r="I146" t="n">
        <v>0</v>
      </c>
      <c r="J146" t="n">
        <v>2</v>
      </c>
      <c r="K146" t="n">
        <v>1</v>
      </c>
      <c r="L146" t="n">
        <v>0</v>
      </c>
      <c r="M146" t="n">
        <v>0</v>
      </c>
      <c r="N146" t="n">
        <v>0</v>
      </c>
      <c r="O146" t="n">
        <v>3</v>
      </c>
      <c r="P146" t="n">
        <v>1</v>
      </c>
      <c r="Q146" t="n">
        <v>3</v>
      </c>
      <c r="R146" s="2" t="inlineStr">
        <is>
          <t>Knärot
Lunglav
Tretåig hackspett</t>
        </is>
      </c>
      <c r="S146">
        <f>HYPERLINK("https://klasma.github.io/Logging_2303/artfynd/A 30470-2024 artfynd.xlsx", "A 30470-2024")</f>
        <v/>
      </c>
      <c r="T146">
        <f>HYPERLINK("https://klasma.github.io/Logging_2303/kartor/A 30470-2024 karta.png", "A 30470-2024")</f>
        <v/>
      </c>
      <c r="U146">
        <f>HYPERLINK("https://klasma.github.io/Logging_2303/knärot/A 30470-2024 karta knärot.png", "A 30470-2024")</f>
        <v/>
      </c>
      <c r="V146">
        <f>HYPERLINK("https://klasma.github.io/Logging_2303/klagomål/A 30470-2024 FSC-klagomål.docx", "A 30470-2024")</f>
        <v/>
      </c>
      <c r="W146">
        <f>HYPERLINK("https://klasma.github.io/Logging_2303/klagomålsmail/A 30470-2024 FSC-klagomål mail.docx", "A 30470-2024")</f>
        <v/>
      </c>
      <c r="X146">
        <f>HYPERLINK("https://klasma.github.io/Logging_2303/tillsyn/A 30470-2024 tillsynsbegäran.docx", "A 30470-2024")</f>
        <v/>
      </c>
      <c r="Y146">
        <f>HYPERLINK("https://klasma.github.io/Logging_2303/tillsynsmail/A 30470-2024 tillsynsbegäran mail.docx", "A 30470-2024")</f>
        <v/>
      </c>
      <c r="Z146">
        <f>HYPERLINK("https://klasma.github.io/Logging_2303/fåglar/A 30470-2024 prioriterade fågelarter.docx", "A 30470-2024")</f>
        <v/>
      </c>
    </row>
    <row r="147" ht="15" customHeight="1">
      <c r="A147" t="inlineStr">
        <is>
          <t>A 49047-2023</t>
        </is>
      </c>
      <c r="B147" s="1" t="n">
        <v>45209</v>
      </c>
      <c r="C147" s="1" t="n">
        <v>45900</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45900</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7519-2023</t>
        </is>
      </c>
      <c r="B149" s="1" t="n">
        <v>44971</v>
      </c>
      <c r="C149" s="1" t="n">
        <v>45900</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45900</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22571-2025</t>
        </is>
      </c>
      <c r="B151" s="1" t="n">
        <v>45789.36503472222</v>
      </c>
      <c r="C151" s="1" t="n">
        <v>45900</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45900</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33278-2022</t>
        </is>
      </c>
      <c r="B153" s="1" t="n">
        <v>44788</v>
      </c>
      <c r="C153" s="1" t="n">
        <v>45900</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32416-2025</t>
        </is>
      </c>
      <c r="B154" s="1" t="n">
        <v>45838</v>
      </c>
      <c r="C154" s="1" t="n">
        <v>45900</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53022-2022</t>
        </is>
      </c>
      <c r="B155" s="1" t="n">
        <v>44875</v>
      </c>
      <c r="C155" s="1" t="n">
        <v>45900</v>
      </c>
      <c r="D155" t="inlineStr">
        <is>
          <t>JÄMTLANDS LÄN</t>
        </is>
      </c>
      <c r="E155" t="inlineStr">
        <is>
          <t>RAGUNDA</t>
        </is>
      </c>
      <c r="F155" t="inlineStr">
        <is>
          <t>SCA</t>
        </is>
      </c>
      <c r="G155" t="n">
        <v>2.7</v>
      </c>
      <c r="H155" t="n">
        <v>0</v>
      </c>
      <c r="I155" t="n">
        <v>1</v>
      </c>
      <c r="J155" t="n">
        <v>2</v>
      </c>
      <c r="K155" t="n">
        <v>0</v>
      </c>
      <c r="L155" t="n">
        <v>0</v>
      </c>
      <c r="M155" t="n">
        <v>0</v>
      </c>
      <c r="N155" t="n">
        <v>0</v>
      </c>
      <c r="O155" t="n">
        <v>2</v>
      </c>
      <c r="P155" t="n">
        <v>0</v>
      </c>
      <c r="Q155" t="n">
        <v>3</v>
      </c>
      <c r="R155" s="2" t="inlineStr">
        <is>
          <t>Garnlav
Lunglav
Dropptaggsvamp</t>
        </is>
      </c>
      <c r="S155">
        <f>HYPERLINK("https://klasma.github.io/Logging_2303/artfynd/A 53022-2022 artfynd.xlsx", "A 53022-2022")</f>
        <v/>
      </c>
      <c r="T155">
        <f>HYPERLINK("https://klasma.github.io/Logging_2303/kartor/A 53022-2022 karta.png", "A 53022-2022")</f>
        <v/>
      </c>
      <c r="V155">
        <f>HYPERLINK("https://klasma.github.io/Logging_2303/klagomål/A 53022-2022 FSC-klagomål.docx", "A 53022-2022")</f>
        <v/>
      </c>
      <c r="W155">
        <f>HYPERLINK("https://klasma.github.io/Logging_2303/klagomålsmail/A 53022-2022 FSC-klagomål mail.docx", "A 53022-2022")</f>
        <v/>
      </c>
      <c r="X155">
        <f>HYPERLINK("https://klasma.github.io/Logging_2303/tillsyn/A 53022-2022 tillsynsbegäran.docx", "A 53022-2022")</f>
        <v/>
      </c>
      <c r="Y155">
        <f>HYPERLINK("https://klasma.github.io/Logging_2303/tillsynsmail/A 53022-2022 tillsynsbegäran mail.docx", "A 53022-2022")</f>
        <v/>
      </c>
    </row>
    <row r="156" ht="15" customHeight="1">
      <c r="A156" t="inlineStr">
        <is>
          <t>A 18616-2024</t>
        </is>
      </c>
      <c r="B156" s="1" t="n">
        <v>45425.96285879629</v>
      </c>
      <c r="C156" s="1" t="n">
        <v>45900</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5048-2025</t>
        </is>
      </c>
      <c r="B157" s="1" t="n">
        <v>45691.44769675926</v>
      </c>
      <c r="C157" s="1" t="n">
        <v>45900</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45900</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45900</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45900</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21245-2025</t>
        </is>
      </c>
      <c r="B161" s="1" t="n">
        <v>45779.57350694444</v>
      </c>
      <c r="C161" s="1" t="n">
        <v>45900</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12271-2024</t>
        </is>
      </c>
      <c r="B162" s="1" t="n">
        <v>45378</v>
      </c>
      <c r="C162" s="1" t="n">
        <v>45900</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50089-2022</t>
        </is>
      </c>
      <c r="B163" s="1" t="n">
        <v>44865</v>
      </c>
      <c r="C163" s="1" t="n">
        <v>45900</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39495-2024</t>
        </is>
      </c>
      <c r="B164" s="1" t="n">
        <v>45551.65726851852</v>
      </c>
      <c r="C164" s="1" t="n">
        <v>45900</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45900</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32736-2023</t>
        </is>
      </c>
      <c r="B166" s="1" t="n">
        <v>45121</v>
      </c>
      <c r="C166" s="1" t="n">
        <v>45900</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45900</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25155-2025</t>
        </is>
      </c>
      <c r="B168" s="1" t="n">
        <v>45800.42782407408</v>
      </c>
      <c r="C168" s="1" t="n">
        <v>45900</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11544-2024</t>
        </is>
      </c>
      <c r="B169" s="1" t="n">
        <v>45372.95680555556</v>
      </c>
      <c r="C169" s="1" t="n">
        <v>45900</v>
      </c>
      <c r="D169" t="inlineStr">
        <is>
          <t>JÄMTLANDS LÄN</t>
        </is>
      </c>
      <c r="E169" t="inlineStr">
        <is>
          <t>RAGUNDA</t>
        </is>
      </c>
      <c r="F169" t="inlineStr">
        <is>
          <t>SCA</t>
        </is>
      </c>
      <c r="G169" t="n">
        <v>15.5</v>
      </c>
      <c r="H169" t="n">
        <v>0</v>
      </c>
      <c r="I169" t="n">
        <v>0</v>
      </c>
      <c r="J169" t="n">
        <v>2</v>
      </c>
      <c r="K169" t="n">
        <v>0</v>
      </c>
      <c r="L169" t="n">
        <v>0</v>
      </c>
      <c r="M169" t="n">
        <v>0</v>
      </c>
      <c r="N169" t="n">
        <v>0</v>
      </c>
      <c r="O169" t="n">
        <v>2</v>
      </c>
      <c r="P169" t="n">
        <v>0</v>
      </c>
      <c r="Q169" t="n">
        <v>2</v>
      </c>
      <c r="R169" s="2" t="inlineStr">
        <is>
          <t>Granticka
Mörk kolflarnlav</t>
        </is>
      </c>
      <c r="S169">
        <f>HYPERLINK("https://klasma.github.io/Logging_2303/artfynd/A 11544-2024 artfynd.xlsx", "A 11544-2024")</f>
        <v/>
      </c>
      <c r="T169">
        <f>HYPERLINK("https://klasma.github.io/Logging_2303/kartor/A 11544-2024 karta.png", "A 11544-2024")</f>
        <v/>
      </c>
      <c r="V169">
        <f>HYPERLINK("https://klasma.github.io/Logging_2303/klagomål/A 11544-2024 FSC-klagomål.docx", "A 11544-2024")</f>
        <v/>
      </c>
      <c r="W169">
        <f>HYPERLINK("https://klasma.github.io/Logging_2303/klagomålsmail/A 11544-2024 FSC-klagomål mail.docx", "A 11544-2024")</f>
        <v/>
      </c>
      <c r="X169">
        <f>HYPERLINK("https://klasma.github.io/Logging_2303/tillsyn/A 11544-2024 tillsynsbegäran.docx", "A 11544-2024")</f>
        <v/>
      </c>
      <c r="Y169">
        <f>HYPERLINK("https://klasma.github.io/Logging_2303/tillsynsmail/A 11544-2024 tillsynsbegäran mail.docx", "A 11544-2024")</f>
        <v/>
      </c>
    </row>
    <row r="170" ht="15" customHeight="1">
      <c r="A170" t="inlineStr">
        <is>
          <t>A 44409-2023</t>
        </is>
      </c>
      <c r="B170" s="1" t="n">
        <v>45188</v>
      </c>
      <c r="C170" s="1" t="n">
        <v>45900</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17733-2022</t>
        </is>
      </c>
      <c r="B171" s="1" t="n">
        <v>44680</v>
      </c>
      <c r="C171" s="1" t="n">
        <v>45900</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45900</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48427-2023</t>
        </is>
      </c>
      <c r="B173" s="1" t="n">
        <v>45205</v>
      </c>
      <c r="C173" s="1" t="n">
        <v>45900</v>
      </c>
      <c r="D173" t="inlineStr">
        <is>
          <t>JÄMTLANDS LÄN</t>
        </is>
      </c>
      <c r="E173" t="inlineStr">
        <is>
          <t>RAGUNDA</t>
        </is>
      </c>
      <c r="F173" t="inlineStr">
        <is>
          <t>SCA</t>
        </is>
      </c>
      <c r="G173" t="n">
        <v>10.1</v>
      </c>
      <c r="H173" t="n">
        <v>0</v>
      </c>
      <c r="I173" t="n">
        <v>1</v>
      </c>
      <c r="J173" t="n">
        <v>1</v>
      </c>
      <c r="K173" t="n">
        <v>0</v>
      </c>
      <c r="L173" t="n">
        <v>0</v>
      </c>
      <c r="M173" t="n">
        <v>0</v>
      </c>
      <c r="N173" t="n">
        <v>0</v>
      </c>
      <c r="O173" t="n">
        <v>1</v>
      </c>
      <c r="P173" t="n">
        <v>0</v>
      </c>
      <c r="Q173" t="n">
        <v>2</v>
      </c>
      <c r="R173" s="2" t="inlineStr">
        <is>
          <t>Lunglav
Luddlav</t>
        </is>
      </c>
      <c r="S173">
        <f>HYPERLINK("https://klasma.github.io/Logging_2303/artfynd/A 48427-2023 artfynd.xlsx", "A 48427-2023")</f>
        <v/>
      </c>
      <c r="T173">
        <f>HYPERLINK("https://klasma.github.io/Logging_2303/kartor/A 48427-2023 karta.png", "A 48427-2023")</f>
        <v/>
      </c>
      <c r="V173">
        <f>HYPERLINK("https://klasma.github.io/Logging_2303/klagomål/A 48427-2023 FSC-klagomål.docx", "A 48427-2023")</f>
        <v/>
      </c>
      <c r="W173">
        <f>HYPERLINK("https://klasma.github.io/Logging_2303/klagomålsmail/A 48427-2023 FSC-klagomål mail.docx", "A 48427-2023")</f>
        <v/>
      </c>
      <c r="X173">
        <f>HYPERLINK("https://klasma.github.io/Logging_2303/tillsyn/A 48427-2023 tillsynsbegäran.docx", "A 48427-2023")</f>
        <v/>
      </c>
      <c r="Y173">
        <f>HYPERLINK("https://klasma.github.io/Logging_2303/tillsynsmail/A 48427-2023 tillsynsbegäran mail.docx", "A 48427-2023")</f>
        <v/>
      </c>
    </row>
    <row r="174" ht="15" customHeight="1">
      <c r="A174" t="inlineStr">
        <is>
          <t>A 14502-2024</t>
        </is>
      </c>
      <c r="B174" s="1" t="n">
        <v>45394</v>
      </c>
      <c r="C174" s="1" t="n">
        <v>45900</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31960-2025</t>
        </is>
      </c>
      <c r="B175" s="1" t="n">
        <v>45835.344375</v>
      </c>
      <c r="C175" s="1" t="n">
        <v>45900</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26482-2023</t>
        </is>
      </c>
      <c r="B176" s="1" t="n">
        <v>45089</v>
      </c>
      <c r="C176" s="1" t="n">
        <v>45900</v>
      </c>
      <c r="D176" t="inlineStr">
        <is>
          <t>JÄMTLANDS LÄN</t>
        </is>
      </c>
      <c r="E176" t="inlineStr">
        <is>
          <t>RAGUNDA</t>
        </is>
      </c>
      <c r="G176" t="n">
        <v>2</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26482-2023 artfynd.xlsx", "A 26482-2023")</f>
        <v/>
      </c>
      <c r="T176">
        <f>HYPERLINK("https://klasma.github.io/Logging_2303/kartor/A 26482-2023 karta.png", "A 26482-2023")</f>
        <v/>
      </c>
      <c r="V176">
        <f>HYPERLINK("https://klasma.github.io/Logging_2303/klagomål/A 26482-2023 FSC-klagomål.docx", "A 26482-2023")</f>
        <v/>
      </c>
      <c r="W176">
        <f>HYPERLINK("https://klasma.github.io/Logging_2303/klagomålsmail/A 26482-2023 FSC-klagomål mail.docx", "A 26482-2023")</f>
        <v/>
      </c>
      <c r="X176">
        <f>HYPERLINK("https://klasma.github.io/Logging_2303/tillsyn/A 26482-2023 tillsynsbegäran.docx", "A 26482-2023")</f>
        <v/>
      </c>
      <c r="Y176">
        <f>HYPERLINK("https://klasma.github.io/Logging_2303/tillsynsmail/A 26482-2023 tillsynsbegäran mail.docx", "A 26482-2023")</f>
        <v/>
      </c>
      <c r="Z176">
        <f>HYPERLINK("https://klasma.github.io/Logging_2303/fåglar/A 26482-2023 prioriterade fågelarter.docx", "A 26482-2023")</f>
        <v/>
      </c>
    </row>
    <row r="177" ht="15" customHeight="1">
      <c r="A177" t="inlineStr">
        <is>
          <t>A 45035-2023</t>
        </is>
      </c>
      <c r="B177" s="1" t="n">
        <v>45191</v>
      </c>
      <c r="C177" s="1" t="n">
        <v>45900</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45900</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46771-2024</t>
        </is>
      </c>
      <c r="B179" s="1" t="n">
        <v>45583.49642361111</v>
      </c>
      <c r="C179" s="1" t="n">
        <v>45900</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34715-2024</t>
        </is>
      </c>
      <c r="B180" s="1" t="n">
        <v>45526.56393518519</v>
      </c>
      <c r="C180" s="1" t="n">
        <v>45900</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35131-2025</t>
        </is>
      </c>
      <c r="B181" s="1" t="n">
        <v>45852.63597222222</v>
      </c>
      <c r="C181" s="1" t="n">
        <v>45900</v>
      </c>
      <c r="D181" t="inlineStr">
        <is>
          <t>JÄMTLANDS LÄN</t>
        </is>
      </c>
      <c r="E181" t="inlineStr">
        <is>
          <t>RAGUNDA</t>
        </is>
      </c>
      <c r="F181" t="inlineStr">
        <is>
          <t>SCA</t>
        </is>
      </c>
      <c r="G181" t="n">
        <v>6.9</v>
      </c>
      <c r="H181" t="n">
        <v>1</v>
      </c>
      <c r="I181" t="n">
        <v>1</v>
      </c>
      <c r="J181" t="n">
        <v>0</v>
      </c>
      <c r="K181" t="n">
        <v>0</v>
      </c>
      <c r="L181" t="n">
        <v>0</v>
      </c>
      <c r="M181" t="n">
        <v>0</v>
      </c>
      <c r="N181" t="n">
        <v>0</v>
      </c>
      <c r="O181" t="n">
        <v>0</v>
      </c>
      <c r="P181" t="n">
        <v>0</v>
      </c>
      <c r="Q181" t="n">
        <v>2</v>
      </c>
      <c r="R181" s="2" t="inlineStr">
        <is>
          <t>Ögonpyrola
Nattviol</t>
        </is>
      </c>
      <c r="S181">
        <f>HYPERLINK("https://klasma.github.io/Logging_2303/artfynd/A 35131-2025 artfynd.xlsx", "A 35131-2025")</f>
        <v/>
      </c>
      <c r="T181">
        <f>HYPERLINK("https://klasma.github.io/Logging_2303/kartor/A 35131-2025 karta.png", "A 35131-2025")</f>
        <v/>
      </c>
      <c r="V181">
        <f>HYPERLINK("https://klasma.github.io/Logging_2303/klagomål/A 35131-2025 FSC-klagomål.docx", "A 35131-2025")</f>
        <v/>
      </c>
      <c r="W181">
        <f>HYPERLINK("https://klasma.github.io/Logging_2303/klagomålsmail/A 35131-2025 FSC-klagomål mail.docx", "A 35131-2025")</f>
        <v/>
      </c>
      <c r="X181">
        <f>HYPERLINK("https://klasma.github.io/Logging_2303/tillsyn/A 35131-2025 tillsynsbegäran.docx", "A 35131-2025")</f>
        <v/>
      </c>
      <c r="Y181">
        <f>HYPERLINK("https://klasma.github.io/Logging_2303/tillsynsmail/A 35131-2025 tillsynsbegäran mail.docx", "A 35131-2025")</f>
        <v/>
      </c>
    </row>
    <row r="182" ht="15" customHeight="1">
      <c r="A182" t="inlineStr">
        <is>
          <t>A 10866-2025</t>
        </is>
      </c>
      <c r="B182" s="1" t="n">
        <v>45722.61543981481</v>
      </c>
      <c r="C182" s="1" t="n">
        <v>45900</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35344-2025</t>
        </is>
      </c>
      <c r="B183" s="1" t="n">
        <v>45854.61494212963</v>
      </c>
      <c r="C183" s="1" t="n">
        <v>45900</v>
      </c>
      <c r="D183" t="inlineStr">
        <is>
          <t>JÄMTLANDS LÄN</t>
        </is>
      </c>
      <c r="E183" t="inlineStr">
        <is>
          <t>RAGUNDA</t>
        </is>
      </c>
      <c r="F183" t="inlineStr">
        <is>
          <t>SCA</t>
        </is>
      </c>
      <c r="G183" t="n">
        <v>6.1</v>
      </c>
      <c r="H183" t="n">
        <v>0</v>
      </c>
      <c r="I183" t="n">
        <v>0</v>
      </c>
      <c r="J183" t="n">
        <v>2</v>
      </c>
      <c r="K183" t="n">
        <v>0</v>
      </c>
      <c r="L183" t="n">
        <v>0</v>
      </c>
      <c r="M183" t="n">
        <v>0</v>
      </c>
      <c r="N183" t="n">
        <v>0</v>
      </c>
      <c r="O183" t="n">
        <v>2</v>
      </c>
      <c r="P183" t="n">
        <v>0</v>
      </c>
      <c r="Q183" t="n">
        <v>2</v>
      </c>
      <c r="R183" s="2" t="inlineStr">
        <is>
          <t>Svart taggsvamp
Vedtrappmossa</t>
        </is>
      </c>
      <c r="S183">
        <f>HYPERLINK("https://klasma.github.io/Logging_2303/artfynd/A 35344-2025 artfynd.xlsx", "A 35344-2025")</f>
        <v/>
      </c>
      <c r="T183">
        <f>HYPERLINK("https://klasma.github.io/Logging_2303/kartor/A 35344-2025 karta.png", "A 35344-2025")</f>
        <v/>
      </c>
      <c r="V183">
        <f>HYPERLINK("https://klasma.github.io/Logging_2303/klagomål/A 35344-2025 FSC-klagomål.docx", "A 35344-2025")</f>
        <v/>
      </c>
      <c r="W183">
        <f>HYPERLINK("https://klasma.github.io/Logging_2303/klagomålsmail/A 35344-2025 FSC-klagomål mail.docx", "A 35344-2025")</f>
        <v/>
      </c>
      <c r="X183">
        <f>HYPERLINK("https://klasma.github.io/Logging_2303/tillsyn/A 35344-2025 tillsynsbegäran.docx", "A 35344-2025")</f>
        <v/>
      </c>
      <c r="Y183">
        <f>HYPERLINK("https://klasma.github.io/Logging_2303/tillsynsmail/A 35344-2025 tillsynsbegäran mail.docx", "A 35344-2025")</f>
        <v/>
      </c>
    </row>
    <row r="184" ht="15" customHeight="1">
      <c r="A184" t="inlineStr">
        <is>
          <t>A 57940-2024</t>
        </is>
      </c>
      <c r="B184" s="1" t="n">
        <v>45631</v>
      </c>
      <c r="C184" s="1" t="n">
        <v>45900</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48084-2022</t>
        </is>
      </c>
      <c r="B185" s="1" t="n">
        <v>44855</v>
      </c>
      <c r="C185" s="1" t="n">
        <v>45900</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26324-2024</t>
        </is>
      </c>
      <c r="B186" s="1" t="n">
        <v>45468.97495370371</v>
      </c>
      <c r="C186" s="1" t="n">
        <v>45900</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Knärot
Vedtrappmossa</t>
        </is>
      </c>
      <c r="S186">
        <f>HYPERLINK("https://klasma.github.io/Logging_2303/artfynd/A 26324-2024 artfynd.xlsx", "A 26324-2024")</f>
        <v/>
      </c>
      <c r="T186">
        <f>HYPERLINK("https://klasma.github.io/Logging_2303/kartor/A 26324-2024 karta.png", "A 26324-2024")</f>
        <v/>
      </c>
      <c r="U186">
        <f>HYPERLINK("https://klasma.github.io/Logging_2303/knärot/A 26324-2024 karta knärot.png", "A 26324-2024")</f>
        <v/>
      </c>
      <c r="V186">
        <f>HYPERLINK("https://klasma.github.io/Logging_2303/klagomål/A 26324-2024 FSC-klagomål.docx", "A 26324-2024")</f>
        <v/>
      </c>
      <c r="W186">
        <f>HYPERLINK("https://klasma.github.io/Logging_2303/klagomålsmail/A 26324-2024 FSC-klagomål mail.docx", "A 26324-2024")</f>
        <v/>
      </c>
      <c r="X186">
        <f>HYPERLINK("https://klasma.github.io/Logging_2303/tillsyn/A 26324-2024 tillsynsbegäran.docx", "A 26324-2024")</f>
        <v/>
      </c>
      <c r="Y186">
        <f>HYPERLINK("https://klasma.github.io/Logging_2303/tillsynsmail/A 26324-2024 tillsynsbegäran mail.docx", "A 26324-2024")</f>
        <v/>
      </c>
    </row>
    <row r="187" ht="15" customHeight="1">
      <c r="A187" t="inlineStr">
        <is>
          <t>A 11843-2023</t>
        </is>
      </c>
      <c r="B187" s="1" t="n">
        <v>44993</v>
      </c>
      <c r="C187" s="1" t="n">
        <v>45900</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19384-2025</t>
        </is>
      </c>
      <c r="B188" s="1" t="n">
        <v>45769.65692129629</v>
      </c>
      <c r="C188" s="1" t="n">
        <v>45900</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55647-2023</t>
        </is>
      </c>
      <c r="B189" s="1" t="n">
        <v>45238</v>
      </c>
      <c r="C189" s="1" t="n">
        <v>45900</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36756-2023</t>
        </is>
      </c>
      <c r="B190" s="1" t="n">
        <v>45153</v>
      </c>
      <c r="C190" s="1" t="n">
        <v>45900</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11086-2025</t>
        </is>
      </c>
      <c r="B191" s="1" t="n">
        <v>45723.57329861111</v>
      </c>
      <c r="C191" s="1" t="n">
        <v>45900</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41490-2022</t>
        </is>
      </c>
      <c r="B192" s="1" t="n">
        <v>44826.94976851852</v>
      </c>
      <c r="C192" s="1" t="n">
        <v>45900</v>
      </c>
      <c r="D192" t="inlineStr">
        <is>
          <t>JÄMTLANDS LÄN</t>
        </is>
      </c>
      <c r="E192" t="inlineStr">
        <is>
          <t>RAGUNDA</t>
        </is>
      </c>
      <c r="F192" t="inlineStr">
        <is>
          <t>SCA</t>
        </is>
      </c>
      <c r="G192" t="n">
        <v>2.7</v>
      </c>
      <c r="H192" t="n">
        <v>0</v>
      </c>
      <c r="I192" t="n">
        <v>1</v>
      </c>
      <c r="J192" t="n">
        <v>1</v>
      </c>
      <c r="K192" t="n">
        <v>0</v>
      </c>
      <c r="L192" t="n">
        <v>0</v>
      </c>
      <c r="M192" t="n">
        <v>0</v>
      </c>
      <c r="N192" t="n">
        <v>0</v>
      </c>
      <c r="O192" t="n">
        <v>1</v>
      </c>
      <c r="P192" t="n">
        <v>0</v>
      </c>
      <c r="Q192" t="n">
        <v>2</v>
      </c>
      <c r="R192" s="2" t="inlineStr">
        <is>
          <t>Lunglav
Skinnlav</t>
        </is>
      </c>
      <c r="S192">
        <f>HYPERLINK("https://klasma.github.io/Logging_2303/artfynd/A 41490-2022 artfynd.xlsx", "A 41490-2022")</f>
        <v/>
      </c>
      <c r="T192">
        <f>HYPERLINK("https://klasma.github.io/Logging_2303/kartor/A 41490-2022 karta.png", "A 41490-2022")</f>
        <v/>
      </c>
      <c r="V192">
        <f>HYPERLINK("https://klasma.github.io/Logging_2303/klagomål/A 41490-2022 FSC-klagomål.docx", "A 41490-2022")</f>
        <v/>
      </c>
      <c r="W192">
        <f>HYPERLINK("https://klasma.github.io/Logging_2303/klagomålsmail/A 41490-2022 FSC-klagomål mail.docx", "A 41490-2022")</f>
        <v/>
      </c>
      <c r="X192">
        <f>HYPERLINK("https://klasma.github.io/Logging_2303/tillsyn/A 41490-2022 tillsynsbegäran.docx", "A 41490-2022")</f>
        <v/>
      </c>
      <c r="Y192">
        <f>HYPERLINK("https://klasma.github.io/Logging_2303/tillsynsmail/A 41490-2022 tillsynsbegäran mail.docx", "A 41490-2022")</f>
        <v/>
      </c>
    </row>
    <row r="193" ht="15" customHeight="1">
      <c r="A193" t="inlineStr">
        <is>
          <t>A 51916-2021</t>
        </is>
      </c>
      <c r="B193" s="1" t="n">
        <v>44462</v>
      </c>
      <c r="C193" s="1" t="n">
        <v>45900</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45900</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45900</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45900</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45900</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45900</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45900</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45900</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58846-2024</t>
        </is>
      </c>
      <c r="B201" s="1" t="n">
        <v>45636.3863425926</v>
      </c>
      <c r="C201" s="1" t="n">
        <v>45900</v>
      </c>
      <c r="D201" t="inlineStr">
        <is>
          <t>JÄMTLANDS LÄN</t>
        </is>
      </c>
      <c r="E201" t="inlineStr">
        <is>
          <t>RAGUNDA</t>
        </is>
      </c>
      <c r="F201" t="inlineStr">
        <is>
          <t>SCA</t>
        </is>
      </c>
      <c r="G201" t="n">
        <v>1.5</v>
      </c>
      <c r="H201" t="n">
        <v>0</v>
      </c>
      <c r="I201" t="n">
        <v>0</v>
      </c>
      <c r="J201" t="n">
        <v>0</v>
      </c>
      <c r="K201" t="n">
        <v>1</v>
      </c>
      <c r="L201" t="n">
        <v>0</v>
      </c>
      <c r="M201" t="n">
        <v>0</v>
      </c>
      <c r="N201" t="n">
        <v>0</v>
      </c>
      <c r="O201" t="n">
        <v>1</v>
      </c>
      <c r="P201" t="n">
        <v>1</v>
      </c>
      <c r="Q201" t="n">
        <v>1</v>
      </c>
      <c r="R201" s="2" t="inlineStr">
        <is>
          <t>Rynkskinn</t>
        </is>
      </c>
      <c r="S201">
        <f>HYPERLINK("https://klasma.github.io/Logging_2303/artfynd/A 58846-2024 artfynd.xlsx", "A 58846-2024")</f>
        <v/>
      </c>
      <c r="T201">
        <f>HYPERLINK("https://klasma.github.io/Logging_2303/kartor/A 58846-2024 karta.png", "A 58846-2024")</f>
        <v/>
      </c>
      <c r="V201">
        <f>HYPERLINK("https://klasma.github.io/Logging_2303/klagomål/A 58846-2024 FSC-klagomål.docx", "A 58846-2024")</f>
        <v/>
      </c>
      <c r="W201">
        <f>HYPERLINK("https://klasma.github.io/Logging_2303/klagomålsmail/A 58846-2024 FSC-klagomål mail.docx", "A 58846-2024")</f>
        <v/>
      </c>
      <c r="X201">
        <f>HYPERLINK("https://klasma.github.io/Logging_2303/tillsyn/A 58846-2024 tillsynsbegäran.docx", "A 58846-2024")</f>
        <v/>
      </c>
      <c r="Y201">
        <f>HYPERLINK("https://klasma.github.io/Logging_2303/tillsynsmail/A 58846-2024 tillsynsbegäran mail.docx", "A 58846-2024")</f>
        <v/>
      </c>
    </row>
    <row r="202" ht="15" customHeight="1">
      <c r="A202" t="inlineStr">
        <is>
          <t>A 26322-2024</t>
        </is>
      </c>
      <c r="B202" s="1" t="n">
        <v>45468.97461805555</v>
      </c>
      <c r="C202" s="1" t="n">
        <v>45900</v>
      </c>
      <c r="D202" t="inlineStr">
        <is>
          <t>JÄMTLANDS LÄN</t>
        </is>
      </c>
      <c r="E202" t="inlineStr">
        <is>
          <t>RAGUNDA</t>
        </is>
      </c>
      <c r="F202" t="inlineStr">
        <is>
          <t>SCA</t>
        </is>
      </c>
      <c r="G202" t="n">
        <v>9.6</v>
      </c>
      <c r="H202" t="n">
        <v>0</v>
      </c>
      <c r="I202" t="n">
        <v>0</v>
      </c>
      <c r="J202" t="n">
        <v>1</v>
      </c>
      <c r="K202" t="n">
        <v>0</v>
      </c>
      <c r="L202" t="n">
        <v>0</v>
      </c>
      <c r="M202" t="n">
        <v>0</v>
      </c>
      <c r="N202" t="n">
        <v>0</v>
      </c>
      <c r="O202" t="n">
        <v>1</v>
      </c>
      <c r="P202" t="n">
        <v>0</v>
      </c>
      <c r="Q202" t="n">
        <v>1</v>
      </c>
      <c r="R202" s="2" t="inlineStr">
        <is>
          <t>Rosenticka</t>
        </is>
      </c>
      <c r="S202">
        <f>HYPERLINK("https://klasma.github.io/Logging_2303/artfynd/A 26322-2024 artfynd.xlsx", "A 26322-2024")</f>
        <v/>
      </c>
      <c r="T202">
        <f>HYPERLINK("https://klasma.github.io/Logging_2303/kartor/A 26322-2024 karta.png", "A 26322-2024")</f>
        <v/>
      </c>
      <c r="U202">
        <f>HYPERLINK("https://klasma.github.io/Logging_2303/knärot/A 26322-2024 karta knärot.png", "A 26322-2024")</f>
        <v/>
      </c>
      <c r="V202">
        <f>HYPERLINK("https://klasma.github.io/Logging_2303/klagomål/A 26322-2024 FSC-klagomål.docx", "A 26322-2024")</f>
        <v/>
      </c>
      <c r="W202">
        <f>HYPERLINK("https://klasma.github.io/Logging_2303/klagomålsmail/A 26322-2024 FSC-klagomål mail.docx", "A 26322-2024")</f>
        <v/>
      </c>
      <c r="X202">
        <f>HYPERLINK("https://klasma.github.io/Logging_2303/tillsyn/A 26322-2024 tillsynsbegäran.docx", "A 26322-2024")</f>
        <v/>
      </c>
      <c r="Y202">
        <f>HYPERLINK("https://klasma.github.io/Logging_2303/tillsynsmail/A 26322-2024 tillsynsbegäran mail.docx", "A 26322-2024")</f>
        <v/>
      </c>
    </row>
    <row r="203" ht="15" customHeight="1">
      <c r="A203" t="inlineStr">
        <is>
          <t>A 16316-2025</t>
        </is>
      </c>
      <c r="B203" s="1" t="n">
        <v>45751.34795138889</v>
      </c>
      <c r="C203" s="1" t="n">
        <v>45900</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19751-2025</t>
        </is>
      </c>
      <c r="B204" s="1" t="n">
        <v>45771.3859837963</v>
      </c>
      <c r="C204" s="1" t="n">
        <v>45900</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1057-2024</t>
        </is>
      </c>
      <c r="B205" s="1" t="n">
        <v>45301</v>
      </c>
      <c r="C205" s="1" t="n">
        <v>45900</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21212-2025</t>
        </is>
      </c>
      <c r="B206" s="1" t="n">
        <v>45779.48993055556</v>
      </c>
      <c r="C206" s="1" t="n">
        <v>45900</v>
      </c>
      <c r="D206" t="inlineStr">
        <is>
          <t>JÄMTLANDS LÄN</t>
        </is>
      </c>
      <c r="E206" t="inlineStr">
        <is>
          <t>RAGUNDA</t>
        </is>
      </c>
      <c r="F206" t="inlineStr">
        <is>
          <t>SCA</t>
        </is>
      </c>
      <c r="G206" t="n">
        <v>2.6</v>
      </c>
      <c r="H206" t="n">
        <v>0</v>
      </c>
      <c r="I206" t="n">
        <v>0</v>
      </c>
      <c r="J206" t="n">
        <v>1</v>
      </c>
      <c r="K206" t="n">
        <v>0</v>
      </c>
      <c r="L206" t="n">
        <v>0</v>
      </c>
      <c r="M206" t="n">
        <v>0</v>
      </c>
      <c r="N206" t="n">
        <v>0</v>
      </c>
      <c r="O206" t="n">
        <v>1</v>
      </c>
      <c r="P206" t="n">
        <v>0</v>
      </c>
      <c r="Q206" t="n">
        <v>1</v>
      </c>
      <c r="R206" s="2" t="inlineStr">
        <is>
          <t>Garnlav</t>
        </is>
      </c>
      <c r="S206">
        <f>HYPERLINK("https://klasma.github.io/Logging_2303/artfynd/A 21212-2025 artfynd.xlsx", "A 21212-2025")</f>
        <v/>
      </c>
      <c r="T206">
        <f>HYPERLINK("https://klasma.github.io/Logging_2303/kartor/A 21212-2025 karta.png", "A 21212-2025")</f>
        <v/>
      </c>
      <c r="V206">
        <f>HYPERLINK("https://klasma.github.io/Logging_2303/klagomål/A 21212-2025 FSC-klagomål.docx", "A 21212-2025")</f>
        <v/>
      </c>
      <c r="W206">
        <f>HYPERLINK("https://klasma.github.io/Logging_2303/klagomålsmail/A 21212-2025 FSC-klagomål mail.docx", "A 21212-2025")</f>
        <v/>
      </c>
      <c r="X206">
        <f>HYPERLINK("https://klasma.github.io/Logging_2303/tillsyn/A 21212-2025 tillsynsbegäran.docx", "A 21212-2025")</f>
        <v/>
      </c>
      <c r="Y206">
        <f>HYPERLINK("https://klasma.github.io/Logging_2303/tillsynsmail/A 21212-2025 tillsynsbegäran mail.docx", "A 21212-2025")</f>
        <v/>
      </c>
    </row>
    <row r="207" ht="15" customHeight="1">
      <c r="A207" t="inlineStr">
        <is>
          <t>A 978-2024</t>
        </is>
      </c>
      <c r="B207" s="1" t="n">
        <v>45301</v>
      </c>
      <c r="C207" s="1" t="n">
        <v>45900</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59104-2023</t>
        </is>
      </c>
      <c r="B208" s="1" t="n">
        <v>45252</v>
      </c>
      <c r="C208" s="1" t="n">
        <v>45900</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36224-2023</t>
        </is>
      </c>
      <c r="B209" s="1" t="n">
        <v>45149</v>
      </c>
      <c r="C209" s="1" t="n">
        <v>45900</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17340-2023</t>
        </is>
      </c>
      <c r="B210" s="1" t="n">
        <v>45033</v>
      </c>
      <c r="C210" s="1" t="n">
        <v>45900</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23930-2024</t>
        </is>
      </c>
      <c r="B211" s="1" t="n">
        <v>45455.96184027778</v>
      </c>
      <c r="C211" s="1" t="n">
        <v>45900</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16724-2025</t>
        </is>
      </c>
      <c r="B212" s="1" t="n">
        <v>45754.51064814815</v>
      </c>
      <c r="C212" s="1" t="n">
        <v>45900</v>
      </c>
      <c r="D212" t="inlineStr">
        <is>
          <t>JÄMTLANDS LÄN</t>
        </is>
      </c>
      <c r="E212" t="inlineStr">
        <is>
          <t>RAGUNDA</t>
        </is>
      </c>
      <c r="G212" t="n">
        <v>3.5</v>
      </c>
      <c r="H212" t="n">
        <v>0</v>
      </c>
      <c r="I212" t="n">
        <v>0</v>
      </c>
      <c r="J212" t="n">
        <v>1</v>
      </c>
      <c r="K212" t="n">
        <v>0</v>
      </c>
      <c r="L212" t="n">
        <v>0</v>
      </c>
      <c r="M212" t="n">
        <v>0</v>
      </c>
      <c r="N212" t="n">
        <v>0</v>
      </c>
      <c r="O212" t="n">
        <v>1</v>
      </c>
      <c r="P212" t="n">
        <v>0</v>
      </c>
      <c r="Q212" t="n">
        <v>1</v>
      </c>
      <c r="R212" s="2" t="inlineStr">
        <is>
          <t>Kolflarnlav</t>
        </is>
      </c>
      <c r="S212">
        <f>HYPERLINK("https://klasma.github.io/Logging_2303/artfynd/A 16724-2025 artfynd.xlsx", "A 16724-2025")</f>
        <v/>
      </c>
      <c r="T212">
        <f>HYPERLINK("https://klasma.github.io/Logging_2303/kartor/A 16724-2025 karta.png", "A 16724-2025")</f>
        <v/>
      </c>
      <c r="V212">
        <f>HYPERLINK("https://klasma.github.io/Logging_2303/klagomål/A 16724-2025 FSC-klagomål.docx", "A 16724-2025")</f>
        <v/>
      </c>
      <c r="W212">
        <f>HYPERLINK("https://klasma.github.io/Logging_2303/klagomålsmail/A 16724-2025 FSC-klagomål mail.docx", "A 16724-2025")</f>
        <v/>
      </c>
      <c r="X212">
        <f>HYPERLINK("https://klasma.github.io/Logging_2303/tillsyn/A 16724-2025 tillsynsbegäran.docx", "A 16724-2025")</f>
        <v/>
      </c>
      <c r="Y212">
        <f>HYPERLINK("https://klasma.github.io/Logging_2303/tillsynsmail/A 16724-2025 tillsynsbegäran mail.docx", "A 16724-2025")</f>
        <v/>
      </c>
    </row>
    <row r="213" ht="15" customHeight="1">
      <c r="A213" t="inlineStr">
        <is>
          <t>A 62072-2023</t>
        </is>
      </c>
      <c r="B213" s="1" t="n">
        <v>45266</v>
      </c>
      <c r="C213" s="1" t="n">
        <v>45900</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6703-2024</t>
        </is>
      </c>
      <c r="B214" s="1" t="n">
        <v>45341</v>
      </c>
      <c r="C214" s="1" t="n">
        <v>45900</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Vitgrynig nållav</t>
        </is>
      </c>
      <c r="S214">
        <f>HYPERLINK("https://klasma.github.io/Logging_2303/artfynd/A 6703-2024 artfynd.xlsx", "A 6703-2024")</f>
        <v/>
      </c>
      <c r="T214">
        <f>HYPERLINK("https://klasma.github.io/Logging_2303/kartor/A 6703-2024 karta.png", "A 6703-2024")</f>
        <v/>
      </c>
      <c r="V214">
        <f>HYPERLINK("https://klasma.github.io/Logging_2303/klagomål/A 6703-2024 FSC-klagomål.docx", "A 6703-2024")</f>
        <v/>
      </c>
      <c r="W214">
        <f>HYPERLINK("https://klasma.github.io/Logging_2303/klagomålsmail/A 6703-2024 FSC-klagomål mail.docx", "A 6703-2024")</f>
        <v/>
      </c>
      <c r="X214">
        <f>HYPERLINK("https://klasma.github.io/Logging_2303/tillsyn/A 6703-2024 tillsynsbegäran.docx", "A 6703-2024")</f>
        <v/>
      </c>
      <c r="Y214">
        <f>HYPERLINK("https://klasma.github.io/Logging_2303/tillsynsmail/A 6703-2024 tillsynsbegäran mail.docx", "A 6703-2024")</f>
        <v/>
      </c>
    </row>
    <row r="215" ht="15" customHeight="1">
      <c r="A215" t="inlineStr">
        <is>
          <t>A 24443-2024</t>
        </is>
      </c>
      <c r="B215" s="1" t="n">
        <v>45457.9640625</v>
      </c>
      <c r="C215" s="1" t="n">
        <v>45900</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25694-2023</t>
        </is>
      </c>
      <c r="B216" s="1" t="n">
        <v>45089</v>
      </c>
      <c r="C216" s="1" t="n">
        <v>45900</v>
      </c>
      <c r="D216" t="inlineStr">
        <is>
          <t>JÄMTLANDS LÄN</t>
        </is>
      </c>
      <c r="E216" t="inlineStr">
        <is>
          <t>RAGUNDA</t>
        </is>
      </c>
      <c r="F216" t="inlineStr">
        <is>
          <t>SCA</t>
        </is>
      </c>
      <c r="G216" t="n">
        <v>1.5</v>
      </c>
      <c r="H216" t="n">
        <v>0</v>
      </c>
      <c r="I216" t="n">
        <v>0</v>
      </c>
      <c r="J216" t="n">
        <v>1</v>
      </c>
      <c r="K216" t="n">
        <v>0</v>
      </c>
      <c r="L216" t="n">
        <v>0</v>
      </c>
      <c r="M216" t="n">
        <v>0</v>
      </c>
      <c r="N216" t="n">
        <v>0</v>
      </c>
      <c r="O216" t="n">
        <v>1</v>
      </c>
      <c r="P216" t="n">
        <v>0</v>
      </c>
      <c r="Q216" t="n">
        <v>1</v>
      </c>
      <c r="R216" s="2" t="inlineStr">
        <is>
          <t>Ullticka</t>
        </is>
      </c>
      <c r="S216">
        <f>HYPERLINK("https://klasma.github.io/Logging_2303/artfynd/A 25694-2023 artfynd.xlsx", "A 25694-2023")</f>
        <v/>
      </c>
      <c r="T216">
        <f>HYPERLINK("https://klasma.github.io/Logging_2303/kartor/A 25694-2023 karta.png", "A 25694-2023")</f>
        <v/>
      </c>
      <c r="V216">
        <f>HYPERLINK("https://klasma.github.io/Logging_2303/klagomål/A 25694-2023 FSC-klagomål.docx", "A 25694-2023")</f>
        <v/>
      </c>
      <c r="W216">
        <f>HYPERLINK("https://klasma.github.io/Logging_2303/klagomålsmail/A 25694-2023 FSC-klagomål mail.docx", "A 25694-2023")</f>
        <v/>
      </c>
      <c r="X216">
        <f>HYPERLINK("https://klasma.github.io/Logging_2303/tillsyn/A 25694-2023 tillsynsbegäran.docx", "A 25694-2023")</f>
        <v/>
      </c>
      <c r="Y216">
        <f>HYPERLINK("https://klasma.github.io/Logging_2303/tillsynsmail/A 25694-2023 tillsynsbegäran mail.docx", "A 25694-2023")</f>
        <v/>
      </c>
    </row>
    <row r="217" ht="15" customHeight="1">
      <c r="A217" t="inlineStr">
        <is>
          <t>A 49770-2024</t>
        </is>
      </c>
      <c r="B217" s="1" t="n">
        <v>45597.34461805555</v>
      </c>
      <c r="C217" s="1" t="n">
        <v>45900</v>
      </c>
      <c r="D217" t="inlineStr">
        <is>
          <t>JÄMTLANDS LÄN</t>
        </is>
      </c>
      <c r="E217" t="inlineStr">
        <is>
          <t>RAGUNDA</t>
        </is>
      </c>
      <c r="F217" t="inlineStr">
        <is>
          <t>Naturvårdsverket</t>
        </is>
      </c>
      <c r="G217" t="n">
        <v>8.9</v>
      </c>
      <c r="H217" t="n">
        <v>1</v>
      </c>
      <c r="I217" t="n">
        <v>0</v>
      </c>
      <c r="J217" t="n">
        <v>0</v>
      </c>
      <c r="K217" t="n">
        <v>1</v>
      </c>
      <c r="L217" t="n">
        <v>0</v>
      </c>
      <c r="M217" t="n">
        <v>0</v>
      </c>
      <c r="N217" t="n">
        <v>0</v>
      </c>
      <c r="O217" t="n">
        <v>1</v>
      </c>
      <c r="P217" t="n">
        <v>1</v>
      </c>
      <c r="Q217" t="n">
        <v>1</v>
      </c>
      <c r="R217" s="2" t="inlineStr">
        <is>
          <t>Doftticka</t>
        </is>
      </c>
      <c r="S217">
        <f>HYPERLINK("https://klasma.github.io/Logging_2303/artfynd/A 49770-2024 artfynd.xlsx", "A 49770-2024")</f>
        <v/>
      </c>
      <c r="T217">
        <f>HYPERLINK("https://klasma.github.io/Logging_2303/kartor/A 49770-2024 karta.png", "A 49770-2024")</f>
        <v/>
      </c>
      <c r="V217">
        <f>HYPERLINK("https://klasma.github.io/Logging_2303/klagomål/A 49770-2024 FSC-klagomål.docx", "A 49770-2024")</f>
        <v/>
      </c>
      <c r="W217">
        <f>HYPERLINK("https://klasma.github.io/Logging_2303/klagomålsmail/A 49770-2024 FSC-klagomål mail.docx", "A 49770-2024")</f>
        <v/>
      </c>
      <c r="X217">
        <f>HYPERLINK("https://klasma.github.io/Logging_2303/tillsyn/A 49770-2024 tillsynsbegäran.docx", "A 49770-2024")</f>
        <v/>
      </c>
      <c r="Y217">
        <f>HYPERLINK("https://klasma.github.io/Logging_2303/tillsynsmail/A 49770-2024 tillsynsbegäran mail.docx", "A 49770-2024")</f>
        <v/>
      </c>
    </row>
    <row r="218" ht="15" customHeight="1">
      <c r="A218" t="inlineStr">
        <is>
          <t>A 48429-2023</t>
        </is>
      </c>
      <c r="B218" s="1" t="n">
        <v>45205</v>
      </c>
      <c r="C218" s="1" t="n">
        <v>45900</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36757-2023</t>
        </is>
      </c>
      <c r="B219" s="1" t="n">
        <v>45153</v>
      </c>
      <c r="C219" s="1" t="n">
        <v>45900</v>
      </c>
      <c r="D219" t="inlineStr">
        <is>
          <t>JÄMTLANDS LÄN</t>
        </is>
      </c>
      <c r="E219" t="inlineStr">
        <is>
          <t>RAGUNDA</t>
        </is>
      </c>
      <c r="G219" t="n">
        <v>0.7</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36757-2023 artfynd.xlsx", "A 36757-2023")</f>
        <v/>
      </c>
      <c r="T219">
        <f>HYPERLINK("https://klasma.github.io/Logging_2303/kartor/A 36757-2023 karta.png", "A 36757-2023")</f>
        <v/>
      </c>
      <c r="V219">
        <f>HYPERLINK("https://klasma.github.io/Logging_2303/klagomål/A 36757-2023 FSC-klagomål.docx", "A 36757-2023")</f>
        <v/>
      </c>
      <c r="W219">
        <f>HYPERLINK("https://klasma.github.io/Logging_2303/klagomålsmail/A 36757-2023 FSC-klagomål mail.docx", "A 36757-2023")</f>
        <v/>
      </c>
      <c r="X219">
        <f>HYPERLINK("https://klasma.github.io/Logging_2303/tillsyn/A 36757-2023 tillsynsbegäran.docx", "A 36757-2023")</f>
        <v/>
      </c>
      <c r="Y219">
        <f>HYPERLINK("https://klasma.github.io/Logging_2303/tillsynsmail/A 36757-2023 tillsynsbegäran mail.docx", "A 36757-2023")</f>
        <v/>
      </c>
      <c r="Z219">
        <f>HYPERLINK("https://klasma.github.io/Logging_2303/fåglar/A 36757-2023 prioriterade fågelarter.docx", "A 36757-2023")</f>
        <v/>
      </c>
    </row>
    <row r="220" ht="15" customHeight="1">
      <c r="A220" t="inlineStr">
        <is>
          <t>A 11040-2023</t>
        </is>
      </c>
      <c r="B220" s="1" t="n">
        <v>44991</v>
      </c>
      <c r="C220" s="1" t="n">
        <v>45900</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45900</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43404-2023</t>
        </is>
      </c>
      <c r="B222" s="1" t="n">
        <v>45183</v>
      </c>
      <c r="C222" s="1" t="n">
        <v>45900</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49091-2022</t>
        </is>
      </c>
      <c r="B223" s="1" t="n">
        <v>44860</v>
      </c>
      <c r="C223" s="1" t="n">
        <v>45900</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30390-2025</t>
        </is>
      </c>
      <c r="B224" s="1" t="n">
        <v>45827.57371527778</v>
      </c>
      <c r="C224" s="1" t="n">
        <v>45900</v>
      </c>
      <c r="D224" t="inlineStr">
        <is>
          <t>JÄMTLANDS LÄN</t>
        </is>
      </c>
      <c r="E224" t="inlineStr">
        <is>
          <t>RAGUNDA</t>
        </is>
      </c>
      <c r="F224" t="inlineStr">
        <is>
          <t>SCA</t>
        </is>
      </c>
      <c r="G224" t="n">
        <v>11.2</v>
      </c>
      <c r="H224" t="n">
        <v>0</v>
      </c>
      <c r="I224" t="n">
        <v>0</v>
      </c>
      <c r="J224" t="n">
        <v>1</v>
      </c>
      <c r="K224" t="n">
        <v>0</v>
      </c>
      <c r="L224" t="n">
        <v>0</v>
      </c>
      <c r="M224" t="n">
        <v>0</v>
      </c>
      <c r="N224" t="n">
        <v>0</v>
      </c>
      <c r="O224" t="n">
        <v>1</v>
      </c>
      <c r="P224" t="n">
        <v>0</v>
      </c>
      <c r="Q224" t="n">
        <v>1</v>
      </c>
      <c r="R224" s="2" t="inlineStr">
        <is>
          <t>Lunglav</t>
        </is>
      </c>
      <c r="S224">
        <f>HYPERLINK("https://klasma.github.io/Logging_2303/artfynd/A 30390-2025 artfynd.xlsx", "A 30390-2025")</f>
        <v/>
      </c>
      <c r="T224">
        <f>HYPERLINK("https://klasma.github.io/Logging_2303/kartor/A 30390-2025 karta.png", "A 30390-2025")</f>
        <v/>
      </c>
      <c r="U224">
        <f>HYPERLINK("https://klasma.github.io/Logging_2303/knärot/A 30390-2025 karta knärot.png", "A 30390-2025")</f>
        <v/>
      </c>
      <c r="V224">
        <f>HYPERLINK("https://klasma.github.io/Logging_2303/klagomål/A 30390-2025 FSC-klagomål.docx", "A 30390-2025")</f>
        <v/>
      </c>
      <c r="W224">
        <f>HYPERLINK("https://klasma.github.io/Logging_2303/klagomålsmail/A 30390-2025 FSC-klagomål mail.docx", "A 30390-2025")</f>
        <v/>
      </c>
      <c r="X224">
        <f>HYPERLINK("https://klasma.github.io/Logging_2303/tillsyn/A 30390-2025 tillsynsbegäran.docx", "A 30390-2025")</f>
        <v/>
      </c>
      <c r="Y224">
        <f>HYPERLINK("https://klasma.github.io/Logging_2303/tillsynsmail/A 30390-2025 tillsynsbegäran mail.docx", "A 30390-2025")</f>
        <v/>
      </c>
    </row>
    <row r="225" ht="15" customHeight="1">
      <c r="A225" t="inlineStr">
        <is>
          <t>A 61324-2024</t>
        </is>
      </c>
      <c r="B225" s="1" t="n">
        <v>45646.34438657408</v>
      </c>
      <c r="C225" s="1" t="n">
        <v>45900</v>
      </c>
      <c r="D225" t="inlineStr">
        <is>
          <t>JÄMTLANDS LÄN</t>
        </is>
      </c>
      <c r="E225" t="inlineStr">
        <is>
          <t>RAGUNDA</t>
        </is>
      </c>
      <c r="F225" t="inlineStr">
        <is>
          <t>SCA</t>
        </is>
      </c>
      <c r="G225" t="n">
        <v>11.2</v>
      </c>
      <c r="H225" t="n">
        <v>1</v>
      </c>
      <c r="I225" t="n">
        <v>0</v>
      </c>
      <c r="J225" t="n">
        <v>0</v>
      </c>
      <c r="K225" t="n">
        <v>0</v>
      </c>
      <c r="L225" t="n">
        <v>0</v>
      </c>
      <c r="M225" t="n">
        <v>0</v>
      </c>
      <c r="N225" t="n">
        <v>0</v>
      </c>
      <c r="O225" t="n">
        <v>0</v>
      </c>
      <c r="P225" t="n">
        <v>0</v>
      </c>
      <c r="Q225" t="n">
        <v>1</v>
      </c>
      <c r="R225" s="2" t="inlineStr">
        <is>
          <t>Trana</t>
        </is>
      </c>
      <c r="S225">
        <f>HYPERLINK("https://klasma.github.io/Logging_2303/artfynd/A 61324-2024 artfynd.xlsx", "A 61324-2024")</f>
        <v/>
      </c>
      <c r="T225">
        <f>HYPERLINK("https://klasma.github.io/Logging_2303/kartor/A 61324-2024 karta.png", "A 61324-2024")</f>
        <v/>
      </c>
      <c r="V225">
        <f>HYPERLINK("https://klasma.github.io/Logging_2303/klagomål/A 61324-2024 FSC-klagomål.docx", "A 61324-2024")</f>
        <v/>
      </c>
      <c r="W225">
        <f>HYPERLINK("https://klasma.github.io/Logging_2303/klagomålsmail/A 61324-2024 FSC-klagomål mail.docx", "A 61324-2024")</f>
        <v/>
      </c>
      <c r="X225">
        <f>HYPERLINK("https://klasma.github.io/Logging_2303/tillsyn/A 61324-2024 tillsynsbegäran.docx", "A 61324-2024")</f>
        <v/>
      </c>
      <c r="Y225">
        <f>HYPERLINK("https://klasma.github.io/Logging_2303/tillsynsmail/A 61324-2024 tillsynsbegäran mail.docx", "A 61324-2024")</f>
        <v/>
      </c>
      <c r="Z225">
        <f>HYPERLINK("https://klasma.github.io/Logging_2303/fåglar/A 61324-2024 prioriterade fågelarter.docx", "A 61324-2024")</f>
        <v/>
      </c>
    </row>
    <row r="226" ht="15" customHeight="1">
      <c r="A226" t="inlineStr">
        <is>
          <t>A 22054-2025</t>
        </is>
      </c>
      <c r="B226" s="1" t="n">
        <v>45785.36525462963</v>
      </c>
      <c r="C226" s="1" t="n">
        <v>45900</v>
      </c>
      <c r="D226" t="inlineStr">
        <is>
          <t>JÄMTLANDS LÄN</t>
        </is>
      </c>
      <c r="E226" t="inlineStr">
        <is>
          <t>RAGUNDA</t>
        </is>
      </c>
      <c r="F226" t="inlineStr">
        <is>
          <t>SCA</t>
        </is>
      </c>
      <c r="G226" t="n">
        <v>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22054-2025 artfynd.xlsx", "A 22054-2025")</f>
        <v/>
      </c>
      <c r="T226">
        <f>HYPERLINK("https://klasma.github.io/Logging_2303/kartor/A 22054-2025 karta.png", "A 22054-2025")</f>
        <v/>
      </c>
      <c r="V226">
        <f>HYPERLINK("https://klasma.github.io/Logging_2303/klagomål/A 22054-2025 FSC-klagomål.docx", "A 22054-2025")</f>
        <v/>
      </c>
      <c r="W226">
        <f>HYPERLINK("https://klasma.github.io/Logging_2303/klagomålsmail/A 22054-2025 FSC-klagomål mail.docx", "A 22054-2025")</f>
        <v/>
      </c>
      <c r="X226">
        <f>HYPERLINK("https://klasma.github.io/Logging_2303/tillsyn/A 22054-2025 tillsynsbegäran.docx", "A 22054-2025")</f>
        <v/>
      </c>
      <c r="Y226">
        <f>HYPERLINK("https://klasma.github.io/Logging_2303/tillsynsmail/A 22054-2025 tillsynsbegäran mail.docx", "A 22054-2025")</f>
        <v/>
      </c>
      <c r="Z226">
        <f>HYPERLINK("https://klasma.github.io/Logging_2303/fåglar/A 22054-2025 prioriterade fågelarter.docx", "A 22054-2025")</f>
        <v/>
      </c>
    </row>
    <row r="227" ht="15" customHeight="1">
      <c r="A227" t="inlineStr">
        <is>
          <t>A 32445-2025</t>
        </is>
      </c>
      <c r="B227" s="1" t="n">
        <v>45838.38627314815</v>
      </c>
      <c r="C227" s="1" t="n">
        <v>45900</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32445-2025 artfynd.xlsx", "A 32445-2025")</f>
        <v/>
      </c>
      <c r="T227">
        <f>HYPERLINK("https://klasma.github.io/Logging_2303/kartor/A 32445-2025 karta.png", "A 32445-2025")</f>
        <v/>
      </c>
      <c r="V227">
        <f>HYPERLINK("https://klasma.github.io/Logging_2303/klagomål/A 32445-2025 FSC-klagomål.docx", "A 32445-2025")</f>
        <v/>
      </c>
      <c r="W227">
        <f>HYPERLINK("https://klasma.github.io/Logging_2303/klagomålsmail/A 32445-2025 FSC-klagomål mail.docx", "A 32445-2025")</f>
        <v/>
      </c>
      <c r="X227">
        <f>HYPERLINK("https://klasma.github.io/Logging_2303/tillsyn/A 32445-2025 tillsynsbegäran.docx", "A 32445-2025")</f>
        <v/>
      </c>
      <c r="Y227">
        <f>HYPERLINK("https://klasma.github.io/Logging_2303/tillsynsmail/A 32445-2025 tillsynsbegäran mail.docx", "A 32445-2025")</f>
        <v/>
      </c>
      <c r="Z227">
        <f>HYPERLINK("https://klasma.github.io/Logging_2303/fåglar/A 32445-2025 prioriterade fågelarter.docx", "A 32445-2025")</f>
        <v/>
      </c>
    </row>
    <row r="228" ht="15" customHeight="1">
      <c r="A228" t="inlineStr">
        <is>
          <t>A 19387-2025</t>
        </is>
      </c>
      <c r="B228" s="1" t="n">
        <v>45769.65736111111</v>
      </c>
      <c r="C228" s="1" t="n">
        <v>45900</v>
      </c>
      <c r="D228" t="inlineStr">
        <is>
          <t>JÄMTLANDS LÄN</t>
        </is>
      </c>
      <c r="E228" t="inlineStr">
        <is>
          <t>RAGUNDA</t>
        </is>
      </c>
      <c r="F228" t="inlineStr">
        <is>
          <t>SCA</t>
        </is>
      </c>
      <c r="G228" t="n">
        <v>16.4</v>
      </c>
      <c r="H228" t="n">
        <v>1</v>
      </c>
      <c r="I228" t="n">
        <v>0</v>
      </c>
      <c r="J228" t="n">
        <v>0</v>
      </c>
      <c r="K228" t="n">
        <v>1</v>
      </c>
      <c r="L228" t="n">
        <v>0</v>
      </c>
      <c r="M228" t="n">
        <v>0</v>
      </c>
      <c r="N228" t="n">
        <v>0</v>
      </c>
      <c r="O228" t="n">
        <v>1</v>
      </c>
      <c r="P228" t="n">
        <v>1</v>
      </c>
      <c r="Q228" t="n">
        <v>1</v>
      </c>
      <c r="R228" s="2" t="inlineStr">
        <is>
          <t>Norna</t>
        </is>
      </c>
      <c r="S228">
        <f>HYPERLINK("https://klasma.github.io/Logging_2303/artfynd/A 19387-2025 artfynd.xlsx", "A 19387-2025")</f>
        <v/>
      </c>
      <c r="T228">
        <f>HYPERLINK("https://klasma.github.io/Logging_2303/kartor/A 19387-2025 karta.png", "A 19387-2025")</f>
        <v/>
      </c>
      <c r="V228">
        <f>HYPERLINK("https://klasma.github.io/Logging_2303/klagomål/A 19387-2025 FSC-klagomål.docx", "A 19387-2025")</f>
        <v/>
      </c>
      <c r="W228">
        <f>HYPERLINK("https://klasma.github.io/Logging_2303/klagomålsmail/A 19387-2025 FSC-klagomål mail.docx", "A 19387-2025")</f>
        <v/>
      </c>
      <c r="X228">
        <f>HYPERLINK("https://klasma.github.io/Logging_2303/tillsyn/A 19387-2025 tillsynsbegäran.docx", "A 19387-2025")</f>
        <v/>
      </c>
      <c r="Y228">
        <f>HYPERLINK("https://klasma.github.io/Logging_2303/tillsynsmail/A 19387-2025 tillsynsbegäran mail.docx", "A 19387-2025")</f>
        <v/>
      </c>
    </row>
    <row r="229" ht="15" customHeight="1">
      <c r="A229" t="inlineStr">
        <is>
          <t>A 20575-2025</t>
        </is>
      </c>
      <c r="B229" s="1" t="n">
        <v>45775.67769675926</v>
      </c>
      <c r="C229" s="1" t="n">
        <v>45900</v>
      </c>
      <c r="D229" t="inlineStr">
        <is>
          <t>JÄMTLANDS LÄN</t>
        </is>
      </c>
      <c r="E229" t="inlineStr">
        <is>
          <t>RAGUNDA</t>
        </is>
      </c>
      <c r="F229" t="inlineStr">
        <is>
          <t>SCA</t>
        </is>
      </c>
      <c r="G229" t="n">
        <v>8.1</v>
      </c>
      <c r="H229" t="n">
        <v>1</v>
      </c>
      <c r="I229" t="n">
        <v>0</v>
      </c>
      <c r="J229" t="n">
        <v>1</v>
      </c>
      <c r="K229" t="n">
        <v>0</v>
      </c>
      <c r="L229" t="n">
        <v>0</v>
      </c>
      <c r="M229" t="n">
        <v>0</v>
      </c>
      <c r="N229" t="n">
        <v>0</v>
      </c>
      <c r="O229" t="n">
        <v>1</v>
      </c>
      <c r="P229" t="n">
        <v>0</v>
      </c>
      <c r="Q229" t="n">
        <v>1</v>
      </c>
      <c r="R229" s="2" t="inlineStr">
        <is>
          <t>Skogsfru</t>
        </is>
      </c>
      <c r="S229">
        <f>HYPERLINK("https://klasma.github.io/Logging_2303/artfynd/A 20575-2025 artfynd.xlsx", "A 20575-2025")</f>
        <v/>
      </c>
      <c r="T229">
        <f>HYPERLINK("https://klasma.github.io/Logging_2303/kartor/A 20575-2025 karta.png", "A 20575-2025")</f>
        <v/>
      </c>
      <c r="V229">
        <f>HYPERLINK("https://klasma.github.io/Logging_2303/klagomål/A 20575-2025 FSC-klagomål.docx", "A 20575-2025")</f>
        <v/>
      </c>
      <c r="W229">
        <f>HYPERLINK("https://klasma.github.io/Logging_2303/klagomålsmail/A 20575-2025 FSC-klagomål mail.docx", "A 20575-2025")</f>
        <v/>
      </c>
      <c r="X229">
        <f>HYPERLINK("https://klasma.github.io/Logging_2303/tillsyn/A 20575-2025 tillsynsbegäran.docx", "A 20575-2025")</f>
        <v/>
      </c>
      <c r="Y229">
        <f>HYPERLINK("https://klasma.github.io/Logging_2303/tillsynsmail/A 20575-2025 tillsynsbegäran mail.docx", "A 20575-2025")</f>
        <v/>
      </c>
    </row>
    <row r="230" ht="15" customHeight="1">
      <c r="A230" t="inlineStr">
        <is>
          <t>A 19728-2025</t>
        </is>
      </c>
      <c r="B230" s="1" t="n">
        <v>45771.36548611111</v>
      </c>
      <c r="C230" s="1" t="n">
        <v>45900</v>
      </c>
      <c r="D230" t="inlineStr">
        <is>
          <t>JÄMTLANDS LÄN</t>
        </is>
      </c>
      <c r="E230" t="inlineStr">
        <is>
          <t>RAGUNDA</t>
        </is>
      </c>
      <c r="F230" t="inlineStr">
        <is>
          <t>SCA</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19728-2025 artfynd.xlsx", "A 19728-2025")</f>
        <v/>
      </c>
      <c r="T230">
        <f>HYPERLINK("https://klasma.github.io/Logging_2303/kartor/A 19728-2025 karta.png", "A 19728-2025")</f>
        <v/>
      </c>
      <c r="V230">
        <f>HYPERLINK("https://klasma.github.io/Logging_2303/klagomål/A 19728-2025 FSC-klagomål.docx", "A 19728-2025")</f>
        <v/>
      </c>
      <c r="W230">
        <f>HYPERLINK("https://klasma.github.io/Logging_2303/klagomålsmail/A 19728-2025 FSC-klagomål mail.docx", "A 19728-2025")</f>
        <v/>
      </c>
      <c r="X230">
        <f>HYPERLINK("https://klasma.github.io/Logging_2303/tillsyn/A 19728-2025 tillsynsbegäran.docx", "A 19728-2025")</f>
        <v/>
      </c>
      <c r="Y230">
        <f>HYPERLINK("https://klasma.github.io/Logging_2303/tillsynsmail/A 19728-2025 tillsynsbegäran mail.docx", "A 19728-2025")</f>
        <v/>
      </c>
      <c r="Z230">
        <f>HYPERLINK("https://klasma.github.io/Logging_2303/fåglar/A 19728-2025 prioriterade fågelarter.docx", "A 19728-2025")</f>
        <v/>
      </c>
    </row>
    <row r="231" ht="15" customHeight="1">
      <c r="A231" t="inlineStr">
        <is>
          <t>A 20774-2024</t>
        </is>
      </c>
      <c r="B231" s="1" t="n">
        <v>45436.94644675926</v>
      </c>
      <c r="C231" s="1" t="n">
        <v>45900</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34474-2025</t>
        </is>
      </c>
      <c r="B232" s="1" t="n">
        <v>45847.36528935185</v>
      </c>
      <c r="C232" s="1" t="n">
        <v>45900</v>
      </c>
      <c r="D232" t="inlineStr">
        <is>
          <t>JÄMTLANDS LÄN</t>
        </is>
      </c>
      <c r="E232" t="inlineStr">
        <is>
          <t>RAGUNDA</t>
        </is>
      </c>
      <c r="F232" t="inlineStr">
        <is>
          <t>SCA</t>
        </is>
      </c>
      <c r="G232" t="n">
        <v>9.699999999999999</v>
      </c>
      <c r="H232" t="n">
        <v>1</v>
      </c>
      <c r="I232" t="n">
        <v>0</v>
      </c>
      <c r="J232" t="n">
        <v>1</v>
      </c>
      <c r="K232" t="n">
        <v>0</v>
      </c>
      <c r="L232" t="n">
        <v>0</v>
      </c>
      <c r="M232" t="n">
        <v>0</v>
      </c>
      <c r="N232" t="n">
        <v>0</v>
      </c>
      <c r="O232" t="n">
        <v>1</v>
      </c>
      <c r="P232" t="n">
        <v>0</v>
      </c>
      <c r="Q232" t="n">
        <v>1</v>
      </c>
      <c r="R232" s="2" t="inlineStr">
        <is>
          <t>Fjällvråk</t>
        </is>
      </c>
      <c r="S232">
        <f>HYPERLINK("https://klasma.github.io/Logging_2303/artfynd/A 34474-2025 artfynd.xlsx", "A 34474-2025")</f>
        <v/>
      </c>
      <c r="T232">
        <f>HYPERLINK("https://klasma.github.io/Logging_2303/kartor/A 34474-2025 karta.png", "A 34474-2025")</f>
        <v/>
      </c>
      <c r="V232">
        <f>HYPERLINK("https://klasma.github.io/Logging_2303/klagomål/A 34474-2025 FSC-klagomål.docx", "A 34474-2025")</f>
        <v/>
      </c>
      <c r="W232">
        <f>HYPERLINK("https://klasma.github.io/Logging_2303/klagomålsmail/A 34474-2025 FSC-klagomål mail.docx", "A 34474-2025")</f>
        <v/>
      </c>
      <c r="X232">
        <f>HYPERLINK("https://klasma.github.io/Logging_2303/tillsyn/A 34474-2025 tillsynsbegäran.docx", "A 34474-2025")</f>
        <v/>
      </c>
      <c r="Y232">
        <f>HYPERLINK("https://klasma.github.io/Logging_2303/tillsynsmail/A 34474-2025 tillsynsbegäran mail.docx", "A 34474-2025")</f>
        <v/>
      </c>
      <c r="Z232">
        <f>HYPERLINK("https://klasma.github.io/Logging_2303/fåglar/A 34474-2025 prioriterade fågelarter.docx", "A 34474-2025")</f>
        <v/>
      </c>
    </row>
    <row r="233" ht="15" customHeight="1">
      <c r="A233" t="inlineStr">
        <is>
          <t>A 52898-2020</t>
        </is>
      </c>
      <c r="B233" s="1" t="n">
        <v>44119</v>
      </c>
      <c r="C233" s="1" t="n">
        <v>45900</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36854-2023</t>
        </is>
      </c>
      <c r="B234" s="1" t="n">
        <v>45153</v>
      </c>
      <c r="C234" s="1" t="n">
        <v>45900</v>
      </c>
      <c r="D234" t="inlineStr">
        <is>
          <t>JÄMTLANDS LÄN</t>
        </is>
      </c>
      <c r="E234" t="inlineStr">
        <is>
          <t>RAGUNDA</t>
        </is>
      </c>
      <c r="G234" t="n">
        <v>4</v>
      </c>
      <c r="H234" t="n">
        <v>1</v>
      </c>
      <c r="I234" t="n">
        <v>0</v>
      </c>
      <c r="J234" t="n">
        <v>1</v>
      </c>
      <c r="K234" t="n">
        <v>0</v>
      </c>
      <c r="L234" t="n">
        <v>0</v>
      </c>
      <c r="M234" t="n">
        <v>0</v>
      </c>
      <c r="N234" t="n">
        <v>0</v>
      </c>
      <c r="O234" t="n">
        <v>1</v>
      </c>
      <c r="P234" t="n">
        <v>0</v>
      </c>
      <c r="Q234" t="n">
        <v>1</v>
      </c>
      <c r="R234" s="2" t="inlineStr">
        <is>
          <t>Talltita</t>
        </is>
      </c>
      <c r="S234">
        <f>HYPERLINK("https://klasma.github.io/Logging_2303/artfynd/A 36854-2023 artfynd.xlsx", "A 36854-2023")</f>
        <v/>
      </c>
      <c r="T234">
        <f>HYPERLINK("https://klasma.github.io/Logging_2303/kartor/A 36854-2023 karta.png", "A 36854-2023")</f>
        <v/>
      </c>
      <c r="V234">
        <f>HYPERLINK("https://klasma.github.io/Logging_2303/klagomål/A 36854-2023 FSC-klagomål.docx", "A 36854-2023")</f>
        <v/>
      </c>
      <c r="W234">
        <f>HYPERLINK("https://klasma.github.io/Logging_2303/klagomålsmail/A 36854-2023 FSC-klagomål mail.docx", "A 36854-2023")</f>
        <v/>
      </c>
      <c r="X234">
        <f>HYPERLINK("https://klasma.github.io/Logging_2303/tillsyn/A 36854-2023 tillsynsbegäran.docx", "A 36854-2023")</f>
        <v/>
      </c>
      <c r="Y234">
        <f>HYPERLINK("https://klasma.github.io/Logging_2303/tillsynsmail/A 36854-2023 tillsynsbegäran mail.docx", "A 36854-2023")</f>
        <v/>
      </c>
      <c r="Z234">
        <f>HYPERLINK("https://klasma.github.io/Logging_2303/fåglar/A 36854-2023 prioriterade fågelarter.docx", "A 36854-2023")</f>
        <v/>
      </c>
    </row>
    <row r="235" ht="15" customHeight="1">
      <c r="A235" t="inlineStr">
        <is>
          <t>A 36975-2023</t>
        </is>
      </c>
      <c r="B235" s="1" t="n">
        <v>45154</v>
      </c>
      <c r="C235" s="1" t="n">
        <v>45900</v>
      </c>
      <c r="D235" t="inlineStr">
        <is>
          <t>JÄMTLANDS LÄN</t>
        </is>
      </c>
      <c r="E235" t="inlineStr">
        <is>
          <t>RAGUNDA</t>
        </is>
      </c>
      <c r="F235" t="inlineStr">
        <is>
          <t>SCA</t>
        </is>
      </c>
      <c r="G235" t="n">
        <v>3.8</v>
      </c>
      <c r="H235" t="n">
        <v>0</v>
      </c>
      <c r="I235" t="n">
        <v>0</v>
      </c>
      <c r="J235" t="n">
        <v>0</v>
      </c>
      <c r="K235" t="n">
        <v>1</v>
      </c>
      <c r="L235" t="n">
        <v>0</v>
      </c>
      <c r="M235" t="n">
        <v>0</v>
      </c>
      <c r="N235" t="n">
        <v>0</v>
      </c>
      <c r="O235" t="n">
        <v>1</v>
      </c>
      <c r="P235" t="n">
        <v>1</v>
      </c>
      <c r="Q235" t="n">
        <v>1</v>
      </c>
      <c r="R235" s="2" t="inlineStr">
        <is>
          <t>Gräddporing</t>
        </is>
      </c>
      <c r="S235">
        <f>HYPERLINK("https://klasma.github.io/Logging_2303/artfynd/A 36975-2023 artfynd.xlsx", "A 36975-2023")</f>
        <v/>
      </c>
      <c r="T235">
        <f>HYPERLINK("https://klasma.github.io/Logging_2303/kartor/A 36975-2023 karta.png", "A 36975-2023")</f>
        <v/>
      </c>
      <c r="V235">
        <f>HYPERLINK("https://klasma.github.io/Logging_2303/klagomål/A 36975-2023 FSC-klagomål.docx", "A 36975-2023")</f>
        <v/>
      </c>
      <c r="W235">
        <f>HYPERLINK("https://klasma.github.io/Logging_2303/klagomålsmail/A 36975-2023 FSC-klagomål mail.docx", "A 36975-2023")</f>
        <v/>
      </c>
      <c r="X235">
        <f>HYPERLINK("https://klasma.github.io/Logging_2303/tillsyn/A 36975-2023 tillsynsbegäran.docx", "A 36975-2023")</f>
        <v/>
      </c>
      <c r="Y235">
        <f>HYPERLINK("https://klasma.github.io/Logging_2303/tillsynsmail/A 36975-2023 tillsynsbegäran mail.docx", "A 36975-2023")</f>
        <v/>
      </c>
    </row>
    <row r="236" ht="15" customHeight="1">
      <c r="A236" t="inlineStr">
        <is>
          <t>A 35750-2023</t>
        </is>
      </c>
      <c r="B236" s="1" t="n">
        <v>45147</v>
      </c>
      <c r="C236" s="1" t="n">
        <v>45900</v>
      </c>
      <c r="D236" t="inlineStr">
        <is>
          <t>JÄMTLANDS LÄN</t>
        </is>
      </c>
      <c r="E236" t="inlineStr">
        <is>
          <t>RAGUNDA</t>
        </is>
      </c>
      <c r="F236" t="inlineStr">
        <is>
          <t>SCA</t>
        </is>
      </c>
      <c r="G236" t="n">
        <v>4.8</v>
      </c>
      <c r="H236" t="n">
        <v>0</v>
      </c>
      <c r="I236" t="n">
        <v>0</v>
      </c>
      <c r="J236" t="n">
        <v>1</v>
      </c>
      <c r="K236" t="n">
        <v>0</v>
      </c>
      <c r="L236" t="n">
        <v>0</v>
      </c>
      <c r="M236" t="n">
        <v>0</v>
      </c>
      <c r="N236" t="n">
        <v>0</v>
      </c>
      <c r="O236" t="n">
        <v>1</v>
      </c>
      <c r="P236" t="n">
        <v>0</v>
      </c>
      <c r="Q236" t="n">
        <v>1</v>
      </c>
      <c r="R236" s="2" t="inlineStr">
        <is>
          <t>Grantaggsvamp</t>
        </is>
      </c>
      <c r="S236">
        <f>HYPERLINK("https://klasma.github.io/Logging_2303/artfynd/A 35750-2023 artfynd.xlsx", "A 35750-2023")</f>
        <v/>
      </c>
      <c r="T236">
        <f>HYPERLINK("https://klasma.github.io/Logging_2303/kartor/A 35750-2023 karta.png", "A 35750-2023")</f>
        <v/>
      </c>
      <c r="V236">
        <f>HYPERLINK("https://klasma.github.io/Logging_2303/klagomål/A 35750-2023 FSC-klagomål.docx", "A 35750-2023")</f>
        <v/>
      </c>
      <c r="W236">
        <f>HYPERLINK("https://klasma.github.io/Logging_2303/klagomålsmail/A 35750-2023 FSC-klagomål mail.docx", "A 35750-2023")</f>
        <v/>
      </c>
      <c r="X236">
        <f>HYPERLINK("https://klasma.github.io/Logging_2303/tillsyn/A 35750-2023 tillsynsbegäran.docx", "A 35750-2023")</f>
        <v/>
      </c>
      <c r="Y236">
        <f>HYPERLINK("https://klasma.github.io/Logging_2303/tillsynsmail/A 35750-2023 tillsynsbegäran mail.docx", "A 35750-2023")</f>
        <v/>
      </c>
    </row>
    <row r="237" ht="15" customHeight="1">
      <c r="A237" t="inlineStr">
        <is>
          <t>A 26317-2024</t>
        </is>
      </c>
      <c r="B237" s="1" t="n">
        <v>45468</v>
      </c>
      <c r="C237" s="1" t="n">
        <v>45900</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10884-2025</t>
        </is>
      </c>
      <c r="B238" s="1" t="n">
        <v>45722.65670138889</v>
      </c>
      <c r="C238" s="1" t="n">
        <v>45900</v>
      </c>
      <c r="D238" t="inlineStr">
        <is>
          <t>JÄMTLANDS LÄN</t>
        </is>
      </c>
      <c r="E238" t="inlineStr">
        <is>
          <t>RAGUNDA</t>
        </is>
      </c>
      <c r="F238" t="inlineStr">
        <is>
          <t>SCA</t>
        </is>
      </c>
      <c r="G238" t="n">
        <v>5.4</v>
      </c>
      <c r="H238" t="n">
        <v>0</v>
      </c>
      <c r="I238" t="n">
        <v>1</v>
      </c>
      <c r="J238" t="n">
        <v>0</v>
      </c>
      <c r="K238" t="n">
        <v>0</v>
      </c>
      <c r="L238" t="n">
        <v>0</v>
      </c>
      <c r="M238" t="n">
        <v>0</v>
      </c>
      <c r="N238" t="n">
        <v>0</v>
      </c>
      <c r="O238" t="n">
        <v>0</v>
      </c>
      <c r="P238" t="n">
        <v>0</v>
      </c>
      <c r="Q238" t="n">
        <v>1</v>
      </c>
      <c r="R238" s="2" t="inlineStr">
        <is>
          <t>Dropptaggsvamp</t>
        </is>
      </c>
      <c r="S238">
        <f>HYPERLINK("https://klasma.github.io/Logging_2303/artfynd/A 10884-2025 artfynd.xlsx", "A 10884-2025")</f>
        <v/>
      </c>
      <c r="T238">
        <f>HYPERLINK("https://klasma.github.io/Logging_2303/kartor/A 10884-2025 karta.png", "A 10884-2025")</f>
        <v/>
      </c>
      <c r="V238">
        <f>HYPERLINK("https://klasma.github.io/Logging_2303/klagomål/A 10884-2025 FSC-klagomål.docx", "A 10884-2025")</f>
        <v/>
      </c>
      <c r="W238">
        <f>HYPERLINK("https://klasma.github.io/Logging_2303/klagomålsmail/A 10884-2025 FSC-klagomål mail.docx", "A 10884-2025")</f>
        <v/>
      </c>
      <c r="X238">
        <f>HYPERLINK("https://klasma.github.io/Logging_2303/tillsyn/A 10884-2025 tillsynsbegäran.docx", "A 10884-2025")</f>
        <v/>
      </c>
      <c r="Y238">
        <f>HYPERLINK("https://klasma.github.io/Logging_2303/tillsynsmail/A 10884-2025 tillsynsbegäran mail.docx", "A 10884-2025")</f>
        <v/>
      </c>
    </row>
    <row r="239" ht="15" customHeight="1">
      <c r="A239" t="inlineStr">
        <is>
          <t>A 29921-2024</t>
        </is>
      </c>
      <c r="B239" s="1" t="n">
        <v>45487.92863425926</v>
      </c>
      <c r="C239" s="1" t="n">
        <v>45900</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40841-2025</t>
        </is>
      </c>
      <c r="B240" s="1" t="n">
        <v>45897.531875</v>
      </c>
      <c r="C240" s="1" t="n">
        <v>45900</v>
      </c>
      <c r="D240" t="inlineStr">
        <is>
          <t>JÄMTLANDS LÄN</t>
        </is>
      </c>
      <c r="E240" t="inlineStr">
        <is>
          <t>RAGUNDA</t>
        </is>
      </c>
      <c r="F240" t="inlineStr">
        <is>
          <t>SCA</t>
        </is>
      </c>
      <c r="G240" t="n">
        <v>1.1</v>
      </c>
      <c r="H240" t="n">
        <v>0</v>
      </c>
      <c r="I240" t="n">
        <v>0</v>
      </c>
      <c r="J240" t="n">
        <v>1</v>
      </c>
      <c r="K240" t="n">
        <v>0</v>
      </c>
      <c r="L240" t="n">
        <v>0</v>
      </c>
      <c r="M240" t="n">
        <v>0</v>
      </c>
      <c r="N240" t="n">
        <v>0</v>
      </c>
      <c r="O240" t="n">
        <v>1</v>
      </c>
      <c r="P240" t="n">
        <v>0</v>
      </c>
      <c r="Q240" t="n">
        <v>1</v>
      </c>
      <c r="R240" s="2" t="inlineStr">
        <is>
          <t>Garnlav</t>
        </is>
      </c>
      <c r="S240">
        <f>HYPERLINK("https://klasma.github.io/Logging_2303/artfynd/A 40841-2025 artfynd.xlsx", "A 40841-2025")</f>
        <v/>
      </c>
      <c r="T240">
        <f>HYPERLINK("https://klasma.github.io/Logging_2303/kartor/A 40841-2025 karta.png", "A 40841-2025")</f>
        <v/>
      </c>
      <c r="V240">
        <f>HYPERLINK("https://klasma.github.io/Logging_2303/klagomål/A 40841-2025 FSC-klagomål.docx", "A 40841-2025")</f>
        <v/>
      </c>
      <c r="W240">
        <f>HYPERLINK("https://klasma.github.io/Logging_2303/klagomålsmail/A 40841-2025 FSC-klagomål mail.docx", "A 40841-2025")</f>
        <v/>
      </c>
      <c r="X240">
        <f>HYPERLINK("https://klasma.github.io/Logging_2303/tillsyn/A 40841-2025 tillsynsbegäran.docx", "A 40841-2025")</f>
        <v/>
      </c>
      <c r="Y240">
        <f>HYPERLINK("https://klasma.github.io/Logging_2303/tillsynsmail/A 40841-2025 tillsynsbegäran mail.docx", "A 40841-2025")</f>
        <v/>
      </c>
    </row>
    <row r="241" ht="15" customHeight="1">
      <c r="A241" t="inlineStr">
        <is>
          <t>A 32069-2024</t>
        </is>
      </c>
      <c r="B241" s="1" t="n">
        <v>45510</v>
      </c>
      <c r="C241" s="1" t="n">
        <v>45900</v>
      </c>
      <c r="D241" t="inlineStr">
        <is>
          <t>JÄMTLANDS LÄN</t>
        </is>
      </c>
      <c r="E241" t="inlineStr">
        <is>
          <t>RAGUNDA</t>
        </is>
      </c>
      <c r="F241" t="inlineStr">
        <is>
          <t>SCA</t>
        </is>
      </c>
      <c r="G241" t="n">
        <v>1.8</v>
      </c>
      <c r="H241" t="n">
        <v>0</v>
      </c>
      <c r="I241" t="n">
        <v>0</v>
      </c>
      <c r="J241" t="n">
        <v>1</v>
      </c>
      <c r="K241" t="n">
        <v>0</v>
      </c>
      <c r="L241" t="n">
        <v>0</v>
      </c>
      <c r="M241" t="n">
        <v>0</v>
      </c>
      <c r="N241" t="n">
        <v>0</v>
      </c>
      <c r="O241" t="n">
        <v>1</v>
      </c>
      <c r="P241" t="n">
        <v>0</v>
      </c>
      <c r="Q241" t="n">
        <v>1</v>
      </c>
      <c r="R241" s="2" t="inlineStr">
        <is>
          <t>Lunglav</t>
        </is>
      </c>
      <c r="S241">
        <f>HYPERLINK("https://klasma.github.io/Logging_2303/artfynd/A 32069-2024 artfynd.xlsx", "A 32069-2024")</f>
        <v/>
      </c>
      <c r="T241">
        <f>HYPERLINK("https://klasma.github.io/Logging_2303/kartor/A 32069-2024 karta.png", "A 32069-2024")</f>
        <v/>
      </c>
      <c r="V241">
        <f>HYPERLINK("https://klasma.github.io/Logging_2303/klagomål/A 32069-2024 FSC-klagomål.docx", "A 32069-2024")</f>
        <v/>
      </c>
      <c r="W241">
        <f>HYPERLINK("https://klasma.github.io/Logging_2303/klagomålsmail/A 32069-2024 FSC-klagomål mail.docx", "A 32069-2024")</f>
        <v/>
      </c>
      <c r="X241">
        <f>HYPERLINK("https://klasma.github.io/Logging_2303/tillsyn/A 32069-2024 tillsynsbegäran.docx", "A 32069-2024")</f>
        <v/>
      </c>
      <c r="Y241">
        <f>HYPERLINK("https://klasma.github.io/Logging_2303/tillsynsmail/A 32069-2024 tillsynsbegäran mail.docx", "A 32069-2024")</f>
        <v/>
      </c>
    </row>
    <row r="242" ht="15" customHeight="1">
      <c r="A242" t="inlineStr">
        <is>
          <t>A 30485-2024</t>
        </is>
      </c>
      <c r="B242" s="1" t="n">
        <v>45491.95008101852</v>
      </c>
      <c r="C242" s="1" t="n">
        <v>45900</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31773-2021</t>
        </is>
      </c>
      <c r="B243" s="1" t="n">
        <v>44369</v>
      </c>
      <c r="C243" s="1" t="n">
        <v>45900</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45900</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2929-2024</t>
        </is>
      </c>
      <c r="B245" s="1" t="n">
        <v>45315</v>
      </c>
      <c r="C245" s="1" t="n">
        <v>45900</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45900</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18985-2023</t>
        </is>
      </c>
      <c r="B247" s="1" t="n">
        <v>45044</v>
      </c>
      <c r="C247" s="1" t="n">
        <v>45900</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45900</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61441-2020</t>
        </is>
      </c>
      <c r="B249" s="1" t="n">
        <v>44157</v>
      </c>
      <c r="C249" s="1" t="n">
        <v>45900</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57941-2020</t>
        </is>
      </c>
      <c r="B250" s="1" t="n">
        <v>44141</v>
      </c>
      <c r="C250" s="1" t="n">
        <v>45900</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45900</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45900</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45900</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45900</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45900</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45900</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45900</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45900</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45900</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45900</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45900</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45900</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45900</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45900</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45900</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45900</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45900</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45900</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45900</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45900</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45900</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45900</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45900</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45900</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45900</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45900</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45900</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45900</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45900</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45900</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45900</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45900</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45900</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45900</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45900</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45900</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45900</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45900</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45900</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45900</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45900</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45900</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45900</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45900</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45900</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45900</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45900</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45900</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45900</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45900</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45900</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45900</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45900</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45900</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45900</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45900</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45900</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45900</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45900</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45900</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45900</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45900</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45900</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45900</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45900</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45900</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45900</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11217-2022</t>
        </is>
      </c>
      <c r="B318" s="1" t="n">
        <v>44629.56258101852</v>
      </c>
      <c r="C318" s="1" t="n">
        <v>45900</v>
      </c>
      <c r="D318" t="inlineStr">
        <is>
          <t>JÄMTLANDS LÄN</t>
        </is>
      </c>
      <c r="E318" t="inlineStr">
        <is>
          <t>RAGUNDA</t>
        </is>
      </c>
      <c r="G318" t="n">
        <v>10.2</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45900</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45900</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45900</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45900</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45900</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45900</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45900</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45900</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45900</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51004-2020</t>
        </is>
      </c>
      <c r="B328" s="1" t="n">
        <v>44111</v>
      </c>
      <c r="C328" s="1" t="n">
        <v>45900</v>
      </c>
      <c r="D328" t="inlineStr">
        <is>
          <t>JÄMTLANDS LÄN</t>
        </is>
      </c>
      <c r="E328" t="inlineStr">
        <is>
          <t>RAGUNDA</t>
        </is>
      </c>
      <c r="G328" t="n">
        <v>2.8</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45900</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45900</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45900</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45900</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45900</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45900</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45900</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45900</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45900</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45900</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45900</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45900</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45900</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45900</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45900</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65017-2021</t>
        </is>
      </c>
      <c r="B344" s="1" t="n">
        <v>44512</v>
      </c>
      <c r="C344" s="1" t="n">
        <v>45900</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45900</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44824.94635416667</v>
      </c>
      <c r="C346" s="1" t="n">
        <v>45900</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21984-2022</t>
        </is>
      </c>
      <c r="B347" s="1" t="n">
        <v>44704</v>
      </c>
      <c r="C347" s="1" t="n">
        <v>45900</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18341-2022</t>
        </is>
      </c>
      <c r="B348" s="1" t="n">
        <v>44685</v>
      </c>
      <c r="C348" s="1" t="n">
        <v>45900</v>
      </c>
      <c r="D348" t="inlineStr">
        <is>
          <t>JÄMTLANDS LÄN</t>
        </is>
      </c>
      <c r="E348" t="inlineStr">
        <is>
          <t>RAGUNDA</t>
        </is>
      </c>
      <c r="G348" t="n">
        <v>0.2</v>
      </c>
      <c r="H348" t="n">
        <v>0</v>
      </c>
      <c r="I348" t="n">
        <v>0</v>
      </c>
      <c r="J348" t="n">
        <v>0</v>
      </c>
      <c r="K348" t="n">
        <v>0</v>
      </c>
      <c r="L348" t="n">
        <v>0</v>
      </c>
      <c r="M348" t="n">
        <v>0</v>
      </c>
      <c r="N348" t="n">
        <v>0</v>
      </c>
      <c r="O348" t="n">
        <v>0</v>
      </c>
      <c r="P348" t="n">
        <v>0</v>
      </c>
      <c r="Q348" t="n">
        <v>0</v>
      </c>
      <c r="R348" s="2" t="inlineStr"/>
    </row>
    <row r="349" ht="15" customHeight="1">
      <c r="A349" t="inlineStr">
        <is>
          <t>A 9185-2022</t>
        </is>
      </c>
      <c r="B349" s="1" t="n">
        <v>44615</v>
      </c>
      <c r="C349" s="1" t="n">
        <v>45900</v>
      </c>
      <c r="D349" t="inlineStr">
        <is>
          <t>JÄMTLANDS LÄN</t>
        </is>
      </c>
      <c r="E349" t="inlineStr">
        <is>
          <t>RAGUNDA</t>
        </is>
      </c>
      <c r="G349" t="n">
        <v>1.1</v>
      </c>
      <c r="H349" t="n">
        <v>0</v>
      </c>
      <c r="I349" t="n">
        <v>0</v>
      </c>
      <c r="J349" t="n">
        <v>0</v>
      </c>
      <c r="K349" t="n">
        <v>0</v>
      </c>
      <c r="L349" t="n">
        <v>0</v>
      </c>
      <c r="M349" t="n">
        <v>0</v>
      </c>
      <c r="N349" t="n">
        <v>0</v>
      </c>
      <c r="O349" t="n">
        <v>0</v>
      </c>
      <c r="P349" t="n">
        <v>0</v>
      </c>
      <c r="Q349" t="n">
        <v>0</v>
      </c>
      <c r="R349" s="2" t="inlineStr"/>
    </row>
    <row r="350" ht="15" customHeight="1">
      <c r="A350" t="inlineStr">
        <is>
          <t>A 26948-2021</t>
        </is>
      </c>
      <c r="B350" s="1" t="n">
        <v>44349.92013888889</v>
      </c>
      <c r="C350" s="1" t="n">
        <v>45900</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26945-2021</t>
        </is>
      </c>
      <c r="B351" s="1" t="n">
        <v>44349.91995370371</v>
      </c>
      <c r="C351" s="1" t="n">
        <v>45900</v>
      </c>
      <c r="D351" t="inlineStr">
        <is>
          <t>JÄMTLANDS LÄN</t>
        </is>
      </c>
      <c r="E351" t="inlineStr">
        <is>
          <t>RAGUNDA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45900</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45900</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34348-2021</t>
        </is>
      </c>
      <c r="B354" s="1" t="n">
        <v>44379</v>
      </c>
      <c r="C354" s="1" t="n">
        <v>45900</v>
      </c>
      <c r="D354" t="inlineStr">
        <is>
          <t>JÄMTLANDS LÄN</t>
        </is>
      </c>
      <c r="E354" t="inlineStr">
        <is>
          <t>RAGUNDA</t>
        </is>
      </c>
      <c r="G354" t="n">
        <v>8.1</v>
      </c>
      <c r="H354" t="n">
        <v>0</v>
      </c>
      <c r="I354" t="n">
        <v>0</v>
      </c>
      <c r="J354" t="n">
        <v>0</v>
      </c>
      <c r="K354" t="n">
        <v>0</v>
      </c>
      <c r="L354" t="n">
        <v>0</v>
      </c>
      <c r="M354" t="n">
        <v>0</v>
      </c>
      <c r="N354" t="n">
        <v>0</v>
      </c>
      <c r="O354" t="n">
        <v>0</v>
      </c>
      <c r="P354" t="n">
        <v>0</v>
      </c>
      <c r="Q354" t="n">
        <v>0</v>
      </c>
      <c r="R354" s="2" t="inlineStr"/>
    </row>
    <row r="355" ht="15" customHeight="1">
      <c r="A355" t="inlineStr">
        <is>
          <t>A 42208-2020</t>
        </is>
      </c>
      <c r="B355" s="1" t="n">
        <v>44075</v>
      </c>
      <c r="C355" s="1" t="n">
        <v>45900</v>
      </c>
      <c r="D355" t="inlineStr">
        <is>
          <t>JÄMTLANDS LÄN</t>
        </is>
      </c>
      <c r="E355" t="inlineStr">
        <is>
          <t>RAGUNDA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16460-2022</t>
        </is>
      </c>
      <c r="B356" s="1" t="n">
        <v>44671</v>
      </c>
      <c r="C356" s="1" t="n">
        <v>45900</v>
      </c>
      <c r="D356" t="inlineStr">
        <is>
          <t>JÄMTLANDS LÄN</t>
        </is>
      </c>
      <c r="E356" t="inlineStr">
        <is>
          <t>RAGUNDA</t>
        </is>
      </c>
      <c r="G356" t="n">
        <v>1.7</v>
      </c>
      <c r="H356" t="n">
        <v>0</v>
      </c>
      <c r="I356" t="n">
        <v>0</v>
      </c>
      <c r="J356" t="n">
        <v>0</v>
      </c>
      <c r="K356" t="n">
        <v>0</v>
      </c>
      <c r="L356" t="n">
        <v>0</v>
      </c>
      <c r="M356" t="n">
        <v>0</v>
      </c>
      <c r="N356" t="n">
        <v>0</v>
      </c>
      <c r="O356" t="n">
        <v>0</v>
      </c>
      <c r="P356" t="n">
        <v>0</v>
      </c>
      <c r="Q356" t="n">
        <v>0</v>
      </c>
      <c r="R356" s="2" t="inlineStr"/>
    </row>
    <row r="357" ht="15" customHeight="1">
      <c r="A357" t="inlineStr">
        <is>
          <t>A 44241-2021</t>
        </is>
      </c>
      <c r="B357" s="1" t="n">
        <v>44434.94517361111</v>
      </c>
      <c r="C357" s="1" t="n">
        <v>45900</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25253-2022</t>
        </is>
      </c>
      <c r="B358" s="1" t="n">
        <v>44729.94136574074</v>
      </c>
      <c r="C358" s="1" t="n">
        <v>45900</v>
      </c>
      <c r="D358" t="inlineStr">
        <is>
          <t>JÄMTLANDS LÄN</t>
        </is>
      </c>
      <c r="E358" t="inlineStr">
        <is>
          <t>RAGUNDA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21195-2022</t>
        </is>
      </c>
      <c r="B359" s="1" t="n">
        <v>44704.94229166667</v>
      </c>
      <c r="C359" s="1" t="n">
        <v>45900</v>
      </c>
      <c r="D359" t="inlineStr">
        <is>
          <t>JÄMTLANDS LÄN</t>
        </is>
      </c>
      <c r="E359" t="inlineStr">
        <is>
          <t>RAGUNDA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49531-2022</t>
        </is>
      </c>
      <c r="B360" s="1" t="n">
        <v>44861</v>
      </c>
      <c r="C360" s="1" t="n">
        <v>45900</v>
      </c>
      <c r="D360" t="inlineStr">
        <is>
          <t>JÄMTLANDS LÄN</t>
        </is>
      </c>
      <c r="E360" t="inlineStr">
        <is>
          <t>RAGUNDA</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45900</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45900</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45900</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45900</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57246-2020</t>
        </is>
      </c>
      <c r="B365" s="1" t="n">
        <v>44138</v>
      </c>
      <c r="C365" s="1" t="n">
        <v>45900</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45900</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45900</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45900</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57730-2020</t>
        </is>
      </c>
      <c r="B369" s="1" t="n">
        <v>44140</v>
      </c>
      <c r="C369" s="1" t="n">
        <v>45900</v>
      </c>
      <c r="D369" t="inlineStr">
        <is>
          <t>JÄMTLANDS LÄN</t>
        </is>
      </c>
      <c r="E369" t="inlineStr">
        <is>
          <t>RAGUNDA</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45900</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35749-2022</t>
        </is>
      </c>
      <c r="B371" s="1" t="n">
        <v>44799.94394675926</v>
      </c>
      <c r="C371" s="1" t="n">
        <v>45900</v>
      </c>
      <c r="D371" t="inlineStr">
        <is>
          <t>JÄMTLANDS LÄN</t>
        </is>
      </c>
      <c r="E371" t="inlineStr">
        <is>
          <t>RAGUNDA</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43040-2021</t>
        </is>
      </c>
      <c r="B372" s="1" t="n">
        <v>44431</v>
      </c>
      <c r="C372" s="1" t="n">
        <v>45900</v>
      </c>
      <c r="D372" t="inlineStr">
        <is>
          <t>JÄMTLANDS LÄN</t>
        </is>
      </c>
      <c r="E372" t="inlineStr">
        <is>
          <t>RAGUNDA</t>
        </is>
      </c>
      <c r="G372" t="n">
        <v>4.9</v>
      </c>
      <c r="H372" t="n">
        <v>0</v>
      </c>
      <c r="I372" t="n">
        <v>0</v>
      </c>
      <c r="J372" t="n">
        <v>0</v>
      </c>
      <c r="K372" t="n">
        <v>0</v>
      </c>
      <c r="L372" t="n">
        <v>0</v>
      </c>
      <c r="M372" t="n">
        <v>0</v>
      </c>
      <c r="N372" t="n">
        <v>0</v>
      </c>
      <c r="O372" t="n">
        <v>0</v>
      </c>
      <c r="P372" t="n">
        <v>0</v>
      </c>
      <c r="Q372" t="n">
        <v>0</v>
      </c>
      <c r="R372" s="2" t="inlineStr"/>
    </row>
    <row r="373" ht="15" customHeight="1">
      <c r="A373" t="inlineStr">
        <is>
          <t>A 1858-2022</t>
        </is>
      </c>
      <c r="B373" s="1" t="n">
        <v>44574</v>
      </c>
      <c r="C373" s="1" t="n">
        <v>45900</v>
      </c>
      <c r="D373" t="inlineStr">
        <is>
          <t>JÄMTLANDS LÄN</t>
        </is>
      </c>
      <c r="E373" t="inlineStr">
        <is>
          <t>RAGUNDA</t>
        </is>
      </c>
      <c r="G373" t="n">
        <v>5.7</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45900</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45900</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54836-2022</t>
        </is>
      </c>
      <c r="B376" s="1" t="n">
        <v>44883.94918981481</v>
      </c>
      <c r="C376" s="1" t="n">
        <v>45900</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53522-2020</t>
        </is>
      </c>
      <c r="B377" s="1" t="n">
        <v>44124</v>
      </c>
      <c r="C377" s="1" t="n">
        <v>45900</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41875-2020</t>
        </is>
      </c>
      <c r="B378" s="1" t="n">
        <v>44074</v>
      </c>
      <c r="C378" s="1" t="n">
        <v>45900</v>
      </c>
      <c r="D378" t="inlineStr">
        <is>
          <t>JÄMTLANDS LÄN</t>
        </is>
      </c>
      <c r="E378" t="inlineStr">
        <is>
          <t>RAGUNDA</t>
        </is>
      </c>
      <c r="F378" t="inlineStr">
        <is>
          <t>Naturvårdsverket</t>
        </is>
      </c>
      <c r="G378" t="n">
        <v>3.3</v>
      </c>
      <c r="H378" t="n">
        <v>0</v>
      </c>
      <c r="I378" t="n">
        <v>0</v>
      </c>
      <c r="J378" t="n">
        <v>0</v>
      </c>
      <c r="K378" t="n">
        <v>0</v>
      </c>
      <c r="L378" t="n">
        <v>0</v>
      </c>
      <c r="M378" t="n">
        <v>0</v>
      </c>
      <c r="N378" t="n">
        <v>0</v>
      </c>
      <c r="O378" t="n">
        <v>0</v>
      </c>
      <c r="P378" t="n">
        <v>0</v>
      </c>
      <c r="Q378" t="n">
        <v>0</v>
      </c>
      <c r="R378" s="2" t="inlineStr"/>
    </row>
    <row r="379" ht="15" customHeight="1">
      <c r="A379" t="inlineStr">
        <is>
          <t>A 41887-2020</t>
        </is>
      </c>
      <c r="B379" s="1" t="n">
        <v>44074</v>
      </c>
      <c r="C379" s="1" t="n">
        <v>45900</v>
      </c>
      <c r="D379" t="inlineStr">
        <is>
          <t>JÄMTLANDS LÄN</t>
        </is>
      </c>
      <c r="E379" t="inlineStr">
        <is>
          <t>RAGUNDA</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13964-2022</t>
        </is>
      </c>
      <c r="B380" s="1" t="n">
        <v>44650</v>
      </c>
      <c r="C380" s="1" t="n">
        <v>45900</v>
      </c>
      <c r="D380" t="inlineStr">
        <is>
          <t>JÄMTLANDS LÄN</t>
        </is>
      </c>
      <c r="E380" t="inlineStr">
        <is>
          <t>RAGUNDA</t>
        </is>
      </c>
      <c r="G380" t="n">
        <v>2.6</v>
      </c>
      <c r="H380" t="n">
        <v>0</v>
      </c>
      <c r="I380" t="n">
        <v>0</v>
      </c>
      <c r="J380" t="n">
        <v>0</v>
      </c>
      <c r="K380" t="n">
        <v>0</v>
      </c>
      <c r="L380" t="n">
        <v>0</v>
      </c>
      <c r="M380" t="n">
        <v>0</v>
      </c>
      <c r="N380" t="n">
        <v>0</v>
      </c>
      <c r="O380" t="n">
        <v>0</v>
      </c>
      <c r="P380" t="n">
        <v>0</v>
      </c>
      <c r="Q380" t="n">
        <v>0</v>
      </c>
      <c r="R380" s="2" t="inlineStr"/>
    </row>
    <row r="381" ht="15" customHeight="1">
      <c r="A381" t="inlineStr">
        <is>
          <t>A 38733-2022</t>
        </is>
      </c>
      <c r="B381" s="1" t="n">
        <v>44815</v>
      </c>
      <c r="C381" s="1" t="n">
        <v>45900</v>
      </c>
      <c r="D381" t="inlineStr">
        <is>
          <t>JÄMTLANDS LÄN</t>
        </is>
      </c>
      <c r="E381" t="inlineStr">
        <is>
          <t>RAGUNDA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2336-2022</t>
        </is>
      </c>
      <c r="B382" s="1" t="n">
        <v>44578.92284722222</v>
      </c>
      <c r="C382" s="1" t="n">
        <v>45900</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58984-2021</t>
        </is>
      </c>
      <c r="B383" s="1" t="n">
        <v>44489.94711805556</v>
      </c>
      <c r="C383" s="1" t="n">
        <v>45900</v>
      </c>
      <c r="D383" t="inlineStr">
        <is>
          <t>JÄMTLANDS LÄN</t>
        </is>
      </c>
      <c r="E383" t="inlineStr">
        <is>
          <t>RAGUNDA</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9187-2022</t>
        </is>
      </c>
      <c r="B384" s="1" t="n">
        <v>44615</v>
      </c>
      <c r="C384" s="1" t="n">
        <v>45900</v>
      </c>
      <c r="D384" t="inlineStr">
        <is>
          <t>JÄMTLANDS LÄN</t>
        </is>
      </c>
      <c r="E384" t="inlineStr">
        <is>
          <t>RAGUNDA</t>
        </is>
      </c>
      <c r="G384" t="n">
        <v>2</v>
      </c>
      <c r="H384" t="n">
        <v>0</v>
      </c>
      <c r="I384" t="n">
        <v>0</v>
      </c>
      <c r="J384" t="n">
        <v>0</v>
      </c>
      <c r="K384" t="n">
        <v>0</v>
      </c>
      <c r="L384" t="n">
        <v>0</v>
      </c>
      <c r="M384" t="n">
        <v>0</v>
      </c>
      <c r="N384" t="n">
        <v>0</v>
      </c>
      <c r="O384" t="n">
        <v>0</v>
      </c>
      <c r="P384" t="n">
        <v>0</v>
      </c>
      <c r="Q384" t="n">
        <v>0</v>
      </c>
      <c r="R384" s="2" t="inlineStr"/>
    </row>
    <row r="385" ht="15" customHeight="1">
      <c r="A385" t="inlineStr">
        <is>
          <t>A 40978-2022</t>
        </is>
      </c>
      <c r="B385" s="1" t="n">
        <v>44823</v>
      </c>
      <c r="C385" s="1" t="n">
        <v>45900</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57713-2020</t>
        </is>
      </c>
      <c r="B386" s="1" t="n">
        <v>44140</v>
      </c>
      <c r="C386" s="1" t="n">
        <v>45900</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45900</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24741-2022</t>
        </is>
      </c>
      <c r="B388" s="1" t="n">
        <v>44727</v>
      </c>
      <c r="C388" s="1" t="n">
        <v>45900</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48536-2022</t>
        </is>
      </c>
      <c r="B389" s="1" t="n">
        <v>44858</v>
      </c>
      <c r="C389" s="1" t="n">
        <v>45900</v>
      </c>
      <c r="D389" t="inlineStr">
        <is>
          <t>JÄMTLANDS LÄN</t>
        </is>
      </c>
      <c r="E389" t="inlineStr">
        <is>
          <t>RAGUNDA</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59996-2021</t>
        </is>
      </c>
      <c r="B390" s="1" t="n">
        <v>44494.93930555556</v>
      </c>
      <c r="C390" s="1" t="n">
        <v>45900</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41613-2021</t>
        </is>
      </c>
      <c r="B391" s="1" t="n">
        <v>44425</v>
      </c>
      <c r="C391" s="1" t="n">
        <v>45900</v>
      </c>
      <c r="D391" t="inlineStr">
        <is>
          <t>JÄMTLANDS LÄN</t>
        </is>
      </c>
      <c r="E391" t="inlineStr">
        <is>
          <t>RAGUNDA</t>
        </is>
      </c>
      <c r="F391" t="inlineStr">
        <is>
          <t>Kommuner</t>
        </is>
      </c>
      <c r="G391" t="n">
        <v>1.5</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45900</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32288-2022</t>
        </is>
      </c>
      <c r="B393" s="1" t="n">
        <v>44781</v>
      </c>
      <c r="C393" s="1" t="n">
        <v>45900</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45900</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29409-2021</t>
        </is>
      </c>
      <c r="B395" s="1" t="n">
        <v>44361.55445601852</v>
      </c>
      <c r="C395" s="1" t="n">
        <v>45900</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47803-2022</t>
        </is>
      </c>
      <c r="B396" s="1" t="n">
        <v>44854.95390046296</v>
      </c>
      <c r="C396" s="1" t="n">
        <v>45900</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45900</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42652-2022</t>
        </is>
      </c>
      <c r="B398" s="1" t="n">
        <v>44831.94846064815</v>
      </c>
      <c r="C398" s="1" t="n">
        <v>45900</v>
      </c>
      <c r="D398" t="inlineStr">
        <is>
          <t>JÄMTLANDS LÄN</t>
        </is>
      </c>
      <c r="E398" t="inlineStr">
        <is>
          <t>RAGUNDA</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42653-2022</t>
        </is>
      </c>
      <c r="B399" s="1" t="n">
        <v>44831.9485300926</v>
      </c>
      <c r="C399" s="1" t="n">
        <v>45900</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32986-2022</t>
        </is>
      </c>
      <c r="B400" s="1" t="n">
        <v>44784.94157407407</v>
      </c>
      <c r="C400" s="1" t="n">
        <v>45900</v>
      </c>
      <c r="D400" t="inlineStr">
        <is>
          <t>JÄMTLANDS LÄN</t>
        </is>
      </c>
      <c r="E400" t="inlineStr">
        <is>
          <t>RAGUNDA</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60313-2021</t>
        </is>
      </c>
      <c r="B401" s="1" t="n">
        <v>44495</v>
      </c>
      <c r="C401" s="1" t="n">
        <v>45900</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25027-2022</t>
        </is>
      </c>
      <c r="B402" s="1" t="n">
        <v>44728.94392361111</v>
      </c>
      <c r="C402" s="1" t="n">
        <v>45900</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56193-2022</t>
        </is>
      </c>
      <c r="B403" s="1" t="n">
        <v>44889</v>
      </c>
      <c r="C403" s="1" t="n">
        <v>45900</v>
      </c>
      <c r="D403" t="inlineStr">
        <is>
          <t>JÄMTLANDS LÄN</t>
        </is>
      </c>
      <c r="E403" t="inlineStr">
        <is>
          <t>RAGUNDA</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5515-2022</t>
        </is>
      </c>
      <c r="B404" s="1" t="n">
        <v>44595</v>
      </c>
      <c r="C404" s="1" t="n">
        <v>45900</v>
      </c>
      <c r="D404" t="inlineStr">
        <is>
          <t>JÄMTLANDS LÄN</t>
        </is>
      </c>
      <c r="E404" t="inlineStr">
        <is>
          <t>RAGUNDA</t>
        </is>
      </c>
      <c r="G404" t="n">
        <v>1</v>
      </c>
      <c r="H404" t="n">
        <v>0</v>
      </c>
      <c r="I404" t="n">
        <v>0</v>
      </c>
      <c r="J404" t="n">
        <v>0</v>
      </c>
      <c r="K404" t="n">
        <v>0</v>
      </c>
      <c r="L404" t="n">
        <v>0</v>
      </c>
      <c r="M404" t="n">
        <v>0</v>
      </c>
      <c r="N404" t="n">
        <v>0</v>
      </c>
      <c r="O404" t="n">
        <v>0</v>
      </c>
      <c r="P404" t="n">
        <v>0</v>
      </c>
      <c r="Q404" t="n">
        <v>0</v>
      </c>
      <c r="R404" s="2" t="inlineStr"/>
    </row>
    <row r="405" ht="15" customHeight="1">
      <c r="A405" t="inlineStr">
        <is>
          <t>A 37806-2021</t>
        </is>
      </c>
      <c r="B405" s="1" t="n">
        <v>44402.42243055555</v>
      </c>
      <c r="C405" s="1" t="n">
        <v>45900</v>
      </c>
      <c r="D405" t="inlineStr">
        <is>
          <t>JÄMTLANDS LÄN</t>
        </is>
      </c>
      <c r="E405" t="inlineStr">
        <is>
          <t>RAGUNDA</t>
        </is>
      </c>
      <c r="G405" t="n">
        <v>0.3</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45900</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42882-2022</t>
        </is>
      </c>
      <c r="B407" s="1" t="n">
        <v>44832.95300925926</v>
      </c>
      <c r="C407" s="1" t="n">
        <v>45900</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42267-2022</t>
        </is>
      </c>
      <c r="B408" s="1" t="n">
        <v>44830</v>
      </c>
      <c r="C408" s="1" t="n">
        <v>45900</v>
      </c>
      <c r="D408" t="inlineStr">
        <is>
          <t>JÄMTLANDS LÄN</t>
        </is>
      </c>
      <c r="E408" t="inlineStr">
        <is>
          <t>RAGUNDA</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28596-2021</t>
        </is>
      </c>
      <c r="B409" s="1" t="n">
        <v>44356</v>
      </c>
      <c r="C409" s="1" t="n">
        <v>45900</v>
      </c>
      <c r="D409" t="inlineStr">
        <is>
          <t>JÄMTLANDS LÄN</t>
        </is>
      </c>
      <c r="E409" t="inlineStr">
        <is>
          <t>RAGUNDA</t>
        </is>
      </c>
      <c r="G409" t="n">
        <v>5.4</v>
      </c>
      <c r="H409" t="n">
        <v>0</v>
      </c>
      <c r="I409" t="n">
        <v>0</v>
      </c>
      <c r="J409" t="n">
        <v>0</v>
      </c>
      <c r="K409" t="n">
        <v>0</v>
      </c>
      <c r="L409" t="n">
        <v>0</v>
      </c>
      <c r="M409" t="n">
        <v>0</v>
      </c>
      <c r="N409" t="n">
        <v>0</v>
      </c>
      <c r="O409" t="n">
        <v>0</v>
      </c>
      <c r="P409" t="n">
        <v>0</v>
      </c>
      <c r="Q409" t="n">
        <v>0</v>
      </c>
      <c r="R409" s="2" t="inlineStr"/>
    </row>
    <row r="410" ht="15" customHeight="1">
      <c r="A410" t="inlineStr">
        <is>
          <t>A 60957-2021</t>
        </is>
      </c>
      <c r="B410" s="1" t="n">
        <v>44496</v>
      </c>
      <c r="C410" s="1" t="n">
        <v>45900</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26122-2022</t>
        </is>
      </c>
      <c r="B411" s="1" t="n">
        <v>44734.94193287037</v>
      </c>
      <c r="C411" s="1" t="n">
        <v>45900</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31854-2022</t>
        </is>
      </c>
      <c r="B412" s="1" t="n">
        <v>44776</v>
      </c>
      <c r="C412" s="1" t="n">
        <v>45900</v>
      </c>
      <c r="D412" t="inlineStr">
        <is>
          <t>JÄMTLANDS LÄN</t>
        </is>
      </c>
      <c r="E412" t="inlineStr">
        <is>
          <t>RAGUNDA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21193-2022</t>
        </is>
      </c>
      <c r="B413" s="1" t="n">
        <v>44704.94217592593</v>
      </c>
      <c r="C413" s="1" t="n">
        <v>45900</v>
      </c>
      <c r="D413" t="inlineStr">
        <is>
          <t>JÄMTLANDS LÄN</t>
        </is>
      </c>
      <c r="E413" t="inlineStr">
        <is>
          <t>RAGUNDA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45900</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36941-2022</t>
        </is>
      </c>
      <c r="B415" s="1" t="n">
        <v>44805</v>
      </c>
      <c r="C415" s="1" t="n">
        <v>45900</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20548-2021</t>
        </is>
      </c>
      <c r="B416" s="1" t="n">
        <v>44315</v>
      </c>
      <c r="C416" s="1" t="n">
        <v>45900</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49530-2022</t>
        </is>
      </c>
      <c r="B417" s="1" t="n">
        <v>44861</v>
      </c>
      <c r="C417" s="1" t="n">
        <v>45900</v>
      </c>
      <c r="D417" t="inlineStr">
        <is>
          <t>JÄMTLANDS LÄN</t>
        </is>
      </c>
      <c r="E417" t="inlineStr">
        <is>
          <t>RAGUNDA</t>
        </is>
      </c>
      <c r="F417" t="inlineStr">
        <is>
          <t>SCA</t>
        </is>
      </c>
      <c r="G417" t="n">
        <v>13.4</v>
      </c>
      <c r="H417" t="n">
        <v>0</v>
      </c>
      <c r="I417" t="n">
        <v>0</v>
      </c>
      <c r="J417" t="n">
        <v>0</v>
      </c>
      <c r="K417" t="n">
        <v>0</v>
      </c>
      <c r="L417" t="n">
        <v>0</v>
      </c>
      <c r="M417" t="n">
        <v>0</v>
      </c>
      <c r="N417" t="n">
        <v>0</v>
      </c>
      <c r="O417" t="n">
        <v>0</v>
      </c>
      <c r="P417" t="n">
        <v>0</v>
      </c>
      <c r="Q417" t="n">
        <v>0</v>
      </c>
      <c r="R417" s="2" t="inlineStr"/>
    </row>
    <row r="418" ht="15" customHeight="1">
      <c r="A418" t="inlineStr">
        <is>
          <t>A 12660-2024</t>
        </is>
      </c>
      <c r="B418" s="1" t="n">
        <v>45384</v>
      </c>
      <c r="C418" s="1" t="n">
        <v>45900</v>
      </c>
      <c r="D418" t="inlineStr">
        <is>
          <t>JÄMTLANDS LÄN</t>
        </is>
      </c>
      <c r="E418" t="inlineStr">
        <is>
          <t>RAGUNDA</t>
        </is>
      </c>
      <c r="G418" t="n">
        <v>1.3</v>
      </c>
      <c r="H418" t="n">
        <v>0</v>
      </c>
      <c r="I418" t="n">
        <v>0</v>
      </c>
      <c r="J418" t="n">
        <v>0</v>
      </c>
      <c r="K418" t="n">
        <v>0</v>
      </c>
      <c r="L418" t="n">
        <v>0</v>
      </c>
      <c r="M418" t="n">
        <v>0</v>
      </c>
      <c r="N418" t="n">
        <v>0</v>
      </c>
      <c r="O418" t="n">
        <v>0</v>
      </c>
      <c r="P418" t="n">
        <v>0</v>
      </c>
      <c r="Q418" t="n">
        <v>0</v>
      </c>
      <c r="R418" s="2" t="inlineStr"/>
    </row>
    <row r="419" ht="15" customHeight="1">
      <c r="A419" t="inlineStr">
        <is>
          <t>A 25332-2023</t>
        </is>
      </c>
      <c r="B419" s="1" t="n">
        <v>45086.94010416666</v>
      </c>
      <c r="C419" s="1" t="n">
        <v>45900</v>
      </c>
      <c r="D419" t="inlineStr">
        <is>
          <t>JÄMTLANDS LÄN</t>
        </is>
      </c>
      <c r="E419" t="inlineStr">
        <is>
          <t>RAGUNDA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11249-2025</t>
        </is>
      </c>
      <c r="B420" s="1" t="n">
        <v>45726.3860300926</v>
      </c>
      <c r="C420" s="1" t="n">
        <v>45900</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33615-2023</t>
        </is>
      </c>
      <c r="B421" s="1" t="n">
        <v>45119</v>
      </c>
      <c r="C421" s="1" t="n">
        <v>45900</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43132-2023</t>
        </is>
      </c>
      <c r="B422" s="1" t="n">
        <v>45182</v>
      </c>
      <c r="C422" s="1" t="n">
        <v>45900</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12585-2024</t>
        </is>
      </c>
      <c r="B423" s="1" t="n">
        <v>45379.93637731481</v>
      </c>
      <c r="C423" s="1" t="n">
        <v>45900</v>
      </c>
      <c r="D423" t="inlineStr">
        <is>
          <t>JÄMTLANDS LÄN</t>
        </is>
      </c>
      <c r="E423" t="inlineStr">
        <is>
          <t>RAGUNDA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15581-2024</t>
        </is>
      </c>
      <c r="B424" s="1" t="n">
        <v>45401</v>
      </c>
      <c r="C424" s="1" t="n">
        <v>45900</v>
      </c>
      <c r="D424" t="inlineStr">
        <is>
          <t>JÄMTLANDS LÄN</t>
        </is>
      </c>
      <c r="E424" t="inlineStr">
        <is>
          <t>RAGUNDA</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15611-2024</t>
        </is>
      </c>
      <c r="B425" s="1" t="n">
        <v>45401</v>
      </c>
      <c r="C425" s="1" t="n">
        <v>45900</v>
      </c>
      <c r="D425" t="inlineStr">
        <is>
          <t>JÄMTLANDS LÄN</t>
        </is>
      </c>
      <c r="E425" t="inlineStr">
        <is>
          <t>RAGUNDA</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13917-2023</t>
        </is>
      </c>
      <c r="B426" s="1" t="n">
        <v>45007</v>
      </c>
      <c r="C426" s="1" t="n">
        <v>45900</v>
      </c>
      <c r="D426" t="inlineStr">
        <is>
          <t>JÄMTLANDS LÄN</t>
        </is>
      </c>
      <c r="E426" t="inlineStr">
        <is>
          <t>RAGUNDA</t>
        </is>
      </c>
      <c r="G426" t="n">
        <v>1</v>
      </c>
      <c r="H426" t="n">
        <v>0</v>
      </c>
      <c r="I426" t="n">
        <v>0</v>
      </c>
      <c r="J426" t="n">
        <v>0</v>
      </c>
      <c r="K426" t="n">
        <v>0</v>
      </c>
      <c r="L426" t="n">
        <v>0</v>
      </c>
      <c r="M426" t="n">
        <v>0</v>
      </c>
      <c r="N426" t="n">
        <v>0</v>
      </c>
      <c r="O426" t="n">
        <v>0</v>
      </c>
      <c r="P426" t="n">
        <v>0</v>
      </c>
      <c r="Q426" t="n">
        <v>0</v>
      </c>
      <c r="R426" s="2" t="inlineStr"/>
    </row>
    <row r="427" ht="15" customHeight="1">
      <c r="A427" t="inlineStr">
        <is>
          <t>A 18820-2023</t>
        </is>
      </c>
      <c r="B427" s="1" t="n">
        <v>45042</v>
      </c>
      <c r="C427" s="1" t="n">
        <v>45900</v>
      </c>
      <c r="D427" t="inlineStr">
        <is>
          <t>JÄMTLANDS LÄN</t>
        </is>
      </c>
      <c r="E427" t="inlineStr">
        <is>
          <t>RAGUNDA</t>
        </is>
      </c>
      <c r="G427" t="n">
        <v>18.8</v>
      </c>
      <c r="H427" t="n">
        <v>0</v>
      </c>
      <c r="I427" t="n">
        <v>0</v>
      </c>
      <c r="J427" t="n">
        <v>0</v>
      </c>
      <c r="K427" t="n">
        <v>0</v>
      </c>
      <c r="L427" t="n">
        <v>0</v>
      </c>
      <c r="M427" t="n">
        <v>0</v>
      </c>
      <c r="N427" t="n">
        <v>0</v>
      </c>
      <c r="O427" t="n">
        <v>0</v>
      </c>
      <c r="P427" t="n">
        <v>0</v>
      </c>
      <c r="Q427" t="n">
        <v>0</v>
      </c>
      <c r="R427" s="2" t="inlineStr"/>
    </row>
    <row r="428" ht="15" customHeight="1">
      <c r="A428" t="inlineStr">
        <is>
          <t>A 11780-2024</t>
        </is>
      </c>
      <c r="B428" s="1" t="n">
        <v>45374</v>
      </c>
      <c r="C428" s="1" t="n">
        <v>45900</v>
      </c>
      <c r="D428" t="inlineStr">
        <is>
          <t>JÄMTLANDS LÄN</t>
        </is>
      </c>
      <c r="E428" t="inlineStr">
        <is>
          <t>RAGUNDA</t>
        </is>
      </c>
      <c r="G428" t="n">
        <v>14.6</v>
      </c>
      <c r="H428" t="n">
        <v>0</v>
      </c>
      <c r="I428" t="n">
        <v>0</v>
      </c>
      <c r="J428" t="n">
        <v>0</v>
      </c>
      <c r="K428" t="n">
        <v>0</v>
      </c>
      <c r="L428" t="n">
        <v>0</v>
      </c>
      <c r="M428" t="n">
        <v>0</v>
      </c>
      <c r="N428" t="n">
        <v>0</v>
      </c>
      <c r="O428" t="n">
        <v>0</v>
      </c>
      <c r="P428" t="n">
        <v>0</v>
      </c>
      <c r="Q428" t="n">
        <v>0</v>
      </c>
      <c r="R428" s="2" t="inlineStr"/>
    </row>
    <row r="429" ht="15" customHeight="1">
      <c r="A429" t="inlineStr">
        <is>
          <t>A 11147-2025</t>
        </is>
      </c>
      <c r="B429" s="1" t="n">
        <v>45723.67777777778</v>
      </c>
      <c r="C429" s="1" t="n">
        <v>45900</v>
      </c>
      <c r="D429" t="inlineStr">
        <is>
          <t>JÄMTLANDS LÄN</t>
        </is>
      </c>
      <c r="E429" t="inlineStr">
        <is>
          <t>RAGUNDA</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24280-2021</t>
        </is>
      </c>
      <c r="B430" s="1" t="n">
        <v>44336</v>
      </c>
      <c r="C430" s="1" t="n">
        <v>45900</v>
      </c>
      <c r="D430" t="inlineStr">
        <is>
          <t>JÄMTLANDS LÄN</t>
        </is>
      </c>
      <c r="E430" t="inlineStr">
        <is>
          <t>RAGUNDA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14821-2025</t>
        </is>
      </c>
      <c r="B431" s="1" t="n">
        <v>45743.36</v>
      </c>
      <c r="C431" s="1" t="n">
        <v>45900</v>
      </c>
      <c r="D431" t="inlineStr">
        <is>
          <t>JÄMTLANDS LÄN</t>
        </is>
      </c>
      <c r="E431" t="inlineStr">
        <is>
          <t>RAGUNDA</t>
        </is>
      </c>
      <c r="F431" t="inlineStr">
        <is>
          <t>Kyrkan</t>
        </is>
      </c>
      <c r="G431" t="n">
        <v>6.4</v>
      </c>
      <c r="H431" t="n">
        <v>0</v>
      </c>
      <c r="I431" t="n">
        <v>0</v>
      </c>
      <c r="J431" t="n">
        <v>0</v>
      </c>
      <c r="K431" t="n">
        <v>0</v>
      </c>
      <c r="L431" t="n">
        <v>0</v>
      </c>
      <c r="M431" t="n">
        <v>0</v>
      </c>
      <c r="N431" t="n">
        <v>0</v>
      </c>
      <c r="O431" t="n">
        <v>0</v>
      </c>
      <c r="P431" t="n">
        <v>0</v>
      </c>
      <c r="Q431" t="n">
        <v>0</v>
      </c>
      <c r="R431" s="2" t="inlineStr"/>
    </row>
    <row r="432" ht="15" customHeight="1">
      <c r="A432" t="inlineStr">
        <is>
          <t>A 8654-2024</t>
        </is>
      </c>
      <c r="B432" s="1" t="n">
        <v>45356.03784722222</v>
      </c>
      <c r="C432" s="1" t="n">
        <v>45900</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9325-2024</t>
        </is>
      </c>
      <c r="B433" s="1" t="n">
        <v>45358.95813657407</v>
      </c>
      <c r="C433" s="1" t="n">
        <v>45900</v>
      </c>
      <c r="D433" t="inlineStr">
        <is>
          <t>JÄMTLANDS LÄN</t>
        </is>
      </c>
      <c r="E433" t="inlineStr">
        <is>
          <t>RAGUNDA</t>
        </is>
      </c>
      <c r="G433" t="n">
        <v>3.1</v>
      </c>
      <c r="H433" t="n">
        <v>0</v>
      </c>
      <c r="I433" t="n">
        <v>0</v>
      </c>
      <c r="J433" t="n">
        <v>0</v>
      </c>
      <c r="K433" t="n">
        <v>0</v>
      </c>
      <c r="L433" t="n">
        <v>0</v>
      </c>
      <c r="M433" t="n">
        <v>0</v>
      </c>
      <c r="N433" t="n">
        <v>0</v>
      </c>
      <c r="O433" t="n">
        <v>0</v>
      </c>
      <c r="P433" t="n">
        <v>0</v>
      </c>
      <c r="Q433" t="n">
        <v>0</v>
      </c>
      <c r="R433" s="2" t="inlineStr"/>
    </row>
    <row r="434" ht="15" customHeight="1">
      <c r="A434" t="inlineStr">
        <is>
          <t>A 60936-2024</t>
        </is>
      </c>
      <c r="B434" s="1" t="n">
        <v>45645.36743055555</v>
      </c>
      <c r="C434" s="1" t="n">
        <v>45900</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4348-2023</t>
        </is>
      </c>
      <c r="B435" s="1" t="n">
        <v>44953</v>
      </c>
      <c r="C435" s="1" t="n">
        <v>45900</v>
      </c>
      <c r="D435" t="inlineStr">
        <is>
          <t>JÄMTLANDS LÄN</t>
        </is>
      </c>
      <c r="E435" t="inlineStr">
        <is>
          <t>RAGUNDA</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8678-2023</t>
        </is>
      </c>
      <c r="B436" s="1" t="n">
        <v>44977.98660879629</v>
      </c>
      <c r="C436" s="1" t="n">
        <v>45900</v>
      </c>
      <c r="D436" t="inlineStr">
        <is>
          <t>JÄMTLANDS LÄN</t>
        </is>
      </c>
      <c r="E436" t="inlineStr">
        <is>
          <t>RAGUNDA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22131-2021</t>
        </is>
      </c>
      <c r="B437" s="1" t="n">
        <v>44323</v>
      </c>
      <c r="C437" s="1" t="n">
        <v>45900</v>
      </c>
      <c r="D437" t="inlineStr">
        <is>
          <t>JÄMTLANDS LÄN</t>
        </is>
      </c>
      <c r="E437" t="inlineStr">
        <is>
          <t>RAGUNDA</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19401-2025</t>
        </is>
      </c>
      <c r="B438" s="1" t="n">
        <v>45769.67767361111</v>
      </c>
      <c r="C438" s="1" t="n">
        <v>45900</v>
      </c>
      <c r="D438" t="inlineStr">
        <is>
          <t>JÄMTLANDS LÄN</t>
        </is>
      </c>
      <c r="E438" t="inlineStr">
        <is>
          <t>RAGUNDA</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59557-2023</t>
        </is>
      </c>
      <c r="B439" s="1" t="n">
        <v>45253</v>
      </c>
      <c r="C439" s="1" t="n">
        <v>45900</v>
      </c>
      <c r="D439" t="inlineStr">
        <is>
          <t>JÄMTLANDS LÄN</t>
        </is>
      </c>
      <c r="E439" t="inlineStr">
        <is>
          <t>RAGUNDA</t>
        </is>
      </c>
      <c r="G439" t="n">
        <v>1</v>
      </c>
      <c r="H439" t="n">
        <v>0</v>
      </c>
      <c r="I439" t="n">
        <v>0</v>
      </c>
      <c r="J439" t="n">
        <v>0</v>
      </c>
      <c r="K439" t="n">
        <v>0</v>
      </c>
      <c r="L439" t="n">
        <v>0</v>
      </c>
      <c r="M439" t="n">
        <v>0</v>
      </c>
      <c r="N439" t="n">
        <v>0</v>
      </c>
      <c r="O439" t="n">
        <v>0</v>
      </c>
      <c r="P439" t="n">
        <v>0</v>
      </c>
      <c r="Q439" t="n">
        <v>0</v>
      </c>
      <c r="R439" s="2" t="inlineStr"/>
    </row>
    <row r="440" ht="15" customHeight="1">
      <c r="A440" t="inlineStr">
        <is>
          <t>A 62358-2023</t>
        </is>
      </c>
      <c r="B440" s="1" t="n">
        <v>45267</v>
      </c>
      <c r="C440" s="1" t="n">
        <v>45900</v>
      </c>
      <c r="D440" t="inlineStr">
        <is>
          <t>JÄMTLANDS LÄN</t>
        </is>
      </c>
      <c r="E440" t="inlineStr">
        <is>
          <t>RAGUNDA</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29766-2023</t>
        </is>
      </c>
      <c r="B441" s="1" t="n">
        <v>45098</v>
      </c>
      <c r="C441" s="1" t="n">
        <v>45900</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50157-2023</t>
        </is>
      </c>
      <c r="B442" s="1" t="n">
        <v>45208</v>
      </c>
      <c r="C442" s="1" t="n">
        <v>45900</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19264-2025</t>
        </is>
      </c>
      <c r="B443" s="1" t="n">
        <v>45769.51087962963</v>
      </c>
      <c r="C443" s="1" t="n">
        <v>45900</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38664-2022</t>
        </is>
      </c>
      <c r="B444" s="1" t="n">
        <v>44813</v>
      </c>
      <c r="C444" s="1" t="n">
        <v>45900</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23304-2023</t>
        </is>
      </c>
      <c r="B445" s="1" t="n">
        <v>45075.945</v>
      </c>
      <c r="C445" s="1" t="n">
        <v>45900</v>
      </c>
      <c r="D445" t="inlineStr">
        <is>
          <t>JÄMTLANDS LÄN</t>
        </is>
      </c>
      <c r="E445" t="inlineStr">
        <is>
          <t>RAGUNDA</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42893-2022</t>
        </is>
      </c>
      <c r="B446" s="1" t="n">
        <v>44832</v>
      </c>
      <c r="C446" s="1" t="n">
        <v>45900</v>
      </c>
      <c r="D446" t="inlineStr">
        <is>
          <t>JÄMTLANDS LÄN</t>
        </is>
      </c>
      <c r="E446" t="inlineStr">
        <is>
          <t>RAGUNDA</t>
        </is>
      </c>
      <c r="F446" t="inlineStr">
        <is>
          <t>SCA</t>
        </is>
      </c>
      <c r="G446" t="n">
        <v>28.4</v>
      </c>
      <c r="H446" t="n">
        <v>0</v>
      </c>
      <c r="I446" t="n">
        <v>0</v>
      </c>
      <c r="J446" t="n">
        <v>0</v>
      </c>
      <c r="K446" t="n">
        <v>0</v>
      </c>
      <c r="L446" t="n">
        <v>0</v>
      </c>
      <c r="M446" t="n">
        <v>0</v>
      </c>
      <c r="N446" t="n">
        <v>0</v>
      </c>
      <c r="O446" t="n">
        <v>0</v>
      </c>
      <c r="P446" t="n">
        <v>0</v>
      </c>
      <c r="Q446" t="n">
        <v>0</v>
      </c>
      <c r="R446" s="2" t="inlineStr"/>
    </row>
    <row r="447" ht="15" customHeight="1">
      <c r="A447" t="inlineStr">
        <is>
          <t>A 64492-2023</t>
        </is>
      </c>
      <c r="B447" s="1" t="n">
        <v>45280.92645833334</v>
      </c>
      <c r="C447" s="1" t="n">
        <v>45900</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38425-2022</t>
        </is>
      </c>
      <c r="B448" s="1" t="n">
        <v>44812.94709490741</v>
      </c>
      <c r="C448" s="1" t="n">
        <v>45900</v>
      </c>
      <c r="D448" t="inlineStr">
        <is>
          <t>JÄMTLANDS LÄN</t>
        </is>
      </c>
      <c r="E448" t="inlineStr">
        <is>
          <t>RAGUNDA</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5930-2025</t>
        </is>
      </c>
      <c r="B449" s="1" t="n">
        <v>45695.44724537037</v>
      </c>
      <c r="C449" s="1" t="n">
        <v>45900</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36922-2022</t>
        </is>
      </c>
      <c r="B450" s="1" t="n">
        <v>44805.94592592592</v>
      </c>
      <c r="C450" s="1" t="n">
        <v>45900</v>
      </c>
      <c r="D450" t="inlineStr">
        <is>
          <t>JÄMTLANDS LÄN</t>
        </is>
      </c>
      <c r="E450" t="inlineStr">
        <is>
          <t>RAGUNDA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14513-2025</t>
        </is>
      </c>
      <c r="B451" s="1" t="n">
        <v>45741.63675925926</v>
      </c>
      <c r="C451" s="1" t="n">
        <v>45900</v>
      </c>
      <c r="D451" t="inlineStr">
        <is>
          <t>JÄMTLANDS LÄN</t>
        </is>
      </c>
      <c r="E451" t="inlineStr">
        <is>
          <t>RAGUNDA</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60935-2024</t>
        </is>
      </c>
      <c r="B452" s="1" t="n">
        <v>45645.36740740741</v>
      </c>
      <c r="C452" s="1" t="n">
        <v>45900</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58847-2024</t>
        </is>
      </c>
      <c r="B453" s="1" t="n">
        <v>45636.3864699074</v>
      </c>
      <c r="C453" s="1" t="n">
        <v>45900</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9326-2024</t>
        </is>
      </c>
      <c r="B454" s="1" t="n">
        <v>45358.95818287037</v>
      </c>
      <c r="C454" s="1" t="n">
        <v>45900</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21401-2024</t>
        </is>
      </c>
      <c r="B455" s="1" t="n">
        <v>45441.33313657407</v>
      </c>
      <c r="C455" s="1" t="n">
        <v>45900</v>
      </c>
      <c r="D455" t="inlineStr">
        <is>
          <t>JÄMTLANDS LÄN</t>
        </is>
      </c>
      <c r="E455" t="inlineStr">
        <is>
          <t>RAGUNDA</t>
        </is>
      </c>
      <c r="G455" t="n">
        <v>3.7</v>
      </c>
      <c r="H455" t="n">
        <v>0</v>
      </c>
      <c r="I455" t="n">
        <v>0</v>
      </c>
      <c r="J455" t="n">
        <v>0</v>
      </c>
      <c r="K455" t="n">
        <v>0</v>
      </c>
      <c r="L455" t="n">
        <v>0</v>
      </c>
      <c r="M455" t="n">
        <v>0</v>
      </c>
      <c r="N455" t="n">
        <v>0</v>
      </c>
      <c r="O455" t="n">
        <v>0</v>
      </c>
      <c r="P455" t="n">
        <v>0</v>
      </c>
      <c r="Q455" t="n">
        <v>0</v>
      </c>
      <c r="R455" s="2" t="inlineStr"/>
    </row>
    <row r="456" ht="15" customHeight="1">
      <c r="A456" t="inlineStr">
        <is>
          <t>A 7281-2025</t>
        </is>
      </c>
      <c r="B456" s="1" t="n">
        <v>45702.63572916666</v>
      </c>
      <c r="C456" s="1" t="n">
        <v>45900</v>
      </c>
      <c r="D456" t="inlineStr">
        <is>
          <t>JÄMTLANDS LÄN</t>
        </is>
      </c>
      <c r="E456" t="inlineStr">
        <is>
          <t>RAGUNDA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14156-2024</t>
        </is>
      </c>
      <c r="B457" s="1" t="n">
        <v>45392</v>
      </c>
      <c r="C457" s="1" t="n">
        <v>45900</v>
      </c>
      <c r="D457" t="inlineStr">
        <is>
          <t>JÄMTLANDS LÄN</t>
        </is>
      </c>
      <c r="E457" t="inlineStr">
        <is>
          <t>RAGUNDA</t>
        </is>
      </c>
      <c r="G457" t="n">
        <v>0.6</v>
      </c>
      <c r="H457" t="n">
        <v>0</v>
      </c>
      <c r="I457" t="n">
        <v>0</v>
      </c>
      <c r="J457" t="n">
        <v>0</v>
      </c>
      <c r="K457" t="n">
        <v>0</v>
      </c>
      <c r="L457" t="n">
        <v>0</v>
      </c>
      <c r="M457" t="n">
        <v>0</v>
      </c>
      <c r="N457" t="n">
        <v>0</v>
      </c>
      <c r="O457" t="n">
        <v>0</v>
      </c>
      <c r="P457" t="n">
        <v>0</v>
      </c>
      <c r="Q457" t="n">
        <v>0</v>
      </c>
      <c r="R457" s="2" t="inlineStr"/>
    </row>
    <row r="458" ht="15" customHeight="1">
      <c r="A458" t="inlineStr">
        <is>
          <t>A 14157-2024</t>
        </is>
      </c>
      <c r="B458" s="1" t="n">
        <v>45392.92903935185</v>
      </c>
      <c r="C458" s="1" t="n">
        <v>45900</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7722-2023</t>
        </is>
      </c>
      <c r="B459" s="1" t="n">
        <v>44972.94140046297</v>
      </c>
      <c r="C459" s="1" t="n">
        <v>45900</v>
      </c>
      <c r="D459" t="inlineStr">
        <is>
          <t>JÄMTLANDS LÄN</t>
        </is>
      </c>
      <c r="E459" t="inlineStr">
        <is>
          <t>RAGUNDA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13935-2024</t>
        </is>
      </c>
      <c r="B460" s="1" t="n">
        <v>45391.95329861111</v>
      </c>
      <c r="C460" s="1" t="n">
        <v>45900</v>
      </c>
      <c r="D460" t="inlineStr">
        <is>
          <t>JÄMTLANDS LÄN</t>
        </is>
      </c>
      <c r="E460" t="inlineStr">
        <is>
          <t>RAGUNDA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20653-2025</t>
        </is>
      </c>
      <c r="B461" s="1" t="n">
        <v>45776.40311342593</v>
      </c>
      <c r="C461" s="1" t="n">
        <v>45900</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20777-2025</t>
        </is>
      </c>
      <c r="B462" s="1" t="n">
        <v>45776.59422453704</v>
      </c>
      <c r="C462" s="1" t="n">
        <v>45900</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44727-2024</t>
        </is>
      </c>
      <c r="B463" s="1" t="n">
        <v>45574.57967592592</v>
      </c>
      <c r="C463" s="1" t="n">
        <v>45900</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20722-2025</t>
        </is>
      </c>
      <c r="B464" s="1" t="n">
        <v>45776.50651620371</v>
      </c>
      <c r="C464" s="1" t="n">
        <v>45900</v>
      </c>
      <c r="D464" t="inlineStr">
        <is>
          <t>JÄMTLANDS LÄN</t>
        </is>
      </c>
      <c r="E464" t="inlineStr">
        <is>
          <t>RAGUNDA</t>
        </is>
      </c>
      <c r="F464" t="inlineStr">
        <is>
          <t>Kommuner</t>
        </is>
      </c>
      <c r="G464" t="n">
        <v>0.8</v>
      </c>
      <c r="H464" t="n">
        <v>0</v>
      </c>
      <c r="I464" t="n">
        <v>0</v>
      </c>
      <c r="J464" t="n">
        <v>0</v>
      </c>
      <c r="K464" t="n">
        <v>0</v>
      </c>
      <c r="L464" t="n">
        <v>0</v>
      </c>
      <c r="M464" t="n">
        <v>0</v>
      </c>
      <c r="N464" t="n">
        <v>0</v>
      </c>
      <c r="O464" t="n">
        <v>0</v>
      </c>
      <c r="P464" t="n">
        <v>0</v>
      </c>
      <c r="Q464" t="n">
        <v>0</v>
      </c>
      <c r="R464" s="2" t="inlineStr"/>
    </row>
    <row r="465" ht="15" customHeight="1">
      <c r="A465" t="inlineStr">
        <is>
          <t>A 20728-2025</t>
        </is>
      </c>
      <c r="B465" s="1" t="n">
        <v>45776.51130787037</v>
      </c>
      <c r="C465" s="1" t="n">
        <v>45900</v>
      </c>
      <c r="D465" t="inlineStr">
        <is>
          <t>JÄMTLANDS LÄN</t>
        </is>
      </c>
      <c r="E465" t="inlineStr">
        <is>
          <t>RAGUNDA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21661-2023</t>
        </is>
      </c>
      <c r="B466" s="1" t="n">
        <v>45063</v>
      </c>
      <c r="C466" s="1" t="n">
        <v>45900</v>
      </c>
      <c r="D466" t="inlineStr">
        <is>
          <t>JÄMTLANDS LÄN</t>
        </is>
      </c>
      <c r="E466" t="inlineStr">
        <is>
          <t>RAGUNDA</t>
        </is>
      </c>
      <c r="G466" t="n">
        <v>1.5</v>
      </c>
      <c r="H466" t="n">
        <v>0</v>
      </c>
      <c r="I466" t="n">
        <v>0</v>
      </c>
      <c r="J466" t="n">
        <v>0</v>
      </c>
      <c r="K466" t="n">
        <v>0</v>
      </c>
      <c r="L466" t="n">
        <v>0</v>
      </c>
      <c r="M466" t="n">
        <v>0</v>
      </c>
      <c r="N466" t="n">
        <v>0</v>
      </c>
      <c r="O466" t="n">
        <v>0</v>
      </c>
      <c r="P466" t="n">
        <v>0</v>
      </c>
      <c r="Q466" t="n">
        <v>0</v>
      </c>
      <c r="R466" s="2" t="inlineStr"/>
    </row>
    <row r="467" ht="15" customHeight="1">
      <c r="A467" t="inlineStr">
        <is>
          <t>A 18777-2024</t>
        </is>
      </c>
      <c r="B467" s="1" t="n">
        <v>45426</v>
      </c>
      <c r="C467" s="1" t="n">
        <v>45900</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7281-2024</t>
        </is>
      </c>
      <c r="B468" s="1" t="n">
        <v>45344</v>
      </c>
      <c r="C468" s="1" t="n">
        <v>45900</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21332-2025</t>
        </is>
      </c>
      <c r="B469" s="1" t="n">
        <v>45782.36506944444</v>
      </c>
      <c r="C469" s="1" t="n">
        <v>45900</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21430-2025</t>
        </is>
      </c>
      <c r="B470" s="1" t="n">
        <v>45782.51099537037</v>
      </c>
      <c r="C470" s="1" t="n">
        <v>45900</v>
      </c>
      <c r="D470" t="inlineStr">
        <is>
          <t>JÄMTLANDS LÄN</t>
        </is>
      </c>
      <c r="E470" t="inlineStr">
        <is>
          <t>RAGUNDA</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19382-2025</t>
        </is>
      </c>
      <c r="B471" s="1" t="n">
        <v>45769.65659722222</v>
      </c>
      <c r="C471" s="1" t="n">
        <v>45900</v>
      </c>
      <c r="D471" t="inlineStr">
        <is>
          <t>JÄMTLANDS LÄN</t>
        </is>
      </c>
      <c r="E471" t="inlineStr">
        <is>
          <t>RAGUNDA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19403-2025</t>
        </is>
      </c>
      <c r="B472" s="1" t="n">
        <v>45769.67790509259</v>
      </c>
      <c r="C472" s="1" t="n">
        <v>45900</v>
      </c>
      <c r="D472" t="inlineStr">
        <is>
          <t>JÄMTLANDS LÄN</t>
        </is>
      </c>
      <c r="E472" t="inlineStr">
        <is>
          <t>RAGUNDA</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21405-2025</t>
        </is>
      </c>
      <c r="B473" s="1" t="n">
        <v>45782.49032407408</v>
      </c>
      <c r="C473" s="1" t="n">
        <v>45900</v>
      </c>
      <c r="D473" t="inlineStr">
        <is>
          <t>JÄMTLANDS LÄN</t>
        </is>
      </c>
      <c r="E473" t="inlineStr">
        <is>
          <t>RAGUNDA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21406-2025</t>
        </is>
      </c>
      <c r="B474" s="1" t="n">
        <v>45782.49046296296</v>
      </c>
      <c r="C474" s="1" t="n">
        <v>45900</v>
      </c>
      <c r="D474" t="inlineStr">
        <is>
          <t>JÄMTLANDS LÄN</t>
        </is>
      </c>
      <c r="E474" t="inlineStr">
        <is>
          <t>RAGUNDA</t>
        </is>
      </c>
      <c r="F474" t="inlineStr">
        <is>
          <t>SCA</t>
        </is>
      </c>
      <c r="G474" t="n">
        <v>8.6</v>
      </c>
      <c r="H474" t="n">
        <v>0</v>
      </c>
      <c r="I474" t="n">
        <v>0</v>
      </c>
      <c r="J474" t="n">
        <v>0</v>
      </c>
      <c r="K474" t="n">
        <v>0</v>
      </c>
      <c r="L474" t="n">
        <v>0</v>
      </c>
      <c r="M474" t="n">
        <v>0</v>
      </c>
      <c r="N474" t="n">
        <v>0</v>
      </c>
      <c r="O474" t="n">
        <v>0</v>
      </c>
      <c r="P474" t="n">
        <v>0</v>
      </c>
      <c r="Q474" t="n">
        <v>0</v>
      </c>
      <c r="R474" s="2" t="inlineStr"/>
    </row>
    <row r="475" ht="15" customHeight="1">
      <c r="A475" t="inlineStr">
        <is>
          <t>A 59670-2023</t>
        </is>
      </c>
      <c r="B475" s="1" t="n">
        <v>45254.96516203704</v>
      </c>
      <c r="C475" s="1" t="n">
        <v>45900</v>
      </c>
      <c r="D475" t="inlineStr">
        <is>
          <t>JÄMTLANDS LÄN</t>
        </is>
      </c>
      <c r="E475" t="inlineStr">
        <is>
          <t>RAGUNDA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21432-2025</t>
        </is>
      </c>
      <c r="B476" s="1" t="n">
        <v>45782.51109953703</v>
      </c>
      <c r="C476" s="1" t="n">
        <v>45900</v>
      </c>
      <c r="D476" t="inlineStr">
        <is>
          <t>JÄMTLANDS LÄN</t>
        </is>
      </c>
      <c r="E476" t="inlineStr">
        <is>
          <t>RAGUNDA</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60225-2022</t>
        </is>
      </c>
      <c r="B477" s="1" t="n">
        <v>44903</v>
      </c>
      <c r="C477" s="1" t="n">
        <v>45900</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21550-2025</t>
        </is>
      </c>
      <c r="B478" s="1" t="n">
        <v>45782.67758101852</v>
      </c>
      <c r="C478" s="1" t="n">
        <v>45900</v>
      </c>
      <c r="D478" t="inlineStr">
        <is>
          <t>JÄMTLANDS LÄN</t>
        </is>
      </c>
      <c r="E478" t="inlineStr">
        <is>
          <t>RAGUNDA</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21451-2025</t>
        </is>
      </c>
      <c r="B479" s="1" t="n">
        <v>45782.55287037037</v>
      </c>
      <c r="C479" s="1" t="n">
        <v>45900</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21150-2025</t>
        </is>
      </c>
      <c r="B480" s="1" t="n">
        <v>45779.34417824074</v>
      </c>
      <c r="C480" s="1" t="n">
        <v>45900</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21177-2025</t>
        </is>
      </c>
      <c r="B481" s="1" t="n">
        <v>45779.4281712963</v>
      </c>
      <c r="C481" s="1" t="n">
        <v>45900</v>
      </c>
      <c r="D481" t="inlineStr">
        <is>
          <t>JÄMTLANDS LÄN</t>
        </is>
      </c>
      <c r="E481" t="inlineStr">
        <is>
          <t>RAGUNDA</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21331-2025</t>
        </is>
      </c>
      <c r="B482" s="1" t="n">
        <v>45782.36494212963</v>
      </c>
      <c r="C482" s="1" t="n">
        <v>45900</v>
      </c>
      <c r="D482" t="inlineStr">
        <is>
          <t>JÄMTLANDS LÄN</t>
        </is>
      </c>
      <c r="E482" t="inlineStr">
        <is>
          <t>RAGUNDA</t>
        </is>
      </c>
      <c r="F482" t="inlineStr">
        <is>
          <t>SCA</t>
        </is>
      </c>
      <c r="G482" t="n">
        <v>23.1</v>
      </c>
      <c r="H482" t="n">
        <v>0</v>
      </c>
      <c r="I482" t="n">
        <v>0</v>
      </c>
      <c r="J482" t="n">
        <v>0</v>
      </c>
      <c r="K482" t="n">
        <v>0</v>
      </c>
      <c r="L482" t="n">
        <v>0</v>
      </c>
      <c r="M482" t="n">
        <v>0</v>
      </c>
      <c r="N482" t="n">
        <v>0</v>
      </c>
      <c r="O482" t="n">
        <v>0</v>
      </c>
      <c r="P482" t="n">
        <v>0</v>
      </c>
      <c r="Q482" t="n">
        <v>0</v>
      </c>
      <c r="R482" s="2" t="inlineStr"/>
    </row>
    <row r="483" ht="15" customHeight="1">
      <c r="A483" t="inlineStr">
        <is>
          <t>A 21214-2025</t>
        </is>
      </c>
      <c r="B483" s="1" t="n">
        <v>45779.49025462963</v>
      </c>
      <c r="C483" s="1" t="n">
        <v>45900</v>
      </c>
      <c r="D483" t="inlineStr">
        <is>
          <t>JÄMTLANDS LÄN</t>
        </is>
      </c>
      <c r="E483" t="inlineStr">
        <is>
          <t>RAGUNDA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61045-2022</t>
        </is>
      </c>
      <c r="B484" s="1" t="n">
        <v>44914</v>
      </c>
      <c r="C484" s="1" t="n">
        <v>45900</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58193-2022</t>
        </is>
      </c>
      <c r="B485" s="1" t="n">
        <v>44900.95700231481</v>
      </c>
      <c r="C485" s="1" t="n">
        <v>45900</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22941-2024</t>
        </is>
      </c>
      <c r="B486" s="1" t="n">
        <v>45448.94520833333</v>
      </c>
      <c r="C486" s="1" t="n">
        <v>45900</v>
      </c>
      <c r="D486" t="inlineStr">
        <is>
          <t>JÄMTLANDS LÄN</t>
        </is>
      </c>
      <c r="E486" t="inlineStr">
        <is>
          <t>RAGUNDA</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18194-2025</t>
        </is>
      </c>
      <c r="B487" s="1" t="n">
        <v>45761.67744212963</v>
      </c>
      <c r="C487" s="1" t="n">
        <v>45900</v>
      </c>
      <c r="D487" t="inlineStr">
        <is>
          <t>JÄMTLANDS LÄN</t>
        </is>
      </c>
      <c r="E487" t="inlineStr">
        <is>
          <t>RAGUNDA</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26991-2023</t>
        </is>
      </c>
      <c r="B488" s="1" t="n">
        <v>45093.92207175926</v>
      </c>
      <c r="C488" s="1" t="n">
        <v>45900</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13299-2024</t>
        </is>
      </c>
      <c r="B489" s="1" t="n">
        <v>45386.68003472222</v>
      </c>
      <c r="C489" s="1" t="n">
        <v>45900</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58537-2022</t>
        </is>
      </c>
      <c r="B490" s="1" t="n">
        <v>44894</v>
      </c>
      <c r="C490" s="1" t="n">
        <v>45900</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53347-2023</t>
        </is>
      </c>
      <c r="B491" s="1" t="n">
        <v>45223</v>
      </c>
      <c r="C491" s="1" t="n">
        <v>45900</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44881-2023</t>
        </is>
      </c>
      <c r="B492" s="1" t="n">
        <v>45187</v>
      </c>
      <c r="C492" s="1" t="n">
        <v>45900</v>
      </c>
      <c r="D492" t="inlineStr">
        <is>
          <t>JÄMTLANDS LÄN</t>
        </is>
      </c>
      <c r="E492" t="inlineStr">
        <is>
          <t>RAGUNDA</t>
        </is>
      </c>
      <c r="G492" t="n">
        <v>2.4</v>
      </c>
      <c r="H492" t="n">
        <v>0</v>
      </c>
      <c r="I492" t="n">
        <v>0</v>
      </c>
      <c r="J492" t="n">
        <v>0</v>
      </c>
      <c r="K492" t="n">
        <v>0</v>
      </c>
      <c r="L492" t="n">
        <v>0</v>
      </c>
      <c r="M492" t="n">
        <v>0</v>
      </c>
      <c r="N492" t="n">
        <v>0</v>
      </c>
      <c r="O492" t="n">
        <v>0</v>
      </c>
      <c r="P492" t="n">
        <v>0</v>
      </c>
      <c r="Q492" t="n">
        <v>0</v>
      </c>
      <c r="R492" s="2" t="inlineStr"/>
    </row>
    <row r="493" ht="15" customHeight="1">
      <c r="A493" t="inlineStr">
        <is>
          <t>A 22948-2024</t>
        </is>
      </c>
      <c r="B493" s="1" t="n">
        <v>45448.94600694445</v>
      </c>
      <c r="C493" s="1" t="n">
        <v>45900</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16320-2025</t>
        </is>
      </c>
      <c r="B494" s="1" t="n">
        <v>45751.34859953704</v>
      </c>
      <c r="C494" s="1" t="n">
        <v>45900</v>
      </c>
      <c r="D494" t="inlineStr">
        <is>
          <t>JÄMTLANDS LÄN</t>
        </is>
      </c>
      <c r="E494" t="inlineStr">
        <is>
          <t>RAGUNDA</t>
        </is>
      </c>
      <c r="F494" t="inlineStr">
        <is>
          <t>SCA</t>
        </is>
      </c>
      <c r="G494" t="n">
        <v>16.2</v>
      </c>
      <c r="H494" t="n">
        <v>0</v>
      </c>
      <c r="I494" t="n">
        <v>0</v>
      </c>
      <c r="J494" t="n">
        <v>0</v>
      </c>
      <c r="K494" t="n">
        <v>0</v>
      </c>
      <c r="L494" t="n">
        <v>0</v>
      </c>
      <c r="M494" t="n">
        <v>0</v>
      </c>
      <c r="N494" t="n">
        <v>0</v>
      </c>
      <c r="O494" t="n">
        <v>0</v>
      </c>
      <c r="P494" t="n">
        <v>0</v>
      </c>
      <c r="Q494" t="n">
        <v>0</v>
      </c>
      <c r="R494" s="2" t="inlineStr"/>
    </row>
    <row r="495" ht="15" customHeight="1">
      <c r="A495" t="inlineStr">
        <is>
          <t>A 53678-2022</t>
        </is>
      </c>
      <c r="B495" s="1" t="n">
        <v>44879.95768518518</v>
      </c>
      <c r="C495" s="1" t="n">
        <v>45900</v>
      </c>
      <c r="D495" t="inlineStr">
        <is>
          <t>JÄMTLANDS LÄN</t>
        </is>
      </c>
      <c r="E495" t="inlineStr">
        <is>
          <t>RAGUNDA</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14369-2024</t>
        </is>
      </c>
      <c r="B496" s="1" t="n">
        <v>45393.94459490741</v>
      </c>
      <c r="C496" s="1" t="n">
        <v>45900</v>
      </c>
      <c r="D496" t="inlineStr">
        <is>
          <t>JÄMTLANDS LÄN</t>
        </is>
      </c>
      <c r="E496" t="inlineStr">
        <is>
          <t>RAGUNDA</t>
        </is>
      </c>
      <c r="F496" t="inlineStr">
        <is>
          <t>Naturvårdsverket</t>
        </is>
      </c>
      <c r="G496" t="n">
        <v>1.8</v>
      </c>
      <c r="H496" t="n">
        <v>0</v>
      </c>
      <c r="I496" t="n">
        <v>0</v>
      </c>
      <c r="J496" t="n">
        <v>0</v>
      </c>
      <c r="K496" t="n">
        <v>0</v>
      </c>
      <c r="L496" t="n">
        <v>0</v>
      </c>
      <c r="M496" t="n">
        <v>0</v>
      </c>
      <c r="N496" t="n">
        <v>0</v>
      </c>
      <c r="O496" t="n">
        <v>0</v>
      </c>
      <c r="P496" t="n">
        <v>0</v>
      </c>
      <c r="Q496" t="n">
        <v>0</v>
      </c>
      <c r="R496" s="2" t="inlineStr"/>
    </row>
    <row r="497" ht="15" customHeight="1">
      <c r="A497" t="inlineStr">
        <is>
          <t>A 10639-2024</t>
        </is>
      </c>
      <c r="B497" s="1" t="n">
        <v>45367.67256944445</v>
      </c>
      <c r="C497" s="1" t="n">
        <v>45900</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11557-2023</t>
        </is>
      </c>
      <c r="B498" s="1" t="n">
        <v>44993.94950231481</v>
      </c>
      <c r="C498" s="1" t="n">
        <v>45900</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11562-2023</t>
        </is>
      </c>
      <c r="B499" s="1" t="n">
        <v>44993</v>
      </c>
      <c r="C499" s="1" t="n">
        <v>45900</v>
      </c>
      <c r="D499" t="inlineStr">
        <is>
          <t>JÄMTLANDS LÄN</t>
        </is>
      </c>
      <c r="E499" t="inlineStr">
        <is>
          <t>RAGUNDA</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60629-2023</t>
        </is>
      </c>
      <c r="B500" s="1" t="n">
        <v>45259</v>
      </c>
      <c r="C500" s="1" t="n">
        <v>45900</v>
      </c>
      <c r="D500" t="inlineStr">
        <is>
          <t>JÄMTLANDS LÄN</t>
        </is>
      </c>
      <c r="E500" t="inlineStr">
        <is>
          <t>RAGUNDA</t>
        </is>
      </c>
      <c r="G500" t="n">
        <v>3.4</v>
      </c>
      <c r="H500" t="n">
        <v>0</v>
      </c>
      <c r="I500" t="n">
        <v>0</v>
      </c>
      <c r="J500" t="n">
        <v>0</v>
      </c>
      <c r="K500" t="n">
        <v>0</v>
      </c>
      <c r="L500" t="n">
        <v>0</v>
      </c>
      <c r="M500" t="n">
        <v>0</v>
      </c>
      <c r="N500" t="n">
        <v>0</v>
      </c>
      <c r="O500" t="n">
        <v>0</v>
      </c>
      <c r="P500" t="n">
        <v>0</v>
      </c>
      <c r="Q500" t="n">
        <v>0</v>
      </c>
      <c r="R500" s="2" t="inlineStr"/>
    </row>
    <row r="501" ht="15" customHeight="1">
      <c r="A501" t="inlineStr">
        <is>
          <t>A 44066-2024</t>
        </is>
      </c>
      <c r="B501" s="1" t="n">
        <v>45572.60363425926</v>
      </c>
      <c r="C501" s="1" t="n">
        <v>45900</v>
      </c>
      <c r="D501" t="inlineStr">
        <is>
          <t>JÄMTLANDS LÄN</t>
        </is>
      </c>
      <c r="E501" t="inlineStr">
        <is>
          <t>RAGUNDA</t>
        </is>
      </c>
      <c r="G501" t="n">
        <v>6.4</v>
      </c>
      <c r="H501" t="n">
        <v>0</v>
      </c>
      <c r="I501" t="n">
        <v>0</v>
      </c>
      <c r="J501" t="n">
        <v>0</v>
      </c>
      <c r="K501" t="n">
        <v>0</v>
      </c>
      <c r="L501" t="n">
        <v>0</v>
      </c>
      <c r="M501" t="n">
        <v>0</v>
      </c>
      <c r="N501" t="n">
        <v>0</v>
      </c>
      <c r="O501" t="n">
        <v>0</v>
      </c>
      <c r="P501" t="n">
        <v>0</v>
      </c>
      <c r="Q501" t="n">
        <v>0</v>
      </c>
      <c r="R501" s="2" t="inlineStr"/>
    </row>
    <row r="502" ht="15" customHeight="1">
      <c r="A502" t="inlineStr">
        <is>
          <t>A 57889-2024</t>
        </is>
      </c>
      <c r="B502" s="1" t="n">
        <v>45631.46665509259</v>
      </c>
      <c r="C502" s="1" t="n">
        <v>45900</v>
      </c>
      <c r="D502" t="inlineStr">
        <is>
          <t>JÄMTLANDS LÄN</t>
        </is>
      </c>
      <c r="E502" t="inlineStr">
        <is>
          <t>RAGUNDA</t>
        </is>
      </c>
      <c r="G502" t="n">
        <v>11.1</v>
      </c>
      <c r="H502" t="n">
        <v>0</v>
      </c>
      <c r="I502" t="n">
        <v>0</v>
      </c>
      <c r="J502" t="n">
        <v>0</v>
      </c>
      <c r="K502" t="n">
        <v>0</v>
      </c>
      <c r="L502" t="n">
        <v>0</v>
      </c>
      <c r="M502" t="n">
        <v>0</v>
      </c>
      <c r="N502" t="n">
        <v>0</v>
      </c>
      <c r="O502" t="n">
        <v>0</v>
      </c>
      <c r="P502" t="n">
        <v>0</v>
      </c>
      <c r="Q502" t="n">
        <v>0</v>
      </c>
      <c r="R502" s="2" t="inlineStr"/>
    </row>
    <row r="503" ht="15" customHeight="1">
      <c r="A503" t="inlineStr">
        <is>
          <t>A 50649-2022</t>
        </is>
      </c>
      <c r="B503" s="1" t="n">
        <v>44866</v>
      </c>
      <c r="C503" s="1" t="n">
        <v>45900</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5175-2023</t>
        </is>
      </c>
      <c r="B504" s="1" t="n">
        <v>44958.94298611111</v>
      </c>
      <c r="C504" s="1" t="n">
        <v>45900</v>
      </c>
      <c r="D504" t="inlineStr">
        <is>
          <t>JÄMTLANDS LÄN</t>
        </is>
      </c>
      <c r="E504" t="inlineStr">
        <is>
          <t>RAGUNDA</t>
        </is>
      </c>
      <c r="F504" t="inlineStr">
        <is>
          <t>SCA</t>
        </is>
      </c>
      <c r="G504" t="n">
        <v>17.9</v>
      </c>
      <c r="H504" t="n">
        <v>0</v>
      </c>
      <c r="I504" t="n">
        <v>0</v>
      </c>
      <c r="J504" t="n">
        <v>0</v>
      </c>
      <c r="K504" t="n">
        <v>0</v>
      </c>
      <c r="L504" t="n">
        <v>0</v>
      </c>
      <c r="M504" t="n">
        <v>0</v>
      </c>
      <c r="N504" t="n">
        <v>0</v>
      </c>
      <c r="O504" t="n">
        <v>0</v>
      </c>
      <c r="P504" t="n">
        <v>0</v>
      </c>
      <c r="Q504" t="n">
        <v>0</v>
      </c>
      <c r="R504" s="2" t="inlineStr"/>
    </row>
    <row r="505" ht="15" customHeight="1">
      <c r="A505" t="inlineStr">
        <is>
          <t>A 22388-2025</t>
        </is>
      </c>
      <c r="B505" s="1" t="n">
        <v>45786.51077546296</v>
      </c>
      <c r="C505" s="1" t="n">
        <v>45900</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60195-2023</t>
        </is>
      </c>
      <c r="B506" s="1" t="n">
        <v>45257</v>
      </c>
      <c r="C506" s="1" t="n">
        <v>45900</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52345-2024</t>
        </is>
      </c>
      <c r="B507" s="1" t="n">
        <v>45609.34412037037</v>
      </c>
      <c r="C507" s="1" t="n">
        <v>45900</v>
      </c>
      <c r="D507" t="inlineStr">
        <is>
          <t>JÄMTLANDS LÄN</t>
        </is>
      </c>
      <c r="E507" t="inlineStr">
        <is>
          <t>RAGUNDA</t>
        </is>
      </c>
      <c r="F507" t="inlineStr">
        <is>
          <t>SCA</t>
        </is>
      </c>
      <c r="G507" t="n">
        <v>10.3</v>
      </c>
      <c r="H507" t="n">
        <v>0</v>
      </c>
      <c r="I507" t="n">
        <v>0</v>
      </c>
      <c r="J507" t="n">
        <v>0</v>
      </c>
      <c r="K507" t="n">
        <v>0</v>
      </c>
      <c r="L507" t="n">
        <v>0</v>
      </c>
      <c r="M507" t="n">
        <v>0</v>
      </c>
      <c r="N507" t="n">
        <v>0</v>
      </c>
      <c r="O507" t="n">
        <v>0</v>
      </c>
      <c r="P507" t="n">
        <v>0</v>
      </c>
      <c r="Q507" t="n">
        <v>0</v>
      </c>
      <c r="R507" s="2" t="inlineStr"/>
    </row>
    <row r="508" ht="15" customHeight="1">
      <c r="A508" t="inlineStr">
        <is>
          <t>A 2819-2023</t>
        </is>
      </c>
      <c r="B508" s="1" t="n">
        <v>44944</v>
      </c>
      <c r="C508" s="1" t="n">
        <v>45900</v>
      </c>
      <c r="D508" t="inlineStr">
        <is>
          <t>JÄMTLANDS LÄN</t>
        </is>
      </c>
      <c r="E508" t="inlineStr">
        <is>
          <t>RAGUNDA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182-2023</t>
        </is>
      </c>
      <c r="B509" s="1" t="n">
        <v>44922</v>
      </c>
      <c r="C509" s="1" t="n">
        <v>45900</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41343-2024</t>
        </is>
      </c>
      <c r="B510" s="1" t="n">
        <v>45559.67745370371</v>
      </c>
      <c r="C510" s="1" t="n">
        <v>45900</v>
      </c>
      <c r="D510" t="inlineStr">
        <is>
          <t>JÄMTLANDS LÄN</t>
        </is>
      </c>
      <c r="E510" t="inlineStr">
        <is>
          <t>RAGUNDA</t>
        </is>
      </c>
      <c r="F510" t="inlineStr">
        <is>
          <t>SCA</t>
        </is>
      </c>
      <c r="G510" t="n">
        <v>25.1</v>
      </c>
      <c r="H510" t="n">
        <v>0</v>
      </c>
      <c r="I510" t="n">
        <v>0</v>
      </c>
      <c r="J510" t="n">
        <v>0</v>
      </c>
      <c r="K510" t="n">
        <v>0</v>
      </c>
      <c r="L510" t="n">
        <v>0</v>
      </c>
      <c r="M510" t="n">
        <v>0</v>
      </c>
      <c r="N510" t="n">
        <v>0</v>
      </c>
      <c r="O510" t="n">
        <v>0</v>
      </c>
      <c r="P510" t="n">
        <v>0</v>
      </c>
      <c r="Q510" t="n">
        <v>0</v>
      </c>
      <c r="R510" s="2" t="inlineStr"/>
    </row>
    <row r="511" ht="15" customHeight="1">
      <c r="A511" t="inlineStr">
        <is>
          <t>A 66011-2021</t>
        </is>
      </c>
      <c r="B511" s="1" t="n">
        <v>44517.58137731482</v>
      </c>
      <c r="C511" s="1" t="n">
        <v>45900</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12039-2023</t>
        </is>
      </c>
      <c r="B512" s="1" t="n">
        <v>44995.98341435185</v>
      </c>
      <c r="C512" s="1" t="n">
        <v>45900</v>
      </c>
      <c r="D512" t="inlineStr">
        <is>
          <t>JÄMTLANDS LÄN</t>
        </is>
      </c>
      <c r="E512" t="inlineStr">
        <is>
          <t>RAGUNDA</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12050-2023</t>
        </is>
      </c>
      <c r="B513" s="1" t="n">
        <v>44995.98644675926</v>
      </c>
      <c r="C513" s="1" t="n">
        <v>45900</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32904-2024</t>
        </is>
      </c>
      <c r="B514" s="1" t="n">
        <v>45516.94732638889</v>
      </c>
      <c r="C514" s="1" t="n">
        <v>45900</v>
      </c>
      <c r="D514" t="inlineStr">
        <is>
          <t>JÄMTLANDS LÄN</t>
        </is>
      </c>
      <c r="E514" t="inlineStr">
        <is>
          <t>RAGUNDA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2751-2024</t>
        </is>
      </c>
      <c r="B515" s="1" t="n">
        <v>45314</v>
      </c>
      <c r="C515" s="1" t="n">
        <v>45900</v>
      </c>
      <c r="D515" t="inlineStr">
        <is>
          <t>JÄMTLANDS LÄN</t>
        </is>
      </c>
      <c r="E515" t="inlineStr">
        <is>
          <t>RAGUNDA</t>
        </is>
      </c>
      <c r="G515" t="n">
        <v>1.8</v>
      </c>
      <c r="H515" t="n">
        <v>0</v>
      </c>
      <c r="I515" t="n">
        <v>0</v>
      </c>
      <c r="J515" t="n">
        <v>0</v>
      </c>
      <c r="K515" t="n">
        <v>0</v>
      </c>
      <c r="L515" t="n">
        <v>0</v>
      </c>
      <c r="M515" t="n">
        <v>0</v>
      </c>
      <c r="N515" t="n">
        <v>0</v>
      </c>
      <c r="O515" t="n">
        <v>0</v>
      </c>
      <c r="P515" t="n">
        <v>0</v>
      </c>
      <c r="Q515" t="n">
        <v>0</v>
      </c>
      <c r="R515" s="2" t="inlineStr"/>
    </row>
    <row r="516" ht="15" customHeight="1">
      <c r="A516" t="inlineStr">
        <is>
          <t>A 36986-2023</t>
        </is>
      </c>
      <c r="B516" s="1" t="n">
        <v>45154.95525462963</v>
      </c>
      <c r="C516" s="1" t="n">
        <v>45900</v>
      </c>
      <c r="D516" t="inlineStr">
        <is>
          <t>JÄMTLANDS LÄN</t>
        </is>
      </c>
      <c r="E516" t="inlineStr">
        <is>
          <t>RAGUNDA</t>
        </is>
      </c>
      <c r="F516" t="inlineStr">
        <is>
          <t>SCA</t>
        </is>
      </c>
      <c r="G516" t="n">
        <v>0.2</v>
      </c>
      <c r="H516" t="n">
        <v>0</v>
      </c>
      <c r="I516" t="n">
        <v>0</v>
      </c>
      <c r="J516" t="n">
        <v>0</v>
      </c>
      <c r="K516" t="n">
        <v>0</v>
      </c>
      <c r="L516" t="n">
        <v>0</v>
      </c>
      <c r="M516" t="n">
        <v>0</v>
      </c>
      <c r="N516" t="n">
        <v>0</v>
      </c>
      <c r="O516" t="n">
        <v>0</v>
      </c>
      <c r="P516" t="n">
        <v>0</v>
      </c>
      <c r="Q516" t="n">
        <v>0</v>
      </c>
      <c r="R516" s="2" t="inlineStr"/>
    </row>
    <row r="517" ht="15" customHeight="1">
      <c r="A517" t="inlineStr">
        <is>
          <t>A 14368-2024</t>
        </is>
      </c>
      <c r="B517" s="1" t="n">
        <v>45393.94431712963</v>
      </c>
      <c r="C517" s="1" t="n">
        <v>45900</v>
      </c>
      <c r="D517" t="inlineStr">
        <is>
          <t>JÄMTLANDS LÄN</t>
        </is>
      </c>
      <c r="E517" t="inlineStr">
        <is>
          <t>RAGUNDA</t>
        </is>
      </c>
      <c r="F517" t="inlineStr">
        <is>
          <t>Naturvårdsverket</t>
        </is>
      </c>
      <c r="G517" t="n">
        <v>1.6</v>
      </c>
      <c r="H517" t="n">
        <v>0</v>
      </c>
      <c r="I517" t="n">
        <v>0</v>
      </c>
      <c r="J517" t="n">
        <v>0</v>
      </c>
      <c r="K517" t="n">
        <v>0</v>
      </c>
      <c r="L517" t="n">
        <v>0</v>
      </c>
      <c r="M517" t="n">
        <v>0</v>
      </c>
      <c r="N517" t="n">
        <v>0</v>
      </c>
      <c r="O517" t="n">
        <v>0</v>
      </c>
      <c r="P517" t="n">
        <v>0</v>
      </c>
      <c r="Q517" t="n">
        <v>0</v>
      </c>
      <c r="R517" s="2" t="inlineStr"/>
    </row>
    <row r="518" ht="15" customHeight="1">
      <c r="A518" t="inlineStr">
        <is>
          <t>A 18159-2023</t>
        </is>
      </c>
      <c r="B518" s="1" t="n">
        <v>45040.94277777777</v>
      </c>
      <c r="C518" s="1" t="n">
        <v>45900</v>
      </c>
      <c r="D518" t="inlineStr">
        <is>
          <t>JÄMTLANDS LÄN</t>
        </is>
      </c>
      <c r="E518" t="inlineStr">
        <is>
          <t>RAGUNDA</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23528-2024</t>
        </is>
      </c>
      <c r="B519" s="1" t="n">
        <v>45453.95016203704</v>
      </c>
      <c r="C519" s="1" t="n">
        <v>45900</v>
      </c>
      <c r="D519" t="inlineStr">
        <is>
          <t>JÄMTLANDS LÄN</t>
        </is>
      </c>
      <c r="E519" t="inlineStr">
        <is>
          <t>RAGUNDA</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22898-2025</t>
        </is>
      </c>
      <c r="B520" s="1" t="n">
        <v>45790.40670138889</v>
      </c>
      <c r="C520" s="1" t="n">
        <v>45900</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22412-2024</t>
        </is>
      </c>
      <c r="B521" s="1" t="n">
        <v>45446.68947916666</v>
      </c>
      <c r="C521" s="1" t="n">
        <v>45900</v>
      </c>
      <c r="D521" t="inlineStr">
        <is>
          <t>JÄMTLANDS LÄN</t>
        </is>
      </c>
      <c r="E521" t="inlineStr">
        <is>
          <t>RAGUNDA</t>
        </is>
      </c>
      <c r="G521" t="n">
        <v>0.8</v>
      </c>
      <c r="H521" t="n">
        <v>0</v>
      </c>
      <c r="I521" t="n">
        <v>0</v>
      </c>
      <c r="J521" t="n">
        <v>0</v>
      </c>
      <c r="K521" t="n">
        <v>0</v>
      </c>
      <c r="L521" t="n">
        <v>0</v>
      </c>
      <c r="M521" t="n">
        <v>0</v>
      </c>
      <c r="N521" t="n">
        <v>0</v>
      </c>
      <c r="O521" t="n">
        <v>0</v>
      </c>
      <c r="P521" t="n">
        <v>0</v>
      </c>
      <c r="Q521" t="n">
        <v>0</v>
      </c>
      <c r="R521" s="2" t="inlineStr"/>
    </row>
    <row r="522" ht="15" customHeight="1">
      <c r="A522" t="inlineStr">
        <is>
          <t>A 24196-2024</t>
        </is>
      </c>
      <c r="B522" s="1" t="n">
        <v>45456.96569444444</v>
      </c>
      <c r="C522" s="1" t="n">
        <v>45900</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13700-2023</t>
        </is>
      </c>
      <c r="B523" s="1" t="n">
        <v>45006</v>
      </c>
      <c r="C523" s="1" t="n">
        <v>45900</v>
      </c>
      <c r="D523" t="inlineStr">
        <is>
          <t>JÄMTLANDS LÄN</t>
        </is>
      </c>
      <c r="E523" t="inlineStr">
        <is>
          <t>RAGUNDA</t>
        </is>
      </c>
      <c r="F523" t="inlineStr">
        <is>
          <t>SCA</t>
        </is>
      </c>
      <c r="G523" t="n">
        <v>50.3</v>
      </c>
      <c r="H523" t="n">
        <v>0</v>
      </c>
      <c r="I523" t="n">
        <v>0</v>
      </c>
      <c r="J523" t="n">
        <v>0</v>
      </c>
      <c r="K523" t="n">
        <v>0</v>
      </c>
      <c r="L523" t="n">
        <v>0</v>
      </c>
      <c r="M523" t="n">
        <v>0</v>
      </c>
      <c r="N523" t="n">
        <v>0</v>
      </c>
      <c r="O523" t="n">
        <v>0</v>
      </c>
      <c r="P523" t="n">
        <v>0</v>
      </c>
      <c r="Q523" t="n">
        <v>0</v>
      </c>
      <c r="R523" s="2" t="inlineStr"/>
    </row>
    <row r="524" ht="15" customHeight="1">
      <c r="A524" t="inlineStr">
        <is>
          <t>A 55701-2021</t>
        </is>
      </c>
      <c r="B524" s="1" t="n">
        <v>44475</v>
      </c>
      <c r="C524" s="1" t="n">
        <v>45900</v>
      </c>
      <c r="D524" t="inlineStr">
        <is>
          <t>JÄMTLANDS LÄN</t>
        </is>
      </c>
      <c r="E524" t="inlineStr">
        <is>
          <t>RAGUNDA</t>
        </is>
      </c>
      <c r="G524" t="n">
        <v>5.6</v>
      </c>
      <c r="H524" t="n">
        <v>0</v>
      </c>
      <c r="I524" t="n">
        <v>0</v>
      </c>
      <c r="J524" t="n">
        <v>0</v>
      </c>
      <c r="K524" t="n">
        <v>0</v>
      </c>
      <c r="L524" t="n">
        <v>0</v>
      </c>
      <c r="M524" t="n">
        <v>0</v>
      </c>
      <c r="N524" t="n">
        <v>0</v>
      </c>
      <c r="O524" t="n">
        <v>0</v>
      </c>
      <c r="P524" t="n">
        <v>0</v>
      </c>
      <c r="Q524" t="n">
        <v>0</v>
      </c>
      <c r="R524" s="2" t="inlineStr"/>
    </row>
    <row r="525" ht="15" customHeight="1">
      <c r="A525" t="inlineStr">
        <is>
          <t>A 37543-2023</t>
        </is>
      </c>
      <c r="B525" s="1" t="n">
        <v>45158.94231481481</v>
      </c>
      <c r="C525" s="1" t="n">
        <v>45900</v>
      </c>
      <c r="D525" t="inlineStr">
        <is>
          <t>JÄMTLANDS LÄN</t>
        </is>
      </c>
      <c r="E525" t="inlineStr">
        <is>
          <t>RAGUNDA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53171-2024</t>
        </is>
      </c>
      <c r="B526" s="1" t="n">
        <v>45611.65679398148</v>
      </c>
      <c r="C526" s="1" t="n">
        <v>45900</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1523-2024</t>
        </is>
      </c>
      <c r="B527" s="1" t="n">
        <v>45306</v>
      </c>
      <c r="C527" s="1" t="n">
        <v>45900</v>
      </c>
      <c r="D527" t="inlineStr">
        <is>
          <t>JÄMTLANDS LÄN</t>
        </is>
      </c>
      <c r="E527" t="inlineStr">
        <is>
          <t>RAGUNDA</t>
        </is>
      </c>
      <c r="G527" t="n">
        <v>4.1</v>
      </c>
      <c r="H527" t="n">
        <v>0</v>
      </c>
      <c r="I527" t="n">
        <v>0</v>
      </c>
      <c r="J527" t="n">
        <v>0</v>
      </c>
      <c r="K527" t="n">
        <v>0</v>
      </c>
      <c r="L527" t="n">
        <v>0</v>
      </c>
      <c r="M527" t="n">
        <v>0</v>
      </c>
      <c r="N527" t="n">
        <v>0</v>
      </c>
      <c r="O527" t="n">
        <v>0</v>
      </c>
      <c r="P527" t="n">
        <v>0</v>
      </c>
      <c r="Q527" t="n">
        <v>0</v>
      </c>
      <c r="R527" s="2" t="inlineStr"/>
    </row>
    <row r="528" ht="15" customHeight="1">
      <c r="A528" t="inlineStr">
        <is>
          <t>A 64265-2023</t>
        </is>
      </c>
      <c r="B528" s="1" t="n">
        <v>45279.94572916667</v>
      </c>
      <c r="C528" s="1" t="n">
        <v>45900</v>
      </c>
      <c r="D528" t="inlineStr">
        <is>
          <t>JÄMTLANDS LÄN</t>
        </is>
      </c>
      <c r="E528" t="inlineStr">
        <is>
          <t>RAGUNDA</t>
        </is>
      </c>
      <c r="F528" t="inlineStr">
        <is>
          <t>SCA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24171-2021</t>
        </is>
      </c>
      <c r="B529" s="1" t="n">
        <v>44336</v>
      </c>
      <c r="C529" s="1" t="n">
        <v>45900</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44605-2024</t>
        </is>
      </c>
      <c r="B530" s="1" t="n">
        <v>45574.51185185185</v>
      </c>
      <c r="C530" s="1" t="n">
        <v>45900</v>
      </c>
      <c r="D530" t="inlineStr">
        <is>
          <t>JÄMTLANDS LÄN</t>
        </is>
      </c>
      <c r="E530" t="inlineStr">
        <is>
          <t>RAGUNDA</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19438-2023</t>
        </is>
      </c>
      <c r="B531" s="1" t="n">
        <v>45049</v>
      </c>
      <c r="C531" s="1" t="n">
        <v>45900</v>
      </c>
      <c r="D531" t="inlineStr">
        <is>
          <t>JÄMTLANDS LÄN</t>
        </is>
      </c>
      <c r="E531" t="inlineStr">
        <is>
          <t>RAGUNDA</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23405-2025</t>
        </is>
      </c>
      <c r="B532" s="1" t="n">
        <v>45792.34527777778</v>
      </c>
      <c r="C532" s="1" t="n">
        <v>45900</v>
      </c>
      <c r="D532" t="inlineStr">
        <is>
          <t>JÄMTLANDS LÄN</t>
        </is>
      </c>
      <c r="E532" t="inlineStr">
        <is>
          <t>RAGUNDA</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2224-2024</t>
        </is>
      </c>
      <c r="B533" s="1" t="n">
        <v>45309.92524305556</v>
      </c>
      <c r="C533" s="1" t="n">
        <v>45900</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53136-2024</t>
        </is>
      </c>
      <c r="B534" s="1" t="n">
        <v>45611.5953125</v>
      </c>
      <c r="C534" s="1" t="n">
        <v>45900</v>
      </c>
      <c r="D534" t="inlineStr">
        <is>
          <t>JÄMTLANDS LÄN</t>
        </is>
      </c>
      <c r="E534" t="inlineStr">
        <is>
          <t>RAGUNDA</t>
        </is>
      </c>
      <c r="G534" t="n">
        <v>3.8</v>
      </c>
      <c r="H534" t="n">
        <v>0</v>
      </c>
      <c r="I534" t="n">
        <v>0</v>
      </c>
      <c r="J534" t="n">
        <v>0</v>
      </c>
      <c r="K534" t="n">
        <v>0</v>
      </c>
      <c r="L534" t="n">
        <v>0</v>
      </c>
      <c r="M534" t="n">
        <v>0</v>
      </c>
      <c r="N534" t="n">
        <v>0</v>
      </c>
      <c r="O534" t="n">
        <v>0</v>
      </c>
      <c r="P534" t="n">
        <v>0</v>
      </c>
      <c r="Q534" t="n">
        <v>0</v>
      </c>
      <c r="R534" s="2" t="inlineStr"/>
    </row>
    <row r="535" ht="15" customHeight="1">
      <c r="A535" t="inlineStr">
        <is>
          <t>A 23654-2025</t>
        </is>
      </c>
      <c r="B535" s="1" t="n">
        <v>45792.71905092592</v>
      </c>
      <c r="C535" s="1" t="n">
        <v>45900</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52228-2024</t>
        </is>
      </c>
      <c r="B536" s="1" t="n">
        <v>45608.6078587963</v>
      </c>
      <c r="C536" s="1" t="n">
        <v>45900</v>
      </c>
      <c r="D536" t="inlineStr">
        <is>
          <t>JÄMTLANDS LÄN</t>
        </is>
      </c>
      <c r="E536" t="inlineStr">
        <is>
          <t>RAGUNDA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23507-2025</t>
        </is>
      </c>
      <c r="B537" s="1" t="n">
        <v>45792.49023148148</v>
      </c>
      <c r="C537" s="1" t="n">
        <v>45900</v>
      </c>
      <c r="D537" t="inlineStr">
        <is>
          <t>JÄMTLANDS LÄN</t>
        </is>
      </c>
      <c r="E537" t="inlineStr">
        <is>
          <t>RAGUNDA</t>
        </is>
      </c>
      <c r="F537" t="inlineStr">
        <is>
          <t>SCA</t>
        </is>
      </c>
      <c r="G537" t="n">
        <v>16.4</v>
      </c>
      <c r="H537" t="n">
        <v>0</v>
      </c>
      <c r="I537" t="n">
        <v>0</v>
      </c>
      <c r="J537" t="n">
        <v>0</v>
      </c>
      <c r="K537" t="n">
        <v>0</v>
      </c>
      <c r="L537" t="n">
        <v>0</v>
      </c>
      <c r="M537" t="n">
        <v>0</v>
      </c>
      <c r="N537" t="n">
        <v>0</v>
      </c>
      <c r="O537" t="n">
        <v>0</v>
      </c>
      <c r="P537" t="n">
        <v>0</v>
      </c>
      <c r="Q537" t="n">
        <v>0</v>
      </c>
      <c r="R537" s="2" t="inlineStr"/>
    </row>
    <row r="538" ht="15" customHeight="1">
      <c r="A538" t="inlineStr">
        <is>
          <t>A 23586-2025</t>
        </is>
      </c>
      <c r="B538" s="1" t="n">
        <v>45792.63584490741</v>
      </c>
      <c r="C538" s="1" t="n">
        <v>45900</v>
      </c>
      <c r="D538" t="inlineStr">
        <is>
          <t>JÄMTLANDS LÄN</t>
        </is>
      </c>
      <c r="E538" t="inlineStr">
        <is>
          <t>RAGUNDA</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23413-2025</t>
        </is>
      </c>
      <c r="B539" s="1" t="n">
        <v>45792.34606481482</v>
      </c>
      <c r="C539" s="1" t="n">
        <v>45900</v>
      </c>
      <c r="D539" t="inlineStr">
        <is>
          <t>JÄMTLANDS LÄN</t>
        </is>
      </c>
      <c r="E539" t="inlineStr">
        <is>
          <t>RAGUNDA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59372-2024</t>
        </is>
      </c>
      <c r="B540" s="1" t="n">
        <v>45638.34431712963</v>
      </c>
      <c r="C540" s="1" t="n">
        <v>45900</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62115-2024</t>
        </is>
      </c>
      <c r="B541" s="1" t="n">
        <v>45656</v>
      </c>
      <c r="C541" s="1" t="n">
        <v>45900</v>
      </c>
      <c r="D541" t="inlineStr">
        <is>
          <t>JÄMTLANDS LÄN</t>
        </is>
      </c>
      <c r="E541" t="inlineStr">
        <is>
          <t>RAGUNDA</t>
        </is>
      </c>
      <c r="G541" t="n">
        <v>3.3</v>
      </c>
      <c r="H541" t="n">
        <v>0</v>
      </c>
      <c r="I541" t="n">
        <v>0</v>
      </c>
      <c r="J541" t="n">
        <v>0</v>
      </c>
      <c r="K541" t="n">
        <v>0</v>
      </c>
      <c r="L541" t="n">
        <v>0</v>
      </c>
      <c r="M541" t="n">
        <v>0</v>
      </c>
      <c r="N541" t="n">
        <v>0</v>
      </c>
      <c r="O541" t="n">
        <v>0</v>
      </c>
      <c r="P541" t="n">
        <v>0</v>
      </c>
      <c r="Q541" t="n">
        <v>0</v>
      </c>
      <c r="R541" s="2" t="inlineStr"/>
    </row>
    <row r="542" ht="15" customHeight="1">
      <c r="A542" t="inlineStr">
        <is>
          <t>A 4594-2024</t>
        </is>
      </c>
      <c r="B542" s="1" t="n">
        <v>45327.94459490741</v>
      </c>
      <c r="C542" s="1" t="n">
        <v>45900</v>
      </c>
      <c r="D542" t="inlineStr">
        <is>
          <t>JÄMTLANDS LÄN</t>
        </is>
      </c>
      <c r="E542" t="inlineStr">
        <is>
          <t>RAGUNDA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3018-2024</t>
        </is>
      </c>
      <c r="B543" s="1" t="n">
        <v>45315.9492824074</v>
      </c>
      <c r="C543" s="1" t="n">
        <v>45900</v>
      </c>
      <c r="D543" t="inlineStr">
        <is>
          <t>JÄMTLANDS LÄN</t>
        </is>
      </c>
      <c r="E543" t="inlineStr">
        <is>
          <t>RAGUNDA</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48065-2023</t>
        </is>
      </c>
      <c r="B544" s="1" t="n">
        <v>45204.94399305555</v>
      </c>
      <c r="C544" s="1" t="n">
        <v>45900</v>
      </c>
      <c r="D544" t="inlineStr">
        <is>
          <t>JÄMTLANDS LÄN</t>
        </is>
      </c>
      <c r="E544" t="inlineStr">
        <is>
          <t>RAGUNDA</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44597-2024</t>
        </is>
      </c>
      <c r="B545" s="1" t="n">
        <v>45574.51087962963</v>
      </c>
      <c r="C545" s="1" t="n">
        <v>45900</v>
      </c>
      <c r="D545" t="inlineStr">
        <is>
          <t>JÄMTLANDS LÄN</t>
        </is>
      </c>
      <c r="E545" t="inlineStr">
        <is>
          <t>RAGUNDA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44598-2024</t>
        </is>
      </c>
      <c r="B546" s="1" t="n">
        <v>45574.51090277778</v>
      </c>
      <c r="C546" s="1" t="n">
        <v>45900</v>
      </c>
      <c r="D546" t="inlineStr">
        <is>
          <t>JÄMTLANDS LÄN</t>
        </is>
      </c>
      <c r="E546" t="inlineStr">
        <is>
          <t>RAGUNDA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49659-2023</t>
        </is>
      </c>
      <c r="B547" s="1" t="n">
        <v>45211.95134259259</v>
      </c>
      <c r="C547" s="1" t="n">
        <v>45900</v>
      </c>
      <c r="D547" t="inlineStr">
        <is>
          <t>JÄMTLANDS LÄN</t>
        </is>
      </c>
      <c r="E547" t="inlineStr">
        <is>
          <t>RAGUNDA</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23734-2024</t>
        </is>
      </c>
      <c r="B548" s="1" t="n">
        <v>45454.95960648148</v>
      </c>
      <c r="C548" s="1" t="n">
        <v>45900</v>
      </c>
      <c r="D548" t="inlineStr">
        <is>
          <t>JÄMTLANDS LÄN</t>
        </is>
      </c>
      <c r="E548" t="inlineStr">
        <is>
          <t>RAGUNDA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12653-2024</t>
        </is>
      </c>
      <c r="B549" s="1" t="n">
        <v>45384</v>
      </c>
      <c r="C549" s="1" t="n">
        <v>45900</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23253-2025</t>
        </is>
      </c>
      <c r="B550" s="1" t="n">
        <v>45791.53238425926</v>
      </c>
      <c r="C550" s="1" t="n">
        <v>45900</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34483-2023</t>
        </is>
      </c>
      <c r="B551" s="1" t="n">
        <v>45139.94681712963</v>
      </c>
      <c r="C551" s="1" t="n">
        <v>45900</v>
      </c>
      <c r="D551" t="inlineStr">
        <is>
          <t>JÄMTLANDS LÄN</t>
        </is>
      </c>
      <c r="E551" t="inlineStr">
        <is>
          <t>RAGUNDA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23567-2024</t>
        </is>
      </c>
      <c r="B552" s="1" t="n">
        <v>45453.95538194444</v>
      </c>
      <c r="C552" s="1" t="n">
        <v>45900</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57116-2024</t>
        </is>
      </c>
      <c r="B553" s="1" t="n">
        <v>45629.36513888889</v>
      </c>
      <c r="C553" s="1" t="n">
        <v>45900</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38312-2024</t>
        </is>
      </c>
      <c r="B554" s="1" t="n">
        <v>45545.64957175926</v>
      </c>
      <c r="C554" s="1" t="n">
        <v>45900</v>
      </c>
      <c r="D554" t="inlineStr">
        <is>
          <t>JÄMTLANDS LÄN</t>
        </is>
      </c>
      <c r="E554" t="inlineStr">
        <is>
          <t>RAGUNDA</t>
        </is>
      </c>
      <c r="G554" t="n">
        <v>1.2</v>
      </c>
      <c r="H554" t="n">
        <v>0</v>
      </c>
      <c r="I554" t="n">
        <v>0</v>
      </c>
      <c r="J554" t="n">
        <v>0</v>
      </c>
      <c r="K554" t="n">
        <v>0</v>
      </c>
      <c r="L554" t="n">
        <v>0</v>
      </c>
      <c r="M554" t="n">
        <v>0</v>
      </c>
      <c r="N554" t="n">
        <v>0</v>
      </c>
      <c r="O554" t="n">
        <v>0</v>
      </c>
      <c r="P554" t="n">
        <v>0</v>
      </c>
      <c r="Q554" t="n">
        <v>0</v>
      </c>
      <c r="R554" s="2" t="inlineStr"/>
    </row>
    <row r="555" ht="15" customHeight="1">
      <c r="A555" t="inlineStr">
        <is>
          <t>A 9262-2025</t>
        </is>
      </c>
      <c r="B555" s="1" t="n">
        <v>45714.60649305556</v>
      </c>
      <c r="C555" s="1" t="n">
        <v>45900</v>
      </c>
      <c r="D555" t="inlineStr">
        <is>
          <t>JÄMTLANDS LÄN</t>
        </is>
      </c>
      <c r="E555" t="inlineStr">
        <is>
          <t>RAGUNDA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16982-2024</t>
        </is>
      </c>
      <c r="B556" s="1" t="n">
        <v>45412.02506944445</v>
      </c>
      <c r="C556" s="1" t="n">
        <v>45900</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18284-2025</t>
        </is>
      </c>
      <c r="B557" s="1" t="n">
        <v>45762.39876157408</v>
      </c>
      <c r="C557" s="1" t="n">
        <v>45900</v>
      </c>
      <c r="D557" t="inlineStr">
        <is>
          <t>JÄMTLANDS LÄN</t>
        </is>
      </c>
      <c r="E557" t="inlineStr">
        <is>
          <t>RAGUNDA</t>
        </is>
      </c>
      <c r="G557" t="n">
        <v>0.2</v>
      </c>
      <c r="H557" t="n">
        <v>0</v>
      </c>
      <c r="I557" t="n">
        <v>0</v>
      </c>
      <c r="J557" t="n">
        <v>0</v>
      </c>
      <c r="K557" t="n">
        <v>0</v>
      </c>
      <c r="L557" t="n">
        <v>0</v>
      </c>
      <c r="M557" t="n">
        <v>0</v>
      </c>
      <c r="N557" t="n">
        <v>0</v>
      </c>
      <c r="O557" t="n">
        <v>0</v>
      </c>
      <c r="P557" t="n">
        <v>0</v>
      </c>
      <c r="Q557" t="n">
        <v>0</v>
      </c>
      <c r="R557" s="2" t="inlineStr"/>
      <c r="U557">
        <f>HYPERLINK("https://klasma.github.io/Logging_2303/knärot/A 18284-2025 karta knärot.png", "A 18284-2025")</f>
        <v/>
      </c>
      <c r="V557">
        <f>HYPERLINK("https://klasma.github.io/Logging_2303/klagomål/A 18284-2025 FSC-klagomål.docx", "A 18284-2025")</f>
        <v/>
      </c>
      <c r="W557">
        <f>HYPERLINK("https://klasma.github.io/Logging_2303/klagomålsmail/A 18284-2025 FSC-klagomål mail.docx", "A 18284-2025")</f>
        <v/>
      </c>
      <c r="X557">
        <f>HYPERLINK("https://klasma.github.io/Logging_2303/tillsyn/A 18284-2025 tillsynsbegäran.docx", "A 18284-2025")</f>
        <v/>
      </c>
      <c r="Y557">
        <f>HYPERLINK("https://klasma.github.io/Logging_2303/tillsynsmail/A 18284-2025 tillsynsbegäran mail.docx", "A 18284-2025")</f>
        <v/>
      </c>
    </row>
    <row r="558" ht="15" customHeight="1">
      <c r="A558" t="inlineStr">
        <is>
          <t>A 56702-2023</t>
        </is>
      </c>
      <c r="B558" s="1" t="n">
        <v>45243</v>
      </c>
      <c r="C558" s="1" t="n">
        <v>45900</v>
      </c>
      <c r="D558" t="inlineStr">
        <is>
          <t>JÄMTLANDS LÄN</t>
        </is>
      </c>
      <c r="E558" t="inlineStr">
        <is>
          <t>RAGUNDA</t>
        </is>
      </c>
      <c r="F558" t="inlineStr">
        <is>
          <t>SCA</t>
        </is>
      </c>
      <c r="G558" t="n">
        <v>10.3</v>
      </c>
      <c r="H558" t="n">
        <v>0</v>
      </c>
      <c r="I558" t="n">
        <v>0</v>
      </c>
      <c r="J558" t="n">
        <v>0</v>
      </c>
      <c r="K558" t="n">
        <v>0</v>
      </c>
      <c r="L558" t="n">
        <v>0</v>
      </c>
      <c r="M558" t="n">
        <v>0</v>
      </c>
      <c r="N558" t="n">
        <v>0</v>
      </c>
      <c r="O558" t="n">
        <v>0</v>
      </c>
      <c r="P558" t="n">
        <v>0</v>
      </c>
      <c r="Q558" t="n">
        <v>0</v>
      </c>
      <c r="R558" s="2" t="inlineStr"/>
    </row>
    <row r="559" ht="15" customHeight="1">
      <c r="A559" t="inlineStr">
        <is>
          <t>A 63708-2023</t>
        </is>
      </c>
      <c r="B559" s="1" t="n">
        <v>45275.95060185185</v>
      </c>
      <c r="C559" s="1" t="n">
        <v>45900</v>
      </c>
      <c r="D559" t="inlineStr">
        <is>
          <t>JÄMTLANDS LÄN</t>
        </is>
      </c>
      <c r="E559" t="inlineStr">
        <is>
          <t>RAGUNDA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26651-2024</t>
        </is>
      </c>
      <c r="B560" s="1" t="n">
        <v>45469.94876157407</v>
      </c>
      <c r="C560" s="1" t="n">
        <v>45900</v>
      </c>
      <c r="D560" t="inlineStr">
        <is>
          <t>JÄMTLANDS LÄN</t>
        </is>
      </c>
      <c r="E560" t="inlineStr">
        <is>
          <t>RAGUNDA</t>
        </is>
      </c>
      <c r="F560" t="inlineStr">
        <is>
          <t>SCA</t>
        </is>
      </c>
      <c r="G560" t="n">
        <v>10.4</v>
      </c>
      <c r="H560" t="n">
        <v>0</v>
      </c>
      <c r="I560" t="n">
        <v>0</v>
      </c>
      <c r="J560" t="n">
        <v>0</v>
      </c>
      <c r="K560" t="n">
        <v>0</v>
      </c>
      <c r="L560" t="n">
        <v>0</v>
      </c>
      <c r="M560" t="n">
        <v>0</v>
      </c>
      <c r="N560" t="n">
        <v>0</v>
      </c>
      <c r="O560" t="n">
        <v>0</v>
      </c>
      <c r="P560" t="n">
        <v>0</v>
      </c>
      <c r="Q560" t="n">
        <v>0</v>
      </c>
      <c r="R560" s="2" t="inlineStr"/>
    </row>
    <row r="561" ht="15" customHeight="1">
      <c r="A561" t="inlineStr">
        <is>
          <t>A 58564-2024</t>
        </is>
      </c>
      <c r="B561" s="1" t="n">
        <v>45635.47243055556</v>
      </c>
      <c r="C561" s="1" t="n">
        <v>45900</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19263-2025</t>
        </is>
      </c>
      <c r="B562" s="1" t="n">
        <v>45769.51075231482</v>
      </c>
      <c r="C562" s="1" t="n">
        <v>45900</v>
      </c>
      <c r="D562" t="inlineStr">
        <is>
          <t>JÄMTLANDS LÄN</t>
        </is>
      </c>
      <c r="E562" t="inlineStr">
        <is>
          <t>RAGUNDA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53144-2024</t>
        </is>
      </c>
      <c r="B563" s="1" t="n">
        <v>45611</v>
      </c>
      <c r="C563" s="1" t="n">
        <v>45900</v>
      </c>
      <c r="D563" t="inlineStr">
        <is>
          <t>JÄMTLANDS LÄN</t>
        </is>
      </c>
      <c r="E563" t="inlineStr">
        <is>
          <t>RAGUNDA</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23840-2025</t>
        </is>
      </c>
      <c r="B564" s="1" t="n">
        <v>45793</v>
      </c>
      <c r="C564" s="1" t="n">
        <v>45900</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5806-2025</t>
        </is>
      </c>
      <c r="B565" s="1" t="n">
        <v>45694.69826388889</v>
      </c>
      <c r="C565" s="1" t="n">
        <v>45900</v>
      </c>
      <c r="D565" t="inlineStr">
        <is>
          <t>JÄMTLANDS LÄN</t>
        </is>
      </c>
      <c r="E565" t="inlineStr">
        <is>
          <t>RAGUNDA</t>
        </is>
      </c>
      <c r="F565" t="inlineStr">
        <is>
          <t>SCA</t>
        </is>
      </c>
      <c r="G565" t="n">
        <v>5.8</v>
      </c>
      <c r="H565" t="n">
        <v>0</v>
      </c>
      <c r="I565" t="n">
        <v>0</v>
      </c>
      <c r="J565" t="n">
        <v>0</v>
      </c>
      <c r="K565" t="n">
        <v>0</v>
      </c>
      <c r="L565" t="n">
        <v>0</v>
      </c>
      <c r="M565" t="n">
        <v>0</v>
      </c>
      <c r="N565" t="n">
        <v>0</v>
      </c>
      <c r="O565" t="n">
        <v>0</v>
      </c>
      <c r="P565" t="n">
        <v>0</v>
      </c>
      <c r="Q565" t="n">
        <v>0</v>
      </c>
      <c r="R565" s="2" t="inlineStr"/>
    </row>
    <row r="566" ht="15" customHeight="1">
      <c r="A566" t="inlineStr">
        <is>
          <t>A 24158-2025</t>
        </is>
      </c>
      <c r="B566" s="1" t="n">
        <v>45796</v>
      </c>
      <c r="C566" s="1" t="n">
        <v>45900</v>
      </c>
      <c r="D566" t="inlineStr">
        <is>
          <t>JÄMTLANDS LÄN</t>
        </is>
      </c>
      <c r="E566" t="inlineStr">
        <is>
          <t>RAGUNDA</t>
        </is>
      </c>
      <c r="G566" t="n">
        <v>2.9</v>
      </c>
      <c r="H566" t="n">
        <v>0</v>
      </c>
      <c r="I566" t="n">
        <v>0</v>
      </c>
      <c r="J566" t="n">
        <v>0</v>
      </c>
      <c r="K566" t="n">
        <v>0</v>
      </c>
      <c r="L566" t="n">
        <v>0</v>
      </c>
      <c r="M566" t="n">
        <v>0</v>
      </c>
      <c r="N566" t="n">
        <v>0</v>
      </c>
      <c r="O566" t="n">
        <v>0</v>
      </c>
      <c r="P566" t="n">
        <v>0</v>
      </c>
      <c r="Q566" t="n">
        <v>0</v>
      </c>
      <c r="R566" s="2" t="inlineStr"/>
    </row>
    <row r="567" ht="15" customHeight="1">
      <c r="A567" t="inlineStr">
        <is>
          <t>A 24161-2025</t>
        </is>
      </c>
      <c r="B567" s="1" t="n">
        <v>45796</v>
      </c>
      <c r="C567" s="1" t="n">
        <v>45900</v>
      </c>
      <c r="D567" t="inlineStr">
        <is>
          <t>JÄMTLANDS LÄN</t>
        </is>
      </c>
      <c r="E567" t="inlineStr">
        <is>
          <t>RAGUNDA</t>
        </is>
      </c>
      <c r="G567" t="n">
        <v>2.4</v>
      </c>
      <c r="H567" t="n">
        <v>0</v>
      </c>
      <c r="I567" t="n">
        <v>0</v>
      </c>
      <c r="J567" t="n">
        <v>0</v>
      </c>
      <c r="K567" t="n">
        <v>0</v>
      </c>
      <c r="L567" t="n">
        <v>0</v>
      </c>
      <c r="M567" t="n">
        <v>0</v>
      </c>
      <c r="N567" t="n">
        <v>0</v>
      </c>
      <c r="O567" t="n">
        <v>0</v>
      </c>
      <c r="P567" t="n">
        <v>0</v>
      </c>
      <c r="Q567" t="n">
        <v>0</v>
      </c>
      <c r="R567" s="2" t="inlineStr"/>
    </row>
    <row r="568" ht="15" customHeight="1">
      <c r="A568" t="inlineStr">
        <is>
          <t>A 32910-2024</t>
        </is>
      </c>
      <c r="B568" s="1" t="n">
        <v>45516.94934027778</v>
      </c>
      <c r="C568" s="1" t="n">
        <v>45900</v>
      </c>
      <c r="D568" t="inlineStr">
        <is>
          <t>JÄMTLANDS LÄN</t>
        </is>
      </c>
      <c r="E568" t="inlineStr">
        <is>
          <t>RAGUNDA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20773-2024</t>
        </is>
      </c>
      <c r="B569" s="1" t="n">
        <v>45436.94636574074</v>
      </c>
      <c r="C569" s="1" t="n">
        <v>45900</v>
      </c>
      <c r="D569" t="inlineStr">
        <is>
          <t>JÄMTLANDS LÄN</t>
        </is>
      </c>
      <c r="E569" t="inlineStr">
        <is>
          <t>RAGUNDA</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24157-2025</t>
        </is>
      </c>
      <c r="B570" s="1" t="n">
        <v>45796</v>
      </c>
      <c r="C570" s="1" t="n">
        <v>45900</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23841-2025</t>
        </is>
      </c>
      <c r="B571" s="1" t="n">
        <v>45793.61523148148</v>
      </c>
      <c r="C571" s="1" t="n">
        <v>45900</v>
      </c>
      <c r="D571" t="inlineStr">
        <is>
          <t>JÄMTLANDS LÄN</t>
        </is>
      </c>
      <c r="E571" t="inlineStr">
        <is>
          <t>RAGUNDA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50486-2023</t>
        </is>
      </c>
      <c r="B572" s="1" t="n">
        <v>45216.92424768519</v>
      </c>
      <c r="C572" s="1" t="n">
        <v>45900</v>
      </c>
      <c r="D572" t="inlineStr">
        <is>
          <t>JÄMTLANDS LÄN</t>
        </is>
      </c>
      <c r="E572" t="inlineStr">
        <is>
          <t>RAGUNDA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24159-2025</t>
        </is>
      </c>
      <c r="B573" s="1" t="n">
        <v>45796</v>
      </c>
      <c r="C573" s="1" t="n">
        <v>45900</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21524-2024</t>
        </is>
      </c>
      <c r="B574" s="1" t="n">
        <v>45441</v>
      </c>
      <c r="C574" s="1" t="n">
        <v>45900</v>
      </c>
      <c r="D574" t="inlineStr">
        <is>
          <t>JÄMTLANDS LÄN</t>
        </is>
      </c>
      <c r="E574" t="inlineStr">
        <is>
          <t>RAGUNDA</t>
        </is>
      </c>
      <c r="G574" t="n">
        <v>1.6</v>
      </c>
      <c r="H574" t="n">
        <v>0</v>
      </c>
      <c r="I574" t="n">
        <v>0</v>
      </c>
      <c r="J574" t="n">
        <v>0</v>
      </c>
      <c r="K574" t="n">
        <v>0</v>
      </c>
      <c r="L574" t="n">
        <v>0</v>
      </c>
      <c r="M574" t="n">
        <v>0</v>
      </c>
      <c r="N574" t="n">
        <v>0</v>
      </c>
      <c r="O574" t="n">
        <v>0</v>
      </c>
      <c r="P574" t="n">
        <v>0</v>
      </c>
      <c r="Q574" t="n">
        <v>0</v>
      </c>
      <c r="R574" s="2" t="inlineStr"/>
    </row>
    <row r="575" ht="15" customHeight="1">
      <c r="A575" t="inlineStr">
        <is>
          <t>A 9084-2023</t>
        </is>
      </c>
      <c r="B575" s="1" t="n">
        <v>44979</v>
      </c>
      <c r="C575" s="1" t="n">
        <v>45900</v>
      </c>
      <c r="D575" t="inlineStr">
        <is>
          <t>JÄMTLANDS LÄN</t>
        </is>
      </c>
      <c r="E575" t="inlineStr">
        <is>
          <t>RAGUNDA</t>
        </is>
      </c>
      <c r="G575" t="n">
        <v>1.9</v>
      </c>
      <c r="H575" t="n">
        <v>0</v>
      </c>
      <c r="I575" t="n">
        <v>0</v>
      </c>
      <c r="J575" t="n">
        <v>0</v>
      </c>
      <c r="K575" t="n">
        <v>0</v>
      </c>
      <c r="L575" t="n">
        <v>0</v>
      </c>
      <c r="M575" t="n">
        <v>0</v>
      </c>
      <c r="N575" t="n">
        <v>0</v>
      </c>
      <c r="O575" t="n">
        <v>0</v>
      </c>
      <c r="P575" t="n">
        <v>0</v>
      </c>
      <c r="Q575" t="n">
        <v>0</v>
      </c>
      <c r="R575" s="2" t="inlineStr"/>
    </row>
    <row r="576" ht="15" customHeight="1">
      <c r="A576" t="inlineStr">
        <is>
          <t>A 9360-2023</t>
        </is>
      </c>
      <c r="B576" s="1" t="n">
        <v>44980.93865740741</v>
      </c>
      <c r="C576" s="1" t="n">
        <v>45900</v>
      </c>
      <c r="D576" t="inlineStr">
        <is>
          <t>JÄMTLANDS LÄN</t>
        </is>
      </c>
      <c r="E576" t="inlineStr">
        <is>
          <t>RAGUNDA</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66706-2021</t>
        </is>
      </c>
      <c r="B577" s="1" t="n">
        <v>44519.94440972222</v>
      </c>
      <c r="C577" s="1" t="n">
        <v>45900</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62407-2023</t>
        </is>
      </c>
      <c r="B578" s="1" t="n">
        <v>45266</v>
      </c>
      <c r="C578" s="1" t="n">
        <v>45900</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38191-2024</t>
        </is>
      </c>
      <c r="B579" s="1" t="n">
        <v>45545.49078703704</v>
      </c>
      <c r="C579" s="1" t="n">
        <v>45900</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32259-2024</t>
        </is>
      </c>
      <c r="B580" s="1" t="n">
        <v>45511</v>
      </c>
      <c r="C580" s="1" t="n">
        <v>45900</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14076-2023</t>
        </is>
      </c>
      <c r="B581" s="1" t="n">
        <v>45009.0897337963</v>
      </c>
      <c r="C581" s="1" t="n">
        <v>45900</v>
      </c>
      <c r="D581" t="inlineStr">
        <is>
          <t>JÄMTLANDS LÄN</t>
        </is>
      </c>
      <c r="E581" t="inlineStr">
        <is>
          <t>RAGUNDA</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45335-2023</t>
        </is>
      </c>
      <c r="B582" s="1" t="n">
        <v>45191</v>
      </c>
      <c r="C582" s="1" t="n">
        <v>45900</v>
      </c>
      <c r="D582" t="inlineStr">
        <is>
          <t>JÄMTLANDS LÄN</t>
        </is>
      </c>
      <c r="E582" t="inlineStr">
        <is>
          <t>RAGUNDA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24391-2025</t>
        </is>
      </c>
      <c r="B583" s="1" t="n">
        <v>45797.63627314815</v>
      </c>
      <c r="C583" s="1" t="n">
        <v>45900</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25376-2025</t>
        </is>
      </c>
      <c r="B584" s="1" t="n">
        <v>45800.63619212963</v>
      </c>
      <c r="C584" s="1" t="n">
        <v>45900</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10972-2022</t>
        </is>
      </c>
      <c r="B585" s="1" t="n">
        <v>44628</v>
      </c>
      <c r="C585" s="1" t="n">
        <v>45900</v>
      </c>
      <c r="D585" t="inlineStr">
        <is>
          <t>JÄMTLANDS LÄN</t>
        </is>
      </c>
      <c r="E585" t="inlineStr">
        <is>
          <t>RAGUNDA</t>
        </is>
      </c>
      <c r="G585" t="n">
        <v>9.5</v>
      </c>
      <c r="H585" t="n">
        <v>0</v>
      </c>
      <c r="I585" t="n">
        <v>0</v>
      </c>
      <c r="J585" t="n">
        <v>0</v>
      </c>
      <c r="K585" t="n">
        <v>0</v>
      </c>
      <c r="L585" t="n">
        <v>0</v>
      </c>
      <c r="M585" t="n">
        <v>0</v>
      </c>
      <c r="N585" t="n">
        <v>0</v>
      </c>
      <c r="O585" t="n">
        <v>0</v>
      </c>
      <c r="P585" t="n">
        <v>0</v>
      </c>
      <c r="Q585" t="n">
        <v>0</v>
      </c>
      <c r="R585" s="2" t="inlineStr"/>
    </row>
    <row r="586" ht="15" customHeight="1">
      <c r="A586" t="inlineStr">
        <is>
          <t>A 18778-2024</t>
        </is>
      </c>
      <c r="B586" s="1" t="n">
        <v>45426</v>
      </c>
      <c r="C586" s="1" t="n">
        <v>45900</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18781-2024</t>
        </is>
      </c>
      <c r="B587" s="1" t="n">
        <v>45426</v>
      </c>
      <c r="C587" s="1" t="n">
        <v>45900</v>
      </c>
      <c r="D587" t="inlineStr">
        <is>
          <t>JÄMTLANDS LÄN</t>
        </is>
      </c>
      <c r="E587" t="inlineStr">
        <is>
          <t>RAGUNDA</t>
        </is>
      </c>
      <c r="G587" t="n">
        <v>0.9</v>
      </c>
      <c r="H587" t="n">
        <v>0</v>
      </c>
      <c r="I587" t="n">
        <v>0</v>
      </c>
      <c r="J587" t="n">
        <v>0</v>
      </c>
      <c r="K587" t="n">
        <v>0</v>
      </c>
      <c r="L587" t="n">
        <v>0</v>
      </c>
      <c r="M587" t="n">
        <v>0</v>
      </c>
      <c r="N587" t="n">
        <v>0</v>
      </c>
      <c r="O587" t="n">
        <v>0</v>
      </c>
      <c r="P587" t="n">
        <v>0</v>
      </c>
      <c r="Q587" t="n">
        <v>0</v>
      </c>
      <c r="R587" s="2" t="inlineStr"/>
    </row>
    <row r="588" ht="15" customHeight="1">
      <c r="A588" t="inlineStr">
        <is>
          <t>A 17248-2023</t>
        </is>
      </c>
      <c r="B588" s="1" t="n">
        <v>45033</v>
      </c>
      <c r="C588" s="1" t="n">
        <v>45900</v>
      </c>
      <c r="D588" t="inlineStr">
        <is>
          <t>JÄMTLANDS LÄN</t>
        </is>
      </c>
      <c r="E588" t="inlineStr">
        <is>
          <t>RAGUNDA</t>
        </is>
      </c>
      <c r="G588" t="n">
        <v>3</v>
      </c>
      <c r="H588" t="n">
        <v>0</v>
      </c>
      <c r="I588" t="n">
        <v>0</v>
      </c>
      <c r="J588" t="n">
        <v>0</v>
      </c>
      <c r="K588" t="n">
        <v>0</v>
      </c>
      <c r="L588" t="n">
        <v>0</v>
      </c>
      <c r="M588" t="n">
        <v>0</v>
      </c>
      <c r="N588" t="n">
        <v>0</v>
      </c>
      <c r="O588" t="n">
        <v>0</v>
      </c>
      <c r="P588" t="n">
        <v>0</v>
      </c>
      <c r="Q588" t="n">
        <v>0</v>
      </c>
      <c r="R588" s="2" t="inlineStr"/>
    </row>
    <row r="589" ht="15" customHeight="1">
      <c r="A589" t="inlineStr">
        <is>
          <t>A 24732-2025</t>
        </is>
      </c>
      <c r="B589" s="1" t="n">
        <v>45799.34421296296</v>
      </c>
      <c r="C589" s="1" t="n">
        <v>45900</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53263-2024</t>
        </is>
      </c>
      <c r="B590" s="1" t="n">
        <v>45614.34541666666</v>
      </c>
      <c r="C590" s="1" t="n">
        <v>45900</v>
      </c>
      <c r="D590" t="inlineStr">
        <is>
          <t>JÄMTLANDS LÄN</t>
        </is>
      </c>
      <c r="E590" t="inlineStr">
        <is>
          <t>RAGUNDA</t>
        </is>
      </c>
      <c r="G590" t="n">
        <v>1.9</v>
      </c>
      <c r="H590" t="n">
        <v>0</v>
      </c>
      <c r="I590" t="n">
        <v>0</v>
      </c>
      <c r="J590" t="n">
        <v>0</v>
      </c>
      <c r="K590" t="n">
        <v>0</v>
      </c>
      <c r="L590" t="n">
        <v>0</v>
      </c>
      <c r="M590" t="n">
        <v>0</v>
      </c>
      <c r="N590" t="n">
        <v>0</v>
      </c>
      <c r="O590" t="n">
        <v>0</v>
      </c>
      <c r="P590" t="n">
        <v>0</v>
      </c>
      <c r="Q590" t="n">
        <v>0</v>
      </c>
      <c r="R590" s="2" t="inlineStr"/>
    </row>
    <row r="591" ht="15" customHeight="1">
      <c r="A591" t="inlineStr">
        <is>
          <t>A 58630-2024</t>
        </is>
      </c>
      <c r="B591" s="1" t="n">
        <v>45635.57331018519</v>
      </c>
      <c r="C591" s="1" t="n">
        <v>45900</v>
      </c>
      <c r="D591" t="inlineStr">
        <is>
          <t>JÄMTLANDS LÄN</t>
        </is>
      </c>
      <c r="E591" t="inlineStr">
        <is>
          <t>RAGUNDA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43102-2023</t>
        </is>
      </c>
      <c r="B592" s="1" t="n">
        <v>45182</v>
      </c>
      <c r="C592" s="1" t="n">
        <v>45900</v>
      </c>
      <c r="D592" t="inlineStr">
        <is>
          <t>JÄMTLANDS LÄN</t>
        </is>
      </c>
      <c r="E592" t="inlineStr">
        <is>
          <t>RAGUNDA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14896-2022</t>
        </is>
      </c>
      <c r="B593" s="1" t="n">
        <v>44656</v>
      </c>
      <c r="C593" s="1" t="n">
        <v>45900</v>
      </c>
      <c r="D593" t="inlineStr">
        <is>
          <t>JÄMTLANDS LÄN</t>
        </is>
      </c>
      <c r="E593" t="inlineStr">
        <is>
          <t>RAGUNDA</t>
        </is>
      </c>
      <c r="F593" t="inlineStr">
        <is>
          <t>SCA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11551-2024</t>
        </is>
      </c>
      <c r="B594" s="1" t="n">
        <v>45372.95762731481</v>
      </c>
      <c r="C594" s="1" t="n">
        <v>45900</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25350-2025</t>
        </is>
      </c>
      <c r="B595" s="1" t="n">
        <v>45800</v>
      </c>
      <c r="C595" s="1" t="n">
        <v>45900</v>
      </c>
      <c r="D595" t="inlineStr">
        <is>
          <t>JÄMTLANDS LÄN</t>
        </is>
      </c>
      <c r="E595" t="inlineStr">
        <is>
          <t>RAGUNDA</t>
        </is>
      </c>
      <c r="G595" t="n">
        <v>2.4</v>
      </c>
      <c r="H595" t="n">
        <v>0</v>
      </c>
      <c r="I595" t="n">
        <v>0</v>
      </c>
      <c r="J595" t="n">
        <v>0</v>
      </c>
      <c r="K595" t="n">
        <v>0</v>
      </c>
      <c r="L595" t="n">
        <v>0</v>
      </c>
      <c r="M595" t="n">
        <v>0</v>
      </c>
      <c r="N595" t="n">
        <v>0</v>
      </c>
      <c r="O595" t="n">
        <v>0</v>
      </c>
      <c r="P595" t="n">
        <v>0</v>
      </c>
      <c r="Q595" t="n">
        <v>0</v>
      </c>
      <c r="R595" s="2" t="inlineStr"/>
    </row>
    <row r="596" ht="15" customHeight="1">
      <c r="A596" t="inlineStr">
        <is>
          <t>A 25152-2025</t>
        </is>
      </c>
      <c r="B596" s="1" t="n">
        <v>45800.42743055556</v>
      </c>
      <c r="C596" s="1" t="n">
        <v>45900</v>
      </c>
      <c r="D596" t="inlineStr">
        <is>
          <t>JÄMTLANDS LÄN</t>
        </is>
      </c>
      <c r="E596" t="inlineStr">
        <is>
          <t>RAGUNDA</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57839-2022</t>
        </is>
      </c>
      <c r="B597" s="1" t="n">
        <v>44897</v>
      </c>
      <c r="C597" s="1" t="n">
        <v>45900</v>
      </c>
      <c r="D597" t="inlineStr">
        <is>
          <t>JÄMTLANDS LÄN</t>
        </is>
      </c>
      <c r="E597" t="inlineStr">
        <is>
          <t>RAGUNDA</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45900</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45900</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60663-2022</t>
        </is>
      </c>
      <c r="B600" s="1" t="n">
        <v>44911.93846064815</v>
      </c>
      <c r="C600" s="1" t="n">
        <v>45900</v>
      </c>
      <c r="D600" t="inlineStr">
        <is>
          <t>JÄMTLANDS LÄN</t>
        </is>
      </c>
      <c r="E600" t="inlineStr">
        <is>
          <t>RAGUNDA</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6694-2024</t>
        </is>
      </c>
      <c r="B601" s="1" t="n">
        <v>45341.95381944445</v>
      </c>
      <c r="C601" s="1" t="n">
        <v>45900</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25631-2025</t>
        </is>
      </c>
      <c r="B602" s="1" t="n">
        <v>45803.5946875</v>
      </c>
      <c r="C602" s="1" t="n">
        <v>45900</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21083-2024</t>
        </is>
      </c>
      <c r="B603" s="1" t="n">
        <v>45439.92752314815</v>
      </c>
      <c r="C603" s="1" t="n">
        <v>45900</v>
      </c>
      <c r="D603" t="inlineStr">
        <is>
          <t>JÄMTLANDS LÄN</t>
        </is>
      </c>
      <c r="E603" t="inlineStr">
        <is>
          <t>RAGUNDA</t>
        </is>
      </c>
      <c r="G603" t="n">
        <v>1.5</v>
      </c>
      <c r="H603" t="n">
        <v>0</v>
      </c>
      <c r="I603" t="n">
        <v>0</v>
      </c>
      <c r="J603" t="n">
        <v>0</v>
      </c>
      <c r="K603" t="n">
        <v>0</v>
      </c>
      <c r="L603" t="n">
        <v>0</v>
      </c>
      <c r="M603" t="n">
        <v>0</v>
      </c>
      <c r="N603" t="n">
        <v>0</v>
      </c>
      <c r="O603" t="n">
        <v>0</v>
      </c>
      <c r="P603" t="n">
        <v>0</v>
      </c>
      <c r="Q603" t="n">
        <v>0</v>
      </c>
      <c r="R603" s="2" t="inlineStr"/>
    </row>
    <row r="604" ht="15" customHeight="1">
      <c r="A604" t="inlineStr">
        <is>
          <t>A 25659-2025</t>
        </is>
      </c>
      <c r="B604" s="1" t="n">
        <v>45803.61552083334</v>
      </c>
      <c r="C604" s="1" t="n">
        <v>45900</v>
      </c>
      <c r="D604" t="inlineStr">
        <is>
          <t>JÄMTLANDS LÄN</t>
        </is>
      </c>
      <c r="E604" t="inlineStr">
        <is>
          <t>RAGUNDA</t>
        </is>
      </c>
      <c r="G604" t="n">
        <v>1.5</v>
      </c>
      <c r="H604" t="n">
        <v>0</v>
      </c>
      <c r="I604" t="n">
        <v>0</v>
      </c>
      <c r="J604" t="n">
        <v>0</v>
      </c>
      <c r="K604" t="n">
        <v>0</v>
      </c>
      <c r="L604" t="n">
        <v>0</v>
      </c>
      <c r="M604" t="n">
        <v>0</v>
      </c>
      <c r="N604" t="n">
        <v>0</v>
      </c>
      <c r="O604" t="n">
        <v>0</v>
      </c>
      <c r="P604" t="n">
        <v>0</v>
      </c>
      <c r="Q604" t="n">
        <v>0</v>
      </c>
      <c r="R604" s="2" t="inlineStr"/>
    </row>
    <row r="605" ht="15" customHeight="1">
      <c r="A605" t="inlineStr">
        <is>
          <t>A 25661-2025</t>
        </is>
      </c>
      <c r="B605" s="1" t="n">
        <v>45803.61557870371</v>
      </c>
      <c r="C605" s="1" t="n">
        <v>45900</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25944-2025</t>
        </is>
      </c>
      <c r="B606" s="1" t="n">
        <v>45804.59487268519</v>
      </c>
      <c r="C606" s="1" t="n">
        <v>45900</v>
      </c>
      <c r="D606" t="inlineStr">
        <is>
          <t>JÄMTLANDS LÄN</t>
        </is>
      </c>
      <c r="E606" t="inlineStr">
        <is>
          <t>RAGUNDA</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25814-2025</t>
        </is>
      </c>
      <c r="B607" s="1" t="n">
        <v>45804.42642361111</v>
      </c>
      <c r="C607" s="1" t="n">
        <v>45900</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59759-2024</t>
        </is>
      </c>
      <c r="B608" s="1" t="n">
        <v>45639.55240740741</v>
      </c>
      <c r="C608" s="1" t="n">
        <v>45900</v>
      </c>
      <c r="D608" t="inlineStr">
        <is>
          <t>JÄMTLANDS LÄN</t>
        </is>
      </c>
      <c r="E608" t="inlineStr">
        <is>
          <t>RAGUNDA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30053-2024</t>
        </is>
      </c>
      <c r="B609" s="1" t="n">
        <v>45488.94747685185</v>
      </c>
      <c r="C609" s="1" t="n">
        <v>45900</v>
      </c>
      <c r="D609" t="inlineStr">
        <is>
          <t>JÄMTLANDS LÄN</t>
        </is>
      </c>
      <c r="E609" t="inlineStr">
        <is>
          <t>RAGUNDA</t>
        </is>
      </c>
      <c r="F609" t="inlineStr">
        <is>
          <t>SCA</t>
        </is>
      </c>
      <c r="G609" t="n">
        <v>9.6</v>
      </c>
      <c r="H609" t="n">
        <v>0</v>
      </c>
      <c r="I609" t="n">
        <v>0</v>
      </c>
      <c r="J609" t="n">
        <v>0</v>
      </c>
      <c r="K609" t="n">
        <v>0</v>
      </c>
      <c r="L609" t="n">
        <v>0</v>
      </c>
      <c r="M609" t="n">
        <v>0</v>
      </c>
      <c r="N609" t="n">
        <v>0</v>
      </c>
      <c r="O609" t="n">
        <v>0</v>
      </c>
      <c r="P609" t="n">
        <v>0</v>
      </c>
      <c r="Q609" t="n">
        <v>0</v>
      </c>
      <c r="R609" s="2" t="inlineStr"/>
    </row>
    <row r="610" ht="15" customHeight="1">
      <c r="A610" t="inlineStr">
        <is>
          <t>A 12204-2025</t>
        </is>
      </c>
      <c r="B610" s="1" t="n">
        <v>45729.51074074074</v>
      </c>
      <c r="C610" s="1" t="n">
        <v>45900</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59496-2024</t>
        </is>
      </c>
      <c r="B611" s="1" t="n">
        <v>45638</v>
      </c>
      <c r="C611" s="1" t="n">
        <v>45900</v>
      </c>
      <c r="D611" t="inlineStr">
        <is>
          <t>JÄMTLANDS LÄN</t>
        </is>
      </c>
      <c r="E611" t="inlineStr">
        <is>
          <t>RAGUNDA</t>
        </is>
      </c>
      <c r="G611" t="n">
        <v>13.1</v>
      </c>
      <c r="H611" t="n">
        <v>0</v>
      </c>
      <c r="I611" t="n">
        <v>0</v>
      </c>
      <c r="J611" t="n">
        <v>0</v>
      </c>
      <c r="K611" t="n">
        <v>0</v>
      </c>
      <c r="L611" t="n">
        <v>0</v>
      </c>
      <c r="M611" t="n">
        <v>0</v>
      </c>
      <c r="N611" t="n">
        <v>0</v>
      </c>
      <c r="O611" t="n">
        <v>0</v>
      </c>
      <c r="P611" t="n">
        <v>0</v>
      </c>
      <c r="Q611" t="n">
        <v>0</v>
      </c>
      <c r="R611" s="2" t="inlineStr"/>
    </row>
    <row r="612" ht="15" customHeight="1">
      <c r="A612" t="inlineStr">
        <is>
          <t>A 37265-2024</t>
        </is>
      </c>
      <c r="B612" s="1" t="n">
        <v>45540.38564814815</v>
      </c>
      <c r="C612" s="1" t="n">
        <v>45900</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18612-2024</t>
        </is>
      </c>
      <c r="B613" s="1" t="n">
        <v>45425.96239583333</v>
      </c>
      <c r="C613" s="1" t="n">
        <v>45900</v>
      </c>
      <c r="D613" t="inlineStr">
        <is>
          <t>JÄMTLANDS LÄN</t>
        </is>
      </c>
      <c r="E613" t="inlineStr">
        <is>
          <t>RAGUNDA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48249-2024</t>
        </is>
      </c>
      <c r="B614" s="1" t="n">
        <v>45590.40675925926</v>
      </c>
      <c r="C614" s="1" t="n">
        <v>45900</v>
      </c>
      <c r="D614" t="inlineStr">
        <is>
          <t>JÄMTLANDS LÄN</t>
        </is>
      </c>
      <c r="E614" t="inlineStr">
        <is>
          <t>RAGUNDA</t>
        </is>
      </c>
      <c r="F614" t="inlineStr">
        <is>
          <t>SCA</t>
        </is>
      </c>
      <c r="G614" t="n">
        <v>14.4</v>
      </c>
      <c r="H614" t="n">
        <v>0</v>
      </c>
      <c r="I614" t="n">
        <v>0</v>
      </c>
      <c r="J614" t="n">
        <v>0</v>
      </c>
      <c r="K614" t="n">
        <v>0</v>
      </c>
      <c r="L614" t="n">
        <v>0</v>
      </c>
      <c r="M614" t="n">
        <v>0</v>
      </c>
      <c r="N614" t="n">
        <v>0</v>
      </c>
      <c r="O614" t="n">
        <v>0</v>
      </c>
      <c r="P614" t="n">
        <v>0</v>
      </c>
      <c r="Q614" t="n">
        <v>0</v>
      </c>
      <c r="R614" s="2" t="inlineStr"/>
    </row>
    <row r="615" ht="15" customHeight="1">
      <c r="A615" t="inlineStr">
        <is>
          <t>A 25630-2025</t>
        </is>
      </c>
      <c r="B615" s="1" t="n">
        <v>45803.59417824074</v>
      </c>
      <c r="C615" s="1" t="n">
        <v>45900</v>
      </c>
      <c r="D615" t="inlineStr">
        <is>
          <t>JÄMTLANDS LÄN</t>
        </is>
      </c>
      <c r="E615" t="inlineStr">
        <is>
          <t>RAGUNDA</t>
        </is>
      </c>
      <c r="G615" t="n">
        <v>6.9</v>
      </c>
      <c r="H615" t="n">
        <v>0</v>
      </c>
      <c r="I615" t="n">
        <v>0</v>
      </c>
      <c r="J615" t="n">
        <v>0</v>
      </c>
      <c r="K615" t="n">
        <v>0</v>
      </c>
      <c r="L615" t="n">
        <v>0</v>
      </c>
      <c r="M615" t="n">
        <v>0</v>
      </c>
      <c r="N615" t="n">
        <v>0</v>
      </c>
      <c r="O615" t="n">
        <v>0</v>
      </c>
      <c r="P615" t="n">
        <v>0</v>
      </c>
      <c r="Q615" t="n">
        <v>0</v>
      </c>
      <c r="R615" s="2" t="inlineStr"/>
    </row>
    <row r="616" ht="15" customHeight="1">
      <c r="A616" t="inlineStr">
        <is>
          <t>A 11245-2025</t>
        </is>
      </c>
      <c r="B616" s="1" t="n">
        <v>45726.38575231482</v>
      </c>
      <c r="C616" s="1" t="n">
        <v>45900</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13905-2025</t>
        </is>
      </c>
      <c r="B617" s="1" t="n">
        <v>45737.63574074074</v>
      </c>
      <c r="C617" s="1" t="n">
        <v>45900</v>
      </c>
      <c r="D617" t="inlineStr">
        <is>
          <t>JÄMTLANDS LÄN</t>
        </is>
      </c>
      <c r="E617" t="inlineStr">
        <is>
          <t>RAGUNDA</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19613-2023</t>
        </is>
      </c>
      <c r="B618" s="1" t="n">
        <v>45050.94020833333</v>
      </c>
      <c r="C618" s="1" t="n">
        <v>45900</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25994-2025</t>
        </is>
      </c>
      <c r="B619" s="1" t="n">
        <v>45804.65672453704</v>
      </c>
      <c r="C619" s="1" t="n">
        <v>45900</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26283-2025</t>
        </is>
      </c>
      <c r="B620" s="1" t="n">
        <v>45805.61495370371</v>
      </c>
      <c r="C620" s="1" t="n">
        <v>45900</v>
      </c>
      <c r="D620" t="inlineStr">
        <is>
          <t>JÄMTLANDS LÄN</t>
        </is>
      </c>
      <c r="E620" t="inlineStr">
        <is>
          <t>RAGUNDA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61934-2022</t>
        </is>
      </c>
      <c r="B621" s="1" t="n">
        <v>44917</v>
      </c>
      <c r="C621" s="1" t="n">
        <v>45900</v>
      </c>
      <c r="D621" t="inlineStr">
        <is>
          <t>JÄMTLANDS LÄN</t>
        </is>
      </c>
      <c r="E621" t="inlineStr">
        <is>
          <t>RAGUNDA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11558-2023</t>
        </is>
      </c>
      <c r="B622" s="1" t="n">
        <v>44993.94958333333</v>
      </c>
      <c r="C622" s="1" t="n">
        <v>45900</v>
      </c>
      <c r="D622" t="inlineStr">
        <is>
          <t>JÄMTLANDS LÄN</t>
        </is>
      </c>
      <c r="E622" t="inlineStr">
        <is>
          <t>RAGUNDA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24258-2025</t>
        </is>
      </c>
      <c r="B623" s="1" t="n">
        <v>45797.40800925926</v>
      </c>
      <c r="C623" s="1" t="n">
        <v>45900</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26172-2025</t>
        </is>
      </c>
      <c r="B624" s="1" t="n">
        <v>45805.46613425926</v>
      </c>
      <c r="C624" s="1" t="n">
        <v>45900</v>
      </c>
      <c r="D624" t="inlineStr">
        <is>
          <t>JÄMTLANDS LÄN</t>
        </is>
      </c>
      <c r="E624" t="inlineStr">
        <is>
          <t>RAGUNDA</t>
        </is>
      </c>
      <c r="G624" t="n">
        <v>2.1</v>
      </c>
      <c r="H624" t="n">
        <v>0</v>
      </c>
      <c r="I624" t="n">
        <v>0</v>
      </c>
      <c r="J624" t="n">
        <v>0</v>
      </c>
      <c r="K624" t="n">
        <v>0</v>
      </c>
      <c r="L624" t="n">
        <v>0</v>
      </c>
      <c r="M624" t="n">
        <v>0</v>
      </c>
      <c r="N624" t="n">
        <v>0</v>
      </c>
      <c r="O624" t="n">
        <v>0</v>
      </c>
      <c r="P624" t="n">
        <v>0</v>
      </c>
      <c r="Q624" t="n">
        <v>0</v>
      </c>
      <c r="R624" s="2" t="inlineStr"/>
    </row>
    <row r="625" ht="15" customHeight="1">
      <c r="A625" t="inlineStr">
        <is>
          <t>A 49648-2023</t>
        </is>
      </c>
      <c r="B625" s="1" t="n">
        <v>45211.95061342593</v>
      </c>
      <c r="C625" s="1" t="n">
        <v>45900</v>
      </c>
      <c r="D625" t="inlineStr">
        <is>
          <t>JÄMTLANDS LÄN</t>
        </is>
      </c>
      <c r="E625" t="inlineStr">
        <is>
          <t>RAGUNDA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55309-2020</t>
        </is>
      </c>
      <c r="B626" s="1" t="n">
        <v>44130.9416550926</v>
      </c>
      <c r="C626" s="1" t="n">
        <v>45900</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10788-2025</t>
        </is>
      </c>
      <c r="B627" s="1" t="n">
        <v>45722.48982638889</v>
      </c>
      <c r="C627" s="1" t="n">
        <v>45900</v>
      </c>
      <c r="D627" t="inlineStr">
        <is>
          <t>JÄMTLANDS LÄN</t>
        </is>
      </c>
      <c r="E627" t="inlineStr">
        <is>
          <t>RAGUNDA</t>
        </is>
      </c>
      <c r="G627" t="n">
        <v>3.5</v>
      </c>
      <c r="H627" t="n">
        <v>0</v>
      </c>
      <c r="I627" t="n">
        <v>0</v>
      </c>
      <c r="J627" t="n">
        <v>0</v>
      </c>
      <c r="K627" t="n">
        <v>0</v>
      </c>
      <c r="L627" t="n">
        <v>0</v>
      </c>
      <c r="M627" t="n">
        <v>0</v>
      </c>
      <c r="N627" t="n">
        <v>0</v>
      </c>
      <c r="O627" t="n">
        <v>0</v>
      </c>
      <c r="P627" t="n">
        <v>0</v>
      </c>
      <c r="Q627" t="n">
        <v>0</v>
      </c>
      <c r="R627" s="2" t="inlineStr"/>
    </row>
    <row r="628" ht="15" customHeight="1">
      <c r="A628" t="inlineStr">
        <is>
          <t>A 4125-2024</t>
        </is>
      </c>
      <c r="B628" s="1" t="n">
        <v>45323</v>
      </c>
      <c r="C628" s="1" t="n">
        <v>45900</v>
      </c>
      <c r="D628" t="inlineStr">
        <is>
          <t>JÄMTLANDS LÄN</t>
        </is>
      </c>
      <c r="E628" t="inlineStr">
        <is>
          <t>RAGUNDA</t>
        </is>
      </c>
      <c r="G628" t="n">
        <v>1</v>
      </c>
      <c r="H628" t="n">
        <v>0</v>
      </c>
      <c r="I628" t="n">
        <v>0</v>
      </c>
      <c r="J628" t="n">
        <v>0</v>
      </c>
      <c r="K628" t="n">
        <v>0</v>
      </c>
      <c r="L628" t="n">
        <v>0</v>
      </c>
      <c r="M628" t="n">
        <v>0</v>
      </c>
      <c r="N628" t="n">
        <v>0</v>
      </c>
      <c r="O628" t="n">
        <v>0</v>
      </c>
      <c r="P628" t="n">
        <v>0</v>
      </c>
      <c r="Q628" t="n">
        <v>0</v>
      </c>
      <c r="R628" s="2" t="inlineStr"/>
    </row>
    <row r="629" ht="15" customHeight="1">
      <c r="A629" t="inlineStr">
        <is>
          <t>A 26246-2025</t>
        </is>
      </c>
      <c r="B629" s="1" t="n">
        <v>45805.57390046296</v>
      </c>
      <c r="C629" s="1" t="n">
        <v>45900</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44980-2023</t>
        </is>
      </c>
      <c r="B630" s="1" t="n">
        <v>45190</v>
      </c>
      <c r="C630" s="1" t="n">
        <v>45900</v>
      </c>
      <c r="D630" t="inlineStr">
        <is>
          <t>JÄMTLANDS LÄN</t>
        </is>
      </c>
      <c r="E630" t="inlineStr">
        <is>
          <t>RAGUNDA</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2001-2025</t>
        </is>
      </c>
      <c r="B631" s="1" t="n">
        <v>45672.44898148148</v>
      </c>
      <c r="C631" s="1" t="n">
        <v>45900</v>
      </c>
      <c r="D631" t="inlineStr">
        <is>
          <t>JÄMTLANDS LÄN</t>
        </is>
      </c>
      <c r="E631" t="inlineStr">
        <is>
          <t>RAGUNDA</t>
        </is>
      </c>
      <c r="F631" t="inlineStr">
        <is>
          <t>SCA</t>
        </is>
      </c>
      <c r="G631" t="n">
        <v>16.2</v>
      </c>
      <c r="H631" t="n">
        <v>0</v>
      </c>
      <c r="I631" t="n">
        <v>0</v>
      </c>
      <c r="J631" t="n">
        <v>0</v>
      </c>
      <c r="K631" t="n">
        <v>0</v>
      </c>
      <c r="L631" t="n">
        <v>0</v>
      </c>
      <c r="M631" t="n">
        <v>0</v>
      </c>
      <c r="N631" t="n">
        <v>0</v>
      </c>
      <c r="O631" t="n">
        <v>0</v>
      </c>
      <c r="P631" t="n">
        <v>0</v>
      </c>
      <c r="Q631" t="n">
        <v>0</v>
      </c>
      <c r="R631" s="2" t="inlineStr"/>
    </row>
    <row r="632" ht="15" customHeight="1">
      <c r="A632" t="inlineStr">
        <is>
          <t>A 58194-2022</t>
        </is>
      </c>
      <c r="B632" s="1" t="n">
        <v>44900</v>
      </c>
      <c r="C632" s="1" t="n">
        <v>45900</v>
      </c>
      <c r="D632" t="inlineStr">
        <is>
          <t>JÄMTLANDS LÄN</t>
        </is>
      </c>
      <c r="E632" t="inlineStr">
        <is>
          <t>RAGUNDA</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42875-2024</t>
        </is>
      </c>
      <c r="B633" s="1" t="n">
        <v>45566.68125</v>
      </c>
      <c r="C633" s="1" t="n">
        <v>45900</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15864-2024</t>
        </is>
      </c>
      <c r="B634" s="1" t="n">
        <v>45404.99792824074</v>
      </c>
      <c r="C634" s="1" t="n">
        <v>45900</v>
      </c>
      <c r="D634" t="inlineStr">
        <is>
          <t>JÄMTLANDS LÄN</t>
        </is>
      </c>
      <c r="E634" t="inlineStr">
        <is>
          <t>RAGUNDA</t>
        </is>
      </c>
      <c r="F634" t="inlineStr">
        <is>
          <t>SCA</t>
        </is>
      </c>
      <c r="G634" t="n">
        <v>1.1</v>
      </c>
      <c r="H634" t="n">
        <v>0</v>
      </c>
      <c r="I634" t="n">
        <v>0</v>
      </c>
      <c r="J634" t="n">
        <v>0</v>
      </c>
      <c r="K634" t="n">
        <v>0</v>
      </c>
      <c r="L634" t="n">
        <v>0</v>
      </c>
      <c r="M634" t="n">
        <v>0</v>
      </c>
      <c r="N634" t="n">
        <v>0</v>
      </c>
      <c r="O634" t="n">
        <v>0</v>
      </c>
      <c r="P634" t="n">
        <v>0</v>
      </c>
      <c r="Q634" t="n">
        <v>0</v>
      </c>
      <c r="R634" s="2" t="inlineStr"/>
      <c r="U634">
        <f>HYPERLINK("https://klasma.github.io/Logging_2303/knärot/A 15864-2024 karta knärot.png", "A 15864-2024")</f>
        <v/>
      </c>
      <c r="V634">
        <f>HYPERLINK("https://klasma.github.io/Logging_2303/klagomål/A 15864-2024 FSC-klagomål.docx", "A 15864-2024")</f>
        <v/>
      </c>
      <c r="W634">
        <f>HYPERLINK("https://klasma.github.io/Logging_2303/klagomålsmail/A 15864-2024 FSC-klagomål mail.docx", "A 15864-2024")</f>
        <v/>
      </c>
      <c r="X634">
        <f>HYPERLINK("https://klasma.github.io/Logging_2303/tillsyn/A 15864-2024 tillsynsbegäran.docx", "A 15864-2024")</f>
        <v/>
      </c>
      <c r="Y634">
        <f>HYPERLINK("https://klasma.github.io/Logging_2303/tillsynsmail/A 15864-2024 tillsynsbegäran mail.docx", "A 15864-2024")</f>
        <v/>
      </c>
    </row>
    <row r="635" ht="15" customHeight="1">
      <c r="A635" t="inlineStr">
        <is>
          <t>A 4015-2022</t>
        </is>
      </c>
      <c r="B635" s="1" t="n">
        <v>44587.92149305555</v>
      </c>
      <c r="C635" s="1" t="n">
        <v>45900</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2599-2023</t>
        </is>
      </c>
      <c r="B636" s="1" t="n">
        <v>44943.94802083333</v>
      </c>
      <c r="C636" s="1" t="n">
        <v>45900</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59044-2022</t>
        </is>
      </c>
      <c r="B637" s="1" t="n">
        <v>44903</v>
      </c>
      <c r="C637" s="1" t="n">
        <v>45900</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27777-2022</t>
        </is>
      </c>
      <c r="B638" s="1" t="n">
        <v>44743</v>
      </c>
      <c r="C638" s="1" t="n">
        <v>45900</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51245-2024</t>
        </is>
      </c>
      <c r="B639" s="1" t="n">
        <v>45603.67850694444</v>
      </c>
      <c r="C639" s="1" t="n">
        <v>45900</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61923-2024</t>
        </is>
      </c>
      <c r="B640" s="1" t="n">
        <v>45653.44836805556</v>
      </c>
      <c r="C640" s="1" t="n">
        <v>45900</v>
      </c>
      <c r="D640" t="inlineStr">
        <is>
          <t>JÄMTLANDS LÄN</t>
        </is>
      </c>
      <c r="E640" t="inlineStr">
        <is>
          <t>RAGUNDA</t>
        </is>
      </c>
      <c r="F640" t="inlineStr">
        <is>
          <t>SCA</t>
        </is>
      </c>
      <c r="G640" t="n">
        <v>11.1</v>
      </c>
      <c r="H640" t="n">
        <v>0</v>
      </c>
      <c r="I640" t="n">
        <v>0</v>
      </c>
      <c r="J640" t="n">
        <v>0</v>
      </c>
      <c r="K640" t="n">
        <v>0</v>
      </c>
      <c r="L640" t="n">
        <v>0</v>
      </c>
      <c r="M640" t="n">
        <v>0</v>
      </c>
      <c r="N640" t="n">
        <v>0</v>
      </c>
      <c r="O640" t="n">
        <v>0</v>
      </c>
      <c r="P640" t="n">
        <v>0</v>
      </c>
      <c r="Q640" t="n">
        <v>0</v>
      </c>
      <c r="R640" s="2" t="inlineStr"/>
    </row>
    <row r="641" ht="15" customHeight="1">
      <c r="A641" t="inlineStr">
        <is>
          <t>A 50503-2024</t>
        </is>
      </c>
      <c r="B641" s="1" t="n">
        <v>45601.5315625</v>
      </c>
      <c r="C641" s="1" t="n">
        <v>45900</v>
      </c>
      <c r="D641" t="inlineStr">
        <is>
          <t>JÄMTLANDS LÄN</t>
        </is>
      </c>
      <c r="E641" t="inlineStr">
        <is>
          <t>RAGUNDA</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73278-2021</t>
        </is>
      </c>
      <c r="B642" s="1" t="n">
        <v>44550.92168981482</v>
      </c>
      <c r="C642" s="1" t="n">
        <v>45900</v>
      </c>
      <c r="D642" t="inlineStr">
        <is>
          <t>JÄMTLANDS LÄN</t>
        </is>
      </c>
      <c r="E642" t="inlineStr">
        <is>
          <t>RAGUNDA</t>
        </is>
      </c>
      <c r="G642" t="n">
        <v>4.4</v>
      </c>
      <c r="H642" t="n">
        <v>0</v>
      </c>
      <c r="I642" t="n">
        <v>0</v>
      </c>
      <c r="J642" t="n">
        <v>0</v>
      </c>
      <c r="K642" t="n">
        <v>0</v>
      </c>
      <c r="L642" t="n">
        <v>0</v>
      </c>
      <c r="M642" t="n">
        <v>0</v>
      </c>
      <c r="N642" t="n">
        <v>0</v>
      </c>
      <c r="O642" t="n">
        <v>0</v>
      </c>
      <c r="P642" t="n">
        <v>0</v>
      </c>
      <c r="Q642" t="n">
        <v>0</v>
      </c>
      <c r="R642" s="2" t="inlineStr"/>
    </row>
    <row r="643" ht="15" customHeight="1">
      <c r="A643" t="inlineStr">
        <is>
          <t>A 59556-2024</t>
        </is>
      </c>
      <c r="B643" s="1" t="n">
        <v>45638.63600694444</v>
      </c>
      <c r="C643" s="1" t="n">
        <v>45900</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54092-2024</t>
        </is>
      </c>
      <c r="B644" s="1" t="n">
        <v>45616.5108912037</v>
      </c>
      <c r="C644" s="1" t="n">
        <v>45900</v>
      </c>
      <c r="D644" t="inlineStr">
        <is>
          <t>JÄMTLANDS LÄN</t>
        </is>
      </c>
      <c r="E644" t="inlineStr">
        <is>
          <t>RAGUNDA</t>
        </is>
      </c>
      <c r="F644" t="inlineStr">
        <is>
          <t>Naturvårdsverket</t>
        </is>
      </c>
      <c r="G644" t="n">
        <v>1.3</v>
      </c>
      <c r="H644" t="n">
        <v>0</v>
      </c>
      <c r="I644" t="n">
        <v>0</v>
      </c>
      <c r="J644" t="n">
        <v>0</v>
      </c>
      <c r="K644" t="n">
        <v>0</v>
      </c>
      <c r="L644" t="n">
        <v>0</v>
      </c>
      <c r="M644" t="n">
        <v>0</v>
      </c>
      <c r="N644" t="n">
        <v>0</v>
      </c>
      <c r="O644" t="n">
        <v>0</v>
      </c>
      <c r="P644" t="n">
        <v>0</v>
      </c>
      <c r="Q644" t="n">
        <v>0</v>
      </c>
      <c r="R644" s="2" t="inlineStr"/>
    </row>
    <row r="645" ht="15" customHeight="1">
      <c r="A645" t="inlineStr">
        <is>
          <t>A 13302-2022</t>
        </is>
      </c>
      <c r="B645" s="1" t="n">
        <v>44644</v>
      </c>
      <c r="C645" s="1" t="n">
        <v>45900</v>
      </c>
      <c r="D645" t="inlineStr">
        <is>
          <t>JÄMTLANDS LÄN</t>
        </is>
      </c>
      <c r="E645" t="inlineStr">
        <is>
          <t>RAGUNDA</t>
        </is>
      </c>
      <c r="F645" t="inlineStr">
        <is>
          <t>SCA</t>
        </is>
      </c>
      <c r="G645" t="n">
        <v>35.6</v>
      </c>
      <c r="H645" t="n">
        <v>0</v>
      </c>
      <c r="I645" t="n">
        <v>0</v>
      </c>
      <c r="J645" t="n">
        <v>0</v>
      </c>
      <c r="K645" t="n">
        <v>0</v>
      </c>
      <c r="L645" t="n">
        <v>0</v>
      </c>
      <c r="M645" t="n">
        <v>0</v>
      </c>
      <c r="N645" t="n">
        <v>0</v>
      </c>
      <c r="O645" t="n">
        <v>0</v>
      </c>
      <c r="P645" t="n">
        <v>0</v>
      </c>
      <c r="Q645" t="n">
        <v>0</v>
      </c>
      <c r="R645" s="2" t="inlineStr"/>
    </row>
    <row r="646" ht="15" customHeight="1">
      <c r="A646" t="inlineStr">
        <is>
          <t>A 51685-2020</t>
        </is>
      </c>
      <c r="B646" s="1" t="n">
        <v>44113</v>
      </c>
      <c r="C646" s="1" t="n">
        <v>45900</v>
      </c>
      <c r="D646" t="inlineStr">
        <is>
          <t>JÄMTLANDS LÄN</t>
        </is>
      </c>
      <c r="E646" t="inlineStr">
        <is>
          <t>RAGUNDA</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18225-2024</t>
        </is>
      </c>
      <c r="B647" s="1" t="n">
        <v>45420</v>
      </c>
      <c r="C647" s="1" t="n">
        <v>45900</v>
      </c>
      <c r="D647" t="inlineStr">
        <is>
          <t>JÄMTLANDS LÄN</t>
        </is>
      </c>
      <c r="E647" t="inlineStr">
        <is>
          <t>RAGUNDA</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61598-2024</t>
        </is>
      </c>
      <c r="B648" s="1" t="n">
        <v>45646.63605324074</v>
      </c>
      <c r="C648" s="1" t="n">
        <v>45900</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7280-2024</t>
        </is>
      </c>
      <c r="B649" s="1" t="n">
        <v>45344</v>
      </c>
      <c r="C649" s="1" t="n">
        <v>45900</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21662-2023</t>
        </is>
      </c>
      <c r="B650" s="1" t="n">
        <v>45063</v>
      </c>
      <c r="C650" s="1" t="n">
        <v>45900</v>
      </c>
      <c r="D650" t="inlineStr">
        <is>
          <t>JÄMTLANDS LÄN</t>
        </is>
      </c>
      <c r="E650" t="inlineStr">
        <is>
          <t>RAGUNDA</t>
        </is>
      </c>
      <c r="G650" t="n">
        <v>1.8</v>
      </c>
      <c r="H650" t="n">
        <v>0</v>
      </c>
      <c r="I650" t="n">
        <v>0</v>
      </c>
      <c r="J650" t="n">
        <v>0</v>
      </c>
      <c r="K650" t="n">
        <v>0</v>
      </c>
      <c r="L650" t="n">
        <v>0</v>
      </c>
      <c r="M650" t="n">
        <v>0</v>
      </c>
      <c r="N650" t="n">
        <v>0</v>
      </c>
      <c r="O650" t="n">
        <v>0</v>
      </c>
      <c r="P650" t="n">
        <v>0</v>
      </c>
      <c r="Q650" t="n">
        <v>0</v>
      </c>
      <c r="R650" s="2" t="inlineStr"/>
    </row>
    <row r="651" ht="15" customHeight="1">
      <c r="A651" t="inlineStr">
        <is>
          <t>A 61107-2024</t>
        </is>
      </c>
      <c r="B651" s="1" t="n">
        <v>45645.55665509259</v>
      </c>
      <c r="C651" s="1" t="n">
        <v>45900</v>
      </c>
      <c r="D651" t="inlineStr">
        <is>
          <t>JÄMTLANDS LÄN</t>
        </is>
      </c>
      <c r="E651" t="inlineStr">
        <is>
          <t>RAGUNDA</t>
        </is>
      </c>
      <c r="G651" t="n">
        <v>3.2</v>
      </c>
      <c r="H651" t="n">
        <v>0</v>
      </c>
      <c r="I651" t="n">
        <v>0</v>
      </c>
      <c r="J651" t="n">
        <v>0</v>
      </c>
      <c r="K651" t="n">
        <v>0</v>
      </c>
      <c r="L651" t="n">
        <v>0</v>
      </c>
      <c r="M651" t="n">
        <v>0</v>
      </c>
      <c r="N651" t="n">
        <v>0</v>
      </c>
      <c r="O651" t="n">
        <v>0</v>
      </c>
      <c r="P651" t="n">
        <v>0</v>
      </c>
      <c r="Q651" t="n">
        <v>0</v>
      </c>
      <c r="R651" s="2" t="inlineStr"/>
    </row>
    <row r="652" ht="15" customHeight="1">
      <c r="A652" t="inlineStr">
        <is>
          <t>A 51396-2024</t>
        </is>
      </c>
      <c r="B652" s="1" t="n">
        <v>45604.4190625</v>
      </c>
      <c r="C652" s="1" t="n">
        <v>45900</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26640-2025</t>
        </is>
      </c>
      <c r="B653" s="1" t="n">
        <v>45810.36495370371</v>
      </c>
      <c r="C653" s="1" t="n">
        <v>45900</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5313-2025</t>
        </is>
      </c>
      <c r="B654" s="1" t="n">
        <v>45692.51069444444</v>
      </c>
      <c r="C654" s="1" t="n">
        <v>45900</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5357-2025</t>
        </is>
      </c>
      <c r="B655" s="1" t="n">
        <v>45692.57326388889</v>
      </c>
      <c r="C655" s="1" t="n">
        <v>45900</v>
      </c>
      <c r="D655" t="inlineStr">
        <is>
          <t>JÄMTLANDS LÄN</t>
        </is>
      </c>
      <c r="E655" t="inlineStr">
        <is>
          <t>RAGUNDA</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53762-2023</t>
        </is>
      </c>
      <c r="B656" s="1" t="n">
        <v>45230.96376157407</v>
      </c>
      <c r="C656" s="1" t="n">
        <v>45900</v>
      </c>
      <c r="D656" t="inlineStr">
        <is>
          <t>JÄMTLANDS LÄN</t>
        </is>
      </c>
      <c r="E656" t="inlineStr">
        <is>
          <t>RAGUNDA</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19089-2024</t>
        </is>
      </c>
      <c r="B657" s="1" t="n">
        <v>45428.00471064815</v>
      </c>
      <c r="C657" s="1" t="n">
        <v>45900</v>
      </c>
      <c r="D657" t="inlineStr">
        <is>
          <t>JÄMTLANDS LÄN</t>
        </is>
      </c>
      <c r="E657" t="inlineStr">
        <is>
          <t>RAGUNDA</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44494-2024</t>
        </is>
      </c>
      <c r="B658" s="1" t="n">
        <v>45574.39081018518</v>
      </c>
      <c r="C658" s="1" t="n">
        <v>45900</v>
      </c>
      <c r="D658" t="inlineStr">
        <is>
          <t>JÄMTLANDS LÄN</t>
        </is>
      </c>
      <c r="E658" t="inlineStr">
        <is>
          <t>RAGUNDA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12983-2025</t>
        </is>
      </c>
      <c r="B659" s="1" t="n">
        <v>45734.4633912037</v>
      </c>
      <c r="C659" s="1" t="n">
        <v>45900</v>
      </c>
      <c r="D659" t="inlineStr">
        <is>
          <t>JÄMTLANDS LÄN</t>
        </is>
      </c>
      <c r="E659" t="inlineStr">
        <is>
          <t>RAGUNDA</t>
        </is>
      </c>
      <c r="G659" t="n">
        <v>5.2</v>
      </c>
      <c r="H659" t="n">
        <v>0</v>
      </c>
      <c r="I659" t="n">
        <v>0</v>
      </c>
      <c r="J659" t="n">
        <v>0</v>
      </c>
      <c r="K659" t="n">
        <v>0</v>
      </c>
      <c r="L659" t="n">
        <v>0</v>
      </c>
      <c r="M659" t="n">
        <v>0</v>
      </c>
      <c r="N659" t="n">
        <v>0</v>
      </c>
      <c r="O659" t="n">
        <v>0</v>
      </c>
      <c r="P659" t="n">
        <v>0</v>
      </c>
      <c r="Q659" t="n">
        <v>0</v>
      </c>
      <c r="R659" s="2" t="inlineStr"/>
    </row>
    <row r="660" ht="15" customHeight="1">
      <c r="A660" t="inlineStr">
        <is>
          <t>A 4014-2022</t>
        </is>
      </c>
      <c r="B660" s="1" t="n">
        <v>44587.92144675926</v>
      </c>
      <c r="C660" s="1" t="n">
        <v>45900</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8243-2024</t>
        </is>
      </c>
      <c r="B661" s="1" t="n">
        <v>45351.98532407408</v>
      </c>
      <c r="C661" s="1" t="n">
        <v>45900</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6902-2024</t>
        </is>
      </c>
      <c r="B662" s="1" t="n">
        <v>45342</v>
      </c>
      <c r="C662" s="1" t="n">
        <v>45900</v>
      </c>
      <c r="D662" t="inlineStr">
        <is>
          <t>JÄMTLANDS LÄN</t>
        </is>
      </c>
      <c r="E662" t="inlineStr">
        <is>
          <t>RAGUNDA</t>
        </is>
      </c>
      <c r="F662" t="inlineStr">
        <is>
          <t>SCA</t>
        </is>
      </c>
      <c r="G662" t="n">
        <v>18.7</v>
      </c>
      <c r="H662" t="n">
        <v>0</v>
      </c>
      <c r="I662" t="n">
        <v>0</v>
      </c>
      <c r="J662" t="n">
        <v>0</v>
      </c>
      <c r="K662" t="n">
        <v>0</v>
      </c>
      <c r="L662" t="n">
        <v>0</v>
      </c>
      <c r="M662" t="n">
        <v>0</v>
      </c>
      <c r="N662" t="n">
        <v>0</v>
      </c>
      <c r="O662" t="n">
        <v>0</v>
      </c>
      <c r="P662" t="n">
        <v>0</v>
      </c>
      <c r="Q662" t="n">
        <v>0</v>
      </c>
      <c r="R662" s="2" t="inlineStr"/>
    </row>
    <row r="663" ht="15" customHeight="1">
      <c r="A663" t="inlineStr">
        <is>
          <t>A 6905-2024</t>
        </is>
      </c>
      <c r="B663" s="1" t="n">
        <v>45342.9462037037</v>
      </c>
      <c r="C663" s="1" t="n">
        <v>45900</v>
      </c>
      <c r="D663" t="inlineStr">
        <is>
          <t>JÄMTLANDS LÄN</t>
        </is>
      </c>
      <c r="E663" t="inlineStr">
        <is>
          <t>RAGUNDA</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39626-2024</t>
        </is>
      </c>
      <c r="B664" s="1" t="n">
        <v>45552.44096064815</v>
      </c>
      <c r="C664" s="1" t="n">
        <v>45900</v>
      </c>
      <c r="D664" t="inlineStr">
        <is>
          <t>JÄMTLANDS LÄN</t>
        </is>
      </c>
      <c r="E664" t="inlineStr">
        <is>
          <t>RAGUNDA</t>
        </is>
      </c>
      <c r="G664" t="n">
        <v>23.5</v>
      </c>
      <c r="H664" t="n">
        <v>0</v>
      </c>
      <c r="I664" t="n">
        <v>0</v>
      </c>
      <c r="J664" t="n">
        <v>0</v>
      </c>
      <c r="K664" t="n">
        <v>0</v>
      </c>
      <c r="L664" t="n">
        <v>0</v>
      </c>
      <c r="M664" t="n">
        <v>0</v>
      </c>
      <c r="N664" t="n">
        <v>0</v>
      </c>
      <c r="O664" t="n">
        <v>0</v>
      </c>
      <c r="P664" t="n">
        <v>0</v>
      </c>
      <c r="Q664" t="n">
        <v>0</v>
      </c>
      <c r="R664" s="2" t="inlineStr"/>
    </row>
    <row r="665" ht="15" customHeight="1">
      <c r="A665" t="inlineStr">
        <is>
          <t>A 45631-2024</t>
        </is>
      </c>
      <c r="B665" s="1" t="n">
        <v>45579.47052083333</v>
      </c>
      <c r="C665" s="1" t="n">
        <v>45900</v>
      </c>
      <c r="D665" t="inlineStr">
        <is>
          <t>JÄMTLANDS LÄN</t>
        </is>
      </c>
      <c r="E665" t="inlineStr">
        <is>
          <t>RAGUNDA</t>
        </is>
      </c>
      <c r="G665" t="n">
        <v>15.1</v>
      </c>
      <c r="H665" t="n">
        <v>0</v>
      </c>
      <c r="I665" t="n">
        <v>0</v>
      </c>
      <c r="J665" t="n">
        <v>0</v>
      </c>
      <c r="K665" t="n">
        <v>0</v>
      </c>
      <c r="L665" t="n">
        <v>0</v>
      </c>
      <c r="M665" t="n">
        <v>0</v>
      </c>
      <c r="N665" t="n">
        <v>0</v>
      </c>
      <c r="O665" t="n">
        <v>0</v>
      </c>
      <c r="P665" t="n">
        <v>0</v>
      </c>
      <c r="Q665" t="n">
        <v>0</v>
      </c>
      <c r="R665" s="2" t="inlineStr"/>
    </row>
    <row r="666" ht="15" customHeight="1">
      <c r="A666" t="inlineStr">
        <is>
          <t>A 53989-2024</t>
        </is>
      </c>
      <c r="B666" s="1" t="n">
        <v>45616.34479166667</v>
      </c>
      <c r="C666" s="1" t="n">
        <v>45900</v>
      </c>
      <c r="D666" t="inlineStr">
        <is>
          <t>JÄMTLANDS LÄN</t>
        </is>
      </c>
      <c r="E666" t="inlineStr">
        <is>
          <t>RAGUNDA</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42509-2023</t>
        </is>
      </c>
      <c r="B667" s="1" t="n">
        <v>45180</v>
      </c>
      <c r="C667" s="1" t="n">
        <v>45900</v>
      </c>
      <c r="D667" t="inlineStr">
        <is>
          <t>JÄMTLANDS LÄN</t>
        </is>
      </c>
      <c r="E667" t="inlineStr">
        <is>
          <t>RAGUNDA</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42510-2023</t>
        </is>
      </c>
      <c r="B668" s="1" t="n">
        <v>45180.95927083334</v>
      </c>
      <c r="C668" s="1" t="n">
        <v>45900</v>
      </c>
      <c r="D668" t="inlineStr">
        <is>
          <t>JÄMTLANDS LÄN</t>
        </is>
      </c>
      <c r="E668" t="inlineStr">
        <is>
          <t>RAGUNDA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62135-2024</t>
        </is>
      </c>
      <c r="B669" s="1" t="n">
        <v>45656.64223379629</v>
      </c>
      <c r="C669" s="1" t="n">
        <v>45900</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11048-2023</t>
        </is>
      </c>
      <c r="B670" s="1" t="n">
        <v>44991</v>
      </c>
      <c r="C670" s="1" t="n">
        <v>45900</v>
      </c>
      <c r="D670" t="inlineStr">
        <is>
          <t>JÄMTLANDS LÄN</t>
        </is>
      </c>
      <c r="E670" t="inlineStr">
        <is>
          <t>RAGUNDA</t>
        </is>
      </c>
      <c r="F670" t="inlineStr">
        <is>
          <t>SCA</t>
        </is>
      </c>
      <c r="G670" t="n">
        <v>13.5</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45900</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9823-2025</t>
        </is>
      </c>
      <c r="B672" s="1" t="n">
        <v>45716</v>
      </c>
      <c r="C672" s="1" t="n">
        <v>45900</v>
      </c>
      <c r="D672" t="inlineStr">
        <is>
          <t>JÄMTLANDS LÄN</t>
        </is>
      </c>
      <c r="E672" t="inlineStr">
        <is>
          <t>RAGUNDA</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9847-2025</t>
        </is>
      </c>
      <c r="B673" s="1" t="n">
        <v>45716.61487268518</v>
      </c>
      <c r="C673" s="1" t="n">
        <v>45900</v>
      </c>
      <c r="D673" t="inlineStr">
        <is>
          <t>JÄMTLANDS LÄN</t>
        </is>
      </c>
      <c r="E673" t="inlineStr">
        <is>
          <t>RAGUNDA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20987-2023</t>
        </is>
      </c>
      <c r="B674" s="1" t="n">
        <v>45056</v>
      </c>
      <c r="C674" s="1" t="n">
        <v>45900</v>
      </c>
      <c r="D674" t="inlineStr">
        <is>
          <t>JÄMTLANDS LÄN</t>
        </is>
      </c>
      <c r="E674" t="inlineStr">
        <is>
          <t>RAGUNDA</t>
        </is>
      </c>
      <c r="G674" t="n">
        <v>1.1</v>
      </c>
      <c r="H674" t="n">
        <v>0</v>
      </c>
      <c r="I674" t="n">
        <v>0</v>
      </c>
      <c r="J674" t="n">
        <v>0</v>
      </c>
      <c r="K674" t="n">
        <v>0</v>
      </c>
      <c r="L674" t="n">
        <v>0</v>
      </c>
      <c r="M674" t="n">
        <v>0</v>
      </c>
      <c r="N674" t="n">
        <v>0</v>
      </c>
      <c r="O674" t="n">
        <v>0</v>
      </c>
      <c r="P674" t="n">
        <v>0</v>
      </c>
      <c r="Q674" t="n">
        <v>0</v>
      </c>
      <c r="R674" s="2" t="inlineStr"/>
    </row>
    <row r="675" ht="15" customHeight="1">
      <c r="A675" t="inlineStr">
        <is>
          <t>A 20994-2023</t>
        </is>
      </c>
      <c r="B675" s="1" t="n">
        <v>45056</v>
      </c>
      <c r="C675" s="1" t="n">
        <v>45900</v>
      </c>
      <c r="D675" t="inlineStr">
        <is>
          <t>JÄMTLANDS LÄN</t>
        </is>
      </c>
      <c r="E675" t="inlineStr">
        <is>
          <t>RAGUNDA</t>
        </is>
      </c>
      <c r="G675" t="n">
        <v>1.3</v>
      </c>
      <c r="H675" t="n">
        <v>0</v>
      </c>
      <c r="I675" t="n">
        <v>0</v>
      </c>
      <c r="J675" t="n">
        <v>0</v>
      </c>
      <c r="K675" t="n">
        <v>0</v>
      </c>
      <c r="L675" t="n">
        <v>0</v>
      </c>
      <c r="M675" t="n">
        <v>0</v>
      </c>
      <c r="N675" t="n">
        <v>0</v>
      </c>
      <c r="O675" t="n">
        <v>0</v>
      </c>
      <c r="P675" t="n">
        <v>0</v>
      </c>
      <c r="Q675" t="n">
        <v>0</v>
      </c>
      <c r="R675" s="2" t="inlineStr"/>
    </row>
    <row r="676" ht="15" customHeight="1">
      <c r="A676" t="inlineStr">
        <is>
          <t>A 61088-2020</t>
        </is>
      </c>
      <c r="B676" s="1" t="n">
        <v>44153</v>
      </c>
      <c r="C676" s="1" t="n">
        <v>45900</v>
      </c>
      <c r="D676" t="inlineStr">
        <is>
          <t>JÄMTLANDS LÄN</t>
        </is>
      </c>
      <c r="E676" t="inlineStr">
        <is>
          <t>RAGUNDA</t>
        </is>
      </c>
      <c r="G676" t="n">
        <v>1.2</v>
      </c>
      <c r="H676" t="n">
        <v>0</v>
      </c>
      <c r="I676" t="n">
        <v>0</v>
      </c>
      <c r="J676" t="n">
        <v>0</v>
      </c>
      <c r="K676" t="n">
        <v>0</v>
      </c>
      <c r="L676" t="n">
        <v>0</v>
      </c>
      <c r="M676" t="n">
        <v>0</v>
      </c>
      <c r="N676" t="n">
        <v>0</v>
      </c>
      <c r="O676" t="n">
        <v>0</v>
      </c>
      <c r="P676" t="n">
        <v>0</v>
      </c>
      <c r="Q676" t="n">
        <v>0</v>
      </c>
      <c r="R676" s="2" t="inlineStr"/>
    </row>
    <row r="677" ht="15" customHeight="1">
      <c r="A677" t="inlineStr">
        <is>
          <t>A 16364-2023</t>
        </is>
      </c>
      <c r="B677" s="1" t="n">
        <v>45028</v>
      </c>
      <c r="C677" s="1" t="n">
        <v>45900</v>
      </c>
      <c r="D677" t="inlineStr">
        <is>
          <t>JÄMTLANDS LÄN</t>
        </is>
      </c>
      <c r="E677" t="inlineStr">
        <is>
          <t>RAGUNDA</t>
        </is>
      </c>
      <c r="G677" t="n">
        <v>0.5</v>
      </c>
      <c r="H677" t="n">
        <v>0</v>
      </c>
      <c r="I677" t="n">
        <v>0</v>
      </c>
      <c r="J677" t="n">
        <v>0</v>
      </c>
      <c r="K677" t="n">
        <v>0</v>
      </c>
      <c r="L677" t="n">
        <v>0</v>
      </c>
      <c r="M677" t="n">
        <v>0</v>
      </c>
      <c r="N677" t="n">
        <v>0</v>
      </c>
      <c r="O677" t="n">
        <v>0</v>
      </c>
      <c r="P677" t="n">
        <v>0</v>
      </c>
      <c r="Q677" t="n">
        <v>0</v>
      </c>
      <c r="R677" s="2" t="inlineStr"/>
    </row>
    <row r="678" ht="15" customHeight="1">
      <c r="A678" t="inlineStr">
        <is>
          <t>A 6490-2022</t>
        </is>
      </c>
      <c r="B678" s="1" t="n">
        <v>44601</v>
      </c>
      <c r="C678" s="1" t="n">
        <v>45900</v>
      </c>
      <c r="D678" t="inlineStr">
        <is>
          <t>JÄMTLANDS LÄN</t>
        </is>
      </c>
      <c r="E678" t="inlineStr">
        <is>
          <t>RAGUNDA</t>
        </is>
      </c>
      <c r="G678" t="n">
        <v>3.8</v>
      </c>
      <c r="H678" t="n">
        <v>0</v>
      </c>
      <c r="I678" t="n">
        <v>0</v>
      </c>
      <c r="J678" t="n">
        <v>0</v>
      </c>
      <c r="K678" t="n">
        <v>0</v>
      </c>
      <c r="L678" t="n">
        <v>0</v>
      </c>
      <c r="M678" t="n">
        <v>0</v>
      </c>
      <c r="N678" t="n">
        <v>0</v>
      </c>
      <c r="O678" t="n">
        <v>0</v>
      </c>
      <c r="P678" t="n">
        <v>0</v>
      </c>
      <c r="Q678" t="n">
        <v>0</v>
      </c>
      <c r="R678" s="2" t="inlineStr"/>
    </row>
    <row r="679" ht="15" customHeight="1">
      <c r="A679" t="inlineStr">
        <is>
          <t>A 19404-2025</t>
        </is>
      </c>
      <c r="B679" s="1" t="n">
        <v>45769.67802083334</v>
      </c>
      <c r="C679" s="1" t="n">
        <v>45900</v>
      </c>
      <c r="D679" t="inlineStr">
        <is>
          <t>JÄMTLANDS LÄN</t>
        </is>
      </c>
      <c r="E679" t="inlineStr">
        <is>
          <t>RAGUNDA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23287-2024</t>
        </is>
      </c>
      <c r="B680" s="1" t="n">
        <v>45453.42041666667</v>
      </c>
      <c r="C680" s="1" t="n">
        <v>45900</v>
      </c>
      <c r="D680" t="inlineStr">
        <is>
          <t>JÄMTLANDS LÄN</t>
        </is>
      </c>
      <c r="E680" t="inlineStr">
        <is>
          <t>RAGUNDA</t>
        </is>
      </c>
      <c r="G680" t="n">
        <v>3.1</v>
      </c>
      <c r="H680" t="n">
        <v>0</v>
      </c>
      <c r="I680" t="n">
        <v>0</v>
      </c>
      <c r="J680" t="n">
        <v>0</v>
      </c>
      <c r="K680" t="n">
        <v>0</v>
      </c>
      <c r="L680" t="n">
        <v>0</v>
      </c>
      <c r="M680" t="n">
        <v>0</v>
      </c>
      <c r="N680" t="n">
        <v>0</v>
      </c>
      <c r="O680" t="n">
        <v>0</v>
      </c>
      <c r="P680" t="n">
        <v>0</v>
      </c>
      <c r="Q680" t="n">
        <v>0</v>
      </c>
      <c r="R680" s="2" t="inlineStr"/>
    </row>
    <row r="681" ht="15" customHeight="1">
      <c r="A681" t="inlineStr">
        <is>
          <t>A 53740-2024</t>
        </is>
      </c>
      <c r="B681" s="1" t="n">
        <v>45615.47091435185</v>
      </c>
      <c r="C681" s="1" t="n">
        <v>45900</v>
      </c>
      <c r="D681" t="inlineStr">
        <is>
          <t>JÄMTLANDS LÄN</t>
        </is>
      </c>
      <c r="E681" t="inlineStr">
        <is>
          <t>RAGUNDA</t>
        </is>
      </c>
      <c r="G681" t="n">
        <v>2.7</v>
      </c>
      <c r="H681" t="n">
        <v>0</v>
      </c>
      <c r="I681" t="n">
        <v>0</v>
      </c>
      <c r="J681" t="n">
        <v>0</v>
      </c>
      <c r="K681" t="n">
        <v>0</v>
      </c>
      <c r="L681" t="n">
        <v>0</v>
      </c>
      <c r="M681" t="n">
        <v>0</v>
      </c>
      <c r="N681" t="n">
        <v>0</v>
      </c>
      <c r="O681" t="n">
        <v>0</v>
      </c>
      <c r="P681" t="n">
        <v>0</v>
      </c>
      <c r="Q681" t="n">
        <v>0</v>
      </c>
      <c r="R681" s="2" t="inlineStr"/>
    </row>
    <row r="682" ht="15" customHeight="1">
      <c r="A682" t="inlineStr">
        <is>
          <t>A 27510-2025</t>
        </is>
      </c>
      <c r="B682" s="1" t="n">
        <v>45813.42790509259</v>
      </c>
      <c r="C682" s="1" t="n">
        <v>45900</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1325-2025</t>
        </is>
      </c>
      <c r="B683" s="1" t="n">
        <v>45667.57342592593</v>
      </c>
      <c r="C683" s="1" t="n">
        <v>45900</v>
      </c>
      <c r="D683" t="inlineStr">
        <is>
          <t>JÄMTLANDS LÄN</t>
        </is>
      </c>
      <c r="E683" t="inlineStr">
        <is>
          <t>RAGUNDA</t>
        </is>
      </c>
      <c r="F683" t="inlineStr">
        <is>
          <t>SCA</t>
        </is>
      </c>
      <c r="G683" t="n">
        <v>20.2</v>
      </c>
      <c r="H683" t="n">
        <v>0</v>
      </c>
      <c r="I683" t="n">
        <v>0</v>
      </c>
      <c r="J683" t="n">
        <v>0</v>
      </c>
      <c r="K683" t="n">
        <v>0</v>
      </c>
      <c r="L683" t="n">
        <v>0</v>
      </c>
      <c r="M683" t="n">
        <v>0</v>
      </c>
      <c r="N683" t="n">
        <v>0</v>
      </c>
      <c r="O683" t="n">
        <v>0</v>
      </c>
      <c r="P683" t="n">
        <v>0</v>
      </c>
      <c r="Q683" t="n">
        <v>0</v>
      </c>
      <c r="R683" s="2" t="inlineStr"/>
    </row>
    <row r="684" ht="15" customHeight="1">
      <c r="A684" t="inlineStr">
        <is>
          <t>A 1326-2025</t>
        </is>
      </c>
      <c r="B684" s="1" t="n">
        <v>45667.57347222222</v>
      </c>
      <c r="C684" s="1" t="n">
        <v>45900</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14696-2022</t>
        </is>
      </c>
      <c r="B685" s="1" t="n">
        <v>44655</v>
      </c>
      <c r="C685" s="1" t="n">
        <v>45900</v>
      </c>
      <c r="D685" t="inlineStr">
        <is>
          <t>JÄMTLANDS LÄN</t>
        </is>
      </c>
      <c r="E685" t="inlineStr">
        <is>
          <t>RAGUNDA</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46549-2023</t>
        </is>
      </c>
      <c r="B686" s="1" t="n">
        <v>45197.94171296297</v>
      </c>
      <c r="C686" s="1" t="n">
        <v>45900</v>
      </c>
      <c r="D686" t="inlineStr">
        <is>
          <t>JÄMTLANDS LÄN</t>
        </is>
      </c>
      <c r="E686" t="inlineStr">
        <is>
          <t>RAGUNDA</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18989-2025</t>
        </is>
      </c>
      <c r="B687" s="1" t="n">
        <v>45764</v>
      </c>
      <c r="C687" s="1" t="n">
        <v>45900</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45952-2023</t>
        </is>
      </c>
      <c r="B688" s="1" t="n">
        <v>45195</v>
      </c>
      <c r="C688" s="1" t="n">
        <v>45900</v>
      </c>
      <c r="D688" t="inlineStr">
        <is>
          <t>JÄMTLANDS LÄN</t>
        </is>
      </c>
      <c r="E688" t="inlineStr">
        <is>
          <t>RAGUNDA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45954-2023</t>
        </is>
      </c>
      <c r="B689" s="1" t="n">
        <v>45195.94679398148</v>
      </c>
      <c r="C689" s="1" t="n">
        <v>45900</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45955-2023</t>
        </is>
      </c>
      <c r="B690" s="1" t="n">
        <v>45195.94685185186</v>
      </c>
      <c r="C690" s="1" t="n">
        <v>45900</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45900</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5308-2025</t>
        </is>
      </c>
      <c r="B692" s="1" t="n">
        <v>45692.49008101852</v>
      </c>
      <c r="C692" s="1" t="n">
        <v>45900</v>
      </c>
      <c r="D692" t="inlineStr">
        <is>
          <t>JÄMTLANDS LÄN</t>
        </is>
      </c>
      <c r="E692" t="inlineStr">
        <is>
          <t>RAGUNDA</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55214-2022</t>
        </is>
      </c>
      <c r="B693" s="1" t="n">
        <v>44886</v>
      </c>
      <c r="C693" s="1" t="n">
        <v>45900</v>
      </c>
      <c r="D693" t="inlineStr">
        <is>
          <t>JÄMTLANDS LÄN</t>
        </is>
      </c>
      <c r="E693" t="inlineStr">
        <is>
          <t>RAGUNDA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35689-2025</t>
        </is>
      </c>
      <c r="B694" s="1" t="n">
        <v>45860.30229166667</v>
      </c>
      <c r="C694" s="1" t="n">
        <v>45900</v>
      </c>
      <c r="D694" t="inlineStr">
        <is>
          <t>JÄMTLANDS LÄN</t>
        </is>
      </c>
      <c r="E694" t="inlineStr">
        <is>
          <t>RAGUNDA</t>
        </is>
      </c>
      <c r="G694" t="n">
        <v>1.9</v>
      </c>
      <c r="H694" t="n">
        <v>0</v>
      </c>
      <c r="I694" t="n">
        <v>0</v>
      </c>
      <c r="J694" t="n">
        <v>0</v>
      </c>
      <c r="K694" t="n">
        <v>0</v>
      </c>
      <c r="L694" t="n">
        <v>0</v>
      </c>
      <c r="M694" t="n">
        <v>0</v>
      </c>
      <c r="N694" t="n">
        <v>0</v>
      </c>
      <c r="O694" t="n">
        <v>0</v>
      </c>
      <c r="P694" t="n">
        <v>0</v>
      </c>
      <c r="Q694" t="n">
        <v>0</v>
      </c>
      <c r="R694" s="2" t="inlineStr"/>
    </row>
    <row r="695" ht="15" customHeight="1">
      <c r="A695" t="inlineStr">
        <is>
          <t>A 40246-2024</t>
        </is>
      </c>
      <c r="B695" s="1" t="n">
        <v>45554.61583333334</v>
      </c>
      <c r="C695" s="1" t="n">
        <v>45900</v>
      </c>
      <c r="D695" t="inlineStr">
        <is>
          <t>JÄMTLANDS LÄN</t>
        </is>
      </c>
      <c r="E695" t="inlineStr">
        <is>
          <t>RAGUNDA</t>
        </is>
      </c>
      <c r="G695" t="n">
        <v>1</v>
      </c>
      <c r="H695" t="n">
        <v>0</v>
      </c>
      <c r="I695" t="n">
        <v>0</v>
      </c>
      <c r="J695" t="n">
        <v>0</v>
      </c>
      <c r="K695" t="n">
        <v>0</v>
      </c>
      <c r="L695" t="n">
        <v>0</v>
      </c>
      <c r="M695" t="n">
        <v>0</v>
      </c>
      <c r="N695" t="n">
        <v>0</v>
      </c>
      <c r="O695" t="n">
        <v>0</v>
      </c>
      <c r="P695" t="n">
        <v>0</v>
      </c>
      <c r="Q695" t="n">
        <v>0</v>
      </c>
      <c r="R695" s="2" t="inlineStr"/>
    </row>
    <row r="696" ht="15" customHeight="1">
      <c r="A696" t="inlineStr">
        <is>
          <t>A 28216-2025</t>
        </is>
      </c>
      <c r="B696" s="1" t="n">
        <v>45818.46898148148</v>
      </c>
      <c r="C696" s="1" t="n">
        <v>45900</v>
      </c>
      <c r="D696" t="inlineStr">
        <is>
          <t>JÄMTLANDS LÄN</t>
        </is>
      </c>
      <c r="E696" t="inlineStr">
        <is>
          <t>RAGUNDA</t>
        </is>
      </c>
      <c r="G696" t="n">
        <v>6.6</v>
      </c>
      <c r="H696" t="n">
        <v>0</v>
      </c>
      <c r="I696" t="n">
        <v>0</v>
      </c>
      <c r="J696" t="n">
        <v>0</v>
      </c>
      <c r="K696" t="n">
        <v>0</v>
      </c>
      <c r="L696" t="n">
        <v>0</v>
      </c>
      <c r="M696" t="n">
        <v>0</v>
      </c>
      <c r="N696" t="n">
        <v>0</v>
      </c>
      <c r="O696" t="n">
        <v>0</v>
      </c>
      <c r="P696" t="n">
        <v>0</v>
      </c>
      <c r="Q696" t="n">
        <v>0</v>
      </c>
      <c r="R696" s="2" t="inlineStr"/>
    </row>
    <row r="697" ht="15" customHeight="1">
      <c r="A697" t="inlineStr">
        <is>
          <t>A 45253-2023</t>
        </is>
      </c>
      <c r="B697" s="1" t="n">
        <v>45187</v>
      </c>
      <c r="C697" s="1" t="n">
        <v>45900</v>
      </c>
      <c r="D697" t="inlineStr">
        <is>
          <t>JÄMTLANDS LÄN</t>
        </is>
      </c>
      <c r="E697" t="inlineStr">
        <is>
          <t>RAGUNDA</t>
        </is>
      </c>
      <c r="G697" t="n">
        <v>3.3</v>
      </c>
      <c r="H697" t="n">
        <v>0</v>
      </c>
      <c r="I697" t="n">
        <v>0</v>
      </c>
      <c r="J697" t="n">
        <v>0</v>
      </c>
      <c r="K697" t="n">
        <v>0</v>
      </c>
      <c r="L697" t="n">
        <v>0</v>
      </c>
      <c r="M697" t="n">
        <v>0</v>
      </c>
      <c r="N697" t="n">
        <v>0</v>
      </c>
      <c r="O697" t="n">
        <v>0</v>
      </c>
      <c r="P697" t="n">
        <v>0</v>
      </c>
      <c r="Q697" t="n">
        <v>0</v>
      </c>
      <c r="R697" s="2" t="inlineStr"/>
    </row>
    <row r="698" ht="15" customHeight="1">
      <c r="A698" t="inlineStr">
        <is>
          <t>A 35658-2025</t>
        </is>
      </c>
      <c r="B698" s="1" t="n">
        <v>45859.594375</v>
      </c>
      <c r="C698" s="1" t="n">
        <v>45900</v>
      </c>
      <c r="D698" t="inlineStr">
        <is>
          <t>JÄMTLANDS LÄN</t>
        </is>
      </c>
      <c r="E698" t="inlineStr">
        <is>
          <t>RAGUNDA</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3104-2025</t>
        </is>
      </c>
      <c r="B699" s="1" t="n">
        <v>45678.67761574074</v>
      </c>
      <c r="C699" s="1" t="n">
        <v>45900</v>
      </c>
      <c r="D699" t="inlineStr">
        <is>
          <t>JÄMTLANDS LÄN</t>
        </is>
      </c>
      <c r="E699" t="inlineStr">
        <is>
          <t>RAGUNDA</t>
        </is>
      </c>
      <c r="F699" t="inlineStr">
        <is>
          <t>SCA</t>
        </is>
      </c>
      <c r="G699" t="n">
        <v>46.2</v>
      </c>
      <c r="H699" t="n">
        <v>0</v>
      </c>
      <c r="I699" t="n">
        <v>0</v>
      </c>
      <c r="J699" t="n">
        <v>0</v>
      </c>
      <c r="K699" t="n">
        <v>0</v>
      </c>
      <c r="L699" t="n">
        <v>0</v>
      </c>
      <c r="M699" t="n">
        <v>0</v>
      </c>
      <c r="N699" t="n">
        <v>0</v>
      </c>
      <c r="O699" t="n">
        <v>0</v>
      </c>
      <c r="P699" t="n">
        <v>0</v>
      </c>
      <c r="Q699" t="n">
        <v>0</v>
      </c>
      <c r="R699" s="2" t="inlineStr"/>
    </row>
    <row r="700" ht="15" customHeight="1">
      <c r="A700" t="inlineStr">
        <is>
          <t>A 21853-2024</t>
        </is>
      </c>
      <c r="B700" s="1" t="n">
        <v>45442.96296296296</v>
      </c>
      <c r="C700" s="1" t="n">
        <v>45900</v>
      </c>
      <c r="D700" t="inlineStr">
        <is>
          <t>JÄMTLANDS LÄN</t>
        </is>
      </c>
      <c r="E700" t="inlineStr">
        <is>
          <t>RAGUNDA</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28637-2025</t>
        </is>
      </c>
      <c r="B701" s="1" t="n">
        <v>45819.6359375</v>
      </c>
      <c r="C701" s="1" t="n">
        <v>45900</v>
      </c>
      <c r="D701" t="inlineStr">
        <is>
          <t>JÄMTLANDS LÄN</t>
        </is>
      </c>
      <c r="E701" t="inlineStr">
        <is>
          <t>RAGUNDA</t>
        </is>
      </c>
      <c r="F701" t="inlineStr">
        <is>
          <t>SCA</t>
        </is>
      </c>
      <c r="G701" t="n">
        <v>6.6</v>
      </c>
      <c r="H701" t="n">
        <v>0</v>
      </c>
      <c r="I701" t="n">
        <v>0</v>
      </c>
      <c r="J701" t="n">
        <v>0</v>
      </c>
      <c r="K701" t="n">
        <v>0</v>
      </c>
      <c r="L701" t="n">
        <v>0</v>
      </c>
      <c r="M701" t="n">
        <v>0</v>
      </c>
      <c r="N701" t="n">
        <v>0</v>
      </c>
      <c r="O701" t="n">
        <v>0</v>
      </c>
      <c r="P701" t="n">
        <v>0</v>
      </c>
      <c r="Q701" t="n">
        <v>0</v>
      </c>
      <c r="R701" s="2" t="inlineStr"/>
    </row>
    <row r="702" ht="15" customHeight="1">
      <c r="A702" t="inlineStr">
        <is>
          <t>A 50160-2023</t>
        </is>
      </c>
      <c r="B702" s="1" t="n">
        <v>45208</v>
      </c>
      <c r="C702" s="1" t="n">
        <v>45900</v>
      </c>
      <c r="D702" t="inlineStr">
        <is>
          <t>JÄMTLANDS LÄN</t>
        </is>
      </c>
      <c r="E702" t="inlineStr">
        <is>
          <t>RAGUNDA</t>
        </is>
      </c>
      <c r="G702" t="n">
        <v>4.6</v>
      </c>
      <c r="H702" t="n">
        <v>0</v>
      </c>
      <c r="I702" t="n">
        <v>0</v>
      </c>
      <c r="J702" t="n">
        <v>0</v>
      </c>
      <c r="K702" t="n">
        <v>0</v>
      </c>
      <c r="L702" t="n">
        <v>0</v>
      </c>
      <c r="M702" t="n">
        <v>0</v>
      </c>
      <c r="N702" t="n">
        <v>0</v>
      </c>
      <c r="O702" t="n">
        <v>0</v>
      </c>
      <c r="P702" t="n">
        <v>0</v>
      </c>
      <c r="Q702" t="n">
        <v>0</v>
      </c>
      <c r="R702" s="2" t="inlineStr"/>
    </row>
    <row r="703" ht="15" customHeight="1">
      <c r="A703" t="inlineStr">
        <is>
          <t>A 29775-2023</t>
        </is>
      </c>
      <c r="B703" s="1" t="n">
        <v>45098</v>
      </c>
      <c r="C703" s="1" t="n">
        <v>45900</v>
      </c>
      <c r="D703" t="inlineStr">
        <is>
          <t>JÄMTLANDS LÄN</t>
        </is>
      </c>
      <c r="E703" t="inlineStr">
        <is>
          <t>RAGUNDA</t>
        </is>
      </c>
      <c r="G703" t="n">
        <v>3.6</v>
      </c>
      <c r="H703" t="n">
        <v>0</v>
      </c>
      <c r="I703" t="n">
        <v>0</v>
      </c>
      <c r="J703" t="n">
        <v>0</v>
      </c>
      <c r="K703" t="n">
        <v>0</v>
      </c>
      <c r="L703" t="n">
        <v>0</v>
      </c>
      <c r="M703" t="n">
        <v>0</v>
      </c>
      <c r="N703" t="n">
        <v>0</v>
      </c>
      <c r="O703" t="n">
        <v>0</v>
      </c>
      <c r="P703" t="n">
        <v>0</v>
      </c>
      <c r="Q703" t="n">
        <v>0</v>
      </c>
      <c r="R703" s="2" t="inlineStr"/>
    </row>
    <row r="704" ht="15" customHeight="1">
      <c r="A704" t="inlineStr">
        <is>
          <t>A 40365-2024</t>
        </is>
      </c>
      <c r="B704" s="1" t="n">
        <v>45555.38509259259</v>
      </c>
      <c r="C704" s="1" t="n">
        <v>45900</v>
      </c>
      <c r="D704" t="inlineStr">
        <is>
          <t>JÄMTLANDS LÄN</t>
        </is>
      </c>
      <c r="E704" t="inlineStr">
        <is>
          <t>RAGUNDA</t>
        </is>
      </c>
      <c r="G704" t="n">
        <v>7.8</v>
      </c>
      <c r="H704" t="n">
        <v>0</v>
      </c>
      <c r="I704" t="n">
        <v>0</v>
      </c>
      <c r="J704" t="n">
        <v>0</v>
      </c>
      <c r="K704" t="n">
        <v>0</v>
      </c>
      <c r="L704" t="n">
        <v>0</v>
      </c>
      <c r="M704" t="n">
        <v>0</v>
      </c>
      <c r="N704" t="n">
        <v>0</v>
      </c>
      <c r="O704" t="n">
        <v>0</v>
      </c>
      <c r="P704" t="n">
        <v>0</v>
      </c>
      <c r="Q704" t="n">
        <v>0</v>
      </c>
      <c r="R704" s="2" t="inlineStr"/>
    </row>
    <row r="705" ht="15" customHeight="1">
      <c r="A705" t="inlineStr">
        <is>
          <t>A 36046-2023</t>
        </is>
      </c>
      <c r="B705" s="1" t="n">
        <v>45148</v>
      </c>
      <c r="C705" s="1" t="n">
        <v>45900</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18193-2022</t>
        </is>
      </c>
      <c r="B706" s="1" t="n">
        <v>44684.94032407407</v>
      </c>
      <c r="C706" s="1" t="n">
        <v>45900</v>
      </c>
      <c r="D706" t="inlineStr">
        <is>
          <t>JÄMTLANDS LÄN</t>
        </is>
      </c>
      <c r="E706" t="inlineStr">
        <is>
          <t>RAGUNDA</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34323-2023</t>
        </is>
      </c>
      <c r="B707" s="1" t="n">
        <v>45138.94925925926</v>
      </c>
      <c r="C707" s="1" t="n">
        <v>45900</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58843-2024</t>
        </is>
      </c>
      <c r="B708" s="1" t="n">
        <v>45636.38599537037</v>
      </c>
      <c r="C708" s="1" t="n">
        <v>45900</v>
      </c>
      <c r="D708" t="inlineStr">
        <is>
          <t>JÄMTLANDS LÄN</t>
        </is>
      </c>
      <c r="E708" t="inlineStr">
        <is>
          <t>RAGUNDA</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28973-2025</t>
        </is>
      </c>
      <c r="B709" s="1" t="n">
        <v>45821.34513888889</v>
      </c>
      <c r="C709" s="1" t="n">
        <v>45900</v>
      </c>
      <c r="D709" t="inlineStr">
        <is>
          <t>JÄMTLANDS LÄN</t>
        </is>
      </c>
      <c r="E709" t="inlineStr">
        <is>
          <t>RAGUNDA</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60456-2023</t>
        </is>
      </c>
      <c r="B710" s="1" t="n">
        <v>45258</v>
      </c>
      <c r="C710" s="1" t="n">
        <v>45900</v>
      </c>
      <c r="D710" t="inlineStr">
        <is>
          <t>JÄMTLANDS LÄN</t>
        </is>
      </c>
      <c r="E710" t="inlineStr">
        <is>
          <t>RAGUNDA</t>
        </is>
      </c>
      <c r="G710" t="n">
        <v>1.8</v>
      </c>
      <c r="H710" t="n">
        <v>0</v>
      </c>
      <c r="I710" t="n">
        <v>0</v>
      </c>
      <c r="J710" t="n">
        <v>0</v>
      </c>
      <c r="K710" t="n">
        <v>0</v>
      </c>
      <c r="L710" t="n">
        <v>0</v>
      </c>
      <c r="M710" t="n">
        <v>0</v>
      </c>
      <c r="N710" t="n">
        <v>0</v>
      </c>
      <c r="O710" t="n">
        <v>0</v>
      </c>
      <c r="P710" t="n">
        <v>0</v>
      </c>
      <c r="Q710" t="n">
        <v>0</v>
      </c>
      <c r="R710" s="2" t="inlineStr"/>
    </row>
    <row r="711" ht="15" customHeight="1">
      <c r="A711" t="inlineStr">
        <is>
          <t>A 45953-2023</t>
        </is>
      </c>
      <c r="B711" s="1" t="n">
        <v>45195.94672453704</v>
      </c>
      <c r="C711" s="1" t="n">
        <v>45900</v>
      </c>
      <c r="D711" t="inlineStr">
        <is>
          <t>JÄMTLANDS LÄN</t>
        </is>
      </c>
      <c r="E711" t="inlineStr">
        <is>
          <t>RAGUNDA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58438-2022</t>
        </is>
      </c>
      <c r="B712" s="1" t="n">
        <v>44901</v>
      </c>
      <c r="C712" s="1" t="n">
        <v>45900</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58442-2022</t>
        </is>
      </c>
      <c r="B713" s="1" t="n">
        <v>44901</v>
      </c>
      <c r="C713" s="1" t="n">
        <v>45900</v>
      </c>
      <c r="D713" t="inlineStr">
        <is>
          <t>JÄMTLANDS LÄN</t>
        </is>
      </c>
      <c r="E713" t="inlineStr">
        <is>
          <t>RAGUNDA</t>
        </is>
      </c>
      <c r="F713" t="inlineStr">
        <is>
          <t>SCA</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29723-2025</t>
        </is>
      </c>
      <c r="B714" s="1" t="n">
        <v>45825.57675925926</v>
      </c>
      <c r="C714" s="1" t="n">
        <v>45900</v>
      </c>
      <c r="D714" t="inlineStr">
        <is>
          <t>JÄMTLANDS LÄN</t>
        </is>
      </c>
      <c r="E714" t="inlineStr">
        <is>
          <t>RAGUNDA</t>
        </is>
      </c>
      <c r="G714" t="n">
        <v>3.1</v>
      </c>
      <c r="H714" t="n">
        <v>0</v>
      </c>
      <c r="I714" t="n">
        <v>0</v>
      </c>
      <c r="J714" t="n">
        <v>0</v>
      </c>
      <c r="K714" t="n">
        <v>0</v>
      </c>
      <c r="L714" t="n">
        <v>0</v>
      </c>
      <c r="M714" t="n">
        <v>0</v>
      </c>
      <c r="N714" t="n">
        <v>0</v>
      </c>
      <c r="O714" t="n">
        <v>0</v>
      </c>
      <c r="P714" t="n">
        <v>0</v>
      </c>
      <c r="Q714" t="n">
        <v>0</v>
      </c>
      <c r="R714" s="2" t="inlineStr"/>
    </row>
    <row r="715" ht="15" customHeight="1">
      <c r="A715" t="inlineStr">
        <is>
          <t>A 29731-2025</t>
        </is>
      </c>
      <c r="B715" s="1" t="n">
        <v>45825.58252314815</v>
      </c>
      <c r="C715" s="1" t="n">
        <v>45900</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30824-2023</t>
        </is>
      </c>
      <c r="B716" s="1" t="n">
        <v>45112.94303240741</v>
      </c>
      <c r="C716" s="1" t="n">
        <v>45900</v>
      </c>
      <c r="D716" t="inlineStr">
        <is>
          <t>JÄMTLANDS LÄN</t>
        </is>
      </c>
      <c r="E716" t="inlineStr">
        <is>
          <t>RAGUNDA</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30825-2023</t>
        </is>
      </c>
      <c r="B717" s="1" t="n">
        <v>45112.94310185185</v>
      </c>
      <c r="C717" s="1" t="n">
        <v>45900</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49229-2024</t>
        </is>
      </c>
      <c r="B718" s="1" t="n">
        <v>45595.42738425926</v>
      </c>
      <c r="C718" s="1" t="n">
        <v>45900</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12464-2025</t>
        </is>
      </c>
      <c r="B719" s="1" t="n">
        <v>45730.53208333333</v>
      </c>
      <c r="C719" s="1" t="n">
        <v>45900</v>
      </c>
      <c r="D719" t="inlineStr">
        <is>
          <t>JÄMTLANDS LÄN</t>
        </is>
      </c>
      <c r="E719" t="inlineStr">
        <is>
          <t>RAGUNDA</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55524-2024</t>
        </is>
      </c>
      <c r="B720" s="1" t="n">
        <v>45622.47435185185</v>
      </c>
      <c r="C720" s="1" t="n">
        <v>45900</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19419-2024</t>
        </is>
      </c>
      <c r="B721" s="1" t="n">
        <v>45429</v>
      </c>
      <c r="C721" s="1" t="n">
        <v>45900</v>
      </c>
      <c r="D721" t="inlineStr">
        <is>
          <t>JÄMTLANDS LÄN</t>
        </is>
      </c>
      <c r="E721" t="inlineStr">
        <is>
          <t>RAGUNDA</t>
        </is>
      </c>
      <c r="G721" t="n">
        <v>3.5</v>
      </c>
      <c r="H721" t="n">
        <v>0</v>
      </c>
      <c r="I721" t="n">
        <v>0</v>
      </c>
      <c r="J721" t="n">
        <v>0</v>
      </c>
      <c r="K721" t="n">
        <v>0</v>
      </c>
      <c r="L721" t="n">
        <v>0</v>
      </c>
      <c r="M721" t="n">
        <v>0</v>
      </c>
      <c r="N721" t="n">
        <v>0</v>
      </c>
      <c r="O721" t="n">
        <v>0</v>
      </c>
      <c r="P721" t="n">
        <v>0</v>
      </c>
      <c r="Q721" t="n">
        <v>0</v>
      </c>
      <c r="R721" s="2" t="inlineStr"/>
    </row>
    <row r="722" ht="15" customHeight="1">
      <c r="A722" t="inlineStr">
        <is>
          <t>A 31506-2024</t>
        </is>
      </c>
      <c r="B722" s="1" t="n">
        <v>45505</v>
      </c>
      <c r="C722" s="1" t="n">
        <v>45900</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29714-2025</t>
        </is>
      </c>
      <c r="B723" s="1" t="n">
        <v>45825.56762731481</v>
      </c>
      <c r="C723" s="1" t="n">
        <v>45900</v>
      </c>
      <c r="D723" t="inlineStr">
        <is>
          <t>JÄMTLANDS LÄN</t>
        </is>
      </c>
      <c r="E723" t="inlineStr">
        <is>
          <t>RAGUNDA</t>
        </is>
      </c>
      <c r="G723" t="n">
        <v>2.7</v>
      </c>
      <c r="H723" t="n">
        <v>0</v>
      </c>
      <c r="I723" t="n">
        <v>0</v>
      </c>
      <c r="J723" t="n">
        <v>0</v>
      </c>
      <c r="K723" t="n">
        <v>0</v>
      </c>
      <c r="L723" t="n">
        <v>0</v>
      </c>
      <c r="M723" t="n">
        <v>0</v>
      </c>
      <c r="N723" t="n">
        <v>0</v>
      </c>
      <c r="O723" t="n">
        <v>0</v>
      </c>
      <c r="P723" t="n">
        <v>0</v>
      </c>
      <c r="Q723" t="n">
        <v>0</v>
      </c>
      <c r="R723" s="2" t="inlineStr"/>
    </row>
    <row r="724" ht="15" customHeight="1">
      <c r="A724" t="inlineStr">
        <is>
          <t>A 55222-2024</t>
        </is>
      </c>
      <c r="B724" s="1" t="n">
        <v>45621.57395833333</v>
      </c>
      <c r="C724" s="1" t="n">
        <v>45900</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30088-2025</t>
        </is>
      </c>
      <c r="B725" s="1" t="n">
        <v>45826.65759259259</v>
      </c>
      <c r="C725" s="1" t="n">
        <v>45900</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36553-2025</t>
        </is>
      </c>
      <c r="B726" s="1" t="n">
        <v>45870.34439814815</v>
      </c>
      <c r="C726" s="1" t="n">
        <v>45900</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31463-2024</t>
        </is>
      </c>
      <c r="B727" s="1" t="n">
        <v>45505</v>
      </c>
      <c r="C727" s="1" t="n">
        <v>45900</v>
      </c>
      <c r="D727" t="inlineStr">
        <is>
          <t>JÄMTLANDS LÄN</t>
        </is>
      </c>
      <c r="E727" t="inlineStr">
        <is>
          <t>RAGUNDA</t>
        </is>
      </c>
      <c r="F727" t="inlineStr">
        <is>
          <t>SCA</t>
        </is>
      </c>
      <c r="G727" t="n">
        <v>20.3</v>
      </c>
      <c r="H727" t="n">
        <v>0</v>
      </c>
      <c r="I727" t="n">
        <v>0</v>
      </c>
      <c r="J727" t="n">
        <v>0</v>
      </c>
      <c r="K727" t="n">
        <v>0</v>
      </c>
      <c r="L727" t="n">
        <v>0</v>
      </c>
      <c r="M727" t="n">
        <v>0</v>
      </c>
      <c r="N727" t="n">
        <v>0</v>
      </c>
      <c r="O727" t="n">
        <v>0</v>
      </c>
      <c r="P727" t="n">
        <v>0</v>
      </c>
      <c r="Q727" t="n">
        <v>0</v>
      </c>
      <c r="R727" s="2" t="inlineStr"/>
    </row>
    <row r="728" ht="15" customHeight="1">
      <c r="A728" t="inlineStr">
        <is>
          <t>A 44755-2024</t>
        </is>
      </c>
      <c r="B728" s="1" t="n">
        <v>45574.61184027778</v>
      </c>
      <c r="C728" s="1" t="n">
        <v>45900</v>
      </c>
      <c r="D728" t="inlineStr">
        <is>
          <t>JÄMTLANDS LÄN</t>
        </is>
      </c>
      <c r="E728" t="inlineStr">
        <is>
          <t>RAGUNDA</t>
        </is>
      </c>
      <c r="G728" t="n">
        <v>4.4</v>
      </c>
      <c r="H728" t="n">
        <v>0</v>
      </c>
      <c r="I728" t="n">
        <v>0</v>
      </c>
      <c r="J728" t="n">
        <v>0</v>
      </c>
      <c r="K728" t="n">
        <v>0</v>
      </c>
      <c r="L728" t="n">
        <v>0</v>
      </c>
      <c r="M728" t="n">
        <v>0</v>
      </c>
      <c r="N728" t="n">
        <v>0</v>
      </c>
      <c r="O728" t="n">
        <v>0</v>
      </c>
      <c r="P728" t="n">
        <v>0</v>
      </c>
      <c r="Q728" t="n">
        <v>0</v>
      </c>
      <c r="R728" s="2" t="inlineStr"/>
    </row>
    <row r="729" ht="15" customHeight="1">
      <c r="A729" t="inlineStr">
        <is>
          <t>A 44766-2024</t>
        </is>
      </c>
      <c r="B729" s="1" t="n">
        <v>45574.62297453704</v>
      </c>
      <c r="C729" s="1" t="n">
        <v>45900</v>
      </c>
      <c r="D729" t="inlineStr">
        <is>
          <t>JÄMTLANDS LÄN</t>
        </is>
      </c>
      <c r="E729" t="inlineStr">
        <is>
          <t>RAGUNDA</t>
        </is>
      </c>
      <c r="G729" t="n">
        <v>3.2</v>
      </c>
      <c r="H729" t="n">
        <v>0</v>
      </c>
      <c r="I729" t="n">
        <v>0</v>
      </c>
      <c r="J729" t="n">
        <v>0</v>
      </c>
      <c r="K729" t="n">
        <v>0</v>
      </c>
      <c r="L729" t="n">
        <v>0</v>
      </c>
      <c r="M729" t="n">
        <v>0</v>
      </c>
      <c r="N729" t="n">
        <v>0</v>
      </c>
      <c r="O729" t="n">
        <v>0</v>
      </c>
      <c r="P729" t="n">
        <v>0</v>
      </c>
      <c r="Q729" t="n">
        <v>0</v>
      </c>
      <c r="R729" s="2" t="inlineStr"/>
    </row>
    <row r="730" ht="15" customHeight="1">
      <c r="A730" t="inlineStr">
        <is>
          <t>A 44778-2024</t>
        </is>
      </c>
      <c r="B730" s="1" t="n">
        <v>45574.63355324074</v>
      </c>
      <c r="C730" s="1" t="n">
        <v>45900</v>
      </c>
      <c r="D730" t="inlineStr">
        <is>
          <t>JÄMTLANDS LÄN</t>
        </is>
      </c>
      <c r="E730" t="inlineStr">
        <is>
          <t>RAGUNDA</t>
        </is>
      </c>
      <c r="G730" t="n">
        <v>5.5</v>
      </c>
      <c r="H730" t="n">
        <v>0</v>
      </c>
      <c r="I730" t="n">
        <v>0</v>
      </c>
      <c r="J730" t="n">
        <v>0</v>
      </c>
      <c r="K730" t="n">
        <v>0</v>
      </c>
      <c r="L730" t="n">
        <v>0</v>
      </c>
      <c r="M730" t="n">
        <v>0</v>
      </c>
      <c r="N730" t="n">
        <v>0</v>
      </c>
      <c r="O730" t="n">
        <v>0</v>
      </c>
      <c r="P730" t="n">
        <v>0</v>
      </c>
      <c r="Q730" t="n">
        <v>0</v>
      </c>
      <c r="R730" s="2" t="inlineStr"/>
    </row>
    <row r="731" ht="15" customHeight="1">
      <c r="A731" t="inlineStr">
        <is>
          <t>A 30348-2025</t>
        </is>
      </c>
      <c r="B731" s="1" t="n">
        <v>45827.53178240741</v>
      </c>
      <c r="C731" s="1" t="n">
        <v>45900</v>
      </c>
      <c r="D731" t="inlineStr">
        <is>
          <t>JÄMTLANDS LÄN</t>
        </is>
      </c>
      <c r="E731" t="inlineStr">
        <is>
          <t>RAGUNDA</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30434-2025</t>
        </is>
      </c>
      <c r="B732" s="1" t="n">
        <v>45827.63582175926</v>
      </c>
      <c r="C732" s="1" t="n">
        <v>45900</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36541-2025</t>
        </is>
      </c>
      <c r="B733" s="1" t="n">
        <v>45869.65666666667</v>
      </c>
      <c r="C733" s="1" t="n">
        <v>45900</v>
      </c>
      <c r="D733" t="inlineStr">
        <is>
          <t>JÄMTLANDS LÄN</t>
        </is>
      </c>
      <c r="E733" t="inlineStr">
        <is>
          <t>RAGUNDA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36544-2025</t>
        </is>
      </c>
      <c r="B734" s="1" t="n">
        <v>45869.67744212963</v>
      </c>
      <c r="C734" s="1" t="n">
        <v>45900</v>
      </c>
      <c r="D734" t="inlineStr">
        <is>
          <t>JÄMTLANDS LÄN</t>
        </is>
      </c>
      <c r="E734" t="inlineStr">
        <is>
          <t>RAGUNDA</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37008-2025</t>
        </is>
      </c>
      <c r="B735" s="1" t="n">
        <v>45874.69844907407</v>
      </c>
      <c r="C735" s="1" t="n">
        <v>45900</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46211-2024</t>
        </is>
      </c>
      <c r="B736" s="1" t="n">
        <v>45581.55260416667</v>
      </c>
      <c r="C736" s="1" t="n">
        <v>45900</v>
      </c>
      <c r="D736" t="inlineStr">
        <is>
          <t>JÄMTLANDS LÄN</t>
        </is>
      </c>
      <c r="E736" t="inlineStr">
        <is>
          <t>RAGUNDA</t>
        </is>
      </c>
      <c r="G736" t="n">
        <v>7.3</v>
      </c>
      <c r="H736" t="n">
        <v>0</v>
      </c>
      <c r="I736" t="n">
        <v>0</v>
      </c>
      <c r="J736" t="n">
        <v>0</v>
      </c>
      <c r="K736" t="n">
        <v>0</v>
      </c>
      <c r="L736" t="n">
        <v>0</v>
      </c>
      <c r="M736" t="n">
        <v>0</v>
      </c>
      <c r="N736" t="n">
        <v>0</v>
      </c>
      <c r="O736" t="n">
        <v>0</v>
      </c>
      <c r="P736" t="n">
        <v>0</v>
      </c>
      <c r="Q736" t="n">
        <v>0</v>
      </c>
      <c r="R736" s="2" t="inlineStr"/>
    </row>
    <row r="737" ht="15" customHeight="1">
      <c r="A737" t="inlineStr">
        <is>
          <t>A 8795-2022</t>
        </is>
      </c>
      <c r="B737" s="1" t="n">
        <v>44614</v>
      </c>
      <c r="C737" s="1" t="n">
        <v>45900</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8679-2023</t>
        </is>
      </c>
      <c r="B738" s="1" t="n">
        <v>44977.98670138889</v>
      </c>
      <c r="C738" s="1" t="n">
        <v>45900</v>
      </c>
      <c r="D738" t="inlineStr">
        <is>
          <t>JÄMTLANDS LÄN</t>
        </is>
      </c>
      <c r="E738" t="inlineStr">
        <is>
          <t>RAGUNDA</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14905-2022</t>
        </is>
      </c>
      <c r="B739" s="1" t="n">
        <v>44656.94708333333</v>
      </c>
      <c r="C739" s="1" t="n">
        <v>45900</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14158-2024</t>
        </is>
      </c>
      <c r="B740" s="1" t="n">
        <v>45392</v>
      </c>
      <c r="C740" s="1" t="n">
        <v>45900</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55649-2023</t>
        </is>
      </c>
      <c r="B741" s="1" t="n">
        <v>45238</v>
      </c>
      <c r="C741" s="1" t="n">
        <v>45900</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53769-2023</t>
        </is>
      </c>
      <c r="B742" s="1" t="n">
        <v>45230</v>
      </c>
      <c r="C742" s="1" t="n">
        <v>45900</v>
      </c>
      <c r="D742" t="inlineStr">
        <is>
          <t>JÄMTLANDS LÄN</t>
        </is>
      </c>
      <c r="E742" t="inlineStr">
        <is>
          <t>RAGUNDA</t>
        </is>
      </c>
      <c r="F742" t="inlineStr">
        <is>
          <t>SCA</t>
        </is>
      </c>
      <c r="G742" t="n">
        <v>11.6</v>
      </c>
      <c r="H742" t="n">
        <v>0</v>
      </c>
      <c r="I742" t="n">
        <v>0</v>
      </c>
      <c r="J742" t="n">
        <v>0</v>
      </c>
      <c r="K742" t="n">
        <v>0</v>
      </c>
      <c r="L742" t="n">
        <v>0</v>
      </c>
      <c r="M742" t="n">
        <v>0</v>
      </c>
      <c r="N742" t="n">
        <v>0</v>
      </c>
      <c r="O742" t="n">
        <v>0</v>
      </c>
      <c r="P742" t="n">
        <v>0</v>
      </c>
      <c r="Q742" t="n">
        <v>0</v>
      </c>
      <c r="R742" s="2" t="inlineStr"/>
    </row>
    <row r="743" ht="15" customHeight="1">
      <c r="A743" t="inlineStr">
        <is>
          <t>A 30883-2025</t>
        </is>
      </c>
      <c r="B743" s="1" t="n">
        <v>45832.34552083333</v>
      </c>
      <c r="C743" s="1" t="n">
        <v>45900</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6257-2025</t>
        </is>
      </c>
      <c r="B744" s="1" t="n">
        <v>45698.59409722222</v>
      </c>
      <c r="C744" s="1" t="n">
        <v>45900</v>
      </c>
      <c r="D744" t="inlineStr">
        <is>
          <t>JÄMTLANDS LÄN</t>
        </is>
      </c>
      <c r="E744" t="inlineStr">
        <is>
          <t>RAGUNDA</t>
        </is>
      </c>
      <c r="F744" t="inlineStr">
        <is>
          <t>SCA</t>
        </is>
      </c>
      <c r="G744" t="n">
        <v>7</v>
      </c>
      <c r="H744" t="n">
        <v>0</v>
      </c>
      <c r="I744" t="n">
        <v>0</v>
      </c>
      <c r="J744" t="n">
        <v>0</v>
      </c>
      <c r="K744" t="n">
        <v>0</v>
      </c>
      <c r="L744" t="n">
        <v>0</v>
      </c>
      <c r="M744" t="n">
        <v>0</v>
      </c>
      <c r="N744" t="n">
        <v>0</v>
      </c>
      <c r="O744" t="n">
        <v>0</v>
      </c>
      <c r="P744" t="n">
        <v>0</v>
      </c>
      <c r="Q744" t="n">
        <v>0</v>
      </c>
      <c r="R744" s="2" t="inlineStr"/>
    </row>
    <row r="745" ht="15" customHeight="1">
      <c r="A745" t="inlineStr">
        <is>
          <t>A 42508-2023</t>
        </is>
      </c>
      <c r="B745" s="1" t="n">
        <v>45180.95907407408</v>
      </c>
      <c r="C745" s="1" t="n">
        <v>45900</v>
      </c>
      <c r="D745" t="inlineStr">
        <is>
          <t>JÄMTLANDS LÄN</t>
        </is>
      </c>
      <c r="E745" t="inlineStr">
        <is>
          <t>RAGUNDA</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40919-2024</t>
        </is>
      </c>
      <c r="B746" s="1" t="n">
        <v>45558.63575231482</v>
      </c>
      <c r="C746" s="1" t="n">
        <v>45900</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15024-2022</t>
        </is>
      </c>
      <c r="B747" s="1" t="n">
        <v>44657</v>
      </c>
      <c r="C747" s="1" t="n">
        <v>45900</v>
      </c>
      <c r="D747" t="inlineStr">
        <is>
          <t>JÄMTLANDS LÄN</t>
        </is>
      </c>
      <c r="E747" t="inlineStr">
        <is>
          <t>RAGUNDA</t>
        </is>
      </c>
      <c r="G747" t="n">
        <v>1.8</v>
      </c>
      <c r="H747" t="n">
        <v>0</v>
      </c>
      <c r="I747" t="n">
        <v>0</v>
      </c>
      <c r="J747" t="n">
        <v>0</v>
      </c>
      <c r="K747" t="n">
        <v>0</v>
      </c>
      <c r="L747" t="n">
        <v>0</v>
      </c>
      <c r="M747" t="n">
        <v>0</v>
      </c>
      <c r="N747" t="n">
        <v>0</v>
      </c>
      <c r="O747" t="n">
        <v>0</v>
      </c>
      <c r="P747" t="n">
        <v>0</v>
      </c>
      <c r="Q747" t="n">
        <v>0</v>
      </c>
      <c r="R747" s="2" t="inlineStr"/>
    </row>
    <row r="748" ht="15" customHeight="1">
      <c r="A748" t="inlineStr">
        <is>
          <t>A 36994-2025</t>
        </is>
      </c>
      <c r="B748" s="1" t="n">
        <v>45874.67746527777</v>
      </c>
      <c r="C748" s="1" t="n">
        <v>45900</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30880-2025</t>
        </is>
      </c>
      <c r="B749" s="1" t="n">
        <v>45832.34524305556</v>
      </c>
      <c r="C749" s="1" t="n">
        <v>45900</v>
      </c>
      <c r="D749" t="inlineStr">
        <is>
          <t>JÄMTLANDS LÄN</t>
        </is>
      </c>
      <c r="E749" t="inlineStr">
        <is>
          <t>RAGUNDA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30887-2025</t>
        </is>
      </c>
      <c r="B750" s="1" t="n">
        <v>45832.3459375</v>
      </c>
      <c r="C750" s="1" t="n">
        <v>45900</v>
      </c>
      <c r="D750" t="inlineStr">
        <is>
          <t>JÄMTLANDS LÄN</t>
        </is>
      </c>
      <c r="E750" t="inlineStr">
        <is>
          <t>RAGUNDA</t>
        </is>
      </c>
      <c r="F750" t="inlineStr">
        <is>
          <t>SCA</t>
        </is>
      </c>
      <c r="G750" t="n">
        <v>10.1</v>
      </c>
      <c r="H750" t="n">
        <v>0</v>
      </c>
      <c r="I750" t="n">
        <v>0</v>
      </c>
      <c r="J750" t="n">
        <v>0</v>
      </c>
      <c r="K750" t="n">
        <v>0</v>
      </c>
      <c r="L750" t="n">
        <v>0</v>
      </c>
      <c r="M750" t="n">
        <v>0</v>
      </c>
      <c r="N750" t="n">
        <v>0</v>
      </c>
      <c r="O750" t="n">
        <v>0</v>
      </c>
      <c r="P750" t="n">
        <v>0</v>
      </c>
      <c r="Q750" t="n">
        <v>0</v>
      </c>
      <c r="R750" s="2" t="inlineStr"/>
    </row>
    <row r="751" ht="15" customHeight="1">
      <c r="A751" t="inlineStr">
        <is>
          <t>A 48192-2024</t>
        </is>
      </c>
      <c r="B751" s="1" t="n">
        <v>45590</v>
      </c>
      <c r="C751" s="1" t="n">
        <v>45900</v>
      </c>
      <c r="D751" t="inlineStr">
        <is>
          <t>JÄMTLANDS LÄN</t>
        </is>
      </c>
      <c r="E751" t="inlineStr">
        <is>
          <t>RAGUNDA</t>
        </is>
      </c>
      <c r="G751" t="n">
        <v>2.3</v>
      </c>
      <c r="H751" t="n">
        <v>0</v>
      </c>
      <c r="I751" t="n">
        <v>0</v>
      </c>
      <c r="J751" t="n">
        <v>0</v>
      </c>
      <c r="K751" t="n">
        <v>0</v>
      </c>
      <c r="L751" t="n">
        <v>0</v>
      </c>
      <c r="M751" t="n">
        <v>0</v>
      </c>
      <c r="N751" t="n">
        <v>0</v>
      </c>
      <c r="O751" t="n">
        <v>0</v>
      </c>
      <c r="P751" t="n">
        <v>0</v>
      </c>
      <c r="Q751" t="n">
        <v>0</v>
      </c>
      <c r="R751" s="2" t="inlineStr"/>
    </row>
    <row r="752" ht="15" customHeight="1">
      <c r="A752" t="inlineStr">
        <is>
          <t>A 12768-2022</t>
        </is>
      </c>
      <c r="B752" s="1" t="n">
        <v>44641</v>
      </c>
      <c r="C752" s="1" t="n">
        <v>45900</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12773-2022</t>
        </is>
      </c>
      <c r="B753" s="1" t="n">
        <v>44641</v>
      </c>
      <c r="C753" s="1" t="n">
        <v>45900</v>
      </c>
      <c r="D753" t="inlineStr">
        <is>
          <t>JÄMTLANDS LÄN</t>
        </is>
      </c>
      <c r="E753" t="inlineStr">
        <is>
          <t>RAGUNDA</t>
        </is>
      </c>
      <c r="F753" t="inlineStr">
        <is>
          <t>SCA</t>
        </is>
      </c>
      <c r="G753" t="n">
        <v>14.7</v>
      </c>
      <c r="H753" t="n">
        <v>0</v>
      </c>
      <c r="I753" t="n">
        <v>0</v>
      </c>
      <c r="J753" t="n">
        <v>0</v>
      </c>
      <c r="K753" t="n">
        <v>0</v>
      </c>
      <c r="L753" t="n">
        <v>0</v>
      </c>
      <c r="M753" t="n">
        <v>0</v>
      </c>
      <c r="N753" t="n">
        <v>0</v>
      </c>
      <c r="O753" t="n">
        <v>0</v>
      </c>
      <c r="P753" t="n">
        <v>0</v>
      </c>
      <c r="Q753" t="n">
        <v>0</v>
      </c>
      <c r="R753" s="2" t="inlineStr"/>
    </row>
    <row r="754" ht="15" customHeight="1">
      <c r="A754" t="inlineStr">
        <is>
          <t>A 36947-2025</t>
        </is>
      </c>
      <c r="B754" s="1" t="n">
        <v>45874.59496527778</v>
      </c>
      <c r="C754" s="1" t="n">
        <v>45900</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32874-2025</t>
        </is>
      </c>
      <c r="B755" s="1" t="n">
        <v>45839</v>
      </c>
      <c r="C755" s="1" t="n">
        <v>45900</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59286-2023</t>
        </is>
      </c>
      <c r="B756" s="1" t="n">
        <v>45253</v>
      </c>
      <c r="C756" s="1" t="n">
        <v>45900</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37292-2025</t>
        </is>
      </c>
      <c r="B757" s="1" t="n">
        <v>45876.53188657408</v>
      </c>
      <c r="C757" s="1" t="n">
        <v>45900</v>
      </c>
      <c r="D757" t="inlineStr">
        <is>
          <t>JÄMTLANDS LÄN</t>
        </is>
      </c>
      <c r="E757" t="inlineStr">
        <is>
          <t>RAGUNDA</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7284-2025</t>
        </is>
      </c>
      <c r="B758" s="1" t="n">
        <v>45702.63604166666</v>
      </c>
      <c r="C758" s="1" t="n">
        <v>45900</v>
      </c>
      <c r="D758" t="inlineStr">
        <is>
          <t>JÄMTLANDS LÄN</t>
        </is>
      </c>
      <c r="E758" t="inlineStr">
        <is>
          <t>RAGUNDA</t>
        </is>
      </c>
      <c r="F758" t="inlineStr">
        <is>
          <t>SCA</t>
        </is>
      </c>
      <c r="G758" t="n">
        <v>0.3</v>
      </c>
      <c r="H758" t="n">
        <v>0</v>
      </c>
      <c r="I758" t="n">
        <v>0</v>
      </c>
      <c r="J758" t="n">
        <v>0</v>
      </c>
      <c r="K758" t="n">
        <v>0</v>
      </c>
      <c r="L758" t="n">
        <v>0</v>
      </c>
      <c r="M758" t="n">
        <v>0</v>
      </c>
      <c r="N758" t="n">
        <v>0</v>
      </c>
      <c r="O758" t="n">
        <v>0</v>
      </c>
      <c r="P758" t="n">
        <v>0</v>
      </c>
      <c r="Q758" t="n">
        <v>0</v>
      </c>
      <c r="R758" s="2" t="inlineStr"/>
    </row>
    <row r="759" ht="15" customHeight="1">
      <c r="A759" t="inlineStr">
        <is>
          <t>A 18375-2022</t>
        </is>
      </c>
      <c r="B759" s="1" t="n">
        <v>44685</v>
      </c>
      <c r="C759" s="1" t="n">
        <v>45900</v>
      </c>
      <c r="D759" t="inlineStr">
        <is>
          <t>JÄMTLANDS LÄN</t>
        </is>
      </c>
      <c r="E759" t="inlineStr">
        <is>
          <t>RAGUNDA</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55536-2024</t>
        </is>
      </c>
      <c r="B760" s="1" t="n">
        <v>45622</v>
      </c>
      <c r="C760" s="1" t="n">
        <v>45900</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2411-2023</t>
        </is>
      </c>
      <c r="B761" s="1" t="n">
        <v>44942</v>
      </c>
      <c r="C761" s="1" t="n">
        <v>45900</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11834-2023</t>
        </is>
      </c>
      <c r="B762" s="1" t="n">
        <v>44994.94296296296</v>
      </c>
      <c r="C762" s="1" t="n">
        <v>45900</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60012-2023</t>
        </is>
      </c>
      <c r="B763" s="1" t="n">
        <v>45257</v>
      </c>
      <c r="C763" s="1" t="n">
        <v>45900</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53264-2024</t>
        </is>
      </c>
      <c r="B764" s="1" t="n">
        <v>45614.34545138889</v>
      </c>
      <c r="C764" s="1" t="n">
        <v>45900</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20221-2025</t>
        </is>
      </c>
      <c r="B765" s="1" t="n">
        <v>45772.6565625</v>
      </c>
      <c r="C765" s="1" t="n">
        <v>45900</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31882-2025</t>
        </is>
      </c>
      <c r="B766" s="1" t="n">
        <v>45834.65662037037</v>
      </c>
      <c r="C766" s="1" t="n">
        <v>45900</v>
      </c>
      <c r="D766" t="inlineStr">
        <is>
          <t>JÄMTLANDS LÄN</t>
        </is>
      </c>
      <c r="E766" t="inlineStr">
        <is>
          <t>RAGUNDA</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50431-2024</t>
        </is>
      </c>
      <c r="B767" s="1" t="n">
        <v>45601.40686342592</v>
      </c>
      <c r="C767" s="1" t="n">
        <v>45900</v>
      </c>
      <c r="D767" t="inlineStr">
        <is>
          <t>JÄMTLANDS LÄN</t>
        </is>
      </c>
      <c r="E767" t="inlineStr">
        <is>
          <t>RAGUNDA</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35265-2023</t>
        </is>
      </c>
      <c r="B768" s="1" t="n">
        <v>45145.95326388889</v>
      </c>
      <c r="C768" s="1" t="n">
        <v>45900</v>
      </c>
      <c r="D768" t="inlineStr">
        <is>
          <t>JÄMTLANDS LÄN</t>
        </is>
      </c>
      <c r="E768" t="inlineStr">
        <is>
          <t>RAGUNDA</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31435-2022</t>
        </is>
      </c>
      <c r="B769" s="1" t="n">
        <v>44774</v>
      </c>
      <c r="C769" s="1" t="n">
        <v>45900</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50211-2023</t>
        </is>
      </c>
      <c r="B770" s="1" t="n">
        <v>45215.94657407407</v>
      </c>
      <c r="C770" s="1" t="n">
        <v>45900</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16334-2025</t>
        </is>
      </c>
      <c r="B771" s="1" t="n">
        <v>45751.36490740741</v>
      </c>
      <c r="C771" s="1" t="n">
        <v>45900</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16529-2022</t>
        </is>
      </c>
      <c r="B772" s="1" t="n">
        <v>44671</v>
      </c>
      <c r="C772" s="1" t="n">
        <v>45900</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7284-2024</t>
        </is>
      </c>
      <c r="B773" s="1" t="n">
        <v>45344.92865740741</v>
      </c>
      <c r="C773" s="1" t="n">
        <v>45900</v>
      </c>
      <c r="D773" t="inlineStr">
        <is>
          <t>JÄMTLANDS LÄN</t>
        </is>
      </c>
      <c r="E773" t="inlineStr">
        <is>
          <t>RAGUNDA</t>
        </is>
      </c>
      <c r="G773" t="n">
        <v>2.1</v>
      </c>
      <c r="H773" t="n">
        <v>0</v>
      </c>
      <c r="I773" t="n">
        <v>0</v>
      </c>
      <c r="J773" t="n">
        <v>0</v>
      </c>
      <c r="K773" t="n">
        <v>0</v>
      </c>
      <c r="L773" t="n">
        <v>0</v>
      </c>
      <c r="M773" t="n">
        <v>0</v>
      </c>
      <c r="N773" t="n">
        <v>0</v>
      </c>
      <c r="O773" t="n">
        <v>0</v>
      </c>
      <c r="P773" t="n">
        <v>0</v>
      </c>
      <c r="Q773" t="n">
        <v>0</v>
      </c>
      <c r="R773" s="2" t="inlineStr"/>
    </row>
    <row r="774" ht="15" customHeight="1">
      <c r="A774" t="inlineStr">
        <is>
          <t>A 7285-2024</t>
        </is>
      </c>
      <c r="B774" s="1" t="n">
        <v>45344.92873842592</v>
      </c>
      <c r="C774" s="1" t="n">
        <v>45900</v>
      </c>
      <c r="D774" t="inlineStr">
        <is>
          <t>JÄMTLANDS LÄN</t>
        </is>
      </c>
      <c r="E774" t="inlineStr">
        <is>
          <t>RAGUNDA</t>
        </is>
      </c>
      <c r="G774" t="n">
        <v>0.5</v>
      </c>
      <c r="H774" t="n">
        <v>0</v>
      </c>
      <c r="I774" t="n">
        <v>0</v>
      </c>
      <c r="J774" t="n">
        <v>0</v>
      </c>
      <c r="K774" t="n">
        <v>0</v>
      </c>
      <c r="L774" t="n">
        <v>0</v>
      </c>
      <c r="M774" t="n">
        <v>0</v>
      </c>
      <c r="N774" t="n">
        <v>0</v>
      </c>
      <c r="O774" t="n">
        <v>0</v>
      </c>
      <c r="P774" t="n">
        <v>0</v>
      </c>
      <c r="Q774" t="n">
        <v>0</v>
      </c>
      <c r="R774" s="2" t="inlineStr"/>
    </row>
    <row r="775" ht="15" customHeight="1">
      <c r="A775" t="inlineStr">
        <is>
          <t>A 40269-2022</t>
        </is>
      </c>
      <c r="B775" s="1" t="n">
        <v>44820</v>
      </c>
      <c r="C775" s="1" t="n">
        <v>45900</v>
      </c>
      <c r="D775" t="inlineStr">
        <is>
          <t>JÄMTLANDS LÄN</t>
        </is>
      </c>
      <c r="E775" t="inlineStr">
        <is>
          <t>RAGUNDA</t>
        </is>
      </c>
      <c r="F775" t="inlineStr">
        <is>
          <t>SCA</t>
        </is>
      </c>
      <c r="G775" t="n">
        <v>77.8</v>
      </c>
      <c r="H775" t="n">
        <v>0</v>
      </c>
      <c r="I775" t="n">
        <v>0</v>
      </c>
      <c r="J775" t="n">
        <v>0</v>
      </c>
      <c r="K775" t="n">
        <v>0</v>
      </c>
      <c r="L775" t="n">
        <v>0</v>
      </c>
      <c r="M775" t="n">
        <v>0</v>
      </c>
      <c r="N775" t="n">
        <v>0</v>
      </c>
      <c r="O775" t="n">
        <v>0</v>
      </c>
      <c r="P775" t="n">
        <v>0</v>
      </c>
      <c r="Q775" t="n">
        <v>0</v>
      </c>
      <c r="R775" s="2" t="inlineStr"/>
    </row>
    <row r="776" ht="15" customHeight="1">
      <c r="A776" t="inlineStr">
        <is>
          <t>A 2242-2024</t>
        </is>
      </c>
      <c r="B776" s="1" t="n">
        <v>45309</v>
      </c>
      <c r="C776" s="1" t="n">
        <v>45900</v>
      </c>
      <c r="D776" t="inlineStr">
        <is>
          <t>JÄMTLANDS LÄN</t>
        </is>
      </c>
      <c r="E776" t="inlineStr">
        <is>
          <t>RAGUNDA</t>
        </is>
      </c>
      <c r="G776" t="n">
        <v>0.9</v>
      </c>
      <c r="H776" t="n">
        <v>0</v>
      </c>
      <c r="I776" t="n">
        <v>0</v>
      </c>
      <c r="J776" t="n">
        <v>0</v>
      </c>
      <c r="K776" t="n">
        <v>0</v>
      </c>
      <c r="L776" t="n">
        <v>0</v>
      </c>
      <c r="M776" t="n">
        <v>0</v>
      </c>
      <c r="N776" t="n">
        <v>0</v>
      </c>
      <c r="O776" t="n">
        <v>0</v>
      </c>
      <c r="P776" t="n">
        <v>0</v>
      </c>
      <c r="Q776" t="n">
        <v>0</v>
      </c>
      <c r="R776" s="2" t="inlineStr"/>
    </row>
    <row r="777" ht="15" customHeight="1">
      <c r="A777" t="inlineStr">
        <is>
          <t>A 2248-2024</t>
        </is>
      </c>
      <c r="B777" s="1" t="n">
        <v>45309</v>
      </c>
      <c r="C777" s="1" t="n">
        <v>45900</v>
      </c>
      <c r="D777" t="inlineStr">
        <is>
          <t>JÄMTLANDS LÄN</t>
        </is>
      </c>
      <c r="E777" t="inlineStr">
        <is>
          <t>RAGUNDA</t>
        </is>
      </c>
      <c r="G777" t="n">
        <v>4.2</v>
      </c>
      <c r="H777" t="n">
        <v>0</v>
      </c>
      <c r="I777" t="n">
        <v>0</v>
      </c>
      <c r="J777" t="n">
        <v>0</v>
      </c>
      <c r="K777" t="n">
        <v>0</v>
      </c>
      <c r="L777" t="n">
        <v>0</v>
      </c>
      <c r="M777" t="n">
        <v>0</v>
      </c>
      <c r="N777" t="n">
        <v>0</v>
      </c>
      <c r="O777" t="n">
        <v>0</v>
      </c>
      <c r="P777" t="n">
        <v>0</v>
      </c>
      <c r="Q777" t="n">
        <v>0</v>
      </c>
      <c r="R777" s="2" t="inlineStr"/>
    </row>
    <row r="778" ht="15" customHeight="1">
      <c r="A778" t="inlineStr">
        <is>
          <t>A 5958-2021</t>
        </is>
      </c>
      <c r="B778" s="1" t="n">
        <v>44231</v>
      </c>
      <c r="C778" s="1" t="n">
        <v>45900</v>
      </c>
      <c r="D778" t="inlineStr">
        <is>
          <t>JÄMTLANDS LÄN</t>
        </is>
      </c>
      <c r="E778" t="inlineStr">
        <is>
          <t>RAGUNDA</t>
        </is>
      </c>
      <c r="G778" t="n">
        <v>3.1</v>
      </c>
      <c r="H778" t="n">
        <v>0</v>
      </c>
      <c r="I778" t="n">
        <v>0</v>
      </c>
      <c r="J778" t="n">
        <v>0</v>
      </c>
      <c r="K778" t="n">
        <v>0</v>
      </c>
      <c r="L778" t="n">
        <v>0</v>
      </c>
      <c r="M778" t="n">
        <v>0</v>
      </c>
      <c r="N778" t="n">
        <v>0</v>
      </c>
      <c r="O778" t="n">
        <v>0</v>
      </c>
      <c r="P778" t="n">
        <v>0</v>
      </c>
      <c r="Q778" t="n">
        <v>0</v>
      </c>
      <c r="R778" s="2" t="inlineStr"/>
    </row>
    <row r="779" ht="15" customHeight="1">
      <c r="A779" t="inlineStr">
        <is>
          <t>A 44536-2022</t>
        </is>
      </c>
      <c r="B779" s="1" t="n">
        <v>44839</v>
      </c>
      <c r="C779" s="1" t="n">
        <v>45900</v>
      </c>
      <c r="D779" t="inlineStr">
        <is>
          <t>JÄMTLANDS LÄN</t>
        </is>
      </c>
      <c r="E779" t="inlineStr">
        <is>
          <t>RAGUNDA</t>
        </is>
      </c>
      <c r="G779" t="n">
        <v>4</v>
      </c>
      <c r="H779" t="n">
        <v>0</v>
      </c>
      <c r="I779" t="n">
        <v>0</v>
      </c>
      <c r="J779" t="n">
        <v>0</v>
      </c>
      <c r="K779" t="n">
        <v>0</v>
      </c>
      <c r="L779" t="n">
        <v>0</v>
      </c>
      <c r="M779" t="n">
        <v>0</v>
      </c>
      <c r="N779" t="n">
        <v>0</v>
      </c>
      <c r="O779" t="n">
        <v>0</v>
      </c>
      <c r="P779" t="n">
        <v>0</v>
      </c>
      <c r="Q779" t="n">
        <v>0</v>
      </c>
      <c r="R779" s="2" t="inlineStr"/>
    </row>
    <row r="780" ht="15" customHeight="1">
      <c r="A780" t="inlineStr">
        <is>
          <t>A 24197-2024</t>
        </is>
      </c>
      <c r="B780" s="1" t="n">
        <v>45456.96601851852</v>
      </c>
      <c r="C780" s="1" t="n">
        <v>45900</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4916-2025</t>
        </is>
      </c>
      <c r="B781" s="1" t="n">
        <v>45688.68196759259</v>
      </c>
      <c r="C781" s="1" t="n">
        <v>45900</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32075-2025</t>
        </is>
      </c>
      <c r="B782" s="1" t="n">
        <v>45835.4506712963</v>
      </c>
      <c r="C782" s="1" t="n">
        <v>45900</v>
      </c>
      <c r="D782" t="inlineStr">
        <is>
          <t>JÄMTLANDS LÄN</t>
        </is>
      </c>
      <c r="E782" t="inlineStr">
        <is>
          <t>RAGUNDA</t>
        </is>
      </c>
      <c r="G782" t="n">
        <v>1.1</v>
      </c>
      <c r="H782" t="n">
        <v>0</v>
      </c>
      <c r="I782" t="n">
        <v>0</v>
      </c>
      <c r="J782" t="n">
        <v>0</v>
      </c>
      <c r="K782" t="n">
        <v>0</v>
      </c>
      <c r="L782" t="n">
        <v>0</v>
      </c>
      <c r="M782" t="n">
        <v>0</v>
      </c>
      <c r="N782" t="n">
        <v>0</v>
      </c>
      <c r="O782" t="n">
        <v>0</v>
      </c>
      <c r="P782" t="n">
        <v>0</v>
      </c>
      <c r="Q782" t="n">
        <v>0</v>
      </c>
      <c r="R782" s="2" t="inlineStr"/>
    </row>
    <row r="783" ht="15" customHeight="1">
      <c r="A783" t="inlineStr">
        <is>
          <t>A 32762-2025</t>
        </is>
      </c>
      <c r="B783" s="1" t="n">
        <v>45838</v>
      </c>
      <c r="C783" s="1" t="n">
        <v>45900</v>
      </c>
      <c r="D783" t="inlineStr">
        <is>
          <t>JÄMTLANDS LÄN</t>
        </is>
      </c>
      <c r="E783" t="inlineStr">
        <is>
          <t>RAGUNDA</t>
        </is>
      </c>
      <c r="G783" t="n">
        <v>0.6</v>
      </c>
      <c r="H783" t="n">
        <v>0</v>
      </c>
      <c r="I783" t="n">
        <v>0</v>
      </c>
      <c r="J783" t="n">
        <v>0</v>
      </c>
      <c r="K783" t="n">
        <v>0</v>
      </c>
      <c r="L783" t="n">
        <v>0</v>
      </c>
      <c r="M783" t="n">
        <v>0</v>
      </c>
      <c r="N783" t="n">
        <v>0</v>
      </c>
      <c r="O783" t="n">
        <v>0</v>
      </c>
      <c r="P783" t="n">
        <v>0</v>
      </c>
      <c r="Q783" t="n">
        <v>0</v>
      </c>
      <c r="R783" s="2" t="inlineStr"/>
    </row>
    <row r="784" ht="15" customHeight="1">
      <c r="A784" t="inlineStr">
        <is>
          <t>A 36212-2023</t>
        </is>
      </c>
      <c r="B784" s="1" t="n">
        <v>45149.95241898148</v>
      </c>
      <c r="C784" s="1" t="n">
        <v>45900</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12475-2025</t>
        </is>
      </c>
      <c r="B785" s="1" t="n">
        <v>45730.56346064815</v>
      </c>
      <c r="C785" s="1" t="n">
        <v>45900</v>
      </c>
      <c r="D785" t="inlineStr">
        <is>
          <t>JÄMTLANDS LÄN</t>
        </is>
      </c>
      <c r="E785" t="inlineStr">
        <is>
          <t>RAGUNDA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32306-2025</t>
        </is>
      </c>
      <c r="B786" s="1" t="n">
        <v>45835.72046296296</v>
      </c>
      <c r="C786" s="1" t="n">
        <v>45900</v>
      </c>
      <c r="D786" t="inlineStr">
        <is>
          <t>JÄMTLANDS LÄN</t>
        </is>
      </c>
      <c r="E786" t="inlineStr">
        <is>
          <t>RAGUNDA</t>
        </is>
      </c>
      <c r="G786" t="n">
        <v>10.2</v>
      </c>
      <c r="H786" t="n">
        <v>0</v>
      </c>
      <c r="I786" t="n">
        <v>0</v>
      </c>
      <c r="J786" t="n">
        <v>0</v>
      </c>
      <c r="K786" t="n">
        <v>0</v>
      </c>
      <c r="L786" t="n">
        <v>0</v>
      </c>
      <c r="M786" t="n">
        <v>0</v>
      </c>
      <c r="N786" t="n">
        <v>0</v>
      </c>
      <c r="O786" t="n">
        <v>0</v>
      </c>
      <c r="P786" t="n">
        <v>0</v>
      </c>
      <c r="Q786" t="n">
        <v>0</v>
      </c>
      <c r="R786" s="2" t="inlineStr"/>
    </row>
    <row r="787" ht="15" customHeight="1">
      <c r="A787" t="inlineStr">
        <is>
          <t>A 10754-2025</t>
        </is>
      </c>
      <c r="B787" s="1" t="n">
        <v>45722.44849537037</v>
      </c>
      <c r="C787" s="1" t="n">
        <v>45900</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32757-2025</t>
        </is>
      </c>
      <c r="B788" s="1" t="n">
        <v>45838</v>
      </c>
      <c r="C788" s="1" t="n">
        <v>45900</v>
      </c>
      <c r="D788" t="inlineStr">
        <is>
          <t>JÄMTLANDS LÄN</t>
        </is>
      </c>
      <c r="E788" t="inlineStr">
        <is>
          <t>RAGUNDA</t>
        </is>
      </c>
      <c r="G788" t="n">
        <v>4.5</v>
      </c>
      <c r="H788" t="n">
        <v>0</v>
      </c>
      <c r="I788" t="n">
        <v>0</v>
      </c>
      <c r="J788" t="n">
        <v>0</v>
      </c>
      <c r="K788" t="n">
        <v>0</v>
      </c>
      <c r="L788" t="n">
        <v>0</v>
      </c>
      <c r="M788" t="n">
        <v>0</v>
      </c>
      <c r="N788" t="n">
        <v>0</v>
      </c>
      <c r="O788" t="n">
        <v>0</v>
      </c>
      <c r="P788" t="n">
        <v>0</v>
      </c>
      <c r="Q788" t="n">
        <v>0</v>
      </c>
      <c r="R788" s="2" t="inlineStr"/>
    </row>
    <row r="789" ht="15" customHeight="1">
      <c r="A789" t="inlineStr">
        <is>
          <t>A 32660-2025</t>
        </is>
      </c>
      <c r="B789" s="1" t="n">
        <v>45838.67887731481</v>
      </c>
      <c r="C789" s="1" t="n">
        <v>45900</v>
      </c>
      <c r="D789" t="inlineStr">
        <is>
          <t>JÄMTLANDS LÄN</t>
        </is>
      </c>
      <c r="E789" t="inlineStr">
        <is>
          <t>RAGUNDA</t>
        </is>
      </c>
      <c r="F789" t="inlineStr">
        <is>
          <t>SCA</t>
        </is>
      </c>
      <c r="G789" t="n">
        <v>10.3</v>
      </c>
      <c r="H789" t="n">
        <v>0</v>
      </c>
      <c r="I789" t="n">
        <v>0</v>
      </c>
      <c r="J789" t="n">
        <v>0</v>
      </c>
      <c r="K789" t="n">
        <v>0</v>
      </c>
      <c r="L789" t="n">
        <v>0</v>
      </c>
      <c r="M789" t="n">
        <v>0</v>
      </c>
      <c r="N789" t="n">
        <v>0</v>
      </c>
      <c r="O789" t="n">
        <v>0</v>
      </c>
      <c r="P789" t="n">
        <v>0</v>
      </c>
      <c r="Q789" t="n">
        <v>0</v>
      </c>
      <c r="R789" s="2" t="inlineStr"/>
    </row>
    <row r="790" ht="15" customHeight="1">
      <c r="A790" t="inlineStr">
        <is>
          <t>A 23305-2023</t>
        </is>
      </c>
      <c r="B790" s="1" t="n">
        <v>45075.94506944445</v>
      </c>
      <c r="C790" s="1" t="n">
        <v>45900</v>
      </c>
      <c r="D790" t="inlineStr">
        <is>
          <t>JÄMTLANDS LÄN</t>
        </is>
      </c>
      <c r="E790" t="inlineStr">
        <is>
          <t>RAGUNDA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32527-2025</t>
        </is>
      </c>
      <c r="B791" s="1" t="n">
        <v>45838.48996527777</v>
      </c>
      <c r="C791" s="1" t="n">
        <v>45900</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53860-2023</t>
        </is>
      </c>
      <c r="B792" s="1" t="n">
        <v>45224</v>
      </c>
      <c r="C792" s="1" t="n">
        <v>45900</v>
      </c>
      <c r="D792" t="inlineStr">
        <is>
          <t>JÄMTLANDS LÄN</t>
        </is>
      </c>
      <c r="E792" t="inlineStr">
        <is>
          <t>RAGUNDA</t>
        </is>
      </c>
      <c r="G792" t="n">
        <v>3.3</v>
      </c>
      <c r="H792" t="n">
        <v>0</v>
      </c>
      <c r="I792" t="n">
        <v>0</v>
      </c>
      <c r="J792" t="n">
        <v>0</v>
      </c>
      <c r="K792" t="n">
        <v>0</v>
      </c>
      <c r="L792" t="n">
        <v>0</v>
      </c>
      <c r="M792" t="n">
        <v>0</v>
      </c>
      <c r="N792" t="n">
        <v>0</v>
      </c>
      <c r="O792" t="n">
        <v>0</v>
      </c>
      <c r="P792" t="n">
        <v>0</v>
      </c>
      <c r="Q792" t="n">
        <v>0</v>
      </c>
      <c r="R792" s="2" t="inlineStr"/>
    </row>
    <row r="793" ht="15" customHeight="1">
      <c r="A793" t="inlineStr">
        <is>
          <t>A 54599-2023</t>
        </is>
      </c>
      <c r="B793" s="1" t="n">
        <v>45233.92591435185</v>
      </c>
      <c r="C793" s="1" t="n">
        <v>45900</v>
      </c>
      <c r="D793" t="inlineStr">
        <is>
          <t>JÄMTLANDS LÄN</t>
        </is>
      </c>
      <c r="E793" t="inlineStr">
        <is>
          <t>RAGUNDA</t>
        </is>
      </c>
      <c r="G793" t="n">
        <v>3.7</v>
      </c>
      <c r="H793" t="n">
        <v>0</v>
      </c>
      <c r="I793" t="n">
        <v>0</v>
      </c>
      <c r="J793" t="n">
        <v>0</v>
      </c>
      <c r="K793" t="n">
        <v>0</v>
      </c>
      <c r="L793" t="n">
        <v>0</v>
      </c>
      <c r="M793" t="n">
        <v>0</v>
      </c>
      <c r="N793" t="n">
        <v>0</v>
      </c>
      <c r="O793" t="n">
        <v>0</v>
      </c>
      <c r="P793" t="n">
        <v>0</v>
      </c>
      <c r="Q793" t="n">
        <v>0</v>
      </c>
      <c r="R793" s="2" t="inlineStr"/>
    </row>
    <row r="794" ht="15" customHeight="1">
      <c r="A794" t="inlineStr">
        <is>
          <t>A 4615-2023</t>
        </is>
      </c>
      <c r="B794" s="1" t="n">
        <v>44956.93924768519</v>
      </c>
      <c r="C794" s="1" t="n">
        <v>45900</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2673-2024</t>
        </is>
      </c>
      <c r="B795" s="1" t="n">
        <v>45314</v>
      </c>
      <c r="C795" s="1" t="n">
        <v>45900</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32021-2025</t>
        </is>
      </c>
      <c r="B796" s="1" t="n">
        <v>45835.40668981482</v>
      </c>
      <c r="C796" s="1" t="n">
        <v>45900</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57112-2024</t>
        </is>
      </c>
      <c r="B797" s="1" t="n">
        <v>45629.36486111111</v>
      </c>
      <c r="C797" s="1" t="n">
        <v>45900</v>
      </c>
      <c r="D797" t="inlineStr">
        <is>
          <t>JÄMTLANDS LÄN</t>
        </is>
      </c>
      <c r="E797" t="inlineStr">
        <is>
          <t>RAGUNDA</t>
        </is>
      </c>
      <c r="G797" t="n">
        <v>0.7</v>
      </c>
      <c r="H797" t="n">
        <v>0</v>
      </c>
      <c r="I797" t="n">
        <v>0</v>
      </c>
      <c r="J797" t="n">
        <v>0</v>
      </c>
      <c r="K797" t="n">
        <v>0</v>
      </c>
      <c r="L797" t="n">
        <v>0</v>
      </c>
      <c r="M797" t="n">
        <v>0</v>
      </c>
      <c r="N797" t="n">
        <v>0</v>
      </c>
      <c r="O797" t="n">
        <v>0</v>
      </c>
      <c r="P797" t="n">
        <v>0</v>
      </c>
      <c r="Q797" t="n">
        <v>0</v>
      </c>
      <c r="R797" s="2" t="inlineStr"/>
    </row>
    <row r="798" ht="15" customHeight="1">
      <c r="A798" t="inlineStr">
        <is>
          <t>A 36375-2022</t>
        </is>
      </c>
      <c r="B798" s="1" t="n">
        <v>44803.94351851852</v>
      </c>
      <c r="C798" s="1" t="n">
        <v>45900</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32655-2025</t>
        </is>
      </c>
      <c r="B799" s="1" t="n">
        <v>45838.67800925926</v>
      </c>
      <c r="C799" s="1" t="n">
        <v>45900</v>
      </c>
      <c r="D799" t="inlineStr">
        <is>
          <t>JÄMTLANDS LÄN</t>
        </is>
      </c>
      <c r="E799" t="inlineStr">
        <is>
          <t>RAGUNDA</t>
        </is>
      </c>
      <c r="G799" t="n">
        <v>2.8</v>
      </c>
      <c r="H799" t="n">
        <v>0</v>
      </c>
      <c r="I799" t="n">
        <v>0</v>
      </c>
      <c r="J799" t="n">
        <v>0</v>
      </c>
      <c r="K799" t="n">
        <v>0</v>
      </c>
      <c r="L799" t="n">
        <v>0</v>
      </c>
      <c r="M799" t="n">
        <v>0</v>
      </c>
      <c r="N799" t="n">
        <v>0</v>
      </c>
      <c r="O799" t="n">
        <v>0</v>
      </c>
      <c r="P799" t="n">
        <v>0</v>
      </c>
      <c r="Q799" t="n">
        <v>0</v>
      </c>
      <c r="R799" s="2" t="inlineStr"/>
    </row>
    <row r="800" ht="15" customHeight="1">
      <c r="A800" t="inlineStr">
        <is>
          <t>A 32151-2025</t>
        </is>
      </c>
      <c r="B800" s="1" t="n">
        <v>45835.53166666667</v>
      </c>
      <c r="C800" s="1" t="n">
        <v>45900</v>
      </c>
      <c r="D800" t="inlineStr">
        <is>
          <t>JÄMTLANDS LÄN</t>
        </is>
      </c>
      <c r="E800" t="inlineStr">
        <is>
          <t>RAGUNDA</t>
        </is>
      </c>
      <c r="F800" t="inlineStr">
        <is>
          <t>SCA</t>
        </is>
      </c>
      <c r="G800" t="n">
        <v>12.3</v>
      </c>
      <c r="H800" t="n">
        <v>0</v>
      </c>
      <c r="I800" t="n">
        <v>0</v>
      </c>
      <c r="J800" t="n">
        <v>0</v>
      </c>
      <c r="K800" t="n">
        <v>0</v>
      </c>
      <c r="L800" t="n">
        <v>0</v>
      </c>
      <c r="M800" t="n">
        <v>0</v>
      </c>
      <c r="N800" t="n">
        <v>0</v>
      </c>
      <c r="O800" t="n">
        <v>0</v>
      </c>
      <c r="P800" t="n">
        <v>0</v>
      </c>
      <c r="Q800" t="n">
        <v>0</v>
      </c>
      <c r="R800" s="2" t="inlineStr"/>
    </row>
    <row r="801" ht="15" customHeight="1">
      <c r="A801" t="inlineStr">
        <is>
          <t>A 32096-2025</t>
        </is>
      </c>
      <c r="B801" s="1" t="n">
        <v>45835.46334490741</v>
      </c>
      <c r="C801" s="1" t="n">
        <v>45900</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17667-2025</t>
        </is>
      </c>
      <c r="B802" s="1" t="n">
        <v>45758.36487268518</v>
      </c>
      <c r="C802" s="1" t="n">
        <v>45900</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5148-2023</t>
        </is>
      </c>
      <c r="B803" s="1" t="n">
        <v>44958</v>
      </c>
      <c r="C803" s="1" t="n">
        <v>45900</v>
      </c>
      <c r="D803" t="inlineStr">
        <is>
          <t>JÄMTLANDS LÄN</t>
        </is>
      </c>
      <c r="E803" t="inlineStr">
        <is>
          <t>RAGUNDA</t>
        </is>
      </c>
      <c r="G803" t="n">
        <v>2.9</v>
      </c>
      <c r="H803" t="n">
        <v>0</v>
      </c>
      <c r="I803" t="n">
        <v>0</v>
      </c>
      <c r="J803" t="n">
        <v>0</v>
      </c>
      <c r="K803" t="n">
        <v>0</v>
      </c>
      <c r="L803" t="n">
        <v>0</v>
      </c>
      <c r="M803" t="n">
        <v>0</v>
      </c>
      <c r="N803" t="n">
        <v>0</v>
      </c>
      <c r="O803" t="n">
        <v>0</v>
      </c>
      <c r="P803" t="n">
        <v>0</v>
      </c>
      <c r="Q803" t="n">
        <v>0</v>
      </c>
      <c r="R803" s="2" t="inlineStr"/>
    </row>
    <row r="804" ht="15" customHeight="1">
      <c r="A804" t="inlineStr">
        <is>
          <t>A 10610-2024</t>
        </is>
      </c>
      <c r="B804" s="1" t="n">
        <v>45367.04693287037</v>
      </c>
      <c r="C804" s="1" t="n">
        <v>45900</v>
      </c>
      <c r="D804" t="inlineStr">
        <is>
          <t>JÄMTLANDS LÄN</t>
        </is>
      </c>
      <c r="E804" t="inlineStr">
        <is>
          <t>RAGUNDA</t>
        </is>
      </c>
      <c r="F804" t="inlineStr">
        <is>
          <t>SCA</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32088-2025</t>
        </is>
      </c>
      <c r="B805" s="1" t="n">
        <v>45835.45686342593</v>
      </c>
      <c r="C805" s="1" t="n">
        <v>45900</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8779-2025</t>
        </is>
      </c>
      <c r="B806" s="1" t="n">
        <v>45712.61552083334</v>
      </c>
      <c r="C806" s="1" t="n">
        <v>45900</v>
      </c>
      <c r="D806" t="inlineStr">
        <is>
          <t>JÄMTLANDS LÄN</t>
        </is>
      </c>
      <c r="E806" t="inlineStr">
        <is>
          <t>RAGUNDA</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32748-2025</t>
        </is>
      </c>
      <c r="B807" s="1" t="n">
        <v>45839.42822916667</v>
      </c>
      <c r="C807" s="1" t="n">
        <v>45900</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32777-2025</t>
        </is>
      </c>
      <c r="B808" s="1" t="n">
        <v>45839.46915509259</v>
      </c>
      <c r="C808" s="1" t="n">
        <v>45900</v>
      </c>
      <c r="D808" t="inlineStr">
        <is>
          <t>JÄMTLANDS LÄN</t>
        </is>
      </c>
      <c r="E808" t="inlineStr">
        <is>
          <t>RAGUNDA</t>
        </is>
      </c>
      <c r="F808" t="inlineStr">
        <is>
          <t>SCA</t>
        </is>
      </c>
      <c r="G808" t="n">
        <v>21.7</v>
      </c>
      <c r="H808" t="n">
        <v>0</v>
      </c>
      <c r="I808" t="n">
        <v>0</v>
      </c>
      <c r="J808" t="n">
        <v>0</v>
      </c>
      <c r="K808" t="n">
        <v>0</v>
      </c>
      <c r="L808" t="n">
        <v>0</v>
      </c>
      <c r="M808" t="n">
        <v>0</v>
      </c>
      <c r="N808" t="n">
        <v>0</v>
      </c>
      <c r="O808" t="n">
        <v>0</v>
      </c>
      <c r="P808" t="n">
        <v>0</v>
      </c>
      <c r="Q808" t="n">
        <v>0</v>
      </c>
      <c r="R808" s="2" t="inlineStr"/>
    </row>
    <row r="809" ht="15" customHeight="1">
      <c r="A809" t="inlineStr">
        <is>
          <t>A 51049-2024</t>
        </is>
      </c>
      <c r="B809" s="1" t="n">
        <v>45603.44644675926</v>
      </c>
      <c r="C809" s="1" t="n">
        <v>45900</v>
      </c>
      <c r="D809" t="inlineStr">
        <is>
          <t>JÄMTLANDS LÄN</t>
        </is>
      </c>
      <c r="E809" t="inlineStr">
        <is>
          <t>RAGUNDA</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20574-2025</t>
        </is>
      </c>
      <c r="B810" s="1" t="n">
        <v>45775.67747685185</v>
      </c>
      <c r="C810" s="1" t="n">
        <v>45900</v>
      </c>
      <c r="D810" t="inlineStr">
        <is>
          <t>JÄMTLANDS LÄN</t>
        </is>
      </c>
      <c r="E810" t="inlineStr">
        <is>
          <t>RAGUNDA</t>
        </is>
      </c>
      <c r="F810" t="inlineStr">
        <is>
          <t>SCA</t>
        </is>
      </c>
      <c r="G810" t="n">
        <v>5.1</v>
      </c>
      <c r="H810" t="n">
        <v>0</v>
      </c>
      <c r="I810" t="n">
        <v>0</v>
      </c>
      <c r="J810" t="n">
        <v>0</v>
      </c>
      <c r="K810" t="n">
        <v>0</v>
      </c>
      <c r="L810" t="n">
        <v>0</v>
      </c>
      <c r="M810" t="n">
        <v>0</v>
      </c>
      <c r="N810" t="n">
        <v>0</v>
      </c>
      <c r="O810" t="n">
        <v>0</v>
      </c>
      <c r="P810" t="n">
        <v>0</v>
      </c>
      <c r="Q810" t="n">
        <v>0</v>
      </c>
      <c r="R810" s="2" t="inlineStr"/>
    </row>
    <row r="811" ht="15" customHeight="1">
      <c r="A811" t="inlineStr">
        <is>
          <t>A 55489-2024</t>
        </is>
      </c>
      <c r="B811" s="1" t="n">
        <v>45622.44774305556</v>
      </c>
      <c r="C811" s="1" t="n">
        <v>45900</v>
      </c>
      <c r="D811" t="inlineStr">
        <is>
          <t>JÄMTLANDS LÄN</t>
        </is>
      </c>
      <c r="E811" t="inlineStr">
        <is>
          <t>RAGUNDA</t>
        </is>
      </c>
      <c r="G811" t="n">
        <v>1.6</v>
      </c>
      <c r="H811" t="n">
        <v>0</v>
      </c>
      <c r="I811" t="n">
        <v>0</v>
      </c>
      <c r="J811" t="n">
        <v>0</v>
      </c>
      <c r="K811" t="n">
        <v>0</v>
      </c>
      <c r="L811" t="n">
        <v>0</v>
      </c>
      <c r="M811" t="n">
        <v>0</v>
      </c>
      <c r="N811" t="n">
        <v>0</v>
      </c>
      <c r="O811" t="n">
        <v>0</v>
      </c>
      <c r="P811" t="n">
        <v>0</v>
      </c>
      <c r="Q811" t="n">
        <v>0</v>
      </c>
      <c r="R811" s="2" t="inlineStr"/>
    </row>
    <row r="812" ht="15" customHeight="1">
      <c r="A812" t="inlineStr">
        <is>
          <t>A 16676-2022</t>
        </is>
      </c>
      <c r="B812" s="1" t="n">
        <v>44672.94018518519</v>
      </c>
      <c r="C812" s="1" t="n">
        <v>45900</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32430-2025</t>
        </is>
      </c>
      <c r="B813" s="1" t="n">
        <v>45838.36532407408</v>
      </c>
      <c r="C813" s="1" t="n">
        <v>45900</v>
      </c>
      <c r="D813" t="inlineStr">
        <is>
          <t>JÄMTLANDS LÄN</t>
        </is>
      </c>
      <c r="E813" t="inlineStr">
        <is>
          <t>RAGUNDA</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14074-2023</t>
        </is>
      </c>
      <c r="B814" s="1" t="n">
        <v>45009.089375</v>
      </c>
      <c r="C814" s="1" t="n">
        <v>45900</v>
      </c>
      <c r="D814" t="inlineStr">
        <is>
          <t>JÄMTLANDS LÄN</t>
        </is>
      </c>
      <c r="E814" t="inlineStr">
        <is>
          <t>RAGUNDA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32796-2025</t>
        </is>
      </c>
      <c r="B815" s="1" t="n">
        <v>45839.49082175926</v>
      </c>
      <c r="C815" s="1" t="n">
        <v>45900</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57078-2023</t>
        </is>
      </c>
      <c r="B816" s="1" t="n">
        <v>45244.96774305555</v>
      </c>
      <c r="C816" s="1" t="n">
        <v>45900</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54764-2024</t>
        </is>
      </c>
      <c r="B817" s="1" t="n">
        <v>45618.46921296296</v>
      </c>
      <c r="C817" s="1" t="n">
        <v>45900</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32747-2025</t>
        </is>
      </c>
      <c r="B818" s="1" t="n">
        <v>45839.42810185185</v>
      </c>
      <c r="C818" s="1" t="n">
        <v>45900</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12976-2025</t>
        </is>
      </c>
      <c r="B819" s="1" t="n">
        <v>45734.45268518518</v>
      </c>
      <c r="C819" s="1" t="n">
        <v>45900</v>
      </c>
      <c r="D819" t="inlineStr">
        <is>
          <t>JÄMTLANDS LÄN</t>
        </is>
      </c>
      <c r="E819" t="inlineStr">
        <is>
          <t>RAGUNDA</t>
        </is>
      </c>
      <c r="G819" t="n">
        <v>24.2</v>
      </c>
      <c r="H819" t="n">
        <v>0</v>
      </c>
      <c r="I819" t="n">
        <v>0</v>
      </c>
      <c r="J819" t="n">
        <v>0</v>
      </c>
      <c r="K819" t="n">
        <v>0</v>
      </c>
      <c r="L819" t="n">
        <v>0</v>
      </c>
      <c r="M819" t="n">
        <v>0</v>
      </c>
      <c r="N819" t="n">
        <v>0</v>
      </c>
      <c r="O819" t="n">
        <v>0</v>
      </c>
      <c r="P819" t="n">
        <v>0</v>
      </c>
      <c r="Q819" t="n">
        <v>0</v>
      </c>
      <c r="R819" s="2" t="inlineStr"/>
    </row>
    <row r="820" ht="15" customHeight="1">
      <c r="A820" t="inlineStr">
        <is>
          <t>A 56286-2023</t>
        </is>
      </c>
      <c r="B820" s="1" t="n">
        <v>45241.95741898148</v>
      </c>
      <c r="C820" s="1" t="n">
        <v>45900</v>
      </c>
      <c r="D820" t="inlineStr">
        <is>
          <t>JÄMTLANDS LÄN</t>
        </is>
      </c>
      <c r="E820" t="inlineStr">
        <is>
          <t>RAGUNDA</t>
        </is>
      </c>
      <c r="F820" t="inlineStr">
        <is>
          <t>SCA</t>
        </is>
      </c>
      <c r="G820" t="n">
        <v>4.5</v>
      </c>
      <c r="H820" t="n">
        <v>0</v>
      </c>
      <c r="I820" t="n">
        <v>0</v>
      </c>
      <c r="J820" t="n">
        <v>0</v>
      </c>
      <c r="K820" t="n">
        <v>0</v>
      </c>
      <c r="L820" t="n">
        <v>0</v>
      </c>
      <c r="M820" t="n">
        <v>0</v>
      </c>
      <c r="N820" t="n">
        <v>0</v>
      </c>
      <c r="O820" t="n">
        <v>0</v>
      </c>
      <c r="P820" t="n">
        <v>0</v>
      </c>
      <c r="Q820" t="n">
        <v>0</v>
      </c>
      <c r="R820" s="2" t="inlineStr"/>
    </row>
    <row r="821" ht="15" customHeight="1">
      <c r="A821" t="inlineStr">
        <is>
          <t>A 56287-2023</t>
        </is>
      </c>
      <c r="B821" s="1" t="n">
        <v>45241</v>
      </c>
      <c r="C821" s="1" t="n">
        <v>45900</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59658-2023</t>
        </is>
      </c>
      <c r="B822" s="1" t="n">
        <v>45254.96402777778</v>
      </c>
      <c r="C822" s="1" t="n">
        <v>45900</v>
      </c>
      <c r="D822" t="inlineStr">
        <is>
          <t>JÄMTLANDS LÄN</t>
        </is>
      </c>
      <c r="E822" t="inlineStr">
        <is>
          <t>RAGUNDA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32751-2025</t>
        </is>
      </c>
      <c r="B823" s="1" t="n">
        <v>45839.42864583333</v>
      </c>
      <c r="C823" s="1" t="n">
        <v>45900</v>
      </c>
      <c r="D823" t="inlineStr">
        <is>
          <t>JÄMTLANDS LÄN</t>
        </is>
      </c>
      <c r="E823" t="inlineStr">
        <is>
          <t>RAGUNDA</t>
        </is>
      </c>
      <c r="F823" t="inlineStr">
        <is>
          <t>SCA</t>
        </is>
      </c>
      <c r="G823" t="n">
        <v>10</v>
      </c>
      <c r="H823" t="n">
        <v>0</v>
      </c>
      <c r="I823" t="n">
        <v>0</v>
      </c>
      <c r="J823" t="n">
        <v>0</v>
      </c>
      <c r="K823" t="n">
        <v>0</v>
      </c>
      <c r="L823" t="n">
        <v>0</v>
      </c>
      <c r="M823" t="n">
        <v>0</v>
      </c>
      <c r="N823" t="n">
        <v>0</v>
      </c>
      <c r="O823" t="n">
        <v>0</v>
      </c>
      <c r="P823" t="n">
        <v>0</v>
      </c>
      <c r="Q823" t="n">
        <v>0</v>
      </c>
      <c r="R823" s="2" t="inlineStr"/>
    </row>
    <row r="824" ht="15" customHeight="1">
      <c r="A824" t="inlineStr">
        <is>
          <t>A 32846-2025</t>
        </is>
      </c>
      <c r="B824" s="1" t="n">
        <v>45839.57331018519</v>
      </c>
      <c r="C824" s="1" t="n">
        <v>45900</v>
      </c>
      <c r="D824" t="inlineStr">
        <is>
          <t>JÄMTLANDS LÄN</t>
        </is>
      </c>
      <c r="E824" t="inlineStr">
        <is>
          <t>RAGUNDA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33140-2025</t>
        </is>
      </c>
      <c r="B825" s="1" t="n">
        <v>45840.52225694444</v>
      </c>
      <c r="C825" s="1" t="n">
        <v>45900</v>
      </c>
      <c r="D825" t="inlineStr">
        <is>
          <t>JÄMTLANDS LÄN</t>
        </is>
      </c>
      <c r="E825" t="inlineStr">
        <is>
          <t>RAGUNDA</t>
        </is>
      </c>
      <c r="G825" t="n">
        <v>2</v>
      </c>
      <c r="H825" t="n">
        <v>0</v>
      </c>
      <c r="I825" t="n">
        <v>0</v>
      </c>
      <c r="J825" t="n">
        <v>0</v>
      </c>
      <c r="K825" t="n">
        <v>0</v>
      </c>
      <c r="L825" t="n">
        <v>0</v>
      </c>
      <c r="M825" t="n">
        <v>0</v>
      </c>
      <c r="N825" t="n">
        <v>0</v>
      </c>
      <c r="O825" t="n">
        <v>0</v>
      </c>
      <c r="P825" t="n">
        <v>0</v>
      </c>
      <c r="Q825" t="n">
        <v>0</v>
      </c>
      <c r="R825" s="2" t="inlineStr"/>
    </row>
    <row r="826" ht="15" customHeight="1">
      <c r="A826" t="inlineStr">
        <is>
          <t>A 28081-2022</t>
        </is>
      </c>
      <c r="B826" s="1" t="n">
        <v>44746</v>
      </c>
      <c r="C826" s="1" t="n">
        <v>45900</v>
      </c>
      <c r="D826" t="inlineStr">
        <is>
          <t>JÄMTLANDS LÄN</t>
        </is>
      </c>
      <c r="E826" t="inlineStr">
        <is>
          <t>RAGUNDA</t>
        </is>
      </c>
      <c r="G826" t="n">
        <v>7.2</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45900</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19727-2025</t>
        </is>
      </c>
      <c r="B828" s="1" t="n">
        <v>45771.36538194444</v>
      </c>
      <c r="C828" s="1" t="n">
        <v>45900</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62106-2023</t>
        </is>
      </c>
      <c r="B829" s="1" t="n">
        <v>45266.95082175926</v>
      </c>
      <c r="C829" s="1" t="n">
        <v>45900</v>
      </c>
      <c r="D829" t="inlineStr">
        <is>
          <t>JÄMTLANDS LÄN</t>
        </is>
      </c>
      <c r="E829" t="inlineStr">
        <is>
          <t>RAGUNDA</t>
        </is>
      </c>
      <c r="F829" t="inlineStr">
        <is>
          <t>SCA</t>
        </is>
      </c>
      <c r="G829" t="n">
        <v>6.6</v>
      </c>
      <c r="H829" t="n">
        <v>0</v>
      </c>
      <c r="I829" t="n">
        <v>0</v>
      </c>
      <c r="J829" t="n">
        <v>0</v>
      </c>
      <c r="K829" t="n">
        <v>0</v>
      </c>
      <c r="L829" t="n">
        <v>0</v>
      </c>
      <c r="M829" t="n">
        <v>0</v>
      </c>
      <c r="N829" t="n">
        <v>0</v>
      </c>
      <c r="O829" t="n">
        <v>0</v>
      </c>
      <c r="P829" t="n">
        <v>0</v>
      </c>
      <c r="Q829" t="n">
        <v>0</v>
      </c>
      <c r="R829" s="2" t="inlineStr"/>
    </row>
    <row r="830" ht="15" customHeight="1">
      <c r="A830" t="inlineStr">
        <is>
          <t>A 4592-2024</t>
        </is>
      </c>
      <c r="B830" s="1" t="n">
        <v>45327.94443287037</v>
      </c>
      <c r="C830" s="1" t="n">
        <v>45900</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7279-2024</t>
        </is>
      </c>
      <c r="B831" s="1" t="n">
        <v>45344.92822916667</v>
      </c>
      <c r="C831" s="1" t="n">
        <v>45900</v>
      </c>
      <c r="D831" t="inlineStr">
        <is>
          <t>JÄMTLANDS LÄN</t>
        </is>
      </c>
      <c r="E831" t="inlineStr">
        <is>
          <t>RAGUNDA</t>
        </is>
      </c>
      <c r="G831" t="n">
        <v>2.1</v>
      </c>
      <c r="H831" t="n">
        <v>0</v>
      </c>
      <c r="I831" t="n">
        <v>0</v>
      </c>
      <c r="J831" t="n">
        <v>0</v>
      </c>
      <c r="K831" t="n">
        <v>0</v>
      </c>
      <c r="L831" t="n">
        <v>0</v>
      </c>
      <c r="M831" t="n">
        <v>0</v>
      </c>
      <c r="N831" t="n">
        <v>0</v>
      </c>
      <c r="O831" t="n">
        <v>0</v>
      </c>
      <c r="P831" t="n">
        <v>0</v>
      </c>
      <c r="Q831" t="n">
        <v>0</v>
      </c>
      <c r="R831" s="2" t="inlineStr"/>
    </row>
    <row r="832" ht="15" customHeight="1">
      <c r="A832" t="inlineStr">
        <is>
          <t>A 33763-2025</t>
        </is>
      </c>
      <c r="B832" s="1" t="n">
        <v>45842.38579861111</v>
      </c>
      <c r="C832" s="1" t="n">
        <v>45900</v>
      </c>
      <c r="D832" t="inlineStr">
        <is>
          <t>JÄMTLANDS LÄN</t>
        </is>
      </c>
      <c r="E832" t="inlineStr">
        <is>
          <t>RAGUNDA</t>
        </is>
      </c>
      <c r="F832" t="inlineStr">
        <is>
          <t>SCA</t>
        </is>
      </c>
      <c r="G832" t="n">
        <v>13.4</v>
      </c>
      <c r="H832" t="n">
        <v>0</v>
      </c>
      <c r="I832" t="n">
        <v>0</v>
      </c>
      <c r="J832" t="n">
        <v>0</v>
      </c>
      <c r="K832" t="n">
        <v>0</v>
      </c>
      <c r="L832" t="n">
        <v>0</v>
      </c>
      <c r="M832" t="n">
        <v>0</v>
      </c>
      <c r="N832" t="n">
        <v>0</v>
      </c>
      <c r="O832" t="n">
        <v>0</v>
      </c>
      <c r="P832" t="n">
        <v>0</v>
      </c>
      <c r="Q832" t="n">
        <v>0</v>
      </c>
      <c r="R832" s="2" t="inlineStr"/>
    </row>
    <row r="833" ht="15" customHeight="1">
      <c r="A833" t="inlineStr">
        <is>
          <t>A 18984-2023</t>
        </is>
      </c>
      <c r="B833" s="1" t="n">
        <v>45044</v>
      </c>
      <c r="C833" s="1" t="n">
        <v>45900</v>
      </c>
      <c r="D833" t="inlineStr">
        <is>
          <t>JÄMTLANDS LÄN</t>
        </is>
      </c>
      <c r="E833" t="inlineStr">
        <is>
          <t>RAGUNDA</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8241-2024</t>
        </is>
      </c>
      <c r="B834" s="1" t="n">
        <v>45351.98496527778</v>
      </c>
      <c r="C834" s="1" t="n">
        <v>45900</v>
      </c>
      <c r="D834" t="inlineStr">
        <is>
          <t>JÄMTLANDS LÄN</t>
        </is>
      </c>
      <c r="E834" t="inlineStr">
        <is>
          <t>RAGUNDA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14512-2025</t>
        </is>
      </c>
      <c r="B835" s="1" t="n">
        <v>45741.63659722222</v>
      </c>
      <c r="C835" s="1" t="n">
        <v>45900</v>
      </c>
      <c r="D835" t="inlineStr">
        <is>
          <t>JÄMTLANDS LÄN</t>
        </is>
      </c>
      <c r="E835" t="inlineStr">
        <is>
          <t>RAGUNDA</t>
        </is>
      </c>
      <c r="F835" t="inlineStr">
        <is>
          <t>SCA</t>
        </is>
      </c>
      <c r="G835" t="n">
        <v>8.9</v>
      </c>
      <c r="H835" t="n">
        <v>0</v>
      </c>
      <c r="I835" t="n">
        <v>0</v>
      </c>
      <c r="J835" t="n">
        <v>0</v>
      </c>
      <c r="K835" t="n">
        <v>0</v>
      </c>
      <c r="L835" t="n">
        <v>0</v>
      </c>
      <c r="M835" t="n">
        <v>0</v>
      </c>
      <c r="N835" t="n">
        <v>0</v>
      </c>
      <c r="O835" t="n">
        <v>0</v>
      </c>
      <c r="P835" t="n">
        <v>0</v>
      </c>
      <c r="Q835" t="n">
        <v>0</v>
      </c>
      <c r="R835" s="2" t="inlineStr"/>
    </row>
    <row r="836" ht="15" customHeight="1">
      <c r="A836" t="inlineStr">
        <is>
          <t>A 33556-2025</t>
        </is>
      </c>
      <c r="B836" s="1" t="n">
        <v>45841.57427083333</v>
      </c>
      <c r="C836" s="1" t="n">
        <v>45900</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1809-2025</t>
        </is>
      </c>
      <c r="B837" s="1" t="n">
        <v>45671.48989583334</v>
      </c>
      <c r="C837" s="1" t="n">
        <v>45900</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33432-2023</t>
        </is>
      </c>
      <c r="B838" s="1" t="n">
        <v>45128</v>
      </c>
      <c r="C838" s="1" t="n">
        <v>45900</v>
      </c>
      <c r="D838" t="inlineStr">
        <is>
          <t>JÄMTLANDS LÄN</t>
        </is>
      </c>
      <c r="E838" t="inlineStr">
        <is>
          <t>RAGUNDA</t>
        </is>
      </c>
      <c r="F838" t="inlineStr">
        <is>
          <t>SCA</t>
        </is>
      </c>
      <c r="G838" t="n">
        <v>10</v>
      </c>
      <c r="H838" t="n">
        <v>0</v>
      </c>
      <c r="I838" t="n">
        <v>0</v>
      </c>
      <c r="J838" t="n">
        <v>0</v>
      </c>
      <c r="K838" t="n">
        <v>0</v>
      </c>
      <c r="L838" t="n">
        <v>0</v>
      </c>
      <c r="M838" t="n">
        <v>0</v>
      </c>
      <c r="N838" t="n">
        <v>0</v>
      </c>
      <c r="O838" t="n">
        <v>0</v>
      </c>
      <c r="P838" t="n">
        <v>0</v>
      </c>
      <c r="Q838" t="n">
        <v>0</v>
      </c>
      <c r="R838" s="2" t="inlineStr"/>
    </row>
    <row r="839" ht="15" customHeight="1">
      <c r="A839" t="inlineStr">
        <is>
          <t>A 33790-2025</t>
        </is>
      </c>
      <c r="B839" s="1" t="n">
        <v>45842.42608796297</v>
      </c>
      <c r="C839" s="1" t="n">
        <v>45900</v>
      </c>
      <c r="D839" t="inlineStr">
        <is>
          <t>JÄMTLANDS LÄN</t>
        </is>
      </c>
      <c r="E839" t="inlineStr">
        <is>
          <t>RAGUNDA</t>
        </is>
      </c>
      <c r="G839" t="n">
        <v>0.3</v>
      </c>
      <c r="H839" t="n">
        <v>0</v>
      </c>
      <c r="I839" t="n">
        <v>0</v>
      </c>
      <c r="J839" t="n">
        <v>0</v>
      </c>
      <c r="K839" t="n">
        <v>0</v>
      </c>
      <c r="L839" t="n">
        <v>0</v>
      </c>
      <c r="M839" t="n">
        <v>0</v>
      </c>
      <c r="N839" t="n">
        <v>0</v>
      </c>
      <c r="O839" t="n">
        <v>0</v>
      </c>
      <c r="P839" t="n">
        <v>0</v>
      </c>
      <c r="Q839" t="n">
        <v>0</v>
      </c>
      <c r="R839" s="2" t="inlineStr"/>
    </row>
    <row r="840" ht="15" customHeight="1">
      <c r="A840" t="inlineStr">
        <is>
          <t>A 10706-2023</t>
        </is>
      </c>
      <c r="B840" s="1" t="n">
        <v>44984</v>
      </c>
      <c r="C840" s="1" t="n">
        <v>45900</v>
      </c>
      <c r="D840" t="inlineStr">
        <is>
          <t>JÄMTLANDS LÄN</t>
        </is>
      </c>
      <c r="E840" t="inlineStr">
        <is>
          <t>RAGUNDA</t>
        </is>
      </c>
      <c r="G840" t="n">
        <v>7.7</v>
      </c>
      <c r="H840" t="n">
        <v>0</v>
      </c>
      <c r="I840" t="n">
        <v>0</v>
      </c>
      <c r="J840" t="n">
        <v>0</v>
      </c>
      <c r="K840" t="n">
        <v>0</v>
      </c>
      <c r="L840" t="n">
        <v>0</v>
      </c>
      <c r="M840" t="n">
        <v>0</v>
      </c>
      <c r="N840" t="n">
        <v>0</v>
      </c>
      <c r="O840" t="n">
        <v>0</v>
      </c>
      <c r="P840" t="n">
        <v>0</v>
      </c>
      <c r="Q840" t="n">
        <v>0</v>
      </c>
      <c r="R840" s="2" t="inlineStr"/>
    </row>
    <row r="841" ht="15" customHeight="1">
      <c r="A841" t="inlineStr">
        <is>
          <t>A 891-2022</t>
        </is>
      </c>
      <c r="B841" s="1" t="n">
        <v>44571</v>
      </c>
      <c r="C841" s="1" t="n">
        <v>45900</v>
      </c>
      <c r="D841" t="inlineStr">
        <is>
          <t>JÄMTLANDS LÄN</t>
        </is>
      </c>
      <c r="E841" t="inlineStr">
        <is>
          <t>RAGUNDA</t>
        </is>
      </c>
      <c r="G841" t="n">
        <v>1.7</v>
      </c>
      <c r="H841" t="n">
        <v>0</v>
      </c>
      <c r="I841" t="n">
        <v>0</v>
      </c>
      <c r="J841" t="n">
        <v>0</v>
      </c>
      <c r="K841" t="n">
        <v>0</v>
      </c>
      <c r="L841" t="n">
        <v>0</v>
      </c>
      <c r="M841" t="n">
        <v>0</v>
      </c>
      <c r="N841" t="n">
        <v>0</v>
      </c>
      <c r="O841" t="n">
        <v>0</v>
      </c>
      <c r="P841" t="n">
        <v>0</v>
      </c>
      <c r="Q841" t="n">
        <v>0</v>
      </c>
      <c r="R841" s="2" t="inlineStr"/>
    </row>
    <row r="842" ht="15" customHeight="1">
      <c r="A842" t="inlineStr">
        <is>
          <t>A 33650-2025</t>
        </is>
      </c>
      <c r="B842" s="1" t="n">
        <v>45841.6571412037</v>
      </c>
      <c r="C842" s="1" t="n">
        <v>45900</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53019-2023</t>
        </is>
      </c>
      <c r="B843" s="1" t="n">
        <v>45222</v>
      </c>
      <c r="C843" s="1" t="n">
        <v>45900</v>
      </c>
      <c r="D843" t="inlineStr">
        <is>
          <t>JÄMTLANDS LÄN</t>
        </is>
      </c>
      <c r="E843" t="inlineStr">
        <is>
          <t>RAGUNDA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59996-2023</t>
        </is>
      </c>
      <c r="B844" s="1" t="n">
        <v>45257.92826388889</v>
      </c>
      <c r="C844" s="1" t="n">
        <v>45900</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1537-2024</t>
        </is>
      </c>
      <c r="B845" s="1" t="n">
        <v>45306</v>
      </c>
      <c r="C845" s="1" t="n">
        <v>45900</v>
      </c>
      <c r="D845" t="inlineStr">
        <is>
          <t>JÄMTLANDS LÄN</t>
        </is>
      </c>
      <c r="E845" t="inlineStr">
        <is>
          <t>RAGUNDA</t>
        </is>
      </c>
      <c r="G845" t="n">
        <v>0.2</v>
      </c>
      <c r="H845" t="n">
        <v>0</v>
      </c>
      <c r="I845" t="n">
        <v>0</v>
      </c>
      <c r="J845" t="n">
        <v>0</v>
      </c>
      <c r="K845" t="n">
        <v>0</v>
      </c>
      <c r="L845" t="n">
        <v>0</v>
      </c>
      <c r="M845" t="n">
        <v>0</v>
      </c>
      <c r="N845" t="n">
        <v>0</v>
      </c>
      <c r="O845" t="n">
        <v>0</v>
      </c>
      <c r="P845" t="n">
        <v>0</v>
      </c>
      <c r="Q845" t="n">
        <v>0</v>
      </c>
      <c r="R845" s="2" t="inlineStr"/>
    </row>
    <row r="846" ht="15" customHeight="1">
      <c r="A846" t="inlineStr">
        <is>
          <t>A 39192-2025</t>
        </is>
      </c>
      <c r="B846" s="1" t="n">
        <v>45888.6775</v>
      </c>
      <c r="C846" s="1" t="n">
        <v>45900</v>
      </c>
      <c r="D846" t="inlineStr">
        <is>
          <t>JÄMTLANDS LÄN</t>
        </is>
      </c>
      <c r="E846" t="inlineStr">
        <is>
          <t>RAGUNDA</t>
        </is>
      </c>
      <c r="F846" t="inlineStr">
        <is>
          <t>Naturvårdsverket</t>
        </is>
      </c>
      <c r="G846" t="n">
        <v>2.3</v>
      </c>
      <c r="H846" t="n">
        <v>0</v>
      </c>
      <c r="I846" t="n">
        <v>0</v>
      </c>
      <c r="J846" t="n">
        <v>0</v>
      </c>
      <c r="K846" t="n">
        <v>0</v>
      </c>
      <c r="L846" t="n">
        <v>0</v>
      </c>
      <c r="M846" t="n">
        <v>0</v>
      </c>
      <c r="N846" t="n">
        <v>0</v>
      </c>
      <c r="O846" t="n">
        <v>0</v>
      </c>
      <c r="P846" t="n">
        <v>0</v>
      </c>
      <c r="Q846" t="n">
        <v>0</v>
      </c>
      <c r="R846" s="2" t="inlineStr"/>
    </row>
    <row r="847" ht="15" customHeight="1">
      <c r="A847" t="inlineStr">
        <is>
          <t>A 8416-2023</t>
        </is>
      </c>
      <c r="B847" s="1" t="n">
        <v>44977.44373842593</v>
      </c>
      <c r="C847" s="1" t="n">
        <v>45900</v>
      </c>
      <c r="D847" t="inlineStr">
        <is>
          <t>JÄMTLANDS LÄN</t>
        </is>
      </c>
      <c r="E847" t="inlineStr">
        <is>
          <t>RAGUNDA</t>
        </is>
      </c>
      <c r="G847" t="n">
        <v>0.7</v>
      </c>
      <c r="H847" t="n">
        <v>0</v>
      </c>
      <c r="I847" t="n">
        <v>0</v>
      </c>
      <c r="J847" t="n">
        <v>0</v>
      </c>
      <c r="K847" t="n">
        <v>0</v>
      </c>
      <c r="L847" t="n">
        <v>0</v>
      </c>
      <c r="M847" t="n">
        <v>0</v>
      </c>
      <c r="N847" t="n">
        <v>0</v>
      </c>
      <c r="O847" t="n">
        <v>0</v>
      </c>
      <c r="P847" t="n">
        <v>0</v>
      </c>
      <c r="Q847" t="n">
        <v>0</v>
      </c>
      <c r="R847" s="2" t="inlineStr"/>
    </row>
    <row r="848" ht="15" customHeight="1">
      <c r="A848" t="inlineStr">
        <is>
          <t>A 40801-2023</t>
        </is>
      </c>
      <c r="B848" s="1" t="n">
        <v>45170</v>
      </c>
      <c r="C848" s="1" t="n">
        <v>45900</v>
      </c>
      <c r="D848" t="inlineStr">
        <is>
          <t>JÄMTLANDS LÄN</t>
        </is>
      </c>
      <c r="E848" t="inlineStr">
        <is>
          <t>RAGUNDA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34296-2025</t>
        </is>
      </c>
      <c r="B849" s="1" t="n">
        <v>45846.34454861111</v>
      </c>
      <c r="C849" s="1" t="n">
        <v>45900</v>
      </c>
      <c r="D849" t="inlineStr">
        <is>
          <t>JÄMTLANDS LÄN</t>
        </is>
      </c>
      <c r="E849" t="inlineStr">
        <is>
          <t>RAGUNDA</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27499-2024</t>
        </is>
      </c>
      <c r="B850" s="1" t="n">
        <v>45474.50608796296</v>
      </c>
      <c r="C850" s="1" t="n">
        <v>45900</v>
      </c>
      <c r="D850" t="inlineStr">
        <is>
          <t>JÄMTLANDS LÄN</t>
        </is>
      </c>
      <c r="E850" t="inlineStr">
        <is>
          <t>RAGUNDA</t>
        </is>
      </c>
      <c r="G850" t="n">
        <v>1.3</v>
      </c>
      <c r="H850" t="n">
        <v>0</v>
      </c>
      <c r="I850" t="n">
        <v>0</v>
      </c>
      <c r="J850" t="n">
        <v>0</v>
      </c>
      <c r="K850" t="n">
        <v>0</v>
      </c>
      <c r="L850" t="n">
        <v>0</v>
      </c>
      <c r="M850" t="n">
        <v>0</v>
      </c>
      <c r="N850" t="n">
        <v>0</v>
      </c>
      <c r="O850" t="n">
        <v>0</v>
      </c>
      <c r="P850" t="n">
        <v>0</v>
      </c>
      <c r="Q850" t="n">
        <v>0</v>
      </c>
      <c r="R850" s="2" t="inlineStr"/>
    </row>
    <row r="851" ht="15" customHeight="1">
      <c r="A851" t="inlineStr">
        <is>
          <t>A 52148-2024</t>
        </is>
      </c>
      <c r="B851" s="1" t="n">
        <v>45608.52354166667</v>
      </c>
      <c r="C851" s="1" t="n">
        <v>45900</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29257-2024</t>
        </is>
      </c>
      <c r="B852" s="1" t="n">
        <v>45482.94815972223</v>
      </c>
      <c r="C852" s="1" t="n">
        <v>45900</v>
      </c>
      <c r="D852" t="inlineStr">
        <is>
          <t>JÄMTLANDS LÄN</t>
        </is>
      </c>
      <c r="E852" t="inlineStr">
        <is>
          <t>RAGUNDA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462-2023</t>
        </is>
      </c>
      <c r="B853" s="1" t="n">
        <v>44929</v>
      </c>
      <c r="C853" s="1" t="n">
        <v>45900</v>
      </c>
      <c r="D853" t="inlineStr">
        <is>
          <t>JÄMTLANDS LÄN</t>
        </is>
      </c>
      <c r="E853" t="inlineStr">
        <is>
          <t>RAGUNDA</t>
        </is>
      </c>
      <c r="G853" t="n">
        <v>4.5</v>
      </c>
      <c r="H853" t="n">
        <v>0</v>
      </c>
      <c r="I853" t="n">
        <v>0</v>
      </c>
      <c r="J853" t="n">
        <v>0</v>
      </c>
      <c r="K853" t="n">
        <v>0</v>
      </c>
      <c r="L853" t="n">
        <v>0</v>
      </c>
      <c r="M853" t="n">
        <v>0</v>
      </c>
      <c r="N853" t="n">
        <v>0</v>
      </c>
      <c r="O853" t="n">
        <v>0</v>
      </c>
      <c r="P853" t="n">
        <v>0</v>
      </c>
      <c r="Q853" t="n">
        <v>0</v>
      </c>
      <c r="R853" s="2" t="inlineStr"/>
    </row>
    <row r="854" ht="15" customHeight="1">
      <c r="A854" t="inlineStr">
        <is>
          <t>A 26645-2024</t>
        </is>
      </c>
      <c r="B854" s="1" t="n">
        <v>45469.94667824074</v>
      </c>
      <c r="C854" s="1" t="n">
        <v>45900</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55487-2023</t>
        </is>
      </c>
      <c r="B855" s="1" t="n">
        <v>45238</v>
      </c>
      <c r="C855" s="1" t="n">
        <v>45900</v>
      </c>
      <c r="D855" t="inlineStr">
        <is>
          <t>JÄMTLANDS LÄN</t>
        </is>
      </c>
      <c r="E855" t="inlineStr">
        <is>
          <t>RAGUNDA</t>
        </is>
      </c>
      <c r="G855" t="n">
        <v>3</v>
      </c>
      <c r="H855" t="n">
        <v>0</v>
      </c>
      <c r="I855" t="n">
        <v>0</v>
      </c>
      <c r="J855" t="n">
        <v>0</v>
      </c>
      <c r="K855" t="n">
        <v>0</v>
      </c>
      <c r="L855" t="n">
        <v>0</v>
      </c>
      <c r="M855" t="n">
        <v>0</v>
      </c>
      <c r="N855" t="n">
        <v>0</v>
      </c>
      <c r="O855" t="n">
        <v>0</v>
      </c>
      <c r="P855" t="n">
        <v>0</v>
      </c>
      <c r="Q855" t="n">
        <v>0</v>
      </c>
      <c r="R855" s="2" t="inlineStr"/>
    </row>
    <row r="856" ht="15" customHeight="1">
      <c r="A856" t="inlineStr">
        <is>
          <t>A 32258-2024</t>
        </is>
      </c>
      <c r="B856" s="1" t="n">
        <v>45511</v>
      </c>
      <c r="C856" s="1" t="n">
        <v>45900</v>
      </c>
      <c r="D856" t="inlineStr">
        <is>
          <t>JÄMTLANDS LÄN</t>
        </is>
      </c>
      <c r="E856" t="inlineStr">
        <is>
          <t>RAGUNDA</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20770-2024</t>
        </is>
      </c>
      <c r="B857" s="1" t="n">
        <v>45436.94613425926</v>
      </c>
      <c r="C857" s="1" t="n">
        <v>45900</v>
      </c>
      <c r="D857" t="inlineStr">
        <is>
          <t>JÄMTLANDS LÄN</t>
        </is>
      </c>
      <c r="E857" t="inlineStr">
        <is>
          <t>RAGUNDA</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34461-2025</t>
        </is>
      </c>
      <c r="B858" s="1" t="n">
        <v>45847.34474537037</v>
      </c>
      <c r="C858" s="1" t="n">
        <v>45900</v>
      </c>
      <c r="D858" t="inlineStr">
        <is>
          <t>JÄMTLANDS LÄN</t>
        </is>
      </c>
      <c r="E858" t="inlineStr">
        <is>
          <t>RAGUNDA</t>
        </is>
      </c>
      <c r="F858" t="inlineStr">
        <is>
          <t>SCA</t>
        </is>
      </c>
      <c r="G858" t="n">
        <v>44.8</v>
      </c>
      <c r="H858" t="n">
        <v>0</v>
      </c>
      <c r="I858" t="n">
        <v>0</v>
      </c>
      <c r="J858" t="n">
        <v>0</v>
      </c>
      <c r="K858" t="n">
        <v>0</v>
      </c>
      <c r="L858" t="n">
        <v>0</v>
      </c>
      <c r="M858" t="n">
        <v>0</v>
      </c>
      <c r="N858" t="n">
        <v>0</v>
      </c>
      <c r="O858" t="n">
        <v>0</v>
      </c>
      <c r="P858" t="n">
        <v>0</v>
      </c>
      <c r="Q858" t="n">
        <v>0</v>
      </c>
      <c r="R858" s="2" t="inlineStr"/>
    </row>
    <row r="859" ht="15" customHeight="1">
      <c r="A859" t="inlineStr">
        <is>
          <t>A 34464-2025</t>
        </is>
      </c>
      <c r="B859" s="1" t="n">
        <v>45847.34528935186</v>
      </c>
      <c r="C859" s="1" t="n">
        <v>45900</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19383-2025</t>
        </is>
      </c>
      <c r="B860" s="1" t="n">
        <v>45769.65688657408</v>
      </c>
      <c r="C860" s="1" t="n">
        <v>45900</v>
      </c>
      <c r="D860" t="inlineStr">
        <is>
          <t>JÄMTLANDS LÄN</t>
        </is>
      </c>
      <c r="E860" t="inlineStr">
        <is>
          <t>RAGUNDA</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34468-2025</t>
        </is>
      </c>
      <c r="B861" s="1" t="n">
        <v>45847.34597222223</v>
      </c>
      <c r="C861" s="1" t="n">
        <v>45900</v>
      </c>
      <c r="D861" t="inlineStr">
        <is>
          <t>JÄMTLANDS LÄN</t>
        </is>
      </c>
      <c r="E861" t="inlineStr">
        <is>
          <t>RAGUNDA</t>
        </is>
      </c>
      <c r="F861" t="inlineStr">
        <is>
          <t>SCA</t>
        </is>
      </c>
      <c r="G861" t="n">
        <v>10</v>
      </c>
      <c r="H861" t="n">
        <v>0</v>
      </c>
      <c r="I861" t="n">
        <v>0</v>
      </c>
      <c r="J861" t="n">
        <v>0</v>
      </c>
      <c r="K861" t="n">
        <v>0</v>
      </c>
      <c r="L861" t="n">
        <v>0</v>
      </c>
      <c r="M861" t="n">
        <v>0</v>
      </c>
      <c r="N861" t="n">
        <v>0</v>
      </c>
      <c r="O861" t="n">
        <v>0</v>
      </c>
      <c r="P861" t="n">
        <v>0</v>
      </c>
      <c r="Q861" t="n">
        <v>0</v>
      </c>
      <c r="R861" s="2" t="inlineStr"/>
    </row>
    <row r="862" ht="15" customHeight="1">
      <c r="A862" t="inlineStr">
        <is>
          <t>A 34586-2025</t>
        </is>
      </c>
      <c r="B862" s="1" t="n">
        <v>45847.61513888889</v>
      </c>
      <c r="C862" s="1" t="n">
        <v>45900</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34607-2025</t>
        </is>
      </c>
      <c r="B863" s="1" t="n">
        <v>45847.65703703704</v>
      </c>
      <c r="C863" s="1" t="n">
        <v>45900</v>
      </c>
      <c r="D863" t="inlineStr">
        <is>
          <t>JÄMTLANDS LÄN</t>
        </is>
      </c>
      <c r="E863" t="inlineStr">
        <is>
          <t>RAGUNDA</t>
        </is>
      </c>
      <c r="F863" t="inlineStr">
        <is>
          <t>SCA</t>
        </is>
      </c>
      <c r="G863" t="n">
        <v>31.4</v>
      </c>
      <c r="H863" t="n">
        <v>0</v>
      </c>
      <c r="I863" t="n">
        <v>0</v>
      </c>
      <c r="J863" t="n">
        <v>0</v>
      </c>
      <c r="K863" t="n">
        <v>0</v>
      </c>
      <c r="L863" t="n">
        <v>0</v>
      </c>
      <c r="M863" t="n">
        <v>0</v>
      </c>
      <c r="N863" t="n">
        <v>0</v>
      </c>
      <c r="O863" t="n">
        <v>0</v>
      </c>
      <c r="P863" t="n">
        <v>0</v>
      </c>
      <c r="Q863" t="n">
        <v>0</v>
      </c>
      <c r="R863" s="2" t="inlineStr"/>
    </row>
    <row r="864" ht="15" customHeight="1">
      <c r="A864" t="inlineStr">
        <is>
          <t>A 34772-2025</t>
        </is>
      </c>
      <c r="B864" s="1" t="n">
        <v>45848.65658564815</v>
      </c>
      <c r="C864" s="1" t="n">
        <v>45900</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34466-2025</t>
        </is>
      </c>
      <c r="B865" s="1" t="n">
        <v>45847.34565972222</v>
      </c>
      <c r="C865" s="1" t="n">
        <v>45900</v>
      </c>
      <c r="D865" t="inlineStr">
        <is>
          <t>JÄMTLANDS LÄN</t>
        </is>
      </c>
      <c r="E865" t="inlineStr">
        <is>
          <t>RAGUNDA</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15672-2021</t>
        </is>
      </c>
      <c r="B866" s="1" t="n">
        <v>44286</v>
      </c>
      <c r="C866" s="1" t="n">
        <v>45900</v>
      </c>
      <c r="D866" t="inlineStr">
        <is>
          <t>JÄMTLANDS LÄN</t>
        </is>
      </c>
      <c r="E866" t="inlineStr">
        <is>
          <t>RAGUNDA</t>
        </is>
      </c>
      <c r="G866" t="n">
        <v>1.7</v>
      </c>
      <c r="H866" t="n">
        <v>0</v>
      </c>
      <c r="I866" t="n">
        <v>0</v>
      </c>
      <c r="J866" t="n">
        <v>0</v>
      </c>
      <c r="K866" t="n">
        <v>0</v>
      </c>
      <c r="L866" t="n">
        <v>0</v>
      </c>
      <c r="M866" t="n">
        <v>0</v>
      </c>
      <c r="N866" t="n">
        <v>0</v>
      </c>
      <c r="O866" t="n">
        <v>0</v>
      </c>
      <c r="P866" t="n">
        <v>0</v>
      </c>
      <c r="Q866" t="n">
        <v>0</v>
      </c>
      <c r="R866" s="2" t="inlineStr"/>
    </row>
    <row r="867" ht="15" customHeight="1">
      <c r="A867" t="inlineStr">
        <is>
          <t>A 50650-2023</t>
        </is>
      </c>
      <c r="B867" s="1" t="n">
        <v>45210</v>
      </c>
      <c r="C867" s="1" t="n">
        <v>45900</v>
      </c>
      <c r="D867" t="inlineStr">
        <is>
          <t>JÄMTLANDS LÄN</t>
        </is>
      </c>
      <c r="E867" t="inlineStr">
        <is>
          <t>RAGUNDA</t>
        </is>
      </c>
      <c r="G867" t="n">
        <v>1.3</v>
      </c>
      <c r="H867" t="n">
        <v>0</v>
      </c>
      <c r="I867" t="n">
        <v>0</v>
      </c>
      <c r="J867" t="n">
        <v>0</v>
      </c>
      <c r="K867" t="n">
        <v>0</v>
      </c>
      <c r="L867" t="n">
        <v>0</v>
      </c>
      <c r="M867" t="n">
        <v>0</v>
      </c>
      <c r="N867" t="n">
        <v>0</v>
      </c>
      <c r="O867" t="n">
        <v>0</v>
      </c>
      <c r="P867" t="n">
        <v>0</v>
      </c>
      <c r="Q867" t="n">
        <v>0</v>
      </c>
      <c r="R867" s="2" t="inlineStr"/>
    </row>
    <row r="868" ht="15" customHeight="1">
      <c r="A868" t="inlineStr">
        <is>
          <t>A 34588-2025</t>
        </is>
      </c>
      <c r="B868" s="1" t="n">
        <v>45847.61548611111</v>
      </c>
      <c r="C868" s="1" t="n">
        <v>45900</v>
      </c>
      <c r="D868" t="inlineStr">
        <is>
          <t>JÄMTLANDS LÄN</t>
        </is>
      </c>
      <c r="E868" t="inlineStr">
        <is>
          <t>RAGUNDA</t>
        </is>
      </c>
      <c r="G868" t="n">
        <v>32.3</v>
      </c>
      <c r="H868" t="n">
        <v>0</v>
      </c>
      <c r="I868" t="n">
        <v>0</v>
      </c>
      <c r="J868" t="n">
        <v>0</v>
      </c>
      <c r="K868" t="n">
        <v>0</v>
      </c>
      <c r="L868" t="n">
        <v>0</v>
      </c>
      <c r="M868" t="n">
        <v>0</v>
      </c>
      <c r="N868" t="n">
        <v>0</v>
      </c>
      <c r="O868" t="n">
        <v>0</v>
      </c>
      <c r="P868" t="n">
        <v>0</v>
      </c>
      <c r="Q868" t="n">
        <v>0</v>
      </c>
      <c r="R868" s="2" t="inlineStr"/>
    </row>
    <row r="869" ht="15" customHeight="1">
      <c r="A869" t="inlineStr">
        <is>
          <t>A 564-2025</t>
        </is>
      </c>
      <c r="B869" s="1" t="n">
        <v>45664.55241898148</v>
      </c>
      <c r="C869" s="1" t="n">
        <v>45900</v>
      </c>
      <c r="D869" t="inlineStr">
        <is>
          <t>JÄMTLANDS LÄN</t>
        </is>
      </c>
      <c r="E869" t="inlineStr">
        <is>
          <t>RAGUNDA</t>
        </is>
      </c>
      <c r="F869" t="inlineStr">
        <is>
          <t>SCA</t>
        </is>
      </c>
      <c r="G869" t="n">
        <v>7</v>
      </c>
      <c r="H869" t="n">
        <v>0</v>
      </c>
      <c r="I869" t="n">
        <v>0</v>
      </c>
      <c r="J869" t="n">
        <v>0</v>
      </c>
      <c r="K869" t="n">
        <v>0</v>
      </c>
      <c r="L869" t="n">
        <v>0</v>
      </c>
      <c r="M869" t="n">
        <v>0</v>
      </c>
      <c r="N869" t="n">
        <v>0</v>
      </c>
      <c r="O869" t="n">
        <v>0</v>
      </c>
      <c r="P869" t="n">
        <v>0</v>
      </c>
      <c r="Q869" t="n">
        <v>0</v>
      </c>
      <c r="R869" s="2" t="inlineStr"/>
    </row>
    <row r="870" ht="15" customHeight="1">
      <c r="A870" t="inlineStr">
        <is>
          <t>A 12783-2023</t>
        </is>
      </c>
      <c r="B870" s="1" t="n">
        <v>45000</v>
      </c>
      <c r="C870" s="1" t="n">
        <v>45900</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35153-2024</t>
        </is>
      </c>
      <c r="B871" s="1" t="n">
        <v>45530</v>
      </c>
      <c r="C871" s="1" t="n">
        <v>45900</v>
      </c>
      <c r="D871" t="inlineStr">
        <is>
          <t>JÄMTLANDS LÄN</t>
        </is>
      </c>
      <c r="E871" t="inlineStr">
        <is>
          <t>RAGUNDA</t>
        </is>
      </c>
      <c r="G871" t="n">
        <v>2.7</v>
      </c>
      <c r="H871" t="n">
        <v>0</v>
      </c>
      <c r="I871" t="n">
        <v>0</v>
      </c>
      <c r="J871" t="n">
        <v>0</v>
      </c>
      <c r="K871" t="n">
        <v>0</v>
      </c>
      <c r="L871" t="n">
        <v>0</v>
      </c>
      <c r="M871" t="n">
        <v>0</v>
      </c>
      <c r="N871" t="n">
        <v>0</v>
      </c>
      <c r="O871" t="n">
        <v>0</v>
      </c>
      <c r="P871" t="n">
        <v>0</v>
      </c>
      <c r="Q871" t="n">
        <v>0</v>
      </c>
      <c r="R871" s="2" t="inlineStr"/>
    </row>
    <row r="872" ht="15" customHeight="1">
      <c r="A872" t="inlineStr">
        <is>
          <t>A 39384-2025</t>
        </is>
      </c>
      <c r="B872" s="1" t="n">
        <v>45889.61517361111</v>
      </c>
      <c r="C872" s="1" t="n">
        <v>45900</v>
      </c>
      <c r="D872" t="inlineStr">
        <is>
          <t>JÄMTLANDS LÄN</t>
        </is>
      </c>
      <c r="E872" t="inlineStr">
        <is>
          <t>RAGUNDA</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34463-2025</t>
        </is>
      </c>
      <c r="B873" s="1" t="n">
        <v>45847.34515046296</v>
      </c>
      <c r="C873" s="1" t="n">
        <v>45900</v>
      </c>
      <c r="D873" t="inlineStr">
        <is>
          <t>JÄMTLANDS LÄN</t>
        </is>
      </c>
      <c r="E873" t="inlineStr">
        <is>
          <t>RAGUNDA</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34710-2025</t>
        </is>
      </c>
      <c r="B874" s="1" t="n">
        <v>45848.49774305556</v>
      </c>
      <c r="C874" s="1" t="n">
        <v>45900</v>
      </c>
      <c r="D874" t="inlineStr">
        <is>
          <t>JÄMTLANDS LÄN</t>
        </is>
      </c>
      <c r="E874" t="inlineStr">
        <is>
          <t>RAGUNDA</t>
        </is>
      </c>
      <c r="G874" t="n">
        <v>4.1</v>
      </c>
      <c r="H874" t="n">
        <v>0</v>
      </c>
      <c r="I874" t="n">
        <v>0</v>
      </c>
      <c r="J874" t="n">
        <v>0</v>
      </c>
      <c r="K874" t="n">
        <v>0</v>
      </c>
      <c r="L874" t="n">
        <v>0</v>
      </c>
      <c r="M874" t="n">
        <v>0</v>
      </c>
      <c r="N874" t="n">
        <v>0</v>
      </c>
      <c r="O874" t="n">
        <v>0</v>
      </c>
      <c r="P874" t="n">
        <v>0</v>
      </c>
      <c r="Q874" t="n">
        <v>0</v>
      </c>
      <c r="R874" s="2" t="inlineStr"/>
    </row>
    <row r="875" ht="15" customHeight="1">
      <c r="A875" t="inlineStr">
        <is>
          <t>A 61197-2023</t>
        </is>
      </c>
      <c r="B875" s="1" t="n">
        <v>45260</v>
      </c>
      <c r="C875" s="1" t="n">
        <v>45900</v>
      </c>
      <c r="D875" t="inlineStr">
        <is>
          <t>JÄMTLANDS LÄN</t>
        </is>
      </c>
      <c r="E875" t="inlineStr">
        <is>
          <t>RAGUNDA</t>
        </is>
      </c>
      <c r="G875" t="n">
        <v>2.5</v>
      </c>
      <c r="H875" t="n">
        <v>0</v>
      </c>
      <c r="I875" t="n">
        <v>0</v>
      </c>
      <c r="J875" t="n">
        <v>0</v>
      </c>
      <c r="K875" t="n">
        <v>0</v>
      </c>
      <c r="L875" t="n">
        <v>0</v>
      </c>
      <c r="M875" t="n">
        <v>0</v>
      </c>
      <c r="N875" t="n">
        <v>0</v>
      </c>
      <c r="O875" t="n">
        <v>0</v>
      </c>
      <c r="P875" t="n">
        <v>0</v>
      </c>
      <c r="Q875" t="n">
        <v>0</v>
      </c>
      <c r="R875" s="2" t="inlineStr"/>
    </row>
    <row r="876" ht="15" customHeight="1">
      <c r="A876" t="inlineStr">
        <is>
          <t>A 39947-2025</t>
        </is>
      </c>
      <c r="B876" s="1" t="n">
        <v>45892.34438657408</v>
      </c>
      <c r="C876" s="1" t="n">
        <v>45900</v>
      </c>
      <c r="D876" t="inlineStr">
        <is>
          <t>JÄMTLANDS LÄN</t>
        </is>
      </c>
      <c r="E876" t="inlineStr">
        <is>
          <t>RAGUNDA</t>
        </is>
      </c>
      <c r="G876" t="n">
        <v>6.6</v>
      </c>
      <c r="H876" t="n">
        <v>0</v>
      </c>
      <c r="I876" t="n">
        <v>0</v>
      </c>
      <c r="J876" t="n">
        <v>0</v>
      </c>
      <c r="K876" t="n">
        <v>0</v>
      </c>
      <c r="L876" t="n">
        <v>0</v>
      </c>
      <c r="M876" t="n">
        <v>0</v>
      </c>
      <c r="N876" t="n">
        <v>0</v>
      </c>
      <c r="O876" t="n">
        <v>0</v>
      </c>
      <c r="P876" t="n">
        <v>0</v>
      </c>
      <c r="Q876" t="n">
        <v>0</v>
      </c>
      <c r="R876" s="2" t="inlineStr"/>
    </row>
    <row r="877" ht="15" customHeight="1">
      <c r="A877" t="inlineStr">
        <is>
          <t>A 39950-2025</t>
        </is>
      </c>
      <c r="B877" s="1" t="n">
        <v>45892.38641203703</v>
      </c>
      <c r="C877" s="1" t="n">
        <v>45900</v>
      </c>
      <c r="D877" t="inlineStr">
        <is>
          <t>JÄMTLANDS LÄN</t>
        </is>
      </c>
      <c r="E877" t="inlineStr">
        <is>
          <t>RAGUNDA</t>
        </is>
      </c>
      <c r="G877" t="n">
        <v>1.1</v>
      </c>
      <c r="H877" t="n">
        <v>0</v>
      </c>
      <c r="I877" t="n">
        <v>0</v>
      </c>
      <c r="J877" t="n">
        <v>0</v>
      </c>
      <c r="K877" t="n">
        <v>0</v>
      </c>
      <c r="L877" t="n">
        <v>0</v>
      </c>
      <c r="M877" t="n">
        <v>0</v>
      </c>
      <c r="N877" t="n">
        <v>0</v>
      </c>
      <c r="O877" t="n">
        <v>0</v>
      </c>
      <c r="P877" t="n">
        <v>0</v>
      </c>
      <c r="Q877" t="n">
        <v>0</v>
      </c>
      <c r="R877" s="2" t="inlineStr"/>
    </row>
    <row r="878" ht="15" customHeight="1">
      <c r="A878" t="inlineStr">
        <is>
          <t>A 39946-2025</t>
        </is>
      </c>
      <c r="B878" s="1" t="n">
        <v>45892.34423611111</v>
      </c>
      <c r="C878" s="1" t="n">
        <v>45900</v>
      </c>
      <c r="D878" t="inlineStr">
        <is>
          <t>JÄMTLANDS LÄN</t>
        </is>
      </c>
      <c r="E878" t="inlineStr">
        <is>
          <t>RAGUNDA</t>
        </is>
      </c>
      <c r="G878" t="n">
        <v>4.7</v>
      </c>
      <c r="H878" t="n">
        <v>0</v>
      </c>
      <c r="I878" t="n">
        <v>0</v>
      </c>
      <c r="J878" t="n">
        <v>0</v>
      </c>
      <c r="K878" t="n">
        <v>0</v>
      </c>
      <c r="L878" t="n">
        <v>0</v>
      </c>
      <c r="M878" t="n">
        <v>0</v>
      </c>
      <c r="N878" t="n">
        <v>0</v>
      </c>
      <c r="O878" t="n">
        <v>0</v>
      </c>
      <c r="P878" t="n">
        <v>0</v>
      </c>
      <c r="Q878" t="n">
        <v>0</v>
      </c>
      <c r="R878" s="2" t="inlineStr"/>
    </row>
    <row r="879" ht="15" customHeight="1">
      <c r="A879" t="inlineStr">
        <is>
          <t>A 39948-2025</t>
        </is>
      </c>
      <c r="B879" s="1" t="n">
        <v>45892.38591435185</v>
      </c>
      <c r="C879" s="1" t="n">
        <v>45900</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39951-2025</t>
        </is>
      </c>
      <c r="B880" s="1" t="n">
        <v>45892.38657407407</v>
      </c>
      <c r="C880" s="1" t="n">
        <v>45900</v>
      </c>
      <c r="D880" t="inlineStr">
        <is>
          <t>JÄMTLANDS LÄN</t>
        </is>
      </c>
      <c r="E880" t="inlineStr">
        <is>
          <t>RAGUNDA</t>
        </is>
      </c>
      <c r="G880" t="n">
        <v>2.3</v>
      </c>
      <c r="H880" t="n">
        <v>0</v>
      </c>
      <c r="I880" t="n">
        <v>0</v>
      </c>
      <c r="J880" t="n">
        <v>0</v>
      </c>
      <c r="K880" t="n">
        <v>0</v>
      </c>
      <c r="L880" t="n">
        <v>0</v>
      </c>
      <c r="M880" t="n">
        <v>0</v>
      </c>
      <c r="N880" t="n">
        <v>0</v>
      </c>
      <c r="O880" t="n">
        <v>0</v>
      </c>
      <c r="P880" t="n">
        <v>0</v>
      </c>
      <c r="Q880" t="n">
        <v>0</v>
      </c>
      <c r="R880" s="2" t="inlineStr"/>
    </row>
    <row r="881" ht="15" customHeight="1">
      <c r="A881" t="inlineStr">
        <is>
          <t>A 3767-2025</t>
        </is>
      </c>
      <c r="B881" s="1" t="n">
        <v>45681.60203703704</v>
      </c>
      <c r="C881" s="1" t="n">
        <v>45900</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34709-2025</t>
        </is>
      </c>
      <c r="B882" s="1" t="n">
        <v>45848.49761574074</v>
      </c>
      <c r="C882" s="1" t="n">
        <v>45900</v>
      </c>
      <c r="D882" t="inlineStr">
        <is>
          <t>JÄMTLANDS LÄN</t>
        </is>
      </c>
      <c r="E882" t="inlineStr">
        <is>
          <t>RAGUNDA</t>
        </is>
      </c>
      <c r="G882" t="n">
        <v>3.1</v>
      </c>
      <c r="H882" t="n">
        <v>0</v>
      </c>
      <c r="I882" t="n">
        <v>0</v>
      </c>
      <c r="J882" t="n">
        <v>0</v>
      </c>
      <c r="K882" t="n">
        <v>0</v>
      </c>
      <c r="L882" t="n">
        <v>0</v>
      </c>
      <c r="M882" t="n">
        <v>0</v>
      </c>
      <c r="N882" t="n">
        <v>0</v>
      </c>
      <c r="O882" t="n">
        <v>0</v>
      </c>
      <c r="P882" t="n">
        <v>0</v>
      </c>
      <c r="Q882" t="n">
        <v>0</v>
      </c>
      <c r="R882" s="2" t="inlineStr"/>
    </row>
    <row r="883" ht="15" customHeight="1">
      <c r="A883" t="inlineStr">
        <is>
          <t>A 3186-2025</t>
        </is>
      </c>
      <c r="B883" s="1" t="n">
        <v>45679.40362268518</v>
      </c>
      <c r="C883" s="1" t="n">
        <v>45900</v>
      </c>
      <c r="D883" t="inlineStr">
        <is>
          <t>JÄMTLANDS LÄN</t>
        </is>
      </c>
      <c r="E883" t="inlineStr">
        <is>
          <t>RAGUNDA</t>
        </is>
      </c>
      <c r="G883" t="n">
        <v>5.2</v>
      </c>
      <c r="H883" t="n">
        <v>0</v>
      </c>
      <c r="I883" t="n">
        <v>0</v>
      </c>
      <c r="J883" t="n">
        <v>0</v>
      </c>
      <c r="K883" t="n">
        <v>0</v>
      </c>
      <c r="L883" t="n">
        <v>0</v>
      </c>
      <c r="M883" t="n">
        <v>0</v>
      </c>
      <c r="N883" t="n">
        <v>0</v>
      </c>
      <c r="O883" t="n">
        <v>0</v>
      </c>
      <c r="P883" t="n">
        <v>0</v>
      </c>
      <c r="Q883" t="n">
        <v>0</v>
      </c>
      <c r="R883" s="2" t="inlineStr"/>
    </row>
    <row r="884" ht="15" customHeight="1">
      <c r="A884" t="inlineStr">
        <is>
          <t>A 35092-2025</t>
        </is>
      </c>
      <c r="B884" s="1" t="n">
        <v>45852.53185185185</v>
      </c>
      <c r="C884" s="1" t="n">
        <v>45900</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39956-2025</t>
        </is>
      </c>
      <c r="B885" s="1" t="n">
        <v>45892.44840277778</v>
      </c>
      <c r="C885" s="1" t="n">
        <v>45900</v>
      </c>
      <c r="D885" t="inlineStr">
        <is>
          <t>JÄMTLANDS LÄN</t>
        </is>
      </c>
      <c r="E885" t="inlineStr">
        <is>
          <t>RAGUNDA</t>
        </is>
      </c>
      <c r="G885" t="n">
        <v>3.6</v>
      </c>
      <c r="H885" t="n">
        <v>0</v>
      </c>
      <c r="I885" t="n">
        <v>0</v>
      </c>
      <c r="J885" t="n">
        <v>0</v>
      </c>
      <c r="K885" t="n">
        <v>0</v>
      </c>
      <c r="L885" t="n">
        <v>0</v>
      </c>
      <c r="M885" t="n">
        <v>0</v>
      </c>
      <c r="N885" t="n">
        <v>0</v>
      </c>
      <c r="O885" t="n">
        <v>0</v>
      </c>
      <c r="P885" t="n">
        <v>0</v>
      </c>
      <c r="Q885" t="n">
        <v>0</v>
      </c>
      <c r="R885" s="2" t="inlineStr"/>
    </row>
    <row r="886" ht="15" customHeight="1">
      <c r="A886" t="inlineStr">
        <is>
          <t>A 34998-2025</t>
        </is>
      </c>
      <c r="B886" s="1" t="n">
        <v>45850.34434027778</v>
      </c>
      <c r="C886" s="1" t="n">
        <v>45900</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31135-2023</t>
        </is>
      </c>
      <c r="B887" s="1" t="n">
        <v>45103</v>
      </c>
      <c r="C887" s="1" t="n">
        <v>45900</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1308-2025</t>
        </is>
      </c>
      <c r="B888" s="1" t="n">
        <v>45667.55239583334</v>
      </c>
      <c r="C888" s="1" t="n">
        <v>45900</v>
      </c>
      <c r="D888" t="inlineStr">
        <is>
          <t>JÄMTLANDS LÄN</t>
        </is>
      </c>
      <c r="E888" t="inlineStr">
        <is>
          <t>RAGUNDA</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13767-2022</t>
        </is>
      </c>
      <c r="B889" s="1" t="n">
        <v>44649.47048611111</v>
      </c>
      <c r="C889" s="1" t="n">
        <v>45900</v>
      </c>
      <c r="D889" t="inlineStr">
        <is>
          <t>JÄMTLANDS LÄN</t>
        </is>
      </c>
      <c r="E889" t="inlineStr">
        <is>
          <t>RAGUNDA</t>
        </is>
      </c>
      <c r="F889" t="inlineStr">
        <is>
          <t>Kommuner</t>
        </is>
      </c>
      <c r="G889" t="n">
        <v>3.1</v>
      </c>
      <c r="H889" t="n">
        <v>0</v>
      </c>
      <c r="I889" t="n">
        <v>0</v>
      </c>
      <c r="J889" t="n">
        <v>0</v>
      </c>
      <c r="K889" t="n">
        <v>0</v>
      </c>
      <c r="L889" t="n">
        <v>0</v>
      </c>
      <c r="M889" t="n">
        <v>0</v>
      </c>
      <c r="N889" t="n">
        <v>0</v>
      </c>
      <c r="O889" t="n">
        <v>0</v>
      </c>
      <c r="P889" t="n">
        <v>0</v>
      </c>
      <c r="Q889" t="n">
        <v>0</v>
      </c>
      <c r="R889" s="2" t="inlineStr"/>
    </row>
    <row r="890" ht="15" customHeight="1">
      <c r="A890" t="inlineStr">
        <is>
          <t>A 34968-2025</t>
        </is>
      </c>
      <c r="B890" s="1" t="n">
        <v>45849.65663194445</v>
      </c>
      <c r="C890" s="1" t="n">
        <v>45900</v>
      </c>
      <c r="D890" t="inlineStr">
        <is>
          <t>JÄMTLANDS LÄN</t>
        </is>
      </c>
      <c r="E890" t="inlineStr">
        <is>
          <t>RAGUNDA</t>
        </is>
      </c>
      <c r="F890" t="inlineStr">
        <is>
          <t>SCA</t>
        </is>
      </c>
      <c r="G890" t="n">
        <v>20.2</v>
      </c>
      <c r="H890" t="n">
        <v>0</v>
      </c>
      <c r="I890" t="n">
        <v>0</v>
      </c>
      <c r="J890" t="n">
        <v>0</v>
      </c>
      <c r="K890" t="n">
        <v>0</v>
      </c>
      <c r="L890" t="n">
        <v>0</v>
      </c>
      <c r="M890" t="n">
        <v>0</v>
      </c>
      <c r="N890" t="n">
        <v>0</v>
      </c>
      <c r="O890" t="n">
        <v>0</v>
      </c>
      <c r="P890" t="n">
        <v>0</v>
      </c>
      <c r="Q890" t="n">
        <v>0</v>
      </c>
      <c r="R890" s="2" t="inlineStr"/>
    </row>
    <row r="891" ht="15" customHeight="1">
      <c r="A891" t="inlineStr">
        <is>
          <t>A 39949-2025</t>
        </is>
      </c>
      <c r="B891" s="1" t="n">
        <v>45892.38619212963</v>
      </c>
      <c r="C891" s="1" t="n">
        <v>45900</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22569-2023</t>
        </is>
      </c>
      <c r="B892" s="1" t="n">
        <v>45069</v>
      </c>
      <c r="C892" s="1" t="n">
        <v>45900</v>
      </c>
      <c r="D892" t="inlineStr">
        <is>
          <t>JÄMTLANDS LÄN</t>
        </is>
      </c>
      <c r="E892" t="inlineStr">
        <is>
          <t>RAGUNDA</t>
        </is>
      </c>
      <c r="G892" t="n">
        <v>6.6</v>
      </c>
      <c r="H892" t="n">
        <v>0</v>
      </c>
      <c r="I892" t="n">
        <v>0</v>
      </c>
      <c r="J892" t="n">
        <v>0</v>
      </c>
      <c r="K892" t="n">
        <v>0</v>
      </c>
      <c r="L892" t="n">
        <v>0</v>
      </c>
      <c r="M892" t="n">
        <v>0</v>
      </c>
      <c r="N892" t="n">
        <v>0</v>
      </c>
      <c r="O892" t="n">
        <v>0</v>
      </c>
      <c r="P892" t="n">
        <v>0</v>
      </c>
      <c r="Q892" t="n">
        <v>0</v>
      </c>
      <c r="R892" s="2" t="inlineStr"/>
    </row>
    <row r="893" ht="15" customHeight="1">
      <c r="A893" t="inlineStr">
        <is>
          <t>A 39955-2025</t>
        </is>
      </c>
      <c r="B893" s="1" t="n">
        <v>45892.44824074074</v>
      </c>
      <c r="C893" s="1" t="n">
        <v>45900</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34999-2025</t>
        </is>
      </c>
      <c r="B894" s="1" t="n">
        <v>45850.34450231482</v>
      </c>
      <c r="C894" s="1" t="n">
        <v>45900</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35091-2025</t>
        </is>
      </c>
      <c r="B895" s="1" t="n">
        <v>45852.53168981482</v>
      </c>
      <c r="C895" s="1" t="n">
        <v>45900</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41262-2021</t>
        </is>
      </c>
      <c r="B896" s="1" t="n">
        <v>44424</v>
      </c>
      <c r="C896" s="1" t="n">
        <v>45900</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36371-2023</t>
        </is>
      </c>
      <c r="B897" s="1" t="n">
        <v>45149</v>
      </c>
      <c r="C897" s="1" t="n">
        <v>45900</v>
      </c>
      <c r="D897" t="inlineStr">
        <is>
          <t>JÄMTLANDS LÄN</t>
        </is>
      </c>
      <c r="E897" t="inlineStr">
        <is>
          <t>RAGUNDA</t>
        </is>
      </c>
      <c r="G897" t="n">
        <v>25.7</v>
      </c>
      <c r="H897" t="n">
        <v>0</v>
      </c>
      <c r="I897" t="n">
        <v>0</v>
      </c>
      <c r="J897" t="n">
        <v>0</v>
      </c>
      <c r="K897" t="n">
        <v>0</v>
      </c>
      <c r="L897" t="n">
        <v>0</v>
      </c>
      <c r="M897" t="n">
        <v>0</v>
      </c>
      <c r="N897" t="n">
        <v>0</v>
      </c>
      <c r="O897" t="n">
        <v>0</v>
      </c>
      <c r="P897" t="n">
        <v>0</v>
      </c>
      <c r="Q897" t="n">
        <v>0</v>
      </c>
      <c r="R897" s="2" t="inlineStr"/>
    </row>
    <row r="898" ht="15" customHeight="1">
      <c r="A898" t="inlineStr">
        <is>
          <t>A 4212-2024</t>
        </is>
      </c>
      <c r="B898" s="1" t="n">
        <v>45324</v>
      </c>
      <c r="C898" s="1" t="n">
        <v>45900</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51579-2024</t>
        </is>
      </c>
      <c r="B899" s="1" t="n">
        <v>45604.63575231482</v>
      </c>
      <c r="C899" s="1" t="n">
        <v>45900</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43405-2023</t>
        </is>
      </c>
      <c r="B900" s="1" t="n">
        <v>45183.95563657407</v>
      </c>
      <c r="C900" s="1" t="n">
        <v>45900</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56984-2022</t>
        </is>
      </c>
      <c r="B901" s="1" t="n">
        <v>44894.79018518519</v>
      </c>
      <c r="C901" s="1" t="n">
        <v>45900</v>
      </c>
      <c r="D901" t="inlineStr">
        <is>
          <t>JÄMTLANDS LÄN</t>
        </is>
      </c>
      <c r="E901" t="inlineStr">
        <is>
          <t>RAGUNDA</t>
        </is>
      </c>
      <c r="G901" t="n">
        <v>1.4</v>
      </c>
      <c r="H901" t="n">
        <v>0</v>
      </c>
      <c r="I901" t="n">
        <v>0</v>
      </c>
      <c r="J901" t="n">
        <v>0</v>
      </c>
      <c r="K901" t="n">
        <v>0</v>
      </c>
      <c r="L901" t="n">
        <v>0</v>
      </c>
      <c r="M901" t="n">
        <v>0</v>
      </c>
      <c r="N901" t="n">
        <v>0</v>
      </c>
      <c r="O901" t="n">
        <v>0</v>
      </c>
      <c r="P901" t="n">
        <v>0</v>
      </c>
      <c r="Q901" t="n">
        <v>0</v>
      </c>
      <c r="R901" s="2" t="inlineStr"/>
    </row>
    <row r="902" ht="15" customHeight="1">
      <c r="A902" t="inlineStr">
        <is>
          <t>A 35355-2025</t>
        </is>
      </c>
      <c r="B902" s="1" t="n">
        <v>45854.65663194445</v>
      </c>
      <c r="C902" s="1" t="n">
        <v>45900</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5958-2023</t>
        </is>
      </c>
      <c r="B903" s="1" t="n">
        <v>44963</v>
      </c>
      <c r="C903" s="1" t="n">
        <v>45900</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40586-2025</t>
        </is>
      </c>
      <c r="B904" s="1" t="n">
        <v>45896.52478009259</v>
      </c>
      <c r="C904" s="1" t="n">
        <v>45900</v>
      </c>
      <c r="D904" t="inlineStr">
        <is>
          <t>JÄMTLANDS LÄN</t>
        </is>
      </c>
      <c r="E904" t="inlineStr">
        <is>
          <t>RAGUNDA</t>
        </is>
      </c>
      <c r="G904" t="n">
        <v>1.2</v>
      </c>
      <c r="H904" t="n">
        <v>0</v>
      </c>
      <c r="I904" t="n">
        <v>0</v>
      </c>
      <c r="J904" t="n">
        <v>0</v>
      </c>
      <c r="K904" t="n">
        <v>0</v>
      </c>
      <c r="L904" t="n">
        <v>0</v>
      </c>
      <c r="M904" t="n">
        <v>0</v>
      </c>
      <c r="N904" t="n">
        <v>0</v>
      </c>
      <c r="O904" t="n">
        <v>0</v>
      </c>
      <c r="P904" t="n">
        <v>0</v>
      </c>
      <c r="Q904" t="n">
        <v>0</v>
      </c>
      <c r="R904" s="2" t="inlineStr"/>
    </row>
    <row r="905" ht="15" customHeight="1">
      <c r="A905" t="inlineStr">
        <is>
          <t>A 50521-2024</t>
        </is>
      </c>
      <c r="B905" s="1" t="n">
        <v>45601.55331018518</v>
      </c>
      <c r="C905" s="1" t="n">
        <v>45900</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29920-2024</t>
        </is>
      </c>
      <c r="B906" s="1" t="n">
        <v>45487.92856481481</v>
      </c>
      <c r="C906" s="1" t="n">
        <v>45900</v>
      </c>
      <c r="D906" t="inlineStr">
        <is>
          <t>JÄMTLANDS LÄN</t>
        </is>
      </c>
      <c r="E906" t="inlineStr">
        <is>
          <t>RAGUNDA</t>
        </is>
      </c>
      <c r="G906" t="n">
        <v>3.4</v>
      </c>
      <c r="H906" t="n">
        <v>0</v>
      </c>
      <c r="I906" t="n">
        <v>0</v>
      </c>
      <c r="J906" t="n">
        <v>0</v>
      </c>
      <c r="K906" t="n">
        <v>0</v>
      </c>
      <c r="L906" t="n">
        <v>0</v>
      </c>
      <c r="M906" t="n">
        <v>0</v>
      </c>
      <c r="N906" t="n">
        <v>0</v>
      </c>
      <c r="O906" t="n">
        <v>0</v>
      </c>
      <c r="P906" t="n">
        <v>0</v>
      </c>
      <c r="Q906" t="n">
        <v>0</v>
      </c>
      <c r="R906" s="2" t="inlineStr"/>
    </row>
    <row r="907" ht="15" customHeight="1">
      <c r="A907" t="inlineStr">
        <is>
          <t>A 62011-2022</t>
        </is>
      </c>
      <c r="B907" s="1" t="n">
        <v>44914</v>
      </c>
      <c r="C907" s="1" t="n">
        <v>45900</v>
      </c>
      <c r="D907" t="inlineStr">
        <is>
          <t>JÄMTLANDS LÄN</t>
        </is>
      </c>
      <c r="E907" t="inlineStr">
        <is>
          <t>RAGUNDA</t>
        </is>
      </c>
      <c r="G907" t="n">
        <v>0.3</v>
      </c>
      <c r="H907" t="n">
        <v>0</v>
      </c>
      <c r="I907" t="n">
        <v>0</v>
      </c>
      <c r="J907" t="n">
        <v>0</v>
      </c>
      <c r="K907" t="n">
        <v>0</v>
      </c>
      <c r="L907" t="n">
        <v>0</v>
      </c>
      <c r="M907" t="n">
        <v>0</v>
      </c>
      <c r="N907" t="n">
        <v>0</v>
      </c>
      <c r="O907" t="n">
        <v>0</v>
      </c>
      <c r="P907" t="n">
        <v>0</v>
      </c>
      <c r="Q907" t="n">
        <v>0</v>
      </c>
      <c r="R907" s="2" t="inlineStr"/>
    </row>
    <row r="908" ht="15" customHeight="1">
      <c r="A908" t="inlineStr">
        <is>
          <t>A 41161-2025</t>
        </is>
      </c>
      <c r="B908" s="1" t="n">
        <v>45898.53193287037</v>
      </c>
      <c r="C908" s="1" t="n">
        <v>45900</v>
      </c>
      <c r="D908" t="inlineStr">
        <is>
          <t>JÄMTLANDS LÄN</t>
        </is>
      </c>
      <c r="E908" t="inlineStr">
        <is>
          <t>RAGUNDA</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41262-2025</t>
        </is>
      </c>
      <c r="B909" s="1" t="n">
        <v>45898.61502314815</v>
      </c>
      <c r="C909" s="1" t="n">
        <v>45900</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35477-2025</t>
        </is>
      </c>
      <c r="B910" s="1" t="n">
        <v>45855.67899305555</v>
      </c>
      <c r="C910" s="1" t="n">
        <v>45900</v>
      </c>
      <c r="D910" t="inlineStr">
        <is>
          <t>JÄMTLANDS LÄN</t>
        </is>
      </c>
      <c r="E910" t="inlineStr">
        <is>
          <t>RAGUNDA</t>
        </is>
      </c>
      <c r="G910" t="n">
        <v>3.6</v>
      </c>
      <c r="H910" t="n">
        <v>0</v>
      </c>
      <c r="I910" t="n">
        <v>0</v>
      </c>
      <c r="J910" t="n">
        <v>0</v>
      </c>
      <c r="K910" t="n">
        <v>0</v>
      </c>
      <c r="L910" t="n">
        <v>0</v>
      </c>
      <c r="M910" t="n">
        <v>0</v>
      </c>
      <c r="N910" t="n">
        <v>0</v>
      </c>
      <c r="O910" t="n">
        <v>0</v>
      </c>
      <c r="P910" t="n">
        <v>0</v>
      </c>
      <c r="Q910" t="n">
        <v>0</v>
      </c>
      <c r="R910" s="2" t="inlineStr"/>
    </row>
    <row r="911" ht="15" customHeight="1">
      <c r="A911" t="inlineStr">
        <is>
          <t>A 44630-2023</t>
        </is>
      </c>
      <c r="B911" s="1" t="n">
        <v>45184</v>
      </c>
      <c r="C911" s="1" t="n">
        <v>45900</v>
      </c>
      <c r="D911" t="inlineStr">
        <is>
          <t>JÄMTLANDS LÄN</t>
        </is>
      </c>
      <c r="E911" t="inlineStr">
        <is>
          <t>RAGUNDA</t>
        </is>
      </c>
      <c r="G911" t="n">
        <v>3.4</v>
      </c>
      <c r="H911" t="n">
        <v>0</v>
      </c>
      <c r="I911" t="n">
        <v>0</v>
      </c>
      <c r="J911" t="n">
        <v>0</v>
      </c>
      <c r="K911" t="n">
        <v>0</v>
      </c>
      <c r="L911" t="n">
        <v>0</v>
      </c>
      <c r="M911" t="n">
        <v>0</v>
      </c>
      <c r="N911" t="n">
        <v>0</v>
      </c>
      <c r="O911" t="n">
        <v>0</v>
      </c>
      <c r="P911" t="n">
        <v>0</v>
      </c>
      <c r="Q911" t="n">
        <v>0</v>
      </c>
      <c r="R911" s="2" t="inlineStr"/>
    </row>
    <row r="912" ht="15" customHeight="1">
      <c r="A912" t="inlineStr">
        <is>
          <t>A 35541-2025</t>
        </is>
      </c>
      <c r="B912" s="1" t="n">
        <v>45856.46931712963</v>
      </c>
      <c r="C912" s="1" t="n">
        <v>45900</v>
      </c>
      <c r="D912" t="inlineStr">
        <is>
          <t>JÄMTLANDS LÄN</t>
        </is>
      </c>
      <c r="E912" t="inlineStr">
        <is>
          <t>RAGUNDA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35462-2025</t>
        </is>
      </c>
      <c r="B913" s="1" t="n">
        <v>45855.61523148148</v>
      </c>
      <c r="C913" s="1" t="n">
        <v>45900</v>
      </c>
      <c r="D913" t="inlineStr">
        <is>
          <t>JÄMTLANDS LÄN</t>
        </is>
      </c>
      <c r="E913" t="inlineStr">
        <is>
          <t>RAGUNDA</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41140-2025</t>
        </is>
      </c>
      <c r="B914" s="1" t="n">
        <v>45898.49012731481</v>
      </c>
      <c r="C914" s="1" t="n">
        <v>45900</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12522-2023</t>
        </is>
      </c>
      <c r="B915" s="1" t="n">
        <v>45000</v>
      </c>
      <c r="C915" s="1" t="n">
        <v>45900</v>
      </c>
      <c r="D915" t="inlineStr">
        <is>
          <t>JÄMTLANDS LÄN</t>
        </is>
      </c>
      <c r="E915" t="inlineStr">
        <is>
          <t>RAGUNDA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12523-2023</t>
        </is>
      </c>
      <c r="B916" s="1" t="n">
        <v>45000</v>
      </c>
      <c r="C916" s="1" t="n">
        <v>45900</v>
      </c>
      <c r="D916" t="inlineStr">
        <is>
          <t>JÄMTLANDS LÄN</t>
        </is>
      </c>
      <c r="E916" t="inlineStr">
        <is>
          <t>RAGUNDA</t>
        </is>
      </c>
      <c r="F916" t="inlineStr">
        <is>
          <t>SCA</t>
        </is>
      </c>
      <c r="G916" t="n">
        <v>14.3</v>
      </c>
      <c r="H916" t="n">
        <v>0</v>
      </c>
      <c r="I916" t="n">
        <v>0</v>
      </c>
      <c r="J916" t="n">
        <v>0</v>
      </c>
      <c r="K916" t="n">
        <v>0</v>
      </c>
      <c r="L916" t="n">
        <v>0</v>
      </c>
      <c r="M916" t="n">
        <v>0</v>
      </c>
      <c r="N916" t="n">
        <v>0</v>
      </c>
      <c r="O916" t="n">
        <v>0</v>
      </c>
      <c r="P916" t="n">
        <v>0</v>
      </c>
      <c r="Q916" t="n">
        <v>0</v>
      </c>
      <c r="R916" s="2" t="inlineStr"/>
    </row>
    <row r="917" ht="15" customHeight="1">
      <c r="A917" t="inlineStr">
        <is>
          <t>A 22311-2024</t>
        </is>
      </c>
      <c r="B917" s="1" t="n">
        <v>45446.57052083333</v>
      </c>
      <c r="C917" s="1" t="n">
        <v>45900</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19866-2023</t>
        </is>
      </c>
      <c r="B918" s="1" t="n">
        <v>45053.94313657407</v>
      </c>
      <c r="C918" s="1" t="n">
        <v>45900</v>
      </c>
      <c r="D918" t="inlineStr">
        <is>
          <t>JÄMTLANDS LÄN</t>
        </is>
      </c>
      <c r="E918" t="inlineStr">
        <is>
          <t>RAGUNDA</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41233-2025</t>
        </is>
      </c>
      <c r="B919" s="1" t="n">
        <v>45898.59295138889</v>
      </c>
      <c r="C919" s="1" t="n">
        <v>45900</v>
      </c>
      <c r="D919" t="inlineStr">
        <is>
          <t>JÄMTLANDS LÄN</t>
        </is>
      </c>
      <c r="E919" t="inlineStr">
        <is>
          <t>RAGUNDA</t>
        </is>
      </c>
      <c r="G919" t="n">
        <v>1.7</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45900</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9504-2025</t>
        </is>
      </c>
      <c r="B921" s="1" t="n">
        <v>45714</v>
      </c>
      <c r="C921" s="1" t="n">
        <v>45900</v>
      </c>
      <c r="D921" t="inlineStr">
        <is>
          <t>JÄMTLANDS LÄN</t>
        </is>
      </c>
      <c r="E921" t="inlineStr">
        <is>
          <t>RAGUNDA</t>
        </is>
      </c>
      <c r="G921" t="n">
        <v>6</v>
      </c>
      <c r="H921" t="n">
        <v>0</v>
      </c>
      <c r="I921" t="n">
        <v>0</v>
      </c>
      <c r="J921" t="n">
        <v>0</v>
      </c>
      <c r="K921" t="n">
        <v>0</v>
      </c>
      <c r="L921" t="n">
        <v>0</v>
      </c>
      <c r="M921" t="n">
        <v>0</v>
      </c>
      <c r="N921" t="n">
        <v>0</v>
      </c>
      <c r="O921" t="n">
        <v>0</v>
      </c>
      <c r="P921" t="n">
        <v>0</v>
      </c>
      <c r="Q921" t="n">
        <v>0</v>
      </c>
      <c r="R921" s="2" t="inlineStr"/>
    </row>
    <row r="922" ht="15" customHeight="1">
      <c r="A922" t="inlineStr">
        <is>
          <t>A 18631-2024</t>
        </is>
      </c>
      <c r="B922" s="1" t="n">
        <v>45425.96494212963</v>
      </c>
      <c r="C922" s="1" t="n">
        <v>45900</v>
      </c>
      <c r="D922" t="inlineStr">
        <is>
          <t>JÄMTLANDS LÄN</t>
        </is>
      </c>
      <c r="E922" t="inlineStr">
        <is>
          <t>RAGUNDA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36246-2024</t>
        </is>
      </c>
      <c r="B923" s="1" t="n">
        <v>45534</v>
      </c>
      <c r="C923" s="1" t="n">
        <v>45900</v>
      </c>
      <c r="D923" t="inlineStr">
        <is>
          <t>JÄMTLANDS LÄN</t>
        </is>
      </c>
      <c r="E923" t="inlineStr">
        <is>
          <t>RAGUNDA</t>
        </is>
      </c>
      <c r="G923" t="n">
        <v>1.6</v>
      </c>
      <c r="H923" t="n">
        <v>0</v>
      </c>
      <c r="I923" t="n">
        <v>0</v>
      </c>
      <c r="J923" t="n">
        <v>0</v>
      </c>
      <c r="K923" t="n">
        <v>0</v>
      </c>
      <c r="L923" t="n">
        <v>0</v>
      </c>
      <c r="M923" t="n">
        <v>0</v>
      </c>
      <c r="N923" t="n">
        <v>0</v>
      </c>
      <c r="O923" t="n">
        <v>0</v>
      </c>
      <c r="P923" t="n">
        <v>0</v>
      </c>
      <c r="Q923" t="n">
        <v>0</v>
      </c>
      <c r="R923" s="2" t="inlineStr"/>
    </row>
    <row r="924" ht="15" customHeight="1">
      <c r="A924" t="inlineStr">
        <is>
          <t>A 32063-2024</t>
        </is>
      </c>
      <c r="B924" s="1" t="n">
        <v>45510</v>
      </c>
      <c r="C924" s="1" t="n">
        <v>45900</v>
      </c>
      <c r="D924" t="inlineStr">
        <is>
          <t>JÄMTLANDS LÄN</t>
        </is>
      </c>
      <c r="E924" t="inlineStr">
        <is>
          <t>RAGUNDA</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5307-2025</t>
        </is>
      </c>
      <c r="B925" s="1" t="n">
        <v>45692.48993055556</v>
      </c>
      <c r="C925" s="1" t="n">
        <v>45900</v>
      </c>
      <c r="D925" t="inlineStr">
        <is>
          <t>JÄMTLANDS LÄN</t>
        </is>
      </c>
      <c r="E925" t="inlineStr">
        <is>
          <t>RAGUNDA</t>
        </is>
      </c>
      <c r="F925" t="inlineStr">
        <is>
          <t>SCA</t>
        </is>
      </c>
      <c r="G925" t="n">
        <v>20.9</v>
      </c>
      <c r="H925" t="n">
        <v>0</v>
      </c>
      <c r="I925" t="n">
        <v>0</v>
      </c>
      <c r="J925" t="n">
        <v>0</v>
      </c>
      <c r="K925" t="n">
        <v>0</v>
      </c>
      <c r="L925" t="n">
        <v>0</v>
      </c>
      <c r="M925" t="n">
        <v>0</v>
      </c>
      <c r="N925" t="n">
        <v>0</v>
      </c>
      <c r="O925" t="n">
        <v>0</v>
      </c>
      <c r="P925" t="n">
        <v>0</v>
      </c>
      <c r="Q925" t="n">
        <v>0</v>
      </c>
      <c r="R925" s="2" t="inlineStr"/>
    </row>
    <row r="926" ht="15" customHeight="1">
      <c r="A926" t="inlineStr">
        <is>
          <t>A 48066-2022</t>
        </is>
      </c>
      <c r="B926" s="1" t="n">
        <v>44855</v>
      </c>
      <c r="C926" s="1" t="n">
        <v>45900</v>
      </c>
      <c r="D926" t="inlineStr">
        <is>
          <t>JÄMTLANDS LÄN</t>
        </is>
      </c>
      <c r="E926" t="inlineStr">
        <is>
          <t>RAGUNDA</t>
        </is>
      </c>
      <c r="F926" t="inlineStr">
        <is>
          <t>SCA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26942-2021</t>
        </is>
      </c>
      <c r="B927" s="1" t="n">
        <v>44349.91978009259</v>
      </c>
      <c r="C927" s="1" t="n">
        <v>45900</v>
      </c>
      <c r="D927" t="inlineStr">
        <is>
          <t>JÄMTLANDS LÄN</t>
        </is>
      </c>
      <c r="E927" t="inlineStr">
        <is>
          <t>RAGUNDA</t>
        </is>
      </c>
      <c r="G927" t="n">
        <v>6.2</v>
      </c>
      <c r="H927" t="n">
        <v>0</v>
      </c>
      <c r="I927" t="n">
        <v>0</v>
      </c>
      <c r="J927" t="n">
        <v>0</v>
      </c>
      <c r="K927" t="n">
        <v>0</v>
      </c>
      <c r="L927" t="n">
        <v>0</v>
      </c>
      <c r="M927" t="n">
        <v>0</v>
      </c>
      <c r="N927" t="n">
        <v>0</v>
      </c>
      <c r="O927" t="n">
        <v>0</v>
      </c>
      <c r="P927" t="n">
        <v>0</v>
      </c>
      <c r="Q927" t="n">
        <v>0</v>
      </c>
      <c r="R927" s="2" t="inlineStr"/>
    </row>
    <row r="928" ht="15" customHeight="1">
      <c r="A928" t="inlineStr">
        <is>
          <t>A 12805-2025</t>
        </is>
      </c>
      <c r="B928" s="1" t="n">
        <v>45733.61497685185</v>
      </c>
      <c r="C928" s="1" t="n">
        <v>45900</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56504-2024</t>
        </is>
      </c>
      <c r="B929" s="1" t="n">
        <v>45625.51068287037</v>
      </c>
      <c r="C929" s="1" t="n">
        <v>45900</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5938-2025</t>
        </is>
      </c>
      <c r="B930" s="1" t="n">
        <v>45695.45868055556</v>
      </c>
      <c r="C930" s="1" t="n">
        <v>45900</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11062-2023</t>
        </is>
      </c>
      <c r="B931" s="1" t="n">
        <v>44991</v>
      </c>
      <c r="C931" s="1" t="n">
        <v>45900</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28173-2024</t>
        </is>
      </c>
      <c r="B932" s="1" t="n">
        <v>45476.94533564815</v>
      </c>
      <c r="C932" s="1" t="n">
        <v>45900</v>
      </c>
      <c r="D932" t="inlineStr">
        <is>
          <t>JÄMTLANDS LÄN</t>
        </is>
      </c>
      <c r="E932" t="inlineStr">
        <is>
          <t>RAGUNDA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35537-2021</t>
        </is>
      </c>
      <c r="B933" s="1" t="n">
        <v>44384</v>
      </c>
      <c r="C933" s="1" t="n">
        <v>45900</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12024-2022</t>
        </is>
      </c>
      <c r="B934" s="1" t="n">
        <v>44635</v>
      </c>
      <c r="C934" s="1" t="n">
        <v>45900</v>
      </c>
      <c r="D934" t="inlineStr">
        <is>
          <t>JÄMTLANDS LÄN</t>
        </is>
      </c>
      <c r="E934" t="inlineStr">
        <is>
          <t>RAGUNDA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18248-2023</t>
        </is>
      </c>
      <c r="B935" s="1" t="n">
        <v>45040</v>
      </c>
      <c r="C935" s="1" t="n">
        <v>45900</v>
      </c>
      <c r="D935" t="inlineStr">
        <is>
          <t>JÄMTLANDS LÄN</t>
        </is>
      </c>
      <c r="E935" t="inlineStr">
        <is>
          <t>RAGUNDA</t>
        </is>
      </c>
      <c r="G935" t="n">
        <v>4.3</v>
      </c>
      <c r="H935" t="n">
        <v>0</v>
      </c>
      <c r="I935" t="n">
        <v>0</v>
      </c>
      <c r="J935" t="n">
        <v>0</v>
      </c>
      <c r="K935" t="n">
        <v>0</v>
      </c>
      <c r="L935" t="n">
        <v>0</v>
      </c>
      <c r="M935" t="n">
        <v>0</v>
      </c>
      <c r="N935" t="n">
        <v>0</v>
      </c>
      <c r="O935" t="n">
        <v>0</v>
      </c>
      <c r="P935" t="n">
        <v>0</v>
      </c>
      <c r="Q935" t="n">
        <v>0</v>
      </c>
      <c r="R935" s="2" t="inlineStr"/>
    </row>
    <row r="936" ht="15" customHeight="1">
      <c r="A936" t="inlineStr">
        <is>
          <t>A 45438-2022</t>
        </is>
      </c>
      <c r="B936" s="1" t="n">
        <v>44844.95368055555</v>
      </c>
      <c r="C936" s="1" t="n">
        <v>45900</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45900</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4882-2023</t>
        </is>
      </c>
      <c r="B938" s="1" t="n">
        <v>44957.94075231482</v>
      </c>
      <c r="C938" s="1" t="n">
        <v>45900</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30459-2021</t>
        </is>
      </c>
      <c r="B939" s="1" t="n">
        <v>44362</v>
      </c>
      <c r="C939" s="1" t="n">
        <v>45900</v>
      </c>
      <c r="D939" t="inlineStr">
        <is>
          <t>JÄMTLANDS LÄN</t>
        </is>
      </c>
      <c r="E939" t="inlineStr">
        <is>
          <t>RAGUNDA</t>
        </is>
      </c>
      <c r="G939" t="n">
        <v>1</v>
      </c>
      <c r="H939" t="n">
        <v>0</v>
      </c>
      <c r="I939" t="n">
        <v>0</v>
      </c>
      <c r="J939" t="n">
        <v>0</v>
      </c>
      <c r="K939" t="n">
        <v>0</v>
      </c>
      <c r="L939" t="n">
        <v>0</v>
      </c>
      <c r="M939" t="n">
        <v>0</v>
      </c>
      <c r="N939" t="n">
        <v>0</v>
      </c>
      <c r="O939" t="n">
        <v>0</v>
      </c>
      <c r="P939" t="n">
        <v>0</v>
      </c>
      <c r="Q939" t="n">
        <v>0</v>
      </c>
      <c r="R939" s="2" t="inlineStr"/>
    </row>
    <row r="940" ht="15" customHeight="1">
      <c r="A940" t="inlineStr">
        <is>
          <t>A 29263-2024</t>
        </is>
      </c>
      <c r="B940" s="1" t="n">
        <v>45482.94891203703</v>
      </c>
      <c r="C940" s="1" t="n">
        <v>45900</v>
      </c>
      <c r="D940" t="inlineStr">
        <is>
          <t>JÄMTLANDS LÄN</t>
        </is>
      </c>
      <c r="E940" t="inlineStr">
        <is>
          <t>RAGUNDA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29265-2024</t>
        </is>
      </c>
      <c r="B941" s="1" t="n">
        <v>45482.9491087963</v>
      </c>
      <c r="C941" s="1" t="n">
        <v>45900</v>
      </c>
      <c r="D941" t="inlineStr">
        <is>
          <t>JÄMTLANDS LÄN</t>
        </is>
      </c>
      <c r="E941" t="inlineStr">
        <is>
          <t>RAGUNDA</t>
        </is>
      </c>
      <c r="F941" t="inlineStr">
        <is>
          <t>SCA</t>
        </is>
      </c>
      <c r="G941" t="n">
        <v>11.6</v>
      </c>
      <c r="H941" t="n">
        <v>0</v>
      </c>
      <c r="I941" t="n">
        <v>0</v>
      </c>
      <c r="J941" t="n">
        <v>0</v>
      </c>
      <c r="K941" t="n">
        <v>0</v>
      </c>
      <c r="L941" t="n">
        <v>0</v>
      </c>
      <c r="M941" t="n">
        <v>0</v>
      </c>
      <c r="N941" t="n">
        <v>0</v>
      </c>
      <c r="O941" t="n">
        <v>0</v>
      </c>
      <c r="P941" t="n">
        <v>0</v>
      </c>
      <c r="Q941" t="n">
        <v>0</v>
      </c>
      <c r="R941" s="2" t="inlineStr"/>
    </row>
    <row r="942" ht="15" customHeight="1">
      <c r="A942" t="inlineStr">
        <is>
          <t>A 39608-2024</t>
        </is>
      </c>
      <c r="B942" s="1" t="n">
        <v>45552.39113425926</v>
      </c>
      <c r="C942" s="1" t="n">
        <v>45900</v>
      </c>
      <c r="D942" t="inlineStr">
        <is>
          <t>JÄMTLANDS LÄN</t>
        </is>
      </c>
      <c r="E942" t="inlineStr">
        <is>
          <t>RAGUNDA</t>
        </is>
      </c>
      <c r="G942" t="n">
        <v>3.2</v>
      </c>
      <c r="H942" t="n">
        <v>0</v>
      </c>
      <c r="I942" t="n">
        <v>0</v>
      </c>
      <c r="J942" t="n">
        <v>0</v>
      </c>
      <c r="K942" t="n">
        <v>0</v>
      </c>
      <c r="L942" t="n">
        <v>0</v>
      </c>
      <c r="M942" t="n">
        <v>0</v>
      </c>
      <c r="N942" t="n">
        <v>0</v>
      </c>
      <c r="O942" t="n">
        <v>0</v>
      </c>
      <c r="P942" t="n">
        <v>0</v>
      </c>
      <c r="Q942" t="n">
        <v>0</v>
      </c>
      <c r="R942" s="2" t="inlineStr"/>
    </row>
    <row r="943" ht="15" customHeight="1">
      <c r="A943" t="inlineStr">
        <is>
          <t>A 13898-2023</t>
        </is>
      </c>
      <c r="B943" s="1" t="n">
        <v>45008.01408564814</v>
      </c>
      <c r="C943" s="1" t="n">
        <v>45900</v>
      </c>
      <c r="D943" t="inlineStr">
        <is>
          <t>JÄMTLANDS LÄN</t>
        </is>
      </c>
      <c r="E943" t="inlineStr">
        <is>
          <t>RAGUNDA</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41693-2023</t>
        </is>
      </c>
      <c r="B944" s="1" t="n">
        <v>45176</v>
      </c>
      <c r="C944" s="1" t="n">
        <v>45900</v>
      </c>
      <c r="D944" t="inlineStr">
        <is>
          <t>JÄMTLANDS LÄN</t>
        </is>
      </c>
      <c r="E944" t="inlineStr">
        <is>
          <t>RAGUNDA</t>
        </is>
      </c>
      <c r="G944" t="n">
        <v>5.5</v>
      </c>
      <c r="H944" t="n">
        <v>0</v>
      </c>
      <c r="I944" t="n">
        <v>0</v>
      </c>
      <c r="J944" t="n">
        <v>0</v>
      </c>
      <c r="K944" t="n">
        <v>0</v>
      </c>
      <c r="L944" t="n">
        <v>0</v>
      </c>
      <c r="M944" t="n">
        <v>0</v>
      </c>
      <c r="N944" t="n">
        <v>0</v>
      </c>
      <c r="O944" t="n">
        <v>0</v>
      </c>
      <c r="P944" t="n">
        <v>0</v>
      </c>
      <c r="Q944" t="n">
        <v>0</v>
      </c>
      <c r="R944" s="2" t="inlineStr"/>
    </row>
    <row r="945" ht="15" customHeight="1">
      <c r="A945" t="inlineStr">
        <is>
          <t>A 18454-2021</t>
        </is>
      </c>
      <c r="B945" s="1" t="n">
        <v>44305.92047453704</v>
      </c>
      <c r="C945" s="1" t="n">
        <v>45900</v>
      </c>
      <c r="D945" t="inlineStr">
        <is>
          <t>JÄMTLANDS LÄN</t>
        </is>
      </c>
      <c r="E945" t="inlineStr">
        <is>
          <t>RAGUNDA</t>
        </is>
      </c>
      <c r="G945" t="n">
        <v>1.3</v>
      </c>
      <c r="H945" t="n">
        <v>0</v>
      </c>
      <c r="I945" t="n">
        <v>0</v>
      </c>
      <c r="J945" t="n">
        <v>0</v>
      </c>
      <c r="K945" t="n">
        <v>0</v>
      </c>
      <c r="L945" t="n">
        <v>0</v>
      </c>
      <c r="M945" t="n">
        <v>0</v>
      </c>
      <c r="N945" t="n">
        <v>0</v>
      </c>
      <c r="O945" t="n">
        <v>0</v>
      </c>
      <c r="P945" t="n">
        <v>0</v>
      </c>
      <c r="Q945" t="n">
        <v>0</v>
      </c>
      <c r="R945" s="2" t="inlineStr"/>
    </row>
    <row r="946" ht="15" customHeight="1">
      <c r="A946" t="inlineStr">
        <is>
          <t>A 3770-2025</t>
        </is>
      </c>
      <c r="B946" s="1" t="n">
        <v>45681.6050925926</v>
      </c>
      <c r="C946" s="1" t="n">
        <v>45900</v>
      </c>
      <c r="D946" t="inlineStr">
        <is>
          <t>JÄMTLANDS LÄN</t>
        </is>
      </c>
      <c r="E946" t="inlineStr">
        <is>
          <t>RAGUNDA</t>
        </is>
      </c>
      <c r="G946" t="n">
        <v>2.7</v>
      </c>
      <c r="H946" t="n">
        <v>0</v>
      </c>
      <c r="I946" t="n">
        <v>0</v>
      </c>
      <c r="J946" t="n">
        <v>0</v>
      </c>
      <c r="K946" t="n">
        <v>0</v>
      </c>
      <c r="L946" t="n">
        <v>0</v>
      </c>
      <c r="M946" t="n">
        <v>0</v>
      </c>
      <c r="N946" t="n">
        <v>0</v>
      </c>
      <c r="O946" t="n">
        <v>0</v>
      </c>
      <c r="P946" t="n">
        <v>0</v>
      </c>
      <c r="Q946" t="n">
        <v>0</v>
      </c>
      <c r="R946" s="2" t="inlineStr"/>
    </row>
    <row r="947" ht="15" customHeight="1">
      <c r="A947" t="inlineStr">
        <is>
          <t>A 11252-2025</t>
        </is>
      </c>
      <c r="B947" s="1" t="n">
        <v>45726.38615740741</v>
      </c>
      <c r="C947" s="1" t="n">
        <v>45900</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11253-2025</t>
        </is>
      </c>
      <c r="B948" s="1" t="n">
        <v>45726.3862037037</v>
      </c>
      <c r="C948" s="1" t="n">
        <v>45900</v>
      </c>
      <c r="D948" t="inlineStr">
        <is>
          <t>JÄMTLANDS LÄN</t>
        </is>
      </c>
      <c r="E948" t="inlineStr">
        <is>
          <t>RAGUNDA</t>
        </is>
      </c>
      <c r="G948" t="n">
        <v>1.5</v>
      </c>
      <c r="H948" t="n">
        <v>0</v>
      </c>
      <c r="I948" t="n">
        <v>0</v>
      </c>
      <c r="J948" t="n">
        <v>0</v>
      </c>
      <c r="K948" t="n">
        <v>0</v>
      </c>
      <c r="L948" t="n">
        <v>0</v>
      </c>
      <c r="M948" t="n">
        <v>0</v>
      </c>
      <c r="N948" t="n">
        <v>0</v>
      </c>
      <c r="O948" t="n">
        <v>0</v>
      </c>
      <c r="P948" t="n">
        <v>0</v>
      </c>
      <c r="Q948" t="n">
        <v>0</v>
      </c>
      <c r="R948" s="2" t="inlineStr"/>
    </row>
    <row r="949" ht="15" customHeight="1">
      <c r="A949" t="inlineStr">
        <is>
          <t>A 7668-2025</t>
        </is>
      </c>
      <c r="B949" s="1" t="n">
        <v>45706.34450231482</v>
      </c>
      <c r="C949" s="1" t="n">
        <v>45900</v>
      </c>
      <c r="D949" t="inlineStr">
        <is>
          <t>JÄMTLANDS LÄN</t>
        </is>
      </c>
      <c r="E949" t="inlineStr">
        <is>
          <t>RAGUNDA</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9548-2025</t>
        </is>
      </c>
      <c r="B950" s="1" t="n">
        <v>45715.59405092592</v>
      </c>
      <c r="C950" s="1" t="n">
        <v>45900</v>
      </c>
      <c r="D950" t="inlineStr">
        <is>
          <t>JÄMTLANDS LÄN</t>
        </is>
      </c>
      <c r="E950" t="inlineStr">
        <is>
          <t>RAGUNDA</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26455-2023</t>
        </is>
      </c>
      <c r="B951" s="1" t="n">
        <v>45092</v>
      </c>
      <c r="C951" s="1" t="n">
        <v>45900</v>
      </c>
      <c r="D951" t="inlineStr">
        <is>
          <t>JÄMTLANDS LÄN</t>
        </is>
      </c>
      <c r="E951" t="inlineStr">
        <is>
          <t>RAGUNDA</t>
        </is>
      </c>
      <c r="G951" t="n">
        <v>3.8</v>
      </c>
      <c r="H951" t="n">
        <v>0</v>
      </c>
      <c r="I951" t="n">
        <v>0</v>
      </c>
      <c r="J951" t="n">
        <v>0</v>
      </c>
      <c r="K951" t="n">
        <v>0</v>
      </c>
      <c r="L951" t="n">
        <v>0</v>
      </c>
      <c r="M951" t="n">
        <v>0</v>
      </c>
      <c r="N951" t="n">
        <v>0</v>
      </c>
      <c r="O951" t="n">
        <v>0</v>
      </c>
      <c r="P951" t="n">
        <v>0</v>
      </c>
      <c r="Q951" t="n">
        <v>0</v>
      </c>
      <c r="R951" s="2" t="inlineStr"/>
    </row>
    <row r="952" ht="15" customHeight="1">
      <c r="A952" t="inlineStr">
        <is>
          <t>A 6801-2023</t>
        </is>
      </c>
      <c r="B952" s="1" t="n">
        <v>44966.95328703704</v>
      </c>
      <c r="C952" s="1" t="n">
        <v>45900</v>
      </c>
      <c r="D952" t="inlineStr">
        <is>
          <t>JÄMTLANDS LÄN</t>
        </is>
      </c>
      <c r="E952" t="inlineStr">
        <is>
          <t>RAGUNDA</t>
        </is>
      </c>
      <c r="F952" t="inlineStr">
        <is>
          <t>SCA</t>
        </is>
      </c>
      <c r="G952" t="n">
        <v>10.6</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45900</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5967-2021</t>
        </is>
      </c>
      <c r="B954" s="1" t="n">
        <v>44231</v>
      </c>
      <c r="C954" s="1" t="n">
        <v>45900</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13263-2025</t>
        </is>
      </c>
      <c r="B955" s="1" t="n">
        <v>45735.53177083333</v>
      </c>
      <c r="C955" s="1" t="n">
        <v>45900</v>
      </c>
      <c r="D955" t="inlineStr">
        <is>
          <t>JÄMTLANDS LÄN</t>
        </is>
      </c>
      <c r="E955" t="inlineStr">
        <is>
          <t>RAGUNDA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13276-2025</t>
        </is>
      </c>
      <c r="B956" s="1" t="n">
        <v>45735.5517824074</v>
      </c>
      <c r="C956" s="1" t="n">
        <v>45900</v>
      </c>
      <c r="D956" t="inlineStr">
        <is>
          <t>JÄMTLANDS LÄN</t>
        </is>
      </c>
      <c r="E956" t="inlineStr">
        <is>
          <t>RAGUNDA</t>
        </is>
      </c>
      <c r="G956" t="n">
        <v>16.6</v>
      </c>
      <c r="H956" t="n">
        <v>0</v>
      </c>
      <c r="I956" t="n">
        <v>0</v>
      </c>
      <c r="J956" t="n">
        <v>0</v>
      </c>
      <c r="K956" t="n">
        <v>0</v>
      </c>
      <c r="L956" t="n">
        <v>0</v>
      </c>
      <c r="M956" t="n">
        <v>0</v>
      </c>
      <c r="N956" t="n">
        <v>0</v>
      </c>
      <c r="O956" t="n">
        <v>0</v>
      </c>
      <c r="P956" t="n">
        <v>0</v>
      </c>
      <c r="Q956" t="n">
        <v>0</v>
      </c>
      <c r="R956" s="2" t="inlineStr"/>
    </row>
    <row r="957" ht="15" customHeight="1">
      <c r="A957" t="inlineStr">
        <is>
          <t>A 12405-2025</t>
        </is>
      </c>
      <c r="B957" s="1" t="n">
        <v>45730.42738425926</v>
      </c>
      <c r="C957" s="1" t="n">
        <v>45900</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12808-2025</t>
        </is>
      </c>
      <c r="B958" s="1" t="n">
        <v>45733.61554398148</v>
      </c>
      <c r="C958" s="1" t="n">
        <v>45900</v>
      </c>
      <c r="D958" t="inlineStr">
        <is>
          <t>JÄMTLANDS LÄN</t>
        </is>
      </c>
      <c r="E958" t="inlineStr">
        <is>
          <t>RAGUNDA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46546-2023</t>
        </is>
      </c>
      <c r="B959" s="1" t="n">
        <v>45197.94152777778</v>
      </c>
      <c r="C959" s="1" t="n">
        <v>45900</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6716-2025</t>
        </is>
      </c>
      <c r="B960" s="1" t="n">
        <v>45700.57324074074</v>
      </c>
      <c r="C960" s="1" t="n">
        <v>45900</v>
      </c>
      <c r="D960" t="inlineStr">
        <is>
          <t>JÄMTLANDS LÄN</t>
        </is>
      </c>
      <c r="E960" t="inlineStr">
        <is>
          <t>RAGUNDA</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30823-2023</t>
        </is>
      </c>
      <c r="B961" s="1" t="n">
        <v>45112</v>
      </c>
      <c r="C961" s="1" t="n">
        <v>45900</v>
      </c>
      <c r="D961" t="inlineStr">
        <is>
          <t>JÄMTLANDS LÄN</t>
        </is>
      </c>
      <c r="E961" t="inlineStr">
        <is>
          <t>RAGUNDA</t>
        </is>
      </c>
      <c r="F961" t="inlineStr">
        <is>
          <t>SCA</t>
        </is>
      </c>
      <c r="G961" t="n">
        <v>9</v>
      </c>
      <c r="H961" t="n">
        <v>0</v>
      </c>
      <c r="I961" t="n">
        <v>0</v>
      </c>
      <c r="J961" t="n">
        <v>0</v>
      </c>
      <c r="K961" t="n">
        <v>0</v>
      </c>
      <c r="L961" t="n">
        <v>0</v>
      </c>
      <c r="M961" t="n">
        <v>0</v>
      </c>
      <c r="N961" t="n">
        <v>0</v>
      </c>
      <c r="O961" t="n">
        <v>0</v>
      </c>
      <c r="P961" t="n">
        <v>0</v>
      </c>
      <c r="Q961" t="n">
        <v>0</v>
      </c>
      <c r="R961" s="2" t="inlineStr"/>
    </row>
    <row r="962" ht="15" customHeight="1">
      <c r="A962" t="inlineStr">
        <is>
          <t>A 10641-2024</t>
        </is>
      </c>
      <c r="B962" s="1" t="n">
        <v>45367.69850694444</v>
      </c>
      <c r="C962" s="1" t="n">
        <v>45900</v>
      </c>
      <c r="D962" t="inlineStr">
        <is>
          <t>JÄMTLANDS LÄN</t>
        </is>
      </c>
      <c r="E962" t="inlineStr">
        <is>
          <t>RAGUNDA</t>
        </is>
      </c>
      <c r="G962" t="n">
        <v>0.9</v>
      </c>
      <c r="H962" t="n">
        <v>0</v>
      </c>
      <c r="I962" t="n">
        <v>0</v>
      </c>
      <c r="J962" t="n">
        <v>0</v>
      </c>
      <c r="K962" t="n">
        <v>0</v>
      </c>
      <c r="L962" t="n">
        <v>0</v>
      </c>
      <c r="M962" t="n">
        <v>0</v>
      </c>
      <c r="N962" t="n">
        <v>0</v>
      </c>
      <c r="O962" t="n">
        <v>0</v>
      </c>
      <c r="P962" t="n">
        <v>0</v>
      </c>
      <c r="Q962" t="n">
        <v>0</v>
      </c>
      <c r="R962" s="2" t="inlineStr"/>
    </row>
    <row r="963" ht="15" customHeight="1">
      <c r="A963" t="inlineStr">
        <is>
          <t>A 10644-2024</t>
        </is>
      </c>
      <c r="B963" s="1" t="n">
        <v>45367.71348379629</v>
      </c>
      <c r="C963" s="1" t="n">
        <v>45900</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17559-2023</t>
        </is>
      </c>
      <c r="B964" s="1" t="n">
        <v>45034</v>
      </c>
      <c r="C964" s="1" t="n">
        <v>45900</v>
      </c>
      <c r="D964" t="inlineStr">
        <is>
          <t>JÄMTLANDS LÄN</t>
        </is>
      </c>
      <c r="E964" t="inlineStr">
        <is>
          <t>RAGUNDA</t>
        </is>
      </c>
      <c r="G964" t="n">
        <v>7.5</v>
      </c>
      <c r="H964" t="n">
        <v>0</v>
      </c>
      <c r="I964" t="n">
        <v>0</v>
      </c>
      <c r="J964" t="n">
        <v>0</v>
      </c>
      <c r="K964" t="n">
        <v>0</v>
      </c>
      <c r="L964" t="n">
        <v>0</v>
      </c>
      <c r="M964" t="n">
        <v>0</v>
      </c>
      <c r="N964" t="n">
        <v>0</v>
      </c>
      <c r="O964" t="n">
        <v>0</v>
      </c>
      <c r="P964" t="n">
        <v>0</v>
      </c>
      <c r="Q964" t="n">
        <v>0</v>
      </c>
      <c r="R964" s="2" t="inlineStr"/>
    </row>
    <row r="965" ht="15" customHeight="1">
      <c r="A965" t="inlineStr">
        <is>
          <t>A 30484-2024</t>
        </is>
      </c>
      <c r="B965" s="1" t="n">
        <v>45491</v>
      </c>
      <c r="C965" s="1" t="n">
        <v>45900</v>
      </c>
      <c r="D965" t="inlineStr">
        <is>
          <t>JÄMTLANDS LÄN</t>
        </is>
      </c>
      <c r="E965" t="inlineStr">
        <is>
          <t>RAGUNDA</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45900</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11288-2022</t>
        </is>
      </c>
      <c r="B967" s="1" t="n">
        <v>44629</v>
      </c>
      <c r="C967" s="1" t="n">
        <v>45900</v>
      </c>
      <c r="D967" t="inlineStr">
        <is>
          <t>JÄMTLANDS LÄN</t>
        </is>
      </c>
      <c r="E967" t="inlineStr">
        <is>
          <t>RAGUNDA</t>
        </is>
      </c>
      <c r="G967" t="n">
        <v>4.9</v>
      </c>
      <c r="H967" t="n">
        <v>0</v>
      </c>
      <c r="I967" t="n">
        <v>0</v>
      </c>
      <c r="J967" t="n">
        <v>0</v>
      </c>
      <c r="K967" t="n">
        <v>0</v>
      </c>
      <c r="L967" t="n">
        <v>0</v>
      </c>
      <c r="M967" t="n">
        <v>0</v>
      </c>
      <c r="N967" t="n">
        <v>0</v>
      </c>
      <c r="O967" t="n">
        <v>0</v>
      </c>
      <c r="P967" t="n">
        <v>0</v>
      </c>
      <c r="Q967" t="n">
        <v>0</v>
      </c>
      <c r="R967" s="2" t="inlineStr"/>
    </row>
    <row r="968" ht="15" customHeight="1">
      <c r="A968" t="inlineStr">
        <is>
          <t>A 19865-2023</t>
        </is>
      </c>
      <c r="B968" s="1" t="n">
        <v>45053.94305555556</v>
      </c>
      <c r="C968" s="1" t="n">
        <v>45900</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1554-2024</t>
        </is>
      </c>
      <c r="B969" s="1" t="n">
        <v>45306</v>
      </c>
      <c r="C969" s="1" t="n">
        <v>45900</v>
      </c>
      <c r="D969" t="inlineStr">
        <is>
          <t>JÄMTLANDS LÄN</t>
        </is>
      </c>
      <c r="E969" t="inlineStr">
        <is>
          <t>RAGUNDA</t>
        </is>
      </c>
      <c r="G969" t="n">
        <v>4.3</v>
      </c>
      <c r="H969" t="n">
        <v>0</v>
      </c>
      <c r="I969" t="n">
        <v>0</v>
      </c>
      <c r="J969" t="n">
        <v>0</v>
      </c>
      <c r="K969" t="n">
        <v>0</v>
      </c>
      <c r="L969" t="n">
        <v>0</v>
      </c>
      <c r="M969" t="n">
        <v>0</v>
      </c>
      <c r="N969" t="n">
        <v>0</v>
      </c>
      <c r="O969" t="n">
        <v>0</v>
      </c>
      <c r="P969" t="n">
        <v>0</v>
      </c>
      <c r="Q969" t="n">
        <v>0</v>
      </c>
      <c r="R969" s="2" t="inlineStr"/>
    </row>
    <row r="970" ht="15" customHeight="1">
      <c r="A970" t="inlineStr">
        <is>
          <t>A 56191-2022</t>
        </is>
      </c>
      <c r="B970" s="1" t="n">
        <v>44889.95015046297</v>
      </c>
      <c r="C970" s="1" t="n">
        <v>45900</v>
      </c>
      <c r="D970" t="inlineStr">
        <is>
          <t>JÄMTLANDS LÄN</t>
        </is>
      </c>
      <c r="E970" t="inlineStr">
        <is>
          <t>RAGUNDA</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17730-2022</t>
        </is>
      </c>
      <c r="B971" s="1" t="n">
        <v>44680</v>
      </c>
      <c r="C971" s="1" t="n">
        <v>45900</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33621-2023</t>
        </is>
      </c>
      <c r="B972" s="1" t="n">
        <v>45119</v>
      </c>
      <c r="C972" s="1" t="n">
        <v>45900</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65216-2023</t>
        </is>
      </c>
      <c r="B973" s="1" t="n">
        <v>45289</v>
      </c>
      <c r="C973" s="1" t="n">
        <v>45900</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row>
    <row r="974" ht="15" customHeight="1">
      <c r="A974" t="inlineStr">
        <is>
          <t>A 60838-2023</t>
        </is>
      </c>
      <c r="B974" s="1" t="n">
        <v>45260.92561342593</v>
      </c>
      <c r="C974" s="1" t="n">
        <v>45900</v>
      </c>
      <c r="D974" t="inlineStr">
        <is>
          <t>JÄMTLANDS LÄN</t>
        </is>
      </c>
      <c r="E974" t="inlineStr">
        <is>
          <t>RAGUNDA</t>
        </is>
      </c>
      <c r="G974" t="n">
        <v>2.7</v>
      </c>
      <c r="H974" t="n">
        <v>0</v>
      </c>
      <c r="I974" t="n">
        <v>0</v>
      </c>
      <c r="J974" t="n">
        <v>0</v>
      </c>
      <c r="K974" t="n">
        <v>0</v>
      </c>
      <c r="L974" t="n">
        <v>0</v>
      </c>
      <c r="M974" t="n">
        <v>0</v>
      </c>
      <c r="N974" t="n">
        <v>0</v>
      </c>
      <c r="O974" t="n">
        <v>0</v>
      </c>
      <c r="P974" t="n">
        <v>0</v>
      </c>
      <c r="Q974" t="n">
        <v>0</v>
      </c>
      <c r="R974" s="2" t="inlineStr"/>
    </row>
    <row r="975" ht="15" customHeight="1">
      <c r="A975" t="inlineStr">
        <is>
          <t>A 22011-2023</t>
        </is>
      </c>
      <c r="B975" s="1" t="n">
        <v>45068</v>
      </c>
      <c r="C975" s="1" t="n">
        <v>45900</v>
      </c>
      <c r="D975" t="inlineStr">
        <is>
          <t>JÄMTLANDS LÄN</t>
        </is>
      </c>
      <c r="E975" t="inlineStr">
        <is>
          <t>RAGUNDA</t>
        </is>
      </c>
      <c r="F975" t="inlineStr">
        <is>
          <t>SCA</t>
        </is>
      </c>
      <c r="G975" t="n">
        <v>12.2</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45900</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13389-2025</t>
        </is>
      </c>
      <c r="B977" s="1" t="n">
        <v>45735.69842592593</v>
      </c>
      <c r="C977" s="1" t="n">
        <v>45900</v>
      </c>
      <c r="D977" t="inlineStr">
        <is>
          <t>JÄMTLANDS LÄN</t>
        </is>
      </c>
      <c r="E977" t="inlineStr">
        <is>
          <t>RAGUNDA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2831-2024</t>
        </is>
      </c>
      <c r="B978" s="1" t="n">
        <v>45314.92758101852</v>
      </c>
      <c r="C978" s="1" t="n">
        <v>45900</v>
      </c>
      <c r="D978" t="inlineStr">
        <is>
          <t>JÄMTLANDS LÄN</t>
        </is>
      </c>
      <c r="E978" t="inlineStr">
        <is>
          <t>RAGUNDA</t>
        </is>
      </c>
      <c r="G978" t="n">
        <v>0.6</v>
      </c>
      <c r="H978" t="n">
        <v>0</v>
      </c>
      <c r="I978" t="n">
        <v>0</v>
      </c>
      <c r="J978" t="n">
        <v>0</v>
      </c>
      <c r="K978" t="n">
        <v>0</v>
      </c>
      <c r="L978" t="n">
        <v>0</v>
      </c>
      <c r="M978" t="n">
        <v>0</v>
      </c>
      <c r="N978" t="n">
        <v>0</v>
      </c>
      <c r="O978" t="n">
        <v>0</v>
      </c>
      <c r="P978" t="n">
        <v>0</v>
      </c>
      <c r="Q978" t="n">
        <v>0</v>
      </c>
      <c r="R978" s="2" t="inlineStr"/>
    </row>
    <row r="979" ht="15" customHeight="1">
      <c r="A979" t="inlineStr">
        <is>
          <t>A 49647-2024</t>
        </is>
      </c>
      <c r="B979" s="1" t="n">
        <v>45596.61533564814</v>
      </c>
      <c r="C979" s="1" t="n">
        <v>45900</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13264-2025</t>
        </is>
      </c>
      <c r="B980" s="1" t="n">
        <v>45735</v>
      </c>
      <c r="C980" s="1" t="n">
        <v>45900</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37268-2024</t>
        </is>
      </c>
      <c r="B981" s="1" t="n">
        <v>45540.38586805556</v>
      </c>
      <c r="C981" s="1" t="n">
        <v>45900</v>
      </c>
      <c r="D981" t="inlineStr">
        <is>
          <t>JÄMTLANDS LÄN</t>
        </is>
      </c>
      <c r="E981" t="inlineStr">
        <is>
          <t>RAGUNDA</t>
        </is>
      </c>
      <c r="F981" t="inlineStr">
        <is>
          <t>SCA</t>
        </is>
      </c>
      <c r="G981" t="n">
        <v>6.3</v>
      </c>
      <c r="H981" t="n">
        <v>0</v>
      </c>
      <c r="I981" t="n">
        <v>0</v>
      </c>
      <c r="J981" t="n">
        <v>0</v>
      </c>
      <c r="K981" t="n">
        <v>0</v>
      </c>
      <c r="L981" t="n">
        <v>0</v>
      </c>
      <c r="M981" t="n">
        <v>0</v>
      </c>
      <c r="N981" t="n">
        <v>0</v>
      </c>
      <c r="O981" t="n">
        <v>0</v>
      </c>
      <c r="P981" t="n">
        <v>0</v>
      </c>
      <c r="Q981" t="n">
        <v>0</v>
      </c>
      <c r="R981" s="2" t="inlineStr"/>
    </row>
    <row r="982" ht="15" customHeight="1">
      <c r="A982" t="inlineStr">
        <is>
          <t>A 41885-2020</t>
        </is>
      </c>
      <c r="B982" s="1" t="n">
        <v>44074</v>
      </c>
      <c r="C982" s="1" t="n">
        <v>45900</v>
      </c>
      <c r="D982" t="inlineStr">
        <is>
          <t>JÄMTLANDS LÄN</t>
        </is>
      </c>
      <c r="E982" t="inlineStr">
        <is>
          <t>RAGUNDA</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6802-2021</t>
        </is>
      </c>
      <c r="B983" s="1" t="n">
        <v>44236</v>
      </c>
      <c r="C983" s="1" t="n">
        <v>45900</v>
      </c>
      <c r="D983" t="inlineStr">
        <is>
          <t>JÄMTLANDS LÄN</t>
        </is>
      </c>
      <c r="E983" t="inlineStr">
        <is>
          <t>RAGUNDA</t>
        </is>
      </c>
      <c r="G983" t="n">
        <v>11.2</v>
      </c>
      <c r="H983" t="n">
        <v>0</v>
      </c>
      <c r="I983" t="n">
        <v>0</v>
      </c>
      <c r="J983" t="n">
        <v>0</v>
      </c>
      <c r="K983" t="n">
        <v>0</v>
      </c>
      <c r="L983" t="n">
        <v>0</v>
      </c>
      <c r="M983" t="n">
        <v>0</v>
      </c>
      <c r="N983" t="n">
        <v>0</v>
      </c>
      <c r="O983" t="n">
        <v>0</v>
      </c>
      <c r="P983" t="n">
        <v>0</v>
      </c>
      <c r="Q983" t="n">
        <v>0</v>
      </c>
      <c r="R983" s="2" t="inlineStr"/>
    </row>
    <row r="984" ht="15" customHeight="1">
      <c r="A984" t="inlineStr">
        <is>
          <t>A 64415-2023</t>
        </is>
      </c>
      <c r="B984" s="1" t="n">
        <v>45280</v>
      </c>
      <c r="C984" s="1" t="n">
        <v>45900</v>
      </c>
      <c r="D984" t="inlineStr">
        <is>
          <t>JÄMTLANDS LÄN</t>
        </is>
      </c>
      <c r="E984" t="inlineStr">
        <is>
          <t>RAGUNDA</t>
        </is>
      </c>
      <c r="G984" t="n">
        <v>5.1</v>
      </c>
      <c r="H984" t="n">
        <v>0</v>
      </c>
      <c r="I984" t="n">
        <v>0</v>
      </c>
      <c r="J984" t="n">
        <v>0</v>
      </c>
      <c r="K984" t="n">
        <v>0</v>
      </c>
      <c r="L984" t="n">
        <v>0</v>
      </c>
      <c r="M984" t="n">
        <v>0</v>
      </c>
      <c r="N984" t="n">
        <v>0</v>
      </c>
      <c r="O984" t="n">
        <v>0</v>
      </c>
      <c r="P984" t="n">
        <v>0</v>
      </c>
      <c r="Q984" t="n">
        <v>0</v>
      </c>
      <c r="R984" s="2" t="inlineStr"/>
    </row>
    <row r="985" ht="15" customHeight="1">
      <c r="A985" t="inlineStr">
        <is>
          <t>A 41179-2022</t>
        </is>
      </c>
      <c r="B985" s="1" t="n">
        <v>44825</v>
      </c>
      <c r="C985" s="1" t="n">
        <v>45900</v>
      </c>
      <c r="D985" t="inlineStr">
        <is>
          <t>JÄMTLANDS LÄN</t>
        </is>
      </c>
      <c r="E985" t="inlineStr">
        <is>
          <t>RAGUNDA</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17598-2021</t>
        </is>
      </c>
      <c r="B986" s="1" t="n">
        <v>44299</v>
      </c>
      <c r="C986" s="1" t="n">
        <v>45900</v>
      </c>
      <c r="D986" t="inlineStr">
        <is>
          <t>JÄMTLANDS LÄN</t>
        </is>
      </c>
      <c r="E986" t="inlineStr">
        <is>
          <t>RAGUNDA</t>
        </is>
      </c>
      <c r="G986" t="n">
        <v>4.6</v>
      </c>
      <c r="H986" t="n">
        <v>0</v>
      </c>
      <c r="I986" t="n">
        <v>0</v>
      </c>
      <c r="J986" t="n">
        <v>0</v>
      </c>
      <c r="K986" t="n">
        <v>0</v>
      </c>
      <c r="L986" t="n">
        <v>0</v>
      </c>
      <c r="M986" t="n">
        <v>0</v>
      </c>
      <c r="N986" t="n">
        <v>0</v>
      </c>
      <c r="O986" t="n">
        <v>0</v>
      </c>
      <c r="P986" t="n">
        <v>0</v>
      </c>
      <c r="Q986" t="n">
        <v>0</v>
      </c>
      <c r="R986" s="2" t="inlineStr"/>
    </row>
    <row r="987" ht="15" customHeight="1">
      <c r="A987" t="inlineStr">
        <is>
          <t>A 62541-2022</t>
        </is>
      </c>
      <c r="B987" s="1" t="n">
        <v>44917</v>
      </c>
      <c r="C987" s="1" t="n">
        <v>45900</v>
      </c>
      <c r="D987" t="inlineStr">
        <is>
          <t>JÄMTLANDS LÄN</t>
        </is>
      </c>
      <c r="E987" t="inlineStr">
        <is>
          <t>RAGUNDA</t>
        </is>
      </c>
      <c r="G987" t="n">
        <v>2.6</v>
      </c>
      <c r="H987" t="n">
        <v>0</v>
      </c>
      <c r="I987" t="n">
        <v>0</v>
      </c>
      <c r="J987" t="n">
        <v>0</v>
      </c>
      <c r="K987" t="n">
        <v>0</v>
      </c>
      <c r="L987" t="n">
        <v>0</v>
      </c>
      <c r="M987" t="n">
        <v>0</v>
      </c>
      <c r="N987" t="n">
        <v>0</v>
      </c>
      <c r="O987" t="n">
        <v>0</v>
      </c>
      <c r="P987" t="n">
        <v>0</v>
      </c>
      <c r="Q987" t="n">
        <v>0</v>
      </c>
      <c r="R987" s="2" t="inlineStr"/>
    </row>
    <row r="988" ht="15" customHeight="1">
      <c r="A988" t="inlineStr">
        <is>
          <t>A 38782-2021</t>
        </is>
      </c>
      <c r="B988" s="1" t="n">
        <v>44410</v>
      </c>
      <c r="C988" s="1" t="n">
        <v>45900</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16250-2022</t>
        </is>
      </c>
      <c r="B989" s="1" t="n">
        <v>44670</v>
      </c>
      <c r="C989" s="1" t="n">
        <v>45900</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61400-2022</t>
        </is>
      </c>
      <c r="B990" s="1" t="n">
        <v>44915</v>
      </c>
      <c r="C990" s="1" t="n">
        <v>45900</v>
      </c>
      <c r="D990" t="inlineStr">
        <is>
          <t>JÄMTLANDS LÄN</t>
        </is>
      </c>
      <c r="E990" t="inlineStr">
        <is>
          <t>RAGUNDA</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24861-2023</t>
        </is>
      </c>
      <c r="B991" s="1" t="n">
        <v>45078</v>
      </c>
      <c r="C991" s="1" t="n">
        <v>45900</v>
      </c>
      <c r="D991" t="inlineStr">
        <is>
          <t>JÄMTLANDS LÄN</t>
        </is>
      </c>
      <c r="E991" t="inlineStr">
        <is>
          <t>RAGUNDA</t>
        </is>
      </c>
      <c r="G991" t="n">
        <v>1.3</v>
      </c>
      <c r="H991" t="n">
        <v>0</v>
      </c>
      <c r="I991" t="n">
        <v>0</v>
      </c>
      <c r="J991" t="n">
        <v>0</v>
      </c>
      <c r="K991" t="n">
        <v>0</v>
      </c>
      <c r="L991" t="n">
        <v>0</v>
      </c>
      <c r="M991" t="n">
        <v>0</v>
      </c>
      <c r="N991" t="n">
        <v>0</v>
      </c>
      <c r="O991" t="n">
        <v>0</v>
      </c>
      <c r="P991" t="n">
        <v>0</v>
      </c>
      <c r="Q991" t="n">
        <v>0</v>
      </c>
      <c r="R991" s="2" t="inlineStr"/>
    </row>
    <row r="992" ht="15" customHeight="1">
      <c r="A992" t="inlineStr">
        <is>
          <t>A 13334-2024</t>
        </is>
      </c>
      <c r="B992" s="1" t="n">
        <v>45386</v>
      </c>
      <c r="C992" s="1" t="n">
        <v>45900</v>
      </c>
      <c r="D992" t="inlineStr">
        <is>
          <t>JÄMTLANDS LÄN</t>
        </is>
      </c>
      <c r="E992" t="inlineStr">
        <is>
          <t>RAGUNDA</t>
        </is>
      </c>
      <c r="G992" t="n">
        <v>8.6</v>
      </c>
      <c r="H992" t="n">
        <v>0</v>
      </c>
      <c r="I992" t="n">
        <v>0</v>
      </c>
      <c r="J992" t="n">
        <v>0</v>
      </c>
      <c r="K992" t="n">
        <v>0</v>
      </c>
      <c r="L992" t="n">
        <v>0</v>
      </c>
      <c r="M992" t="n">
        <v>0</v>
      </c>
      <c r="N992" t="n">
        <v>0</v>
      </c>
      <c r="O992" t="n">
        <v>0</v>
      </c>
      <c r="P992" t="n">
        <v>0</v>
      </c>
      <c r="Q992" t="n">
        <v>0</v>
      </c>
      <c r="R992" s="2" t="inlineStr"/>
    </row>
    <row r="993" ht="15" customHeight="1">
      <c r="A993" t="inlineStr">
        <is>
          <t>A 38270-2021</t>
        </is>
      </c>
      <c r="B993" s="1" t="n">
        <v>44405.92065972222</v>
      </c>
      <c r="C993" s="1" t="n">
        <v>45900</v>
      </c>
      <c r="D993" t="inlineStr">
        <is>
          <t>JÄMTLANDS LÄN</t>
        </is>
      </c>
      <c r="E993" t="inlineStr">
        <is>
          <t>RAGUNDA</t>
        </is>
      </c>
      <c r="G993" t="n">
        <v>1.3</v>
      </c>
      <c r="H993" t="n">
        <v>0</v>
      </c>
      <c r="I993" t="n">
        <v>0</v>
      </c>
      <c r="J993" t="n">
        <v>0</v>
      </c>
      <c r="K993" t="n">
        <v>0</v>
      </c>
      <c r="L993" t="n">
        <v>0</v>
      </c>
      <c r="M993" t="n">
        <v>0</v>
      </c>
      <c r="N993" t="n">
        <v>0</v>
      </c>
      <c r="O993" t="n">
        <v>0</v>
      </c>
      <c r="P993" t="n">
        <v>0</v>
      </c>
      <c r="Q993" t="n">
        <v>0</v>
      </c>
      <c r="R993" s="2" t="inlineStr"/>
    </row>
    <row r="994" ht="15" customHeight="1">
      <c r="A994" t="inlineStr">
        <is>
          <t>A 4866-2025</t>
        </is>
      </c>
      <c r="B994" s="1" t="n">
        <v>45688.67542824074</v>
      </c>
      <c r="C994" s="1" t="n">
        <v>45900</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179-2025</t>
        </is>
      </c>
      <c r="B995" s="1" t="n">
        <v>45659.69822916666</v>
      </c>
      <c r="C995" s="1" t="n">
        <v>45900</v>
      </c>
      <c r="D995" t="inlineStr">
        <is>
          <t>JÄMTLANDS LÄN</t>
        </is>
      </c>
      <c r="E995" t="inlineStr">
        <is>
          <t>RAGUNDA</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20088-2023</t>
        </is>
      </c>
      <c r="B996" s="1" t="n">
        <v>45054</v>
      </c>
      <c r="C996" s="1" t="n">
        <v>45900</v>
      </c>
      <c r="D996" t="inlineStr">
        <is>
          <t>JÄMTLANDS LÄN</t>
        </is>
      </c>
      <c r="E996" t="inlineStr">
        <is>
          <t>RAGUNDA</t>
        </is>
      </c>
      <c r="F996" t="inlineStr">
        <is>
          <t>SCA</t>
        </is>
      </c>
      <c r="G996" t="n">
        <v>23.4</v>
      </c>
      <c r="H996" t="n">
        <v>0</v>
      </c>
      <c r="I996" t="n">
        <v>0</v>
      </c>
      <c r="J996" t="n">
        <v>0</v>
      </c>
      <c r="K996" t="n">
        <v>0</v>
      </c>
      <c r="L996" t="n">
        <v>0</v>
      </c>
      <c r="M996" t="n">
        <v>0</v>
      </c>
      <c r="N996" t="n">
        <v>0</v>
      </c>
      <c r="O996" t="n">
        <v>0</v>
      </c>
      <c r="P996" t="n">
        <v>0</v>
      </c>
      <c r="Q996" t="n">
        <v>0</v>
      </c>
      <c r="R996" s="2" t="inlineStr"/>
    </row>
    <row r="997" ht="15" customHeight="1">
      <c r="A997" t="inlineStr">
        <is>
          <t>A 55669-2023</t>
        </is>
      </c>
      <c r="B997" s="1" t="n">
        <v>45238.96797453704</v>
      </c>
      <c r="C997" s="1" t="n">
        <v>45900</v>
      </c>
      <c r="D997" t="inlineStr">
        <is>
          <t>JÄMTLANDS LÄN</t>
        </is>
      </c>
      <c r="E997" t="inlineStr">
        <is>
          <t>RAGUNDA</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51389-2024</t>
        </is>
      </c>
      <c r="B998" s="1" t="n">
        <v>45604.40540509259</v>
      </c>
      <c r="C998" s="1" t="n">
        <v>45900</v>
      </c>
      <c r="D998" t="inlineStr">
        <is>
          <t>JÄMTLANDS LÄN</t>
        </is>
      </c>
      <c r="E998" t="inlineStr">
        <is>
          <t>RAGUNDA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51393-2024</t>
        </is>
      </c>
      <c r="B999" s="1" t="n">
        <v>45604.41625</v>
      </c>
      <c r="C999" s="1" t="n">
        <v>45900</v>
      </c>
      <c r="D999" t="inlineStr">
        <is>
          <t>JÄMTLANDS LÄN</t>
        </is>
      </c>
      <c r="E999" t="inlineStr">
        <is>
          <t>RAGUNDA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43339-2024</t>
        </is>
      </c>
      <c r="B1000" s="1" t="n">
        <v>45568.51075231482</v>
      </c>
      <c r="C1000" s="1" t="n">
        <v>45900</v>
      </c>
      <c r="D1000" t="inlineStr">
        <is>
          <t>JÄMTLANDS LÄN</t>
        </is>
      </c>
      <c r="E1000" t="inlineStr">
        <is>
          <t>RAGUNDA</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38548-2024</t>
        </is>
      </c>
      <c r="B1001" s="1" t="n">
        <v>45546</v>
      </c>
      <c r="C1001" s="1" t="n">
        <v>45900</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25304-2023</t>
        </is>
      </c>
      <c r="B1002" s="1" t="n">
        <v>45086</v>
      </c>
      <c r="C1002" s="1" t="n">
        <v>45900</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59136-2023</t>
        </is>
      </c>
      <c r="B1003" s="1" t="n">
        <v>45251</v>
      </c>
      <c r="C1003" s="1" t="n">
        <v>45900</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35274-2023</t>
        </is>
      </c>
      <c r="B1004" s="1" t="n">
        <v>45145</v>
      </c>
      <c r="C1004" s="1" t="n">
        <v>45900</v>
      </c>
      <c r="D1004" t="inlineStr">
        <is>
          <t>JÄMTLANDS LÄN</t>
        </is>
      </c>
      <c r="E1004" t="inlineStr">
        <is>
          <t>RAGUNDA</t>
        </is>
      </c>
      <c r="F1004" t="inlineStr">
        <is>
          <t>SCA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26026-2024</t>
        </is>
      </c>
      <c r="B1005" s="1" t="n">
        <v>45467.96207175926</v>
      </c>
      <c r="C1005" s="1" t="n">
        <v>45900</v>
      </c>
      <c r="D1005" t="inlineStr">
        <is>
          <t>JÄMTLANDS LÄN</t>
        </is>
      </c>
      <c r="E1005" t="inlineStr">
        <is>
          <t>RAGUNDA</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5971-2025</t>
        </is>
      </c>
      <c r="B1006" s="1" t="n">
        <v>45695.51070601852</v>
      </c>
      <c r="C1006" s="1" t="n">
        <v>45900</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64264-2023</t>
        </is>
      </c>
      <c r="B1007" s="1" t="n">
        <v>45279.94564814815</v>
      </c>
      <c r="C1007" s="1" t="n">
        <v>45900</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26347-2023</t>
        </is>
      </c>
      <c r="B1008" s="1" t="n">
        <v>45091</v>
      </c>
      <c r="C1008" s="1" t="n">
        <v>45900</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51538-2022</t>
        </is>
      </c>
      <c r="B1009" s="1" t="n">
        <v>44869</v>
      </c>
      <c r="C1009" s="1" t="n">
        <v>45900</v>
      </c>
      <c r="D1009" t="inlineStr">
        <is>
          <t>JÄMTLANDS LÄN</t>
        </is>
      </c>
      <c r="E1009" t="inlineStr">
        <is>
          <t>RAGUNDA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59492-2024</t>
        </is>
      </c>
      <c r="B1010" s="1" t="n">
        <v>45638</v>
      </c>
      <c r="C1010" s="1" t="n">
        <v>45900</v>
      </c>
      <c r="D1010" t="inlineStr">
        <is>
          <t>JÄMTLANDS LÄN</t>
        </is>
      </c>
      <c r="E1010" t="inlineStr">
        <is>
          <t>RAGUNDA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61109-2024</t>
        </is>
      </c>
      <c r="B1011" s="1" t="n">
        <v>45645.55672453704</v>
      </c>
      <c r="C1011" s="1" t="n">
        <v>45900</v>
      </c>
      <c r="D1011" t="inlineStr">
        <is>
          <t>JÄMTLANDS LÄN</t>
        </is>
      </c>
      <c r="E1011" t="inlineStr">
        <is>
          <t>RAGUNDA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51537-2022</t>
        </is>
      </c>
      <c r="B1012" s="1" t="n">
        <v>44869</v>
      </c>
      <c r="C1012" s="1" t="n">
        <v>45900</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27373-2023</t>
        </is>
      </c>
      <c r="B1013" s="1" t="n">
        <v>45096.93866898148</v>
      </c>
      <c r="C1013" s="1" t="n">
        <v>45900</v>
      </c>
      <c r="D1013" t="inlineStr">
        <is>
          <t>JÄMTLANDS LÄN</t>
        </is>
      </c>
      <c r="E1013" t="inlineStr">
        <is>
          <t>RAGUNDA</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65341-2020</t>
        </is>
      </c>
      <c r="B1014" s="1" t="n">
        <v>44173</v>
      </c>
      <c r="C1014" s="1" t="n">
        <v>45900</v>
      </c>
      <c r="D1014" t="inlineStr">
        <is>
          <t>JÄMTLANDS LÄN</t>
        </is>
      </c>
      <c r="E1014" t="inlineStr">
        <is>
          <t>RAGUNDA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16321-2025</t>
        </is>
      </c>
      <c r="B1015" s="1" t="n">
        <v>45751.34873842593</v>
      </c>
      <c r="C1015" s="1" t="n">
        <v>45900</v>
      </c>
      <c r="D1015" t="inlineStr">
        <is>
          <t>JÄMTLANDS LÄN</t>
        </is>
      </c>
      <c r="E1015" t="inlineStr">
        <is>
          <t>RAGUNDA</t>
        </is>
      </c>
      <c r="F1015" t="inlineStr">
        <is>
          <t>SCA</t>
        </is>
      </c>
      <c r="G1015" t="n">
        <v>63.3</v>
      </c>
      <c r="H1015" t="n">
        <v>0</v>
      </c>
      <c r="I1015" t="n">
        <v>0</v>
      </c>
      <c r="J1015" t="n">
        <v>0</v>
      </c>
      <c r="K1015" t="n">
        <v>0</v>
      </c>
      <c r="L1015" t="n">
        <v>0</v>
      </c>
      <c r="M1015" t="n">
        <v>0</v>
      </c>
      <c r="N1015" t="n">
        <v>0</v>
      </c>
      <c r="O1015" t="n">
        <v>0</v>
      </c>
      <c r="P1015" t="n">
        <v>0</v>
      </c>
      <c r="Q1015" t="n">
        <v>0</v>
      </c>
      <c r="R1015" s="2" t="inlineStr"/>
    </row>
    <row r="1016" ht="15" customHeight="1">
      <c r="A1016" t="inlineStr">
        <is>
          <t>A 55904-2022</t>
        </is>
      </c>
      <c r="B1016" s="1" t="n">
        <v>44888</v>
      </c>
      <c r="C1016" s="1" t="n">
        <v>45900</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65898-2020</t>
        </is>
      </c>
      <c r="B1017" s="1" t="n">
        <v>44174</v>
      </c>
      <c r="C1017" s="1" t="n">
        <v>45900</v>
      </c>
      <c r="D1017" t="inlineStr">
        <is>
          <t>JÄMTLANDS LÄN</t>
        </is>
      </c>
      <c r="E1017" t="inlineStr">
        <is>
          <t>RAGUNDA</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19854-2025</t>
        </is>
      </c>
      <c r="B1018" s="1" t="n">
        <v>45771.51074074074</v>
      </c>
      <c r="C1018" s="1" t="n">
        <v>45900</v>
      </c>
      <c r="D1018" t="inlineStr">
        <is>
          <t>JÄMTLANDS LÄN</t>
        </is>
      </c>
      <c r="E1018" t="inlineStr">
        <is>
          <t>RAGUNDA</t>
        </is>
      </c>
      <c r="F1018" t="inlineStr">
        <is>
          <t>SCA</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6688-2024</t>
        </is>
      </c>
      <c r="B1019" s="1" t="n">
        <v>45341</v>
      </c>
      <c r="C1019" s="1" t="n">
        <v>45900</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30642-2024</t>
        </is>
      </c>
      <c r="B1020" s="1" t="n">
        <v>45495.57677083334</v>
      </c>
      <c r="C1020" s="1" t="n">
        <v>45900</v>
      </c>
      <c r="D1020" t="inlineStr">
        <is>
          <t>JÄMTLANDS LÄN</t>
        </is>
      </c>
      <c r="E1020" t="inlineStr">
        <is>
          <t>RAGUNDA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12995-2023</t>
        </is>
      </c>
      <c r="B1021" s="1" t="n">
        <v>45002.0328125</v>
      </c>
      <c r="C1021" s="1" t="n">
        <v>45900</v>
      </c>
      <c r="D1021" t="inlineStr">
        <is>
          <t>JÄMTLANDS LÄN</t>
        </is>
      </c>
      <c r="E1021" t="inlineStr">
        <is>
          <t>RAGUNDA</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8800-2025</t>
        </is>
      </c>
      <c r="B1022" s="1" t="n">
        <v>45712.65671296296</v>
      </c>
      <c r="C1022" s="1" t="n">
        <v>45900</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16635-2025</t>
        </is>
      </c>
      <c r="B1023" s="1" t="n">
        <v>45754</v>
      </c>
      <c r="C1023" s="1" t="n">
        <v>45900</v>
      </c>
      <c r="D1023" t="inlineStr">
        <is>
          <t>JÄMTLANDS LÄN</t>
        </is>
      </c>
      <c r="E1023" t="inlineStr">
        <is>
          <t>RAGUNDA</t>
        </is>
      </c>
      <c r="F1023" t="inlineStr">
        <is>
          <t>SCA</t>
        </is>
      </c>
      <c r="G1023" t="n">
        <v>55.4</v>
      </c>
      <c r="H1023" t="n">
        <v>0</v>
      </c>
      <c r="I1023" t="n">
        <v>0</v>
      </c>
      <c r="J1023" t="n">
        <v>0</v>
      </c>
      <c r="K1023" t="n">
        <v>0</v>
      </c>
      <c r="L1023" t="n">
        <v>0</v>
      </c>
      <c r="M1023" t="n">
        <v>0</v>
      </c>
      <c r="N1023" t="n">
        <v>0</v>
      </c>
      <c r="O1023" t="n">
        <v>0</v>
      </c>
      <c r="P1023" t="n">
        <v>0</v>
      </c>
      <c r="Q1023" t="n">
        <v>0</v>
      </c>
      <c r="R1023" s="2" t="inlineStr"/>
    </row>
    <row r="1024" ht="15" customHeight="1">
      <c r="A1024" t="inlineStr">
        <is>
          <t>A 37479-2023</t>
        </is>
      </c>
      <c r="B1024" s="1" t="n">
        <v>45156</v>
      </c>
      <c r="C1024" s="1" t="n">
        <v>45900</v>
      </c>
      <c r="D1024" t="inlineStr">
        <is>
          <t>JÄMTLANDS LÄN</t>
        </is>
      </c>
      <c r="E1024" t="inlineStr">
        <is>
          <t>RAGUNDA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56284-2023</t>
        </is>
      </c>
      <c r="B1025" s="1" t="n">
        <v>45241.95724537037</v>
      </c>
      <c r="C1025" s="1" t="n">
        <v>45900</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18610-2024</t>
        </is>
      </c>
      <c r="B1026" s="1" t="n">
        <v>45425.96230324074</v>
      </c>
      <c r="C1026" s="1" t="n">
        <v>45900</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41772-2024</t>
        </is>
      </c>
      <c r="B1027" s="1" t="n">
        <v>45561.34663194444</v>
      </c>
      <c r="C1027" s="1" t="n">
        <v>45900</v>
      </c>
      <c r="D1027" t="inlineStr">
        <is>
          <t>JÄMTLANDS LÄN</t>
        </is>
      </c>
      <c r="E1027" t="inlineStr">
        <is>
          <t>RAGUNDA</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30563-2023</t>
        </is>
      </c>
      <c r="B1028" s="1" t="n">
        <v>45111.92793981481</v>
      </c>
      <c r="C1028" s="1" t="n">
        <v>45900</v>
      </c>
      <c r="D1028" t="inlineStr">
        <is>
          <t>JÄMTLANDS LÄN</t>
        </is>
      </c>
      <c r="E1028" t="inlineStr">
        <is>
          <t>RAGUNDA</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8886-2024</t>
        </is>
      </c>
      <c r="B1029" s="1" t="n">
        <v>45357.05300925926</v>
      </c>
      <c r="C1029" s="1" t="n">
        <v>45900</v>
      </c>
      <c r="D1029" t="inlineStr">
        <is>
          <t>JÄMTLANDS LÄN</t>
        </is>
      </c>
      <c r="E1029" t="inlineStr">
        <is>
          <t>RAGUNDA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18615-2024</t>
        </is>
      </c>
      <c r="B1030" s="1" t="n">
        <v>45425.96275462963</v>
      </c>
      <c r="C1030" s="1" t="n">
        <v>45900</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23303-2024</t>
        </is>
      </c>
      <c r="B1031" s="1" t="n">
        <v>45453.4444212963</v>
      </c>
      <c r="C1031" s="1" t="n">
        <v>45900</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465-2023</t>
        </is>
      </c>
      <c r="B1032" s="1" t="n">
        <v>44929</v>
      </c>
      <c r="C1032" s="1" t="n">
        <v>45900</v>
      </c>
      <c r="D1032" t="inlineStr">
        <is>
          <t>JÄMTLANDS LÄN</t>
        </is>
      </c>
      <c r="E1032" t="inlineStr">
        <is>
          <t>RAGUNDA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32832-2021</t>
        </is>
      </c>
      <c r="B1033" s="1" t="n">
        <v>44375</v>
      </c>
      <c r="C1033" s="1" t="n">
        <v>45900</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3938-2024</t>
        </is>
      </c>
      <c r="B1034" s="1" t="n">
        <v>45322</v>
      </c>
      <c r="C1034" s="1" t="n">
        <v>45900</v>
      </c>
      <c r="D1034" t="inlineStr">
        <is>
          <t>JÄMTLANDS LÄN</t>
        </is>
      </c>
      <c r="E1034" t="inlineStr">
        <is>
          <t>RAGUNDA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62081-2022</t>
        </is>
      </c>
      <c r="B1035" s="1" t="n">
        <v>44918</v>
      </c>
      <c r="C1035" s="1" t="n">
        <v>45900</v>
      </c>
      <c r="D1035" t="inlineStr">
        <is>
          <t>JÄMTLANDS LÄN</t>
        </is>
      </c>
      <c r="E1035" t="inlineStr">
        <is>
          <t>RAGUNDA</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55508-2024</t>
        </is>
      </c>
      <c r="B1036" s="1" t="n">
        <v>45622.46200231482</v>
      </c>
      <c r="C1036" s="1" t="n">
        <v>45900</v>
      </c>
      <c r="D1036" t="inlineStr">
        <is>
          <t>JÄMTLANDS LÄN</t>
        </is>
      </c>
      <c r="E1036" t="inlineStr">
        <is>
          <t>RAGUNDA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12521-2023</t>
        </is>
      </c>
      <c r="B1037" s="1" t="n">
        <v>45000</v>
      </c>
      <c r="C1037" s="1" t="n">
        <v>45900</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3720-2025</t>
        </is>
      </c>
      <c r="B1038" s="1" t="n">
        <v>45681.5315625</v>
      </c>
      <c r="C1038" s="1" t="n">
        <v>45900</v>
      </c>
      <c r="D1038" t="inlineStr">
        <is>
          <t>JÄMTLANDS LÄN</t>
        </is>
      </c>
      <c r="E1038" t="inlineStr">
        <is>
          <t>RAGUNDA</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2339-2025</t>
        </is>
      </c>
      <c r="B1039" s="1" t="n">
        <v>45673.66358796296</v>
      </c>
      <c r="C1039" s="1" t="n">
        <v>45900</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17742-2022</t>
        </is>
      </c>
      <c r="B1040" s="1" t="n">
        <v>44680.95246527778</v>
      </c>
      <c r="C1040" s="1" t="n">
        <v>45900</v>
      </c>
      <c r="D1040" t="inlineStr">
        <is>
          <t>JÄMTLANDS LÄN</t>
        </is>
      </c>
      <c r="E1040" t="inlineStr">
        <is>
          <t>RAGUNDA</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50555-2024</t>
        </is>
      </c>
      <c r="B1041" s="1" t="n">
        <v>45601.59518518519</v>
      </c>
      <c r="C1041" s="1" t="n">
        <v>45900</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53676-2022</t>
        </is>
      </c>
      <c r="B1042" s="1" t="n">
        <v>44879</v>
      </c>
      <c r="C1042" s="1" t="n">
        <v>45900</v>
      </c>
      <c r="D1042" t="inlineStr">
        <is>
          <t>JÄMTLANDS LÄN</t>
        </is>
      </c>
      <c r="E1042" t="inlineStr">
        <is>
          <t>RAGUNDA</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45900</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20772-2024</t>
        </is>
      </c>
      <c r="B1044" s="1" t="n">
        <v>45436.94628472222</v>
      </c>
      <c r="C1044" s="1" t="n">
        <v>45900</v>
      </c>
      <c r="D1044" t="inlineStr">
        <is>
          <t>JÄMTLANDS LÄN</t>
        </is>
      </c>
      <c r="E1044" t="inlineStr">
        <is>
          <t>RAGUNDA</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18614-2024</t>
        </is>
      </c>
      <c r="B1045" s="1" t="n">
        <v>45425.96263888889</v>
      </c>
      <c r="C1045" s="1" t="n">
        <v>45900</v>
      </c>
      <c r="D1045" t="inlineStr">
        <is>
          <t>JÄMTLANDS LÄN</t>
        </is>
      </c>
      <c r="E1045" t="inlineStr">
        <is>
          <t>RAGUNDA</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53757-2024</t>
        </is>
      </c>
      <c r="B1046" s="1" t="n">
        <v>45615.50034722222</v>
      </c>
      <c r="C1046" s="1" t="n">
        <v>45900</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45048.94340277778</v>
      </c>
      <c r="C1047" s="1" t="n">
        <v>45900</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464-2023</t>
        </is>
      </c>
      <c r="B1048" s="1" t="n">
        <v>44929.92489583333</v>
      </c>
      <c r="C1048" s="1" t="n">
        <v>45900</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49649-2024</t>
        </is>
      </c>
      <c r="B1049" s="1" t="n">
        <v>45596.61553240741</v>
      </c>
      <c r="C1049" s="1" t="n">
        <v>45900</v>
      </c>
      <c r="D1049" t="inlineStr">
        <is>
          <t>JÄMTLANDS LÄN</t>
        </is>
      </c>
      <c r="E1049" t="inlineStr">
        <is>
          <t>RAGUNDA</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20426-2024</t>
        </is>
      </c>
      <c r="B1050" s="1" t="n">
        <v>45435</v>
      </c>
      <c r="C1050" s="1" t="n">
        <v>45900</v>
      </c>
      <c r="D1050" t="inlineStr">
        <is>
          <t>JÄMTLANDS LÄN</t>
        </is>
      </c>
      <c r="E1050" t="inlineStr">
        <is>
          <t>RAGUNDA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41344-2024</t>
        </is>
      </c>
      <c r="B1051" s="1" t="n">
        <v>45559.67759259259</v>
      </c>
      <c r="C1051" s="1" t="n">
        <v>45900</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58955-2024</t>
        </is>
      </c>
      <c r="B1052" s="1" t="n">
        <v>45636.57329861111</v>
      </c>
      <c r="C1052" s="1" t="n">
        <v>45900</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4878-2022</t>
        </is>
      </c>
      <c r="B1053" s="1" t="n">
        <v>44593</v>
      </c>
      <c r="C1053" s="1" t="n">
        <v>45900</v>
      </c>
      <c r="D1053" t="inlineStr">
        <is>
          <t>JÄMTLANDS LÄN</t>
        </is>
      </c>
      <c r="E1053" t="inlineStr">
        <is>
          <t>RAGUNDA</t>
        </is>
      </c>
      <c r="G1053" t="n">
        <v>21.7</v>
      </c>
      <c r="H1053" t="n">
        <v>0</v>
      </c>
      <c r="I1053" t="n">
        <v>0</v>
      </c>
      <c r="J1053" t="n">
        <v>0</v>
      </c>
      <c r="K1053" t="n">
        <v>0</v>
      </c>
      <c r="L1053" t="n">
        <v>0</v>
      </c>
      <c r="M1053" t="n">
        <v>0</v>
      </c>
      <c r="N1053" t="n">
        <v>0</v>
      </c>
      <c r="O1053" t="n">
        <v>0</v>
      </c>
      <c r="P1053" t="n">
        <v>0</v>
      </c>
      <c r="Q1053" t="n">
        <v>0</v>
      </c>
      <c r="R1053" s="2" t="inlineStr"/>
    </row>
    <row r="1054" ht="15" customHeight="1">
      <c r="A1054" t="inlineStr">
        <is>
          <t>A 39489-2023</t>
        </is>
      </c>
      <c r="B1054" s="1" t="n">
        <v>45166</v>
      </c>
      <c r="C1054" s="1" t="n">
        <v>45900</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11058-2025</t>
        </is>
      </c>
      <c r="B1055" s="1" t="n">
        <v>45723.51079861111</v>
      </c>
      <c r="C1055" s="1" t="n">
        <v>45900</v>
      </c>
      <c r="D1055" t="inlineStr">
        <is>
          <t>JÄMTLANDS LÄN</t>
        </is>
      </c>
      <c r="E1055" t="inlineStr">
        <is>
          <t>RAGUNDA</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15554-2025</t>
        </is>
      </c>
      <c r="B1056" s="1" t="n">
        <v>45747.67739583334</v>
      </c>
      <c r="C1056" s="1" t="n">
        <v>45900</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57170-2024</t>
        </is>
      </c>
      <c r="B1057" s="1" t="n">
        <v>45629.42759259259</v>
      </c>
      <c r="C1057" s="1" t="n">
        <v>45900</v>
      </c>
      <c r="D1057" t="inlineStr">
        <is>
          <t>JÄMTLANDS LÄN</t>
        </is>
      </c>
      <c r="E1057" t="inlineStr">
        <is>
          <t>RAGUNDA</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29940-2023</t>
        </is>
      </c>
      <c r="B1058" s="1" t="n">
        <v>45107</v>
      </c>
      <c r="C1058" s="1" t="n">
        <v>45900</v>
      </c>
      <c r="D1058" t="inlineStr">
        <is>
          <t>JÄMTLANDS LÄN</t>
        </is>
      </c>
      <c r="E1058" t="inlineStr">
        <is>
          <t>RAGUNDA</t>
        </is>
      </c>
      <c r="G1058" t="n">
        <v>13.5</v>
      </c>
      <c r="H1058" t="n">
        <v>0</v>
      </c>
      <c r="I1058" t="n">
        <v>0</v>
      </c>
      <c r="J1058" t="n">
        <v>0</v>
      </c>
      <c r="K1058" t="n">
        <v>0</v>
      </c>
      <c r="L1058" t="n">
        <v>0</v>
      </c>
      <c r="M1058" t="n">
        <v>0</v>
      </c>
      <c r="N1058" t="n">
        <v>0</v>
      </c>
      <c r="O1058" t="n">
        <v>0</v>
      </c>
      <c r="P1058" t="n">
        <v>0</v>
      </c>
      <c r="Q1058" t="n">
        <v>0</v>
      </c>
      <c r="R1058" s="2" t="inlineStr"/>
    </row>
    <row r="1059" ht="15" customHeight="1">
      <c r="A1059" t="inlineStr">
        <is>
          <t>A 66471-2021</t>
        </is>
      </c>
      <c r="B1059" s="1" t="n">
        <v>44518</v>
      </c>
      <c r="C1059" s="1" t="n">
        <v>45900</v>
      </c>
      <c r="D1059" t="inlineStr">
        <is>
          <t>JÄMTLANDS LÄN</t>
        </is>
      </c>
      <c r="E1059" t="inlineStr">
        <is>
          <t>RAGUNDA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22731-2023</t>
        </is>
      </c>
      <c r="B1060" s="1" t="n">
        <v>45071</v>
      </c>
      <c r="C1060" s="1" t="n">
        <v>45900</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33877-2023</t>
        </is>
      </c>
      <c r="B1061" s="1" t="n">
        <v>45133</v>
      </c>
      <c r="C1061" s="1" t="n">
        <v>45900</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8775-2025</t>
        </is>
      </c>
      <c r="B1062" s="1" t="n">
        <v>45712.61502314815</v>
      </c>
      <c r="C1062" s="1" t="n">
        <v>45900</v>
      </c>
      <c r="D1062" t="inlineStr">
        <is>
          <t>JÄMTLANDS LÄN</t>
        </is>
      </c>
      <c r="E1062" t="inlineStr">
        <is>
          <t>RAGUNDA</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8776-2025</t>
        </is>
      </c>
      <c r="B1063" s="1" t="n">
        <v>45712.61510416667</v>
      </c>
      <c r="C1063" s="1" t="n">
        <v>45900</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45900</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5067-2024</t>
        </is>
      </c>
      <c r="B1065" s="1" t="n">
        <v>45329.95806712963</v>
      </c>
      <c r="C1065" s="1" t="n">
        <v>45900</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5429-2024</t>
        </is>
      </c>
      <c r="B1066" s="1" t="n">
        <v>45331.92746527777</v>
      </c>
      <c r="C1066" s="1" t="n">
        <v>45900</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28742-2023</t>
        </is>
      </c>
      <c r="B1067" s="1" t="n">
        <v>45103</v>
      </c>
      <c r="C1067" s="1" t="n">
        <v>45900</v>
      </c>
      <c r="D1067" t="inlineStr">
        <is>
          <t>JÄMTLANDS LÄN</t>
        </is>
      </c>
      <c r="E1067" t="inlineStr">
        <is>
          <t>RAGUNDA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22981-2023</t>
        </is>
      </c>
      <c r="B1068" s="1" t="n">
        <v>45072.92737268518</v>
      </c>
      <c r="C1068" s="1" t="n">
        <v>45900</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45065.42894675926</v>
      </c>
      <c r="C1069" s="1" t="n">
        <v>45900</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55514-2024</t>
        </is>
      </c>
      <c r="B1070" s="1" t="n">
        <v>45622.46910879629</v>
      </c>
      <c r="C1070" s="1" t="n">
        <v>45900</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24441-2024</t>
        </is>
      </c>
      <c r="B1071" s="1" t="n">
        <v>45457.96372685185</v>
      </c>
      <c r="C1071" s="1" t="n">
        <v>45900</v>
      </c>
      <c r="D1071" t="inlineStr">
        <is>
          <t>JÄMTLANDS LÄN</t>
        </is>
      </c>
      <c r="E1071" t="inlineStr">
        <is>
          <t>RAGUNDA</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934-2023</t>
        </is>
      </c>
      <c r="B1072" s="1" t="n">
        <v>44932.93927083333</v>
      </c>
      <c r="C1072" s="1" t="n">
        <v>45900</v>
      </c>
      <c r="D1072" t="inlineStr">
        <is>
          <t>JÄMTLANDS LÄN</t>
        </is>
      </c>
      <c r="E1072" t="inlineStr">
        <is>
          <t>RAGUNDA</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37242-2024</t>
        </is>
      </c>
      <c r="B1073" s="1" t="n">
        <v>45540.34428240741</v>
      </c>
      <c r="C1073" s="1" t="n">
        <v>45900</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9232-2025</t>
        </is>
      </c>
      <c r="B1074" s="1" t="n">
        <v>45714.55064814815</v>
      </c>
      <c r="C1074" s="1" t="n">
        <v>45900</v>
      </c>
      <c r="D1074" t="inlineStr">
        <is>
          <t>JÄMTLANDS LÄN</t>
        </is>
      </c>
      <c r="E1074" t="inlineStr">
        <is>
          <t>RAGUNDA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41656-2023</t>
        </is>
      </c>
      <c r="B1075" s="1" t="n">
        <v>45175</v>
      </c>
      <c r="C1075" s="1" t="n">
        <v>45900</v>
      </c>
      <c r="D1075" t="inlineStr">
        <is>
          <t>JÄMTLANDS LÄN</t>
        </is>
      </c>
      <c r="E1075" t="inlineStr">
        <is>
          <t>RAGUNDA</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36317-2024</t>
        </is>
      </c>
      <c r="B1076" s="1" t="n">
        <v>45534.63537037037</v>
      </c>
      <c r="C1076" s="1" t="n">
        <v>45900</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36226-2023</t>
        </is>
      </c>
      <c r="B1077" s="1" t="n">
        <v>45149.95372685185</v>
      </c>
      <c r="C1077" s="1" t="n">
        <v>45900</v>
      </c>
      <c r="D1077" t="inlineStr">
        <is>
          <t>JÄMTLANDS LÄN</t>
        </is>
      </c>
      <c r="E1077" t="inlineStr">
        <is>
          <t>RAGUNDA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59368-2022</t>
        </is>
      </c>
      <c r="B1078" s="1" t="n">
        <v>44904.94824074074</v>
      </c>
      <c r="C1078" s="1" t="n">
        <v>45900</v>
      </c>
      <c r="D1078" t="inlineStr">
        <is>
          <t>JÄMTLANDS LÄN</t>
        </is>
      </c>
      <c r="E1078" t="inlineStr">
        <is>
          <t>RAGUNDA</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893-2025</t>
        </is>
      </c>
      <c r="B1079" s="1" t="n">
        <v>45665.65684027778</v>
      </c>
      <c r="C1079" s="1" t="n">
        <v>45900</v>
      </c>
      <c r="D1079" t="inlineStr">
        <is>
          <t>JÄMTLANDS LÄN</t>
        </is>
      </c>
      <c r="E1079" t="inlineStr">
        <is>
          <t>RAGUNDA</t>
        </is>
      </c>
      <c r="F1079" t="inlineStr">
        <is>
          <t>SCA</t>
        </is>
      </c>
      <c r="G1079" t="n">
        <v>45.1</v>
      </c>
      <c r="H1079" t="n">
        <v>0</v>
      </c>
      <c r="I1079" t="n">
        <v>0</v>
      </c>
      <c r="J1079" t="n">
        <v>0</v>
      </c>
      <c r="K1079" t="n">
        <v>0</v>
      </c>
      <c r="L1079" t="n">
        <v>0</v>
      </c>
      <c r="M1079" t="n">
        <v>0</v>
      </c>
      <c r="N1079" t="n">
        <v>0</v>
      </c>
      <c r="O1079" t="n">
        <v>0</v>
      </c>
      <c r="P1079" t="n">
        <v>0</v>
      </c>
      <c r="Q1079" t="n">
        <v>0</v>
      </c>
      <c r="R1079" s="2" t="inlineStr"/>
    </row>
    <row r="1080" ht="15" customHeight="1">
      <c r="A1080" t="inlineStr">
        <is>
          <t>A 7520-2023</t>
        </is>
      </c>
      <c r="B1080" s="1" t="n">
        <v>44971</v>
      </c>
      <c r="C1080" s="1" t="n">
        <v>45900</v>
      </c>
      <c r="D1080" t="inlineStr">
        <is>
          <t>JÄMTLANDS LÄN</t>
        </is>
      </c>
      <c r="E1080" t="inlineStr">
        <is>
          <t>RAGUNDA</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53549-2024</t>
        </is>
      </c>
      <c r="B1081" s="1" t="n">
        <v>45614.63869212963</v>
      </c>
      <c r="C1081" s="1" t="n">
        <v>45900</v>
      </c>
      <c r="D1081" t="inlineStr">
        <is>
          <t>JÄMTLANDS LÄN</t>
        </is>
      </c>
      <c r="E1081" t="inlineStr">
        <is>
          <t>RAGUNDA</t>
        </is>
      </c>
      <c r="F1081" t="inlineStr">
        <is>
          <t>Kyrkan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53955-2022</t>
        </is>
      </c>
      <c r="B1082" s="1" t="n">
        <v>44880.95741898148</v>
      </c>
      <c r="C1082" s="1" t="n">
        <v>45900</v>
      </c>
      <c r="D1082" t="inlineStr">
        <is>
          <t>JÄMTLANDS LÄN</t>
        </is>
      </c>
      <c r="E1082" t="inlineStr">
        <is>
          <t>RAGUNDA</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9567-2025</t>
        </is>
      </c>
      <c r="B1083" s="1" t="n">
        <v>45715.61523148148</v>
      </c>
      <c r="C1083" s="1" t="n">
        <v>45900</v>
      </c>
      <c r="D1083" t="inlineStr">
        <is>
          <t>JÄMTLANDS LÄN</t>
        </is>
      </c>
      <c r="E1083" t="inlineStr">
        <is>
          <t>RAGUNDA</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53287-2022</t>
        </is>
      </c>
      <c r="B1084" s="1" t="n">
        <v>44876</v>
      </c>
      <c r="C1084" s="1" t="n">
        <v>45900</v>
      </c>
      <c r="D1084" t="inlineStr">
        <is>
          <t>JÄMTLANDS LÄN</t>
        </is>
      </c>
      <c r="E1084" t="inlineStr">
        <is>
          <t>RAGUNDA</t>
        </is>
      </c>
      <c r="F1084" t="inlineStr">
        <is>
          <t>SCA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51646-2023</t>
        </is>
      </c>
      <c r="B1085" s="1" t="n">
        <v>45215</v>
      </c>
      <c r="C1085" s="1" t="n">
        <v>45900</v>
      </c>
      <c r="D1085" t="inlineStr">
        <is>
          <t>JÄMTLANDS LÄN</t>
        </is>
      </c>
      <c r="E1085" t="inlineStr">
        <is>
          <t>RAGUNDA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29319-2023</t>
        </is>
      </c>
      <c r="B1086" s="1" t="n">
        <v>45105</v>
      </c>
      <c r="C1086" s="1" t="n">
        <v>45900</v>
      </c>
      <c r="D1086" t="inlineStr">
        <is>
          <t>JÄMTLANDS LÄN</t>
        </is>
      </c>
      <c r="E1086" t="inlineStr">
        <is>
          <t>RAGUNDA</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17323-2025</t>
        </is>
      </c>
      <c r="B1087" s="1" t="n">
        <v>45756.63601851852</v>
      </c>
      <c r="C1087" s="1" t="n">
        <v>45900</v>
      </c>
      <c r="D1087" t="inlineStr">
        <is>
          <t>JÄMTLANDS LÄN</t>
        </is>
      </c>
      <c r="E1087" t="inlineStr">
        <is>
          <t>RAGUNDA</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19486-2024</t>
        </is>
      </c>
      <c r="B1088" s="1" t="n">
        <v>45429</v>
      </c>
      <c r="C1088" s="1" t="n">
        <v>45900</v>
      </c>
      <c r="D1088" t="inlineStr">
        <is>
          <t>JÄMTLANDS LÄN</t>
        </is>
      </c>
      <c r="E1088" t="inlineStr">
        <is>
          <t>RAGUNDA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13941-2025</t>
        </is>
      </c>
      <c r="B1089" s="1" t="n">
        <v>45737.69822916666</v>
      </c>
      <c r="C1089" s="1" t="n">
        <v>45900</v>
      </c>
      <c r="D1089" t="inlineStr">
        <is>
          <t>JÄMTLANDS LÄN</t>
        </is>
      </c>
      <c r="E1089" t="inlineStr">
        <is>
          <t>RAGUNDA</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26646-2023</t>
        </is>
      </c>
      <c r="B1090" s="1" t="n">
        <v>45092</v>
      </c>
      <c r="C1090" s="1" t="n">
        <v>45900</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27291-2022</t>
        </is>
      </c>
      <c r="B1091" s="1" t="n">
        <v>44741.94070601852</v>
      </c>
      <c r="C1091" s="1" t="n">
        <v>45900</v>
      </c>
      <c r="D1091" t="inlineStr">
        <is>
          <t>JÄMTLANDS LÄN</t>
        </is>
      </c>
      <c r="E1091" t="inlineStr">
        <is>
          <t>RAGUNDA</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49650-2024</t>
        </is>
      </c>
      <c r="B1092" s="1" t="n">
        <v>45596.61569444444</v>
      </c>
      <c r="C1092" s="1" t="n">
        <v>45900</v>
      </c>
      <c r="D1092" t="inlineStr">
        <is>
          <t>JÄMTLANDS LÄN</t>
        </is>
      </c>
      <c r="E1092" t="inlineStr">
        <is>
          <t>RAGUNDA</t>
        </is>
      </c>
      <c r="F1092" t="inlineStr">
        <is>
          <t>Naturvårdsverket</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49651-2024</t>
        </is>
      </c>
      <c r="B1093" s="1" t="n">
        <v>45596.61582175926</v>
      </c>
      <c r="C1093" s="1" t="n">
        <v>45900</v>
      </c>
      <c r="D1093" t="inlineStr">
        <is>
          <t>JÄMTLANDS LÄN</t>
        </is>
      </c>
      <c r="E1093" t="inlineStr">
        <is>
          <t>RAGUNDA</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6477-2024</t>
        </is>
      </c>
      <c r="B1094" s="1" t="n">
        <v>45338.95405092592</v>
      </c>
      <c r="C1094" s="1" t="n">
        <v>45900</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60443-2023</t>
        </is>
      </c>
      <c r="B1095" s="1" t="n">
        <v>45258</v>
      </c>
      <c r="C1095" s="1" t="n">
        <v>45900</v>
      </c>
      <c r="D1095" t="inlineStr">
        <is>
          <t>JÄMTLANDS LÄN</t>
        </is>
      </c>
      <c r="E1095" t="inlineStr">
        <is>
          <t>RAGUNDA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44759-2024</t>
        </is>
      </c>
      <c r="B1096" s="1" t="n">
        <v>45574.61634259259</v>
      </c>
      <c r="C1096" s="1" t="n">
        <v>45900</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993-2025</t>
        </is>
      </c>
      <c r="B1097" s="1" t="n">
        <v>45666.44943287037</v>
      </c>
      <c r="C1097" s="1" t="n">
        <v>45900</v>
      </c>
      <c r="D1097" t="inlineStr">
        <is>
          <t>JÄMTLANDS LÄN</t>
        </is>
      </c>
      <c r="E1097" t="inlineStr">
        <is>
          <t>RAGUNDA</t>
        </is>
      </c>
      <c r="G1097" t="n">
        <v>11.3</v>
      </c>
      <c r="H1097" t="n">
        <v>0</v>
      </c>
      <c r="I1097" t="n">
        <v>0</v>
      </c>
      <c r="J1097" t="n">
        <v>0</v>
      </c>
      <c r="K1097" t="n">
        <v>0</v>
      </c>
      <c r="L1097" t="n">
        <v>0</v>
      </c>
      <c r="M1097" t="n">
        <v>0</v>
      </c>
      <c r="N1097" t="n">
        <v>0</v>
      </c>
      <c r="O1097" t="n">
        <v>0</v>
      </c>
      <c r="P1097" t="n">
        <v>0</v>
      </c>
      <c r="Q1097" t="n">
        <v>0</v>
      </c>
      <c r="R1097" s="2" t="inlineStr"/>
    </row>
    <row r="1098">
      <c r="A1098" t="inlineStr">
        <is>
          <t>A 57064-2024</t>
        </is>
      </c>
      <c r="B1098" s="1" t="n">
        <v>45629.35326388889</v>
      </c>
      <c r="C1098" s="1" t="n">
        <v>45900</v>
      </c>
      <c r="D1098" t="inlineStr">
        <is>
          <t>JÄMTLANDS LÄN</t>
        </is>
      </c>
      <c r="E1098" t="inlineStr">
        <is>
          <t>RAGUNDA</t>
        </is>
      </c>
      <c r="F1098" t="inlineStr">
        <is>
          <t>Naturvårdsverket</t>
        </is>
      </c>
      <c r="G1098" t="n">
        <v>0.5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2025-08-31T08:32:58Z</dcterms:created>
  <dcterms:modified xmlns:dcterms="http://purl.org/dc/terms/" xmlns:xsi="http://www.w3.org/2001/XMLSchema-instance" xsi:type="dcterms:W3CDTF">2025-08-31T08:32:58Z</dcterms:modified>
</cp:coreProperties>
</file>