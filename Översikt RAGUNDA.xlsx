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45994</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45994</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45994</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45994</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45994</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45994</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45994</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45994</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45994</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45994</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45994</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45994</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45994</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45994</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45994</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45994</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45994</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9347-2024</t>
        </is>
      </c>
      <c r="B26" s="1" t="n">
        <v>45358.99375</v>
      </c>
      <c r="C26" s="1" t="n">
        <v>45994</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45994</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25632-2025</t>
        </is>
      </c>
      <c r="B28" s="1" t="n">
        <v>45803.59474537037</v>
      </c>
      <c r="C28" s="1" t="n">
        <v>45994</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32741-2025</t>
        </is>
      </c>
      <c r="B29" s="1" t="n">
        <v>45839.42482638889</v>
      </c>
      <c r="C29" s="1" t="n">
        <v>45994</v>
      </c>
      <c r="D29" t="inlineStr">
        <is>
          <t>JÄMTLANDS LÄN</t>
        </is>
      </c>
      <c r="E29" t="inlineStr">
        <is>
          <t>RAGUNDA</t>
        </is>
      </c>
      <c r="G29" t="n">
        <v>4.2</v>
      </c>
      <c r="H29" t="n">
        <v>4</v>
      </c>
      <c r="I29" t="n">
        <v>2</v>
      </c>
      <c r="J29" t="n">
        <v>8</v>
      </c>
      <c r="K29" t="n">
        <v>1</v>
      </c>
      <c r="L29" t="n">
        <v>0</v>
      </c>
      <c r="M29" t="n">
        <v>0</v>
      </c>
      <c r="N29" t="n">
        <v>0</v>
      </c>
      <c r="O29" t="n">
        <v>9</v>
      </c>
      <c r="P29" t="n">
        <v>1</v>
      </c>
      <c r="Q29" t="n">
        <v>11</v>
      </c>
      <c r="R29" s="2" t="inlineStr">
        <is>
          <t>Knärot
Garnlav
Kolflarnlav
Lunglav
Talltita
Tretåig hackspett
Ullticka
Vedtrappmossa
Vitgrynig nållav
Spindelblomster
Stuplav</t>
        </is>
      </c>
      <c r="S29">
        <f>HYPERLINK("https://klasma.github.io/Logging_2303/artfynd/A 32741-2025 artfynd.xlsx", "A 32741-2025")</f>
        <v/>
      </c>
      <c r="T29">
        <f>HYPERLINK("https://klasma.github.io/Logging_2303/kartor/A 32741-2025 karta.png", "A 32741-2025")</f>
        <v/>
      </c>
      <c r="U29">
        <f>HYPERLINK("https://klasma.github.io/Logging_2303/knärot/A 32741-2025 karta knärot.png", "A 32741-2025")</f>
        <v/>
      </c>
      <c r="V29">
        <f>HYPERLINK("https://klasma.github.io/Logging_2303/klagomål/A 32741-2025 FSC-klagomål.docx", "A 32741-2025")</f>
        <v/>
      </c>
      <c r="W29">
        <f>HYPERLINK("https://klasma.github.io/Logging_2303/klagomålsmail/A 32741-2025 FSC-klagomål mail.docx", "A 32741-2025")</f>
        <v/>
      </c>
      <c r="X29">
        <f>HYPERLINK("https://klasma.github.io/Logging_2303/tillsyn/A 32741-2025 tillsynsbegäran.docx", "A 32741-2025")</f>
        <v/>
      </c>
      <c r="Y29">
        <f>HYPERLINK("https://klasma.github.io/Logging_2303/tillsynsmail/A 32741-2025 tillsynsbegäran mail.docx", "A 32741-2025")</f>
        <v/>
      </c>
      <c r="Z29">
        <f>HYPERLINK("https://klasma.github.io/Logging_2303/fåglar/A 32741-2025 prioriterade fågelarter.docx", "A 32741-2025")</f>
        <v/>
      </c>
    </row>
    <row r="30" ht="15" customHeight="1">
      <c r="A30" t="inlineStr">
        <is>
          <t>A 36943-2022</t>
        </is>
      </c>
      <c r="B30" s="1" t="n">
        <v>44805</v>
      </c>
      <c r="C30" s="1" t="n">
        <v>45994</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45994</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13483-2022</t>
        </is>
      </c>
      <c r="B32" s="1" t="n">
        <v>44645.99859953704</v>
      </c>
      <c r="C32" s="1" t="n">
        <v>45994</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10982-2025</t>
        </is>
      </c>
      <c r="B33" s="1" t="n">
        <v>45723.40688657408</v>
      </c>
      <c r="C33" s="1" t="n">
        <v>45994</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41412-2024</t>
        </is>
      </c>
      <c r="B34" s="1" t="n">
        <v>45560.34484953704</v>
      </c>
      <c r="C34" s="1" t="n">
        <v>45994</v>
      </c>
      <c r="D34" t="inlineStr">
        <is>
          <t>JÄMTLANDS LÄN</t>
        </is>
      </c>
      <c r="E34" t="inlineStr">
        <is>
          <t>RAGUNDA</t>
        </is>
      </c>
      <c r="F34" t="inlineStr">
        <is>
          <t>SCA</t>
        </is>
      </c>
      <c r="G34" t="n">
        <v>1.8</v>
      </c>
      <c r="H34" t="n">
        <v>1</v>
      </c>
      <c r="I34" t="n">
        <v>5</v>
      </c>
      <c r="J34" t="n">
        <v>4</v>
      </c>
      <c r="K34" t="n">
        <v>1</v>
      </c>
      <c r="L34" t="n">
        <v>0</v>
      </c>
      <c r="M34" t="n">
        <v>0</v>
      </c>
      <c r="N34" t="n">
        <v>0</v>
      </c>
      <c r="O34" t="n">
        <v>5</v>
      </c>
      <c r="P34" t="n">
        <v>1</v>
      </c>
      <c r="Q34" t="n">
        <v>10</v>
      </c>
      <c r="R34" s="2" t="inlineStr">
        <is>
          <t>Knärot
Garnlav
Lunglav
Rosenticka
Ullticka
Bårdlav
Korallblylav
Luddlav
Stuplav
Vedticka</t>
        </is>
      </c>
      <c r="S34">
        <f>HYPERLINK("https://klasma.github.io/Logging_2303/artfynd/A 41412-2024 artfynd.xlsx", "A 41412-2024")</f>
        <v/>
      </c>
      <c r="T34">
        <f>HYPERLINK("https://klasma.github.io/Logging_2303/kartor/A 41412-2024 karta.png", "A 41412-2024")</f>
        <v/>
      </c>
      <c r="U34">
        <f>HYPERLINK("https://klasma.github.io/Logging_2303/knärot/A 41412-2024 karta knärot.png", "A 41412-2024")</f>
        <v/>
      </c>
      <c r="V34">
        <f>HYPERLINK("https://klasma.github.io/Logging_2303/klagomål/A 41412-2024 FSC-klagomål.docx", "A 41412-2024")</f>
        <v/>
      </c>
      <c r="W34">
        <f>HYPERLINK("https://klasma.github.io/Logging_2303/klagomålsmail/A 41412-2024 FSC-klagomål mail.docx", "A 41412-2024")</f>
        <v/>
      </c>
      <c r="X34">
        <f>HYPERLINK("https://klasma.github.io/Logging_2303/tillsyn/A 41412-2024 tillsynsbegäran.docx", "A 41412-2024")</f>
        <v/>
      </c>
      <c r="Y34">
        <f>HYPERLINK("https://klasma.github.io/Logging_2303/tillsynsmail/A 41412-2024 tillsynsbegäran mail.docx", "A 41412-2024")</f>
        <v/>
      </c>
    </row>
    <row r="35" ht="15" customHeight="1">
      <c r="A35" t="inlineStr">
        <is>
          <t>A 4591-2024</t>
        </is>
      </c>
      <c r="B35" s="1" t="n">
        <v>45327</v>
      </c>
      <c r="C35" s="1" t="n">
        <v>45994</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33822-2023</t>
        </is>
      </c>
      <c r="B36" s="1" t="n">
        <v>45121</v>
      </c>
      <c r="C36" s="1" t="n">
        <v>45994</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45008-2023</t>
        </is>
      </c>
      <c r="B37" s="1" t="n">
        <v>45190.96092592592</v>
      </c>
      <c r="C37" s="1" t="n">
        <v>45994</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62948-2021</t>
        </is>
      </c>
      <c r="B38" s="1" t="n">
        <v>44504</v>
      </c>
      <c r="C38" s="1" t="n">
        <v>45994</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4146-2025</t>
        </is>
      </c>
      <c r="B39" s="1" t="n">
        <v>45685.36501157407</v>
      </c>
      <c r="C39" s="1" t="n">
        <v>45994</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32068-2024</t>
        </is>
      </c>
      <c r="B40" s="1" t="n">
        <v>45510</v>
      </c>
      <c r="C40" s="1" t="n">
        <v>45994</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45994</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12372-2024</t>
        </is>
      </c>
      <c r="B42" s="1" t="n">
        <v>45378</v>
      </c>
      <c r="C42" s="1" t="n">
        <v>45994</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25016-2025</t>
        </is>
      </c>
      <c r="B43" s="1" t="n">
        <v>45799.63574074074</v>
      </c>
      <c r="C43" s="1" t="n">
        <v>45994</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45994</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30876-2025</t>
        </is>
      </c>
      <c r="B45" s="1" t="n">
        <v>45832.34461805555</v>
      </c>
      <c r="C45" s="1" t="n">
        <v>45994</v>
      </c>
      <c r="D45" t="inlineStr">
        <is>
          <t>JÄMTLANDS LÄN</t>
        </is>
      </c>
      <c r="E45" t="inlineStr">
        <is>
          <t>RAGUNDA</t>
        </is>
      </c>
      <c r="F45" t="inlineStr">
        <is>
          <t>SCA</t>
        </is>
      </c>
      <c r="G45" t="n">
        <v>5.5</v>
      </c>
      <c r="H45" t="n">
        <v>6</v>
      </c>
      <c r="I45" t="n">
        <v>1</v>
      </c>
      <c r="J45" t="n">
        <v>5</v>
      </c>
      <c r="K45" t="n">
        <v>1</v>
      </c>
      <c r="L45" t="n">
        <v>0</v>
      </c>
      <c r="M45" t="n">
        <v>0</v>
      </c>
      <c r="N45" t="n">
        <v>0</v>
      </c>
      <c r="O45" t="n">
        <v>6</v>
      </c>
      <c r="P45" t="n">
        <v>1</v>
      </c>
      <c r="Q45" t="n">
        <v>9</v>
      </c>
      <c r="R45" s="2" t="inlineStr">
        <is>
          <t>Knärot
Järpe
Lunglav
Spillkråka
Tallticka
Tretåig hackspett
Kamjordstjärna
Tjäder
Nattviol</t>
        </is>
      </c>
      <c r="S45">
        <f>HYPERLINK("https://klasma.github.io/Logging_2303/artfynd/A 30876-2025 artfynd.xlsx", "A 30876-2025")</f>
        <v/>
      </c>
      <c r="T45">
        <f>HYPERLINK("https://klasma.github.io/Logging_2303/kartor/A 30876-2025 karta.png", "A 30876-2025")</f>
        <v/>
      </c>
      <c r="U45">
        <f>HYPERLINK("https://klasma.github.io/Logging_2303/knärot/A 30876-2025 karta knärot.png", "A 30876-2025")</f>
        <v/>
      </c>
      <c r="V45">
        <f>HYPERLINK("https://klasma.github.io/Logging_2303/klagomål/A 30876-2025 FSC-klagomål.docx", "A 30876-2025")</f>
        <v/>
      </c>
      <c r="W45">
        <f>HYPERLINK("https://klasma.github.io/Logging_2303/klagomålsmail/A 30876-2025 FSC-klagomål mail.docx", "A 30876-2025")</f>
        <v/>
      </c>
      <c r="X45">
        <f>HYPERLINK("https://klasma.github.io/Logging_2303/tillsyn/A 30876-2025 tillsynsbegäran.docx", "A 30876-2025")</f>
        <v/>
      </c>
      <c r="Y45">
        <f>HYPERLINK("https://klasma.github.io/Logging_2303/tillsynsmail/A 30876-2025 tillsynsbegäran mail.docx", "A 30876-2025")</f>
        <v/>
      </c>
      <c r="Z45">
        <f>HYPERLINK("https://klasma.github.io/Logging_2303/fåglar/A 30876-2025 prioriterade fågelarter.docx", "A 30876-2025")</f>
        <v/>
      </c>
    </row>
    <row r="46" ht="15" customHeight="1">
      <c r="A46" t="inlineStr">
        <is>
          <t>A 42393-2025</t>
        </is>
      </c>
      <c r="B46" s="1" t="n">
        <v>45905</v>
      </c>
      <c r="C46" s="1" t="n">
        <v>45994</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58876-2025</t>
        </is>
      </c>
      <c r="B47" s="1" t="n">
        <v>45987.46929398148</v>
      </c>
      <c r="C47" s="1" t="n">
        <v>45994</v>
      </c>
      <c r="D47" t="inlineStr">
        <is>
          <t>JÄMTLANDS LÄN</t>
        </is>
      </c>
      <c r="E47" t="inlineStr">
        <is>
          <t>RAGUNDA</t>
        </is>
      </c>
      <c r="F47" t="inlineStr">
        <is>
          <t>SCA</t>
        </is>
      </c>
      <c r="G47" t="n">
        <v>6.3</v>
      </c>
      <c r="H47" t="n">
        <v>2</v>
      </c>
      <c r="I47" t="n">
        <v>0</v>
      </c>
      <c r="J47" t="n">
        <v>7</v>
      </c>
      <c r="K47" t="n">
        <v>1</v>
      </c>
      <c r="L47" t="n">
        <v>0</v>
      </c>
      <c r="M47" t="n">
        <v>0</v>
      </c>
      <c r="N47" t="n">
        <v>0</v>
      </c>
      <c r="O47" t="n">
        <v>8</v>
      </c>
      <c r="P47" t="n">
        <v>1</v>
      </c>
      <c r="Q47" t="n">
        <v>9</v>
      </c>
      <c r="R47" s="2" t="inlineStr">
        <is>
          <t>Knärot
Gammelgransskål
Garnlav
Granticka
Lunglav
Rosenticka
Ullticka
Vitgrynig nållav
Fläcknycklar</t>
        </is>
      </c>
      <c r="S47">
        <f>HYPERLINK("https://klasma.github.io/Logging_2303/artfynd/A 58876-2025 artfynd.xlsx", "A 58876-2025")</f>
        <v/>
      </c>
      <c r="T47">
        <f>HYPERLINK("https://klasma.github.io/Logging_2303/kartor/A 58876-2025 karta.png", "A 58876-2025")</f>
        <v/>
      </c>
      <c r="U47">
        <f>HYPERLINK("https://klasma.github.io/Logging_2303/knärot/A 58876-2025 karta knärot.png", "A 58876-2025")</f>
        <v/>
      </c>
      <c r="V47">
        <f>HYPERLINK("https://klasma.github.io/Logging_2303/klagomål/A 58876-2025 FSC-klagomål.docx", "A 58876-2025")</f>
        <v/>
      </c>
      <c r="W47">
        <f>HYPERLINK("https://klasma.github.io/Logging_2303/klagomålsmail/A 58876-2025 FSC-klagomål mail.docx", "A 58876-2025")</f>
        <v/>
      </c>
      <c r="X47">
        <f>HYPERLINK("https://klasma.github.io/Logging_2303/tillsyn/A 58876-2025 tillsynsbegäran.docx", "A 58876-2025")</f>
        <v/>
      </c>
      <c r="Y47">
        <f>HYPERLINK("https://klasma.github.io/Logging_2303/tillsynsmail/A 58876-2025 tillsynsbegäran mail.docx", "A 58876-2025")</f>
        <v/>
      </c>
    </row>
    <row r="48" ht="15" customHeight="1">
      <c r="A48" t="inlineStr">
        <is>
          <t>A 3634-2024</t>
        </is>
      </c>
      <c r="B48" s="1" t="n">
        <v>45320</v>
      </c>
      <c r="C48" s="1" t="n">
        <v>45994</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45994</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45994</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45994</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51037-2025</t>
        </is>
      </c>
      <c r="B52" s="1" t="n">
        <v>45947.40729166667</v>
      </c>
      <c r="C52" s="1" t="n">
        <v>45994</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15665-2022</t>
        </is>
      </c>
      <c r="B53" s="1" t="n">
        <v>44662</v>
      </c>
      <c r="C53" s="1" t="n">
        <v>45994</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45994</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20397-2024</t>
        </is>
      </c>
      <c r="B55" s="1" t="n">
        <v>45435.54734953704</v>
      </c>
      <c r="C55" s="1" t="n">
        <v>45994</v>
      </c>
      <c r="D55" t="inlineStr">
        <is>
          <t>JÄMTLANDS LÄN</t>
        </is>
      </c>
      <c r="E55" t="inlineStr">
        <is>
          <t>RAGUNDA</t>
        </is>
      </c>
      <c r="G55" t="n">
        <v>18.5</v>
      </c>
      <c r="H55" t="n">
        <v>1</v>
      </c>
      <c r="I55" t="n">
        <v>4</v>
      </c>
      <c r="J55" t="n">
        <v>2</v>
      </c>
      <c r="K55" t="n">
        <v>1</v>
      </c>
      <c r="L55" t="n">
        <v>0</v>
      </c>
      <c r="M55" t="n">
        <v>0</v>
      </c>
      <c r="N55" t="n">
        <v>0</v>
      </c>
      <c r="O55" t="n">
        <v>3</v>
      </c>
      <c r="P55" t="n">
        <v>1</v>
      </c>
      <c r="Q55" t="n">
        <v>7</v>
      </c>
      <c r="R55" s="2" t="inlineStr">
        <is>
          <t>Lateritticka
Lunglav
Tallticka
Dropptaggsvamp
Finbräken
Guckusko
Svart trolldruva</t>
        </is>
      </c>
      <c r="S55">
        <f>HYPERLINK("https://klasma.github.io/Logging_2303/artfynd/A 20397-2024 artfynd.xlsx", "A 20397-2024")</f>
        <v/>
      </c>
      <c r="T55">
        <f>HYPERLINK("https://klasma.github.io/Logging_2303/kartor/A 20397-2024 karta.png", "A 20397-2024")</f>
        <v/>
      </c>
      <c r="V55">
        <f>HYPERLINK("https://klasma.github.io/Logging_2303/klagomål/A 20397-2024 FSC-klagomål.docx", "A 20397-2024")</f>
        <v/>
      </c>
      <c r="W55">
        <f>HYPERLINK("https://klasma.github.io/Logging_2303/klagomålsmail/A 20397-2024 FSC-klagomål mail.docx", "A 20397-2024")</f>
        <v/>
      </c>
      <c r="X55">
        <f>HYPERLINK("https://klasma.github.io/Logging_2303/tillsyn/A 20397-2024 tillsynsbegäran.docx", "A 20397-2024")</f>
        <v/>
      </c>
      <c r="Y55">
        <f>HYPERLINK("https://klasma.github.io/Logging_2303/tillsynsmail/A 20397-2024 tillsynsbegäran mail.docx", "A 20397-2024")</f>
        <v/>
      </c>
    </row>
    <row r="56" ht="15" customHeight="1">
      <c r="A56" t="inlineStr">
        <is>
          <t>A 24169-2021</t>
        </is>
      </c>
      <c r="B56" s="1" t="n">
        <v>44336</v>
      </c>
      <c r="C56" s="1" t="n">
        <v>45994</v>
      </c>
      <c r="D56" t="inlineStr">
        <is>
          <t>JÄMTLANDS LÄN</t>
        </is>
      </c>
      <c r="E56" t="inlineStr">
        <is>
          <t>RAGUNDA</t>
        </is>
      </c>
      <c r="G56" t="n">
        <v>9.199999999999999</v>
      </c>
      <c r="H56" t="n">
        <v>3</v>
      </c>
      <c r="I56" t="n">
        <v>5</v>
      </c>
      <c r="J56" t="n">
        <v>2</v>
      </c>
      <c r="K56" t="n">
        <v>0</v>
      </c>
      <c r="L56" t="n">
        <v>0</v>
      </c>
      <c r="M56" t="n">
        <v>0</v>
      </c>
      <c r="N56" t="n">
        <v>0</v>
      </c>
      <c r="O56" t="n">
        <v>2</v>
      </c>
      <c r="P56" t="n">
        <v>0</v>
      </c>
      <c r="Q56" t="n">
        <v>7</v>
      </c>
      <c r="R56" s="2" t="inlineStr">
        <is>
          <t>Lunglav
Tretåig hackspett
Grönkulla
Guckusko
Luddlav
Stuplav
Ögonpyrola</t>
        </is>
      </c>
      <c r="S56">
        <f>HYPERLINK("https://klasma.github.io/Logging_2303/artfynd/A 24169-2021 artfynd.xlsx", "A 24169-2021")</f>
        <v/>
      </c>
      <c r="T56">
        <f>HYPERLINK("https://klasma.github.io/Logging_2303/kartor/A 24169-2021 karta.png", "A 24169-2021")</f>
        <v/>
      </c>
      <c r="V56">
        <f>HYPERLINK("https://klasma.github.io/Logging_2303/klagomål/A 24169-2021 FSC-klagomål.docx", "A 24169-2021")</f>
        <v/>
      </c>
      <c r="W56">
        <f>HYPERLINK("https://klasma.github.io/Logging_2303/klagomålsmail/A 24169-2021 FSC-klagomål mail.docx", "A 24169-2021")</f>
        <v/>
      </c>
      <c r="X56">
        <f>HYPERLINK("https://klasma.github.io/Logging_2303/tillsyn/A 24169-2021 tillsynsbegäran.docx", "A 24169-2021")</f>
        <v/>
      </c>
      <c r="Y56">
        <f>HYPERLINK("https://klasma.github.io/Logging_2303/tillsynsmail/A 24169-2021 tillsynsbegäran mail.docx", "A 24169-2021")</f>
        <v/>
      </c>
      <c r="Z56">
        <f>HYPERLINK("https://klasma.github.io/Logging_2303/fåglar/A 24169-2021 prioriterade fågelarter.docx", "A 24169-2021")</f>
        <v/>
      </c>
    </row>
    <row r="57" ht="15" customHeight="1">
      <c r="A57" t="inlineStr">
        <is>
          <t>A 27913-2024</t>
        </is>
      </c>
      <c r="B57" s="1" t="n">
        <v>45475.94796296296</v>
      </c>
      <c r="C57" s="1" t="n">
        <v>45994</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11829-2023</t>
        </is>
      </c>
      <c r="B58" s="1" t="n">
        <v>44994</v>
      </c>
      <c r="C58" s="1" t="n">
        <v>45994</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33806-2023</t>
        </is>
      </c>
      <c r="B59" s="1" t="n">
        <v>45121</v>
      </c>
      <c r="C59" s="1" t="n">
        <v>45994</v>
      </c>
      <c r="D59" t="inlineStr">
        <is>
          <t>JÄMTLANDS LÄN</t>
        </is>
      </c>
      <c r="E59" t="inlineStr">
        <is>
          <t>RAGUNDA</t>
        </is>
      </c>
      <c r="G59" t="n">
        <v>12</v>
      </c>
      <c r="H59" t="n">
        <v>2</v>
      </c>
      <c r="I59" t="n">
        <v>0</v>
      </c>
      <c r="J59" t="n">
        <v>5</v>
      </c>
      <c r="K59" t="n">
        <v>1</v>
      </c>
      <c r="L59" t="n">
        <v>0</v>
      </c>
      <c r="M59" t="n">
        <v>0</v>
      </c>
      <c r="N59" t="n">
        <v>0</v>
      </c>
      <c r="O59" t="n">
        <v>6</v>
      </c>
      <c r="P59" t="n">
        <v>1</v>
      </c>
      <c r="Q59" t="n">
        <v>7</v>
      </c>
      <c r="R59" s="2" t="inlineStr">
        <is>
          <t>Knärot
Granticka
Koralltaggsvamp
Lunglav
Persiljespindling
Äggvaxskivling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61386-2022</t>
        </is>
      </c>
      <c r="B60" s="1" t="n">
        <v>44915</v>
      </c>
      <c r="C60" s="1" t="n">
        <v>45994</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15977-2024</t>
        </is>
      </c>
      <c r="B61" s="1" t="n">
        <v>45405.57392361111</v>
      </c>
      <c r="C61" s="1" t="n">
        <v>45994</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26750-2025</t>
        </is>
      </c>
      <c r="B62" s="1" t="n">
        <v>45810.55061342593</v>
      </c>
      <c r="C62" s="1" t="n">
        <v>45994</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45994</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41929-2023</t>
        </is>
      </c>
      <c r="B64" s="1" t="n">
        <v>45176</v>
      </c>
      <c r="C64" s="1" t="n">
        <v>45994</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37237-2023</t>
        </is>
      </c>
      <c r="B65" s="1" t="n">
        <v>45155</v>
      </c>
      <c r="C65" s="1" t="n">
        <v>45994</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1762-2021</t>
        </is>
      </c>
      <c r="B66" s="1" t="n">
        <v>44209</v>
      </c>
      <c r="C66" s="1" t="n">
        <v>45994</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53021-2022</t>
        </is>
      </c>
      <c r="B67" s="1" t="n">
        <v>44875</v>
      </c>
      <c r="C67" s="1" t="n">
        <v>45994</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933-2023</t>
        </is>
      </c>
      <c r="B68" s="1" t="n">
        <v>44932</v>
      </c>
      <c r="C68" s="1" t="n">
        <v>45994</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55646-2023</t>
        </is>
      </c>
      <c r="B69" s="1" t="n">
        <v>45238</v>
      </c>
      <c r="C69" s="1" t="n">
        <v>45994</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26326-2024</t>
        </is>
      </c>
      <c r="B70" s="1" t="n">
        <v>45468.97528935185</v>
      </c>
      <c r="C70" s="1" t="n">
        <v>45994</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27322-2024</t>
        </is>
      </c>
      <c r="B71" s="1" t="n">
        <v>45471.94783564815</v>
      </c>
      <c r="C71" s="1" t="n">
        <v>45994</v>
      </c>
      <c r="D71" t="inlineStr">
        <is>
          <t>JÄMTLANDS LÄN</t>
        </is>
      </c>
      <c r="E71" t="inlineStr">
        <is>
          <t>RAGUNDA</t>
        </is>
      </c>
      <c r="G71" t="n">
        <v>2.3</v>
      </c>
      <c r="H71" t="n">
        <v>1</v>
      </c>
      <c r="I71" t="n">
        <v>0</v>
      </c>
      <c r="J71" t="n">
        <v>5</v>
      </c>
      <c r="K71" t="n">
        <v>1</v>
      </c>
      <c r="L71" t="n">
        <v>0</v>
      </c>
      <c r="M71" t="n">
        <v>0</v>
      </c>
      <c r="N71" t="n">
        <v>0</v>
      </c>
      <c r="O71" t="n">
        <v>6</v>
      </c>
      <c r="P71" t="n">
        <v>1</v>
      </c>
      <c r="Q71" t="n">
        <v>6</v>
      </c>
      <c r="R71" s="2" t="inlineStr">
        <is>
          <t>Knärot
Gammelgransskål
Garnlav
Lunglav
Skrovellav
Vedtrappmossa</t>
        </is>
      </c>
      <c r="S71">
        <f>HYPERLINK("https://klasma.github.io/Logging_2303/artfynd/A 27322-2024 artfynd.xlsx", "A 27322-2024")</f>
        <v/>
      </c>
      <c r="T71">
        <f>HYPERLINK("https://klasma.github.io/Logging_2303/kartor/A 27322-2024 karta.png", "A 27322-2024")</f>
        <v/>
      </c>
      <c r="U71">
        <f>HYPERLINK("https://klasma.github.io/Logging_2303/knärot/A 27322-2024 karta knärot.png", "A 27322-2024")</f>
        <v/>
      </c>
      <c r="V71">
        <f>HYPERLINK("https://klasma.github.io/Logging_2303/klagomål/A 27322-2024 FSC-klagomål.docx", "A 27322-2024")</f>
        <v/>
      </c>
      <c r="W71">
        <f>HYPERLINK("https://klasma.github.io/Logging_2303/klagomålsmail/A 27322-2024 FSC-klagomål mail.docx", "A 27322-2024")</f>
        <v/>
      </c>
      <c r="X71">
        <f>HYPERLINK("https://klasma.github.io/Logging_2303/tillsyn/A 27322-2024 tillsynsbegäran.docx", "A 27322-2024")</f>
        <v/>
      </c>
      <c r="Y71">
        <f>HYPERLINK("https://klasma.github.io/Logging_2303/tillsynsmail/A 27322-2024 tillsynsbegäran mail.docx", "A 27322-2024")</f>
        <v/>
      </c>
    </row>
    <row r="72" ht="15" customHeight="1">
      <c r="A72" t="inlineStr">
        <is>
          <t>A 11828-2023</t>
        </is>
      </c>
      <c r="B72" s="1" t="n">
        <v>44994</v>
      </c>
      <c r="C72" s="1" t="n">
        <v>45994</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39973-2025</t>
        </is>
      </c>
      <c r="B73" s="1" t="n">
        <v>45893.38584490741</v>
      </c>
      <c r="C73" s="1" t="n">
        <v>45994</v>
      </c>
      <c r="D73" t="inlineStr">
        <is>
          <t>JÄMTLANDS LÄN</t>
        </is>
      </c>
      <c r="E73" t="inlineStr">
        <is>
          <t>RAGUNDA</t>
        </is>
      </c>
      <c r="F73" t="inlineStr">
        <is>
          <t>Naturvårdsverket</t>
        </is>
      </c>
      <c r="G73" t="n">
        <v>8</v>
      </c>
      <c r="H73" t="n">
        <v>0</v>
      </c>
      <c r="I73" t="n">
        <v>1</v>
      </c>
      <c r="J73" t="n">
        <v>5</v>
      </c>
      <c r="K73" t="n">
        <v>0</v>
      </c>
      <c r="L73" t="n">
        <v>0</v>
      </c>
      <c r="M73" t="n">
        <v>0</v>
      </c>
      <c r="N73" t="n">
        <v>0</v>
      </c>
      <c r="O73" t="n">
        <v>5</v>
      </c>
      <c r="P73" t="n">
        <v>0</v>
      </c>
      <c r="Q73" t="n">
        <v>6</v>
      </c>
      <c r="R73" s="2" t="inlineStr">
        <is>
          <t>Granticka
Lunglav
Mörk kolflarnlav
Tallticka
Vedskivlav
Skinnlav</t>
        </is>
      </c>
      <c r="S73">
        <f>HYPERLINK("https://klasma.github.io/Logging_2303/artfynd/A 39973-2025 artfynd.xlsx", "A 39973-2025")</f>
        <v/>
      </c>
      <c r="T73">
        <f>HYPERLINK("https://klasma.github.io/Logging_2303/kartor/A 39973-2025 karta.png", "A 39973-2025")</f>
        <v/>
      </c>
      <c r="V73">
        <f>HYPERLINK("https://klasma.github.io/Logging_2303/klagomål/A 39973-2025 FSC-klagomål.docx", "A 39973-2025")</f>
        <v/>
      </c>
      <c r="W73">
        <f>HYPERLINK("https://klasma.github.io/Logging_2303/klagomålsmail/A 39973-2025 FSC-klagomål mail.docx", "A 39973-2025")</f>
        <v/>
      </c>
      <c r="X73">
        <f>HYPERLINK("https://klasma.github.io/Logging_2303/tillsyn/A 39973-2025 tillsynsbegäran.docx", "A 39973-2025")</f>
        <v/>
      </c>
      <c r="Y73">
        <f>HYPERLINK("https://klasma.github.io/Logging_2303/tillsynsmail/A 39973-2025 tillsynsbegäran mail.docx", "A 39973-2025")</f>
        <v/>
      </c>
    </row>
    <row r="74" ht="15" customHeight="1">
      <c r="A74" t="inlineStr">
        <is>
          <t>A 24431-2024</t>
        </is>
      </c>
      <c r="B74" s="1" t="n">
        <v>45457</v>
      </c>
      <c r="C74" s="1" t="n">
        <v>45994</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34317-2025</t>
        </is>
      </c>
      <c r="B75" s="1" t="n">
        <v>45846.41361111111</v>
      </c>
      <c r="C75" s="1" t="n">
        <v>45994</v>
      </c>
      <c r="D75" t="inlineStr">
        <is>
          <t>JÄMTLANDS LÄN</t>
        </is>
      </c>
      <c r="E75" t="inlineStr">
        <is>
          <t>RAGUNDA</t>
        </is>
      </c>
      <c r="G75" t="n">
        <v>8.300000000000001</v>
      </c>
      <c r="H75" t="n">
        <v>2</v>
      </c>
      <c r="I75" t="n">
        <v>1</v>
      </c>
      <c r="J75" t="n">
        <v>4</v>
      </c>
      <c r="K75" t="n">
        <v>1</v>
      </c>
      <c r="L75" t="n">
        <v>0</v>
      </c>
      <c r="M75" t="n">
        <v>0</v>
      </c>
      <c r="N75" t="n">
        <v>0</v>
      </c>
      <c r="O75" t="n">
        <v>5</v>
      </c>
      <c r="P75" t="n">
        <v>1</v>
      </c>
      <c r="Q75" t="n">
        <v>6</v>
      </c>
      <c r="R75" s="2" t="inlineStr">
        <is>
          <t>Knärot
Garnlav
Lunglav
Nordtagging
Talltita
Skinnlav</t>
        </is>
      </c>
      <c r="S75">
        <f>HYPERLINK("https://klasma.github.io/Logging_2303/artfynd/A 34317-2025 artfynd.xlsx", "A 34317-2025")</f>
        <v/>
      </c>
      <c r="T75">
        <f>HYPERLINK("https://klasma.github.io/Logging_2303/kartor/A 34317-2025 karta.png", "A 34317-2025")</f>
        <v/>
      </c>
      <c r="U75">
        <f>HYPERLINK("https://klasma.github.io/Logging_2303/knärot/A 34317-2025 karta knärot.png", "A 34317-2025")</f>
        <v/>
      </c>
      <c r="V75">
        <f>HYPERLINK("https://klasma.github.io/Logging_2303/klagomål/A 34317-2025 FSC-klagomål.docx", "A 34317-2025")</f>
        <v/>
      </c>
      <c r="W75">
        <f>HYPERLINK("https://klasma.github.io/Logging_2303/klagomålsmail/A 34317-2025 FSC-klagomål mail.docx", "A 34317-2025")</f>
        <v/>
      </c>
      <c r="X75">
        <f>HYPERLINK("https://klasma.github.io/Logging_2303/tillsyn/A 34317-2025 tillsynsbegäran.docx", "A 34317-2025")</f>
        <v/>
      </c>
      <c r="Y75">
        <f>HYPERLINK("https://klasma.github.io/Logging_2303/tillsynsmail/A 34317-2025 tillsynsbegäran mail.docx", "A 34317-2025")</f>
        <v/>
      </c>
      <c r="Z75">
        <f>HYPERLINK("https://klasma.github.io/Logging_2303/fåglar/A 34317-2025 prioriterade fågelarter.docx", "A 34317-2025")</f>
        <v/>
      </c>
    </row>
    <row r="76" ht="15" customHeight="1">
      <c r="A76" t="inlineStr">
        <is>
          <t>A 19402-2025</t>
        </is>
      </c>
      <c r="B76" s="1" t="n">
        <v>45769.67778935185</v>
      </c>
      <c r="C76" s="1" t="n">
        <v>45994</v>
      </c>
      <c r="D76" t="inlineStr">
        <is>
          <t>JÄMTLANDS LÄN</t>
        </is>
      </c>
      <c r="E76" t="inlineStr">
        <is>
          <t>RAGUNDA</t>
        </is>
      </c>
      <c r="F76" t="inlineStr">
        <is>
          <t>SCA</t>
        </is>
      </c>
      <c r="G76" t="n">
        <v>3.1</v>
      </c>
      <c r="H76" t="n">
        <v>2</v>
      </c>
      <c r="I76" t="n">
        <v>3</v>
      </c>
      <c r="J76" t="n">
        <v>3</v>
      </c>
      <c r="K76" t="n">
        <v>0</v>
      </c>
      <c r="L76" t="n">
        <v>0</v>
      </c>
      <c r="M76" t="n">
        <v>0</v>
      </c>
      <c r="N76" t="n">
        <v>0</v>
      </c>
      <c r="O76" t="n">
        <v>3</v>
      </c>
      <c r="P76" t="n">
        <v>0</v>
      </c>
      <c r="Q76" t="n">
        <v>6</v>
      </c>
      <c r="R76" s="2" t="inlineStr">
        <is>
          <t>Garnlav
Lunglav
Tretåig hackspett
Bårdlav
Spindelblomster
Stuplav</t>
        </is>
      </c>
      <c r="S76">
        <f>HYPERLINK("https://klasma.github.io/Logging_2303/artfynd/A 19402-2025 artfynd.xlsx", "A 19402-2025")</f>
        <v/>
      </c>
      <c r="T76">
        <f>HYPERLINK("https://klasma.github.io/Logging_2303/kartor/A 19402-2025 karta.png", "A 19402-2025")</f>
        <v/>
      </c>
      <c r="V76">
        <f>HYPERLINK("https://klasma.github.io/Logging_2303/klagomål/A 19402-2025 FSC-klagomål.docx", "A 19402-2025")</f>
        <v/>
      </c>
      <c r="W76">
        <f>HYPERLINK("https://klasma.github.io/Logging_2303/klagomålsmail/A 19402-2025 FSC-klagomål mail.docx", "A 19402-2025")</f>
        <v/>
      </c>
      <c r="X76">
        <f>HYPERLINK("https://klasma.github.io/Logging_2303/tillsyn/A 19402-2025 tillsynsbegäran.docx", "A 19402-2025")</f>
        <v/>
      </c>
      <c r="Y76">
        <f>HYPERLINK("https://klasma.github.io/Logging_2303/tillsynsmail/A 19402-2025 tillsynsbegäran mail.docx", "A 19402-2025")</f>
        <v/>
      </c>
      <c r="Z76">
        <f>HYPERLINK("https://klasma.github.io/Logging_2303/fåglar/A 19402-2025 prioriterade fågelarter.docx", "A 19402-2025")</f>
        <v/>
      </c>
    </row>
    <row r="77" ht="15" customHeight="1">
      <c r="A77" t="inlineStr">
        <is>
          <t>A 30884-2025</t>
        </is>
      </c>
      <c r="B77" s="1" t="n">
        <v>45832.34564814815</v>
      </c>
      <c r="C77" s="1" t="n">
        <v>45994</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36276-2025</t>
        </is>
      </c>
      <c r="B78" s="1" t="n">
        <v>45867.63619212963</v>
      </c>
      <c r="C78" s="1" t="n">
        <v>45994</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49291-2025</t>
        </is>
      </c>
      <c r="B79" s="1" t="n">
        <v>45938.53188657408</v>
      </c>
      <c r="C79" s="1" t="n">
        <v>45994</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30637-2024</t>
        </is>
      </c>
      <c r="B80" s="1" t="n">
        <v>45495.56244212963</v>
      </c>
      <c r="C80" s="1" t="n">
        <v>45994</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47115-2025</t>
        </is>
      </c>
      <c r="B81" s="1" t="n">
        <v>45929.67459490741</v>
      </c>
      <c r="C81" s="1" t="n">
        <v>45994</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15379-2024</t>
        </is>
      </c>
      <c r="B82" s="1" t="n">
        <v>45400.94002314815</v>
      </c>
      <c r="C82" s="1" t="n">
        <v>45994</v>
      </c>
      <c r="D82" t="inlineStr">
        <is>
          <t>JÄMTLANDS LÄN</t>
        </is>
      </c>
      <c r="E82" t="inlineStr">
        <is>
          <t>RAGUNDA</t>
        </is>
      </c>
      <c r="F82" t="inlineStr">
        <is>
          <t>SCA</t>
        </is>
      </c>
      <c r="G82" t="n">
        <v>4.2</v>
      </c>
      <c r="H82" t="n">
        <v>3</v>
      </c>
      <c r="I82" t="n">
        <v>3</v>
      </c>
      <c r="J82" t="n">
        <v>0</v>
      </c>
      <c r="K82" t="n">
        <v>1</v>
      </c>
      <c r="L82" t="n">
        <v>0</v>
      </c>
      <c r="M82" t="n">
        <v>0</v>
      </c>
      <c r="N82" t="n">
        <v>0</v>
      </c>
      <c r="O82" t="n">
        <v>1</v>
      </c>
      <c r="P82" t="n">
        <v>1</v>
      </c>
      <c r="Q82" t="n">
        <v>5</v>
      </c>
      <c r="R82" s="2" t="inlineStr">
        <is>
          <t>Knärot
Finbräken
Guckusko
Svavelriska
Blåsippa</t>
        </is>
      </c>
      <c r="S82">
        <f>HYPERLINK("https://klasma.github.io/Logging_2303/artfynd/A 15379-2024 artfynd.xlsx", "A 15379-2024")</f>
        <v/>
      </c>
      <c r="T82">
        <f>HYPERLINK("https://klasma.github.io/Logging_2303/kartor/A 15379-2024 karta.png", "A 15379-2024")</f>
        <v/>
      </c>
      <c r="U82">
        <f>HYPERLINK("https://klasma.github.io/Logging_2303/knärot/A 15379-2024 karta knärot.png", "A 15379-2024")</f>
        <v/>
      </c>
      <c r="V82">
        <f>HYPERLINK("https://klasma.github.io/Logging_2303/klagomål/A 15379-2024 FSC-klagomål.docx", "A 15379-2024")</f>
        <v/>
      </c>
      <c r="W82">
        <f>HYPERLINK("https://klasma.github.io/Logging_2303/klagomålsmail/A 15379-2024 FSC-klagomål mail.docx", "A 15379-2024")</f>
        <v/>
      </c>
      <c r="X82">
        <f>HYPERLINK("https://klasma.github.io/Logging_2303/tillsyn/A 15379-2024 tillsynsbegäran.docx", "A 15379-2024")</f>
        <v/>
      </c>
      <c r="Y82">
        <f>HYPERLINK("https://klasma.github.io/Logging_2303/tillsynsmail/A 15379-2024 tillsynsbegäran mail.docx", "A 15379-2024")</f>
        <v/>
      </c>
    </row>
    <row r="83" ht="15" customHeight="1">
      <c r="A83" t="inlineStr">
        <is>
          <t>A 14908-2022</t>
        </is>
      </c>
      <c r="B83" s="1" t="n">
        <v>44656</v>
      </c>
      <c r="C83" s="1" t="n">
        <v>45994</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45969-2023</t>
        </is>
      </c>
      <c r="B84" s="1" t="n">
        <v>45195</v>
      </c>
      <c r="C84" s="1" t="n">
        <v>45994</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57073-2023</t>
        </is>
      </c>
      <c r="B85" s="1" t="n">
        <v>45244</v>
      </c>
      <c r="C85" s="1" t="n">
        <v>45994</v>
      </c>
      <c r="D85" t="inlineStr">
        <is>
          <t>JÄMTLANDS LÄN</t>
        </is>
      </c>
      <c r="E85" t="inlineStr">
        <is>
          <t>RAGUNDA</t>
        </is>
      </c>
      <c r="F85" t="inlineStr">
        <is>
          <t>SCA</t>
        </is>
      </c>
      <c r="G85" t="n">
        <v>4.1</v>
      </c>
      <c r="H85" t="n">
        <v>1</v>
      </c>
      <c r="I85" t="n">
        <v>0</v>
      </c>
      <c r="J85" t="n">
        <v>4</v>
      </c>
      <c r="K85" t="n">
        <v>1</v>
      </c>
      <c r="L85" t="n">
        <v>0</v>
      </c>
      <c r="M85" t="n">
        <v>0</v>
      </c>
      <c r="N85" t="n">
        <v>0</v>
      </c>
      <c r="O85" t="n">
        <v>5</v>
      </c>
      <c r="P85" t="n">
        <v>1</v>
      </c>
      <c r="Q85" t="n">
        <v>5</v>
      </c>
      <c r="R85" s="2" t="inlineStr">
        <is>
          <t>Aspgelélav
Granticka
Lunglav
Tretåig hackspett
Ullticka</t>
        </is>
      </c>
      <c r="S85">
        <f>HYPERLINK("https://klasma.github.io/Logging_2303/artfynd/A 57073-2023 artfynd.xlsx", "A 57073-2023")</f>
        <v/>
      </c>
      <c r="T85">
        <f>HYPERLINK("https://klasma.github.io/Logging_2303/kartor/A 57073-2023 karta.png", "A 57073-2023")</f>
        <v/>
      </c>
      <c r="V85">
        <f>HYPERLINK("https://klasma.github.io/Logging_2303/klagomål/A 57073-2023 FSC-klagomål.docx", "A 57073-2023")</f>
        <v/>
      </c>
      <c r="W85">
        <f>HYPERLINK("https://klasma.github.io/Logging_2303/klagomålsmail/A 57073-2023 FSC-klagomål mail.docx", "A 57073-2023")</f>
        <v/>
      </c>
      <c r="X85">
        <f>HYPERLINK("https://klasma.github.io/Logging_2303/tillsyn/A 57073-2023 tillsynsbegäran.docx", "A 57073-2023")</f>
        <v/>
      </c>
      <c r="Y85">
        <f>HYPERLINK("https://klasma.github.io/Logging_2303/tillsynsmail/A 57073-2023 tillsynsbegäran mail.docx", "A 57073-2023")</f>
        <v/>
      </c>
      <c r="Z85">
        <f>HYPERLINK("https://klasma.github.io/Logging_2303/fåglar/A 57073-2023 prioriterade fågelarter.docx", "A 57073-2023")</f>
        <v/>
      </c>
    </row>
    <row r="86" ht="15" customHeight="1">
      <c r="A86" t="inlineStr">
        <is>
          <t>A 13266-2023</t>
        </is>
      </c>
      <c r="B86" s="1" t="n">
        <v>45002.94356481481</v>
      </c>
      <c r="C86" s="1" t="n">
        <v>45994</v>
      </c>
      <c r="D86" t="inlineStr">
        <is>
          <t>JÄMTLANDS LÄN</t>
        </is>
      </c>
      <c r="E86" t="inlineStr">
        <is>
          <t>RAGUNDA</t>
        </is>
      </c>
      <c r="F86" t="inlineStr">
        <is>
          <t>SCA</t>
        </is>
      </c>
      <c r="G86" t="n">
        <v>4.1</v>
      </c>
      <c r="H86" t="n">
        <v>1</v>
      </c>
      <c r="I86" t="n">
        <v>0</v>
      </c>
      <c r="J86" t="n">
        <v>4</v>
      </c>
      <c r="K86" t="n">
        <v>0</v>
      </c>
      <c r="L86" t="n">
        <v>0</v>
      </c>
      <c r="M86" t="n">
        <v>0</v>
      </c>
      <c r="N86" t="n">
        <v>0</v>
      </c>
      <c r="O86" t="n">
        <v>4</v>
      </c>
      <c r="P86" t="n">
        <v>0</v>
      </c>
      <c r="Q86" t="n">
        <v>5</v>
      </c>
      <c r="R86" s="2" t="inlineStr">
        <is>
          <t>Gammelgransskål
Garnlav
Granticka
Lunglav
Revlummer</t>
        </is>
      </c>
      <c r="S86">
        <f>HYPERLINK("https://klasma.github.io/Logging_2303/artfynd/A 13266-2023 artfynd.xlsx", "A 13266-2023")</f>
        <v/>
      </c>
      <c r="T86">
        <f>HYPERLINK("https://klasma.github.io/Logging_2303/kartor/A 13266-2023 karta.png", "A 13266-2023")</f>
        <v/>
      </c>
      <c r="V86">
        <f>HYPERLINK("https://klasma.github.io/Logging_2303/klagomål/A 13266-2023 FSC-klagomål.docx", "A 13266-2023")</f>
        <v/>
      </c>
      <c r="W86">
        <f>HYPERLINK("https://klasma.github.io/Logging_2303/klagomålsmail/A 13266-2023 FSC-klagomål mail.docx", "A 13266-2023")</f>
        <v/>
      </c>
      <c r="X86">
        <f>HYPERLINK("https://klasma.github.io/Logging_2303/tillsyn/A 13266-2023 tillsynsbegäran.docx", "A 13266-2023")</f>
        <v/>
      </c>
      <c r="Y86">
        <f>HYPERLINK("https://klasma.github.io/Logging_2303/tillsynsmail/A 13266-2023 tillsynsbegäran mail.docx", "A 13266-2023")</f>
        <v/>
      </c>
    </row>
    <row r="87" ht="15" customHeight="1">
      <c r="A87" t="inlineStr">
        <is>
          <t>A 39365-2024</t>
        </is>
      </c>
      <c r="B87" s="1" t="n">
        <v>45551.46912037037</v>
      </c>
      <c r="C87" s="1" t="n">
        <v>45994</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15244-2025</t>
        </is>
      </c>
      <c r="B88" s="1" t="n">
        <v>45744.61550925926</v>
      </c>
      <c r="C88" s="1" t="n">
        <v>45994</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38169-2024</t>
        </is>
      </c>
      <c r="B89" s="1" t="n">
        <v>45545.45748842593</v>
      </c>
      <c r="C89" s="1" t="n">
        <v>45994</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12024-2022</t>
        </is>
      </c>
      <c r="B90" s="1" t="n">
        <v>44635</v>
      </c>
      <c r="C90" s="1" t="n">
        <v>45994</v>
      </c>
      <c r="D90" t="inlineStr">
        <is>
          <t>JÄMTLANDS LÄN</t>
        </is>
      </c>
      <c r="E90" t="inlineStr">
        <is>
          <t>RAGUNDA</t>
        </is>
      </c>
      <c r="F90" t="inlineStr">
        <is>
          <t>SCA</t>
        </is>
      </c>
      <c r="G90" t="n">
        <v>4.9</v>
      </c>
      <c r="H90" t="n">
        <v>1</v>
      </c>
      <c r="I90" t="n">
        <v>1</v>
      </c>
      <c r="J90" t="n">
        <v>3</v>
      </c>
      <c r="K90" t="n">
        <v>1</v>
      </c>
      <c r="L90" t="n">
        <v>0</v>
      </c>
      <c r="M90" t="n">
        <v>0</v>
      </c>
      <c r="N90" t="n">
        <v>0</v>
      </c>
      <c r="O90" t="n">
        <v>4</v>
      </c>
      <c r="P90" t="n">
        <v>1</v>
      </c>
      <c r="Q90" t="n">
        <v>5</v>
      </c>
      <c r="R90" s="2" t="inlineStr">
        <is>
          <t>Rynkskinn
Garnlav
Tretåig hackspett
Vitgrynig nållav
Dropptaggsvamp</t>
        </is>
      </c>
      <c r="S90">
        <f>HYPERLINK("https://klasma.github.io/Logging_2303/artfynd/A 12024-2022 artfynd.xlsx", "A 12024-2022")</f>
        <v/>
      </c>
      <c r="T90">
        <f>HYPERLINK("https://klasma.github.io/Logging_2303/kartor/A 12024-2022 karta.png", "A 12024-2022")</f>
        <v/>
      </c>
      <c r="V90">
        <f>HYPERLINK("https://klasma.github.io/Logging_2303/klagomål/A 12024-2022 FSC-klagomål.docx", "A 12024-2022")</f>
        <v/>
      </c>
      <c r="W90">
        <f>HYPERLINK("https://klasma.github.io/Logging_2303/klagomålsmail/A 12024-2022 FSC-klagomål mail.docx", "A 12024-2022")</f>
        <v/>
      </c>
      <c r="X90">
        <f>HYPERLINK("https://klasma.github.io/Logging_2303/tillsyn/A 12024-2022 tillsynsbegäran.docx", "A 12024-2022")</f>
        <v/>
      </c>
      <c r="Y90">
        <f>HYPERLINK("https://klasma.github.io/Logging_2303/tillsynsmail/A 12024-2022 tillsynsbegäran mail.docx", "A 12024-2022")</f>
        <v/>
      </c>
      <c r="Z90">
        <f>HYPERLINK("https://klasma.github.io/Logging_2303/fåglar/A 12024-2022 prioriterade fågelarter.docx", "A 12024-2022")</f>
        <v/>
      </c>
    </row>
    <row r="91" ht="15" customHeight="1">
      <c r="A91" t="inlineStr">
        <is>
          <t>A 60683-2022</t>
        </is>
      </c>
      <c r="B91" s="1" t="n">
        <v>44911</v>
      </c>
      <c r="C91" s="1" t="n">
        <v>45994</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27313-2024</t>
        </is>
      </c>
      <c r="B92" s="1" t="n">
        <v>45471.94623842592</v>
      </c>
      <c r="C92" s="1" t="n">
        <v>45994</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18629-2024</t>
        </is>
      </c>
      <c r="B93" s="1" t="n">
        <v>45425.96472222222</v>
      </c>
      <c r="C93" s="1" t="n">
        <v>45994</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39974-2025</t>
        </is>
      </c>
      <c r="B94" s="1" t="n">
        <v>45893.38599537037</v>
      </c>
      <c r="C94" s="1" t="n">
        <v>45994</v>
      </c>
      <c r="D94" t="inlineStr">
        <is>
          <t>JÄMTLANDS LÄN</t>
        </is>
      </c>
      <c r="E94" t="inlineStr">
        <is>
          <t>RAGUNDA</t>
        </is>
      </c>
      <c r="F94" t="inlineStr">
        <is>
          <t>SCA</t>
        </is>
      </c>
      <c r="G94" t="n">
        <v>2.5</v>
      </c>
      <c r="H94" t="n">
        <v>0</v>
      </c>
      <c r="I94" t="n">
        <v>2</v>
      </c>
      <c r="J94" t="n">
        <v>3</v>
      </c>
      <c r="K94" t="n">
        <v>0</v>
      </c>
      <c r="L94" t="n">
        <v>0</v>
      </c>
      <c r="M94" t="n">
        <v>0</v>
      </c>
      <c r="N94" t="n">
        <v>0</v>
      </c>
      <c r="O94" t="n">
        <v>3</v>
      </c>
      <c r="P94" t="n">
        <v>0</v>
      </c>
      <c r="Q94" t="n">
        <v>5</v>
      </c>
      <c r="R94" s="2" t="inlineStr">
        <is>
          <t>Garnlav
Lunglav
Skrovellav
Dropptaggsvamp
Luddlav</t>
        </is>
      </c>
      <c r="S94">
        <f>HYPERLINK("https://klasma.github.io/Logging_2303/artfynd/A 39974-2025 artfynd.xlsx", "A 39974-2025")</f>
        <v/>
      </c>
      <c r="T94">
        <f>HYPERLINK("https://klasma.github.io/Logging_2303/kartor/A 39974-2025 karta.png", "A 39974-2025")</f>
        <v/>
      </c>
      <c r="V94">
        <f>HYPERLINK("https://klasma.github.io/Logging_2303/klagomål/A 39974-2025 FSC-klagomål.docx", "A 39974-2025")</f>
        <v/>
      </c>
      <c r="W94">
        <f>HYPERLINK("https://klasma.github.io/Logging_2303/klagomålsmail/A 39974-2025 FSC-klagomål mail.docx", "A 39974-2025")</f>
        <v/>
      </c>
      <c r="X94">
        <f>HYPERLINK("https://klasma.github.io/Logging_2303/tillsyn/A 39974-2025 tillsynsbegäran.docx", "A 39974-2025")</f>
        <v/>
      </c>
      <c r="Y94">
        <f>HYPERLINK("https://klasma.github.io/Logging_2303/tillsynsmail/A 39974-2025 tillsynsbegäran mail.docx", "A 39974-2025")</f>
        <v/>
      </c>
    </row>
    <row r="95" ht="15" customHeight="1">
      <c r="A95" t="inlineStr">
        <is>
          <t>A 43106-2023</t>
        </is>
      </c>
      <c r="B95" s="1" t="n">
        <v>45182</v>
      </c>
      <c r="C95" s="1" t="n">
        <v>45994</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22469-2024</t>
        </is>
      </c>
      <c r="B96" s="1" t="n">
        <v>45446.95087962963</v>
      </c>
      <c r="C96" s="1" t="n">
        <v>45994</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30886-2025</t>
        </is>
      </c>
      <c r="B97" s="1" t="n">
        <v>45832.34578703704</v>
      </c>
      <c r="C97" s="1" t="n">
        <v>45994</v>
      </c>
      <c r="D97" t="inlineStr">
        <is>
          <t>JÄMTLANDS LÄN</t>
        </is>
      </c>
      <c r="E97" t="inlineStr">
        <is>
          <t>RAGUNDA</t>
        </is>
      </c>
      <c r="F97" t="inlineStr">
        <is>
          <t>SCA</t>
        </is>
      </c>
      <c r="G97" t="n">
        <v>4.4</v>
      </c>
      <c r="H97" t="n">
        <v>3</v>
      </c>
      <c r="I97" t="n">
        <v>1</v>
      </c>
      <c r="J97" t="n">
        <v>2</v>
      </c>
      <c r="K97" t="n">
        <v>1</v>
      </c>
      <c r="L97" t="n">
        <v>0</v>
      </c>
      <c r="M97" t="n">
        <v>0</v>
      </c>
      <c r="N97" t="n">
        <v>0</v>
      </c>
      <c r="O97" t="n">
        <v>3</v>
      </c>
      <c r="P97" t="n">
        <v>1</v>
      </c>
      <c r="Q97" t="n">
        <v>5</v>
      </c>
      <c r="R97" s="2" t="inlineStr">
        <is>
          <t>Knärot
Järpe
Lunglav
Ögonpyrola
Nattviol</t>
        </is>
      </c>
      <c r="S97">
        <f>HYPERLINK("https://klasma.github.io/Logging_2303/artfynd/A 30886-2025 artfynd.xlsx", "A 30886-2025")</f>
        <v/>
      </c>
      <c r="T97">
        <f>HYPERLINK("https://klasma.github.io/Logging_2303/kartor/A 30886-2025 karta.png", "A 30886-2025")</f>
        <v/>
      </c>
      <c r="U97">
        <f>HYPERLINK("https://klasma.github.io/Logging_2303/knärot/A 30886-2025 karta knärot.png", "A 30886-2025")</f>
        <v/>
      </c>
      <c r="V97">
        <f>HYPERLINK("https://klasma.github.io/Logging_2303/klagomål/A 30886-2025 FSC-klagomål.docx", "A 30886-2025")</f>
        <v/>
      </c>
      <c r="W97">
        <f>HYPERLINK("https://klasma.github.io/Logging_2303/klagomålsmail/A 30886-2025 FSC-klagomål mail.docx", "A 30886-2025")</f>
        <v/>
      </c>
      <c r="X97">
        <f>HYPERLINK("https://klasma.github.io/Logging_2303/tillsyn/A 30886-2025 tillsynsbegäran.docx", "A 30886-2025")</f>
        <v/>
      </c>
      <c r="Y97">
        <f>HYPERLINK("https://klasma.github.io/Logging_2303/tillsynsmail/A 30886-2025 tillsynsbegäran mail.docx", "A 30886-2025")</f>
        <v/>
      </c>
      <c r="Z97">
        <f>HYPERLINK("https://klasma.github.io/Logging_2303/fåglar/A 30886-2025 prioriterade fågelarter.docx", "A 30886-2025")</f>
        <v/>
      </c>
    </row>
    <row r="98" ht="15" customHeight="1">
      <c r="A98" t="inlineStr">
        <is>
          <t>A 35344-2025</t>
        </is>
      </c>
      <c r="B98" s="1" t="n">
        <v>45854.61494212963</v>
      </c>
      <c r="C98" s="1" t="n">
        <v>45994</v>
      </c>
      <c r="D98" t="inlineStr">
        <is>
          <t>JÄMTLANDS LÄN</t>
        </is>
      </c>
      <c r="E98" t="inlineStr">
        <is>
          <t>RAGUNDA</t>
        </is>
      </c>
      <c r="F98" t="inlineStr">
        <is>
          <t>SCA</t>
        </is>
      </c>
      <c r="G98" t="n">
        <v>6.1</v>
      </c>
      <c r="H98" t="n">
        <v>0</v>
      </c>
      <c r="I98" t="n">
        <v>0</v>
      </c>
      <c r="J98" t="n">
        <v>5</v>
      </c>
      <c r="K98" t="n">
        <v>0</v>
      </c>
      <c r="L98" t="n">
        <v>0</v>
      </c>
      <c r="M98" t="n">
        <v>0</v>
      </c>
      <c r="N98" t="n">
        <v>0</v>
      </c>
      <c r="O98" t="n">
        <v>5</v>
      </c>
      <c r="P98" t="n">
        <v>0</v>
      </c>
      <c r="Q98" t="n">
        <v>5</v>
      </c>
      <c r="R98" s="2" t="inlineStr">
        <is>
          <t>Blå taggsvamp
Garnlav
Lunglav
Svart taggsvamp
Vedtrappmossa</t>
        </is>
      </c>
      <c r="S98">
        <f>HYPERLINK("https://klasma.github.io/Logging_2303/artfynd/A 35344-2025 artfynd.xlsx", "A 35344-2025")</f>
        <v/>
      </c>
      <c r="T98">
        <f>HYPERLINK("https://klasma.github.io/Logging_2303/kartor/A 35344-2025 karta.png", "A 35344-2025")</f>
        <v/>
      </c>
      <c r="V98">
        <f>HYPERLINK("https://klasma.github.io/Logging_2303/klagomål/A 35344-2025 FSC-klagomål.docx", "A 35344-2025")</f>
        <v/>
      </c>
      <c r="W98">
        <f>HYPERLINK("https://klasma.github.io/Logging_2303/klagomålsmail/A 35344-2025 FSC-klagomål mail.docx", "A 35344-2025")</f>
        <v/>
      </c>
      <c r="X98">
        <f>HYPERLINK("https://klasma.github.io/Logging_2303/tillsyn/A 35344-2025 tillsynsbegäran.docx", "A 35344-2025")</f>
        <v/>
      </c>
      <c r="Y98">
        <f>HYPERLINK("https://klasma.github.io/Logging_2303/tillsynsmail/A 35344-2025 tillsynsbegäran mail.docx", "A 35344-2025")</f>
        <v/>
      </c>
    </row>
    <row r="99" ht="15" customHeight="1">
      <c r="A99" t="inlineStr">
        <is>
          <t>A 2579-2025</t>
        </is>
      </c>
      <c r="B99" s="1" t="n">
        <v>45674.67744212963</v>
      </c>
      <c r="C99" s="1" t="n">
        <v>45994</v>
      </c>
      <c r="D99" t="inlineStr">
        <is>
          <t>JÄMTLANDS LÄN</t>
        </is>
      </c>
      <c r="E99" t="inlineStr">
        <is>
          <t>RAGUNDA</t>
        </is>
      </c>
      <c r="F99" t="inlineStr">
        <is>
          <t>SCA</t>
        </is>
      </c>
      <c r="G99" t="n">
        <v>5.5</v>
      </c>
      <c r="H99" t="n">
        <v>3</v>
      </c>
      <c r="I99" t="n">
        <v>0</v>
      </c>
      <c r="J99" t="n">
        <v>4</v>
      </c>
      <c r="K99" t="n">
        <v>0</v>
      </c>
      <c r="L99" t="n">
        <v>0</v>
      </c>
      <c r="M99" t="n">
        <v>0</v>
      </c>
      <c r="N99" t="n">
        <v>0</v>
      </c>
      <c r="O99" t="n">
        <v>4</v>
      </c>
      <c r="P99" t="n">
        <v>0</v>
      </c>
      <c r="Q99" t="n">
        <v>5</v>
      </c>
      <c r="R99" s="2" t="inlineStr">
        <is>
          <t>Granticka
Rosenticka
Rördrom
Spillkråka
Revlummer</t>
        </is>
      </c>
      <c r="S99">
        <f>HYPERLINK("https://klasma.github.io/Logging_2303/artfynd/A 2579-2025 artfynd.xlsx", "A 2579-2025")</f>
        <v/>
      </c>
      <c r="T99">
        <f>HYPERLINK("https://klasma.github.io/Logging_2303/kartor/A 2579-2025 karta.png", "A 2579-2025")</f>
        <v/>
      </c>
      <c r="V99">
        <f>HYPERLINK("https://klasma.github.io/Logging_2303/klagomål/A 2579-2025 FSC-klagomål.docx", "A 2579-2025")</f>
        <v/>
      </c>
      <c r="W99">
        <f>HYPERLINK("https://klasma.github.io/Logging_2303/klagomålsmail/A 2579-2025 FSC-klagomål mail.docx", "A 2579-2025")</f>
        <v/>
      </c>
      <c r="X99">
        <f>HYPERLINK("https://klasma.github.io/Logging_2303/tillsyn/A 2579-2025 tillsynsbegäran.docx", "A 2579-2025")</f>
        <v/>
      </c>
      <c r="Y99">
        <f>HYPERLINK("https://klasma.github.io/Logging_2303/tillsynsmail/A 2579-2025 tillsynsbegäran mail.docx", "A 2579-2025")</f>
        <v/>
      </c>
      <c r="Z99">
        <f>HYPERLINK("https://klasma.github.io/Logging_2303/fåglar/A 2579-2025 prioriterade fågelarter.docx", "A 2579-2025")</f>
        <v/>
      </c>
    </row>
    <row r="100" ht="15" customHeight="1">
      <c r="A100" t="inlineStr">
        <is>
          <t>A 8636-2021</t>
        </is>
      </c>
      <c r="B100" s="1" t="n">
        <v>44245</v>
      </c>
      <c r="C100" s="1" t="n">
        <v>45994</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15667-2022</t>
        </is>
      </c>
      <c r="B101" s="1" t="n">
        <v>44662</v>
      </c>
      <c r="C101" s="1" t="n">
        <v>45994</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19851-2022</t>
        </is>
      </c>
      <c r="B102" s="1" t="n">
        <v>44696</v>
      </c>
      <c r="C102" s="1" t="n">
        <v>45994</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32067-2024</t>
        </is>
      </c>
      <c r="B103" s="1" t="n">
        <v>45510</v>
      </c>
      <c r="C103" s="1" t="n">
        <v>45994</v>
      </c>
      <c r="D103" t="inlineStr">
        <is>
          <t>JÄMTLANDS LÄN</t>
        </is>
      </c>
      <c r="E103" t="inlineStr">
        <is>
          <t>RAGUNDA</t>
        </is>
      </c>
      <c r="F103" t="inlineStr">
        <is>
          <t>SCA</t>
        </is>
      </c>
      <c r="G103" t="n">
        <v>4.1</v>
      </c>
      <c r="H103" t="n">
        <v>0</v>
      </c>
      <c r="I103" t="n">
        <v>2</v>
      </c>
      <c r="J103" t="n">
        <v>2</v>
      </c>
      <c r="K103" t="n">
        <v>0</v>
      </c>
      <c r="L103" t="n">
        <v>0</v>
      </c>
      <c r="M103" t="n">
        <v>0</v>
      </c>
      <c r="N103" t="n">
        <v>0</v>
      </c>
      <c r="O103" t="n">
        <v>2</v>
      </c>
      <c r="P103" t="n">
        <v>0</v>
      </c>
      <c r="Q103" t="n">
        <v>4</v>
      </c>
      <c r="R103" s="2" t="inlineStr">
        <is>
          <t>Vedflikmossa
Vedtrappmossa
Stor aspticka
Vedticka</t>
        </is>
      </c>
      <c r="S103">
        <f>HYPERLINK("https://klasma.github.io/Logging_2303/artfynd/A 32067-2024 artfynd.xlsx", "A 32067-2024")</f>
        <v/>
      </c>
      <c r="T103">
        <f>HYPERLINK("https://klasma.github.io/Logging_2303/kartor/A 32067-2024 karta.png", "A 32067-2024")</f>
        <v/>
      </c>
      <c r="U103">
        <f>HYPERLINK("https://klasma.github.io/Logging_2303/knärot/A 32067-2024 karta knärot.png", "A 32067-2024")</f>
        <v/>
      </c>
      <c r="V103">
        <f>HYPERLINK("https://klasma.github.io/Logging_2303/klagomål/A 32067-2024 FSC-klagomål.docx", "A 32067-2024")</f>
        <v/>
      </c>
      <c r="W103">
        <f>HYPERLINK("https://klasma.github.io/Logging_2303/klagomålsmail/A 32067-2024 FSC-klagomål mail.docx", "A 32067-2024")</f>
        <v/>
      </c>
      <c r="X103">
        <f>HYPERLINK("https://klasma.github.io/Logging_2303/tillsyn/A 32067-2024 tillsynsbegäran.docx", "A 32067-2024")</f>
        <v/>
      </c>
      <c r="Y103">
        <f>HYPERLINK("https://klasma.github.io/Logging_2303/tillsynsmail/A 32067-2024 tillsynsbegäran mail.docx", "A 32067-2024")</f>
        <v/>
      </c>
    </row>
    <row r="104" ht="15" customHeight="1">
      <c r="A104" t="inlineStr">
        <is>
          <t>A 60670-2022</t>
        </is>
      </c>
      <c r="B104" s="1" t="n">
        <v>44911</v>
      </c>
      <c r="C104" s="1" t="n">
        <v>45994</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15836-2024</t>
        </is>
      </c>
      <c r="B105" s="1" t="n">
        <v>45404</v>
      </c>
      <c r="C105" s="1" t="n">
        <v>45994</v>
      </c>
      <c r="D105" t="inlineStr">
        <is>
          <t>JÄMTLANDS LÄN</t>
        </is>
      </c>
      <c r="E105" t="inlineStr">
        <is>
          <t>RAGUNDA</t>
        </is>
      </c>
      <c r="F105" t="inlineStr">
        <is>
          <t>Kommuner</t>
        </is>
      </c>
      <c r="G105" t="n">
        <v>3.1</v>
      </c>
      <c r="H105" t="n">
        <v>0</v>
      </c>
      <c r="I105" t="n">
        <v>2</v>
      </c>
      <c r="J105" t="n">
        <v>1</v>
      </c>
      <c r="K105" t="n">
        <v>0</v>
      </c>
      <c r="L105" t="n">
        <v>1</v>
      </c>
      <c r="M105" t="n">
        <v>0</v>
      </c>
      <c r="N105" t="n">
        <v>0</v>
      </c>
      <c r="O105" t="n">
        <v>2</v>
      </c>
      <c r="P105" t="n">
        <v>1</v>
      </c>
      <c r="Q105" t="n">
        <v>4</v>
      </c>
      <c r="R105" s="2" t="inlineStr">
        <is>
          <t>Trolldruvemätare
Lunglav
Stor aspticka
Svart trolldruva</t>
        </is>
      </c>
      <c r="S105">
        <f>HYPERLINK("https://klasma.github.io/Logging_2303/artfynd/A 15836-2024 artfynd.xlsx", "A 15836-2024")</f>
        <v/>
      </c>
      <c r="T105">
        <f>HYPERLINK("https://klasma.github.io/Logging_2303/kartor/A 15836-2024 karta.png", "A 15836-2024")</f>
        <v/>
      </c>
      <c r="V105">
        <f>HYPERLINK("https://klasma.github.io/Logging_2303/klagomål/A 15836-2024 FSC-klagomål.docx", "A 15836-2024")</f>
        <v/>
      </c>
      <c r="W105">
        <f>HYPERLINK("https://klasma.github.io/Logging_2303/klagomålsmail/A 15836-2024 FSC-klagomål mail.docx", "A 15836-2024")</f>
        <v/>
      </c>
      <c r="X105">
        <f>HYPERLINK("https://klasma.github.io/Logging_2303/tillsyn/A 15836-2024 tillsynsbegäran.docx", "A 15836-2024")</f>
        <v/>
      </c>
      <c r="Y105">
        <f>HYPERLINK("https://klasma.github.io/Logging_2303/tillsynsmail/A 15836-2024 tillsynsbegäran mail.docx", "A 15836-2024")</f>
        <v/>
      </c>
    </row>
    <row r="106" ht="15" customHeight="1">
      <c r="A106" t="inlineStr">
        <is>
          <t>A 32903-2024</t>
        </is>
      </c>
      <c r="B106" s="1" t="n">
        <v>45516.94723379629</v>
      </c>
      <c r="C106" s="1" t="n">
        <v>45994</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21372-2025</t>
        </is>
      </c>
      <c r="B107" s="1" t="n">
        <v>45782.44871527778</v>
      </c>
      <c r="C107" s="1" t="n">
        <v>45994</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43960-2023</t>
        </is>
      </c>
      <c r="B108" s="1" t="n">
        <v>45187</v>
      </c>
      <c r="C108" s="1" t="n">
        <v>45994</v>
      </c>
      <c r="D108" t="inlineStr">
        <is>
          <t>JÄMTLANDS LÄN</t>
        </is>
      </c>
      <c r="E108" t="inlineStr">
        <is>
          <t>RAGUNDA</t>
        </is>
      </c>
      <c r="F108" t="inlineStr">
        <is>
          <t>SCA</t>
        </is>
      </c>
      <c r="G108" t="n">
        <v>5.5</v>
      </c>
      <c r="H108" t="n">
        <v>0</v>
      </c>
      <c r="I108" t="n">
        <v>1</v>
      </c>
      <c r="J108" t="n">
        <v>3</v>
      </c>
      <c r="K108" t="n">
        <v>0</v>
      </c>
      <c r="L108" t="n">
        <v>0</v>
      </c>
      <c r="M108" t="n">
        <v>0</v>
      </c>
      <c r="N108" t="n">
        <v>0</v>
      </c>
      <c r="O108" t="n">
        <v>3</v>
      </c>
      <c r="P108" t="n">
        <v>0</v>
      </c>
      <c r="Q108" t="n">
        <v>4</v>
      </c>
      <c r="R108" s="2" t="inlineStr">
        <is>
          <t>Granticka
Vedflikmossa
Vedtrappmossa
Vedticka</t>
        </is>
      </c>
      <c r="S108">
        <f>HYPERLINK("https://klasma.github.io/Logging_2303/artfynd/A 43960-2023 artfynd.xlsx", "A 43960-2023")</f>
        <v/>
      </c>
      <c r="T108">
        <f>HYPERLINK("https://klasma.github.io/Logging_2303/kartor/A 43960-2023 karta.png", "A 43960-2023")</f>
        <v/>
      </c>
      <c r="V108">
        <f>HYPERLINK("https://klasma.github.io/Logging_2303/klagomål/A 43960-2023 FSC-klagomål.docx", "A 43960-2023")</f>
        <v/>
      </c>
      <c r="W108">
        <f>HYPERLINK("https://klasma.github.io/Logging_2303/klagomålsmail/A 43960-2023 FSC-klagomål mail.docx", "A 43960-2023")</f>
        <v/>
      </c>
      <c r="X108">
        <f>HYPERLINK("https://klasma.github.io/Logging_2303/tillsyn/A 43960-2023 tillsynsbegäran.docx", "A 43960-2023")</f>
        <v/>
      </c>
      <c r="Y108">
        <f>HYPERLINK("https://klasma.github.io/Logging_2303/tillsynsmail/A 43960-2023 tillsynsbegäran mail.docx", "A 43960-2023")</f>
        <v/>
      </c>
    </row>
    <row r="109" ht="15" customHeight="1">
      <c r="A109" t="inlineStr">
        <is>
          <t>A 30483-2024</t>
        </is>
      </c>
      <c r="B109" s="1" t="n">
        <v>45491</v>
      </c>
      <c r="C109" s="1" t="n">
        <v>45994</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12640-2024</t>
        </is>
      </c>
      <c r="B110" s="1" t="n">
        <v>45384</v>
      </c>
      <c r="C110" s="1" t="n">
        <v>45994</v>
      </c>
      <c r="D110" t="inlineStr">
        <is>
          <t>JÄMTLANDS LÄN</t>
        </is>
      </c>
      <c r="E110" t="inlineStr">
        <is>
          <t>RAGUNDA</t>
        </is>
      </c>
      <c r="G110" t="n">
        <v>3.3</v>
      </c>
      <c r="H110" t="n">
        <v>0</v>
      </c>
      <c r="I110" t="n">
        <v>2</v>
      </c>
      <c r="J110" t="n">
        <v>1</v>
      </c>
      <c r="K110" t="n">
        <v>1</v>
      </c>
      <c r="L110" t="n">
        <v>0</v>
      </c>
      <c r="M110" t="n">
        <v>0</v>
      </c>
      <c r="N110" t="n">
        <v>0</v>
      </c>
      <c r="O110" t="n">
        <v>2</v>
      </c>
      <c r="P110" t="n">
        <v>1</v>
      </c>
      <c r="Q110" t="n">
        <v>4</v>
      </c>
      <c r="R110" s="2" t="inlineStr">
        <is>
          <t>Spadskinn
Vedskivlav
Dropptaggsvamp
Skarp dropptaggsvamp</t>
        </is>
      </c>
      <c r="S110">
        <f>HYPERLINK("https://klasma.github.io/Logging_2303/artfynd/A 12640-2024 artfynd.xlsx", "A 12640-2024")</f>
        <v/>
      </c>
      <c r="T110">
        <f>HYPERLINK("https://klasma.github.io/Logging_2303/kartor/A 12640-2024 karta.png", "A 12640-2024")</f>
        <v/>
      </c>
      <c r="V110">
        <f>HYPERLINK("https://klasma.github.io/Logging_2303/klagomål/A 12640-2024 FSC-klagomål.docx", "A 12640-2024")</f>
        <v/>
      </c>
      <c r="W110">
        <f>HYPERLINK("https://klasma.github.io/Logging_2303/klagomålsmail/A 12640-2024 FSC-klagomål mail.docx", "A 12640-2024")</f>
        <v/>
      </c>
      <c r="X110">
        <f>HYPERLINK("https://klasma.github.io/Logging_2303/tillsyn/A 12640-2024 tillsynsbegäran.docx", "A 12640-2024")</f>
        <v/>
      </c>
      <c r="Y110">
        <f>HYPERLINK("https://klasma.github.io/Logging_2303/tillsynsmail/A 12640-2024 tillsynsbegäran mail.docx", "A 12640-2024")</f>
        <v/>
      </c>
    </row>
    <row r="111" ht="15" customHeight="1">
      <c r="A111" t="inlineStr">
        <is>
          <t>A 23931-2024</t>
        </is>
      </c>
      <c r="B111" s="1" t="n">
        <v>45455.96195601852</v>
      </c>
      <c r="C111" s="1" t="n">
        <v>45994</v>
      </c>
      <c r="D111" t="inlineStr">
        <is>
          <t>JÄMTLANDS LÄN</t>
        </is>
      </c>
      <c r="E111" t="inlineStr">
        <is>
          <t>RAGUNDA</t>
        </is>
      </c>
      <c r="F111" t="inlineStr">
        <is>
          <t>SCA</t>
        </is>
      </c>
      <c r="G111" t="n">
        <v>4</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23931-2024 artfynd.xlsx", "A 23931-2024")</f>
        <v/>
      </c>
      <c r="T111">
        <f>HYPERLINK("https://klasma.github.io/Logging_2303/kartor/A 23931-2024 karta.png", "A 23931-2024")</f>
        <v/>
      </c>
      <c r="U111">
        <f>HYPERLINK("https://klasma.github.io/Logging_2303/knärot/A 23931-2024 karta knärot.png", "A 23931-2024")</f>
        <v/>
      </c>
      <c r="V111">
        <f>HYPERLINK("https://klasma.github.io/Logging_2303/klagomål/A 23931-2024 FSC-klagomål.docx", "A 23931-2024")</f>
        <v/>
      </c>
      <c r="W111">
        <f>HYPERLINK("https://klasma.github.io/Logging_2303/klagomålsmail/A 23931-2024 FSC-klagomål mail.docx", "A 23931-2024")</f>
        <v/>
      </c>
      <c r="X111">
        <f>HYPERLINK("https://klasma.github.io/Logging_2303/tillsyn/A 23931-2024 tillsynsbegäran.docx", "A 23931-2024")</f>
        <v/>
      </c>
      <c r="Y111">
        <f>HYPERLINK("https://klasma.github.io/Logging_2303/tillsynsmail/A 23931-2024 tillsynsbegäran mail.docx", "A 23931-2024")</f>
        <v/>
      </c>
    </row>
    <row r="112" ht="15" customHeight="1">
      <c r="A112" t="inlineStr">
        <is>
          <t>A 12268-2024</t>
        </is>
      </c>
      <c r="B112" s="1" t="n">
        <v>45378</v>
      </c>
      <c r="C112" s="1" t="n">
        <v>45994</v>
      </c>
      <c r="D112" t="inlineStr">
        <is>
          <t>JÄMTLANDS LÄN</t>
        </is>
      </c>
      <c r="E112" t="inlineStr">
        <is>
          <t>RAGUNDA</t>
        </is>
      </c>
      <c r="F112" t="inlineStr">
        <is>
          <t>Kommuner</t>
        </is>
      </c>
      <c r="G112" t="n">
        <v>15.7</v>
      </c>
      <c r="H112" t="n">
        <v>0</v>
      </c>
      <c r="I112" t="n">
        <v>0</v>
      </c>
      <c r="J112" t="n">
        <v>4</v>
      </c>
      <c r="K112" t="n">
        <v>0</v>
      </c>
      <c r="L112" t="n">
        <v>0</v>
      </c>
      <c r="M112" t="n">
        <v>0</v>
      </c>
      <c r="N112" t="n">
        <v>0</v>
      </c>
      <c r="O112" t="n">
        <v>4</v>
      </c>
      <c r="P112" t="n">
        <v>0</v>
      </c>
      <c r="Q112" t="n">
        <v>4</v>
      </c>
      <c r="R112" s="2" t="inlineStr">
        <is>
          <t>Granticka
Mörk kolflarnlav
Vedskivlav
Vitgrynig nållav</t>
        </is>
      </c>
      <c r="S112">
        <f>HYPERLINK("https://klasma.github.io/Logging_2303/artfynd/A 12268-2024 artfynd.xlsx", "A 12268-2024")</f>
        <v/>
      </c>
      <c r="T112">
        <f>HYPERLINK("https://klasma.github.io/Logging_2303/kartor/A 12268-2024 karta.png", "A 12268-2024")</f>
        <v/>
      </c>
      <c r="V112">
        <f>HYPERLINK("https://klasma.github.io/Logging_2303/klagomål/A 12268-2024 FSC-klagomål.docx", "A 12268-2024")</f>
        <v/>
      </c>
      <c r="W112">
        <f>HYPERLINK("https://klasma.github.io/Logging_2303/klagomålsmail/A 12268-2024 FSC-klagomål mail.docx", "A 12268-2024")</f>
        <v/>
      </c>
      <c r="X112">
        <f>HYPERLINK("https://klasma.github.io/Logging_2303/tillsyn/A 12268-2024 tillsynsbegäran.docx", "A 12268-2024")</f>
        <v/>
      </c>
      <c r="Y112">
        <f>HYPERLINK("https://klasma.github.io/Logging_2303/tillsynsmail/A 12268-2024 tillsynsbegäran mail.docx", "A 12268-2024")</f>
        <v/>
      </c>
    </row>
    <row r="113" ht="15" customHeight="1">
      <c r="A113" t="inlineStr">
        <is>
          <t>A 19401-2025</t>
        </is>
      </c>
      <c r="B113" s="1" t="n">
        <v>45769.67767361111</v>
      </c>
      <c r="C113" s="1" t="n">
        <v>45994</v>
      </c>
      <c r="D113" t="inlineStr">
        <is>
          <t>JÄMTLANDS LÄN</t>
        </is>
      </c>
      <c r="E113" t="inlineStr">
        <is>
          <t>RAGUNDA</t>
        </is>
      </c>
      <c r="F113" t="inlineStr">
        <is>
          <t>SCA</t>
        </is>
      </c>
      <c r="G113" t="n">
        <v>4.3</v>
      </c>
      <c r="H113" t="n">
        <v>1</v>
      </c>
      <c r="I113" t="n">
        <v>0</v>
      </c>
      <c r="J113" t="n">
        <v>2</v>
      </c>
      <c r="K113" t="n">
        <v>2</v>
      </c>
      <c r="L113" t="n">
        <v>0</v>
      </c>
      <c r="M113" t="n">
        <v>0</v>
      </c>
      <c r="N113" t="n">
        <v>0</v>
      </c>
      <c r="O113" t="n">
        <v>4</v>
      </c>
      <c r="P113" t="n">
        <v>2</v>
      </c>
      <c r="Q113" t="n">
        <v>4</v>
      </c>
      <c r="R113" s="2" t="inlineStr">
        <is>
          <t>Knärot
Rynkskinn
Rosenticka
Vitgrynig nållav</t>
        </is>
      </c>
      <c r="S113">
        <f>HYPERLINK("https://klasma.github.io/Logging_2303/artfynd/A 19401-2025 artfynd.xlsx", "A 19401-2025")</f>
        <v/>
      </c>
      <c r="T113">
        <f>HYPERLINK("https://klasma.github.io/Logging_2303/kartor/A 19401-2025 karta.png", "A 19401-2025")</f>
        <v/>
      </c>
      <c r="U113">
        <f>HYPERLINK("https://klasma.github.io/Logging_2303/knärot/A 19401-2025 karta knärot.png", "A 19401-2025")</f>
        <v/>
      </c>
      <c r="V113">
        <f>HYPERLINK("https://klasma.github.io/Logging_2303/klagomål/A 19401-2025 FSC-klagomål.docx", "A 19401-2025")</f>
        <v/>
      </c>
      <c r="W113">
        <f>HYPERLINK("https://klasma.github.io/Logging_2303/klagomålsmail/A 19401-2025 FSC-klagomål mail.docx", "A 19401-2025")</f>
        <v/>
      </c>
      <c r="X113">
        <f>HYPERLINK("https://klasma.github.io/Logging_2303/tillsyn/A 19401-2025 tillsynsbegäran.docx", "A 19401-2025")</f>
        <v/>
      </c>
      <c r="Y113">
        <f>HYPERLINK("https://klasma.github.io/Logging_2303/tillsynsmail/A 19401-2025 tillsynsbegäran mail.docx", "A 19401-2025")</f>
        <v/>
      </c>
    </row>
    <row r="114" ht="15" customHeight="1">
      <c r="A114" t="inlineStr">
        <is>
          <t>A 23682-2021</t>
        </is>
      </c>
      <c r="B114" s="1" t="n">
        <v>44334</v>
      </c>
      <c r="C114" s="1" t="n">
        <v>45994</v>
      </c>
      <c r="D114" t="inlineStr">
        <is>
          <t>JÄMTLANDS LÄN</t>
        </is>
      </c>
      <c r="E114" t="inlineStr">
        <is>
          <t>RAGUNDA</t>
        </is>
      </c>
      <c r="G114" t="n">
        <v>9.199999999999999</v>
      </c>
      <c r="H114" t="n">
        <v>1</v>
      </c>
      <c r="I114" t="n">
        <v>0</v>
      </c>
      <c r="J114" t="n">
        <v>3</v>
      </c>
      <c r="K114" t="n">
        <v>1</v>
      </c>
      <c r="L114" t="n">
        <v>0</v>
      </c>
      <c r="M114" t="n">
        <v>0</v>
      </c>
      <c r="N114" t="n">
        <v>0</v>
      </c>
      <c r="O114" t="n">
        <v>4</v>
      </c>
      <c r="P114" t="n">
        <v>1</v>
      </c>
      <c r="Q114" t="n">
        <v>4</v>
      </c>
      <c r="R114" s="2" t="inlineStr">
        <is>
          <t>Knärot
Garnlav
Lunglav
Rosenticka</t>
        </is>
      </c>
      <c r="S114">
        <f>HYPERLINK("https://klasma.github.io/Logging_2303/artfynd/A 23682-2021 artfynd.xlsx", "A 23682-2021")</f>
        <v/>
      </c>
      <c r="T114">
        <f>HYPERLINK("https://klasma.github.io/Logging_2303/kartor/A 23682-2021 karta.png", "A 23682-2021")</f>
        <v/>
      </c>
      <c r="U114">
        <f>HYPERLINK("https://klasma.github.io/Logging_2303/knärot/A 23682-2021 karta knärot.png", "A 23682-2021")</f>
        <v/>
      </c>
      <c r="V114">
        <f>HYPERLINK("https://klasma.github.io/Logging_2303/klagomål/A 23682-2021 FSC-klagomål.docx", "A 23682-2021")</f>
        <v/>
      </c>
      <c r="W114">
        <f>HYPERLINK("https://klasma.github.io/Logging_2303/klagomålsmail/A 23682-2021 FSC-klagomål mail.docx", "A 23682-2021")</f>
        <v/>
      </c>
      <c r="X114">
        <f>HYPERLINK("https://klasma.github.io/Logging_2303/tillsyn/A 23682-2021 tillsynsbegäran.docx", "A 23682-2021")</f>
        <v/>
      </c>
      <c r="Y114">
        <f>HYPERLINK("https://klasma.github.io/Logging_2303/tillsynsmail/A 23682-2021 tillsynsbegäran mail.docx", "A 23682-2021")</f>
        <v/>
      </c>
    </row>
    <row r="115" ht="15" customHeight="1">
      <c r="A115" t="inlineStr">
        <is>
          <t>A 23676-2021</t>
        </is>
      </c>
      <c r="B115" s="1" t="n">
        <v>44334.62565972222</v>
      </c>
      <c r="C115" s="1" t="n">
        <v>45994</v>
      </c>
      <c r="D115" t="inlineStr">
        <is>
          <t>JÄMTLANDS LÄN</t>
        </is>
      </c>
      <c r="E115" t="inlineStr">
        <is>
          <t>RAGUNDA</t>
        </is>
      </c>
      <c r="G115" t="n">
        <v>8.5</v>
      </c>
      <c r="H115" t="n">
        <v>1</v>
      </c>
      <c r="I115" t="n">
        <v>1</v>
      </c>
      <c r="J115" t="n">
        <v>3</v>
      </c>
      <c r="K115" t="n">
        <v>0</v>
      </c>
      <c r="L115" t="n">
        <v>0</v>
      </c>
      <c r="M115" t="n">
        <v>0</v>
      </c>
      <c r="N115" t="n">
        <v>0</v>
      </c>
      <c r="O115" t="n">
        <v>3</v>
      </c>
      <c r="P115" t="n">
        <v>0</v>
      </c>
      <c r="Q115" t="n">
        <v>4</v>
      </c>
      <c r="R115" s="2" t="inlineStr">
        <is>
          <t>Lunglav
Rosenticka
Tretåig hackspett
Strutbräken</t>
        </is>
      </c>
      <c r="S115">
        <f>HYPERLINK("https://klasma.github.io/Logging_2303/artfynd/A 23676-2021 artfynd.xlsx", "A 23676-2021")</f>
        <v/>
      </c>
      <c r="T115">
        <f>HYPERLINK("https://klasma.github.io/Logging_2303/kartor/A 23676-2021 karta.png", "A 23676-2021")</f>
        <v/>
      </c>
      <c r="V115">
        <f>HYPERLINK("https://klasma.github.io/Logging_2303/klagomål/A 23676-2021 FSC-klagomål.docx", "A 23676-2021")</f>
        <v/>
      </c>
      <c r="W115">
        <f>HYPERLINK("https://klasma.github.io/Logging_2303/klagomålsmail/A 23676-2021 FSC-klagomål mail.docx", "A 23676-2021")</f>
        <v/>
      </c>
      <c r="X115">
        <f>HYPERLINK("https://klasma.github.io/Logging_2303/tillsyn/A 23676-2021 tillsynsbegäran.docx", "A 23676-2021")</f>
        <v/>
      </c>
      <c r="Y115">
        <f>HYPERLINK("https://klasma.github.io/Logging_2303/tillsynsmail/A 23676-2021 tillsynsbegäran mail.docx", "A 23676-2021")</f>
        <v/>
      </c>
      <c r="Z115">
        <f>HYPERLINK("https://klasma.github.io/Logging_2303/fåglar/A 23676-2021 prioriterade fågelarter.docx", "A 23676-2021")</f>
        <v/>
      </c>
    </row>
    <row r="116" ht="15" customHeight="1">
      <c r="A116" t="inlineStr">
        <is>
          <t>A 17092-2022</t>
        </is>
      </c>
      <c r="B116" s="1" t="n">
        <v>44677</v>
      </c>
      <c r="C116" s="1" t="n">
        <v>45994</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52644-2024</t>
        </is>
      </c>
      <c r="B117" s="1" t="n">
        <v>45610.34415509259</v>
      </c>
      <c r="C117" s="1" t="n">
        <v>45994</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40653-2025</t>
        </is>
      </c>
      <c r="B118" s="1" t="n">
        <v>45896.63618055556</v>
      </c>
      <c r="C118" s="1" t="n">
        <v>45994</v>
      </c>
      <c r="D118" t="inlineStr">
        <is>
          <t>JÄMTLANDS LÄN</t>
        </is>
      </c>
      <c r="E118" t="inlineStr">
        <is>
          <t>RAGUNDA</t>
        </is>
      </c>
      <c r="F118" t="inlineStr">
        <is>
          <t>SCA</t>
        </is>
      </c>
      <c r="G118" t="n">
        <v>3.9</v>
      </c>
      <c r="H118" t="n">
        <v>0</v>
      </c>
      <c r="I118" t="n">
        <v>1</v>
      </c>
      <c r="J118" t="n">
        <v>3</v>
      </c>
      <c r="K118" t="n">
        <v>0</v>
      </c>
      <c r="L118" t="n">
        <v>0</v>
      </c>
      <c r="M118" t="n">
        <v>0</v>
      </c>
      <c r="N118" t="n">
        <v>0</v>
      </c>
      <c r="O118" t="n">
        <v>3</v>
      </c>
      <c r="P118" t="n">
        <v>0</v>
      </c>
      <c r="Q118" t="n">
        <v>4</v>
      </c>
      <c r="R118" s="2" t="inlineStr">
        <is>
          <t>Blå taggsvamp
Garnlav
Mörk kolflarnlav
Dropptaggsvamp</t>
        </is>
      </c>
      <c r="S118">
        <f>HYPERLINK("https://klasma.github.io/Logging_2303/artfynd/A 40653-2025 artfynd.xlsx", "A 40653-2025")</f>
        <v/>
      </c>
      <c r="T118">
        <f>HYPERLINK("https://klasma.github.io/Logging_2303/kartor/A 40653-2025 karta.png", "A 40653-2025")</f>
        <v/>
      </c>
      <c r="V118">
        <f>HYPERLINK("https://klasma.github.io/Logging_2303/klagomål/A 40653-2025 FSC-klagomål.docx", "A 40653-2025")</f>
        <v/>
      </c>
      <c r="W118">
        <f>HYPERLINK("https://klasma.github.io/Logging_2303/klagomålsmail/A 40653-2025 FSC-klagomål mail.docx", "A 40653-2025")</f>
        <v/>
      </c>
      <c r="X118">
        <f>HYPERLINK("https://klasma.github.io/Logging_2303/tillsyn/A 40653-2025 tillsynsbegäran.docx", "A 40653-2025")</f>
        <v/>
      </c>
      <c r="Y118">
        <f>HYPERLINK("https://klasma.github.io/Logging_2303/tillsynsmail/A 40653-2025 tillsynsbegäran mail.docx", "A 40653-2025")</f>
        <v/>
      </c>
    </row>
    <row r="119" ht="15" customHeight="1">
      <c r="A119" t="inlineStr">
        <is>
          <t>A 52168-2025</t>
        </is>
      </c>
      <c r="B119" s="1" t="n">
        <v>45953.365625</v>
      </c>
      <c r="C119" s="1" t="n">
        <v>45994</v>
      </c>
      <c r="D119" t="inlineStr">
        <is>
          <t>JÄMTLANDS LÄN</t>
        </is>
      </c>
      <c r="E119" t="inlineStr">
        <is>
          <t>RAGUNDA</t>
        </is>
      </c>
      <c r="F119" t="inlineStr">
        <is>
          <t>SCA</t>
        </is>
      </c>
      <c r="G119" t="n">
        <v>19.5</v>
      </c>
      <c r="H119" t="n">
        <v>0</v>
      </c>
      <c r="I119" t="n">
        <v>1</v>
      </c>
      <c r="J119" t="n">
        <v>3</v>
      </c>
      <c r="K119" t="n">
        <v>0</v>
      </c>
      <c r="L119" t="n">
        <v>0</v>
      </c>
      <c r="M119" t="n">
        <v>0</v>
      </c>
      <c r="N119" t="n">
        <v>0</v>
      </c>
      <c r="O119" t="n">
        <v>3</v>
      </c>
      <c r="P119" t="n">
        <v>0</v>
      </c>
      <c r="Q119" t="n">
        <v>4</v>
      </c>
      <c r="R119" s="2" t="inlineStr">
        <is>
          <t>Garnlav
Granticka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26082-2025</t>
        </is>
      </c>
      <c r="B120" s="1" t="n">
        <v>45805.34415509259</v>
      </c>
      <c r="C120" s="1" t="n">
        <v>45994</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30465-2024</t>
        </is>
      </c>
      <c r="B121" s="1" t="n">
        <v>45491</v>
      </c>
      <c r="C121" s="1" t="n">
        <v>45994</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50342-2025</t>
        </is>
      </c>
      <c r="B122" s="1" t="n">
        <v>45944.53186342592</v>
      </c>
      <c r="C122" s="1" t="n">
        <v>45994</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48052-2022</t>
        </is>
      </c>
      <c r="B123" s="1" t="n">
        <v>44855</v>
      </c>
      <c r="C123" s="1" t="n">
        <v>45994</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45994</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58368-2024</t>
        </is>
      </c>
      <c r="B125" s="1" t="n">
        <v>45632.69822916666</v>
      </c>
      <c r="C125" s="1" t="n">
        <v>45994</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28178-2023</t>
        </is>
      </c>
      <c r="B126" s="1" t="n">
        <v>45093</v>
      </c>
      <c r="C126" s="1" t="n">
        <v>45994</v>
      </c>
      <c r="D126" t="inlineStr">
        <is>
          <t>JÄMTLANDS LÄN</t>
        </is>
      </c>
      <c r="E126" t="inlineStr">
        <is>
          <t>RAGUNDA</t>
        </is>
      </c>
      <c r="G126" t="n">
        <v>5.6</v>
      </c>
      <c r="H126" t="n">
        <v>0</v>
      </c>
      <c r="I126" t="n">
        <v>0</v>
      </c>
      <c r="J126" t="n">
        <v>3</v>
      </c>
      <c r="K126" t="n">
        <v>0</v>
      </c>
      <c r="L126" t="n">
        <v>0</v>
      </c>
      <c r="M126" t="n">
        <v>0</v>
      </c>
      <c r="N126" t="n">
        <v>0</v>
      </c>
      <c r="O126" t="n">
        <v>3</v>
      </c>
      <c r="P126" t="n">
        <v>0</v>
      </c>
      <c r="Q126" t="n">
        <v>3</v>
      </c>
      <c r="R126" s="2" t="inlineStr">
        <is>
          <t>Garnlav
Gultoppig fingersvamp
Violettgrå tagellav</t>
        </is>
      </c>
      <c r="S126">
        <f>HYPERLINK("https://klasma.github.io/Logging_2303/artfynd/A 28178-2023 artfynd.xlsx", "A 28178-2023")</f>
        <v/>
      </c>
      <c r="T126">
        <f>HYPERLINK("https://klasma.github.io/Logging_2303/kartor/A 28178-2023 karta.png", "A 28178-2023")</f>
        <v/>
      </c>
      <c r="V126">
        <f>HYPERLINK("https://klasma.github.io/Logging_2303/klagomål/A 28178-2023 FSC-klagomål.docx", "A 28178-2023")</f>
        <v/>
      </c>
      <c r="W126">
        <f>HYPERLINK("https://klasma.github.io/Logging_2303/klagomålsmail/A 28178-2023 FSC-klagomål mail.docx", "A 28178-2023")</f>
        <v/>
      </c>
      <c r="X126">
        <f>HYPERLINK("https://klasma.github.io/Logging_2303/tillsyn/A 28178-2023 tillsynsbegäran.docx", "A 28178-2023")</f>
        <v/>
      </c>
      <c r="Y126">
        <f>HYPERLINK("https://klasma.github.io/Logging_2303/tillsynsmail/A 28178-2023 tillsynsbegäran mail.docx", "A 28178-2023")</f>
        <v/>
      </c>
    </row>
    <row r="127" ht="15" customHeight="1">
      <c r="A127" t="inlineStr">
        <is>
          <t>A 49047-2023</t>
        </is>
      </c>
      <c r="B127" s="1" t="n">
        <v>45209</v>
      </c>
      <c r="C127" s="1" t="n">
        <v>45994</v>
      </c>
      <c r="D127" t="inlineStr">
        <is>
          <t>JÄMTLANDS LÄN</t>
        </is>
      </c>
      <c r="E127" t="inlineStr">
        <is>
          <t>RAGUNDA</t>
        </is>
      </c>
      <c r="F127" t="inlineStr">
        <is>
          <t>SCA</t>
        </is>
      </c>
      <c r="G127" t="n">
        <v>6.9</v>
      </c>
      <c r="H127" t="n">
        <v>0</v>
      </c>
      <c r="I127" t="n">
        <v>0</v>
      </c>
      <c r="J127" t="n">
        <v>3</v>
      </c>
      <c r="K127" t="n">
        <v>0</v>
      </c>
      <c r="L127" t="n">
        <v>0</v>
      </c>
      <c r="M127" t="n">
        <v>0</v>
      </c>
      <c r="N127" t="n">
        <v>0</v>
      </c>
      <c r="O127" t="n">
        <v>3</v>
      </c>
      <c r="P127" t="n">
        <v>0</v>
      </c>
      <c r="Q127" t="n">
        <v>3</v>
      </c>
      <c r="R127" s="2" t="inlineStr">
        <is>
          <t>Lunglav
Rosenticka
Skrovellav</t>
        </is>
      </c>
      <c r="S127">
        <f>HYPERLINK("https://klasma.github.io/Logging_2303/artfynd/A 49047-2023 artfynd.xlsx", "A 49047-2023")</f>
        <v/>
      </c>
      <c r="T127">
        <f>HYPERLINK("https://klasma.github.io/Logging_2303/kartor/A 49047-2023 karta.png", "A 49047-2023")</f>
        <v/>
      </c>
      <c r="V127">
        <f>HYPERLINK("https://klasma.github.io/Logging_2303/klagomål/A 49047-2023 FSC-klagomål.docx", "A 49047-2023")</f>
        <v/>
      </c>
      <c r="W127">
        <f>HYPERLINK("https://klasma.github.io/Logging_2303/klagomålsmail/A 49047-2023 FSC-klagomål mail.docx", "A 49047-2023")</f>
        <v/>
      </c>
      <c r="X127">
        <f>HYPERLINK("https://klasma.github.io/Logging_2303/tillsyn/A 49047-2023 tillsynsbegäran.docx", "A 49047-2023")</f>
        <v/>
      </c>
      <c r="Y127">
        <f>HYPERLINK("https://klasma.github.io/Logging_2303/tillsynsmail/A 49047-2023 tillsynsbegäran mail.docx", "A 49047-2023")</f>
        <v/>
      </c>
    </row>
    <row r="128" ht="15" customHeight="1">
      <c r="A128" t="inlineStr">
        <is>
          <t>A 20776-2024</t>
        </is>
      </c>
      <c r="B128" s="1" t="n">
        <v>45436.94686342592</v>
      </c>
      <c r="C128" s="1" t="n">
        <v>45994</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18616-2024</t>
        </is>
      </c>
      <c r="B129" s="1" t="n">
        <v>45425.96285879629</v>
      </c>
      <c r="C129" s="1" t="n">
        <v>45994</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45994</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36504-2023</t>
        </is>
      </c>
      <c r="B131" s="1" t="n">
        <v>45152</v>
      </c>
      <c r="C131" s="1" t="n">
        <v>45994</v>
      </c>
      <c r="D131" t="inlineStr">
        <is>
          <t>JÄMTLANDS LÄN</t>
        </is>
      </c>
      <c r="E131" t="inlineStr">
        <is>
          <t>RAGUNDA</t>
        </is>
      </c>
      <c r="F131" t="inlineStr">
        <is>
          <t>SCA</t>
        </is>
      </c>
      <c r="G131" t="n">
        <v>2</v>
      </c>
      <c r="H131" t="n">
        <v>0</v>
      </c>
      <c r="I131" t="n">
        <v>0</v>
      </c>
      <c r="J131" t="n">
        <v>3</v>
      </c>
      <c r="K131" t="n">
        <v>0</v>
      </c>
      <c r="L131" t="n">
        <v>0</v>
      </c>
      <c r="M131" t="n">
        <v>0</v>
      </c>
      <c r="N131" t="n">
        <v>0</v>
      </c>
      <c r="O131" t="n">
        <v>3</v>
      </c>
      <c r="P131" t="n">
        <v>0</v>
      </c>
      <c r="Q131" t="n">
        <v>3</v>
      </c>
      <c r="R131" s="2" t="inlineStr">
        <is>
          <t>Gammelgransskål
Garnlav
Granticka</t>
        </is>
      </c>
      <c r="S131">
        <f>HYPERLINK("https://klasma.github.io/Logging_2303/artfynd/A 36504-2023 artfynd.xlsx", "A 36504-2023")</f>
        <v/>
      </c>
      <c r="T131">
        <f>HYPERLINK("https://klasma.github.io/Logging_2303/kartor/A 36504-2023 karta.png", "A 36504-2023")</f>
        <v/>
      </c>
      <c r="V131">
        <f>HYPERLINK("https://klasma.github.io/Logging_2303/klagomål/A 36504-2023 FSC-klagomål.docx", "A 36504-2023")</f>
        <v/>
      </c>
      <c r="W131">
        <f>HYPERLINK("https://klasma.github.io/Logging_2303/klagomålsmail/A 36504-2023 FSC-klagomål mail.docx", "A 36504-2023")</f>
        <v/>
      </c>
      <c r="X131">
        <f>HYPERLINK("https://klasma.github.io/Logging_2303/tillsyn/A 36504-2023 tillsynsbegäran.docx", "A 36504-2023")</f>
        <v/>
      </c>
      <c r="Y131">
        <f>HYPERLINK("https://klasma.github.io/Logging_2303/tillsynsmail/A 36504-2023 tillsynsbegäran mail.docx", "A 36504-2023")</f>
        <v/>
      </c>
    </row>
    <row r="132" ht="15" customHeight="1">
      <c r="A132" t="inlineStr">
        <is>
          <t>A 14814-2024</t>
        </is>
      </c>
      <c r="B132" s="1" t="n">
        <v>45397.95748842593</v>
      </c>
      <c r="C132" s="1" t="n">
        <v>45994</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53022-2022</t>
        </is>
      </c>
      <c r="B133" s="1" t="n">
        <v>44875</v>
      </c>
      <c r="C133" s="1" t="n">
        <v>45994</v>
      </c>
      <c r="D133" t="inlineStr">
        <is>
          <t>JÄMTLANDS LÄN</t>
        </is>
      </c>
      <c r="E133" t="inlineStr">
        <is>
          <t>RAGUNDA</t>
        </is>
      </c>
      <c r="F133" t="inlineStr">
        <is>
          <t>SCA</t>
        </is>
      </c>
      <c r="G133" t="n">
        <v>2.7</v>
      </c>
      <c r="H133" t="n">
        <v>0</v>
      </c>
      <c r="I133" t="n">
        <v>1</v>
      </c>
      <c r="J133" t="n">
        <v>2</v>
      </c>
      <c r="K133" t="n">
        <v>0</v>
      </c>
      <c r="L133" t="n">
        <v>0</v>
      </c>
      <c r="M133" t="n">
        <v>0</v>
      </c>
      <c r="N133" t="n">
        <v>0</v>
      </c>
      <c r="O133" t="n">
        <v>2</v>
      </c>
      <c r="P133" t="n">
        <v>0</v>
      </c>
      <c r="Q133" t="n">
        <v>3</v>
      </c>
      <c r="R133" s="2" t="inlineStr">
        <is>
          <t>Garnlav
Lunglav
Dropptaggsvamp</t>
        </is>
      </c>
      <c r="S133">
        <f>HYPERLINK("https://klasma.github.io/Logging_2303/artfynd/A 53022-2022 artfynd.xlsx", "A 53022-2022")</f>
        <v/>
      </c>
      <c r="T133">
        <f>HYPERLINK("https://klasma.github.io/Logging_2303/kartor/A 53022-2022 karta.png", "A 53022-2022")</f>
        <v/>
      </c>
      <c r="V133">
        <f>HYPERLINK("https://klasma.github.io/Logging_2303/klagomål/A 53022-2022 FSC-klagomål.docx", "A 53022-2022")</f>
        <v/>
      </c>
      <c r="W133">
        <f>HYPERLINK("https://klasma.github.io/Logging_2303/klagomålsmail/A 53022-2022 FSC-klagomål mail.docx", "A 53022-2022")</f>
        <v/>
      </c>
      <c r="X133">
        <f>HYPERLINK("https://klasma.github.io/Logging_2303/tillsyn/A 53022-2022 tillsynsbegäran.docx", "A 53022-2022")</f>
        <v/>
      </c>
      <c r="Y133">
        <f>HYPERLINK("https://klasma.github.io/Logging_2303/tillsynsmail/A 53022-2022 tillsynsbegäran mail.docx", "A 53022-2022")</f>
        <v/>
      </c>
    </row>
    <row r="134" ht="15" customHeight="1">
      <c r="A134" t="inlineStr">
        <is>
          <t>A 33278-2022</t>
        </is>
      </c>
      <c r="B134" s="1" t="n">
        <v>44788</v>
      </c>
      <c r="C134" s="1" t="n">
        <v>45994</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21248-2025</t>
        </is>
      </c>
      <c r="B135" s="1" t="n">
        <v>45779.57392361111</v>
      </c>
      <c r="C135" s="1" t="n">
        <v>45994</v>
      </c>
      <c r="D135" t="inlineStr">
        <is>
          <t>JÄMTLANDS LÄN</t>
        </is>
      </c>
      <c r="E135" t="inlineStr">
        <is>
          <t>RAGUNDA</t>
        </is>
      </c>
      <c r="F135" t="inlineStr">
        <is>
          <t>SCA</t>
        </is>
      </c>
      <c r="G135" t="n">
        <v>2.9</v>
      </c>
      <c r="H135" t="n">
        <v>1</v>
      </c>
      <c r="I135" t="n">
        <v>1</v>
      </c>
      <c r="J135" t="n">
        <v>2</v>
      </c>
      <c r="K135" t="n">
        <v>0</v>
      </c>
      <c r="L135" t="n">
        <v>0</v>
      </c>
      <c r="M135" t="n">
        <v>0</v>
      </c>
      <c r="N135" t="n">
        <v>0</v>
      </c>
      <c r="O135" t="n">
        <v>2</v>
      </c>
      <c r="P135" t="n">
        <v>0</v>
      </c>
      <c r="Q135" t="n">
        <v>3</v>
      </c>
      <c r="R135" s="2" t="inlineStr">
        <is>
          <t>Garnlav
Tretåig hackspett
Vedticka</t>
        </is>
      </c>
      <c r="S135">
        <f>HYPERLINK("https://klasma.github.io/Logging_2303/artfynd/A 21248-2025 artfynd.xlsx", "A 21248-2025")</f>
        <v/>
      </c>
      <c r="T135">
        <f>HYPERLINK("https://klasma.github.io/Logging_2303/kartor/A 21248-2025 karta.png", "A 21248-2025")</f>
        <v/>
      </c>
      <c r="V135">
        <f>HYPERLINK("https://klasma.github.io/Logging_2303/klagomål/A 21248-2025 FSC-klagomål.docx", "A 21248-2025")</f>
        <v/>
      </c>
      <c r="W135">
        <f>HYPERLINK("https://klasma.github.io/Logging_2303/klagomålsmail/A 21248-2025 FSC-klagomål mail.docx", "A 21248-2025")</f>
        <v/>
      </c>
      <c r="X135">
        <f>HYPERLINK("https://klasma.github.io/Logging_2303/tillsyn/A 21248-2025 tillsynsbegäran.docx", "A 21248-2025")</f>
        <v/>
      </c>
      <c r="Y135">
        <f>HYPERLINK("https://klasma.github.io/Logging_2303/tillsynsmail/A 21248-2025 tillsynsbegäran mail.docx", "A 21248-2025")</f>
        <v/>
      </c>
      <c r="Z135">
        <f>HYPERLINK("https://klasma.github.io/Logging_2303/fåglar/A 21248-2025 prioriterade fågelarter.docx", "A 21248-2025")</f>
        <v/>
      </c>
    </row>
    <row r="136" ht="15" customHeight="1">
      <c r="A136" t="inlineStr">
        <is>
          <t>A 7519-2023</t>
        </is>
      </c>
      <c r="B136" s="1" t="n">
        <v>44971</v>
      </c>
      <c r="C136" s="1" t="n">
        <v>45994</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30470-2024</t>
        </is>
      </c>
      <c r="B137" s="1" t="n">
        <v>45491.94715277778</v>
      </c>
      <c r="C137" s="1" t="n">
        <v>45994</v>
      </c>
      <c r="D137" t="inlineStr">
        <is>
          <t>JÄMTLANDS LÄN</t>
        </is>
      </c>
      <c r="E137" t="inlineStr">
        <is>
          <t>RAGUNDA</t>
        </is>
      </c>
      <c r="F137" t="inlineStr">
        <is>
          <t>SCA</t>
        </is>
      </c>
      <c r="G137" t="n">
        <v>1.4</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HYPERLINK("https://klasma.github.io/Logging_2303/artfynd/A 30470-2024 artfynd.xlsx", "A 30470-2024")</f>
        <v/>
      </c>
      <c r="T137">
        <f>HYPERLINK("https://klasma.github.io/Logging_2303/kartor/A 30470-2024 karta.png", "A 30470-2024")</f>
        <v/>
      </c>
      <c r="U137">
        <f>HYPERLINK("https://klasma.github.io/Logging_2303/knärot/A 30470-2024 karta knärot.png", "A 30470-2024")</f>
        <v/>
      </c>
      <c r="V137">
        <f>HYPERLINK("https://klasma.github.io/Logging_2303/klagomål/A 30470-2024 FSC-klagomål.docx", "A 30470-2024")</f>
        <v/>
      </c>
      <c r="W137">
        <f>HYPERLINK("https://klasma.github.io/Logging_2303/klagomålsmail/A 30470-2024 FSC-klagomål mail.docx", "A 30470-2024")</f>
        <v/>
      </c>
      <c r="X137">
        <f>HYPERLINK("https://klasma.github.io/Logging_2303/tillsyn/A 30470-2024 tillsynsbegäran.docx", "A 30470-2024")</f>
        <v/>
      </c>
      <c r="Y137">
        <f>HYPERLINK("https://klasma.github.io/Logging_2303/tillsynsmail/A 30470-2024 tillsynsbegäran mail.docx", "A 30470-2024")</f>
        <v/>
      </c>
      <c r="Z137">
        <f>HYPERLINK("https://klasma.github.io/Logging_2303/fåglar/A 30470-2024 prioriterade fågelarter.docx", "A 30470-2024")</f>
        <v/>
      </c>
    </row>
    <row r="138" ht="15" customHeight="1">
      <c r="A138" t="inlineStr">
        <is>
          <t>A 16305-2025</t>
        </is>
      </c>
      <c r="B138" s="1" t="n">
        <v>45751.34650462963</v>
      </c>
      <c r="C138" s="1" t="n">
        <v>45994</v>
      </c>
      <c r="D138" t="inlineStr">
        <is>
          <t>JÄMTLANDS LÄN</t>
        </is>
      </c>
      <c r="E138" t="inlineStr">
        <is>
          <t>RAGUNDA</t>
        </is>
      </c>
      <c r="F138" t="inlineStr">
        <is>
          <t>SCA</t>
        </is>
      </c>
      <c r="G138" t="n">
        <v>2.5</v>
      </c>
      <c r="H138" t="n">
        <v>0</v>
      </c>
      <c r="I138" t="n">
        <v>2</v>
      </c>
      <c r="J138" t="n">
        <v>1</v>
      </c>
      <c r="K138" t="n">
        <v>0</v>
      </c>
      <c r="L138" t="n">
        <v>0</v>
      </c>
      <c r="M138" t="n">
        <v>0</v>
      </c>
      <c r="N138" t="n">
        <v>0</v>
      </c>
      <c r="O138" t="n">
        <v>1</v>
      </c>
      <c r="P138" t="n">
        <v>0</v>
      </c>
      <c r="Q138" t="n">
        <v>3</v>
      </c>
      <c r="R138" s="2" t="inlineStr">
        <is>
          <t>Lunglav
Bollvitmossa
Källmossa</t>
        </is>
      </c>
      <c r="S138">
        <f>HYPERLINK("https://klasma.github.io/Logging_2303/artfynd/A 16305-2025 artfynd.xlsx", "A 16305-2025")</f>
        <v/>
      </c>
      <c r="T138">
        <f>HYPERLINK("https://klasma.github.io/Logging_2303/kartor/A 16305-2025 karta.png", "A 16305-2025")</f>
        <v/>
      </c>
      <c r="V138">
        <f>HYPERLINK("https://klasma.github.io/Logging_2303/klagomål/A 16305-2025 FSC-klagomål.docx", "A 16305-2025")</f>
        <v/>
      </c>
      <c r="W138">
        <f>HYPERLINK("https://klasma.github.io/Logging_2303/klagomålsmail/A 16305-2025 FSC-klagomål mail.docx", "A 16305-2025")</f>
        <v/>
      </c>
      <c r="X138">
        <f>HYPERLINK("https://klasma.github.io/Logging_2303/tillsyn/A 16305-2025 tillsynsbegäran.docx", "A 16305-2025")</f>
        <v/>
      </c>
      <c r="Y138">
        <f>HYPERLINK("https://klasma.github.io/Logging_2303/tillsynsmail/A 16305-2025 tillsynsbegäran mail.docx", "A 16305-2025")</f>
        <v/>
      </c>
    </row>
    <row r="139" ht="15" customHeight="1">
      <c r="A139" t="inlineStr">
        <is>
          <t>A 22730-2023</t>
        </is>
      </c>
      <c r="B139" s="1" t="n">
        <v>45071</v>
      </c>
      <c r="C139" s="1" t="n">
        <v>45994</v>
      </c>
      <c r="D139" t="inlineStr">
        <is>
          <t>JÄMTLANDS LÄN</t>
        </is>
      </c>
      <c r="E139" t="inlineStr">
        <is>
          <t>RAGUNDA</t>
        </is>
      </c>
      <c r="G139" t="n">
        <v>3.6</v>
      </c>
      <c r="H139" t="n">
        <v>0</v>
      </c>
      <c r="I139" t="n">
        <v>0</v>
      </c>
      <c r="J139" t="n">
        <v>3</v>
      </c>
      <c r="K139" t="n">
        <v>0</v>
      </c>
      <c r="L139" t="n">
        <v>0</v>
      </c>
      <c r="M139" t="n">
        <v>0</v>
      </c>
      <c r="N139" t="n">
        <v>0</v>
      </c>
      <c r="O139" t="n">
        <v>3</v>
      </c>
      <c r="P139" t="n">
        <v>0</v>
      </c>
      <c r="Q139" t="n">
        <v>3</v>
      </c>
      <c r="R139" s="2" t="inlineStr">
        <is>
          <t>Garnlav
Lunglav
Vitgrynig nållav</t>
        </is>
      </c>
      <c r="S139">
        <f>HYPERLINK("https://klasma.github.io/Logging_2303/artfynd/A 22730-2023 artfynd.xlsx", "A 22730-2023")</f>
        <v/>
      </c>
      <c r="T139">
        <f>HYPERLINK("https://klasma.github.io/Logging_2303/kartor/A 22730-2023 karta.png", "A 22730-2023")</f>
        <v/>
      </c>
      <c r="V139">
        <f>HYPERLINK("https://klasma.github.io/Logging_2303/klagomål/A 22730-2023 FSC-klagomål.docx", "A 22730-2023")</f>
        <v/>
      </c>
      <c r="W139">
        <f>HYPERLINK("https://klasma.github.io/Logging_2303/klagomålsmail/A 22730-2023 FSC-klagomål mail.docx", "A 22730-2023")</f>
        <v/>
      </c>
      <c r="X139">
        <f>HYPERLINK("https://klasma.github.io/Logging_2303/tillsyn/A 22730-2023 tillsynsbegäran.docx", "A 22730-2023")</f>
        <v/>
      </c>
      <c r="Y139">
        <f>HYPERLINK("https://klasma.github.io/Logging_2303/tillsynsmail/A 22730-2023 tillsynsbegäran mail.docx", "A 22730-2023")</f>
        <v/>
      </c>
    </row>
    <row r="140" ht="15" customHeight="1">
      <c r="A140" t="inlineStr">
        <is>
          <t>A 12737-2025</t>
        </is>
      </c>
      <c r="B140" s="1" t="n">
        <v>45733</v>
      </c>
      <c r="C140" s="1" t="n">
        <v>45994</v>
      </c>
      <c r="D140" t="inlineStr">
        <is>
          <t>JÄMTLANDS LÄN</t>
        </is>
      </c>
      <c r="E140" t="inlineStr">
        <is>
          <t>RAGUNDA</t>
        </is>
      </c>
      <c r="G140" t="n">
        <v>16.1</v>
      </c>
      <c r="H140" t="n">
        <v>2</v>
      </c>
      <c r="I140" t="n">
        <v>2</v>
      </c>
      <c r="J140" t="n">
        <v>0</v>
      </c>
      <c r="K140" t="n">
        <v>1</v>
      </c>
      <c r="L140" t="n">
        <v>0</v>
      </c>
      <c r="M140" t="n">
        <v>0</v>
      </c>
      <c r="N140" t="n">
        <v>0</v>
      </c>
      <c r="O140" t="n">
        <v>1</v>
      </c>
      <c r="P140" t="n">
        <v>1</v>
      </c>
      <c r="Q140" t="n">
        <v>3</v>
      </c>
      <c r="R140" s="2" t="inlineStr">
        <is>
          <t>Knärot
Plattlummer
Skarp dropptaggsvamp</t>
        </is>
      </c>
      <c r="S140">
        <f>HYPERLINK("https://klasma.github.io/Logging_2303/artfynd/A 12737-2025 artfynd.xlsx", "A 12737-2025")</f>
        <v/>
      </c>
      <c r="T140">
        <f>HYPERLINK("https://klasma.github.io/Logging_2303/kartor/A 12737-2025 karta.png", "A 12737-2025")</f>
        <v/>
      </c>
      <c r="U140">
        <f>HYPERLINK("https://klasma.github.io/Logging_2303/knärot/A 12737-2025 karta knärot.png", "A 12737-2025")</f>
        <v/>
      </c>
      <c r="V140">
        <f>HYPERLINK("https://klasma.github.io/Logging_2303/klagomål/A 12737-2025 FSC-klagomål.docx", "A 12737-2025")</f>
        <v/>
      </c>
      <c r="W140">
        <f>HYPERLINK("https://klasma.github.io/Logging_2303/klagomålsmail/A 12737-2025 FSC-klagomål mail.docx", "A 12737-2025")</f>
        <v/>
      </c>
      <c r="X140">
        <f>HYPERLINK("https://klasma.github.io/Logging_2303/tillsyn/A 12737-2025 tillsynsbegäran.docx", "A 12737-2025")</f>
        <v/>
      </c>
      <c r="Y140">
        <f>HYPERLINK("https://klasma.github.io/Logging_2303/tillsynsmail/A 12737-2025 tillsynsbegäran mail.docx", "A 12737-2025")</f>
        <v/>
      </c>
    </row>
    <row r="141" ht="15" customHeight="1">
      <c r="A141" t="inlineStr">
        <is>
          <t>A 58737-2022</t>
        </is>
      </c>
      <c r="B141" s="1" t="n">
        <v>44902</v>
      </c>
      <c r="C141" s="1" t="n">
        <v>45994</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5048-2025</t>
        </is>
      </c>
      <c r="B142" s="1" t="n">
        <v>45691.44769675926</v>
      </c>
      <c r="C142" s="1" t="n">
        <v>45994</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61790-2023</t>
        </is>
      </c>
      <c r="B143" s="1" t="n">
        <v>45265</v>
      </c>
      <c r="C143" s="1" t="n">
        <v>45994</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57941-2024</t>
        </is>
      </c>
      <c r="B144" s="1" t="n">
        <v>45631</v>
      </c>
      <c r="C144" s="1" t="n">
        <v>45994</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48054-2022</t>
        </is>
      </c>
      <c r="B145" s="1" t="n">
        <v>44855</v>
      </c>
      <c r="C145" s="1" t="n">
        <v>45994</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25769-2025</t>
        </is>
      </c>
      <c r="B146" s="1" t="n">
        <v>45804.34474537037</v>
      </c>
      <c r="C146" s="1" t="n">
        <v>45994</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22571-2025</t>
        </is>
      </c>
      <c r="B147" s="1" t="n">
        <v>45789.36503472222</v>
      </c>
      <c r="C147" s="1" t="n">
        <v>45994</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34585-2025</t>
        </is>
      </c>
      <c r="B148" s="1" t="n">
        <v>45847.61498842593</v>
      </c>
      <c r="C148" s="1" t="n">
        <v>45994</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32416-2025</t>
        </is>
      </c>
      <c r="B149" s="1" t="n">
        <v>45838</v>
      </c>
      <c r="C149" s="1" t="n">
        <v>45994</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57667-2025</t>
        </is>
      </c>
      <c r="B150" s="1" t="n">
        <v>45981.42767361111</v>
      </c>
      <c r="C150" s="1" t="n">
        <v>45994</v>
      </c>
      <c r="D150" t="inlineStr">
        <is>
          <t>JÄMTLANDS LÄN</t>
        </is>
      </c>
      <c r="E150" t="inlineStr">
        <is>
          <t>RAGUNDA</t>
        </is>
      </c>
      <c r="F150" t="inlineStr">
        <is>
          <t>SCA</t>
        </is>
      </c>
      <c r="G150" t="n">
        <v>1.7</v>
      </c>
      <c r="H150" t="n">
        <v>0</v>
      </c>
      <c r="I150" t="n">
        <v>2</v>
      </c>
      <c r="J150" t="n">
        <v>1</v>
      </c>
      <c r="K150" t="n">
        <v>0</v>
      </c>
      <c r="L150" t="n">
        <v>0</v>
      </c>
      <c r="M150" t="n">
        <v>0</v>
      </c>
      <c r="N150" t="n">
        <v>0</v>
      </c>
      <c r="O150" t="n">
        <v>1</v>
      </c>
      <c r="P150" t="n">
        <v>0</v>
      </c>
      <c r="Q150" t="n">
        <v>3</v>
      </c>
      <c r="R150" s="2" t="inlineStr">
        <is>
          <t>Lunglav
Korallblylav
Luddlav</t>
        </is>
      </c>
      <c r="S150">
        <f>HYPERLINK("https://klasma.github.io/Logging_2303/artfynd/A 57667-2025 artfynd.xlsx", "A 57667-2025")</f>
        <v/>
      </c>
      <c r="T150">
        <f>HYPERLINK("https://klasma.github.io/Logging_2303/kartor/A 57667-2025 karta.png", "A 57667-2025")</f>
        <v/>
      </c>
      <c r="V150">
        <f>HYPERLINK("https://klasma.github.io/Logging_2303/klagomål/A 57667-2025 FSC-klagomål.docx", "A 57667-2025")</f>
        <v/>
      </c>
      <c r="W150">
        <f>HYPERLINK("https://klasma.github.io/Logging_2303/klagomålsmail/A 57667-2025 FSC-klagomål mail.docx", "A 57667-2025")</f>
        <v/>
      </c>
      <c r="X150">
        <f>HYPERLINK("https://klasma.github.io/Logging_2303/tillsyn/A 57667-2025 tillsynsbegäran.docx", "A 57667-2025")</f>
        <v/>
      </c>
      <c r="Y150">
        <f>HYPERLINK("https://klasma.github.io/Logging_2303/tillsynsmail/A 57667-2025 tillsynsbegäran mail.docx", "A 57667-2025")</f>
        <v/>
      </c>
    </row>
    <row r="151" ht="15" customHeight="1">
      <c r="A151" t="inlineStr">
        <is>
          <t>A 59179-2025</t>
        </is>
      </c>
      <c r="B151" s="1" t="n">
        <v>45988.57350694444</v>
      </c>
      <c r="C151" s="1" t="n">
        <v>45994</v>
      </c>
      <c r="D151" t="inlineStr">
        <is>
          <t>JÄMTLANDS LÄN</t>
        </is>
      </c>
      <c r="E151" t="inlineStr">
        <is>
          <t>RAGUNDA</t>
        </is>
      </c>
      <c r="F151" t="inlineStr">
        <is>
          <t>SCA</t>
        </is>
      </c>
      <c r="G151" t="n">
        <v>2.3</v>
      </c>
      <c r="H151" t="n">
        <v>0</v>
      </c>
      <c r="I151" t="n">
        <v>0</v>
      </c>
      <c r="J151" t="n">
        <v>3</v>
      </c>
      <c r="K151" t="n">
        <v>0</v>
      </c>
      <c r="L151" t="n">
        <v>0</v>
      </c>
      <c r="M151" t="n">
        <v>0</v>
      </c>
      <c r="N151" t="n">
        <v>0</v>
      </c>
      <c r="O151" t="n">
        <v>3</v>
      </c>
      <c r="P151" t="n">
        <v>0</v>
      </c>
      <c r="Q151" t="n">
        <v>3</v>
      </c>
      <c r="R151" s="2" t="inlineStr">
        <is>
          <t>Garnlav
Kolflarnlav
Lunglav</t>
        </is>
      </c>
      <c r="S151">
        <f>HYPERLINK("https://klasma.github.io/Logging_2303/artfynd/A 59179-2025 artfynd.xlsx", "A 59179-2025")</f>
        <v/>
      </c>
      <c r="T151">
        <f>HYPERLINK("https://klasma.github.io/Logging_2303/kartor/A 59179-2025 karta.png", "A 59179-2025")</f>
        <v/>
      </c>
      <c r="V151">
        <f>HYPERLINK("https://klasma.github.io/Logging_2303/klagomål/A 59179-2025 FSC-klagomål.docx", "A 59179-2025")</f>
        <v/>
      </c>
      <c r="W151">
        <f>HYPERLINK("https://klasma.github.io/Logging_2303/klagomålsmail/A 59179-2025 FSC-klagomål mail.docx", "A 59179-2025")</f>
        <v/>
      </c>
      <c r="X151">
        <f>HYPERLINK("https://klasma.github.io/Logging_2303/tillsyn/A 59179-2025 tillsynsbegäran.docx", "A 59179-2025")</f>
        <v/>
      </c>
      <c r="Y151">
        <f>HYPERLINK("https://klasma.github.io/Logging_2303/tillsynsmail/A 59179-2025 tillsynsbegäran mail.docx", "A 59179-2025")</f>
        <v/>
      </c>
    </row>
    <row r="152" ht="15" customHeight="1">
      <c r="A152" t="inlineStr">
        <is>
          <t>A 17043-2022</t>
        </is>
      </c>
      <c r="B152" s="1" t="n">
        <v>44676</v>
      </c>
      <c r="C152" s="1" t="n">
        <v>45994</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21037-2021</t>
        </is>
      </c>
      <c r="B153" s="1" t="n">
        <v>44319</v>
      </c>
      <c r="C153" s="1" t="n">
        <v>45994</v>
      </c>
      <c r="D153" t="inlineStr">
        <is>
          <t>JÄMTLANDS LÄN</t>
        </is>
      </c>
      <c r="E153" t="inlineStr">
        <is>
          <t>RAGUNDA</t>
        </is>
      </c>
      <c r="F153" t="inlineStr">
        <is>
          <t>Kyrkan</t>
        </is>
      </c>
      <c r="G153" t="n">
        <v>0.8</v>
      </c>
      <c r="H153" t="n">
        <v>0</v>
      </c>
      <c r="I153" t="n">
        <v>0</v>
      </c>
      <c r="J153" t="n">
        <v>2</v>
      </c>
      <c r="K153" t="n">
        <v>0</v>
      </c>
      <c r="L153" t="n">
        <v>0</v>
      </c>
      <c r="M153" t="n">
        <v>0</v>
      </c>
      <c r="N153" t="n">
        <v>0</v>
      </c>
      <c r="O153" t="n">
        <v>2</v>
      </c>
      <c r="P153" t="n">
        <v>0</v>
      </c>
      <c r="Q153" t="n">
        <v>2</v>
      </c>
      <c r="R153" s="2" t="inlineStr">
        <is>
          <t>Olivbrun gytterlav
Persiljespindling</t>
        </is>
      </c>
      <c r="S153">
        <f>HYPERLINK("https://klasma.github.io/Logging_2303/artfynd/A 21037-2021 artfynd.xlsx", "A 21037-2021")</f>
        <v/>
      </c>
      <c r="T153">
        <f>HYPERLINK("https://klasma.github.io/Logging_2303/kartor/A 21037-2021 karta.png", "A 21037-2021")</f>
        <v/>
      </c>
      <c r="V153">
        <f>HYPERLINK("https://klasma.github.io/Logging_2303/klagomål/A 21037-2021 FSC-klagomål.docx", "A 21037-2021")</f>
        <v/>
      </c>
      <c r="W153">
        <f>HYPERLINK("https://klasma.github.io/Logging_2303/klagomålsmail/A 21037-2021 FSC-klagomål mail.docx", "A 21037-2021")</f>
        <v/>
      </c>
      <c r="X153">
        <f>HYPERLINK("https://klasma.github.io/Logging_2303/tillsyn/A 21037-2021 tillsynsbegäran.docx", "A 21037-2021")</f>
        <v/>
      </c>
      <c r="Y153">
        <f>HYPERLINK("https://klasma.github.io/Logging_2303/tillsynsmail/A 21037-2021 tillsynsbegäran mail.docx", "A 21037-2021")</f>
        <v/>
      </c>
    </row>
    <row r="154" ht="15" customHeight="1">
      <c r="A154" t="inlineStr">
        <is>
          <t>A 48059-2022</t>
        </is>
      </c>
      <c r="B154" s="1" t="n">
        <v>44855</v>
      </c>
      <c r="C154" s="1" t="n">
        <v>45994</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56285-2023</t>
        </is>
      </c>
      <c r="B155" s="1" t="n">
        <v>45241</v>
      </c>
      <c r="C155" s="1" t="n">
        <v>45994</v>
      </c>
      <c r="D155" t="inlineStr">
        <is>
          <t>JÄMTLANDS LÄN</t>
        </is>
      </c>
      <c r="E155" t="inlineStr">
        <is>
          <t>RAGUNDA</t>
        </is>
      </c>
      <c r="F155" t="inlineStr">
        <is>
          <t>SCA</t>
        </is>
      </c>
      <c r="G155" t="n">
        <v>5.5</v>
      </c>
      <c r="H155" t="n">
        <v>0</v>
      </c>
      <c r="I155" t="n">
        <v>0</v>
      </c>
      <c r="J155" t="n">
        <v>2</v>
      </c>
      <c r="K155" t="n">
        <v>0</v>
      </c>
      <c r="L155" t="n">
        <v>0</v>
      </c>
      <c r="M155" t="n">
        <v>0</v>
      </c>
      <c r="N155" t="n">
        <v>0</v>
      </c>
      <c r="O155" t="n">
        <v>2</v>
      </c>
      <c r="P155" t="n">
        <v>0</v>
      </c>
      <c r="Q155" t="n">
        <v>2</v>
      </c>
      <c r="R155" s="2" t="inlineStr">
        <is>
          <t>Lunglav
Skrovellav</t>
        </is>
      </c>
      <c r="S155">
        <f>HYPERLINK("https://klasma.github.io/Logging_2303/artfynd/A 56285-2023 artfynd.xlsx", "A 56285-2023")</f>
        <v/>
      </c>
      <c r="T155">
        <f>HYPERLINK("https://klasma.github.io/Logging_2303/kartor/A 56285-2023 karta.png", "A 56285-2023")</f>
        <v/>
      </c>
      <c r="V155">
        <f>HYPERLINK("https://klasma.github.io/Logging_2303/klagomål/A 56285-2023 FSC-klagomål.docx", "A 56285-2023")</f>
        <v/>
      </c>
      <c r="W155">
        <f>HYPERLINK("https://klasma.github.io/Logging_2303/klagomålsmail/A 56285-2023 FSC-klagomål mail.docx", "A 56285-2023")</f>
        <v/>
      </c>
      <c r="X155">
        <f>HYPERLINK("https://klasma.github.io/Logging_2303/tillsyn/A 56285-2023 tillsynsbegäran.docx", "A 56285-2023")</f>
        <v/>
      </c>
      <c r="Y155">
        <f>HYPERLINK("https://klasma.github.io/Logging_2303/tillsynsmail/A 56285-2023 tillsynsbegäran mail.docx", "A 56285-2023")</f>
        <v/>
      </c>
    </row>
    <row r="156" ht="15" customHeight="1">
      <c r="A156" t="inlineStr">
        <is>
          <t>A 30053-2024</t>
        </is>
      </c>
      <c r="B156" s="1" t="n">
        <v>45488.94747685185</v>
      </c>
      <c r="C156" s="1" t="n">
        <v>45994</v>
      </c>
      <c r="D156" t="inlineStr">
        <is>
          <t>JÄMTLANDS LÄN</t>
        </is>
      </c>
      <c r="E156" t="inlineStr">
        <is>
          <t>RAGUNDA</t>
        </is>
      </c>
      <c r="F156" t="inlineStr">
        <is>
          <t>SCA</t>
        </is>
      </c>
      <c r="G156" t="n">
        <v>9.6</v>
      </c>
      <c r="H156" t="n">
        <v>0</v>
      </c>
      <c r="I156" t="n">
        <v>1</v>
      </c>
      <c r="J156" t="n">
        <v>1</v>
      </c>
      <c r="K156" t="n">
        <v>0</v>
      </c>
      <c r="L156" t="n">
        <v>0</v>
      </c>
      <c r="M156" t="n">
        <v>0</v>
      </c>
      <c r="N156" t="n">
        <v>0</v>
      </c>
      <c r="O156" t="n">
        <v>1</v>
      </c>
      <c r="P156" t="n">
        <v>0</v>
      </c>
      <c r="Q156" t="n">
        <v>2</v>
      </c>
      <c r="R156" s="2" t="inlineStr">
        <is>
          <t>Lunglav
Korallblylav</t>
        </is>
      </c>
      <c r="S156">
        <f>HYPERLINK("https://klasma.github.io/Logging_2303/artfynd/A 30053-2024 artfynd.xlsx", "A 30053-2024")</f>
        <v/>
      </c>
      <c r="T156">
        <f>HYPERLINK("https://klasma.github.io/Logging_2303/kartor/A 30053-2024 karta.png", "A 30053-2024")</f>
        <v/>
      </c>
      <c r="V156">
        <f>HYPERLINK("https://klasma.github.io/Logging_2303/klagomål/A 30053-2024 FSC-klagomål.docx", "A 30053-2024")</f>
        <v/>
      </c>
      <c r="W156">
        <f>HYPERLINK("https://klasma.github.io/Logging_2303/klagomålsmail/A 30053-2024 FSC-klagomål mail.docx", "A 30053-2024")</f>
        <v/>
      </c>
      <c r="X156">
        <f>HYPERLINK("https://klasma.github.io/Logging_2303/tillsyn/A 30053-2024 tillsynsbegäran.docx", "A 30053-2024")</f>
        <v/>
      </c>
      <c r="Y156">
        <f>HYPERLINK("https://klasma.github.io/Logging_2303/tillsynsmail/A 30053-2024 tillsynsbegäran mail.docx", "A 30053-2024")</f>
        <v/>
      </c>
    </row>
    <row r="157" ht="15" customHeight="1">
      <c r="A157" t="inlineStr">
        <is>
          <t>A 39495-2024</t>
        </is>
      </c>
      <c r="B157" s="1" t="n">
        <v>45551.65726851852</v>
      </c>
      <c r="C157" s="1" t="n">
        <v>45994</v>
      </c>
      <c r="D157" t="inlineStr">
        <is>
          <t>JÄMTLANDS LÄN</t>
        </is>
      </c>
      <c r="E157" t="inlineStr">
        <is>
          <t>RAGUNDA</t>
        </is>
      </c>
      <c r="F157" t="inlineStr">
        <is>
          <t>SCA</t>
        </is>
      </c>
      <c r="G157" t="n">
        <v>6.6</v>
      </c>
      <c r="H157" t="n">
        <v>0</v>
      </c>
      <c r="I157" t="n">
        <v>0</v>
      </c>
      <c r="J157" t="n">
        <v>2</v>
      </c>
      <c r="K157" t="n">
        <v>0</v>
      </c>
      <c r="L157" t="n">
        <v>0</v>
      </c>
      <c r="M157" t="n">
        <v>0</v>
      </c>
      <c r="N157" t="n">
        <v>0</v>
      </c>
      <c r="O157" t="n">
        <v>2</v>
      </c>
      <c r="P157" t="n">
        <v>0</v>
      </c>
      <c r="Q157" t="n">
        <v>2</v>
      </c>
      <c r="R157" s="2" t="inlineStr">
        <is>
          <t>Garnlav
Ullticka</t>
        </is>
      </c>
      <c r="S157">
        <f>HYPERLINK("https://klasma.github.io/Logging_2303/artfynd/A 39495-2024 artfynd.xlsx", "A 39495-2024")</f>
        <v/>
      </c>
      <c r="T157">
        <f>HYPERLINK("https://klasma.github.io/Logging_2303/kartor/A 39495-2024 karta.png", "A 39495-2024")</f>
        <v/>
      </c>
      <c r="V157">
        <f>HYPERLINK("https://klasma.github.io/Logging_2303/klagomål/A 39495-2024 FSC-klagomål.docx", "A 39495-2024")</f>
        <v/>
      </c>
      <c r="W157">
        <f>HYPERLINK("https://klasma.github.io/Logging_2303/klagomålsmail/A 39495-2024 FSC-klagomål mail.docx", "A 39495-2024")</f>
        <v/>
      </c>
      <c r="X157">
        <f>HYPERLINK("https://klasma.github.io/Logging_2303/tillsyn/A 39495-2024 tillsynsbegäran.docx", "A 39495-2024")</f>
        <v/>
      </c>
      <c r="Y157">
        <f>HYPERLINK("https://klasma.github.io/Logging_2303/tillsynsmail/A 39495-2024 tillsynsbegäran mail.docx", "A 39495-2024")</f>
        <v/>
      </c>
    </row>
    <row r="158" ht="15" customHeight="1">
      <c r="A158" t="inlineStr">
        <is>
          <t>A 50089-2022</t>
        </is>
      </c>
      <c r="B158" s="1" t="n">
        <v>44865</v>
      </c>
      <c r="C158" s="1" t="n">
        <v>45994</v>
      </c>
      <c r="D158" t="inlineStr">
        <is>
          <t>JÄMTLANDS LÄN</t>
        </is>
      </c>
      <c r="E158" t="inlineStr">
        <is>
          <t>RAGUNDA</t>
        </is>
      </c>
      <c r="G158" t="n">
        <v>5.7</v>
      </c>
      <c r="H158" t="n">
        <v>2</v>
      </c>
      <c r="I158" t="n">
        <v>0</v>
      </c>
      <c r="J158" t="n">
        <v>2</v>
      </c>
      <c r="K158" t="n">
        <v>0</v>
      </c>
      <c r="L158" t="n">
        <v>0</v>
      </c>
      <c r="M158" t="n">
        <v>0</v>
      </c>
      <c r="N158" t="n">
        <v>0</v>
      </c>
      <c r="O158" t="n">
        <v>2</v>
      </c>
      <c r="P158" t="n">
        <v>0</v>
      </c>
      <c r="Q158" t="n">
        <v>2</v>
      </c>
      <c r="R158" s="2" t="inlineStr">
        <is>
          <t>Björktrast
Drillsnäppa</t>
        </is>
      </c>
      <c r="S158">
        <f>HYPERLINK("https://klasma.github.io/Logging_2303/artfynd/A 50089-2022 artfynd.xlsx", "A 50089-2022")</f>
        <v/>
      </c>
      <c r="T158">
        <f>HYPERLINK("https://klasma.github.io/Logging_2303/kartor/A 50089-2022 karta.png", "A 50089-2022")</f>
        <v/>
      </c>
      <c r="V158">
        <f>HYPERLINK("https://klasma.github.io/Logging_2303/klagomål/A 50089-2022 FSC-klagomål.docx", "A 50089-2022")</f>
        <v/>
      </c>
      <c r="W158">
        <f>HYPERLINK("https://klasma.github.io/Logging_2303/klagomålsmail/A 50089-2022 FSC-klagomål mail.docx", "A 50089-2022")</f>
        <v/>
      </c>
      <c r="X158">
        <f>HYPERLINK("https://klasma.github.io/Logging_2303/tillsyn/A 50089-2022 tillsynsbegäran.docx", "A 50089-2022")</f>
        <v/>
      </c>
      <c r="Y158">
        <f>HYPERLINK("https://klasma.github.io/Logging_2303/tillsynsmail/A 50089-2022 tillsynsbegäran mail.docx", "A 50089-2022")</f>
        <v/>
      </c>
      <c r="Z158">
        <f>HYPERLINK("https://klasma.github.io/Logging_2303/fåglar/A 50089-2022 prioriterade fågelarter.docx", "A 50089-2022")</f>
        <v/>
      </c>
    </row>
    <row r="159" ht="15" customHeight="1">
      <c r="A159" t="inlineStr">
        <is>
          <t>A 19728-2025</t>
        </is>
      </c>
      <c r="B159" s="1" t="n">
        <v>45771.36548611111</v>
      </c>
      <c r="C159" s="1" t="n">
        <v>45994</v>
      </c>
      <c r="D159" t="inlineStr">
        <is>
          <t>JÄMTLANDS LÄN</t>
        </is>
      </c>
      <c r="E159" t="inlineStr">
        <is>
          <t>RAGUNDA</t>
        </is>
      </c>
      <c r="F159" t="inlineStr">
        <is>
          <t>SCA</t>
        </is>
      </c>
      <c r="G159" t="n">
        <v>6.2</v>
      </c>
      <c r="H159" t="n">
        <v>1</v>
      </c>
      <c r="I159" t="n">
        <v>0</v>
      </c>
      <c r="J159" t="n">
        <v>2</v>
      </c>
      <c r="K159" t="n">
        <v>0</v>
      </c>
      <c r="L159" t="n">
        <v>0</v>
      </c>
      <c r="M159" t="n">
        <v>0</v>
      </c>
      <c r="N159" t="n">
        <v>0</v>
      </c>
      <c r="O159" t="n">
        <v>2</v>
      </c>
      <c r="P159" t="n">
        <v>0</v>
      </c>
      <c r="Q159" t="n">
        <v>2</v>
      </c>
      <c r="R159" s="2" t="inlineStr">
        <is>
          <t>Stjärntagging
Tretåig hackspett</t>
        </is>
      </c>
      <c r="S159">
        <f>HYPERLINK("https://klasma.github.io/Logging_2303/artfynd/A 19728-2025 artfynd.xlsx", "A 19728-2025")</f>
        <v/>
      </c>
      <c r="T159">
        <f>HYPERLINK("https://klasma.github.io/Logging_2303/kartor/A 19728-2025 karta.png", "A 19728-2025")</f>
        <v/>
      </c>
      <c r="V159">
        <f>HYPERLINK("https://klasma.github.io/Logging_2303/klagomål/A 19728-2025 FSC-klagomål.docx", "A 19728-2025")</f>
        <v/>
      </c>
      <c r="W159">
        <f>HYPERLINK("https://klasma.github.io/Logging_2303/klagomålsmail/A 19728-2025 FSC-klagomål mail.docx", "A 19728-2025")</f>
        <v/>
      </c>
      <c r="X159">
        <f>HYPERLINK("https://klasma.github.io/Logging_2303/tillsyn/A 19728-2025 tillsynsbegäran.docx", "A 19728-2025")</f>
        <v/>
      </c>
      <c r="Y159">
        <f>HYPERLINK("https://klasma.github.io/Logging_2303/tillsynsmail/A 19728-2025 tillsynsbegäran mail.docx", "A 19728-2025")</f>
        <v/>
      </c>
      <c r="Z159">
        <f>HYPERLINK("https://klasma.github.io/Logging_2303/fåglar/A 19728-2025 prioriterade fågelarter.docx", "A 19728-2025")</f>
        <v/>
      </c>
    </row>
    <row r="160" ht="15" customHeight="1">
      <c r="A160" t="inlineStr">
        <is>
          <t>A 19384-2025</t>
        </is>
      </c>
      <c r="B160" s="1" t="n">
        <v>45769.65692129629</v>
      </c>
      <c r="C160" s="1" t="n">
        <v>45994</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45035-2023</t>
        </is>
      </c>
      <c r="B161" s="1" t="n">
        <v>45191</v>
      </c>
      <c r="C161" s="1" t="n">
        <v>45994</v>
      </c>
      <c r="D161" t="inlineStr">
        <is>
          <t>JÄMTLANDS LÄN</t>
        </is>
      </c>
      <c r="E161" t="inlineStr">
        <is>
          <t>RAGUNDA</t>
        </is>
      </c>
      <c r="G161" t="n">
        <v>2.9</v>
      </c>
      <c r="H161" t="n">
        <v>0</v>
      </c>
      <c r="I161" t="n">
        <v>1</v>
      </c>
      <c r="J161" t="n">
        <v>1</v>
      </c>
      <c r="K161" t="n">
        <v>0</v>
      </c>
      <c r="L161" t="n">
        <v>0</v>
      </c>
      <c r="M161" t="n">
        <v>0</v>
      </c>
      <c r="N161" t="n">
        <v>0</v>
      </c>
      <c r="O161" t="n">
        <v>1</v>
      </c>
      <c r="P161" t="n">
        <v>0</v>
      </c>
      <c r="Q161" t="n">
        <v>2</v>
      </c>
      <c r="R161" s="2" t="inlineStr">
        <is>
          <t>Lunglav
Korallblylav</t>
        </is>
      </c>
      <c r="S161">
        <f>HYPERLINK("https://klasma.github.io/Logging_2303/artfynd/A 45035-2023 artfynd.xlsx", "A 45035-2023")</f>
        <v/>
      </c>
      <c r="T161">
        <f>HYPERLINK("https://klasma.github.io/Logging_2303/kartor/A 45035-2023 karta.png", "A 45035-2023")</f>
        <v/>
      </c>
      <c r="V161">
        <f>HYPERLINK("https://klasma.github.io/Logging_2303/klagomål/A 45035-2023 FSC-klagomål.docx", "A 45035-2023")</f>
        <v/>
      </c>
      <c r="W161">
        <f>HYPERLINK("https://klasma.github.io/Logging_2303/klagomålsmail/A 45035-2023 FSC-klagomål mail.docx", "A 45035-2023")</f>
        <v/>
      </c>
      <c r="X161">
        <f>HYPERLINK("https://klasma.github.io/Logging_2303/tillsyn/A 45035-2023 tillsynsbegäran.docx", "A 45035-2023")</f>
        <v/>
      </c>
      <c r="Y161">
        <f>HYPERLINK("https://klasma.github.io/Logging_2303/tillsynsmail/A 45035-2023 tillsynsbegäran mail.docx", "A 45035-2023")</f>
        <v/>
      </c>
    </row>
    <row r="162" ht="15" customHeight="1">
      <c r="A162" t="inlineStr">
        <is>
          <t>A 11544-2024</t>
        </is>
      </c>
      <c r="B162" s="1" t="n">
        <v>45372.95680555556</v>
      </c>
      <c r="C162" s="1" t="n">
        <v>45994</v>
      </c>
      <c r="D162" t="inlineStr">
        <is>
          <t>JÄMTLANDS LÄN</t>
        </is>
      </c>
      <c r="E162" t="inlineStr">
        <is>
          <t>RAGUNDA</t>
        </is>
      </c>
      <c r="F162" t="inlineStr">
        <is>
          <t>SCA</t>
        </is>
      </c>
      <c r="G162" t="n">
        <v>15.5</v>
      </c>
      <c r="H162" t="n">
        <v>0</v>
      </c>
      <c r="I162" t="n">
        <v>0</v>
      </c>
      <c r="J162" t="n">
        <v>2</v>
      </c>
      <c r="K162" t="n">
        <v>0</v>
      </c>
      <c r="L162" t="n">
        <v>0</v>
      </c>
      <c r="M162" t="n">
        <v>0</v>
      </c>
      <c r="N162" t="n">
        <v>0</v>
      </c>
      <c r="O162" t="n">
        <v>2</v>
      </c>
      <c r="P162" t="n">
        <v>0</v>
      </c>
      <c r="Q162" t="n">
        <v>2</v>
      </c>
      <c r="R162" s="2" t="inlineStr">
        <is>
          <t>Granticka
Mörk kolflarnlav</t>
        </is>
      </c>
      <c r="S162">
        <f>HYPERLINK("https://klasma.github.io/Logging_2303/artfynd/A 11544-2024 artfynd.xlsx", "A 11544-2024")</f>
        <v/>
      </c>
      <c r="T162">
        <f>HYPERLINK("https://klasma.github.io/Logging_2303/kartor/A 11544-2024 karta.png", "A 11544-2024")</f>
        <v/>
      </c>
      <c r="V162">
        <f>HYPERLINK("https://klasma.github.io/Logging_2303/klagomål/A 11544-2024 FSC-klagomål.docx", "A 11544-2024")</f>
        <v/>
      </c>
      <c r="W162">
        <f>HYPERLINK("https://klasma.github.io/Logging_2303/klagomålsmail/A 11544-2024 FSC-klagomål mail.docx", "A 11544-2024")</f>
        <v/>
      </c>
      <c r="X162">
        <f>HYPERLINK("https://klasma.github.io/Logging_2303/tillsyn/A 11544-2024 tillsynsbegäran.docx", "A 11544-2024")</f>
        <v/>
      </c>
      <c r="Y162">
        <f>HYPERLINK("https://klasma.github.io/Logging_2303/tillsynsmail/A 11544-2024 tillsynsbegäran mail.docx", "A 11544-2024")</f>
        <v/>
      </c>
    </row>
    <row r="163" ht="15" customHeight="1">
      <c r="A163" t="inlineStr">
        <is>
          <t>A 11086-2025</t>
        </is>
      </c>
      <c r="B163" s="1" t="n">
        <v>45723.57329861111</v>
      </c>
      <c r="C163" s="1" t="n">
        <v>45994</v>
      </c>
      <c r="D163" t="inlineStr">
        <is>
          <t>JÄMTLANDS LÄN</t>
        </is>
      </c>
      <c r="E163" t="inlineStr">
        <is>
          <t>RAGUNDA</t>
        </is>
      </c>
      <c r="F163" t="inlineStr">
        <is>
          <t>SCA</t>
        </is>
      </c>
      <c r="G163" t="n">
        <v>10.8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HYPERLINK("https://klasma.github.io/Logging_2303/artfynd/A 11086-2025 artfynd.xlsx", "A 11086-2025")</f>
        <v/>
      </c>
      <c r="T163">
        <f>HYPERLINK("https://klasma.github.io/Logging_2303/kartor/A 11086-2025 karta.png", "A 11086-2025")</f>
        <v/>
      </c>
      <c r="V163">
        <f>HYPERLINK("https://klasma.github.io/Logging_2303/klagomål/A 11086-2025 FSC-klagomål.docx", "A 11086-2025")</f>
        <v/>
      </c>
      <c r="W163">
        <f>HYPERLINK("https://klasma.github.io/Logging_2303/klagomålsmail/A 11086-2025 FSC-klagomål mail.docx", "A 11086-2025")</f>
        <v/>
      </c>
      <c r="X163">
        <f>HYPERLINK("https://klasma.github.io/Logging_2303/tillsyn/A 11086-2025 tillsynsbegäran.docx", "A 11086-2025")</f>
        <v/>
      </c>
      <c r="Y163">
        <f>HYPERLINK("https://klasma.github.io/Logging_2303/tillsynsmail/A 11086-2025 tillsynsbegäran mail.docx", "A 11086-2025")</f>
        <v/>
      </c>
    </row>
    <row r="164" ht="15" customHeight="1">
      <c r="A164" t="inlineStr">
        <is>
          <t>A 40826-2023</t>
        </is>
      </c>
      <c r="B164" s="1" t="n">
        <v>45171</v>
      </c>
      <c r="C164" s="1" t="n">
        <v>45994</v>
      </c>
      <c r="D164" t="inlineStr">
        <is>
          <t>JÄMTLANDS LÄN</t>
        </is>
      </c>
      <c r="E164" t="inlineStr">
        <is>
          <t>RAGUNDA</t>
        </is>
      </c>
      <c r="F164" t="inlineStr">
        <is>
          <t>SCA</t>
        </is>
      </c>
      <c r="G164" t="n">
        <v>4.5</v>
      </c>
      <c r="H164" t="n">
        <v>0</v>
      </c>
      <c r="I164" t="n">
        <v>1</v>
      </c>
      <c r="J164" t="n">
        <v>1</v>
      </c>
      <c r="K164" t="n">
        <v>0</v>
      </c>
      <c r="L164" t="n">
        <v>0</v>
      </c>
      <c r="M164" t="n">
        <v>0</v>
      </c>
      <c r="N164" t="n">
        <v>0</v>
      </c>
      <c r="O164" t="n">
        <v>1</v>
      </c>
      <c r="P164" t="n">
        <v>0</v>
      </c>
      <c r="Q164" t="n">
        <v>2</v>
      </c>
      <c r="R164" s="2" t="inlineStr">
        <is>
          <t>Lunglav
Stuplav</t>
        </is>
      </c>
      <c r="S164">
        <f>HYPERLINK("https://klasma.github.io/Logging_2303/artfynd/A 40826-2023 artfynd.xlsx", "A 40826-2023")</f>
        <v/>
      </c>
      <c r="T164">
        <f>HYPERLINK("https://klasma.github.io/Logging_2303/kartor/A 40826-2023 karta.png", "A 40826-2023")</f>
        <v/>
      </c>
      <c r="V164">
        <f>HYPERLINK("https://klasma.github.io/Logging_2303/klagomål/A 40826-2023 FSC-klagomål.docx", "A 40826-2023")</f>
        <v/>
      </c>
      <c r="W164">
        <f>HYPERLINK("https://klasma.github.io/Logging_2303/klagomålsmail/A 40826-2023 FSC-klagomål mail.docx", "A 40826-2023")</f>
        <v/>
      </c>
      <c r="X164">
        <f>HYPERLINK("https://klasma.github.io/Logging_2303/tillsyn/A 40826-2023 tillsynsbegäran.docx", "A 40826-2023")</f>
        <v/>
      </c>
      <c r="Y164">
        <f>HYPERLINK("https://klasma.github.io/Logging_2303/tillsynsmail/A 40826-2023 tillsynsbegäran mail.docx", "A 40826-2023")</f>
        <v/>
      </c>
    </row>
    <row r="165" ht="15" customHeight="1">
      <c r="A165" t="inlineStr">
        <is>
          <t>A 21245-2025</t>
        </is>
      </c>
      <c r="B165" s="1" t="n">
        <v>45779.57350694444</v>
      </c>
      <c r="C165" s="1" t="n">
        <v>45994</v>
      </c>
      <c r="D165" t="inlineStr">
        <is>
          <t>JÄMTLANDS LÄN</t>
        </is>
      </c>
      <c r="E165" t="inlineStr">
        <is>
          <t>RAGUNDA</t>
        </is>
      </c>
      <c r="F165" t="inlineStr">
        <is>
          <t>SCA</t>
        </is>
      </c>
      <c r="G165" t="n">
        <v>3.7</v>
      </c>
      <c r="H165" t="n">
        <v>1</v>
      </c>
      <c r="I165" t="n">
        <v>0</v>
      </c>
      <c r="J165" t="n">
        <v>1</v>
      </c>
      <c r="K165" t="n">
        <v>0</v>
      </c>
      <c r="L165" t="n">
        <v>0</v>
      </c>
      <c r="M165" t="n">
        <v>0</v>
      </c>
      <c r="N165" t="n">
        <v>0</v>
      </c>
      <c r="O165" t="n">
        <v>1</v>
      </c>
      <c r="P165" t="n">
        <v>0</v>
      </c>
      <c r="Q165" t="n">
        <v>2</v>
      </c>
      <c r="R165" s="2" t="inlineStr">
        <is>
          <t>Garnlav
Tjäder</t>
        </is>
      </c>
      <c r="S165">
        <f>HYPERLINK("https://klasma.github.io/Logging_2303/artfynd/A 21245-2025 artfynd.xlsx", "A 21245-2025")</f>
        <v/>
      </c>
      <c r="T165">
        <f>HYPERLINK("https://klasma.github.io/Logging_2303/kartor/A 21245-2025 karta.png", "A 21245-2025")</f>
        <v/>
      </c>
      <c r="V165">
        <f>HYPERLINK("https://klasma.github.io/Logging_2303/klagomål/A 21245-2025 FSC-klagomål.docx", "A 21245-2025")</f>
        <v/>
      </c>
      <c r="W165">
        <f>HYPERLINK("https://klasma.github.io/Logging_2303/klagomålsmail/A 21245-2025 FSC-klagomål mail.docx", "A 21245-2025")</f>
        <v/>
      </c>
      <c r="X165">
        <f>HYPERLINK("https://klasma.github.io/Logging_2303/tillsyn/A 21245-2025 tillsynsbegäran.docx", "A 21245-2025")</f>
        <v/>
      </c>
      <c r="Y165">
        <f>HYPERLINK("https://klasma.github.io/Logging_2303/tillsynsmail/A 21245-2025 tillsynsbegäran mail.docx", "A 21245-2025")</f>
        <v/>
      </c>
      <c r="Z165">
        <f>HYPERLINK("https://klasma.github.io/Logging_2303/fåglar/A 21245-2025 prioriterade fågelarter.docx", "A 21245-2025")</f>
        <v/>
      </c>
    </row>
    <row r="166" ht="15" customHeight="1">
      <c r="A166" t="inlineStr">
        <is>
          <t>A 41490-2022</t>
        </is>
      </c>
      <c r="B166" s="1" t="n">
        <v>44826.94976851852</v>
      </c>
      <c r="C166" s="1" t="n">
        <v>45994</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32736-2023</t>
        </is>
      </c>
      <c r="B167" s="1" t="n">
        <v>45121</v>
      </c>
      <c r="C167" s="1" t="n">
        <v>45994</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11843-2023</t>
        </is>
      </c>
      <c r="B168" s="1" t="n">
        <v>44993</v>
      </c>
      <c r="C168" s="1" t="n">
        <v>45994</v>
      </c>
      <c r="D168" t="inlineStr">
        <is>
          <t>JÄMTLANDS LÄN</t>
        </is>
      </c>
      <c r="E168" t="inlineStr">
        <is>
          <t>RAGUNDA</t>
        </is>
      </c>
      <c r="G168" t="n">
        <v>6.4</v>
      </c>
      <c r="H168" t="n">
        <v>2</v>
      </c>
      <c r="I168" t="n">
        <v>0</v>
      </c>
      <c r="J168" t="n">
        <v>1</v>
      </c>
      <c r="K168" t="n">
        <v>0</v>
      </c>
      <c r="L168" t="n">
        <v>0</v>
      </c>
      <c r="M168" t="n">
        <v>0</v>
      </c>
      <c r="N168" t="n">
        <v>0</v>
      </c>
      <c r="O168" t="n">
        <v>1</v>
      </c>
      <c r="P168" t="n">
        <v>0</v>
      </c>
      <c r="Q168" t="n">
        <v>2</v>
      </c>
      <c r="R168" s="2" t="inlineStr">
        <is>
          <t>Spillkråka
Revlummer</t>
        </is>
      </c>
      <c r="S168">
        <f>HYPERLINK("https://klasma.github.io/Logging_2303/artfynd/A 11843-2023 artfynd.xlsx", "A 11843-2023")</f>
        <v/>
      </c>
      <c r="T168">
        <f>HYPERLINK("https://klasma.github.io/Logging_2303/kartor/A 11843-2023 karta.png", "A 11843-2023")</f>
        <v/>
      </c>
      <c r="V168">
        <f>HYPERLINK("https://klasma.github.io/Logging_2303/klagomål/A 11843-2023 FSC-klagomål.docx", "A 11843-2023")</f>
        <v/>
      </c>
      <c r="W168">
        <f>HYPERLINK("https://klasma.github.io/Logging_2303/klagomålsmail/A 11843-2023 FSC-klagomål mail.docx", "A 11843-2023")</f>
        <v/>
      </c>
      <c r="X168">
        <f>HYPERLINK("https://klasma.github.io/Logging_2303/tillsyn/A 11843-2023 tillsynsbegäran.docx", "A 11843-2023")</f>
        <v/>
      </c>
      <c r="Y168">
        <f>HYPERLINK("https://klasma.github.io/Logging_2303/tillsynsmail/A 11843-2023 tillsynsbegäran mail.docx", "A 11843-2023")</f>
        <v/>
      </c>
      <c r="Z168">
        <f>HYPERLINK("https://klasma.github.io/Logging_2303/fåglar/A 11843-2023 prioriterade fågelarter.docx", "A 11843-2023")</f>
        <v/>
      </c>
    </row>
    <row r="169" ht="15" customHeight="1">
      <c r="A169" t="inlineStr">
        <is>
          <t>A 17733-2022</t>
        </is>
      </c>
      <c r="B169" s="1" t="n">
        <v>44680</v>
      </c>
      <c r="C169" s="1" t="n">
        <v>45994</v>
      </c>
      <c r="D169" t="inlineStr">
        <is>
          <t>JÄMTLANDS LÄN</t>
        </is>
      </c>
      <c r="E169" t="inlineStr">
        <is>
          <t>RAGUNDA</t>
        </is>
      </c>
      <c r="G169" t="n">
        <v>2.2</v>
      </c>
      <c r="H169" t="n">
        <v>0</v>
      </c>
      <c r="I169" t="n">
        <v>0</v>
      </c>
      <c r="J169" t="n">
        <v>2</v>
      </c>
      <c r="K169" t="n">
        <v>0</v>
      </c>
      <c r="L169" t="n">
        <v>0</v>
      </c>
      <c r="M169" t="n">
        <v>0</v>
      </c>
      <c r="N169" t="n">
        <v>0</v>
      </c>
      <c r="O169" t="n">
        <v>2</v>
      </c>
      <c r="P169" t="n">
        <v>0</v>
      </c>
      <c r="Q169" t="n">
        <v>2</v>
      </c>
      <c r="R169" s="2" t="inlineStr">
        <is>
          <t>Lunglav
Skrovellav</t>
        </is>
      </c>
      <c r="S169">
        <f>HYPERLINK("https://klasma.github.io/Logging_2303/artfynd/A 17733-2022 artfynd.xlsx", "A 17733-2022")</f>
        <v/>
      </c>
      <c r="T169">
        <f>HYPERLINK("https://klasma.github.io/Logging_2303/kartor/A 17733-2022 karta.png", "A 17733-2022")</f>
        <v/>
      </c>
      <c r="V169">
        <f>HYPERLINK("https://klasma.github.io/Logging_2303/klagomål/A 17733-2022 FSC-klagomål.docx", "A 17733-2022")</f>
        <v/>
      </c>
      <c r="W169">
        <f>HYPERLINK("https://klasma.github.io/Logging_2303/klagomålsmail/A 17733-2022 FSC-klagomål mail.docx", "A 17733-2022")</f>
        <v/>
      </c>
      <c r="X169">
        <f>HYPERLINK("https://klasma.github.io/Logging_2303/tillsyn/A 17733-2022 tillsynsbegäran.docx", "A 17733-2022")</f>
        <v/>
      </c>
      <c r="Y169">
        <f>HYPERLINK("https://klasma.github.io/Logging_2303/tillsynsmail/A 17733-2022 tillsynsbegäran mail.docx", "A 17733-2022")</f>
        <v/>
      </c>
    </row>
    <row r="170" ht="15" customHeight="1">
      <c r="A170" t="inlineStr">
        <is>
          <t>A 14502-2024</t>
        </is>
      </c>
      <c r="B170" s="1" t="n">
        <v>45394</v>
      </c>
      <c r="C170" s="1" t="n">
        <v>45994</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55647-2023</t>
        </is>
      </c>
      <c r="B171" s="1" t="n">
        <v>45238</v>
      </c>
      <c r="C171" s="1" t="n">
        <v>45994</v>
      </c>
      <c r="D171" t="inlineStr">
        <is>
          <t>JÄMTLANDS LÄN</t>
        </is>
      </c>
      <c r="E171" t="inlineStr">
        <is>
          <t>RAGUNDA</t>
        </is>
      </c>
      <c r="F171" t="inlineStr">
        <is>
          <t>SCA</t>
        </is>
      </c>
      <c r="G171" t="n">
        <v>3.7</v>
      </c>
      <c r="H171" t="n">
        <v>0</v>
      </c>
      <c r="I171" t="n">
        <v>1</v>
      </c>
      <c r="J171" t="n">
        <v>1</v>
      </c>
      <c r="K171" t="n">
        <v>0</v>
      </c>
      <c r="L171" t="n">
        <v>0</v>
      </c>
      <c r="M171" t="n">
        <v>0</v>
      </c>
      <c r="N171" t="n">
        <v>0</v>
      </c>
      <c r="O171" t="n">
        <v>1</v>
      </c>
      <c r="P171" t="n">
        <v>0</v>
      </c>
      <c r="Q171" t="n">
        <v>2</v>
      </c>
      <c r="R171" s="2" t="inlineStr">
        <is>
          <t>Granticka
Trådticka</t>
        </is>
      </c>
      <c r="S171">
        <f>HYPERLINK("https://klasma.github.io/Logging_2303/artfynd/A 55647-2023 artfynd.xlsx", "A 55647-2023")</f>
        <v/>
      </c>
      <c r="T171">
        <f>HYPERLINK("https://klasma.github.io/Logging_2303/kartor/A 55647-2023 karta.png", "A 55647-2023")</f>
        <v/>
      </c>
      <c r="V171">
        <f>HYPERLINK("https://klasma.github.io/Logging_2303/klagomål/A 55647-2023 FSC-klagomål.docx", "A 55647-2023")</f>
        <v/>
      </c>
      <c r="W171">
        <f>HYPERLINK("https://klasma.github.io/Logging_2303/klagomålsmail/A 55647-2023 FSC-klagomål mail.docx", "A 55647-2023")</f>
        <v/>
      </c>
      <c r="X171">
        <f>HYPERLINK("https://klasma.github.io/Logging_2303/tillsyn/A 55647-2023 tillsynsbegäran.docx", "A 55647-2023")</f>
        <v/>
      </c>
      <c r="Y171">
        <f>HYPERLINK("https://klasma.github.io/Logging_2303/tillsynsmail/A 55647-2023 tillsynsbegäran mail.docx", "A 55647-2023")</f>
        <v/>
      </c>
    </row>
    <row r="172" ht="15" customHeight="1">
      <c r="A172" t="inlineStr">
        <is>
          <t>A 46771-2024</t>
        </is>
      </c>
      <c r="B172" s="1" t="n">
        <v>45583.49642361111</v>
      </c>
      <c r="C172" s="1" t="n">
        <v>45994</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47267-2022</t>
        </is>
      </c>
      <c r="B173" s="1" t="n">
        <v>44852</v>
      </c>
      <c r="C173" s="1" t="n">
        <v>45994</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45021-2023</t>
        </is>
      </c>
      <c r="B174" s="1" t="n">
        <v>45190</v>
      </c>
      <c r="C174" s="1" t="n">
        <v>45994</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44409-2023</t>
        </is>
      </c>
      <c r="B175" s="1" t="n">
        <v>45188</v>
      </c>
      <c r="C175" s="1" t="n">
        <v>45994</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12271-2024</t>
        </is>
      </c>
      <c r="B176" s="1" t="n">
        <v>45378</v>
      </c>
      <c r="C176" s="1" t="n">
        <v>45994</v>
      </c>
      <c r="D176" t="inlineStr">
        <is>
          <t>JÄMTLANDS LÄN</t>
        </is>
      </c>
      <c r="E176" t="inlineStr">
        <is>
          <t>RAGUNDA</t>
        </is>
      </c>
      <c r="F176" t="inlineStr">
        <is>
          <t>Kommuner</t>
        </is>
      </c>
      <c r="G176" t="n">
        <v>6.1</v>
      </c>
      <c r="H176" t="n">
        <v>0</v>
      </c>
      <c r="I176" t="n">
        <v>0</v>
      </c>
      <c r="J176" t="n">
        <v>2</v>
      </c>
      <c r="K176" t="n">
        <v>0</v>
      </c>
      <c r="L176" t="n">
        <v>0</v>
      </c>
      <c r="M176" t="n">
        <v>0</v>
      </c>
      <c r="N176" t="n">
        <v>0</v>
      </c>
      <c r="O176" t="n">
        <v>2</v>
      </c>
      <c r="P176" t="n">
        <v>0</v>
      </c>
      <c r="Q176" t="n">
        <v>2</v>
      </c>
      <c r="R176" s="2" t="inlineStr">
        <is>
          <t>Garnlav
Lunglav</t>
        </is>
      </c>
      <c r="S176">
        <f>HYPERLINK("https://klasma.github.io/Logging_2303/artfynd/A 12271-2024 artfynd.xlsx", "A 12271-2024")</f>
        <v/>
      </c>
      <c r="T176">
        <f>HYPERLINK("https://klasma.github.io/Logging_2303/kartor/A 12271-2024 karta.png", "A 12271-2024")</f>
        <v/>
      </c>
      <c r="V176">
        <f>HYPERLINK("https://klasma.github.io/Logging_2303/klagomål/A 12271-2024 FSC-klagomål.docx", "A 12271-2024")</f>
        <v/>
      </c>
      <c r="W176">
        <f>HYPERLINK("https://klasma.github.io/Logging_2303/klagomålsmail/A 12271-2024 FSC-klagomål mail.docx", "A 12271-2024")</f>
        <v/>
      </c>
      <c r="X176">
        <f>HYPERLINK("https://klasma.github.io/Logging_2303/tillsyn/A 12271-2024 tillsynsbegäran.docx", "A 12271-2024")</f>
        <v/>
      </c>
      <c r="Y176">
        <f>HYPERLINK("https://klasma.github.io/Logging_2303/tillsynsmail/A 12271-2024 tillsynsbegäran mail.docx", "A 12271-2024")</f>
        <v/>
      </c>
    </row>
    <row r="177" ht="15" customHeight="1">
      <c r="A177" t="inlineStr">
        <is>
          <t>A 34715-2024</t>
        </is>
      </c>
      <c r="B177" s="1" t="n">
        <v>45526.56393518519</v>
      </c>
      <c r="C177" s="1" t="n">
        <v>45994</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10866-2025</t>
        </is>
      </c>
      <c r="B178" s="1" t="n">
        <v>45722.61543981481</v>
      </c>
      <c r="C178" s="1" t="n">
        <v>45994</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45994</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26482-2023</t>
        </is>
      </c>
      <c r="B180" s="1" t="n">
        <v>45089</v>
      </c>
      <c r="C180" s="1" t="n">
        <v>45994</v>
      </c>
      <c r="D180" t="inlineStr">
        <is>
          <t>JÄMTLANDS LÄN</t>
        </is>
      </c>
      <c r="E180" t="inlineStr">
        <is>
          <t>RAGUNDA</t>
        </is>
      </c>
      <c r="G180" t="n">
        <v>2</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c r="Z180">
        <f>HYPERLINK("https://klasma.github.io/Logging_2303/fåglar/A 26482-2023 prioriterade fågelarter.docx", "A 26482-2023")</f>
        <v/>
      </c>
    </row>
    <row r="181" ht="15" customHeight="1">
      <c r="A181" t="inlineStr">
        <is>
          <t>A 57940-2024</t>
        </is>
      </c>
      <c r="B181" s="1" t="n">
        <v>45631</v>
      </c>
      <c r="C181" s="1" t="n">
        <v>45994</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3838-2024</t>
        </is>
      </c>
      <c r="B182" s="1" t="n">
        <v>45321</v>
      </c>
      <c r="C182" s="1" t="n">
        <v>45994</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48084-2022</t>
        </is>
      </c>
      <c r="B183" s="1" t="n">
        <v>44855</v>
      </c>
      <c r="C183" s="1" t="n">
        <v>45994</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36756-2023</t>
        </is>
      </c>
      <c r="B184" s="1" t="n">
        <v>45153</v>
      </c>
      <c r="C184" s="1" t="n">
        <v>45994</v>
      </c>
      <c r="D184" t="inlineStr">
        <is>
          <t>JÄMTLANDS LÄN</t>
        </is>
      </c>
      <c r="E184" t="inlineStr">
        <is>
          <t>RAGUNDA</t>
        </is>
      </c>
      <c r="G184" t="n">
        <v>3.5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HYPERLINK("https://klasma.github.io/Logging_2303/artfynd/A 36756-2023 artfynd.xlsx", "A 36756-2023")</f>
        <v/>
      </c>
      <c r="T184">
        <f>HYPERLINK("https://klasma.github.io/Logging_2303/kartor/A 36756-2023 karta.png", "A 36756-2023")</f>
        <v/>
      </c>
      <c r="V184">
        <f>HYPERLINK("https://klasma.github.io/Logging_2303/klagomål/A 36756-2023 FSC-klagomål.docx", "A 36756-2023")</f>
        <v/>
      </c>
      <c r="W184">
        <f>HYPERLINK("https://klasma.github.io/Logging_2303/klagomålsmail/A 36756-2023 FSC-klagomål mail.docx", "A 36756-2023")</f>
        <v/>
      </c>
      <c r="X184">
        <f>HYPERLINK("https://klasma.github.io/Logging_2303/tillsyn/A 36756-2023 tillsynsbegäran.docx", "A 36756-2023")</f>
        <v/>
      </c>
      <c r="Y184">
        <f>HYPERLINK("https://klasma.github.io/Logging_2303/tillsynsmail/A 36756-2023 tillsynsbegäran mail.docx", "A 36756-2023")</f>
        <v/>
      </c>
      <c r="Z184">
        <f>HYPERLINK("https://klasma.github.io/Logging_2303/fåglar/A 36756-2023 prioriterade fågelarter.docx", "A 36756-2023")</f>
        <v/>
      </c>
    </row>
    <row r="185" ht="15" customHeight="1">
      <c r="A185" t="inlineStr">
        <is>
          <t>A 26324-2024</t>
        </is>
      </c>
      <c r="B185" s="1" t="n">
        <v>45468.97495370371</v>
      </c>
      <c r="C185" s="1" t="n">
        <v>45994</v>
      </c>
      <c r="D185" t="inlineStr">
        <is>
          <t>JÄMTLANDS LÄN</t>
        </is>
      </c>
      <c r="E185" t="inlineStr">
        <is>
          <t>RAGUNDA</t>
        </is>
      </c>
      <c r="F185" t="inlineStr">
        <is>
          <t>SCA</t>
        </is>
      </c>
      <c r="G185" t="n">
        <v>2</v>
      </c>
      <c r="H185" t="n">
        <v>1</v>
      </c>
      <c r="I185" t="n">
        <v>0</v>
      </c>
      <c r="J185" t="n">
        <v>1</v>
      </c>
      <c r="K185" t="n">
        <v>1</v>
      </c>
      <c r="L185" t="n">
        <v>0</v>
      </c>
      <c r="M185" t="n">
        <v>0</v>
      </c>
      <c r="N185" t="n">
        <v>0</v>
      </c>
      <c r="O185" t="n">
        <v>2</v>
      </c>
      <c r="P185" t="n">
        <v>1</v>
      </c>
      <c r="Q185" t="n">
        <v>2</v>
      </c>
      <c r="R185" s="2" t="inlineStr">
        <is>
          <t>Knärot
Vedtrappmossa</t>
        </is>
      </c>
      <c r="S185">
        <f>HYPERLINK("https://klasma.github.io/Logging_2303/artfynd/A 26324-2024 artfynd.xlsx", "A 26324-2024")</f>
        <v/>
      </c>
      <c r="T185">
        <f>HYPERLINK("https://klasma.github.io/Logging_2303/kartor/A 26324-2024 karta.png", "A 26324-2024")</f>
        <v/>
      </c>
      <c r="U185">
        <f>HYPERLINK("https://klasma.github.io/Logging_2303/knärot/A 26324-2024 karta knärot.png", "A 26324-2024")</f>
        <v/>
      </c>
      <c r="V185">
        <f>HYPERLINK("https://klasma.github.io/Logging_2303/klagomål/A 26324-2024 FSC-klagomål.docx", "A 26324-2024")</f>
        <v/>
      </c>
      <c r="W185">
        <f>HYPERLINK("https://klasma.github.io/Logging_2303/klagomålsmail/A 26324-2024 FSC-klagomål mail.docx", "A 26324-2024")</f>
        <v/>
      </c>
      <c r="X185">
        <f>HYPERLINK("https://klasma.github.io/Logging_2303/tillsyn/A 26324-2024 tillsynsbegäran.docx", "A 26324-2024")</f>
        <v/>
      </c>
      <c r="Y185">
        <f>HYPERLINK("https://klasma.github.io/Logging_2303/tillsynsmail/A 26324-2024 tillsynsbegäran mail.docx", "A 26324-2024")</f>
        <v/>
      </c>
    </row>
    <row r="186" ht="15" customHeight="1">
      <c r="A186" t="inlineStr">
        <is>
          <t>A 25155-2025</t>
        </is>
      </c>
      <c r="B186" s="1" t="n">
        <v>45800.42782407408</v>
      </c>
      <c r="C186" s="1" t="n">
        <v>45994</v>
      </c>
      <c r="D186" t="inlineStr">
        <is>
          <t>JÄMTLANDS LÄN</t>
        </is>
      </c>
      <c r="E186" t="inlineStr">
        <is>
          <t>RAGUNDA</t>
        </is>
      </c>
      <c r="F186" t="inlineStr">
        <is>
          <t>SCA</t>
        </is>
      </c>
      <c r="G186" t="n">
        <v>1.7</v>
      </c>
      <c r="H186" t="n">
        <v>1</v>
      </c>
      <c r="I186" t="n">
        <v>0</v>
      </c>
      <c r="J186" t="n">
        <v>1</v>
      </c>
      <c r="K186" t="n">
        <v>0</v>
      </c>
      <c r="L186" t="n">
        <v>0</v>
      </c>
      <c r="M186" t="n">
        <v>0</v>
      </c>
      <c r="N186" t="n">
        <v>0</v>
      </c>
      <c r="O186" t="n">
        <v>1</v>
      </c>
      <c r="P186" t="n">
        <v>0</v>
      </c>
      <c r="Q186" t="n">
        <v>2</v>
      </c>
      <c r="R186" s="2" t="inlineStr">
        <is>
          <t>Leptoporus mollis
Fläcknycklar</t>
        </is>
      </c>
      <c r="S186">
        <f>HYPERLINK("https://klasma.github.io/Logging_2303/artfynd/A 25155-2025 artfynd.xlsx", "A 25155-2025")</f>
        <v/>
      </c>
      <c r="T186">
        <f>HYPERLINK("https://klasma.github.io/Logging_2303/kartor/A 25155-2025 karta.png", "A 25155-2025")</f>
        <v/>
      </c>
      <c r="V186">
        <f>HYPERLINK("https://klasma.github.io/Logging_2303/klagomål/A 25155-2025 FSC-klagomål.docx", "A 25155-2025")</f>
        <v/>
      </c>
      <c r="W186">
        <f>HYPERLINK("https://klasma.github.io/Logging_2303/klagomålsmail/A 25155-2025 FSC-klagomål mail.docx", "A 25155-2025")</f>
        <v/>
      </c>
      <c r="X186">
        <f>HYPERLINK("https://klasma.github.io/Logging_2303/tillsyn/A 25155-2025 tillsynsbegäran.docx", "A 25155-2025")</f>
        <v/>
      </c>
      <c r="Y186">
        <f>HYPERLINK("https://klasma.github.io/Logging_2303/tillsynsmail/A 25155-2025 tillsynsbegäran mail.docx", "A 25155-2025")</f>
        <v/>
      </c>
    </row>
    <row r="187" ht="15" customHeight="1">
      <c r="A187" t="inlineStr">
        <is>
          <t>A 48427-2023</t>
        </is>
      </c>
      <c r="B187" s="1" t="n">
        <v>45205</v>
      </c>
      <c r="C187" s="1" t="n">
        <v>45994</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31960-2025</t>
        </is>
      </c>
      <c r="B188" s="1" t="n">
        <v>45835.344375</v>
      </c>
      <c r="C188" s="1" t="n">
        <v>45994</v>
      </c>
      <c r="D188" t="inlineStr">
        <is>
          <t>JÄMTLANDS LÄN</t>
        </is>
      </c>
      <c r="E188" t="inlineStr">
        <is>
          <t>RAGUNDA</t>
        </is>
      </c>
      <c r="F188" t="inlineStr">
        <is>
          <t>SCA</t>
        </is>
      </c>
      <c r="G188" t="n">
        <v>1.6</v>
      </c>
      <c r="H188" t="n">
        <v>0</v>
      </c>
      <c r="I188" t="n">
        <v>0</v>
      </c>
      <c r="J188" t="n">
        <v>2</v>
      </c>
      <c r="K188" t="n">
        <v>0</v>
      </c>
      <c r="L188" t="n">
        <v>0</v>
      </c>
      <c r="M188" t="n">
        <v>0</v>
      </c>
      <c r="N188" t="n">
        <v>0</v>
      </c>
      <c r="O188" t="n">
        <v>2</v>
      </c>
      <c r="P188" t="n">
        <v>0</v>
      </c>
      <c r="Q188" t="n">
        <v>2</v>
      </c>
      <c r="R188" s="2" t="inlineStr">
        <is>
          <t>Gammelgransskål
Garnlav</t>
        </is>
      </c>
      <c r="S188">
        <f>HYPERLINK("https://klasma.github.io/Logging_2303/artfynd/A 31960-2025 artfynd.xlsx", "A 31960-2025")</f>
        <v/>
      </c>
      <c r="T188">
        <f>HYPERLINK("https://klasma.github.io/Logging_2303/kartor/A 31960-2025 karta.png", "A 31960-2025")</f>
        <v/>
      </c>
      <c r="V188">
        <f>HYPERLINK("https://klasma.github.io/Logging_2303/klagomål/A 31960-2025 FSC-klagomål.docx", "A 31960-2025")</f>
        <v/>
      </c>
      <c r="W188">
        <f>HYPERLINK("https://klasma.github.io/Logging_2303/klagomålsmail/A 31960-2025 FSC-klagomål mail.docx", "A 31960-2025")</f>
        <v/>
      </c>
      <c r="X188">
        <f>HYPERLINK("https://klasma.github.io/Logging_2303/tillsyn/A 31960-2025 tillsynsbegäran.docx", "A 31960-2025")</f>
        <v/>
      </c>
      <c r="Y188">
        <f>HYPERLINK("https://klasma.github.io/Logging_2303/tillsynsmail/A 31960-2025 tillsynsbegäran mail.docx", "A 31960-2025")</f>
        <v/>
      </c>
    </row>
    <row r="189" ht="15" customHeight="1">
      <c r="A189" t="inlineStr">
        <is>
          <t>A 35131-2025</t>
        </is>
      </c>
      <c r="B189" s="1" t="n">
        <v>45852.63597222222</v>
      </c>
      <c r="C189" s="1" t="n">
        <v>45994</v>
      </c>
      <c r="D189" t="inlineStr">
        <is>
          <t>JÄMTLANDS LÄN</t>
        </is>
      </c>
      <c r="E189" t="inlineStr">
        <is>
          <t>RAGUNDA</t>
        </is>
      </c>
      <c r="F189" t="inlineStr">
        <is>
          <t>SCA</t>
        </is>
      </c>
      <c r="G189" t="n">
        <v>6.9</v>
      </c>
      <c r="H189" t="n">
        <v>1</v>
      </c>
      <c r="I189" t="n">
        <v>1</v>
      </c>
      <c r="J189" t="n">
        <v>0</v>
      </c>
      <c r="K189" t="n">
        <v>0</v>
      </c>
      <c r="L189" t="n">
        <v>0</v>
      </c>
      <c r="M189" t="n">
        <v>0</v>
      </c>
      <c r="N189" t="n">
        <v>0</v>
      </c>
      <c r="O189" t="n">
        <v>0</v>
      </c>
      <c r="P189" t="n">
        <v>0</v>
      </c>
      <c r="Q189" t="n">
        <v>2</v>
      </c>
      <c r="R189" s="2" t="inlineStr">
        <is>
          <t>Ögonpyrola
Nattviol</t>
        </is>
      </c>
      <c r="S189">
        <f>HYPERLINK("https://klasma.github.io/Logging_2303/artfynd/A 35131-2025 artfynd.xlsx", "A 35131-2025")</f>
        <v/>
      </c>
      <c r="T189">
        <f>HYPERLINK("https://klasma.github.io/Logging_2303/kartor/A 35131-2025 karta.png", "A 35131-2025")</f>
        <v/>
      </c>
      <c r="V189">
        <f>HYPERLINK("https://klasma.github.io/Logging_2303/klagomål/A 35131-2025 FSC-klagomål.docx", "A 35131-2025")</f>
        <v/>
      </c>
      <c r="W189">
        <f>HYPERLINK("https://klasma.github.io/Logging_2303/klagomålsmail/A 35131-2025 FSC-klagomål mail.docx", "A 35131-2025")</f>
        <v/>
      </c>
      <c r="X189">
        <f>HYPERLINK("https://klasma.github.io/Logging_2303/tillsyn/A 35131-2025 tillsynsbegäran.docx", "A 35131-2025")</f>
        <v/>
      </c>
      <c r="Y189">
        <f>HYPERLINK("https://klasma.github.io/Logging_2303/tillsynsmail/A 35131-2025 tillsynsbegäran mail.docx", "A 35131-2025")</f>
        <v/>
      </c>
    </row>
    <row r="190" ht="15" customHeight="1">
      <c r="A190" t="inlineStr">
        <is>
          <t>A 47850-2025</t>
        </is>
      </c>
      <c r="B190" s="1" t="n">
        <v>45932.38626157407</v>
      </c>
      <c r="C190" s="1" t="n">
        <v>45994</v>
      </c>
      <c r="D190" t="inlineStr">
        <is>
          <t>JÄMTLANDS LÄN</t>
        </is>
      </c>
      <c r="E190" t="inlineStr">
        <is>
          <t>RAGUNDA</t>
        </is>
      </c>
      <c r="F190" t="inlineStr">
        <is>
          <t>SCA</t>
        </is>
      </c>
      <c r="G190" t="n">
        <v>2.4</v>
      </c>
      <c r="H190" t="n">
        <v>1</v>
      </c>
      <c r="I190" t="n">
        <v>0</v>
      </c>
      <c r="J190" t="n">
        <v>1</v>
      </c>
      <c r="K190" t="n">
        <v>0</v>
      </c>
      <c r="L190" t="n">
        <v>0</v>
      </c>
      <c r="M190" t="n">
        <v>0</v>
      </c>
      <c r="N190" t="n">
        <v>0</v>
      </c>
      <c r="O190" t="n">
        <v>1</v>
      </c>
      <c r="P190" t="n">
        <v>0</v>
      </c>
      <c r="Q190" t="n">
        <v>2</v>
      </c>
      <c r="R190" s="2" t="inlineStr">
        <is>
          <t>Kolflarnlav
Blåsippa</t>
        </is>
      </c>
      <c r="S190">
        <f>HYPERLINK("https://klasma.github.io/Logging_2303/artfynd/A 47850-2025 artfynd.xlsx", "A 47850-2025")</f>
        <v/>
      </c>
      <c r="T190">
        <f>HYPERLINK("https://klasma.github.io/Logging_2303/kartor/A 47850-2025 karta.png", "A 47850-2025")</f>
        <v/>
      </c>
      <c r="V190">
        <f>HYPERLINK("https://klasma.github.io/Logging_2303/klagomål/A 47850-2025 FSC-klagomål.docx", "A 47850-2025")</f>
        <v/>
      </c>
      <c r="W190">
        <f>HYPERLINK("https://klasma.github.io/Logging_2303/klagomålsmail/A 47850-2025 FSC-klagomål mail.docx", "A 47850-2025")</f>
        <v/>
      </c>
      <c r="X190">
        <f>HYPERLINK("https://klasma.github.io/Logging_2303/tillsyn/A 47850-2025 tillsynsbegäran.docx", "A 47850-2025")</f>
        <v/>
      </c>
      <c r="Y190">
        <f>HYPERLINK("https://klasma.github.io/Logging_2303/tillsynsmail/A 47850-2025 tillsynsbegäran mail.docx", "A 47850-2025")</f>
        <v/>
      </c>
    </row>
    <row r="191" ht="15" customHeight="1">
      <c r="A191" t="inlineStr">
        <is>
          <t>A 56634-2025</t>
        </is>
      </c>
      <c r="B191" s="1" t="n">
        <v>45975.61619212963</v>
      </c>
      <c r="C191" s="1" t="n">
        <v>45994</v>
      </c>
      <c r="D191" t="inlineStr">
        <is>
          <t>JÄMTLANDS LÄN</t>
        </is>
      </c>
      <c r="E191" t="inlineStr">
        <is>
          <t>RAGUNDA</t>
        </is>
      </c>
      <c r="F191" t="inlineStr">
        <is>
          <t>SCA</t>
        </is>
      </c>
      <c r="G191" t="n">
        <v>86.59999999999999</v>
      </c>
      <c r="H191" t="n">
        <v>0</v>
      </c>
      <c r="I191" t="n">
        <v>1</v>
      </c>
      <c r="J191" t="n">
        <v>1</v>
      </c>
      <c r="K191" t="n">
        <v>0</v>
      </c>
      <c r="L191" t="n">
        <v>0</v>
      </c>
      <c r="M191" t="n">
        <v>0</v>
      </c>
      <c r="N191" t="n">
        <v>0</v>
      </c>
      <c r="O191" t="n">
        <v>1</v>
      </c>
      <c r="P191" t="n">
        <v>0</v>
      </c>
      <c r="Q191" t="n">
        <v>2</v>
      </c>
      <c r="R191" s="2" t="inlineStr">
        <is>
          <t>Garnlav
Skuggblåslav</t>
        </is>
      </c>
      <c r="S191">
        <f>HYPERLINK("https://klasma.github.io/Logging_2303/artfynd/A 56634-2025 artfynd.xlsx", "A 56634-2025")</f>
        <v/>
      </c>
      <c r="T191">
        <f>HYPERLINK("https://klasma.github.io/Logging_2303/kartor/A 56634-2025 karta.png", "A 56634-2025")</f>
        <v/>
      </c>
      <c r="V191">
        <f>HYPERLINK("https://klasma.github.io/Logging_2303/klagomål/A 56634-2025 FSC-klagomål.docx", "A 56634-2025")</f>
        <v/>
      </c>
      <c r="W191">
        <f>HYPERLINK("https://klasma.github.io/Logging_2303/klagomålsmail/A 56634-2025 FSC-klagomål mail.docx", "A 56634-2025")</f>
        <v/>
      </c>
      <c r="X191">
        <f>HYPERLINK("https://klasma.github.io/Logging_2303/tillsyn/A 56634-2025 tillsynsbegäran.docx", "A 56634-2025")</f>
        <v/>
      </c>
      <c r="Y191">
        <f>HYPERLINK("https://klasma.github.io/Logging_2303/tillsynsmail/A 56634-2025 tillsynsbegäran mail.docx", "A 56634-2025")</f>
        <v/>
      </c>
    </row>
    <row r="192" ht="15" customHeight="1">
      <c r="A192" t="inlineStr">
        <is>
          <t>A 51916-2021</t>
        </is>
      </c>
      <c r="B192" s="1" t="n">
        <v>44462</v>
      </c>
      <c r="C192" s="1" t="n">
        <v>45994</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21275-2022</t>
        </is>
      </c>
      <c r="B193" s="1" t="n">
        <v>44705</v>
      </c>
      <c r="C193" s="1" t="n">
        <v>45994</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45994</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31477-2022</t>
        </is>
      </c>
      <c r="B195" s="1" t="n">
        <v>44774.94347222222</v>
      </c>
      <c r="C195" s="1" t="n">
        <v>45994</v>
      </c>
      <c r="D195" t="inlineStr">
        <is>
          <t>JÄMTLANDS LÄN</t>
        </is>
      </c>
      <c r="E195" t="inlineStr">
        <is>
          <t>RAGUNDA</t>
        </is>
      </c>
      <c r="F195" t="inlineStr">
        <is>
          <t>SCA</t>
        </is>
      </c>
      <c r="G195" t="n">
        <v>1.8</v>
      </c>
      <c r="H195" t="n">
        <v>0</v>
      </c>
      <c r="I195" t="n">
        <v>0</v>
      </c>
      <c r="J195" t="n">
        <v>1</v>
      </c>
      <c r="K195" t="n">
        <v>0</v>
      </c>
      <c r="L195" t="n">
        <v>0</v>
      </c>
      <c r="M195" t="n">
        <v>0</v>
      </c>
      <c r="N195" t="n">
        <v>0</v>
      </c>
      <c r="O195" t="n">
        <v>1</v>
      </c>
      <c r="P195" t="n">
        <v>0</v>
      </c>
      <c r="Q195" t="n">
        <v>1</v>
      </c>
      <c r="R195" s="2" t="inlineStr">
        <is>
          <t>Garnlav</t>
        </is>
      </c>
      <c r="S195">
        <f>HYPERLINK("https://klasma.github.io/Logging_2303/artfynd/A 31477-2022 artfynd.xlsx", "A 31477-2022")</f>
        <v/>
      </c>
      <c r="T195">
        <f>HYPERLINK("https://klasma.github.io/Logging_2303/kartor/A 31477-2022 karta.png", "A 31477-2022")</f>
        <v/>
      </c>
      <c r="V195">
        <f>HYPERLINK("https://klasma.github.io/Logging_2303/klagomål/A 31477-2022 FSC-klagomål.docx", "A 31477-2022")</f>
        <v/>
      </c>
      <c r="W195">
        <f>HYPERLINK("https://klasma.github.io/Logging_2303/klagomålsmail/A 31477-2022 FSC-klagomål mail.docx", "A 31477-2022")</f>
        <v/>
      </c>
      <c r="X195">
        <f>HYPERLINK("https://klasma.github.io/Logging_2303/tillsyn/A 31477-2022 tillsynsbegäran.docx", "A 31477-2022")</f>
        <v/>
      </c>
      <c r="Y195">
        <f>HYPERLINK("https://klasma.github.io/Logging_2303/tillsynsmail/A 31477-2022 tillsynsbegäran mail.docx", "A 31477-2022")</f>
        <v/>
      </c>
    </row>
    <row r="196" ht="15" customHeight="1">
      <c r="A196" t="inlineStr">
        <is>
          <t>A 6703-2024</t>
        </is>
      </c>
      <c r="B196" s="1" t="n">
        <v>45341</v>
      </c>
      <c r="C196" s="1" t="n">
        <v>45994</v>
      </c>
      <c r="D196" t="inlineStr">
        <is>
          <t>JÄMTLANDS LÄN</t>
        </is>
      </c>
      <c r="E196" t="inlineStr">
        <is>
          <t>RAGUNDA</t>
        </is>
      </c>
      <c r="F196" t="inlineStr">
        <is>
          <t>SCA</t>
        </is>
      </c>
      <c r="G196" t="n">
        <v>2.4</v>
      </c>
      <c r="H196" t="n">
        <v>0</v>
      </c>
      <c r="I196" t="n">
        <v>0</v>
      </c>
      <c r="J196" t="n">
        <v>1</v>
      </c>
      <c r="K196" t="n">
        <v>0</v>
      </c>
      <c r="L196" t="n">
        <v>0</v>
      </c>
      <c r="M196" t="n">
        <v>0</v>
      </c>
      <c r="N196" t="n">
        <v>0</v>
      </c>
      <c r="O196" t="n">
        <v>1</v>
      </c>
      <c r="P196" t="n">
        <v>0</v>
      </c>
      <c r="Q196" t="n">
        <v>1</v>
      </c>
      <c r="R196" s="2" t="inlineStr">
        <is>
          <t>Vitgrynig nållav</t>
        </is>
      </c>
      <c r="S196">
        <f>HYPERLINK("https://klasma.github.io/Logging_2303/artfynd/A 6703-2024 artfynd.xlsx", "A 6703-2024")</f>
        <v/>
      </c>
      <c r="T196">
        <f>HYPERLINK("https://klasma.github.io/Logging_2303/kartor/A 6703-2024 karta.png", "A 6703-2024")</f>
        <v/>
      </c>
      <c r="V196">
        <f>HYPERLINK("https://klasma.github.io/Logging_2303/klagomål/A 6703-2024 FSC-klagomål.docx", "A 6703-2024")</f>
        <v/>
      </c>
      <c r="W196">
        <f>HYPERLINK("https://klasma.github.io/Logging_2303/klagomålsmail/A 6703-2024 FSC-klagomål mail.docx", "A 6703-2024")</f>
        <v/>
      </c>
      <c r="X196">
        <f>HYPERLINK("https://klasma.github.io/Logging_2303/tillsyn/A 6703-2024 tillsynsbegäran.docx", "A 6703-2024")</f>
        <v/>
      </c>
      <c r="Y196">
        <f>HYPERLINK("https://klasma.github.io/Logging_2303/tillsynsmail/A 6703-2024 tillsynsbegäran mail.docx", "A 6703-2024")</f>
        <v/>
      </c>
    </row>
    <row r="197" ht="15" customHeight="1">
      <c r="A197" t="inlineStr">
        <is>
          <t>A 16316-2025</t>
        </is>
      </c>
      <c r="B197" s="1" t="n">
        <v>45751.34795138889</v>
      </c>
      <c r="C197" s="1" t="n">
        <v>45994</v>
      </c>
      <c r="D197" t="inlineStr">
        <is>
          <t>JÄMTLANDS LÄN</t>
        </is>
      </c>
      <c r="E197" t="inlineStr">
        <is>
          <t>RAGUNDA</t>
        </is>
      </c>
      <c r="F197" t="inlineStr">
        <is>
          <t>SCA</t>
        </is>
      </c>
      <c r="G197" t="n">
        <v>1.7</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HYPERLINK("https://klasma.github.io/Logging_2303/artfynd/A 16316-2025 artfynd.xlsx", "A 16316-2025")</f>
        <v/>
      </c>
      <c r="T197">
        <f>HYPERLINK("https://klasma.github.io/Logging_2303/kartor/A 16316-2025 karta.png", "A 16316-2025")</f>
        <v/>
      </c>
      <c r="V197">
        <f>HYPERLINK("https://klasma.github.io/Logging_2303/klagomål/A 16316-2025 FSC-klagomål.docx", "A 16316-2025")</f>
        <v/>
      </c>
      <c r="W197">
        <f>HYPERLINK("https://klasma.github.io/Logging_2303/klagomålsmail/A 16316-2025 FSC-klagomål mail.docx", "A 16316-2025")</f>
        <v/>
      </c>
      <c r="X197">
        <f>HYPERLINK("https://klasma.github.io/Logging_2303/tillsyn/A 16316-2025 tillsynsbegäran.docx", "A 16316-2025")</f>
        <v/>
      </c>
      <c r="Y197">
        <f>HYPERLINK("https://klasma.github.io/Logging_2303/tillsynsmail/A 16316-2025 tillsynsbegäran mail.docx", "A 16316-2025")</f>
        <v/>
      </c>
    </row>
    <row r="198" ht="15" customHeight="1">
      <c r="A198" t="inlineStr">
        <is>
          <t>A 20575-2025</t>
        </is>
      </c>
      <c r="B198" s="1" t="n">
        <v>45775.67769675926</v>
      </c>
      <c r="C198" s="1" t="n">
        <v>45994</v>
      </c>
      <c r="D198" t="inlineStr">
        <is>
          <t>JÄMTLANDS LÄN</t>
        </is>
      </c>
      <c r="E198" t="inlineStr">
        <is>
          <t>RAGUNDA</t>
        </is>
      </c>
      <c r="F198" t="inlineStr">
        <is>
          <t>SCA</t>
        </is>
      </c>
      <c r="G198" t="n">
        <v>8.1</v>
      </c>
      <c r="H198" t="n">
        <v>1</v>
      </c>
      <c r="I198" t="n">
        <v>0</v>
      </c>
      <c r="J198" t="n">
        <v>1</v>
      </c>
      <c r="K198" t="n">
        <v>0</v>
      </c>
      <c r="L198" t="n">
        <v>0</v>
      </c>
      <c r="M198" t="n">
        <v>0</v>
      </c>
      <c r="N198" t="n">
        <v>0</v>
      </c>
      <c r="O198" t="n">
        <v>1</v>
      </c>
      <c r="P198" t="n">
        <v>0</v>
      </c>
      <c r="Q198" t="n">
        <v>1</v>
      </c>
      <c r="R198" s="2" t="inlineStr">
        <is>
          <t>Skogsfru</t>
        </is>
      </c>
      <c r="S198">
        <f>HYPERLINK("https://klasma.github.io/Logging_2303/artfynd/A 20575-2025 artfynd.xlsx", "A 20575-2025")</f>
        <v/>
      </c>
      <c r="T198">
        <f>HYPERLINK("https://klasma.github.io/Logging_2303/kartor/A 20575-2025 karta.png", "A 20575-2025")</f>
        <v/>
      </c>
      <c r="V198">
        <f>HYPERLINK("https://klasma.github.io/Logging_2303/klagomål/A 20575-2025 FSC-klagomål.docx", "A 20575-2025")</f>
        <v/>
      </c>
      <c r="W198">
        <f>HYPERLINK("https://klasma.github.io/Logging_2303/klagomålsmail/A 20575-2025 FSC-klagomål mail.docx", "A 20575-2025")</f>
        <v/>
      </c>
      <c r="X198">
        <f>HYPERLINK("https://klasma.github.io/Logging_2303/tillsyn/A 20575-2025 tillsynsbegäran.docx", "A 20575-2025")</f>
        <v/>
      </c>
      <c r="Y198">
        <f>HYPERLINK("https://klasma.github.io/Logging_2303/tillsynsmail/A 20575-2025 tillsynsbegäran mail.docx", "A 20575-2025")</f>
        <v/>
      </c>
    </row>
    <row r="199" ht="15" customHeight="1">
      <c r="A199" t="inlineStr">
        <is>
          <t>A 42899-2022</t>
        </is>
      </c>
      <c r="B199" s="1" t="n">
        <v>44832</v>
      </c>
      <c r="C199" s="1" t="n">
        <v>45994</v>
      </c>
      <c r="D199" t="inlineStr">
        <is>
          <t>JÄMTLANDS LÄN</t>
        </is>
      </c>
      <c r="E199" t="inlineStr">
        <is>
          <t>RAGUNDA</t>
        </is>
      </c>
      <c r="F199" t="inlineStr">
        <is>
          <t>SCA</t>
        </is>
      </c>
      <c r="G199" t="n">
        <v>2.3</v>
      </c>
      <c r="H199" t="n">
        <v>0</v>
      </c>
      <c r="I199" t="n">
        <v>0</v>
      </c>
      <c r="J199" t="n">
        <v>1</v>
      </c>
      <c r="K199" t="n">
        <v>0</v>
      </c>
      <c r="L199" t="n">
        <v>0</v>
      </c>
      <c r="M199" t="n">
        <v>0</v>
      </c>
      <c r="N199" t="n">
        <v>0</v>
      </c>
      <c r="O199" t="n">
        <v>1</v>
      </c>
      <c r="P199" t="n">
        <v>0</v>
      </c>
      <c r="Q199" t="n">
        <v>1</v>
      </c>
      <c r="R199" s="2" t="inlineStr">
        <is>
          <t>Ullticka</t>
        </is>
      </c>
      <c r="S199">
        <f>HYPERLINK("https://klasma.github.io/Logging_2303/artfynd/A 42899-2022 artfynd.xlsx", "A 42899-2022")</f>
        <v/>
      </c>
      <c r="T199">
        <f>HYPERLINK("https://klasma.github.io/Logging_2303/kartor/A 42899-2022 karta.png", "A 42899-2022")</f>
        <v/>
      </c>
      <c r="V199">
        <f>HYPERLINK("https://klasma.github.io/Logging_2303/klagomål/A 42899-2022 FSC-klagomål.docx", "A 42899-2022")</f>
        <v/>
      </c>
      <c r="W199">
        <f>HYPERLINK("https://klasma.github.io/Logging_2303/klagomålsmail/A 42899-2022 FSC-klagomål mail.docx", "A 42899-2022")</f>
        <v/>
      </c>
      <c r="X199">
        <f>HYPERLINK("https://klasma.github.io/Logging_2303/tillsyn/A 42899-2022 tillsynsbegäran.docx", "A 42899-2022")</f>
        <v/>
      </c>
      <c r="Y199">
        <f>HYPERLINK("https://klasma.github.io/Logging_2303/tillsynsmail/A 42899-2022 tillsynsbegäran mail.docx", "A 42899-2022")</f>
        <v/>
      </c>
    </row>
    <row r="200" ht="15" customHeight="1">
      <c r="A200" t="inlineStr">
        <is>
          <t>A 31773-2021</t>
        </is>
      </c>
      <c r="B200" s="1" t="n">
        <v>44369</v>
      </c>
      <c r="C200" s="1" t="n">
        <v>45994</v>
      </c>
      <c r="D200" t="inlineStr">
        <is>
          <t>JÄMTLANDS LÄN</t>
        </is>
      </c>
      <c r="E200" t="inlineStr">
        <is>
          <t>RAGUNDA</t>
        </is>
      </c>
      <c r="G200" t="n">
        <v>0.8</v>
      </c>
      <c r="H200" t="n">
        <v>0</v>
      </c>
      <c r="I200" t="n">
        <v>0</v>
      </c>
      <c r="J200" t="n">
        <v>0</v>
      </c>
      <c r="K200" t="n">
        <v>1</v>
      </c>
      <c r="L200" t="n">
        <v>0</v>
      </c>
      <c r="M200" t="n">
        <v>0</v>
      </c>
      <c r="N200" t="n">
        <v>0</v>
      </c>
      <c r="O200" t="n">
        <v>1</v>
      </c>
      <c r="P200" t="n">
        <v>1</v>
      </c>
      <c r="Q200" t="n">
        <v>1</v>
      </c>
      <c r="R200" s="2" t="inlineStr">
        <is>
          <t>Strandsandjägare</t>
        </is>
      </c>
      <c r="S200">
        <f>HYPERLINK("https://klasma.github.io/Logging_2303/artfynd/A 31773-2021 artfynd.xlsx", "A 31773-2021")</f>
        <v/>
      </c>
      <c r="T200">
        <f>HYPERLINK("https://klasma.github.io/Logging_2303/kartor/A 31773-2021 karta.png", "A 31773-2021")</f>
        <v/>
      </c>
      <c r="V200">
        <f>HYPERLINK("https://klasma.github.io/Logging_2303/klagomål/A 31773-2021 FSC-klagomål.docx", "A 31773-2021")</f>
        <v/>
      </c>
      <c r="W200">
        <f>HYPERLINK("https://klasma.github.io/Logging_2303/klagomålsmail/A 31773-2021 FSC-klagomål mail.docx", "A 31773-2021")</f>
        <v/>
      </c>
      <c r="X200">
        <f>HYPERLINK("https://klasma.github.io/Logging_2303/tillsyn/A 31773-2021 tillsynsbegäran.docx", "A 31773-2021")</f>
        <v/>
      </c>
      <c r="Y200">
        <f>HYPERLINK("https://klasma.github.io/Logging_2303/tillsynsmail/A 31773-2021 tillsynsbegäran mail.docx", "A 31773-2021")</f>
        <v/>
      </c>
    </row>
    <row r="201" ht="15" customHeight="1">
      <c r="A201" t="inlineStr">
        <is>
          <t>A 59104-2023</t>
        </is>
      </c>
      <c r="B201" s="1" t="n">
        <v>45252</v>
      </c>
      <c r="C201" s="1" t="n">
        <v>45994</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19387-2025</t>
        </is>
      </c>
      <c r="B202" s="1" t="n">
        <v>45769.65736111111</v>
      </c>
      <c r="C202" s="1" t="n">
        <v>45994</v>
      </c>
      <c r="D202" t="inlineStr">
        <is>
          <t>JÄMTLANDS LÄN</t>
        </is>
      </c>
      <c r="E202" t="inlineStr">
        <is>
          <t>RAGUNDA</t>
        </is>
      </c>
      <c r="F202" t="inlineStr">
        <is>
          <t>SCA</t>
        </is>
      </c>
      <c r="G202" t="n">
        <v>16.4</v>
      </c>
      <c r="H202" t="n">
        <v>1</v>
      </c>
      <c r="I202" t="n">
        <v>0</v>
      </c>
      <c r="J202" t="n">
        <v>0</v>
      </c>
      <c r="K202" t="n">
        <v>1</v>
      </c>
      <c r="L202" t="n">
        <v>0</v>
      </c>
      <c r="M202" t="n">
        <v>0</v>
      </c>
      <c r="N202" t="n">
        <v>0</v>
      </c>
      <c r="O202" t="n">
        <v>1</v>
      </c>
      <c r="P202" t="n">
        <v>1</v>
      </c>
      <c r="Q202" t="n">
        <v>1</v>
      </c>
      <c r="R202" s="2" t="inlineStr">
        <is>
          <t>Norna</t>
        </is>
      </c>
      <c r="S202">
        <f>HYPERLINK("https://klasma.github.io/Logging_2303/artfynd/A 19387-2025 artfynd.xlsx", "A 19387-2025")</f>
        <v/>
      </c>
      <c r="T202">
        <f>HYPERLINK("https://klasma.github.io/Logging_2303/kartor/A 19387-2025 karta.png", "A 19387-2025")</f>
        <v/>
      </c>
      <c r="V202">
        <f>HYPERLINK("https://klasma.github.io/Logging_2303/klagomål/A 19387-2025 FSC-klagomål.docx", "A 19387-2025")</f>
        <v/>
      </c>
      <c r="W202">
        <f>HYPERLINK("https://klasma.github.io/Logging_2303/klagomålsmail/A 19387-2025 FSC-klagomål mail.docx", "A 19387-2025")</f>
        <v/>
      </c>
      <c r="X202">
        <f>HYPERLINK("https://klasma.github.io/Logging_2303/tillsyn/A 19387-2025 tillsynsbegäran.docx", "A 19387-2025")</f>
        <v/>
      </c>
      <c r="Y202">
        <f>HYPERLINK("https://klasma.github.io/Logging_2303/tillsynsmail/A 19387-2025 tillsynsbegäran mail.docx", "A 19387-2025")</f>
        <v/>
      </c>
    </row>
    <row r="203" ht="15" customHeight="1">
      <c r="A203" t="inlineStr">
        <is>
          <t>A 27286-2022</t>
        </is>
      </c>
      <c r="B203" s="1" t="n">
        <v>44741</v>
      </c>
      <c r="C203" s="1" t="n">
        <v>45994</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25694-2023</t>
        </is>
      </c>
      <c r="B204" s="1" t="n">
        <v>45089</v>
      </c>
      <c r="C204" s="1" t="n">
        <v>45994</v>
      </c>
      <c r="D204" t="inlineStr">
        <is>
          <t>JÄMTLANDS LÄN</t>
        </is>
      </c>
      <c r="E204" t="inlineStr">
        <is>
          <t>RAGUNDA</t>
        </is>
      </c>
      <c r="F204" t="inlineStr">
        <is>
          <t>SCA</t>
        </is>
      </c>
      <c r="G204" t="n">
        <v>1.5</v>
      </c>
      <c r="H204" t="n">
        <v>0</v>
      </c>
      <c r="I204" t="n">
        <v>0</v>
      </c>
      <c r="J204" t="n">
        <v>1</v>
      </c>
      <c r="K204" t="n">
        <v>0</v>
      </c>
      <c r="L204" t="n">
        <v>0</v>
      </c>
      <c r="M204" t="n">
        <v>0</v>
      </c>
      <c r="N204" t="n">
        <v>0</v>
      </c>
      <c r="O204" t="n">
        <v>1</v>
      </c>
      <c r="P204" t="n">
        <v>0</v>
      </c>
      <c r="Q204" t="n">
        <v>1</v>
      </c>
      <c r="R204" s="2" t="inlineStr">
        <is>
          <t>Ullticka</t>
        </is>
      </c>
      <c r="S204">
        <f>HYPERLINK("https://klasma.github.io/Logging_2303/artfynd/A 25694-2023 artfynd.xlsx", "A 25694-2023")</f>
        <v/>
      </c>
      <c r="T204">
        <f>HYPERLINK("https://klasma.github.io/Logging_2303/kartor/A 25694-2023 karta.png", "A 25694-2023")</f>
        <v/>
      </c>
      <c r="V204">
        <f>HYPERLINK("https://klasma.github.io/Logging_2303/klagomål/A 25694-2023 FSC-klagomål.docx", "A 25694-2023")</f>
        <v/>
      </c>
      <c r="W204">
        <f>HYPERLINK("https://klasma.github.io/Logging_2303/klagomålsmail/A 25694-2023 FSC-klagomål mail.docx", "A 25694-2023")</f>
        <v/>
      </c>
      <c r="X204">
        <f>HYPERLINK("https://klasma.github.io/Logging_2303/tillsyn/A 25694-2023 tillsynsbegäran.docx", "A 25694-2023")</f>
        <v/>
      </c>
      <c r="Y204">
        <f>HYPERLINK("https://klasma.github.io/Logging_2303/tillsynsmail/A 25694-2023 tillsynsbegäran mail.docx", "A 25694-2023")</f>
        <v/>
      </c>
    </row>
    <row r="205" ht="15" customHeight="1">
      <c r="A205" t="inlineStr">
        <is>
          <t>A 26317-2024</t>
        </is>
      </c>
      <c r="B205" s="1" t="n">
        <v>45468</v>
      </c>
      <c r="C205" s="1" t="n">
        <v>45994</v>
      </c>
      <c r="D205" t="inlineStr">
        <is>
          <t>JÄMTLANDS LÄN</t>
        </is>
      </c>
      <c r="E205" t="inlineStr">
        <is>
          <t>RAGUNDA</t>
        </is>
      </c>
      <c r="F205" t="inlineStr">
        <is>
          <t>SCA</t>
        </is>
      </c>
      <c r="G205" t="n">
        <v>3.8</v>
      </c>
      <c r="H205" t="n">
        <v>0</v>
      </c>
      <c r="I205" t="n">
        <v>0</v>
      </c>
      <c r="J205" t="n">
        <v>1</v>
      </c>
      <c r="K205" t="n">
        <v>0</v>
      </c>
      <c r="L205" t="n">
        <v>0</v>
      </c>
      <c r="M205" t="n">
        <v>0</v>
      </c>
      <c r="N205" t="n">
        <v>0</v>
      </c>
      <c r="O205" t="n">
        <v>1</v>
      </c>
      <c r="P205" t="n">
        <v>0</v>
      </c>
      <c r="Q205" t="n">
        <v>1</v>
      </c>
      <c r="R205" s="2" t="inlineStr">
        <is>
          <t>Kortskaftad ärgspik</t>
        </is>
      </c>
      <c r="S205">
        <f>HYPERLINK("https://klasma.github.io/Logging_2303/artfynd/A 26317-2024 artfynd.xlsx", "A 26317-2024")</f>
        <v/>
      </c>
      <c r="T205">
        <f>HYPERLINK("https://klasma.github.io/Logging_2303/kartor/A 26317-2024 karta.png", "A 26317-2024")</f>
        <v/>
      </c>
      <c r="V205">
        <f>HYPERLINK("https://klasma.github.io/Logging_2303/klagomål/A 26317-2024 FSC-klagomål.docx", "A 26317-2024")</f>
        <v/>
      </c>
      <c r="W205">
        <f>HYPERLINK("https://klasma.github.io/Logging_2303/klagomålsmail/A 26317-2024 FSC-klagomål mail.docx", "A 26317-2024")</f>
        <v/>
      </c>
      <c r="X205">
        <f>HYPERLINK("https://klasma.github.io/Logging_2303/tillsyn/A 26317-2024 tillsynsbegäran.docx", "A 26317-2024")</f>
        <v/>
      </c>
      <c r="Y205">
        <f>HYPERLINK("https://klasma.github.io/Logging_2303/tillsynsmail/A 26317-2024 tillsynsbegäran mail.docx", "A 26317-2024")</f>
        <v/>
      </c>
    </row>
    <row r="206" ht="15" customHeight="1">
      <c r="A206" t="inlineStr">
        <is>
          <t>A 2929-2024</t>
        </is>
      </c>
      <c r="B206" s="1" t="n">
        <v>45315</v>
      </c>
      <c r="C206" s="1" t="n">
        <v>45994</v>
      </c>
      <c r="D206" t="inlineStr">
        <is>
          <t>JÄMTLANDS LÄN</t>
        </is>
      </c>
      <c r="E206" t="inlineStr">
        <is>
          <t>RAGUNDA</t>
        </is>
      </c>
      <c r="G206" t="n">
        <v>1</v>
      </c>
      <c r="H206" t="n">
        <v>0</v>
      </c>
      <c r="I206" t="n">
        <v>0</v>
      </c>
      <c r="J206" t="n">
        <v>1</v>
      </c>
      <c r="K206" t="n">
        <v>0</v>
      </c>
      <c r="L206" t="n">
        <v>0</v>
      </c>
      <c r="M206" t="n">
        <v>0</v>
      </c>
      <c r="N206" t="n">
        <v>0</v>
      </c>
      <c r="O206" t="n">
        <v>1</v>
      </c>
      <c r="P206" t="n">
        <v>0</v>
      </c>
      <c r="Q206" t="n">
        <v>1</v>
      </c>
      <c r="R206" s="2" t="inlineStr">
        <is>
          <t>Klådris</t>
        </is>
      </c>
      <c r="S206">
        <f>HYPERLINK("https://klasma.github.io/Logging_2303/artfynd/A 2929-2024 artfynd.xlsx", "A 2929-2024")</f>
        <v/>
      </c>
      <c r="T206">
        <f>HYPERLINK("https://klasma.github.io/Logging_2303/kartor/A 2929-2024 karta.png", "A 2929-2024")</f>
        <v/>
      </c>
      <c r="V206">
        <f>HYPERLINK("https://klasma.github.io/Logging_2303/klagomål/A 2929-2024 FSC-klagomål.docx", "A 2929-2024")</f>
        <v/>
      </c>
      <c r="W206">
        <f>HYPERLINK("https://klasma.github.io/Logging_2303/klagomålsmail/A 2929-2024 FSC-klagomål mail.docx", "A 2929-2024")</f>
        <v/>
      </c>
      <c r="X206">
        <f>HYPERLINK("https://klasma.github.io/Logging_2303/tillsyn/A 2929-2024 tillsynsbegäran.docx", "A 2929-2024")</f>
        <v/>
      </c>
      <c r="Y206">
        <f>HYPERLINK("https://klasma.github.io/Logging_2303/tillsynsmail/A 2929-2024 tillsynsbegäran mail.docx", "A 2929-2024")</f>
        <v/>
      </c>
    </row>
    <row r="207" ht="15" customHeight="1">
      <c r="A207" t="inlineStr">
        <is>
          <t>A 11040-2023</t>
        </is>
      </c>
      <c r="B207" s="1" t="n">
        <v>44991</v>
      </c>
      <c r="C207" s="1" t="n">
        <v>45994</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49091-2022</t>
        </is>
      </c>
      <c r="B208" s="1" t="n">
        <v>44860</v>
      </c>
      <c r="C208" s="1" t="n">
        <v>45994</v>
      </c>
      <c r="D208" t="inlineStr">
        <is>
          <t>JÄMTLANDS LÄN</t>
        </is>
      </c>
      <c r="E208" t="inlineStr">
        <is>
          <t>RAGUNDA</t>
        </is>
      </c>
      <c r="G208" t="n">
        <v>3.5</v>
      </c>
      <c r="H208" t="n">
        <v>1</v>
      </c>
      <c r="I208" t="n">
        <v>0</v>
      </c>
      <c r="J208" t="n">
        <v>0</v>
      </c>
      <c r="K208" t="n">
        <v>1</v>
      </c>
      <c r="L208" t="n">
        <v>0</v>
      </c>
      <c r="M208" t="n">
        <v>0</v>
      </c>
      <c r="N208" t="n">
        <v>0</v>
      </c>
      <c r="O208" t="n">
        <v>1</v>
      </c>
      <c r="P208" t="n">
        <v>1</v>
      </c>
      <c r="Q208" t="n">
        <v>1</v>
      </c>
      <c r="R208" s="2" t="inlineStr">
        <is>
          <t>Doftticka</t>
        </is>
      </c>
      <c r="S208">
        <f>HYPERLINK("https://klasma.github.io/Logging_2303/artfynd/A 49091-2022 artfynd.xlsx", "A 49091-2022")</f>
        <v/>
      </c>
      <c r="T208">
        <f>HYPERLINK("https://klasma.github.io/Logging_2303/kartor/A 49091-2022 karta.png", "A 49091-2022")</f>
        <v/>
      </c>
      <c r="V208">
        <f>HYPERLINK("https://klasma.github.io/Logging_2303/klagomål/A 49091-2022 FSC-klagomål.docx", "A 49091-2022")</f>
        <v/>
      </c>
      <c r="W208">
        <f>HYPERLINK("https://klasma.github.io/Logging_2303/klagomålsmail/A 49091-2022 FSC-klagomål mail.docx", "A 49091-2022")</f>
        <v/>
      </c>
      <c r="X208">
        <f>HYPERLINK("https://klasma.github.io/Logging_2303/tillsyn/A 49091-2022 tillsynsbegäran.docx", "A 49091-2022")</f>
        <v/>
      </c>
      <c r="Y208">
        <f>HYPERLINK("https://klasma.github.io/Logging_2303/tillsynsmail/A 49091-2022 tillsynsbegäran mail.docx", "A 49091-2022")</f>
        <v/>
      </c>
    </row>
    <row r="209" ht="15" customHeight="1">
      <c r="A209" t="inlineStr">
        <is>
          <t>A 36757-2023</t>
        </is>
      </c>
      <c r="B209" s="1" t="n">
        <v>45153</v>
      </c>
      <c r="C209" s="1" t="n">
        <v>45994</v>
      </c>
      <c r="D209" t="inlineStr">
        <is>
          <t>JÄMTLANDS LÄN</t>
        </is>
      </c>
      <c r="E209" t="inlineStr">
        <is>
          <t>RAGUNDA</t>
        </is>
      </c>
      <c r="G209" t="n">
        <v>0.7</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36757-2023 artfynd.xlsx", "A 36757-2023")</f>
        <v/>
      </c>
      <c r="T209">
        <f>HYPERLINK("https://klasma.github.io/Logging_2303/kartor/A 36757-2023 karta.png", "A 36757-2023")</f>
        <v/>
      </c>
      <c r="V209">
        <f>HYPERLINK("https://klasma.github.io/Logging_2303/klagomål/A 36757-2023 FSC-klagomål.docx", "A 36757-2023")</f>
        <v/>
      </c>
      <c r="W209">
        <f>HYPERLINK("https://klasma.github.io/Logging_2303/klagomålsmail/A 36757-2023 FSC-klagomål mail.docx", "A 36757-2023")</f>
        <v/>
      </c>
      <c r="X209">
        <f>HYPERLINK("https://klasma.github.io/Logging_2303/tillsyn/A 36757-2023 tillsynsbegäran.docx", "A 36757-2023")</f>
        <v/>
      </c>
      <c r="Y209">
        <f>HYPERLINK("https://klasma.github.io/Logging_2303/tillsynsmail/A 36757-2023 tillsynsbegäran mail.docx", "A 36757-2023")</f>
        <v/>
      </c>
      <c r="Z209">
        <f>HYPERLINK("https://klasma.github.io/Logging_2303/fåglar/A 36757-2023 prioriterade fågelarter.docx", "A 36757-2023")</f>
        <v/>
      </c>
    </row>
    <row r="210" ht="15" customHeight="1">
      <c r="A210" t="inlineStr">
        <is>
          <t>A 29921-2024</t>
        </is>
      </c>
      <c r="B210" s="1" t="n">
        <v>45487.92863425926</v>
      </c>
      <c r="C210" s="1" t="n">
        <v>45994</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58846-2024</t>
        </is>
      </c>
      <c r="B211" s="1" t="n">
        <v>45636.3863425926</v>
      </c>
      <c r="C211" s="1" t="n">
        <v>45994</v>
      </c>
      <c r="D211" t="inlineStr">
        <is>
          <t>JÄMTLANDS LÄN</t>
        </is>
      </c>
      <c r="E211" t="inlineStr">
        <is>
          <t>RAGUNDA</t>
        </is>
      </c>
      <c r="F211" t="inlineStr">
        <is>
          <t>SCA</t>
        </is>
      </c>
      <c r="G211" t="n">
        <v>1.5</v>
      </c>
      <c r="H211" t="n">
        <v>0</v>
      </c>
      <c r="I211" t="n">
        <v>0</v>
      </c>
      <c r="J211" t="n">
        <v>0</v>
      </c>
      <c r="K211" t="n">
        <v>1</v>
      </c>
      <c r="L211" t="n">
        <v>0</v>
      </c>
      <c r="M211" t="n">
        <v>0</v>
      </c>
      <c r="N211" t="n">
        <v>0</v>
      </c>
      <c r="O211" t="n">
        <v>1</v>
      </c>
      <c r="P211" t="n">
        <v>1</v>
      </c>
      <c r="Q211" t="n">
        <v>1</v>
      </c>
      <c r="R211" s="2" t="inlineStr">
        <is>
          <t>Rynkskinn</t>
        </is>
      </c>
      <c r="S211">
        <f>HYPERLINK("https://klasma.github.io/Logging_2303/artfynd/A 58846-2024 artfynd.xlsx", "A 58846-2024")</f>
        <v/>
      </c>
      <c r="T211">
        <f>HYPERLINK("https://klasma.github.io/Logging_2303/kartor/A 58846-2024 karta.png", "A 58846-2024")</f>
        <v/>
      </c>
      <c r="V211">
        <f>HYPERLINK("https://klasma.github.io/Logging_2303/klagomål/A 58846-2024 FSC-klagomål.docx", "A 58846-2024")</f>
        <v/>
      </c>
      <c r="W211">
        <f>HYPERLINK("https://klasma.github.io/Logging_2303/klagomålsmail/A 58846-2024 FSC-klagomål mail.docx", "A 58846-2024")</f>
        <v/>
      </c>
      <c r="X211">
        <f>HYPERLINK("https://klasma.github.io/Logging_2303/tillsyn/A 58846-2024 tillsynsbegäran.docx", "A 58846-2024")</f>
        <v/>
      </c>
      <c r="Y211">
        <f>HYPERLINK("https://klasma.github.io/Logging_2303/tillsynsmail/A 58846-2024 tillsynsbegäran mail.docx", "A 58846-2024")</f>
        <v/>
      </c>
    </row>
    <row r="212" ht="15" customHeight="1">
      <c r="A212" t="inlineStr">
        <is>
          <t>A 36975-2023</t>
        </is>
      </c>
      <c r="B212" s="1" t="n">
        <v>45154</v>
      </c>
      <c r="C212" s="1" t="n">
        <v>45994</v>
      </c>
      <c r="D212" t="inlineStr">
        <is>
          <t>JÄMTLANDS LÄN</t>
        </is>
      </c>
      <c r="E212" t="inlineStr">
        <is>
          <t>RAGUNDA</t>
        </is>
      </c>
      <c r="F212" t="inlineStr">
        <is>
          <t>SCA</t>
        </is>
      </c>
      <c r="G212" t="n">
        <v>3.8</v>
      </c>
      <c r="H212" t="n">
        <v>0</v>
      </c>
      <c r="I212" t="n">
        <v>0</v>
      </c>
      <c r="J212" t="n">
        <v>0</v>
      </c>
      <c r="K212" t="n">
        <v>1</v>
      </c>
      <c r="L212" t="n">
        <v>0</v>
      </c>
      <c r="M212" t="n">
        <v>0</v>
      </c>
      <c r="N212" t="n">
        <v>0</v>
      </c>
      <c r="O212" t="n">
        <v>1</v>
      </c>
      <c r="P212" t="n">
        <v>1</v>
      </c>
      <c r="Q212" t="n">
        <v>1</v>
      </c>
      <c r="R212" s="2" t="inlineStr">
        <is>
          <t>Gräddporing</t>
        </is>
      </c>
      <c r="S212">
        <f>HYPERLINK("https://klasma.github.io/Logging_2303/artfynd/A 36975-2023 artfynd.xlsx", "A 36975-2023")</f>
        <v/>
      </c>
      <c r="T212">
        <f>HYPERLINK("https://klasma.github.io/Logging_2303/kartor/A 36975-2023 karta.png", "A 36975-2023")</f>
        <v/>
      </c>
      <c r="V212">
        <f>HYPERLINK("https://klasma.github.io/Logging_2303/klagomål/A 36975-2023 FSC-klagomål.docx", "A 36975-2023")</f>
        <v/>
      </c>
      <c r="W212">
        <f>HYPERLINK("https://klasma.github.io/Logging_2303/klagomålsmail/A 36975-2023 FSC-klagomål mail.docx", "A 36975-2023")</f>
        <v/>
      </c>
      <c r="X212">
        <f>HYPERLINK("https://klasma.github.io/Logging_2303/tillsyn/A 36975-2023 tillsynsbegäran.docx", "A 36975-2023")</f>
        <v/>
      </c>
      <c r="Y212">
        <f>HYPERLINK("https://klasma.github.io/Logging_2303/tillsynsmail/A 36975-2023 tillsynsbegäran mail.docx", "A 36975-2023")</f>
        <v/>
      </c>
    </row>
    <row r="213" ht="15" customHeight="1">
      <c r="A213" t="inlineStr">
        <is>
          <t>A 50233-2024</t>
        </is>
      </c>
      <c r="B213" s="1" t="n">
        <v>45600.55265046296</v>
      </c>
      <c r="C213" s="1" t="n">
        <v>45994</v>
      </c>
      <c r="D213" t="inlineStr">
        <is>
          <t>JÄMTLANDS LÄN</t>
        </is>
      </c>
      <c r="E213" t="inlineStr">
        <is>
          <t>RAGUNDA</t>
        </is>
      </c>
      <c r="F213" t="inlineStr">
        <is>
          <t>SCA</t>
        </is>
      </c>
      <c r="G213" t="n">
        <v>5.6</v>
      </c>
      <c r="H213" t="n">
        <v>0</v>
      </c>
      <c r="I213" t="n">
        <v>0</v>
      </c>
      <c r="J213" t="n">
        <v>1</v>
      </c>
      <c r="K213" t="n">
        <v>0</v>
      </c>
      <c r="L213" t="n">
        <v>0</v>
      </c>
      <c r="M213" t="n">
        <v>0</v>
      </c>
      <c r="N213" t="n">
        <v>0</v>
      </c>
      <c r="O213" t="n">
        <v>1</v>
      </c>
      <c r="P213" t="n">
        <v>0</v>
      </c>
      <c r="Q213" t="n">
        <v>1</v>
      </c>
      <c r="R213" s="2" t="inlineStr">
        <is>
          <t>Granticka</t>
        </is>
      </c>
      <c r="S213">
        <f>HYPERLINK("https://klasma.github.io/Logging_2303/artfynd/A 50233-2024 artfynd.xlsx", "A 50233-2024")</f>
        <v/>
      </c>
      <c r="T213">
        <f>HYPERLINK("https://klasma.github.io/Logging_2303/kartor/A 50233-2024 karta.png", "A 50233-2024")</f>
        <v/>
      </c>
      <c r="V213">
        <f>HYPERLINK("https://klasma.github.io/Logging_2303/klagomål/A 50233-2024 FSC-klagomål.docx", "A 50233-2024")</f>
        <v/>
      </c>
      <c r="W213">
        <f>HYPERLINK("https://klasma.github.io/Logging_2303/klagomålsmail/A 50233-2024 FSC-klagomål mail.docx", "A 50233-2024")</f>
        <v/>
      </c>
      <c r="X213">
        <f>HYPERLINK("https://klasma.github.io/Logging_2303/tillsyn/A 50233-2024 tillsynsbegäran.docx", "A 50233-2024")</f>
        <v/>
      </c>
      <c r="Y213">
        <f>HYPERLINK("https://klasma.github.io/Logging_2303/tillsynsmail/A 50233-2024 tillsynsbegäran mail.docx", "A 50233-2024")</f>
        <v/>
      </c>
    </row>
    <row r="214" ht="15" customHeight="1">
      <c r="A214" t="inlineStr">
        <is>
          <t>A 36854-2023</t>
        </is>
      </c>
      <c r="B214" s="1" t="n">
        <v>45153</v>
      </c>
      <c r="C214" s="1" t="n">
        <v>45994</v>
      </c>
      <c r="D214" t="inlineStr">
        <is>
          <t>JÄMTLANDS LÄN</t>
        </is>
      </c>
      <c r="E214" t="inlineStr">
        <is>
          <t>RAGUNDA</t>
        </is>
      </c>
      <c r="G214" t="n">
        <v>4</v>
      </c>
      <c r="H214" t="n">
        <v>1</v>
      </c>
      <c r="I214" t="n">
        <v>0</v>
      </c>
      <c r="J214" t="n">
        <v>1</v>
      </c>
      <c r="K214" t="n">
        <v>0</v>
      </c>
      <c r="L214" t="n">
        <v>0</v>
      </c>
      <c r="M214" t="n">
        <v>0</v>
      </c>
      <c r="N214" t="n">
        <v>0</v>
      </c>
      <c r="O214" t="n">
        <v>1</v>
      </c>
      <c r="P214" t="n">
        <v>0</v>
      </c>
      <c r="Q214" t="n">
        <v>1</v>
      </c>
      <c r="R214" s="2" t="inlineStr">
        <is>
          <t>Talltita</t>
        </is>
      </c>
      <c r="S214">
        <f>HYPERLINK("https://klasma.github.io/Logging_2303/artfynd/A 36854-2023 artfynd.xlsx", "A 36854-2023")</f>
        <v/>
      </c>
      <c r="T214">
        <f>HYPERLINK("https://klasma.github.io/Logging_2303/kartor/A 36854-2023 karta.png", "A 36854-2023")</f>
        <v/>
      </c>
      <c r="V214">
        <f>HYPERLINK("https://klasma.github.io/Logging_2303/klagomål/A 36854-2023 FSC-klagomål.docx", "A 36854-2023")</f>
        <v/>
      </c>
      <c r="W214">
        <f>HYPERLINK("https://klasma.github.io/Logging_2303/klagomålsmail/A 36854-2023 FSC-klagomål mail.docx", "A 36854-2023")</f>
        <v/>
      </c>
      <c r="X214">
        <f>HYPERLINK("https://klasma.github.io/Logging_2303/tillsyn/A 36854-2023 tillsynsbegäran.docx", "A 36854-2023")</f>
        <v/>
      </c>
      <c r="Y214">
        <f>HYPERLINK("https://klasma.github.io/Logging_2303/tillsynsmail/A 36854-2023 tillsynsbegäran mail.docx", "A 36854-2023")</f>
        <v/>
      </c>
      <c r="Z214">
        <f>HYPERLINK("https://klasma.github.io/Logging_2303/fåglar/A 36854-2023 prioriterade fågelarter.docx", "A 36854-2023")</f>
        <v/>
      </c>
    </row>
    <row r="215" ht="15" customHeight="1">
      <c r="A215" t="inlineStr">
        <is>
          <t>A 18985-2023</t>
        </is>
      </c>
      <c r="B215" s="1" t="n">
        <v>45044</v>
      </c>
      <c r="C215" s="1" t="n">
        <v>45994</v>
      </c>
      <c r="D215" t="inlineStr">
        <is>
          <t>JÄMTLANDS LÄN</t>
        </is>
      </c>
      <c r="E215" t="inlineStr">
        <is>
          <t>RAGUNDA</t>
        </is>
      </c>
      <c r="F215" t="inlineStr">
        <is>
          <t>SCA</t>
        </is>
      </c>
      <c r="G215" t="n">
        <v>2.6</v>
      </c>
      <c r="H215" t="n">
        <v>0</v>
      </c>
      <c r="I215" t="n">
        <v>0</v>
      </c>
      <c r="J215" t="n">
        <v>1</v>
      </c>
      <c r="K215" t="n">
        <v>0</v>
      </c>
      <c r="L215" t="n">
        <v>0</v>
      </c>
      <c r="M215" t="n">
        <v>0</v>
      </c>
      <c r="N215" t="n">
        <v>0</v>
      </c>
      <c r="O215" t="n">
        <v>1</v>
      </c>
      <c r="P215" t="n">
        <v>0</v>
      </c>
      <c r="Q215" t="n">
        <v>1</v>
      </c>
      <c r="R215" s="2" t="inlineStr">
        <is>
          <t>Doftskinn</t>
        </is>
      </c>
      <c r="S215">
        <f>HYPERLINK("https://klasma.github.io/Logging_2303/artfynd/A 18985-2023 artfynd.xlsx", "A 18985-2023")</f>
        <v/>
      </c>
      <c r="T215">
        <f>HYPERLINK("https://klasma.github.io/Logging_2303/kartor/A 18985-2023 karta.png", "A 18985-2023")</f>
        <v/>
      </c>
      <c r="V215">
        <f>HYPERLINK("https://klasma.github.io/Logging_2303/klagomål/A 18985-2023 FSC-klagomål.docx", "A 18985-2023")</f>
        <v/>
      </c>
      <c r="W215">
        <f>HYPERLINK("https://klasma.github.io/Logging_2303/klagomålsmail/A 18985-2023 FSC-klagomål mail.docx", "A 18985-2023")</f>
        <v/>
      </c>
      <c r="X215">
        <f>HYPERLINK("https://klasma.github.io/Logging_2303/tillsyn/A 18985-2023 tillsynsbegäran.docx", "A 18985-2023")</f>
        <v/>
      </c>
      <c r="Y215">
        <f>HYPERLINK("https://klasma.github.io/Logging_2303/tillsynsmail/A 18985-2023 tillsynsbegäran mail.docx", "A 18985-2023")</f>
        <v/>
      </c>
    </row>
    <row r="216" ht="15" customHeight="1">
      <c r="A216" t="inlineStr">
        <is>
          <t>A 50164-2023</t>
        </is>
      </c>
      <c r="B216" s="1" t="n">
        <v>45208</v>
      </c>
      <c r="C216" s="1" t="n">
        <v>45994</v>
      </c>
      <c r="D216" t="inlineStr">
        <is>
          <t>JÄMTLANDS LÄN</t>
        </is>
      </c>
      <c r="E216" t="inlineStr">
        <is>
          <t>RAGUNDA</t>
        </is>
      </c>
      <c r="G216" t="n">
        <v>2.9</v>
      </c>
      <c r="H216" t="n">
        <v>0</v>
      </c>
      <c r="I216" t="n">
        <v>0</v>
      </c>
      <c r="J216" t="n">
        <v>0</v>
      </c>
      <c r="K216" t="n">
        <v>1</v>
      </c>
      <c r="L216" t="n">
        <v>0</v>
      </c>
      <c r="M216" t="n">
        <v>0</v>
      </c>
      <c r="N216" t="n">
        <v>0</v>
      </c>
      <c r="O216" t="n">
        <v>1</v>
      </c>
      <c r="P216" t="n">
        <v>1</v>
      </c>
      <c r="Q216" t="n">
        <v>1</v>
      </c>
      <c r="R216" s="2" t="inlineStr">
        <is>
          <t>Mindre barkplattbagge</t>
        </is>
      </c>
      <c r="S216">
        <f>HYPERLINK("https://klasma.github.io/Logging_2303/artfynd/A 50164-2023 artfynd.xlsx", "A 50164-2023")</f>
        <v/>
      </c>
      <c r="T216">
        <f>HYPERLINK("https://klasma.github.io/Logging_2303/kartor/A 50164-2023 karta.png", "A 50164-2023")</f>
        <v/>
      </c>
      <c r="V216">
        <f>HYPERLINK("https://klasma.github.io/Logging_2303/klagomål/A 50164-2023 FSC-klagomål.docx", "A 50164-2023")</f>
        <v/>
      </c>
      <c r="W216">
        <f>HYPERLINK("https://klasma.github.io/Logging_2303/klagomålsmail/A 50164-2023 FSC-klagomål mail.docx", "A 50164-2023")</f>
        <v/>
      </c>
      <c r="X216">
        <f>HYPERLINK("https://klasma.github.io/Logging_2303/tillsyn/A 50164-2023 tillsynsbegäran.docx", "A 50164-2023")</f>
        <v/>
      </c>
      <c r="Y216">
        <f>HYPERLINK("https://klasma.github.io/Logging_2303/tillsynsmail/A 50164-2023 tillsynsbegäran mail.docx", "A 50164-2023")</f>
        <v/>
      </c>
    </row>
    <row r="217" ht="15" customHeight="1">
      <c r="A217" t="inlineStr">
        <is>
          <t>A 30485-2024</t>
        </is>
      </c>
      <c r="B217" s="1" t="n">
        <v>45491.95008101852</v>
      </c>
      <c r="C217" s="1" t="n">
        <v>45994</v>
      </c>
      <c r="D217" t="inlineStr">
        <is>
          <t>JÄMTLANDS LÄN</t>
        </is>
      </c>
      <c r="E217" t="inlineStr">
        <is>
          <t>RAGUNDA</t>
        </is>
      </c>
      <c r="F217" t="inlineStr">
        <is>
          <t>SCA</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HYPERLINK("https://klasma.github.io/Logging_2303/artfynd/A 30485-2024 artfynd.xlsx", "A 30485-2024")</f>
        <v/>
      </c>
      <c r="T217">
        <f>HYPERLINK("https://klasma.github.io/Logging_2303/kartor/A 30485-2024 karta.png", "A 30485-2024")</f>
        <v/>
      </c>
      <c r="V217">
        <f>HYPERLINK("https://klasma.github.io/Logging_2303/klagomål/A 30485-2024 FSC-klagomål.docx", "A 30485-2024")</f>
        <v/>
      </c>
      <c r="W217">
        <f>HYPERLINK("https://klasma.github.io/Logging_2303/klagomålsmail/A 30485-2024 FSC-klagomål mail.docx", "A 30485-2024")</f>
        <v/>
      </c>
      <c r="X217">
        <f>HYPERLINK("https://klasma.github.io/Logging_2303/tillsyn/A 30485-2024 tillsynsbegäran.docx", "A 30485-2024")</f>
        <v/>
      </c>
      <c r="Y217">
        <f>HYPERLINK("https://klasma.github.io/Logging_2303/tillsynsmail/A 30485-2024 tillsynsbegäran mail.docx", "A 30485-2024")</f>
        <v/>
      </c>
    </row>
    <row r="218" ht="15" customHeight="1">
      <c r="A218" t="inlineStr">
        <is>
          <t>A 48429-2023</t>
        </is>
      </c>
      <c r="B218" s="1" t="n">
        <v>45205</v>
      </c>
      <c r="C218" s="1" t="n">
        <v>45994</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35750-2023</t>
        </is>
      </c>
      <c r="B219" s="1" t="n">
        <v>45147</v>
      </c>
      <c r="C219" s="1" t="n">
        <v>45994</v>
      </c>
      <c r="D219" t="inlineStr">
        <is>
          <t>JÄMTLANDS LÄN</t>
        </is>
      </c>
      <c r="E219" t="inlineStr">
        <is>
          <t>RAGUNDA</t>
        </is>
      </c>
      <c r="F219" t="inlineStr">
        <is>
          <t>SCA</t>
        </is>
      </c>
      <c r="G219" t="n">
        <v>4.8</v>
      </c>
      <c r="H219" t="n">
        <v>0</v>
      </c>
      <c r="I219" t="n">
        <v>0</v>
      </c>
      <c r="J219" t="n">
        <v>1</v>
      </c>
      <c r="K219" t="n">
        <v>0</v>
      </c>
      <c r="L219" t="n">
        <v>0</v>
      </c>
      <c r="M219" t="n">
        <v>0</v>
      </c>
      <c r="N219" t="n">
        <v>0</v>
      </c>
      <c r="O219" t="n">
        <v>1</v>
      </c>
      <c r="P219" t="n">
        <v>0</v>
      </c>
      <c r="Q219" t="n">
        <v>1</v>
      </c>
      <c r="R219" s="2" t="inlineStr">
        <is>
          <t>Grantaggsvamp</t>
        </is>
      </c>
      <c r="S219">
        <f>HYPERLINK("https://klasma.github.io/Logging_2303/artfynd/A 35750-2023 artfynd.xlsx", "A 35750-2023")</f>
        <v/>
      </c>
      <c r="T219">
        <f>HYPERLINK("https://klasma.github.io/Logging_2303/kartor/A 35750-2023 karta.png", "A 35750-2023")</f>
        <v/>
      </c>
      <c r="V219">
        <f>HYPERLINK("https://klasma.github.io/Logging_2303/klagomål/A 35750-2023 FSC-klagomål.docx", "A 35750-2023")</f>
        <v/>
      </c>
      <c r="W219">
        <f>HYPERLINK("https://klasma.github.io/Logging_2303/klagomålsmail/A 35750-2023 FSC-klagomål mail.docx", "A 35750-2023")</f>
        <v/>
      </c>
      <c r="X219">
        <f>HYPERLINK("https://klasma.github.io/Logging_2303/tillsyn/A 35750-2023 tillsynsbegäran.docx", "A 35750-2023")</f>
        <v/>
      </c>
      <c r="Y219">
        <f>HYPERLINK("https://klasma.github.io/Logging_2303/tillsynsmail/A 35750-2023 tillsynsbegäran mail.docx", "A 35750-2023")</f>
        <v/>
      </c>
    </row>
    <row r="220" ht="15" customHeight="1">
      <c r="A220" t="inlineStr">
        <is>
          <t>A 36224-2023</t>
        </is>
      </c>
      <c r="B220" s="1" t="n">
        <v>45149</v>
      </c>
      <c r="C220" s="1" t="n">
        <v>45994</v>
      </c>
      <c r="D220" t="inlineStr">
        <is>
          <t>JÄMTLANDS LÄN</t>
        </is>
      </c>
      <c r="E220" t="inlineStr">
        <is>
          <t>RAGUNDA</t>
        </is>
      </c>
      <c r="F220" t="inlineStr">
        <is>
          <t>SCA</t>
        </is>
      </c>
      <c r="G220" t="n">
        <v>8.1</v>
      </c>
      <c r="H220" t="n">
        <v>0</v>
      </c>
      <c r="I220" t="n">
        <v>0</v>
      </c>
      <c r="J220" t="n">
        <v>1</v>
      </c>
      <c r="K220" t="n">
        <v>0</v>
      </c>
      <c r="L220" t="n">
        <v>0</v>
      </c>
      <c r="M220" t="n">
        <v>0</v>
      </c>
      <c r="N220" t="n">
        <v>0</v>
      </c>
      <c r="O220" t="n">
        <v>1</v>
      </c>
      <c r="P220" t="n">
        <v>0</v>
      </c>
      <c r="Q220" t="n">
        <v>1</v>
      </c>
      <c r="R220" s="2" t="inlineStr">
        <is>
          <t>Garnlav</t>
        </is>
      </c>
      <c r="S220">
        <f>HYPERLINK("https://klasma.github.io/Logging_2303/artfynd/A 36224-2023 artfynd.xlsx", "A 36224-2023")</f>
        <v/>
      </c>
      <c r="T220">
        <f>HYPERLINK("https://klasma.github.io/Logging_2303/kartor/A 36224-2023 karta.png", "A 36224-2023")</f>
        <v/>
      </c>
      <c r="V220">
        <f>HYPERLINK("https://klasma.github.io/Logging_2303/klagomål/A 36224-2023 FSC-klagomål.docx", "A 36224-2023")</f>
        <v/>
      </c>
      <c r="W220">
        <f>HYPERLINK("https://klasma.github.io/Logging_2303/klagomålsmail/A 36224-2023 FSC-klagomål mail.docx", "A 36224-2023")</f>
        <v/>
      </c>
      <c r="X220">
        <f>HYPERLINK("https://klasma.github.io/Logging_2303/tillsyn/A 36224-2023 tillsynsbegäran.docx", "A 36224-2023")</f>
        <v/>
      </c>
      <c r="Y220">
        <f>HYPERLINK("https://klasma.github.io/Logging_2303/tillsynsmail/A 36224-2023 tillsynsbegäran mail.docx", "A 36224-2023")</f>
        <v/>
      </c>
    </row>
    <row r="221" ht="15" customHeight="1">
      <c r="A221" t="inlineStr">
        <is>
          <t>A 21212-2025</t>
        </is>
      </c>
      <c r="B221" s="1" t="n">
        <v>45779.48993055556</v>
      </c>
      <c r="C221" s="1" t="n">
        <v>45994</v>
      </c>
      <c r="D221" t="inlineStr">
        <is>
          <t>JÄMTLANDS LÄN</t>
        </is>
      </c>
      <c r="E221" t="inlineStr">
        <is>
          <t>RAGUNDA</t>
        </is>
      </c>
      <c r="F221" t="inlineStr">
        <is>
          <t>SCA</t>
        </is>
      </c>
      <c r="G221" t="n">
        <v>2.6</v>
      </c>
      <c r="H221" t="n">
        <v>0</v>
      </c>
      <c r="I221" t="n">
        <v>0</v>
      </c>
      <c r="J221" t="n">
        <v>1</v>
      </c>
      <c r="K221" t="n">
        <v>0</v>
      </c>
      <c r="L221" t="n">
        <v>0</v>
      </c>
      <c r="M221" t="n">
        <v>0</v>
      </c>
      <c r="N221" t="n">
        <v>0</v>
      </c>
      <c r="O221" t="n">
        <v>1</v>
      </c>
      <c r="P221" t="n">
        <v>0</v>
      </c>
      <c r="Q221" t="n">
        <v>1</v>
      </c>
      <c r="R221" s="2" t="inlineStr">
        <is>
          <t>Garnlav</t>
        </is>
      </c>
      <c r="S221">
        <f>HYPERLINK("https://klasma.github.io/Logging_2303/artfynd/A 21212-2025 artfynd.xlsx", "A 21212-2025")</f>
        <v/>
      </c>
      <c r="T221">
        <f>HYPERLINK("https://klasma.github.io/Logging_2303/kartor/A 21212-2025 karta.png", "A 21212-2025")</f>
        <v/>
      </c>
      <c r="V221">
        <f>HYPERLINK("https://klasma.github.io/Logging_2303/klagomål/A 21212-2025 FSC-klagomål.docx", "A 21212-2025")</f>
        <v/>
      </c>
      <c r="W221">
        <f>HYPERLINK("https://klasma.github.io/Logging_2303/klagomålsmail/A 21212-2025 FSC-klagomål mail.docx", "A 21212-2025")</f>
        <v/>
      </c>
      <c r="X221">
        <f>HYPERLINK("https://klasma.github.io/Logging_2303/tillsyn/A 21212-2025 tillsynsbegäran.docx", "A 21212-2025")</f>
        <v/>
      </c>
      <c r="Y221">
        <f>HYPERLINK("https://klasma.github.io/Logging_2303/tillsynsmail/A 21212-2025 tillsynsbegäran mail.docx", "A 21212-2025")</f>
        <v/>
      </c>
    </row>
    <row r="222" ht="15" customHeight="1">
      <c r="A222" t="inlineStr">
        <is>
          <t>A 17340-2023</t>
        </is>
      </c>
      <c r="B222" s="1" t="n">
        <v>45033</v>
      </c>
      <c r="C222" s="1" t="n">
        <v>45994</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Vedtrappmossa</t>
        </is>
      </c>
      <c r="S222">
        <f>HYPERLINK("https://klasma.github.io/Logging_2303/artfynd/A 17340-2023 artfynd.xlsx", "A 17340-2023")</f>
        <v/>
      </c>
      <c r="T222">
        <f>HYPERLINK("https://klasma.github.io/Logging_2303/kartor/A 17340-2023 karta.png", "A 17340-2023")</f>
        <v/>
      </c>
      <c r="U222">
        <f>HYPERLINK("https://klasma.github.io/Logging_2303/knärot/A 17340-2023 karta knärot.png", "A 17340-2023")</f>
        <v/>
      </c>
      <c r="V222">
        <f>HYPERLINK("https://klasma.github.io/Logging_2303/klagomål/A 17340-2023 FSC-klagomål.docx", "A 17340-2023")</f>
        <v/>
      </c>
      <c r="W222">
        <f>HYPERLINK("https://klasma.github.io/Logging_2303/klagomålsmail/A 17340-2023 FSC-klagomål mail.docx", "A 17340-2023")</f>
        <v/>
      </c>
      <c r="X222">
        <f>HYPERLINK("https://klasma.github.io/Logging_2303/tillsyn/A 17340-2023 tillsynsbegäran.docx", "A 17340-2023")</f>
        <v/>
      </c>
      <c r="Y222">
        <f>HYPERLINK("https://klasma.github.io/Logging_2303/tillsynsmail/A 17340-2023 tillsynsbegäran mail.docx", "A 17340-2023")</f>
        <v/>
      </c>
    </row>
    <row r="223" ht="15" customHeight="1">
      <c r="A223" t="inlineStr">
        <is>
          <t>A 43404-2023</t>
        </is>
      </c>
      <c r="B223" s="1" t="n">
        <v>45183</v>
      </c>
      <c r="C223" s="1" t="n">
        <v>45994</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26322-2024</t>
        </is>
      </c>
      <c r="B224" s="1" t="n">
        <v>45468.97461805555</v>
      </c>
      <c r="C224" s="1" t="n">
        <v>45994</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24443-2024</t>
        </is>
      </c>
      <c r="B225" s="1" t="n">
        <v>45457.9640625</v>
      </c>
      <c r="C225" s="1" t="n">
        <v>45994</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45994</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48477-2023</t>
        </is>
      </c>
      <c r="B227" s="1" t="n">
        <v>45206</v>
      </c>
      <c r="C227" s="1" t="n">
        <v>45994</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48477-2023 artfynd.xlsx", "A 48477-2023")</f>
        <v/>
      </c>
      <c r="T227">
        <f>HYPERLINK("https://klasma.github.io/Logging_2303/kartor/A 48477-2023 karta.png", "A 48477-2023")</f>
        <v/>
      </c>
      <c r="V227">
        <f>HYPERLINK("https://klasma.github.io/Logging_2303/klagomål/A 48477-2023 FSC-klagomål.docx", "A 48477-2023")</f>
        <v/>
      </c>
      <c r="W227">
        <f>HYPERLINK("https://klasma.github.io/Logging_2303/klagomålsmail/A 48477-2023 FSC-klagomål mail.docx", "A 48477-2023")</f>
        <v/>
      </c>
      <c r="X227">
        <f>HYPERLINK("https://klasma.github.io/Logging_2303/tillsyn/A 48477-2023 tillsynsbegäran.docx", "A 48477-2023")</f>
        <v/>
      </c>
      <c r="Y227">
        <f>HYPERLINK("https://klasma.github.io/Logging_2303/tillsynsmail/A 48477-2023 tillsynsbegäran mail.docx", "A 48477-2023")</f>
        <v/>
      </c>
    </row>
    <row r="228" ht="15" customHeight="1">
      <c r="A228" t="inlineStr">
        <is>
          <t>A 16724-2025</t>
        </is>
      </c>
      <c r="B228" s="1" t="n">
        <v>45754.51064814815</v>
      </c>
      <c r="C228" s="1" t="n">
        <v>45994</v>
      </c>
      <c r="D228" t="inlineStr">
        <is>
          <t>JÄMTLANDS LÄN</t>
        </is>
      </c>
      <c r="E228" t="inlineStr">
        <is>
          <t>RAGUNDA</t>
        </is>
      </c>
      <c r="G228" t="n">
        <v>3.5</v>
      </c>
      <c r="H228" t="n">
        <v>0</v>
      </c>
      <c r="I228" t="n">
        <v>0</v>
      </c>
      <c r="J228" t="n">
        <v>1</v>
      </c>
      <c r="K228" t="n">
        <v>0</v>
      </c>
      <c r="L228" t="n">
        <v>0</v>
      </c>
      <c r="M228" t="n">
        <v>0</v>
      </c>
      <c r="N228" t="n">
        <v>0</v>
      </c>
      <c r="O228" t="n">
        <v>1</v>
      </c>
      <c r="P228" t="n">
        <v>0</v>
      </c>
      <c r="Q228" t="n">
        <v>1</v>
      </c>
      <c r="R228" s="2" t="inlineStr">
        <is>
          <t>Kolflarnlav</t>
        </is>
      </c>
      <c r="S228">
        <f>HYPERLINK("https://klasma.github.io/Logging_2303/artfynd/A 16724-2025 artfynd.xlsx", "A 16724-2025")</f>
        <v/>
      </c>
      <c r="T228">
        <f>HYPERLINK("https://klasma.github.io/Logging_2303/kartor/A 16724-2025 karta.png", "A 16724-2025")</f>
        <v/>
      </c>
      <c r="V228">
        <f>HYPERLINK("https://klasma.github.io/Logging_2303/klagomål/A 16724-2025 FSC-klagomål.docx", "A 16724-2025")</f>
        <v/>
      </c>
      <c r="W228">
        <f>HYPERLINK("https://klasma.github.io/Logging_2303/klagomålsmail/A 16724-2025 FSC-klagomål mail.docx", "A 16724-2025")</f>
        <v/>
      </c>
      <c r="X228">
        <f>HYPERLINK("https://klasma.github.io/Logging_2303/tillsyn/A 16724-2025 tillsynsbegäran.docx", "A 16724-2025")</f>
        <v/>
      </c>
      <c r="Y228">
        <f>HYPERLINK("https://klasma.github.io/Logging_2303/tillsynsmail/A 16724-2025 tillsynsbegäran mail.docx", "A 16724-2025")</f>
        <v/>
      </c>
    </row>
    <row r="229" ht="15" customHeight="1">
      <c r="A229" t="inlineStr">
        <is>
          <t>A 49770-2024</t>
        </is>
      </c>
      <c r="B229" s="1" t="n">
        <v>45597.34461805555</v>
      </c>
      <c r="C229" s="1" t="n">
        <v>45994</v>
      </c>
      <c r="D229" t="inlineStr">
        <is>
          <t>JÄMTLANDS LÄN</t>
        </is>
      </c>
      <c r="E229" t="inlineStr">
        <is>
          <t>RAGUNDA</t>
        </is>
      </c>
      <c r="F229" t="inlineStr">
        <is>
          <t>Naturvårdsverket</t>
        </is>
      </c>
      <c r="G229" t="n">
        <v>8.9</v>
      </c>
      <c r="H229" t="n">
        <v>1</v>
      </c>
      <c r="I229" t="n">
        <v>0</v>
      </c>
      <c r="J229" t="n">
        <v>0</v>
      </c>
      <c r="K229" t="n">
        <v>1</v>
      </c>
      <c r="L229" t="n">
        <v>0</v>
      </c>
      <c r="M229" t="n">
        <v>0</v>
      </c>
      <c r="N229" t="n">
        <v>0</v>
      </c>
      <c r="O229" t="n">
        <v>1</v>
      </c>
      <c r="P229" t="n">
        <v>1</v>
      </c>
      <c r="Q229" t="n">
        <v>1</v>
      </c>
      <c r="R229" s="2" t="inlineStr">
        <is>
          <t>Doftticka</t>
        </is>
      </c>
      <c r="S229">
        <f>HYPERLINK("https://klasma.github.io/Logging_2303/artfynd/A 49770-2024 artfynd.xlsx", "A 49770-2024")</f>
        <v/>
      </c>
      <c r="T229">
        <f>HYPERLINK("https://klasma.github.io/Logging_2303/kartor/A 49770-2024 karta.png", "A 49770-2024")</f>
        <v/>
      </c>
      <c r="V229">
        <f>HYPERLINK("https://klasma.github.io/Logging_2303/klagomål/A 49770-2024 FSC-klagomål.docx", "A 49770-2024")</f>
        <v/>
      </c>
      <c r="W229">
        <f>HYPERLINK("https://klasma.github.io/Logging_2303/klagomålsmail/A 49770-2024 FSC-klagomål mail.docx", "A 49770-2024")</f>
        <v/>
      </c>
      <c r="X229">
        <f>HYPERLINK("https://klasma.github.io/Logging_2303/tillsyn/A 49770-2024 tillsynsbegäran.docx", "A 49770-2024")</f>
        <v/>
      </c>
      <c r="Y229">
        <f>HYPERLINK("https://klasma.github.io/Logging_2303/tillsynsmail/A 49770-2024 tillsynsbegäran mail.docx", "A 49770-2024")</f>
        <v/>
      </c>
    </row>
    <row r="230" ht="15" customHeight="1">
      <c r="A230" t="inlineStr">
        <is>
          <t>A 44066-2024</t>
        </is>
      </c>
      <c r="B230" s="1" t="n">
        <v>45572.60363425926</v>
      </c>
      <c r="C230" s="1" t="n">
        <v>45994</v>
      </c>
      <c r="D230" t="inlineStr">
        <is>
          <t>JÄMTLANDS LÄN</t>
        </is>
      </c>
      <c r="E230" t="inlineStr">
        <is>
          <t>RAGUNDA</t>
        </is>
      </c>
      <c r="G230" t="n">
        <v>6.4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44066-2024 artfynd.xlsx", "A 44066-2024")</f>
        <v/>
      </c>
      <c r="T230">
        <f>HYPERLINK("https://klasma.github.io/Logging_2303/kartor/A 44066-2024 karta.png", "A 44066-2024")</f>
        <v/>
      </c>
      <c r="V230">
        <f>HYPERLINK("https://klasma.github.io/Logging_2303/klagomål/A 44066-2024 FSC-klagomål.docx", "A 44066-2024")</f>
        <v/>
      </c>
      <c r="W230">
        <f>HYPERLINK("https://klasma.github.io/Logging_2303/klagomålsmail/A 44066-2024 FSC-klagomål mail.docx", "A 44066-2024")</f>
        <v/>
      </c>
      <c r="X230">
        <f>HYPERLINK("https://klasma.github.io/Logging_2303/tillsyn/A 44066-2024 tillsynsbegäran.docx", "A 44066-2024")</f>
        <v/>
      </c>
      <c r="Y230">
        <f>HYPERLINK("https://klasma.github.io/Logging_2303/tillsynsmail/A 44066-2024 tillsynsbegäran mail.docx", "A 44066-2024")</f>
        <v/>
      </c>
      <c r="Z230">
        <f>HYPERLINK("https://klasma.github.io/Logging_2303/fåglar/A 44066-2024 prioriterade fågelarter.docx", "A 44066-2024")</f>
        <v/>
      </c>
    </row>
    <row r="231" ht="15" customHeight="1">
      <c r="A231" t="inlineStr">
        <is>
          <t>A 978-2024</t>
        </is>
      </c>
      <c r="B231" s="1" t="n">
        <v>45301</v>
      </c>
      <c r="C231" s="1" t="n">
        <v>45994</v>
      </c>
      <c r="D231" t="inlineStr">
        <is>
          <t>JÄMTLANDS LÄN</t>
        </is>
      </c>
      <c r="E231" t="inlineStr">
        <is>
          <t>RAGUNDA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978-2024 artfynd.xlsx", "A 978-2024")</f>
        <v/>
      </c>
      <c r="T231">
        <f>HYPERLINK("https://klasma.github.io/Logging_2303/kartor/A 978-2024 karta.png", "A 978-2024")</f>
        <v/>
      </c>
      <c r="V231">
        <f>HYPERLINK("https://klasma.github.io/Logging_2303/klagomål/A 978-2024 FSC-klagomål.docx", "A 978-2024")</f>
        <v/>
      </c>
      <c r="W231">
        <f>HYPERLINK("https://klasma.github.io/Logging_2303/klagomålsmail/A 978-2024 FSC-klagomål mail.docx", "A 978-2024")</f>
        <v/>
      </c>
      <c r="X231">
        <f>HYPERLINK("https://klasma.github.io/Logging_2303/tillsyn/A 978-2024 tillsynsbegäran.docx", "A 978-2024")</f>
        <v/>
      </c>
      <c r="Y231">
        <f>HYPERLINK("https://klasma.github.io/Logging_2303/tillsynsmail/A 978-2024 tillsynsbegäran mail.docx", "A 978-2024")</f>
        <v/>
      </c>
      <c r="Z231">
        <f>HYPERLINK("https://klasma.github.io/Logging_2303/fåglar/A 978-2024 prioriterade fågelarter.docx", "A 978-2024")</f>
        <v/>
      </c>
    </row>
    <row r="232" ht="15" customHeight="1">
      <c r="A232" t="inlineStr">
        <is>
          <t>A 1057-2024</t>
        </is>
      </c>
      <c r="B232" s="1" t="n">
        <v>45301</v>
      </c>
      <c r="C232" s="1" t="n">
        <v>45994</v>
      </c>
      <c r="D232" t="inlineStr">
        <is>
          <t>JÄMTLANDS LÄN</t>
        </is>
      </c>
      <c r="E232" t="inlineStr">
        <is>
          <t>RAGUNDA</t>
        </is>
      </c>
      <c r="F232" t="inlineStr">
        <is>
          <t>SCA</t>
        </is>
      </c>
      <c r="G232" t="n">
        <v>6.8</v>
      </c>
      <c r="H232" t="n">
        <v>0</v>
      </c>
      <c r="I232" t="n">
        <v>1</v>
      </c>
      <c r="J232" t="n">
        <v>0</v>
      </c>
      <c r="K232" t="n">
        <v>0</v>
      </c>
      <c r="L232" t="n">
        <v>0</v>
      </c>
      <c r="M232" t="n">
        <v>0</v>
      </c>
      <c r="N232" t="n">
        <v>0</v>
      </c>
      <c r="O232" t="n">
        <v>0</v>
      </c>
      <c r="P232" t="n">
        <v>0</v>
      </c>
      <c r="Q232" t="n">
        <v>1</v>
      </c>
      <c r="R232" s="2" t="inlineStr">
        <is>
          <t>Stor aspticka</t>
        </is>
      </c>
      <c r="S232">
        <f>HYPERLINK("https://klasma.github.io/Logging_2303/artfynd/A 1057-2024 artfynd.xlsx", "A 1057-2024")</f>
        <v/>
      </c>
      <c r="T232">
        <f>HYPERLINK("https://klasma.github.io/Logging_2303/kartor/A 1057-2024 karta.png", "A 1057-2024")</f>
        <v/>
      </c>
      <c r="V232">
        <f>HYPERLINK("https://klasma.github.io/Logging_2303/klagomål/A 1057-2024 FSC-klagomål.docx", "A 1057-2024")</f>
        <v/>
      </c>
      <c r="W232">
        <f>HYPERLINK("https://klasma.github.io/Logging_2303/klagomålsmail/A 1057-2024 FSC-klagomål mail.docx", "A 1057-2024")</f>
        <v/>
      </c>
      <c r="X232">
        <f>HYPERLINK("https://klasma.github.io/Logging_2303/tillsyn/A 1057-2024 tillsynsbegäran.docx", "A 1057-2024")</f>
        <v/>
      </c>
      <c r="Y232">
        <f>HYPERLINK("https://klasma.github.io/Logging_2303/tillsynsmail/A 1057-2024 tillsynsbegäran mail.docx", "A 1057-2024")</f>
        <v/>
      </c>
    </row>
    <row r="233" ht="15" customHeight="1">
      <c r="A233" t="inlineStr">
        <is>
          <t>A 62072-2023</t>
        </is>
      </c>
      <c r="B233" s="1" t="n">
        <v>45266</v>
      </c>
      <c r="C233" s="1" t="n">
        <v>45994</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61324-2024</t>
        </is>
      </c>
      <c r="B234" s="1" t="n">
        <v>45646.34438657408</v>
      </c>
      <c r="C234" s="1" t="n">
        <v>45994</v>
      </c>
      <c r="D234" t="inlineStr">
        <is>
          <t>JÄMTLANDS LÄN</t>
        </is>
      </c>
      <c r="E234" t="inlineStr">
        <is>
          <t>RAGUNDA</t>
        </is>
      </c>
      <c r="F234" t="inlineStr">
        <is>
          <t>SCA</t>
        </is>
      </c>
      <c r="G234" t="n">
        <v>11.2</v>
      </c>
      <c r="H234" t="n">
        <v>1</v>
      </c>
      <c r="I234" t="n">
        <v>0</v>
      </c>
      <c r="J234" t="n">
        <v>0</v>
      </c>
      <c r="K234" t="n">
        <v>0</v>
      </c>
      <c r="L234" t="n">
        <v>0</v>
      </c>
      <c r="M234" t="n">
        <v>0</v>
      </c>
      <c r="N234" t="n">
        <v>0</v>
      </c>
      <c r="O234" t="n">
        <v>0</v>
      </c>
      <c r="P234" t="n">
        <v>0</v>
      </c>
      <c r="Q234" t="n">
        <v>1</v>
      </c>
      <c r="R234" s="2" t="inlineStr">
        <is>
          <t>Trana</t>
        </is>
      </c>
      <c r="S234">
        <f>HYPERLINK("https://klasma.github.io/Logging_2303/artfynd/A 61324-2024 artfynd.xlsx", "A 61324-2024")</f>
        <v/>
      </c>
      <c r="T234">
        <f>HYPERLINK("https://klasma.github.io/Logging_2303/kartor/A 61324-2024 karta.png", "A 61324-2024")</f>
        <v/>
      </c>
      <c r="V234">
        <f>HYPERLINK("https://klasma.github.io/Logging_2303/klagomål/A 61324-2024 FSC-klagomål.docx", "A 61324-2024")</f>
        <v/>
      </c>
      <c r="W234">
        <f>HYPERLINK("https://klasma.github.io/Logging_2303/klagomålsmail/A 61324-2024 FSC-klagomål mail.docx", "A 61324-2024")</f>
        <v/>
      </c>
      <c r="X234">
        <f>HYPERLINK("https://klasma.github.io/Logging_2303/tillsyn/A 61324-2024 tillsynsbegäran.docx", "A 61324-2024")</f>
        <v/>
      </c>
      <c r="Y234">
        <f>HYPERLINK("https://klasma.github.io/Logging_2303/tillsynsmail/A 61324-2024 tillsynsbegäran mail.docx", "A 61324-2024")</f>
        <v/>
      </c>
      <c r="Z234">
        <f>HYPERLINK("https://klasma.github.io/Logging_2303/fåglar/A 61324-2024 prioriterade fågelarter.docx", "A 61324-2024")</f>
        <v/>
      </c>
    </row>
    <row r="235" ht="15" customHeight="1">
      <c r="A235" t="inlineStr">
        <is>
          <t>A 40841-2025</t>
        </is>
      </c>
      <c r="B235" s="1" t="n">
        <v>45897.531875</v>
      </c>
      <c r="C235" s="1" t="n">
        <v>45994</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Garnlav</t>
        </is>
      </c>
      <c r="S235">
        <f>HYPERLINK("https://klasma.github.io/Logging_2303/artfynd/A 40841-2025 artfynd.xlsx", "A 40841-2025")</f>
        <v/>
      </c>
      <c r="T235">
        <f>HYPERLINK("https://klasma.github.io/Logging_2303/kartor/A 40841-2025 karta.png", "A 40841-2025")</f>
        <v/>
      </c>
      <c r="V235">
        <f>HYPERLINK("https://klasma.github.io/Logging_2303/klagomål/A 40841-2025 FSC-klagomål.docx", "A 40841-2025")</f>
        <v/>
      </c>
      <c r="W235">
        <f>HYPERLINK("https://klasma.github.io/Logging_2303/klagomålsmail/A 40841-2025 FSC-klagomål mail.docx", "A 40841-2025")</f>
        <v/>
      </c>
      <c r="X235">
        <f>HYPERLINK("https://klasma.github.io/Logging_2303/tillsyn/A 40841-2025 tillsynsbegäran.docx", "A 40841-2025")</f>
        <v/>
      </c>
      <c r="Y235">
        <f>HYPERLINK("https://klasma.github.io/Logging_2303/tillsynsmail/A 40841-2025 tillsynsbegäran mail.docx", "A 40841-2025")</f>
        <v/>
      </c>
    </row>
    <row r="236" ht="15" customHeight="1">
      <c r="A236" t="inlineStr">
        <is>
          <t>A 32069-2024</t>
        </is>
      </c>
      <c r="B236" s="1" t="n">
        <v>45510</v>
      </c>
      <c r="C236" s="1" t="n">
        <v>45994</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19751-2025</t>
        </is>
      </c>
      <c r="B237" s="1" t="n">
        <v>45771.3859837963</v>
      </c>
      <c r="C237" s="1" t="n">
        <v>45994</v>
      </c>
      <c r="D237" t="inlineStr">
        <is>
          <t>JÄMTLANDS LÄN</t>
        </is>
      </c>
      <c r="E237" t="inlineStr">
        <is>
          <t>RAGUNDA</t>
        </is>
      </c>
      <c r="F237" t="inlineStr">
        <is>
          <t>SCA</t>
        </is>
      </c>
      <c r="G237" t="n">
        <v>1.1</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19751-2025 artfynd.xlsx", "A 19751-2025")</f>
        <v/>
      </c>
      <c r="T237">
        <f>HYPERLINK("https://klasma.github.io/Logging_2303/kartor/A 19751-2025 karta.png", "A 19751-2025")</f>
        <v/>
      </c>
      <c r="V237">
        <f>HYPERLINK("https://klasma.github.io/Logging_2303/klagomål/A 19751-2025 FSC-klagomål.docx", "A 19751-2025")</f>
        <v/>
      </c>
      <c r="W237">
        <f>HYPERLINK("https://klasma.github.io/Logging_2303/klagomålsmail/A 19751-2025 FSC-klagomål mail.docx", "A 19751-2025")</f>
        <v/>
      </c>
      <c r="X237">
        <f>HYPERLINK("https://klasma.github.io/Logging_2303/tillsyn/A 19751-2025 tillsynsbegäran.docx", "A 19751-2025")</f>
        <v/>
      </c>
      <c r="Y237">
        <f>HYPERLINK("https://klasma.github.io/Logging_2303/tillsynsmail/A 19751-2025 tillsynsbegäran mail.docx", "A 19751-2025")</f>
        <v/>
      </c>
      <c r="Z237">
        <f>HYPERLINK("https://klasma.github.io/Logging_2303/fåglar/A 19751-2025 prioriterade fågelarter.docx", "A 19751-2025")</f>
        <v/>
      </c>
    </row>
    <row r="238" ht="15" customHeight="1">
      <c r="A238" t="inlineStr">
        <is>
          <t>A 20774-2024</t>
        </is>
      </c>
      <c r="B238" s="1" t="n">
        <v>45436.94644675926</v>
      </c>
      <c r="C238" s="1" t="n">
        <v>45994</v>
      </c>
      <c r="D238" t="inlineStr">
        <is>
          <t>JÄMTLANDS LÄN</t>
        </is>
      </c>
      <c r="E238" t="inlineStr">
        <is>
          <t>RAGUNDA</t>
        </is>
      </c>
      <c r="F238" t="inlineStr">
        <is>
          <t>SCA</t>
        </is>
      </c>
      <c r="G238" t="n">
        <v>2.3</v>
      </c>
      <c r="H238" t="n">
        <v>0</v>
      </c>
      <c r="I238" t="n">
        <v>1</v>
      </c>
      <c r="J238" t="n">
        <v>0</v>
      </c>
      <c r="K238" t="n">
        <v>0</v>
      </c>
      <c r="L238" t="n">
        <v>0</v>
      </c>
      <c r="M238" t="n">
        <v>0</v>
      </c>
      <c r="N238" t="n">
        <v>0</v>
      </c>
      <c r="O238" t="n">
        <v>0</v>
      </c>
      <c r="P238" t="n">
        <v>0</v>
      </c>
      <c r="Q238" t="n">
        <v>1</v>
      </c>
      <c r="R238" s="2" t="inlineStr">
        <is>
          <t>Fjällig taggsvamp s.str.</t>
        </is>
      </c>
      <c r="S238">
        <f>HYPERLINK("https://klasma.github.io/Logging_2303/artfynd/A 20774-2024 artfynd.xlsx", "A 20774-2024")</f>
        <v/>
      </c>
      <c r="T238">
        <f>HYPERLINK("https://klasma.github.io/Logging_2303/kartor/A 20774-2024 karta.png", "A 20774-2024")</f>
        <v/>
      </c>
      <c r="V238">
        <f>HYPERLINK("https://klasma.github.io/Logging_2303/klagomål/A 20774-2024 FSC-klagomål.docx", "A 20774-2024")</f>
        <v/>
      </c>
      <c r="W238">
        <f>HYPERLINK("https://klasma.github.io/Logging_2303/klagomålsmail/A 20774-2024 FSC-klagomål mail.docx", "A 20774-2024")</f>
        <v/>
      </c>
      <c r="X238">
        <f>HYPERLINK("https://klasma.github.io/Logging_2303/tillsyn/A 20774-2024 tillsynsbegäran.docx", "A 20774-2024")</f>
        <v/>
      </c>
      <c r="Y238">
        <f>HYPERLINK("https://klasma.github.io/Logging_2303/tillsynsmail/A 20774-2024 tillsynsbegäran mail.docx", "A 20774-2024")</f>
        <v/>
      </c>
    </row>
    <row r="239" ht="15" customHeight="1">
      <c r="A239" t="inlineStr">
        <is>
          <t>A 33432-2023</t>
        </is>
      </c>
      <c r="B239" s="1" t="n">
        <v>45128</v>
      </c>
      <c r="C239" s="1" t="n">
        <v>45994</v>
      </c>
      <c r="D239" t="inlineStr">
        <is>
          <t>JÄMTLANDS LÄN</t>
        </is>
      </c>
      <c r="E239" t="inlineStr">
        <is>
          <t>RAGUNDA</t>
        </is>
      </c>
      <c r="F239" t="inlineStr">
        <is>
          <t>SCA</t>
        </is>
      </c>
      <c r="G239" t="n">
        <v>10</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33432-2023 artfynd.xlsx", "A 33432-2023")</f>
        <v/>
      </c>
      <c r="T239">
        <f>HYPERLINK("https://klasma.github.io/Logging_2303/kartor/A 33432-2023 karta.png", "A 33432-2023")</f>
        <v/>
      </c>
      <c r="V239">
        <f>HYPERLINK("https://klasma.github.io/Logging_2303/klagomål/A 33432-2023 FSC-klagomål.docx", "A 33432-2023")</f>
        <v/>
      </c>
      <c r="W239">
        <f>HYPERLINK("https://klasma.github.io/Logging_2303/klagomålsmail/A 33432-2023 FSC-klagomål mail.docx", "A 33432-2023")</f>
        <v/>
      </c>
      <c r="X239">
        <f>HYPERLINK("https://klasma.github.io/Logging_2303/tillsyn/A 33432-2023 tillsynsbegäran.docx", "A 33432-2023")</f>
        <v/>
      </c>
      <c r="Y239">
        <f>HYPERLINK("https://klasma.github.io/Logging_2303/tillsynsmail/A 33432-2023 tillsynsbegäran mail.docx", "A 33432-2023")</f>
        <v/>
      </c>
      <c r="Z239">
        <f>HYPERLINK("https://klasma.github.io/Logging_2303/fåglar/A 33432-2023 prioriterade fågelarter.docx", "A 33432-2023")</f>
        <v/>
      </c>
    </row>
    <row r="240" ht="15" customHeight="1">
      <c r="A240" t="inlineStr">
        <is>
          <t>A 51912-2025</t>
        </is>
      </c>
      <c r="B240" s="1" t="n">
        <v>45952.46939814815</v>
      </c>
      <c r="C240" s="1" t="n">
        <v>45994</v>
      </c>
      <c r="D240" t="inlineStr">
        <is>
          <t>JÄMTLANDS LÄN</t>
        </is>
      </c>
      <c r="E240" t="inlineStr">
        <is>
          <t>RAGUNDA</t>
        </is>
      </c>
      <c r="F240" t="inlineStr">
        <is>
          <t>SCA</t>
        </is>
      </c>
      <c r="G240" t="n">
        <v>24.2</v>
      </c>
      <c r="H240" t="n">
        <v>1</v>
      </c>
      <c r="I240" t="n">
        <v>0</v>
      </c>
      <c r="J240" t="n">
        <v>0</v>
      </c>
      <c r="K240" t="n">
        <v>1</v>
      </c>
      <c r="L240" t="n">
        <v>0</v>
      </c>
      <c r="M240" t="n">
        <v>0</v>
      </c>
      <c r="N240" t="n">
        <v>0</v>
      </c>
      <c r="O240" t="n">
        <v>1</v>
      </c>
      <c r="P240" t="n">
        <v>1</v>
      </c>
      <c r="Q240" t="n">
        <v>1</v>
      </c>
      <c r="R240" s="2" t="inlineStr">
        <is>
          <t>Norna</t>
        </is>
      </c>
      <c r="S240">
        <f>HYPERLINK("https://klasma.github.io/Logging_2303/artfynd/A 51912-2025 artfynd.xlsx", "A 51912-2025")</f>
        <v/>
      </c>
      <c r="T240">
        <f>HYPERLINK("https://klasma.github.io/Logging_2303/kartor/A 51912-2025 karta.png", "A 51912-2025")</f>
        <v/>
      </c>
      <c r="V240">
        <f>HYPERLINK("https://klasma.github.io/Logging_2303/klagomål/A 51912-2025 FSC-klagomål.docx", "A 51912-2025")</f>
        <v/>
      </c>
      <c r="W240">
        <f>HYPERLINK("https://klasma.github.io/Logging_2303/klagomålsmail/A 51912-2025 FSC-klagomål mail.docx", "A 51912-2025")</f>
        <v/>
      </c>
      <c r="X240">
        <f>HYPERLINK("https://klasma.github.io/Logging_2303/tillsyn/A 51912-2025 tillsynsbegäran.docx", "A 51912-2025")</f>
        <v/>
      </c>
      <c r="Y240">
        <f>HYPERLINK("https://klasma.github.io/Logging_2303/tillsynsmail/A 51912-2025 tillsynsbegäran mail.docx", "A 51912-2025")</f>
        <v/>
      </c>
    </row>
    <row r="241" ht="15" customHeight="1">
      <c r="A241" t="inlineStr">
        <is>
          <t>A 43526-2025</t>
        </is>
      </c>
      <c r="B241" s="1" t="n">
        <v>45911</v>
      </c>
      <c r="C241" s="1" t="n">
        <v>45994</v>
      </c>
      <c r="D241" t="inlineStr">
        <is>
          <t>JÄMTLANDS LÄN</t>
        </is>
      </c>
      <c r="E241" t="inlineStr">
        <is>
          <t>RAGUNDA</t>
        </is>
      </c>
      <c r="G241" t="n">
        <v>5.5</v>
      </c>
      <c r="H241" t="n">
        <v>0</v>
      </c>
      <c r="I241" t="n">
        <v>0</v>
      </c>
      <c r="J241" t="n">
        <v>1</v>
      </c>
      <c r="K241" t="n">
        <v>0</v>
      </c>
      <c r="L241" t="n">
        <v>0</v>
      </c>
      <c r="M241" t="n">
        <v>0</v>
      </c>
      <c r="N241" t="n">
        <v>0</v>
      </c>
      <c r="O241" t="n">
        <v>1</v>
      </c>
      <c r="P241" t="n">
        <v>0</v>
      </c>
      <c r="Q241" t="n">
        <v>1</v>
      </c>
      <c r="R241" s="2" t="inlineStr">
        <is>
          <t>Lunglav</t>
        </is>
      </c>
      <c r="S241">
        <f>HYPERLINK("https://klasma.github.io/Logging_2303/artfynd/A 43526-2025 artfynd.xlsx", "A 43526-2025")</f>
        <v/>
      </c>
      <c r="T241">
        <f>HYPERLINK("https://klasma.github.io/Logging_2303/kartor/A 43526-2025 karta.png", "A 43526-2025")</f>
        <v/>
      </c>
      <c r="V241">
        <f>HYPERLINK("https://klasma.github.io/Logging_2303/klagomål/A 43526-2025 FSC-klagomål.docx", "A 43526-2025")</f>
        <v/>
      </c>
      <c r="W241">
        <f>HYPERLINK("https://klasma.github.io/Logging_2303/klagomålsmail/A 43526-2025 FSC-klagomål mail.docx", "A 43526-2025")</f>
        <v/>
      </c>
      <c r="X241">
        <f>HYPERLINK("https://klasma.github.io/Logging_2303/tillsyn/A 43526-2025 tillsynsbegäran.docx", "A 43526-2025")</f>
        <v/>
      </c>
      <c r="Y241">
        <f>HYPERLINK("https://klasma.github.io/Logging_2303/tillsynsmail/A 43526-2025 tillsynsbegäran mail.docx", "A 43526-2025")</f>
        <v/>
      </c>
    </row>
    <row r="242" ht="15" customHeight="1">
      <c r="A242" t="inlineStr">
        <is>
          <t>A 27573-2025</t>
        </is>
      </c>
      <c r="B242" s="1" t="n">
        <v>45813.49061342593</v>
      </c>
      <c r="C242" s="1" t="n">
        <v>45994</v>
      </c>
      <c r="D242" t="inlineStr">
        <is>
          <t>JÄMTLANDS LÄN</t>
        </is>
      </c>
      <c r="E242" t="inlineStr">
        <is>
          <t>RAGUNDA</t>
        </is>
      </c>
      <c r="F242" t="inlineStr">
        <is>
          <t>SCA</t>
        </is>
      </c>
      <c r="G242" t="n">
        <v>14.9</v>
      </c>
      <c r="H242" t="n">
        <v>0</v>
      </c>
      <c r="I242" t="n">
        <v>1</v>
      </c>
      <c r="J242" t="n">
        <v>0</v>
      </c>
      <c r="K242" t="n">
        <v>0</v>
      </c>
      <c r="L242" t="n">
        <v>0</v>
      </c>
      <c r="M242" t="n">
        <v>0</v>
      </c>
      <c r="N242" t="n">
        <v>0</v>
      </c>
      <c r="O242" t="n">
        <v>0</v>
      </c>
      <c r="P242" t="n">
        <v>0</v>
      </c>
      <c r="Q242" t="n">
        <v>1</v>
      </c>
      <c r="R242" s="2" t="inlineStr">
        <is>
          <t>Skinnlav</t>
        </is>
      </c>
      <c r="S242">
        <f>HYPERLINK("https://klasma.github.io/Logging_2303/artfynd/A 27573-2025 artfynd.xlsx", "A 27573-2025")</f>
        <v/>
      </c>
      <c r="T242">
        <f>HYPERLINK("https://klasma.github.io/Logging_2303/kartor/A 27573-2025 karta.png", "A 27573-2025")</f>
        <v/>
      </c>
      <c r="U242">
        <f>HYPERLINK("https://klasma.github.io/Logging_2303/knärot/A 27573-2025 karta knärot.png", "A 27573-2025")</f>
        <v/>
      </c>
      <c r="V242">
        <f>HYPERLINK("https://klasma.github.io/Logging_2303/klagomål/A 27573-2025 FSC-klagomål.docx", "A 27573-2025")</f>
        <v/>
      </c>
      <c r="W242">
        <f>HYPERLINK("https://klasma.github.io/Logging_2303/klagomålsmail/A 27573-2025 FSC-klagomål mail.docx", "A 27573-2025")</f>
        <v/>
      </c>
      <c r="X242">
        <f>HYPERLINK("https://klasma.github.io/Logging_2303/tillsyn/A 27573-2025 tillsynsbegäran.docx", "A 27573-2025")</f>
        <v/>
      </c>
      <c r="Y242">
        <f>HYPERLINK("https://klasma.github.io/Logging_2303/tillsynsmail/A 27573-2025 tillsynsbegäran mail.docx", "A 27573-2025")</f>
        <v/>
      </c>
    </row>
    <row r="243" ht="15" customHeight="1">
      <c r="A243" t="inlineStr">
        <is>
          <t>A 30390-2025</t>
        </is>
      </c>
      <c r="B243" s="1" t="n">
        <v>45827.57371527778</v>
      </c>
      <c r="C243" s="1" t="n">
        <v>45994</v>
      </c>
      <c r="D243" t="inlineStr">
        <is>
          <t>JÄMTLANDS LÄN</t>
        </is>
      </c>
      <c r="E243" t="inlineStr">
        <is>
          <t>RAGUNDA</t>
        </is>
      </c>
      <c r="F243" t="inlineStr">
        <is>
          <t>SCA</t>
        </is>
      </c>
      <c r="G243" t="n">
        <v>11.2</v>
      </c>
      <c r="H243" t="n">
        <v>0</v>
      </c>
      <c r="I243" t="n">
        <v>0</v>
      </c>
      <c r="J243" t="n">
        <v>1</v>
      </c>
      <c r="K243" t="n">
        <v>0</v>
      </c>
      <c r="L243" t="n">
        <v>0</v>
      </c>
      <c r="M243" t="n">
        <v>0</v>
      </c>
      <c r="N243" t="n">
        <v>0</v>
      </c>
      <c r="O243" t="n">
        <v>1</v>
      </c>
      <c r="P243" t="n">
        <v>0</v>
      </c>
      <c r="Q243" t="n">
        <v>1</v>
      </c>
      <c r="R243" s="2" t="inlineStr">
        <is>
          <t>Lunglav</t>
        </is>
      </c>
      <c r="S243">
        <f>HYPERLINK("https://klasma.github.io/Logging_2303/artfynd/A 30390-2025 artfynd.xlsx", "A 30390-2025")</f>
        <v/>
      </c>
      <c r="T243">
        <f>HYPERLINK("https://klasma.github.io/Logging_2303/kartor/A 30390-2025 karta.png", "A 30390-2025")</f>
        <v/>
      </c>
      <c r="U243">
        <f>HYPERLINK("https://klasma.github.io/Logging_2303/knärot/A 30390-2025 karta knärot.png", "A 30390-2025")</f>
        <v/>
      </c>
      <c r="V243">
        <f>HYPERLINK("https://klasma.github.io/Logging_2303/klagomål/A 30390-2025 FSC-klagomål.docx", "A 30390-2025")</f>
        <v/>
      </c>
      <c r="W243">
        <f>HYPERLINK("https://klasma.github.io/Logging_2303/klagomålsmail/A 30390-2025 FSC-klagomål mail.docx", "A 30390-2025")</f>
        <v/>
      </c>
      <c r="X243">
        <f>HYPERLINK("https://klasma.github.io/Logging_2303/tillsyn/A 30390-2025 tillsynsbegäran.docx", "A 30390-2025")</f>
        <v/>
      </c>
      <c r="Y243">
        <f>HYPERLINK("https://klasma.github.io/Logging_2303/tillsynsmail/A 30390-2025 tillsynsbegäran mail.docx", "A 30390-2025")</f>
        <v/>
      </c>
    </row>
    <row r="244" ht="15" customHeight="1">
      <c r="A244" t="inlineStr">
        <is>
          <t>A 22054-2025</t>
        </is>
      </c>
      <c r="B244" s="1" t="n">
        <v>45785.36525462963</v>
      </c>
      <c r="C244" s="1" t="n">
        <v>45994</v>
      </c>
      <c r="D244" t="inlineStr">
        <is>
          <t>JÄMTLANDS LÄN</t>
        </is>
      </c>
      <c r="E244" t="inlineStr">
        <is>
          <t>RAGUNDA</t>
        </is>
      </c>
      <c r="F244" t="inlineStr">
        <is>
          <t>SCA</t>
        </is>
      </c>
      <c r="G244" t="n">
        <v>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22054-2025 artfynd.xlsx", "A 22054-2025")</f>
        <v/>
      </c>
      <c r="T244">
        <f>HYPERLINK("https://klasma.github.io/Logging_2303/kartor/A 22054-2025 karta.png", "A 22054-2025")</f>
        <v/>
      </c>
      <c r="V244">
        <f>HYPERLINK("https://klasma.github.io/Logging_2303/klagomål/A 22054-2025 FSC-klagomål.docx", "A 22054-2025")</f>
        <v/>
      </c>
      <c r="W244">
        <f>HYPERLINK("https://klasma.github.io/Logging_2303/klagomålsmail/A 22054-2025 FSC-klagomål mail.docx", "A 22054-2025")</f>
        <v/>
      </c>
      <c r="X244">
        <f>HYPERLINK("https://klasma.github.io/Logging_2303/tillsyn/A 22054-2025 tillsynsbegäran.docx", "A 22054-2025")</f>
        <v/>
      </c>
      <c r="Y244">
        <f>HYPERLINK("https://klasma.github.io/Logging_2303/tillsynsmail/A 22054-2025 tillsynsbegäran mail.docx", "A 22054-2025")</f>
        <v/>
      </c>
      <c r="Z244">
        <f>HYPERLINK("https://klasma.github.io/Logging_2303/fåglar/A 22054-2025 prioriterade fågelarter.docx", "A 22054-2025")</f>
        <v/>
      </c>
    </row>
    <row r="245" ht="15" customHeight="1">
      <c r="A245" t="inlineStr">
        <is>
          <t>A 32445-2025</t>
        </is>
      </c>
      <c r="B245" s="1" t="n">
        <v>45838.38627314815</v>
      </c>
      <c r="C245" s="1" t="n">
        <v>45994</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55756-2025</t>
        </is>
      </c>
      <c r="B246" s="1" t="n">
        <v>45972.59438657408</v>
      </c>
      <c r="C246" s="1" t="n">
        <v>45994</v>
      </c>
      <c r="D246" t="inlineStr">
        <is>
          <t>JÄMTLANDS LÄN</t>
        </is>
      </c>
      <c r="E246" t="inlineStr">
        <is>
          <t>RAGUNDA</t>
        </is>
      </c>
      <c r="G246" t="n">
        <v>1.6</v>
      </c>
      <c r="H246" t="n">
        <v>0</v>
      </c>
      <c r="I246" t="n">
        <v>0</v>
      </c>
      <c r="J246" t="n">
        <v>1</v>
      </c>
      <c r="K246" t="n">
        <v>0</v>
      </c>
      <c r="L246" t="n">
        <v>0</v>
      </c>
      <c r="M246" t="n">
        <v>0</v>
      </c>
      <c r="N246" t="n">
        <v>0</v>
      </c>
      <c r="O246" t="n">
        <v>1</v>
      </c>
      <c r="P246" t="n">
        <v>0</v>
      </c>
      <c r="Q246" t="n">
        <v>1</v>
      </c>
      <c r="R246" s="2" t="inlineStr">
        <is>
          <t>Garnlav</t>
        </is>
      </c>
      <c r="S246">
        <f>HYPERLINK("https://klasma.github.io/Logging_2303/artfynd/A 55756-2025 artfynd.xlsx", "A 55756-2025")</f>
        <v/>
      </c>
      <c r="T246">
        <f>HYPERLINK("https://klasma.github.io/Logging_2303/kartor/A 55756-2025 karta.png", "A 55756-2025")</f>
        <v/>
      </c>
      <c r="V246">
        <f>HYPERLINK("https://klasma.github.io/Logging_2303/klagomål/A 55756-2025 FSC-klagomål.docx", "A 55756-2025")</f>
        <v/>
      </c>
      <c r="W246">
        <f>HYPERLINK("https://klasma.github.io/Logging_2303/klagomålsmail/A 55756-2025 FSC-klagomål mail.docx", "A 55756-2025")</f>
        <v/>
      </c>
      <c r="X246">
        <f>HYPERLINK("https://klasma.github.io/Logging_2303/tillsyn/A 55756-2025 tillsynsbegäran.docx", "A 55756-2025")</f>
        <v/>
      </c>
      <c r="Y246">
        <f>HYPERLINK("https://klasma.github.io/Logging_2303/tillsynsmail/A 55756-2025 tillsynsbegäran mail.docx", "A 55756-2025")</f>
        <v/>
      </c>
    </row>
    <row r="247" ht="15" customHeight="1">
      <c r="A247" t="inlineStr">
        <is>
          <t>A 34474-2025</t>
        </is>
      </c>
      <c r="B247" s="1" t="n">
        <v>45847.36528935185</v>
      </c>
      <c r="C247" s="1" t="n">
        <v>45994</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56599-2025</t>
        </is>
      </c>
      <c r="B248" s="1" t="n">
        <v>45975.5734837963</v>
      </c>
      <c r="C248" s="1" t="n">
        <v>45994</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HYPERLINK("https://klasma.github.io/Logging_2303/artfynd/A 56599-2025 artfynd.xlsx", "A 56599-2025")</f>
        <v/>
      </c>
      <c r="T248">
        <f>HYPERLINK("https://klasma.github.io/Logging_2303/kartor/A 56599-2025 karta.png", "A 56599-2025")</f>
        <v/>
      </c>
      <c r="V248">
        <f>HYPERLINK("https://klasma.github.io/Logging_2303/klagomål/A 56599-2025 FSC-klagomål.docx", "A 56599-2025")</f>
        <v/>
      </c>
      <c r="W248">
        <f>HYPERLINK("https://klasma.github.io/Logging_2303/klagomålsmail/A 56599-2025 FSC-klagomål mail.docx", "A 56599-2025")</f>
        <v/>
      </c>
      <c r="X248">
        <f>HYPERLINK("https://klasma.github.io/Logging_2303/tillsyn/A 56599-2025 tillsynsbegäran.docx", "A 56599-2025")</f>
        <v/>
      </c>
      <c r="Y248">
        <f>HYPERLINK("https://klasma.github.io/Logging_2303/tillsynsmail/A 56599-2025 tillsynsbegäran mail.docx", "A 56599-2025")</f>
        <v/>
      </c>
    </row>
    <row r="249" ht="15" customHeight="1">
      <c r="A249" t="inlineStr">
        <is>
          <t>A 57253-2025</t>
        </is>
      </c>
      <c r="B249" s="1" t="n">
        <v>45979.64381944444</v>
      </c>
      <c r="C249" s="1" t="n">
        <v>45994</v>
      </c>
      <c r="D249" t="inlineStr">
        <is>
          <t>JÄMTLANDS LÄN</t>
        </is>
      </c>
      <c r="E249" t="inlineStr">
        <is>
          <t>RAGUNDA</t>
        </is>
      </c>
      <c r="G249" t="n">
        <v>1.2</v>
      </c>
      <c r="H249" t="n">
        <v>0</v>
      </c>
      <c r="I249" t="n">
        <v>1</v>
      </c>
      <c r="J249" t="n">
        <v>0</v>
      </c>
      <c r="K249" t="n">
        <v>0</v>
      </c>
      <c r="L249" t="n">
        <v>0</v>
      </c>
      <c r="M249" t="n">
        <v>0</v>
      </c>
      <c r="N249" t="n">
        <v>0</v>
      </c>
      <c r="O249" t="n">
        <v>0</v>
      </c>
      <c r="P249" t="n">
        <v>0</v>
      </c>
      <c r="Q249" t="n">
        <v>1</v>
      </c>
      <c r="R249" s="2" t="inlineStr">
        <is>
          <t>Skinnlav</t>
        </is>
      </c>
      <c r="S249">
        <f>HYPERLINK("https://klasma.github.io/Logging_2303/artfynd/A 57253-2025 artfynd.xlsx", "A 57253-2025")</f>
        <v/>
      </c>
      <c r="T249">
        <f>HYPERLINK("https://klasma.github.io/Logging_2303/kartor/A 57253-2025 karta.png", "A 57253-2025")</f>
        <v/>
      </c>
      <c r="V249">
        <f>HYPERLINK("https://klasma.github.io/Logging_2303/klagomål/A 57253-2025 FSC-klagomål.docx", "A 57253-2025")</f>
        <v/>
      </c>
      <c r="W249">
        <f>HYPERLINK("https://klasma.github.io/Logging_2303/klagomålsmail/A 57253-2025 FSC-klagomål mail.docx", "A 57253-2025")</f>
        <v/>
      </c>
      <c r="X249">
        <f>HYPERLINK("https://klasma.github.io/Logging_2303/tillsyn/A 57253-2025 tillsynsbegäran.docx", "A 57253-2025")</f>
        <v/>
      </c>
      <c r="Y249">
        <f>HYPERLINK("https://klasma.github.io/Logging_2303/tillsynsmail/A 57253-2025 tillsynsbegäran mail.docx", "A 57253-2025")</f>
        <v/>
      </c>
    </row>
    <row r="250" ht="15" customHeight="1">
      <c r="A250" t="inlineStr">
        <is>
          <t>A 57479-2025</t>
        </is>
      </c>
      <c r="B250" s="1" t="n">
        <v>45980.5737037037</v>
      </c>
      <c r="C250" s="1" t="n">
        <v>45994</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Kolflarnlav</t>
        </is>
      </c>
      <c r="S250">
        <f>HYPERLINK("https://klasma.github.io/Logging_2303/artfynd/A 57479-2025 artfynd.xlsx", "A 57479-2025")</f>
        <v/>
      </c>
      <c r="T250">
        <f>HYPERLINK("https://klasma.github.io/Logging_2303/kartor/A 57479-2025 karta.png", "A 57479-2025")</f>
        <v/>
      </c>
      <c r="V250">
        <f>HYPERLINK("https://klasma.github.io/Logging_2303/klagomål/A 57479-2025 FSC-klagomål.docx", "A 57479-2025")</f>
        <v/>
      </c>
      <c r="W250">
        <f>HYPERLINK("https://klasma.github.io/Logging_2303/klagomålsmail/A 57479-2025 FSC-klagomål mail.docx", "A 57479-2025")</f>
        <v/>
      </c>
      <c r="X250">
        <f>HYPERLINK("https://klasma.github.io/Logging_2303/tillsyn/A 57479-2025 tillsynsbegäran.docx", "A 57479-2025")</f>
        <v/>
      </c>
      <c r="Y250">
        <f>HYPERLINK("https://klasma.github.io/Logging_2303/tillsynsmail/A 57479-2025 tillsynsbegäran mail.docx", "A 57479-2025")</f>
        <v/>
      </c>
    </row>
    <row r="251" ht="15" customHeight="1">
      <c r="A251" t="inlineStr">
        <is>
          <t>A 57478-2025</t>
        </is>
      </c>
      <c r="B251" s="1" t="n">
        <v>45980.57349537037</v>
      </c>
      <c r="C251" s="1" t="n">
        <v>45994</v>
      </c>
      <c r="D251" t="inlineStr">
        <is>
          <t>JÄMTLANDS LÄN</t>
        </is>
      </c>
      <c r="E251" t="inlineStr">
        <is>
          <t>RAGUNDA</t>
        </is>
      </c>
      <c r="F251" t="inlineStr">
        <is>
          <t>SCA</t>
        </is>
      </c>
      <c r="G251" t="n">
        <v>3.3</v>
      </c>
      <c r="H251" t="n">
        <v>0</v>
      </c>
      <c r="I251" t="n">
        <v>0</v>
      </c>
      <c r="J251" t="n">
        <v>1</v>
      </c>
      <c r="K251" t="n">
        <v>0</v>
      </c>
      <c r="L251" t="n">
        <v>0</v>
      </c>
      <c r="M251" t="n">
        <v>0</v>
      </c>
      <c r="N251" t="n">
        <v>0</v>
      </c>
      <c r="O251" t="n">
        <v>1</v>
      </c>
      <c r="P251" t="n">
        <v>0</v>
      </c>
      <c r="Q251" t="n">
        <v>1</v>
      </c>
      <c r="R251" s="2" t="inlineStr">
        <is>
          <t>Lunglav</t>
        </is>
      </c>
      <c r="S251">
        <f>HYPERLINK("https://klasma.github.io/Logging_2303/artfynd/A 57478-2025 artfynd.xlsx", "A 57478-2025")</f>
        <v/>
      </c>
      <c r="T251">
        <f>HYPERLINK("https://klasma.github.io/Logging_2303/kartor/A 57478-2025 karta.png", "A 57478-2025")</f>
        <v/>
      </c>
      <c r="V251">
        <f>HYPERLINK("https://klasma.github.io/Logging_2303/klagomål/A 57478-2025 FSC-klagomål.docx", "A 57478-2025")</f>
        <v/>
      </c>
      <c r="W251">
        <f>HYPERLINK("https://klasma.github.io/Logging_2303/klagomålsmail/A 57478-2025 FSC-klagomål mail.docx", "A 57478-2025")</f>
        <v/>
      </c>
      <c r="X251">
        <f>HYPERLINK("https://klasma.github.io/Logging_2303/tillsyn/A 57478-2025 tillsynsbegäran.docx", "A 57478-2025")</f>
        <v/>
      </c>
      <c r="Y251">
        <f>HYPERLINK("https://klasma.github.io/Logging_2303/tillsynsmail/A 57478-2025 tillsynsbegäran mail.docx", "A 57478-2025")</f>
        <v/>
      </c>
    </row>
    <row r="252" ht="15" customHeight="1">
      <c r="A252" t="inlineStr">
        <is>
          <t>A 49053-2025</t>
        </is>
      </c>
      <c r="B252" s="1" t="n">
        <v>45937.64009259259</v>
      </c>
      <c r="C252" s="1" t="n">
        <v>45994</v>
      </c>
      <c r="D252" t="inlineStr">
        <is>
          <t>JÄMTLANDS LÄN</t>
        </is>
      </c>
      <c r="E252" t="inlineStr">
        <is>
          <t>RAGUNDA</t>
        </is>
      </c>
      <c r="F252" t="inlineStr">
        <is>
          <t>SCA</t>
        </is>
      </c>
      <c r="G252" t="n">
        <v>7</v>
      </c>
      <c r="H252" t="n">
        <v>1</v>
      </c>
      <c r="I252" t="n">
        <v>1</v>
      </c>
      <c r="J252" t="n">
        <v>0</v>
      </c>
      <c r="K252" t="n">
        <v>0</v>
      </c>
      <c r="L252" t="n">
        <v>0</v>
      </c>
      <c r="M252" t="n">
        <v>0</v>
      </c>
      <c r="N252" t="n">
        <v>0</v>
      </c>
      <c r="O252" t="n">
        <v>0</v>
      </c>
      <c r="P252" t="n">
        <v>0</v>
      </c>
      <c r="Q252" t="n">
        <v>1</v>
      </c>
      <c r="R252" s="2" t="inlineStr">
        <is>
          <t>Guckusko</t>
        </is>
      </c>
      <c r="S252">
        <f>HYPERLINK("https://klasma.github.io/Logging_2303/artfynd/A 49053-2025 artfynd.xlsx", "A 49053-2025")</f>
        <v/>
      </c>
      <c r="T252">
        <f>HYPERLINK("https://klasma.github.io/Logging_2303/kartor/A 49053-2025 karta.png", "A 49053-2025")</f>
        <v/>
      </c>
      <c r="V252">
        <f>HYPERLINK("https://klasma.github.io/Logging_2303/klagomål/A 49053-2025 FSC-klagomål.docx", "A 49053-2025")</f>
        <v/>
      </c>
      <c r="W252">
        <f>HYPERLINK("https://klasma.github.io/Logging_2303/klagomålsmail/A 49053-2025 FSC-klagomål mail.docx", "A 49053-2025")</f>
        <v/>
      </c>
      <c r="X252">
        <f>HYPERLINK("https://klasma.github.io/Logging_2303/tillsyn/A 49053-2025 tillsynsbegäran.docx", "A 49053-2025")</f>
        <v/>
      </c>
      <c r="Y252">
        <f>HYPERLINK("https://klasma.github.io/Logging_2303/tillsynsmail/A 49053-2025 tillsynsbegäran mail.docx", "A 49053-2025")</f>
        <v/>
      </c>
    </row>
    <row r="253" ht="15" customHeight="1">
      <c r="A253" t="inlineStr">
        <is>
          <t>A 59107-2025</t>
        </is>
      </c>
      <c r="B253" s="1" t="n">
        <v>45988.46924768519</v>
      </c>
      <c r="C253" s="1" t="n">
        <v>45994</v>
      </c>
      <c r="D253" t="inlineStr">
        <is>
          <t>JÄMTLANDS LÄN</t>
        </is>
      </c>
      <c r="E253" t="inlineStr">
        <is>
          <t>RAGUNDA</t>
        </is>
      </c>
      <c r="F253" t="inlineStr">
        <is>
          <t>SCA</t>
        </is>
      </c>
      <c r="G253" t="n">
        <v>22.6</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59107-2025 artfynd.xlsx", "A 59107-2025")</f>
        <v/>
      </c>
      <c r="T253">
        <f>HYPERLINK("https://klasma.github.io/Logging_2303/kartor/A 59107-2025 karta.png", "A 59107-2025")</f>
        <v/>
      </c>
      <c r="V253">
        <f>HYPERLINK("https://klasma.github.io/Logging_2303/klagomål/A 59107-2025 FSC-klagomål.docx", "A 59107-2025")</f>
        <v/>
      </c>
      <c r="W253">
        <f>HYPERLINK("https://klasma.github.io/Logging_2303/klagomålsmail/A 59107-2025 FSC-klagomål mail.docx", "A 59107-2025")</f>
        <v/>
      </c>
      <c r="X253">
        <f>HYPERLINK("https://klasma.github.io/Logging_2303/tillsyn/A 59107-2025 tillsynsbegäran.docx", "A 59107-2025")</f>
        <v/>
      </c>
      <c r="Y253">
        <f>HYPERLINK("https://klasma.github.io/Logging_2303/tillsynsmail/A 59107-2025 tillsynsbegäran mail.docx", "A 59107-2025")</f>
        <v/>
      </c>
      <c r="Z253">
        <f>HYPERLINK("https://klasma.github.io/Logging_2303/fåglar/A 59107-2025 prioriterade fågelarter.docx", "A 59107-2025")</f>
        <v/>
      </c>
    </row>
    <row r="254" ht="15" customHeight="1">
      <c r="A254" t="inlineStr">
        <is>
          <t>A 69618-2020</t>
        </is>
      </c>
      <c r="B254" s="1" t="n">
        <v>44195</v>
      </c>
      <c r="C254" s="1" t="n">
        <v>45994</v>
      </c>
      <c r="D254" t="inlineStr">
        <is>
          <t>JÄMTLANDS LÄN</t>
        </is>
      </c>
      <c r="E254" t="inlineStr">
        <is>
          <t>RAGUNDA</t>
        </is>
      </c>
      <c r="G254" t="n">
        <v>2.4</v>
      </c>
      <c r="H254" t="n">
        <v>0</v>
      </c>
      <c r="I254" t="n">
        <v>0</v>
      </c>
      <c r="J254" t="n">
        <v>0</v>
      </c>
      <c r="K254" t="n">
        <v>0</v>
      </c>
      <c r="L254" t="n">
        <v>0</v>
      </c>
      <c r="M254" t="n">
        <v>0</v>
      </c>
      <c r="N254" t="n">
        <v>0</v>
      </c>
      <c r="O254" t="n">
        <v>0</v>
      </c>
      <c r="P254" t="n">
        <v>0</v>
      </c>
      <c r="Q254" t="n">
        <v>0</v>
      </c>
      <c r="R254" s="2" t="inlineStr"/>
    </row>
    <row r="255" ht="15" customHeight="1">
      <c r="A255" t="inlineStr">
        <is>
          <t>A 2469-2021</t>
        </is>
      </c>
      <c r="B255" s="1" t="n">
        <v>44214</v>
      </c>
      <c r="C255" s="1" t="n">
        <v>45994</v>
      </c>
      <c r="D255" t="inlineStr">
        <is>
          <t>JÄMTLANDS LÄN</t>
        </is>
      </c>
      <c r="E255" t="inlineStr">
        <is>
          <t>RAGUNDA</t>
        </is>
      </c>
      <c r="G255" t="n">
        <v>1.1</v>
      </c>
      <c r="H255" t="n">
        <v>0</v>
      </c>
      <c r="I255" t="n">
        <v>0</v>
      </c>
      <c r="J255" t="n">
        <v>0</v>
      </c>
      <c r="K255" t="n">
        <v>0</v>
      </c>
      <c r="L255" t="n">
        <v>0</v>
      </c>
      <c r="M255" t="n">
        <v>0</v>
      </c>
      <c r="N255" t="n">
        <v>0</v>
      </c>
      <c r="O255" t="n">
        <v>0</v>
      </c>
      <c r="P255" t="n">
        <v>0</v>
      </c>
      <c r="Q255" t="n">
        <v>0</v>
      </c>
      <c r="R255" s="2" t="inlineStr"/>
    </row>
    <row r="256" ht="15" customHeight="1">
      <c r="A256" t="inlineStr">
        <is>
          <t>A 64386-2020</t>
        </is>
      </c>
      <c r="B256" s="1" t="n">
        <v>44168</v>
      </c>
      <c r="C256" s="1" t="n">
        <v>45994</v>
      </c>
      <c r="D256" t="inlineStr">
        <is>
          <t>JÄMTLANDS LÄN</t>
        </is>
      </c>
      <c r="E256" t="inlineStr">
        <is>
          <t>RAGUNDA</t>
        </is>
      </c>
      <c r="G256" t="n">
        <v>2.5</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45994</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45994</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45994</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45994</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45994</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45994</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45994</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45994</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45994</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45994</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45994</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45994</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45994</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45994</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45994</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45994</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45994</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45994</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45994</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45994</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45994</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45994</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45994</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45994</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45994</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45994</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45994</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45994</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45994</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45994</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45994</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45994</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45994</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45994</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45994</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45994</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45994</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45994</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66248-2020</t>
        </is>
      </c>
      <c r="B295" s="1" t="n">
        <v>44175</v>
      </c>
      <c r="C295" s="1" t="n">
        <v>45994</v>
      </c>
      <c r="D295" t="inlineStr">
        <is>
          <t>JÄMTLANDS LÄN</t>
        </is>
      </c>
      <c r="E295" t="inlineStr">
        <is>
          <t>RAGUNDA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45994</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45994</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45994</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45994</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45994</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45994</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45994</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45994</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45994</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45994</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45994</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45994</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45994</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45994</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45994</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45994</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45994</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45994</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45994</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45994</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45994</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45994</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45994</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49904-2022</t>
        </is>
      </c>
      <c r="B319" s="1" t="n">
        <v>44864.94835648148</v>
      </c>
      <c r="C319" s="1" t="n">
        <v>45994</v>
      </c>
      <c r="D319" t="inlineStr">
        <is>
          <t>JÄMTLANDS LÄN</t>
        </is>
      </c>
      <c r="E319" t="inlineStr">
        <is>
          <t>RAGUNDA</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29409-2021</t>
        </is>
      </c>
      <c r="B320" s="1" t="n">
        <v>44361.55445601852</v>
      </c>
      <c r="C320" s="1" t="n">
        <v>45994</v>
      </c>
      <c r="D320" t="inlineStr">
        <is>
          <t>JÄMTLANDS LÄN</t>
        </is>
      </c>
      <c r="E320" t="inlineStr">
        <is>
          <t>RAGUNDA</t>
        </is>
      </c>
      <c r="G320" t="n">
        <v>0.3</v>
      </c>
      <c r="H320" t="n">
        <v>0</v>
      </c>
      <c r="I320" t="n">
        <v>0</v>
      </c>
      <c r="J320" t="n">
        <v>0</v>
      </c>
      <c r="K320" t="n">
        <v>0</v>
      </c>
      <c r="L320" t="n">
        <v>0</v>
      </c>
      <c r="M320" t="n">
        <v>0</v>
      </c>
      <c r="N320" t="n">
        <v>0</v>
      </c>
      <c r="O320" t="n">
        <v>0</v>
      </c>
      <c r="P320" t="n">
        <v>0</v>
      </c>
      <c r="Q320" t="n">
        <v>0</v>
      </c>
      <c r="R320" s="2" t="inlineStr"/>
    </row>
    <row r="321" ht="15" customHeight="1">
      <c r="A321" t="inlineStr">
        <is>
          <t>A 19595-2021</t>
        </is>
      </c>
      <c r="B321" s="1" t="n">
        <v>44308</v>
      </c>
      <c r="C321" s="1" t="n">
        <v>45994</v>
      </c>
      <c r="D321" t="inlineStr">
        <is>
          <t>JÄMTLANDS LÄN</t>
        </is>
      </c>
      <c r="E321" t="inlineStr">
        <is>
          <t>RAGUNDA</t>
        </is>
      </c>
      <c r="G321" t="n">
        <v>5.4</v>
      </c>
      <c r="H321" t="n">
        <v>0</v>
      </c>
      <c r="I321" t="n">
        <v>0</v>
      </c>
      <c r="J321" t="n">
        <v>0</v>
      </c>
      <c r="K321" t="n">
        <v>0</v>
      </c>
      <c r="L321" t="n">
        <v>0</v>
      </c>
      <c r="M321" t="n">
        <v>0</v>
      </c>
      <c r="N321" t="n">
        <v>0</v>
      </c>
      <c r="O321" t="n">
        <v>0</v>
      </c>
      <c r="P321" t="n">
        <v>0</v>
      </c>
      <c r="Q321" t="n">
        <v>0</v>
      </c>
      <c r="R321" s="2" t="inlineStr"/>
    </row>
    <row r="322" ht="15" customHeight="1">
      <c r="A322" t="inlineStr">
        <is>
          <t>A 25027-2022</t>
        </is>
      </c>
      <c r="B322" s="1" t="n">
        <v>44728.94392361111</v>
      </c>
      <c r="C322" s="1" t="n">
        <v>45994</v>
      </c>
      <c r="D322" t="inlineStr">
        <is>
          <t>JÄMTLANDS LÄN</t>
        </is>
      </c>
      <c r="E322" t="inlineStr">
        <is>
          <t>RAGUNDA</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42900-2022</t>
        </is>
      </c>
      <c r="B323" s="1" t="n">
        <v>44832.95435185185</v>
      </c>
      <c r="C323" s="1" t="n">
        <v>45994</v>
      </c>
      <c r="D323" t="inlineStr">
        <is>
          <t>JÄMTLANDS LÄN</t>
        </is>
      </c>
      <c r="E323" t="inlineStr">
        <is>
          <t>RAGUNDA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45994</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43040-2021</t>
        </is>
      </c>
      <c r="B325" s="1" t="n">
        <v>44431</v>
      </c>
      <c r="C325" s="1" t="n">
        <v>45994</v>
      </c>
      <c r="D325" t="inlineStr">
        <is>
          <t>JÄMTLANDS LÄN</t>
        </is>
      </c>
      <c r="E325" t="inlineStr">
        <is>
          <t>RAGUNDA</t>
        </is>
      </c>
      <c r="G325" t="n">
        <v>4.9</v>
      </c>
      <c r="H325" t="n">
        <v>0</v>
      </c>
      <c r="I325" t="n">
        <v>0</v>
      </c>
      <c r="J325" t="n">
        <v>0</v>
      </c>
      <c r="K325" t="n">
        <v>0</v>
      </c>
      <c r="L325" t="n">
        <v>0</v>
      </c>
      <c r="M325" t="n">
        <v>0</v>
      </c>
      <c r="N325" t="n">
        <v>0</v>
      </c>
      <c r="O325" t="n">
        <v>0</v>
      </c>
      <c r="P325" t="n">
        <v>0</v>
      </c>
      <c r="Q325" t="n">
        <v>0</v>
      </c>
      <c r="R325" s="2" t="inlineStr"/>
    </row>
    <row r="326" ht="15" customHeight="1">
      <c r="A326" t="inlineStr">
        <is>
          <t>A 38733-2022</t>
        </is>
      </c>
      <c r="B326" s="1" t="n">
        <v>44815</v>
      </c>
      <c r="C326" s="1" t="n">
        <v>45994</v>
      </c>
      <c r="D326" t="inlineStr">
        <is>
          <t>JÄMTLANDS LÄN</t>
        </is>
      </c>
      <c r="E326" t="inlineStr">
        <is>
          <t>RAGUNDA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2336-2022</t>
        </is>
      </c>
      <c r="B327" s="1" t="n">
        <v>44578.92284722222</v>
      </c>
      <c r="C327" s="1" t="n">
        <v>45994</v>
      </c>
      <c r="D327" t="inlineStr">
        <is>
          <t>JÄMTLANDS LÄN</t>
        </is>
      </c>
      <c r="E327" t="inlineStr">
        <is>
          <t>RAGUNDA</t>
        </is>
      </c>
      <c r="G327" t="n">
        <v>0.5</v>
      </c>
      <c r="H327" t="n">
        <v>0</v>
      </c>
      <c r="I327" t="n">
        <v>0</v>
      </c>
      <c r="J327" t="n">
        <v>0</v>
      </c>
      <c r="K327" t="n">
        <v>0</v>
      </c>
      <c r="L327" t="n">
        <v>0</v>
      </c>
      <c r="M327" t="n">
        <v>0</v>
      </c>
      <c r="N327" t="n">
        <v>0</v>
      </c>
      <c r="O327" t="n">
        <v>0</v>
      </c>
      <c r="P327" t="n">
        <v>0</v>
      </c>
      <c r="Q327" t="n">
        <v>0</v>
      </c>
      <c r="R327" s="2" t="inlineStr"/>
    </row>
    <row r="328" ht="15" customHeight="1">
      <c r="A328" t="inlineStr">
        <is>
          <t>A 3796-2022</t>
        </is>
      </c>
      <c r="B328" s="1" t="n">
        <v>44586</v>
      </c>
      <c r="C328" s="1" t="n">
        <v>45994</v>
      </c>
      <c r="D328" t="inlineStr">
        <is>
          <t>JÄMTLANDS LÄN</t>
        </is>
      </c>
      <c r="E328" t="inlineStr">
        <is>
          <t>RAGUNDA</t>
        </is>
      </c>
      <c r="G328" t="n">
        <v>1.2</v>
      </c>
      <c r="H328" t="n">
        <v>0</v>
      </c>
      <c r="I328" t="n">
        <v>0</v>
      </c>
      <c r="J328" t="n">
        <v>0</v>
      </c>
      <c r="K328" t="n">
        <v>0</v>
      </c>
      <c r="L328" t="n">
        <v>0</v>
      </c>
      <c r="M328" t="n">
        <v>0</v>
      </c>
      <c r="N328" t="n">
        <v>0</v>
      </c>
      <c r="O328" t="n">
        <v>0</v>
      </c>
      <c r="P328" t="n">
        <v>0</v>
      </c>
      <c r="Q328" t="n">
        <v>0</v>
      </c>
      <c r="R328" s="2" t="inlineStr"/>
    </row>
    <row r="329" ht="15" customHeight="1">
      <c r="A329" t="inlineStr">
        <is>
          <t>A 44247-2021</t>
        </is>
      </c>
      <c r="B329" s="1" t="n">
        <v>44434.94559027778</v>
      </c>
      <c r="C329" s="1" t="n">
        <v>45994</v>
      </c>
      <c r="D329" t="inlineStr">
        <is>
          <t>JÄMTLANDS LÄN</t>
        </is>
      </c>
      <c r="E329" t="inlineStr">
        <is>
          <t>RAGUNDA</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40829-2022</t>
        </is>
      </c>
      <c r="B330" s="1" t="n">
        <v>44824.94635416667</v>
      </c>
      <c r="C330" s="1" t="n">
        <v>45994</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28597-2021</t>
        </is>
      </c>
      <c r="B331" s="1" t="n">
        <v>44356.91935185185</v>
      </c>
      <c r="C331" s="1" t="n">
        <v>45994</v>
      </c>
      <c r="D331" t="inlineStr">
        <is>
          <t>JÄMTLANDS LÄN</t>
        </is>
      </c>
      <c r="E331" t="inlineStr">
        <is>
          <t>RAGUNDA</t>
        </is>
      </c>
      <c r="G331" t="n">
        <v>3.1</v>
      </c>
      <c r="H331" t="n">
        <v>0</v>
      </c>
      <c r="I331" t="n">
        <v>0</v>
      </c>
      <c r="J331" t="n">
        <v>0</v>
      </c>
      <c r="K331" t="n">
        <v>0</v>
      </c>
      <c r="L331" t="n">
        <v>0</v>
      </c>
      <c r="M331" t="n">
        <v>0</v>
      </c>
      <c r="N331" t="n">
        <v>0</v>
      </c>
      <c r="O331" t="n">
        <v>0</v>
      </c>
      <c r="P331" t="n">
        <v>0</v>
      </c>
      <c r="Q331" t="n">
        <v>0</v>
      </c>
      <c r="R331" s="2" t="inlineStr"/>
    </row>
    <row r="332" ht="15" customHeight="1">
      <c r="A332" t="inlineStr">
        <is>
          <t>A 46992-2022</t>
        </is>
      </c>
      <c r="B332" s="1" t="n">
        <v>44851.95488425926</v>
      </c>
      <c r="C332" s="1" t="n">
        <v>45994</v>
      </c>
      <c r="D332" t="inlineStr">
        <is>
          <t>JÄMTLANDS LÄN</t>
        </is>
      </c>
      <c r="E332" t="inlineStr">
        <is>
          <t>RAGUNDA</t>
        </is>
      </c>
      <c r="F332" t="inlineStr">
        <is>
          <t>SCA</t>
        </is>
      </c>
      <c r="G332" t="n">
        <v>26.4</v>
      </c>
      <c r="H332" t="n">
        <v>0</v>
      </c>
      <c r="I332" t="n">
        <v>0</v>
      </c>
      <c r="J332" t="n">
        <v>0</v>
      </c>
      <c r="K332" t="n">
        <v>0</v>
      </c>
      <c r="L332" t="n">
        <v>0</v>
      </c>
      <c r="M332" t="n">
        <v>0</v>
      </c>
      <c r="N332" t="n">
        <v>0</v>
      </c>
      <c r="O332" t="n">
        <v>0</v>
      </c>
      <c r="P332" t="n">
        <v>0</v>
      </c>
      <c r="Q332" t="n">
        <v>0</v>
      </c>
      <c r="R332" s="2" t="inlineStr"/>
    </row>
    <row r="333" ht="15" customHeight="1">
      <c r="A333" t="inlineStr">
        <is>
          <t>A 19010-2022</t>
        </is>
      </c>
      <c r="B333" s="1" t="n">
        <v>44690</v>
      </c>
      <c r="C333" s="1" t="n">
        <v>45994</v>
      </c>
      <c r="D333" t="inlineStr">
        <is>
          <t>JÄMTLANDS LÄN</t>
        </is>
      </c>
      <c r="E333" t="inlineStr">
        <is>
          <t>RAGUNDA</t>
        </is>
      </c>
      <c r="F333" t="inlineStr">
        <is>
          <t>SCA</t>
        </is>
      </c>
      <c r="G333" t="n">
        <v>19.6</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45994</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51012-2022</t>
        </is>
      </c>
      <c r="B335" s="1" t="n">
        <v>44867</v>
      </c>
      <c r="C335" s="1" t="n">
        <v>45994</v>
      </c>
      <c r="D335" t="inlineStr">
        <is>
          <t>JÄMTLANDS LÄN</t>
        </is>
      </c>
      <c r="E335" t="inlineStr">
        <is>
          <t>RAGUNDA</t>
        </is>
      </c>
      <c r="F335" t="inlineStr">
        <is>
          <t>Sveaskog</t>
        </is>
      </c>
      <c r="G335" t="n">
        <v>8.4</v>
      </c>
      <c r="H335" t="n">
        <v>0</v>
      </c>
      <c r="I335" t="n">
        <v>0</v>
      </c>
      <c r="J335" t="n">
        <v>0</v>
      </c>
      <c r="K335" t="n">
        <v>0</v>
      </c>
      <c r="L335" t="n">
        <v>0</v>
      </c>
      <c r="M335" t="n">
        <v>0</v>
      </c>
      <c r="N335" t="n">
        <v>0</v>
      </c>
      <c r="O335" t="n">
        <v>0</v>
      </c>
      <c r="P335" t="n">
        <v>0</v>
      </c>
      <c r="Q335" t="n">
        <v>0</v>
      </c>
      <c r="R335" s="2" t="inlineStr"/>
    </row>
    <row r="336" ht="15" customHeight="1">
      <c r="A336" t="inlineStr">
        <is>
          <t>A 53288-2022</t>
        </is>
      </c>
      <c r="B336" s="1" t="n">
        <v>44876.95104166667</v>
      </c>
      <c r="C336" s="1" t="n">
        <v>45994</v>
      </c>
      <c r="D336" t="inlineStr">
        <is>
          <t>JÄMTLANDS LÄN</t>
        </is>
      </c>
      <c r="E336" t="inlineStr">
        <is>
          <t>RAGUNDA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36941-2022</t>
        </is>
      </c>
      <c r="B337" s="1" t="n">
        <v>44805</v>
      </c>
      <c r="C337" s="1" t="n">
        <v>45994</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20548-2021</t>
        </is>
      </c>
      <c r="B338" s="1" t="n">
        <v>44315</v>
      </c>
      <c r="C338" s="1" t="n">
        <v>45994</v>
      </c>
      <c r="D338" t="inlineStr">
        <is>
          <t>JÄMTLANDS LÄN</t>
        </is>
      </c>
      <c r="E338" t="inlineStr">
        <is>
          <t>RAGUNDA</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49530-2022</t>
        </is>
      </c>
      <c r="B339" s="1" t="n">
        <v>44861</v>
      </c>
      <c r="C339" s="1" t="n">
        <v>45994</v>
      </c>
      <c r="D339" t="inlineStr">
        <is>
          <t>JÄMTLANDS LÄN</t>
        </is>
      </c>
      <c r="E339" t="inlineStr">
        <is>
          <t>RAGUNDA</t>
        </is>
      </c>
      <c r="F339" t="inlineStr">
        <is>
          <t>SCA</t>
        </is>
      </c>
      <c r="G339" t="n">
        <v>13.4</v>
      </c>
      <c r="H339" t="n">
        <v>0</v>
      </c>
      <c r="I339" t="n">
        <v>0</v>
      </c>
      <c r="J339" t="n">
        <v>0</v>
      </c>
      <c r="K339" t="n">
        <v>0</v>
      </c>
      <c r="L339" t="n">
        <v>0</v>
      </c>
      <c r="M339" t="n">
        <v>0</v>
      </c>
      <c r="N339" t="n">
        <v>0</v>
      </c>
      <c r="O339" t="n">
        <v>0</v>
      </c>
      <c r="P339" t="n">
        <v>0</v>
      </c>
      <c r="Q339" t="n">
        <v>0</v>
      </c>
      <c r="R339" s="2" t="inlineStr"/>
    </row>
    <row r="340" ht="15" customHeight="1">
      <c r="A340" t="inlineStr">
        <is>
          <t>A 25253-2022</t>
        </is>
      </c>
      <c r="B340" s="1" t="n">
        <v>44729.94136574074</v>
      </c>
      <c r="C340" s="1" t="n">
        <v>45994</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47568-2022</t>
        </is>
      </c>
      <c r="B341" s="1" t="n">
        <v>44853.9499537037</v>
      </c>
      <c r="C341" s="1" t="n">
        <v>45994</v>
      </c>
      <c r="D341" t="inlineStr">
        <is>
          <t>JÄMTLANDS LÄN</t>
        </is>
      </c>
      <c r="E341" t="inlineStr">
        <is>
          <t>RAGUNDA</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55932-2021</t>
        </is>
      </c>
      <c r="B342" s="1" t="n">
        <v>44476</v>
      </c>
      <c r="C342" s="1" t="n">
        <v>45994</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61442-2021</t>
        </is>
      </c>
      <c r="B343" s="1" t="n">
        <v>44500.93887731482</v>
      </c>
      <c r="C343" s="1" t="n">
        <v>45994</v>
      </c>
      <c r="D343" t="inlineStr">
        <is>
          <t>JÄMTLANDS LÄN</t>
        </is>
      </c>
      <c r="E343" t="inlineStr">
        <is>
          <t>RAGUNDA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45994</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45994</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18341-2022</t>
        </is>
      </c>
      <c r="B346" s="1" t="n">
        <v>44685</v>
      </c>
      <c r="C346" s="1" t="n">
        <v>45994</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35749-2022</t>
        </is>
      </c>
      <c r="B347" s="1" t="n">
        <v>44799.94394675926</v>
      </c>
      <c r="C347" s="1" t="n">
        <v>45994</v>
      </c>
      <c r="D347" t="inlineStr">
        <is>
          <t>JÄMTLANDS LÄN</t>
        </is>
      </c>
      <c r="E347" t="inlineStr">
        <is>
          <t>RAGUNDA</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6492-2022</t>
        </is>
      </c>
      <c r="B348" s="1" t="n">
        <v>44601</v>
      </c>
      <c r="C348" s="1" t="n">
        <v>45994</v>
      </c>
      <c r="D348" t="inlineStr">
        <is>
          <t>JÄMTLANDS LÄN</t>
        </is>
      </c>
      <c r="E348" t="inlineStr">
        <is>
          <t>RAGUNDA</t>
        </is>
      </c>
      <c r="G348" t="n">
        <v>0.8</v>
      </c>
      <c r="H348" t="n">
        <v>0</v>
      </c>
      <c r="I348" t="n">
        <v>0</v>
      </c>
      <c r="J348" t="n">
        <v>0</v>
      </c>
      <c r="K348" t="n">
        <v>0</v>
      </c>
      <c r="L348" t="n">
        <v>0</v>
      </c>
      <c r="M348" t="n">
        <v>0</v>
      </c>
      <c r="N348" t="n">
        <v>0</v>
      </c>
      <c r="O348" t="n">
        <v>0</v>
      </c>
      <c r="P348" t="n">
        <v>0</v>
      </c>
      <c r="Q348" t="n">
        <v>0</v>
      </c>
      <c r="R348" s="2" t="inlineStr"/>
    </row>
    <row r="349" ht="15" customHeight="1">
      <c r="A349" t="inlineStr">
        <is>
          <t>A 1858-2022</t>
        </is>
      </c>
      <c r="B349" s="1" t="n">
        <v>44574</v>
      </c>
      <c r="C349" s="1" t="n">
        <v>45994</v>
      </c>
      <c r="D349" t="inlineStr">
        <is>
          <t>JÄMTLANDS LÄN</t>
        </is>
      </c>
      <c r="E349" t="inlineStr">
        <is>
          <t>RAGUNDA</t>
        </is>
      </c>
      <c r="G349" t="n">
        <v>5.7</v>
      </c>
      <c r="H349" t="n">
        <v>0</v>
      </c>
      <c r="I349" t="n">
        <v>0</v>
      </c>
      <c r="J349" t="n">
        <v>0</v>
      </c>
      <c r="K349" t="n">
        <v>0</v>
      </c>
      <c r="L349" t="n">
        <v>0</v>
      </c>
      <c r="M349" t="n">
        <v>0</v>
      </c>
      <c r="N349" t="n">
        <v>0</v>
      </c>
      <c r="O349" t="n">
        <v>0</v>
      </c>
      <c r="P349" t="n">
        <v>0</v>
      </c>
      <c r="Q349" t="n">
        <v>0</v>
      </c>
      <c r="R349" s="2" t="inlineStr"/>
    </row>
    <row r="350" ht="15" customHeight="1">
      <c r="A350" t="inlineStr">
        <is>
          <t>A 9185-2022</t>
        </is>
      </c>
      <c r="B350" s="1" t="n">
        <v>44615</v>
      </c>
      <c r="C350" s="1" t="n">
        <v>45994</v>
      </c>
      <c r="D350" t="inlineStr">
        <is>
          <t>JÄMTLANDS LÄN</t>
        </is>
      </c>
      <c r="E350" t="inlineStr">
        <is>
          <t>RAGUNDA</t>
        </is>
      </c>
      <c r="G350" t="n">
        <v>1.1</v>
      </c>
      <c r="H350" t="n">
        <v>0</v>
      </c>
      <c r="I350" t="n">
        <v>0</v>
      </c>
      <c r="J350" t="n">
        <v>0</v>
      </c>
      <c r="K350" t="n">
        <v>0</v>
      </c>
      <c r="L350" t="n">
        <v>0</v>
      </c>
      <c r="M350" t="n">
        <v>0</v>
      </c>
      <c r="N350" t="n">
        <v>0</v>
      </c>
      <c r="O350" t="n">
        <v>0</v>
      </c>
      <c r="P350" t="n">
        <v>0</v>
      </c>
      <c r="Q350" t="n">
        <v>0</v>
      </c>
      <c r="R350" s="2" t="inlineStr"/>
    </row>
    <row r="351" ht="15" customHeight="1">
      <c r="A351" t="inlineStr">
        <is>
          <t>A 54836-2022</t>
        </is>
      </c>
      <c r="B351" s="1" t="n">
        <v>44883.94918981481</v>
      </c>
      <c r="C351" s="1" t="n">
        <v>45994</v>
      </c>
      <c r="D351" t="inlineStr">
        <is>
          <t>JÄMTLANDS LÄN</t>
        </is>
      </c>
      <c r="E351" t="inlineStr">
        <is>
          <t>RAGUNDA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22772-2022</t>
        </is>
      </c>
      <c r="B352" s="1" t="n">
        <v>44714.94162037037</v>
      </c>
      <c r="C352" s="1" t="n">
        <v>45994</v>
      </c>
      <c r="D352" t="inlineStr">
        <is>
          <t>JÄMTLANDS LÄN</t>
        </is>
      </c>
      <c r="E352" t="inlineStr">
        <is>
          <t>RAGUNDA</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28887-2021</t>
        </is>
      </c>
      <c r="B353" s="1" t="n">
        <v>44357</v>
      </c>
      <c r="C353" s="1" t="n">
        <v>45994</v>
      </c>
      <c r="D353" t="inlineStr">
        <is>
          <t>JÄMTLANDS LÄN</t>
        </is>
      </c>
      <c r="E353" t="inlineStr">
        <is>
          <t>RAGUNDA</t>
        </is>
      </c>
      <c r="G353" t="n">
        <v>1.8</v>
      </c>
      <c r="H353" t="n">
        <v>0</v>
      </c>
      <c r="I353" t="n">
        <v>0</v>
      </c>
      <c r="J353" t="n">
        <v>0</v>
      </c>
      <c r="K353" t="n">
        <v>0</v>
      </c>
      <c r="L353" t="n">
        <v>0</v>
      </c>
      <c r="M353" t="n">
        <v>0</v>
      </c>
      <c r="N353" t="n">
        <v>0</v>
      </c>
      <c r="O353" t="n">
        <v>0</v>
      </c>
      <c r="P353" t="n">
        <v>0</v>
      </c>
      <c r="Q353" t="n">
        <v>0</v>
      </c>
      <c r="R353" s="2" t="inlineStr"/>
    </row>
    <row r="354" ht="15" customHeight="1">
      <c r="A354" t="inlineStr">
        <is>
          <t>A 58984-2021</t>
        </is>
      </c>
      <c r="B354" s="1" t="n">
        <v>44489.94711805556</v>
      </c>
      <c r="C354" s="1" t="n">
        <v>45994</v>
      </c>
      <c r="D354" t="inlineStr">
        <is>
          <t>JÄMTLANDS LÄN</t>
        </is>
      </c>
      <c r="E354" t="inlineStr">
        <is>
          <t>RAGUNDA</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40978-2022</t>
        </is>
      </c>
      <c r="B355" s="1" t="n">
        <v>44823</v>
      </c>
      <c r="C355" s="1" t="n">
        <v>45994</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45994</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48086-2022</t>
        </is>
      </c>
      <c r="B357" s="1" t="n">
        <v>44855.9471875</v>
      </c>
      <c r="C357" s="1" t="n">
        <v>45994</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56055-2021</t>
        </is>
      </c>
      <c r="B358" s="1" t="n">
        <v>44477.48994212963</v>
      </c>
      <c r="C358" s="1" t="n">
        <v>45994</v>
      </c>
      <c r="D358" t="inlineStr">
        <is>
          <t>JÄMTLANDS LÄN</t>
        </is>
      </c>
      <c r="E358" t="inlineStr">
        <is>
          <t>RAGUNDA</t>
        </is>
      </c>
      <c r="G358" t="n">
        <v>3.9</v>
      </c>
      <c r="H358" t="n">
        <v>0</v>
      </c>
      <c r="I358" t="n">
        <v>0</v>
      </c>
      <c r="J358" t="n">
        <v>0</v>
      </c>
      <c r="K358" t="n">
        <v>0</v>
      </c>
      <c r="L358" t="n">
        <v>0</v>
      </c>
      <c r="M358" t="n">
        <v>0</v>
      </c>
      <c r="N358" t="n">
        <v>0</v>
      </c>
      <c r="O358" t="n">
        <v>0</v>
      </c>
      <c r="P358" t="n">
        <v>0</v>
      </c>
      <c r="Q358" t="n">
        <v>0</v>
      </c>
      <c r="R358" s="2" t="inlineStr"/>
    </row>
    <row r="359" ht="15" customHeight="1">
      <c r="A359" t="inlineStr">
        <is>
          <t>A 24741-2022</t>
        </is>
      </c>
      <c r="B359" s="1" t="n">
        <v>44727</v>
      </c>
      <c r="C359" s="1" t="n">
        <v>45994</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5130-2021</t>
        </is>
      </c>
      <c r="B360" s="1" t="n">
        <v>44228</v>
      </c>
      <c r="C360" s="1" t="n">
        <v>45994</v>
      </c>
      <c r="D360" t="inlineStr">
        <is>
          <t>JÄMTLANDS LÄN</t>
        </is>
      </c>
      <c r="E360" t="inlineStr">
        <is>
          <t>RAGUNDA</t>
        </is>
      </c>
      <c r="G360" t="n">
        <v>1.6</v>
      </c>
      <c r="H360" t="n">
        <v>0</v>
      </c>
      <c r="I360" t="n">
        <v>0</v>
      </c>
      <c r="J360" t="n">
        <v>0</v>
      </c>
      <c r="K360" t="n">
        <v>0</v>
      </c>
      <c r="L360" t="n">
        <v>0</v>
      </c>
      <c r="M360" t="n">
        <v>0</v>
      </c>
      <c r="N360" t="n">
        <v>0</v>
      </c>
      <c r="O360" t="n">
        <v>0</v>
      </c>
      <c r="P360" t="n">
        <v>0</v>
      </c>
      <c r="Q360" t="n">
        <v>0</v>
      </c>
      <c r="R360" s="2" t="inlineStr"/>
    </row>
    <row r="361" ht="15" customHeight="1">
      <c r="A361" t="inlineStr">
        <is>
          <t>A 19850-2022</t>
        </is>
      </c>
      <c r="B361" s="1" t="n">
        <v>44696.93986111111</v>
      </c>
      <c r="C361" s="1" t="n">
        <v>45994</v>
      </c>
      <c r="D361" t="inlineStr">
        <is>
          <t>JÄMTLANDS LÄN</t>
        </is>
      </c>
      <c r="E361" t="inlineStr">
        <is>
          <t>RAGUNDA</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45994</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65424-2021</t>
        </is>
      </c>
      <c r="B363" s="1" t="n">
        <v>44515.93767361111</v>
      </c>
      <c r="C363" s="1" t="n">
        <v>45994</v>
      </c>
      <c r="D363" t="inlineStr">
        <is>
          <t>JÄMTLANDS LÄN</t>
        </is>
      </c>
      <c r="E363" t="inlineStr">
        <is>
          <t>RAGUNDA</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46048-2022</t>
        </is>
      </c>
      <c r="B364" s="1" t="n">
        <v>44846</v>
      </c>
      <c r="C364" s="1" t="n">
        <v>45994</v>
      </c>
      <c r="D364" t="inlineStr">
        <is>
          <t>JÄMTLANDS LÄN</t>
        </is>
      </c>
      <c r="E364" t="inlineStr">
        <is>
          <t>RAGUNDA</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41613-2021</t>
        </is>
      </c>
      <c r="B365" s="1" t="n">
        <v>44425</v>
      </c>
      <c r="C365" s="1" t="n">
        <v>45994</v>
      </c>
      <c r="D365" t="inlineStr">
        <is>
          <t>JÄMTLANDS LÄN</t>
        </is>
      </c>
      <c r="E365" t="inlineStr">
        <is>
          <t>RAGUNDA</t>
        </is>
      </c>
      <c r="F365" t="inlineStr">
        <is>
          <t>Kommuner</t>
        </is>
      </c>
      <c r="G365" t="n">
        <v>1.5</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45994</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45994</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45994</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32780-2022</t>
        </is>
      </c>
      <c r="B369" s="1" t="n">
        <v>44783</v>
      </c>
      <c r="C369" s="1" t="n">
        <v>45994</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44241-2021</t>
        </is>
      </c>
      <c r="B370" s="1" t="n">
        <v>44434.94517361111</v>
      </c>
      <c r="C370" s="1" t="n">
        <v>45994</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36084-2022</t>
        </is>
      </c>
      <c r="B371" s="1" t="n">
        <v>44802</v>
      </c>
      <c r="C371" s="1" t="n">
        <v>45994</v>
      </c>
      <c r="D371" t="inlineStr">
        <is>
          <t>JÄMTLANDS LÄN</t>
        </is>
      </c>
      <c r="E371" t="inlineStr">
        <is>
          <t>RAGUNDA</t>
        </is>
      </c>
      <c r="F371" t="inlineStr">
        <is>
          <t>SCA</t>
        </is>
      </c>
      <c r="G371" t="n">
        <v>5.7</v>
      </c>
      <c r="H371" t="n">
        <v>0</v>
      </c>
      <c r="I371" t="n">
        <v>0</v>
      </c>
      <c r="J371" t="n">
        <v>0</v>
      </c>
      <c r="K371" t="n">
        <v>0</v>
      </c>
      <c r="L371" t="n">
        <v>0</v>
      </c>
      <c r="M371" t="n">
        <v>0</v>
      </c>
      <c r="N371" t="n">
        <v>0</v>
      </c>
      <c r="O371" t="n">
        <v>0</v>
      </c>
      <c r="P371" t="n">
        <v>0</v>
      </c>
      <c r="Q371" t="n">
        <v>0</v>
      </c>
      <c r="R371" s="2" t="inlineStr"/>
    </row>
    <row r="372" ht="15" customHeight="1">
      <c r="A372" t="inlineStr">
        <is>
          <t>A 65017-2021</t>
        </is>
      </c>
      <c r="B372" s="1" t="n">
        <v>44512</v>
      </c>
      <c r="C372" s="1" t="n">
        <v>45994</v>
      </c>
      <c r="D372" t="inlineStr">
        <is>
          <t>JÄMTLANDS LÄN</t>
        </is>
      </c>
      <c r="E372" t="inlineStr">
        <is>
          <t>RAGUNDA</t>
        </is>
      </c>
      <c r="G372" t="n">
        <v>2.3</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45994</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22655-2021</t>
        </is>
      </c>
      <c r="B374" s="1" t="n">
        <v>44322</v>
      </c>
      <c r="C374" s="1" t="n">
        <v>45994</v>
      </c>
      <c r="D374" t="inlineStr">
        <is>
          <t>JÄMTLANDS LÄN</t>
        </is>
      </c>
      <c r="E374" t="inlineStr">
        <is>
          <t>RAGUNDA</t>
        </is>
      </c>
      <c r="G374" t="n">
        <v>5.8</v>
      </c>
      <c r="H374" t="n">
        <v>0</v>
      </c>
      <c r="I374" t="n">
        <v>0</v>
      </c>
      <c r="J374" t="n">
        <v>0</v>
      </c>
      <c r="K374" t="n">
        <v>0</v>
      </c>
      <c r="L374" t="n">
        <v>0</v>
      </c>
      <c r="M374" t="n">
        <v>0</v>
      </c>
      <c r="N374" t="n">
        <v>0</v>
      </c>
      <c r="O374" t="n">
        <v>0</v>
      </c>
      <c r="P374" t="n">
        <v>0</v>
      </c>
      <c r="Q374" t="n">
        <v>0</v>
      </c>
      <c r="R374" s="2" t="inlineStr"/>
    </row>
    <row r="375" ht="15" customHeight="1">
      <c r="A375" t="inlineStr">
        <is>
          <t>A 43147-2022</t>
        </is>
      </c>
      <c r="B375" s="1" t="n">
        <v>44833.9519212963</v>
      </c>
      <c r="C375" s="1" t="n">
        <v>45994</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26948-2021</t>
        </is>
      </c>
      <c r="B376" s="1" t="n">
        <v>44349.92013888889</v>
      </c>
      <c r="C376" s="1" t="n">
        <v>45994</v>
      </c>
      <c r="D376" t="inlineStr">
        <is>
          <t>JÄMTLANDS LÄN</t>
        </is>
      </c>
      <c r="E376" t="inlineStr">
        <is>
          <t>RAGUNDA</t>
        </is>
      </c>
      <c r="G376" t="n">
        <v>2.5</v>
      </c>
      <c r="H376" t="n">
        <v>0</v>
      </c>
      <c r="I376" t="n">
        <v>0</v>
      </c>
      <c r="J376" t="n">
        <v>0</v>
      </c>
      <c r="K376" t="n">
        <v>0</v>
      </c>
      <c r="L376" t="n">
        <v>0</v>
      </c>
      <c r="M376" t="n">
        <v>0</v>
      </c>
      <c r="N376" t="n">
        <v>0</v>
      </c>
      <c r="O376" t="n">
        <v>0</v>
      </c>
      <c r="P376" t="n">
        <v>0</v>
      </c>
      <c r="Q376" t="n">
        <v>0</v>
      </c>
      <c r="R376" s="2" t="inlineStr"/>
    </row>
    <row r="377" ht="15" customHeight="1">
      <c r="A377" t="inlineStr">
        <is>
          <t>A 21194-2022</t>
        </is>
      </c>
      <c r="B377" s="1" t="n">
        <v>44704.9422337963</v>
      </c>
      <c r="C377" s="1" t="n">
        <v>45994</v>
      </c>
      <c r="D377" t="inlineStr">
        <is>
          <t>JÄMTLANDS LÄN</t>
        </is>
      </c>
      <c r="E377" t="inlineStr">
        <is>
          <t>RAGUNDA</t>
        </is>
      </c>
      <c r="F377" t="inlineStr">
        <is>
          <t>SCA</t>
        </is>
      </c>
      <c r="G377" t="n">
        <v>10.6</v>
      </c>
      <c r="H377" t="n">
        <v>0</v>
      </c>
      <c r="I377" t="n">
        <v>0</v>
      </c>
      <c r="J377" t="n">
        <v>0</v>
      </c>
      <c r="K377" t="n">
        <v>0</v>
      </c>
      <c r="L377" t="n">
        <v>0</v>
      </c>
      <c r="M377" t="n">
        <v>0</v>
      </c>
      <c r="N377" t="n">
        <v>0</v>
      </c>
      <c r="O377" t="n">
        <v>0</v>
      </c>
      <c r="P377" t="n">
        <v>0</v>
      </c>
      <c r="Q377" t="n">
        <v>0</v>
      </c>
      <c r="R377" s="2" t="inlineStr"/>
    </row>
    <row r="378" ht="15" customHeight="1">
      <c r="A378" t="inlineStr">
        <is>
          <t>A 19600-2021</t>
        </is>
      </c>
      <c r="B378" s="1" t="n">
        <v>44308</v>
      </c>
      <c r="C378" s="1" t="n">
        <v>45994</v>
      </c>
      <c r="D378" t="inlineStr">
        <is>
          <t>JÄMTLANDS LÄN</t>
        </is>
      </c>
      <c r="E378" t="inlineStr">
        <is>
          <t>RAGUNDA</t>
        </is>
      </c>
      <c r="G378" t="n">
        <v>4.3</v>
      </c>
      <c r="H378" t="n">
        <v>0</v>
      </c>
      <c r="I378" t="n">
        <v>0</v>
      </c>
      <c r="J378" t="n">
        <v>0</v>
      </c>
      <c r="K378" t="n">
        <v>0</v>
      </c>
      <c r="L378" t="n">
        <v>0</v>
      </c>
      <c r="M378" t="n">
        <v>0</v>
      </c>
      <c r="N378" t="n">
        <v>0</v>
      </c>
      <c r="O378" t="n">
        <v>0</v>
      </c>
      <c r="P378" t="n">
        <v>0</v>
      </c>
      <c r="Q378" t="n">
        <v>0</v>
      </c>
      <c r="R378" s="2" t="inlineStr"/>
    </row>
    <row r="379" ht="15" customHeight="1">
      <c r="A379" t="inlineStr">
        <is>
          <t>A 60313-2021</t>
        </is>
      </c>
      <c r="B379" s="1" t="n">
        <v>44495</v>
      </c>
      <c r="C379" s="1" t="n">
        <v>45994</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45994</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45994</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56193-2022</t>
        </is>
      </c>
      <c r="B382" s="1" t="n">
        <v>44889</v>
      </c>
      <c r="C382" s="1" t="n">
        <v>45994</v>
      </c>
      <c r="D382" t="inlineStr">
        <is>
          <t>JÄMTLANDS LÄN</t>
        </is>
      </c>
      <c r="E382" t="inlineStr">
        <is>
          <t>RAGUNDA</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5515-2022</t>
        </is>
      </c>
      <c r="B383" s="1" t="n">
        <v>44595</v>
      </c>
      <c r="C383" s="1" t="n">
        <v>45994</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45994</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21195-2022</t>
        </is>
      </c>
      <c r="B385" s="1" t="n">
        <v>44704.94229166667</v>
      </c>
      <c r="C385" s="1" t="n">
        <v>45994</v>
      </c>
      <c r="D385" t="inlineStr">
        <is>
          <t>JÄMTLANDS LÄN</t>
        </is>
      </c>
      <c r="E385" t="inlineStr">
        <is>
          <t>RAGUNDA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49531-2022</t>
        </is>
      </c>
      <c r="B386" s="1" t="n">
        <v>44861</v>
      </c>
      <c r="C386" s="1" t="n">
        <v>45994</v>
      </c>
      <c r="D386" t="inlineStr">
        <is>
          <t>JÄMTLANDS LÄN</t>
        </is>
      </c>
      <c r="E386" t="inlineStr">
        <is>
          <t>RAGUNDA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32288-2022</t>
        </is>
      </c>
      <c r="B387" s="1" t="n">
        <v>44781</v>
      </c>
      <c r="C387" s="1" t="n">
        <v>45994</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60957-2021</t>
        </is>
      </c>
      <c r="B388" s="1" t="n">
        <v>44496</v>
      </c>
      <c r="C388" s="1" t="n">
        <v>45994</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26122-2022</t>
        </is>
      </c>
      <c r="B389" s="1" t="n">
        <v>44734.94193287037</v>
      </c>
      <c r="C389" s="1" t="n">
        <v>45994</v>
      </c>
      <c r="D389" t="inlineStr">
        <is>
          <t>JÄMTLANDS LÄN</t>
        </is>
      </c>
      <c r="E389" t="inlineStr">
        <is>
          <t>RAGUNDA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21193-2022</t>
        </is>
      </c>
      <c r="B390" s="1" t="n">
        <v>44704.94217592593</v>
      </c>
      <c r="C390" s="1" t="n">
        <v>45994</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45994</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45994</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45994</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24197-2024</t>
        </is>
      </c>
      <c r="B394" s="1" t="n">
        <v>45456.96601851852</v>
      </c>
      <c r="C394" s="1" t="n">
        <v>45994</v>
      </c>
      <c r="D394" t="inlineStr">
        <is>
          <t>JÄMTLANDS LÄN</t>
        </is>
      </c>
      <c r="E394" t="inlineStr">
        <is>
          <t>RAGUNDA</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45994</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47803-2022</t>
        </is>
      </c>
      <c r="B396" s="1" t="n">
        <v>44854.95390046296</v>
      </c>
      <c r="C396" s="1" t="n">
        <v>45994</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5175-2023</t>
        </is>
      </c>
      <c r="B397" s="1" t="n">
        <v>44958.94298611111</v>
      </c>
      <c r="C397" s="1" t="n">
        <v>45994</v>
      </c>
      <c r="D397" t="inlineStr">
        <is>
          <t>JÄMTLANDS LÄN</t>
        </is>
      </c>
      <c r="E397" t="inlineStr">
        <is>
          <t>RAGUNDA</t>
        </is>
      </c>
      <c r="F397" t="inlineStr">
        <is>
          <t>SCA</t>
        </is>
      </c>
      <c r="G397" t="n">
        <v>17.9</v>
      </c>
      <c r="H397" t="n">
        <v>0</v>
      </c>
      <c r="I397" t="n">
        <v>0</v>
      </c>
      <c r="J397" t="n">
        <v>0</v>
      </c>
      <c r="K397" t="n">
        <v>0</v>
      </c>
      <c r="L397" t="n">
        <v>0</v>
      </c>
      <c r="M397" t="n">
        <v>0</v>
      </c>
      <c r="N397" t="n">
        <v>0</v>
      </c>
      <c r="O397" t="n">
        <v>0</v>
      </c>
      <c r="P397" t="n">
        <v>0</v>
      </c>
      <c r="Q397" t="n">
        <v>0</v>
      </c>
      <c r="R397" s="2" t="inlineStr"/>
    </row>
    <row r="398" ht="15" customHeight="1">
      <c r="A398" t="inlineStr">
        <is>
          <t>A 2224-2024</t>
        </is>
      </c>
      <c r="B398" s="1" t="n">
        <v>45309.92524305556</v>
      </c>
      <c r="C398" s="1" t="n">
        <v>45994</v>
      </c>
      <c r="D398" t="inlineStr">
        <is>
          <t>JÄMTLANDS LÄN</t>
        </is>
      </c>
      <c r="E398" t="inlineStr">
        <is>
          <t>RAGUNDA</t>
        </is>
      </c>
      <c r="G398" t="n">
        <v>0.9</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45994</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1523-2024</t>
        </is>
      </c>
      <c r="B400" s="1" t="n">
        <v>45306</v>
      </c>
      <c r="C400" s="1" t="n">
        <v>45994</v>
      </c>
      <c r="D400" t="inlineStr">
        <is>
          <t>JÄMTLANDS LÄN</t>
        </is>
      </c>
      <c r="E400" t="inlineStr">
        <is>
          <t>RAGUNDA</t>
        </is>
      </c>
      <c r="G400" t="n">
        <v>4.1</v>
      </c>
      <c r="H400" t="n">
        <v>0</v>
      </c>
      <c r="I400" t="n">
        <v>0</v>
      </c>
      <c r="J400" t="n">
        <v>0</v>
      </c>
      <c r="K400" t="n">
        <v>0</v>
      </c>
      <c r="L400" t="n">
        <v>0</v>
      </c>
      <c r="M400" t="n">
        <v>0</v>
      </c>
      <c r="N400" t="n">
        <v>0</v>
      </c>
      <c r="O400" t="n">
        <v>0</v>
      </c>
      <c r="P400" t="n">
        <v>0</v>
      </c>
      <c r="Q400" t="n">
        <v>0</v>
      </c>
      <c r="R400" s="2" t="inlineStr"/>
    </row>
    <row r="401" ht="15" customHeight="1">
      <c r="A401" t="inlineStr">
        <is>
          <t>A 37806-2021</t>
        </is>
      </c>
      <c r="B401" s="1" t="n">
        <v>44402.42243055555</v>
      </c>
      <c r="C401" s="1" t="n">
        <v>45994</v>
      </c>
      <c r="D401" t="inlineStr">
        <is>
          <t>JÄMTLANDS LÄN</t>
        </is>
      </c>
      <c r="E401" t="inlineStr">
        <is>
          <t>RAGUNDA</t>
        </is>
      </c>
      <c r="G401" t="n">
        <v>0.3</v>
      </c>
      <c r="H401" t="n">
        <v>0</v>
      </c>
      <c r="I401" t="n">
        <v>0</v>
      </c>
      <c r="J401" t="n">
        <v>0</v>
      </c>
      <c r="K401" t="n">
        <v>0</v>
      </c>
      <c r="L401" t="n">
        <v>0</v>
      </c>
      <c r="M401" t="n">
        <v>0</v>
      </c>
      <c r="N401" t="n">
        <v>0</v>
      </c>
      <c r="O401" t="n">
        <v>0</v>
      </c>
      <c r="P401" t="n">
        <v>0</v>
      </c>
      <c r="Q401" t="n">
        <v>0</v>
      </c>
      <c r="R401" s="2" t="inlineStr"/>
    </row>
    <row r="402" ht="15" customHeight="1">
      <c r="A402" t="inlineStr">
        <is>
          <t>A 20574-2025</t>
        </is>
      </c>
      <c r="B402" s="1" t="n">
        <v>45775.67747685185</v>
      </c>
      <c r="C402" s="1" t="n">
        <v>45994</v>
      </c>
      <c r="D402" t="inlineStr">
        <is>
          <t>JÄMTLANDS LÄN</t>
        </is>
      </c>
      <c r="E402" t="inlineStr">
        <is>
          <t>RAGUNDA</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31854-2022</t>
        </is>
      </c>
      <c r="B403" s="1" t="n">
        <v>44776</v>
      </c>
      <c r="C403" s="1" t="n">
        <v>45994</v>
      </c>
      <c r="D403" t="inlineStr">
        <is>
          <t>JÄMTLANDS LÄN</t>
        </is>
      </c>
      <c r="E403" t="inlineStr">
        <is>
          <t>RAGUNDA</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42652-2022</t>
        </is>
      </c>
      <c r="B404" s="1" t="n">
        <v>44831.94846064815</v>
      </c>
      <c r="C404" s="1" t="n">
        <v>45994</v>
      </c>
      <c r="D404" t="inlineStr">
        <is>
          <t>JÄMTLANDS LÄN</t>
        </is>
      </c>
      <c r="E404" t="inlineStr">
        <is>
          <t>RAGUNDA</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42653-2022</t>
        </is>
      </c>
      <c r="B405" s="1" t="n">
        <v>44831.9485300926</v>
      </c>
      <c r="C405" s="1" t="n">
        <v>45994</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32986-2022</t>
        </is>
      </c>
      <c r="B406" s="1" t="n">
        <v>44784.94157407407</v>
      </c>
      <c r="C406" s="1" t="n">
        <v>45994</v>
      </c>
      <c r="D406" t="inlineStr">
        <is>
          <t>JÄMTLANDS LÄN</t>
        </is>
      </c>
      <c r="E406" t="inlineStr">
        <is>
          <t>RAGUNDA</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58630-2024</t>
        </is>
      </c>
      <c r="B407" s="1" t="n">
        <v>45635.57331018519</v>
      </c>
      <c r="C407" s="1" t="n">
        <v>45994</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58537-2022</t>
        </is>
      </c>
      <c r="B408" s="1" t="n">
        <v>44894</v>
      </c>
      <c r="C408" s="1" t="n">
        <v>45994</v>
      </c>
      <c r="D408" t="inlineStr">
        <is>
          <t>JÄMTLANDS LÄN</t>
        </is>
      </c>
      <c r="E408" t="inlineStr">
        <is>
          <t>RAGUNDA</t>
        </is>
      </c>
      <c r="G408" t="n">
        <v>1.2</v>
      </c>
      <c r="H408" t="n">
        <v>0</v>
      </c>
      <c r="I408" t="n">
        <v>0</v>
      </c>
      <c r="J408" t="n">
        <v>0</v>
      </c>
      <c r="K408" t="n">
        <v>0</v>
      </c>
      <c r="L408" t="n">
        <v>0</v>
      </c>
      <c r="M408" t="n">
        <v>0</v>
      </c>
      <c r="N408" t="n">
        <v>0</v>
      </c>
      <c r="O408" t="n">
        <v>0</v>
      </c>
      <c r="P408" t="n">
        <v>0</v>
      </c>
      <c r="Q408" t="n">
        <v>0</v>
      </c>
      <c r="R408" s="2" t="inlineStr"/>
    </row>
    <row r="409" ht="15" customHeight="1">
      <c r="A409" t="inlineStr">
        <is>
          <t>A 56286-2023</t>
        </is>
      </c>
      <c r="B409" s="1" t="n">
        <v>45241.95741898148</v>
      </c>
      <c r="C409" s="1" t="n">
        <v>45994</v>
      </c>
      <c r="D409" t="inlineStr">
        <is>
          <t>JÄMTLANDS LÄN</t>
        </is>
      </c>
      <c r="E409" t="inlineStr">
        <is>
          <t>RAGUNDA</t>
        </is>
      </c>
      <c r="F409" t="inlineStr">
        <is>
          <t>SCA</t>
        </is>
      </c>
      <c r="G409" t="n">
        <v>4.5</v>
      </c>
      <c r="H409" t="n">
        <v>0</v>
      </c>
      <c r="I409" t="n">
        <v>0</v>
      </c>
      <c r="J409" t="n">
        <v>0</v>
      </c>
      <c r="K409" t="n">
        <v>0</v>
      </c>
      <c r="L409" t="n">
        <v>0</v>
      </c>
      <c r="M409" t="n">
        <v>0</v>
      </c>
      <c r="N409" t="n">
        <v>0</v>
      </c>
      <c r="O409" t="n">
        <v>0</v>
      </c>
      <c r="P409" t="n">
        <v>0</v>
      </c>
      <c r="Q409" t="n">
        <v>0</v>
      </c>
      <c r="R409" s="2" t="inlineStr"/>
    </row>
    <row r="410" ht="15" customHeight="1">
      <c r="A410" t="inlineStr">
        <is>
          <t>A 56287-2023</t>
        </is>
      </c>
      <c r="B410" s="1" t="n">
        <v>45241</v>
      </c>
      <c r="C410" s="1" t="n">
        <v>45994</v>
      </c>
      <c r="D410" t="inlineStr">
        <is>
          <t>JÄMTLANDS LÄN</t>
        </is>
      </c>
      <c r="E410" t="inlineStr">
        <is>
          <t>RAGUNDA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46549-2023</t>
        </is>
      </c>
      <c r="B411" s="1" t="n">
        <v>45197.94171296297</v>
      </c>
      <c r="C411" s="1" t="n">
        <v>45994</v>
      </c>
      <c r="D411" t="inlineStr">
        <is>
          <t>JÄMTLANDS LÄN</t>
        </is>
      </c>
      <c r="E411" t="inlineStr">
        <is>
          <t>RAGUNDA</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35153-2024</t>
        </is>
      </c>
      <c r="B412" s="1" t="n">
        <v>45530</v>
      </c>
      <c r="C412" s="1" t="n">
        <v>45994</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36246-2024</t>
        </is>
      </c>
      <c r="B413" s="1" t="n">
        <v>45534</v>
      </c>
      <c r="C413" s="1" t="n">
        <v>45994</v>
      </c>
      <c r="D413" t="inlineStr">
        <is>
          <t>JÄMTLANDS LÄN</t>
        </is>
      </c>
      <c r="E413" t="inlineStr">
        <is>
          <t>RAGUNDA</t>
        </is>
      </c>
      <c r="G413" t="n">
        <v>1.6</v>
      </c>
      <c r="H413" t="n">
        <v>0</v>
      </c>
      <c r="I413" t="n">
        <v>0</v>
      </c>
      <c r="J413" t="n">
        <v>0</v>
      </c>
      <c r="K413" t="n">
        <v>0</v>
      </c>
      <c r="L413" t="n">
        <v>0</v>
      </c>
      <c r="M413" t="n">
        <v>0</v>
      </c>
      <c r="N413" t="n">
        <v>0</v>
      </c>
      <c r="O413" t="n">
        <v>0</v>
      </c>
      <c r="P413" t="n">
        <v>0</v>
      </c>
      <c r="Q413" t="n">
        <v>0</v>
      </c>
      <c r="R413" s="2" t="inlineStr"/>
    </row>
    <row r="414" ht="15" customHeight="1">
      <c r="A414" t="inlineStr">
        <is>
          <t>A 32258-2024</t>
        </is>
      </c>
      <c r="B414" s="1" t="n">
        <v>45511</v>
      </c>
      <c r="C414" s="1" t="n">
        <v>45994</v>
      </c>
      <c r="D414" t="inlineStr">
        <is>
          <t>JÄMTLANDS LÄN</t>
        </is>
      </c>
      <c r="E414" t="inlineStr">
        <is>
          <t>RAGUNDA</t>
        </is>
      </c>
      <c r="F414" t="inlineStr">
        <is>
          <t>SCA</t>
        </is>
      </c>
      <c r="G414" t="n">
        <v>5.5</v>
      </c>
      <c r="H414" t="n">
        <v>0</v>
      </c>
      <c r="I414" t="n">
        <v>0</v>
      </c>
      <c r="J414" t="n">
        <v>0</v>
      </c>
      <c r="K414" t="n">
        <v>0</v>
      </c>
      <c r="L414" t="n">
        <v>0</v>
      </c>
      <c r="M414" t="n">
        <v>0</v>
      </c>
      <c r="N414" t="n">
        <v>0</v>
      </c>
      <c r="O414" t="n">
        <v>0</v>
      </c>
      <c r="P414" t="n">
        <v>0</v>
      </c>
      <c r="Q414" t="n">
        <v>0</v>
      </c>
      <c r="R414" s="2" t="inlineStr"/>
    </row>
    <row r="415" ht="15" customHeight="1">
      <c r="A415" t="inlineStr">
        <is>
          <t>A 38270-2021</t>
        </is>
      </c>
      <c r="B415" s="1" t="n">
        <v>44405.92065972222</v>
      </c>
      <c r="C415" s="1" t="n">
        <v>45994</v>
      </c>
      <c r="D415" t="inlineStr">
        <is>
          <t>JÄMTLANDS LÄN</t>
        </is>
      </c>
      <c r="E415" t="inlineStr">
        <is>
          <t>RAGUNDA</t>
        </is>
      </c>
      <c r="G415" t="n">
        <v>1.3</v>
      </c>
      <c r="H415" t="n">
        <v>0</v>
      </c>
      <c r="I415" t="n">
        <v>0</v>
      </c>
      <c r="J415" t="n">
        <v>0</v>
      </c>
      <c r="K415" t="n">
        <v>0</v>
      </c>
      <c r="L415" t="n">
        <v>0</v>
      </c>
      <c r="M415" t="n">
        <v>0</v>
      </c>
      <c r="N415" t="n">
        <v>0</v>
      </c>
      <c r="O415" t="n">
        <v>0</v>
      </c>
      <c r="P415" t="n">
        <v>0</v>
      </c>
      <c r="Q415" t="n">
        <v>0</v>
      </c>
      <c r="R415" s="2" t="inlineStr"/>
    </row>
    <row r="416" ht="15" customHeight="1">
      <c r="A416" t="inlineStr">
        <is>
          <t>A 62135-2024</t>
        </is>
      </c>
      <c r="B416" s="1" t="n">
        <v>45656.64223379629</v>
      </c>
      <c r="C416" s="1" t="n">
        <v>45994</v>
      </c>
      <c r="D416" t="inlineStr">
        <is>
          <t>JÄMTLANDS LÄN</t>
        </is>
      </c>
      <c r="E416" t="inlineStr">
        <is>
          <t>RAGUNDA</t>
        </is>
      </c>
      <c r="G416" t="n">
        <v>1.5</v>
      </c>
      <c r="H416" t="n">
        <v>0</v>
      </c>
      <c r="I416" t="n">
        <v>0</v>
      </c>
      <c r="J416" t="n">
        <v>0</v>
      </c>
      <c r="K416" t="n">
        <v>0</v>
      </c>
      <c r="L416" t="n">
        <v>0</v>
      </c>
      <c r="M416" t="n">
        <v>0</v>
      </c>
      <c r="N416" t="n">
        <v>0</v>
      </c>
      <c r="O416" t="n">
        <v>0</v>
      </c>
      <c r="P416" t="n">
        <v>0</v>
      </c>
      <c r="Q416" t="n">
        <v>0</v>
      </c>
      <c r="R416" s="2" t="inlineStr"/>
    </row>
    <row r="417" ht="15" customHeight="1">
      <c r="A417" t="inlineStr">
        <is>
          <t>A 24196-2024</t>
        </is>
      </c>
      <c r="B417" s="1" t="n">
        <v>45456.96569444444</v>
      </c>
      <c r="C417" s="1" t="n">
        <v>45994</v>
      </c>
      <c r="D417" t="inlineStr">
        <is>
          <t>JÄMTLANDS LÄN</t>
        </is>
      </c>
      <c r="E417" t="inlineStr">
        <is>
          <t>RAGUNDA</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29257-2024</t>
        </is>
      </c>
      <c r="B418" s="1" t="n">
        <v>45482.94815972223</v>
      </c>
      <c r="C418" s="1" t="n">
        <v>45994</v>
      </c>
      <c r="D418" t="inlineStr">
        <is>
          <t>JÄMTLANDS LÄN</t>
        </is>
      </c>
      <c r="E418" t="inlineStr">
        <is>
          <t>RAGUNDA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27373-2023</t>
        </is>
      </c>
      <c r="B419" s="1" t="n">
        <v>45096.93866898148</v>
      </c>
      <c r="C419" s="1" t="n">
        <v>45994</v>
      </c>
      <c r="D419" t="inlineStr">
        <is>
          <t>JÄMTLANDS LÄN</t>
        </is>
      </c>
      <c r="E419" t="inlineStr">
        <is>
          <t>RAGUNDA</t>
        </is>
      </c>
      <c r="F419" t="inlineStr">
        <is>
          <t>SCA</t>
        </is>
      </c>
      <c r="G419" t="n">
        <v>6.9</v>
      </c>
      <c r="H419" t="n">
        <v>0</v>
      </c>
      <c r="I419" t="n">
        <v>0</v>
      </c>
      <c r="J419" t="n">
        <v>0</v>
      </c>
      <c r="K419" t="n">
        <v>0</v>
      </c>
      <c r="L419" t="n">
        <v>0</v>
      </c>
      <c r="M419" t="n">
        <v>0</v>
      </c>
      <c r="N419" t="n">
        <v>0</v>
      </c>
      <c r="O419" t="n">
        <v>0</v>
      </c>
      <c r="P419" t="n">
        <v>0</v>
      </c>
      <c r="Q419" t="n">
        <v>0</v>
      </c>
      <c r="R419" s="2" t="inlineStr"/>
    </row>
    <row r="420" ht="15" customHeight="1">
      <c r="A420" t="inlineStr">
        <is>
          <t>A 62115-2024</t>
        </is>
      </c>
      <c r="B420" s="1" t="n">
        <v>45656</v>
      </c>
      <c r="C420" s="1" t="n">
        <v>45994</v>
      </c>
      <c r="D420" t="inlineStr">
        <is>
          <t>JÄMTLANDS LÄN</t>
        </is>
      </c>
      <c r="E420" t="inlineStr">
        <is>
          <t>RAGUNDA</t>
        </is>
      </c>
      <c r="G420" t="n">
        <v>3.3</v>
      </c>
      <c r="H420" t="n">
        <v>0</v>
      </c>
      <c r="I420" t="n">
        <v>0</v>
      </c>
      <c r="J420" t="n">
        <v>0</v>
      </c>
      <c r="K420" t="n">
        <v>0</v>
      </c>
      <c r="L420" t="n">
        <v>0</v>
      </c>
      <c r="M420" t="n">
        <v>0</v>
      </c>
      <c r="N420" t="n">
        <v>0</v>
      </c>
      <c r="O420" t="n">
        <v>0</v>
      </c>
      <c r="P420" t="n">
        <v>0</v>
      </c>
      <c r="Q420" t="n">
        <v>0</v>
      </c>
      <c r="R420" s="2" t="inlineStr"/>
    </row>
    <row r="421" ht="15" customHeight="1">
      <c r="A421" t="inlineStr">
        <is>
          <t>A 12653-2024</t>
        </is>
      </c>
      <c r="B421" s="1" t="n">
        <v>45384</v>
      </c>
      <c r="C421" s="1" t="n">
        <v>45994</v>
      </c>
      <c r="D421" t="inlineStr">
        <is>
          <t>JÄMTLANDS LÄN</t>
        </is>
      </c>
      <c r="E421" t="inlineStr">
        <is>
          <t>RAGUNDA</t>
        </is>
      </c>
      <c r="G421" t="n">
        <v>1.1</v>
      </c>
      <c r="H421" t="n">
        <v>0</v>
      </c>
      <c r="I421" t="n">
        <v>0</v>
      </c>
      <c r="J421" t="n">
        <v>0</v>
      </c>
      <c r="K421" t="n">
        <v>0</v>
      </c>
      <c r="L421" t="n">
        <v>0</v>
      </c>
      <c r="M421" t="n">
        <v>0</v>
      </c>
      <c r="N421" t="n">
        <v>0</v>
      </c>
      <c r="O421" t="n">
        <v>0</v>
      </c>
      <c r="P421" t="n">
        <v>0</v>
      </c>
      <c r="Q421" t="n">
        <v>0</v>
      </c>
      <c r="R421" s="2" t="inlineStr"/>
    </row>
    <row r="422" ht="15" customHeight="1">
      <c r="A422" t="inlineStr">
        <is>
          <t>A 11558-2023</t>
        </is>
      </c>
      <c r="B422" s="1" t="n">
        <v>44993.94958333333</v>
      </c>
      <c r="C422" s="1" t="n">
        <v>45994</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50211-2023</t>
        </is>
      </c>
      <c r="B423" s="1" t="n">
        <v>45215.94657407407</v>
      </c>
      <c r="C423" s="1" t="n">
        <v>45994</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18248-2023</t>
        </is>
      </c>
      <c r="B424" s="1" t="n">
        <v>45040</v>
      </c>
      <c r="C424" s="1" t="n">
        <v>45994</v>
      </c>
      <c r="D424" t="inlineStr">
        <is>
          <t>JÄMTLANDS LÄN</t>
        </is>
      </c>
      <c r="E424" t="inlineStr">
        <is>
          <t>RAGUNDA</t>
        </is>
      </c>
      <c r="G424" t="n">
        <v>4.3</v>
      </c>
      <c r="H424" t="n">
        <v>0</v>
      </c>
      <c r="I424" t="n">
        <v>0</v>
      </c>
      <c r="J424" t="n">
        <v>0</v>
      </c>
      <c r="K424" t="n">
        <v>0</v>
      </c>
      <c r="L424" t="n">
        <v>0</v>
      </c>
      <c r="M424" t="n">
        <v>0</v>
      </c>
      <c r="N424" t="n">
        <v>0</v>
      </c>
      <c r="O424" t="n">
        <v>0</v>
      </c>
      <c r="P424" t="n">
        <v>0</v>
      </c>
      <c r="Q424" t="n">
        <v>0</v>
      </c>
      <c r="R424" s="2" t="inlineStr"/>
    </row>
    <row r="425" ht="15" customHeight="1">
      <c r="A425" t="inlineStr">
        <is>
          <t>A 8802-2022</t>
        </is>
      </c>
      <c r="B425" s="1" t="n">
        <v>44614</v>
      </c>
      <c r="C425" s="1" t="n">
        <v>45994</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39489-2023</t>
        </is>
      </c>
      <c r="B426" s="1" t="n">
        <v>45166</v>
      </c>
      <c r="C426" s="1" t="n">
        <v>45994</v>
      </c>
      <c r="D426" t="inlineStr">
        <is>
          <t>JÄMTLANDS LÄN</t>
        </is>
      </c>
      <c r="E426" t="inlineStr">
        <is>
          <t>RAGUNDA</t>
        </is>
      </c>
      <c r="G426" t="n">
        <v>5</v>
      </c>
      <c r="H426" t="n">
        <v>0</v>
      </c>
      <c r="I426" t="n">
        <v>0</v>
      </c>
      <c r="J426" t="n">
        <v>0</v>
      </c>
      <c r="K426" t="n">
        <v>0</v>
      </c>
      <c r="L426" t="n">
        <v>0</v>
      </c>
      <c r="M426" t="n">
        <v>0</v>
      </c>
      <c r="N426" t="n">
        <v>0</v>
      </c>
      <c r="O426" t="n">
        <v>0</v>
      </c>
      <c r="P426" t="n">
        <v>0</v>
      </c>
      <c r="Q426" t="n">
        <v>0</v>
      </c>
      <c r="R426" s="2" t="inlineStr"/>
    </row>
    <row r="427" ht="15" customHeight="1">
      <c r="A427" t="inlineStr">
        <is>
          <t>A 44630-2023</t>
        </is>
      </c>
      <c r="B427" s="1" t="n">
        <v>45184</v>
      </c>
      <c r="C427" s="1" t="n">
        <v>45994</v>
      </c>
      <c r="D427" t="inlineStr">
        <is>
          <t>JÄMTLANDS LÄN</t>
        </is>
      </c>
      <c r="E427" t="inlineStr">
        <is>
          <t>RAGUNDA</t>
        </is>
      </c>
      <c r="G427" t="n">
        <v>3.4</v>
      </c>
      <c r="H427" t="n">
        <v>0</v>
      </c>
      <c r="I427" t="n">
        <v>0</v>
      </c>
      <c r="J427" t="n">
        <v>0</v>
      </c>
      <c r="K427" t="n">
        <v>0</v>
      </c>
      <c r="L427" t="n">
        <v>0</v>
      </c>
      <c r="M427" t="n">
        <v>0</v>
      </c>
      <c r="N427" t="n">
        <v>0</v>
      </c>
      <c r="O427" t="n">
        <v>0</v>
      </c>
      <c r="P427" t="n">
        <v>0</v>
      </c>
      <c r="Q427" t="n">
        <v>0</v>
      </c>
      <c r="R427" s="2" t="inlineStr"/>
    </row>
    <row r="428" ht="15" customHeight="1">
      <c r="A428" t="inlineStr">
        <is>
          <t>A 9232-2025</t>
        </is>
      </c>
      <c r="B428" s="1" t="n">
        <v>45714.55064814815</v>
      </c>
      <c r="C428" s="1" t="n">
        <v>45994</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29775-2023</t>
        </is>
      </c>
      <c r="B429" s="1" t="n">
        <v>45098</v>
      </c>
      <c r="C429" s="1" t="n">
        <v>45994</v>
      </c>
      <c r="D429" t="inlineStr">
        <is>
          <t>JÄMTLANDS LÄN</t>
        </is>
      </c>
      <c r="E429" t="inlineStr">
        <is>
          <t>RAGUNDA</t>
        </is>
      </c>
      <c r="G429" t="n">
        <v>3.6</v>
      </c>
      <c r="H429" t="n">
        <v>0</v>
      </c>
      <c r="I429" t="n">
        <v>0</v>
      </c>
      <c r="J429" t="n">
        <v>0</v>
      </c>
      <c r="K429" t="n">
        <v>0</v>
      </c>
      <c r="L429" t="n">
        <v>0</v>
      </c>
      <c r="M429" t="n">
        <v>0</v>
      </c>
      <c r="N429" t="n">
        <v>0</v>
      </c>
      <c r="O429" t="n">
        <v>0</v>
      </c>
      <c r="P429" t="n">
        <v>0</v>
      </c>
      <c r="Q429" t="n">
        <v>0</v>
      </c>
      <c r="R429" s="2" t="inlineStr"/>
    </row>
    <row r="430" ht="15" customHeight="1">
      <c r="A430" t="inlineStr">
        <is>
          <t>A 55214-2022</t>
        </is>
      </c>
      <c r="B430" s="1" t="n">
        <v>44886</v>
      </c>
      <c r="C430" s="1" t="n">
        <v>45994</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42882-2022</t>
        </is>
      </c>
      <c r="B431" s="1" t="n">
        <v>44832.95300925926</v>
      </c>
      <c r="C431" s="1" t="n">
        <v>45994</v>
      </c>
      <c r="D431" t="inlineStr">
        <is>
          <t>JÄMTLANDS LÄN</t>
        </is>
      </c>
      <c r="E431" t="inlineStr">
        <is>
          <t>RAGUNDA</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42267-2022</t>
        </is>
      </c>
      <c r="B432" s="1" t="n">
        <v>44830</v>
      </c>
      <c r="C432" s="1" t="n">
        <v>45994</v>
      </c>
      <c r="D432" t="inlineStr">
        <is>
          <t>JÄMTLANDS LÄN</t>
        </is>
      </c>
      <c r="E432" t="inlineStr">
        <is>
          <t>RAGUNDA</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44494-2024</t>
        </is>
      </c>
      <c r="B433" s="1" t="n">
        <v>45574.39081018518</v>
      </c>
      <c r="C433" s="1" t="n">
        <v>45994</v>
      </c>
      <c r="D433" t="inlineStr">
        <is>
          <t>JÄMTLANDS LÄN</t>
        </is>
      </c>
      <c r="E433" t="inlineStr">
        <is>
          <t>RAGUNDA</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14156-2024</t>
        </is>
      </c>
      <c r="B434" s="1" t="n">
        <v>45392</v>
      </c>
      <c r="C434" s="1" t="n">
        <v>45994</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14157-2024</t>
        </is>
      </c>
      <c r="B435" s="1" t="n">
        <v>45392.92903935185</v>
      </c>
      <c r="C435" s="1" t="n">
        <v>45994</v>
      </c>
      <c r="D435" t="inlineStr">
        <is>
          <t>JÄMTLANDS LÄN</t>
        </is>
      </c>
      <c r="E435" t="inlineStr">
        <is>
          <t>RAGUNDA</t>
        </is>
      </c>
      <c r="G435" t="n">
        <v>1.7</v>
      </c>
      <c r="H435" t="n">
        <v>0</v>
      </c>
      <c r="I435" t="n">
        <v>0</v>
      </c>
      <c r="J435" t="n">
        <v>0</v>
      </c>
      <c r="K435" t="n">
        <v>0</v>
      </c>
      <c r="L435" t="n">
        <v>0</v>
      </c>
      <c r="M435" t="n">
        <v>0</v>
      </c>
      <c r="N435" t="n">
        <v>0</v>
      </c>
      <c r="O435" t="n">
        <v>0</v>
      </c>
      <c r="P435" t="n">
        <v>0</v>
      </c>
      <c r="Q435" t="n">
        <v>0</v>
      </c>
      <c r="R435" s="2" t="inlineStr"/>
    </row>
    <row r="436" ht="15" customHeight="1">
      <c r="A436" t="inlineStr">
        <is>
          <t>A 13898-2023</t>
        </is>
      </c>
      <c r="B436" s="1" t="n">
        <v>45008.01408564814</v>
      </c>
      <c r="C436" s="1" t="n">
        <v>45994</v>
      </c>
      <c r="D436" t="inlineStr">
        <is>
          <t>JÄMTLANDS LÄN</t>
        </is>
      </c>
      <c r="E436" t="inlineStr">
        <is>
          <t>RAGUNDA</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26945-2021</t>
        </is>
      </c>
      <c r="B437" s="1" t="n">
        <v>44349.91995370371</v>
      </c>
      <c r="C437" s="1" t="n">
        <v>45994</v>
      </c>
      <c r="D437" t="inlineStr">
        <is>
          <t>JÄMTLANDS LÄN</t>
        </is>
      </c>
      <c r="E437" t="inlineStr">
        <is>
          <t>RAGUNDA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26026-2024</t>
        </is>
      </c>
      <c r="B438" s="1" t="n">
        <v>45467.96207175926</v>
      </c>
      <c r="C438" s="1" t="n">
        <v>45994</v>
      </c>
      <c r="D438" t="inlineStr">
        <is>
          <t>JÄMTLANDS LÄN</t>
        </is>
      </c>
      <c r="E438" t="inlineStr">
        <is>
          <t>RAGUNDA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7722-2023</t>
        </is>
      </c>
      <c r="B439" s="1" t="n">
        <v>44972.94140046297</v>
      </c>
      <c r="C439" s="1" t="n">
        <v>45994</v>
      </c>
      <c r="D439" t="inlineStr">
        <is>
          <t>JÄMTLANDS LÄN</t>
        </is>
      </c>
      <c r="E439" t="inlineStr">
        <is>
          <t>RAGUNDA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12204-2025</t>
        </is>
      </c>
      <c r="B440" s="1" t="n">
        <v>45729.51074074074</v>
      </c>
      <c r="C440" s="1" t="n">
        <v>45994</v>
      </c>
      <c r="D440" t="inlineStr">
        <is>
          <t>JÄMTLANDS LÄN</t>
        </is>
      </c>
      <c r="E440" t="inlineStr">
        <is>
          <t>RAGUNDA</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5429-2024</t>
        </is>
      </c>
      <c r="B441" s="1" t="n">
        <v>45331.92746527777</v>
      </c>
      <c r="C441" s="1" t="n">
        <v>45994</v>
      </c>
      <c r="D441" t="inlineStr">
        <is>
          <t>JÄMTLANDS LÄN</t>
        </is>
      </c>
      <c r="E441" t="inlineStr">
        <is>
          <t>RAGUNDA</t>
        </is>
      </c>
      <c r="G441" t="n">
        <v>1.1</v>
      </c>
      <c r="H441" t="n">
        <v>0</v>
      </c>
      <c r="I441" t="n">
        <v>0</v>
      </c>
      <c r="J441" t="n">
        <v>0</v>
      </c>
      <c r="K441" t="n">
        <v>0</v>
      </c>
      <c r="L441" t="n">
        <v>0</v>
      </c>
      <c r="M441" t="n">
        <v>0</v>
      </c>
      <c r="N441" t="n">
        <v>0</v>
      </c>
      <c r="O441" t="n">
        <v>0</v>
      </c>
      <c r="P441" t="n">
        <v>0</v>
      </c>
      <c r="Q441" t="n">
        <v>0</v>
      </c>
      <c r="R441" s="2" t="inlineStr"/>
    </row>
    <row r="442" ht="15" customHeight="1">
      <c r="A442" t="inlineStr">
        <is>
          <t>A 20088-2023</t>
        </is>
      </c>
      <c r="B442" s="1" t="n">
        <v>45054</v>
      </c>
      <c r="C442" s="1" t="n">
        <v>45994</v>
      </c>
      <c r="D442" t="inlineStr">
        <is>
          <t>JÄMTLANDS LÄN</t>
        </is>
      </c>
      <c r="E442" t="inlineStr">
        <is>
          <t>RAGUNDA</t>
        </is>
      </c>
      <c r="F442" t="inlineStr">
        <is>
          <t>SCA</t>
        </is>
      </c>
      <c r="G442" t="n">
        <v>23.4</v>
      </c>
      <c r="H442" t="n">
        <v>0</v>
      </c>
      <c r="I442" t="n">
        <v>0</v>
      </c>
      <c r="J442" t="n">
        <v>0</v>
      </c>
      <c r="K442" t="n">
        <v>0</v>
      </c>
      <c r="L442" t="n">
        <v>0</v>
      </c>
      <c r="M442" t="n">
        <v>0</v>
      </c>
      <c r="N442" t="n">
        <v>0</v>
      </c>
      <c r="O442" t="n">
        <v>0</v>
      </c>
      <c r="P442" t="n">
        <v>0</v>
      </c>
      <c r="Q442" t="n">
        <v>0</v>
      </c>
      <c r="R442" s="2" t="inlineStr"/>
    </row>
    <row r="443" ht="15" customHeight="1">
      <c r="A443" t="inlineStr">
        <is>
          <t>A 13299-2024</t>
        </is>
      </c>
      <c r="B443" s="1" t="n">
        <v>45386.68003472222</v>
      </c>
      <c r="C443" s="1" t="n">
        <v>45994</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3720-2025</t>
        </is>
      </c>
      <c r="B444" s="1" t="n">
        <v>45681.5315625</v>
      </c>
      <c r="C444" s="1" t="n">
        <v>45994</v>
      </c>
      <c r="D444" t="inlineStr">
        <is>
          <t>JÄMTLANDS LÄN</t>
        </is>
      </c>
      <c r="E444" t="inlineStr">
        <is>
          <t>RAGUNDA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3770-2025</t>
        </is>
      </c>
      <c r="B445" s="1" t="n">
        <v>45681.6050925926</v>
      </c>
      <c r="C445" s="1" t="n">
        <v>45994</v>
      </c>
      <c r="D445" t="inlineStr">
        <is>
          <t>JÄMTLANDS LÄN</t>
        </is>
      </c>
      <c r="E445" t="inlineStr">
        <is>
          <t>RAGUNDA</t>
        </is>
      </c>
      <c r="G445" t="n">
        <v>2.7</v>
      </c>
      <c r="H445" t="n">
        <v>0</v>
      </c>
      <c r="I445" t="n">
        <v>0</v>
      </c>
      <c r="J445" t="n">
        <v>0</v>
      </c>
      <c r="K445" t="n">
        <v>0</v>
      </c>
      <c r="L445" t="n">
        <v>0</v>
      </c>
      <c r="M445" t="n">
        <v>0</v>
      </c>
      <c r="N445" t="n">
        <v>0</v>
      </c>
      <c r="O445" t="n">
        <v>0</v>
      </c>
      <c r="P445" t="n">
        <v>0</v>
      </c>
      <c r="Q445" t="n">
        <v>0</v>
      </c>
      <c r="R445" s="2" t="inlineStr"/>
    </row>
    <row r="446" ht="15" customHeight="1">
      <c r="A446" t="inlineStr">
        <is>
          <t>A 15024-2022</t>
        </is>
      </c>
      <c r="B446" s="1" t="n">
        <v>44657</v>
      </c>
      <c r="C446" s="1" t="n">
        <v>45994</v>
      </c>
      <c r="D446" t="inlineStr">
        <is>
          <t>JÄMTLANDS LÄN</t>
        </is>
      </c>
      <c r="E446" t="inlineStr">
        <is>
          <t>RAGUNDA</t>
        </is>
      </c>
      <c r="G446" t="n">
        <v>1.8</v>
      </c>
      <c r="H446" t="n">
        <v>0</v>
      </c>
      <c r="I446" t="n">
        <v>0</v>
      </c>
      <c r="J446" t="n">
        <v>0</v>
      </c>
      <c r="K446" t="n">
        <v>0</v>
      </c>
      <c r="L446" t="n">
        <v>0</v>
      </c>
      <c r="M446" t="n">
        <v>0</v>
      </c>
      <c r="N446" t="n">
        <v>0</v>
      </c>
      <c r="O446" t="n">
        <v>0</v>
      </c>
      <c r="P446" t="n">
        <v>0</v>
      </c>
      <c r="Q446" t="n">
        <v>0</v>
      </c>
      <c r="R446" s="2" t="inlineStr"/>
    </row>
    <row r="447" ht="15" customHeight="1">
      <c r="A447" t="inlineStr">
        <is>
          <t>A 4882-2023</t>
        </is>
      </c>
      <c r="B447" s="1" t="n">
        <v>44957.94075231482</v>
      </c>
      <c r="C447" s="1" t="n">
        <v>45994</v>
      </c>
      <c r="D447" t="inlineStr">
        <is>
          <t>JÄMTLANDS LÄN</t>
        </is>
      </c>
      <c r="E447" t="inlineStr">
        <is>
          <t>RAGUNDA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891-2022</t>
        </is>
      </c>
      <c r="B448" s="1" t="n">
        <v>44571</v>
      </c>
      <c r="C448" s="1" t="n">
        <v>45994</v>
      </c>
      <c r="D448" t="inlineStr">
        <is>
          <t>JÄMTLANDS LÄN</t>
        </is>
      </c>
      <c r="E448" t="inlineStr">
        <is>
          <t>RAGUNDA</t>
        </is>
      </c>
      <c r="G448" t="n">
        <v>1.7</v>
      </c>
      <c r="H448" t="n">
        <v>0</v>
      </c>
      <c r="I448" t="n">
        <v>0</v>
      </c>
      <c r="J448" t="n">
        <v>0</v>
      </c>
      <c r="K448" t="n">
        <v>0</v>
      </c>
      <c r="L448" t="n">
        <v>0</v>
      </c>
      <c r="M448" t="n">
        <v>0</v>
      </c>
      <c r="N448" t="n">
        <v>0</v>
      </c>
      <c r="O448" t="n">
        <v>0</v>
      </c>
      <c r="P448" t="n">
        <v>0</v>
      </c>
      <c r="Q448" t="n">
        <v>0</v>
      </c>
      <c r="R448" s="2" t="inlineStr"/>
    </row>
    <row r="449" ht="15" customHeight="1">
      <c r="A449" t="inlineStr">
        <is>
          <t>A 15554-2025</t>
        </is>
      </c>
      <c r="B449" s="1" t="n">
        <v>45747.67739583334</v>
      </c>
      <c r="C449" s="1" t="n">
        <v>45994</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51579-2024</t>
        </is>
      </c>
      <c r="B450" s="1" t="n">
        <v>45604.63575231482</v>
      </c>
      <c r="C450" s="1" t="n">
        <v>45994</v>
      </c>
      <c r="D450" t="inlineStr">
        <is>
          <t>JÄMTLANDS LÄN</t>
        </is>
      </c>
      <c r="E450" t="inlineStr">
        <is>
          <t>RAGUNDA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65216-2023</t>
        </is>
      </c>
      <c r="B451" s="1" t="n">
        <v>45289</v>
      </c>
      <c r="C451" s="1" t="n">
        <v>45994</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row>
    <row r="452" ht="15" customHeight="1">
      <c r="A452" t="inlineStr">
        <is>
          <t>A 52148-2024</t>
        </is>
      </c>
      <c r="B452" s="1" t="n">
        <v>45608.52354166667</v>
      </c>
      <c r="C452" s="1" t="n">
        <v>45994</v>
      </c>
      <c r="D452" t="inlineStr">
        <is>
          <t>JÄMTLANDS LÄN</t>
        </is>
      </c>
      <c r="E452" t="inlineStr">
        <is>
          <t>RAGUNDA</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8775-2025</t>
        </is>
      </c>
      <c r="B453" s="1" t="n">
        <v>45712.61502314815</v>
      </c>
      <c r="C453" s="1" t="n">
        <v>45994</v>
      </c>
      <c r="D453" t="inlineStr">
        <is>
          <t>JÄMTLANDS LÄN</t>
        </is>
      </c>
      <c r="E453" t="inlineStr">
        <is>
          <t>RAGUNDA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36371-2023</t>
        </is>
      </c>
      <c r="B454" s="1" t="n">
        <v>45149</v>
      </c>
      <c r="C454" s="1" t="n">
        <v>45994</v>
      </c>
      <c r="D454" t="inlineStr">
        <is>
          <t>JÄMTLANDS LÄN</t>
        </is>
      </c>
      <c r="E454" t="inlineStr">
        <is>
          <t>RAGUNDA</t>
        </is>
      </c>
      <c r="G454" t="n">
        <v>25.7</v>
      </c>
      <c r="H454" t="n">
        <v>0</v>
      </c>
      <c r="I454" t="n">
        <v>0</v>
      </c>
      <c r="J454" t="n">
        <v>0</v>
      </c>
      <c r="K454" t="n">
        <v>0</v>
      </c>
      <c r="L454" t="n">
        <v>0</v>
      </c>
      <c r="M454" t="n">
        <v>0</v>
      </c>
      <c r="N454" t="n">
        <v>0</v>
      </c>
      <c r="O454" t="n">
        <v>0</v>
      </c>
      <c r="P454" t="n">
        <v>0</v>
      </c>
      <c r="Q454" t="n">
        <v>0</v>
      </c>
      <c r="R454" s="2" t="inlineStr"/>
    </row>
    <row r="455" ht="15" customHeight="1">
      <c r="A455" t="inlineStr">
        <is>
          <t>A 56702-2023</t>
        </is>
      </c>
      <c r="B455" s="1" t="n">
        <v>45243</v>
      </c>
      <c r="C455" s="1" t="n">
        <v>45994</v>
      </c>
      <c r="D455" t="inlineStr">
        <is>
          <t>JÄMTLANDS LÄN</t>
        </is>
      </c>
      <c r="E455" t="inlineStr">
        <is>
          <t>RAGUNDA</t>
        </is>
      </c>
      <c r="F455" t="inlineStr">
        <is>
          <t>SCA</t>
        </is>
      </c>
      <c r="G455" t="n">
        <v>10.3</v>
      </c>
      <c r="H455" t="n">
        <v>0</v>
      </c>
      <c r="I455" t="n">
        <v>0</v>
      </c>
      <c r="J455" t="n">
        <v>0</v>
      </c>
      <c r="K455" t="n">
        <v>0</v>
      </c>
      <c r="L455" t="n">
        <v>0</v>
      </c>
      <c r="M455" t="n">
        <v>0</v>
      </c>
      <c r="N455" t="n">
        <v>0</v>
      </c>
      <c r="O455" t="n">
        <v>0</v>
      </c>
      <c r="P455" t="n">
        <v>0</v>
      </c>
      <c r="Q455" t="n">
        <v>0</v>
      </c>
      <c r="R455" s="2" t="inlineStr"/>
    </row>
    <row r="456" ht="15" customHeight="1">
      <c r="A456" t="inlineStr">
        <is>
          <t>A 2339-2025</t>
        </is>
      </c>
      <c r="B456" s="1" t="n">
        <v>45673.66358796296</v>
      </c>
      <c r="C456" s="1" t="n">
        <v>45994</v>
      </c>
      <c r="D456" t="inlineStr">
        <is>
          <t>JÄMTLANDS LÄN</t>
        </is>
      </c>
      <c r="E456" t="inlineStr">
        <is>
          <t>RAGUNDA</t>
        </is>
      </c>
      <c r="G456" t="n">
        <v>5</v>
      </c>
      <c r="H456" t="n">
        <v>0</v>
      </c>
      <c r="I456" t="n">
        <v>0</v>
      </c>
      <c r="J456" t="n">
        <v>0</v>
      </c>
      <c r="K456" t="n">
        <v>0</v>
      </c>
      <c r="L456" t="n">
        <v>0</v>
      </c>
      <c r="M456" t="n">
        <v>0</v>
      </c>
      <c r="N456" t="n">
        <v>0</v>
      </c>
      <c r="O456" t="n">
        <v>0</v>
      </c>
      <c r="P456" t="n">
        <v>0</v>
      </c>
      <c r="Q456" t="n">
        <v>0</v>
      </c>
      <c r="R456" s="2" t="inlineStr"/>
    </row>
    <row r="457" ht="15" customHeight="1">
      <c r="A457" t="inlineStr">
        <is>
          <t>A 27499-2024</t>
        </is>
      </c>
      <c r="B457" s="1" t="n">
        <v>45474.50608796296</v>
      </c>
      <c r="C457" s="1" t="n">
        <v>45994</v>
      </c>
      <c r="D457" t="inlineStr">
        <is>
          <t>JÄMTLANDS LÄN</t>
        </is>
      </c>
      <c r="E457" t="inlineStr">
        <is>
          <t>RAGUNDA</t>
        </is>
      </c>
      <c r="G457" t="n">
        <v>1.3</v>
      </c>
      <c r="H457" t="n">
        <v>0</v>
      </c>
      <c r="I457" t="n">
        <v>0</v>
      </c>
      <c r="J457" t="n">
        <v>0</v>
      </c>
      <c r="K457" t="n">
        <v>0</v>
      </c>
      <c r="L457" t="n">
        <v>0</v>
      </c>
      <c r="M457" t="n">
        <v>0</v>
      </c>
      <c r="N457" t="n">
        <v>0</v>
      </c>
      <c r="O457" t="n">
        <v>0</v>
      </c>
      <c r="P457" t="n">
        <v>0</v>
      </c>
      <c r="Q457" t="n">
        <v>0</v>
      </c>
      <c r="R457" s="2" t="inlineStr"/>
    </row>
    <row r="458" ht="15" customHeight="1">
      <c r="A458" t="inlineStr">
        <is>
          <t>A 57078-2023</t>
        </is>
      </c>
      <c r="B458" s="1" t="n">
        <v>45244.96774305555</v>
      </c>
      <c r="C458" s="1" t="n">
        <v>45994</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32259-2024</t>
        </is>
      </c>
      <c r="B459" s="1" t="n">
        <v>45511</v>
      </c>
      <c r="C459" s="1" t="n">
        <v>45994</v>
      </c>
      <c r="D459" t="inlineStr">
        <is>
          <t>JÄMTLANDS LÄN</t>
        </is>
      </c>
      <c r="E459" t="inlineStr">
        <is>
          <t>RAGUNDA</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59368-2022</t>
        </is>
      </c>
      <c r="B460" s="1" t="n">
        <v>44904.94824074074</v>
      </c>
      <c r="C460" s="1" t="n">
        <v>45994</v>
      </c>
      <c r="D460" t="inlineStr">
        <is>
          <t>JÄMTLANDS LÄN</t>
        </is>
      </c>
      <c r="E460" t="inlineStr">
        <is>
          <t>RAGUNDA</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13276-2025</t>
        </is>
      </c>
      <c r="B461" s="1" t="n">
        <v>45735.5517824074</v>
      </c>
      <c r="C461" s="1" t="n">
        <v>45994</v>
      </c>
      <c r="D461" t="inlineStr">
        <is>
          <t>JÄMTLANDS LÄN</t>
        </is>
      </c>
      <c r="E461" t="inlineStr">
        <is>
          <t>RAGUNDA</t>
        </is>
      </c>
      <c r="G461" t="n">
        <v>16.6</v>
      </c>
      <c r="H461" t="n">
        <v>0</v>
      </c>
      <c r="I461" t="n">
        <v>0</v>
      </c>
      <c r="J461" t="n">
        <v>0</v>
      </c>
      <c r="K461" t="n">
        <v>0</v>
      </c>
      <c r="L461" t="n">
        <v>0</v>
      </c>
      <c r="M461" t="n">
        <v>0</v>
      </c>
      <c r="N461" t="n">
        <v>0</v>
      </c>
      <c r="O461" t="n">
        <v>0</v>
      </c>
      <c r="P461" t="n">
        <v>0</v>
      </c>
      <c r="Q461" t="n">
        <v>0</v>
      </c>
      <c r="R461" s="2" t="inlineStr"/>
    </row>
    <row r="462" ht="15" customHeight="1">
      <c r="A462" t="inlineStr">
        <is>
          <t>A 16635-2025</t>
        </is>
      </c>
      <c r="B462" s="1" t="n">
        <v>45754</v>
      </c>
      <c r="C462" s="1" t="n">
        <v>45994</v>
      </c>
      <c r="D462" t="inlineStr">
        <is>
          <t>JÄMTLANDS LÄN</t>
        </is>
      </c>
      <c r="E462" t="inlineStr">
        <is>
          <t>RAGUNDA</t>
        </is>
      </c>
      <c r="F462" t="inlineStr">
        <is>
          <t>SCA</t>
        </is>
      </c>
      <c r="G462" t="n">
        <v>55.4</v>
      </c>
      <c r="H462" t="n">
        <v>0</v>
      </c>
      <c r="I462" t="n">
        <v>0</v>
      </c>
      <c r="J462" t="n">
        <v>0</v>
      </c>
      <c r="K462" t="n">
        <v>0</v>
      </c>
      <c r="L462" t="n">
        <v>0</v>
      </c>
      <c r="M462" t="n">
        <v>0</v>
      </c>
      <c r="N462" t="n">
        <v>0</v>
      </c>
      <c r="O462" t="n">
        <v>0</v>
      </c>
      <c r="P462" t="n">
        <v>0</v>
      </c>
      <c r="Q462" t="n">
        <v>0</v>
      </c>
      <c r="R462" s="2" t="inlineStr"/>
    </row>
    <row r="463" ht="15" customHeight="1">
      <c r="A463" t="inlineStr">
        <is>
          <t>A 4014-2022</t>
        </is>
      </c>
      <c r="B463" s="1" t="n">
        <v>44587.92144675926</v>
      </c>
      <c r="C463" s="1" t="n">
        <v>45994</v>
      </c>
      <c r="D463" t="inlineStr">
        <is>
          <t>JÄMTLANDS LÄN</t>
        </is>
      </c>
      <c r="E463" t="inlineStr">
        <is>
          <t>RAGUNDA</t>
        </is>
      </c>
      <c r="G463" t="n">
        <v>3.6</v>
      </c>
      <c r="H463" t="n">
        <v>0</v>
      </c>
      <c r="I463" t="n">
        <v>0</v>
      </c>
      <c r="J463" t="n">
        <v>0</v>
      </c>
      <c r="K463" t="n">
        <v>0</v>
      </c>
      <c r="L463" t="n">
        <v>0</v>
      </c>
      <c r="M463" t="n">
        <v>0</v>
      </c>
      <c r="N463" t="n">
        <v>0</v>
      </c>
      <c r="O463" t="n">
        <v>0</v>
      </c>
      <c r="P463" t="n">
        <v>0</v>
      </c>
      <c r="Q463" t="n">
        <v>0</v>
      </c>
      <c r="R463" s="2" t="inlineStr"/>
    </row>
    <row r="464" ht="15" customHeight="1">
      <c r="A464" t="inlineStr">
        <is>
          <t>A 6801-2023</t>
        </is>
      </c>
      <c r="B464" s="1" t="n">
        <v>44966.95328703704</v>
      </c>
      <c r="C464" s="1" t="n">
        <v>45994</v>
      </c>
      <c r="D464" t="inlineStr">
        <is>
          <t>JÄMTLANDS LÄN</t>
        </is>
      </c>
      <c r="E464" t="inlineStr">
        <is>
          <t>RAGUNDA</t>
        </is>
      </c>
      <c r="F464" t="inlineStr">
        <is>
          <t>SCA</t>
        </is>
      </c>
      <c r="G464" t="n">
        <v>10.6</v>
      </c>
      <c r="H464" t="n">
        <v>0</v>
      </c>
      <c r="I464" t="n">
        <v>0</v>
      </c>
      <c r="J464" t="n">
        <v>0</v>
      </c>
      <c r="K464" t="n">
        <v>0</v>
      </c>
      <c r="L464" t="n">
        <v>0</v>
      </c>
      <c r="M464" t="n">
        <v>0</v>
      </c>
      <c r="N464" t="n">
        <v>0</v>
      </c>
      <c r="O464" t="n">
        <v>0</v>
      </c>
      <c r="P464" t="n">
        <v>0</v>
      </c>
      <c r="Q464" t="n">
        <v>0</v>
      </c>
      <c r="R464" s="2" t="inlineStr"/>
    </row>
    <row r="465" ht="15" customHeight="1">
      <c r="A465" t="inlineStr">
        <is>
          <t>A 45335-2023</t>
        </is>
      </c>
      <c r="B465" s="1" t="n">
        <v>45191</v>
      </c>
      <c r="C465" s="1" t="n">
        <v>45994</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41656-2023</t>
        </is>
      </c>
      <c r="B466" s="1" t="n">
        <v>45175</v>
      </c>
      <c r="C466" s="1" t="n">
        <v>45994</v>
      </c>
      <c r="D466" t="inlineStr">
        <is>
          <t>JÄMTLANDS LÄN</t>
        </is>
      </c>
      <c r="E466" t="inlineStr">
        <is>
          <t>RAGUNDA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55487-2023</t>
        </is>
      </c>
      <c r="B467" s="1" t="n">
        <v>45238</v>
      </c>
      <c r="C467" s="1" t="n">
        <v>45994</v>
      </c>
      <c r="D467" t="inlineStr">
        <is>
          <t>JÄMTLANDS LÄN</t>
        </is>
      </c>
      <c r="E467" t="inlineStr">
        <is>
          <t>RAGUNDA</t>
        </is>
      </c>
      <c r="G467" t="n">
        <v>3</v>
      </c>
      <c r="H467" t="n">
        <v>0</v>
      </c>
      <c r="I467" t="n">
        <v>0</v>
      </c>
      <c r="J467" t="n">
        <v>0</v>
      </c>
      <c r="K467" t="n">
        <v>0</v>
      </c>
      <c r="L467" t="n">
        <v>0</v>
      </c>
      <c r="M467" t="n">
        <v>0</v>
      </c>
      <c r="N467" t="n">
        <v>0</v>
      </c>
      <c r="O467" t="n">
        <v>0</v>
      </c>
      <c r="P467" t="n">
        <v>0</v>
      </c>
      <c r="Q467" t="n">
        <v>0</v>
      </c>
      <c r="R467" s="2" t="inlineStr"/>
    </row>
    <row r="468" ht="15" customHeight="1">
      <c r="A468" t="inlineStr">
        <is>
          <t>A 5313-2025</t>
        </is>
      </c>
      <c r="B468" s="1" t="n">
        <v>45692.51069444444</v>
      </c>
      <c r="C468" s="1" t="n">
        <v>45994</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5357-2025</t>
        </is>
      </c>
      <c r="B469" s="1" t="n">
        <v>45692.57326388889</v>
      </c>
      <c r="C469" s="1" t="n">
        <v>45994</v>
      </c>
      <c r="D469" t="inlineStr">
        <is>
          <t>JÄMTLANDS LÄN</t>
        </is>
      </c>
      <c r="E469" t="inlineStr">
        <is>
          <t>RAGUNDA</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3018-2024</t>
        </is>
      </c>
      <c r="B470" s="1" t="n">
        <v>45315.9492824074</v>
      </c>
      <c r="C470" s="1" t="n">
        <v>45994</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18454-2021</t>
        </is>
      </c>
      <c r="B471" s="1" t="n">
        <v>44305.92047453704</v>
      </c>
      <c r="C471" s="1" t="n">
        <v>45994</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51646-2023</t>
        </is>
      </c>
      <c r="B472" s="1" t="n">
        <v>45215</v>
      </c>
      <c r="C472" s="1" t="n">
        <v>45994</v>
      </c>
      <c r="D472" t="inlineStr">
        <is>
          <t>JÄMTLANDS LÄN</t>
        </is>
      </c>
      <c r="E472" t="inlineStr">
        <is>
          <t>RAGUNDA</t>
        </is>
      </c>
      <c r="G472" t="n">
        <v>0.7</v>
      </c>
      <c r="H472" t="n">
        <v>0</v>
      </c>
      <c r="I472" t="n">
        <v>0</v>
      </c>
      <c r="J472" t="n">
        <v>0</v>
      </c>
      <c r="K472" t="n">
        <v>0</v>
      </c>
      <c r="L472" t="n">
        <v>0</v>
      </c>
      <c r="M472" t="n">
        <v>0</v>
      </c>
      <c r="N472" t="n">
        <v>0</v>
      </c>
      <c r="O472" t="n">
        <v>0</v>
      </c>
      <c r="P472" t="n">
        <v>0</v>
      </c>
      <c r="Q472" t="n">
        <v>0</v>
      </c>
      <c r="R472" s="2" t="inlineStr"/>
    </row>
    <row r="473" ht="15" customHeight="1">
      <c r="A473" t="inlineStr">
        <is>
          <t>A 44605-2024</t>
        </is>
      </c>
      <c r="B473" s="1" t="n">
        <v>45574.51185185185</v>
      </c>
      <c r="C473" s="1" t="n">
        <v>45994</v>
      </c>
      <c r="D473" t="inlineStr">
        <is>
          <t>JÄMTLANDS LÄN</t>
        </is>
      </c>
      <c r="E473" t="inlineStr">
        <is>
          <t>RAGUNDA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37268-2024</t>
        </is>
      </c>
      <c r="B474" s="1" t="n">
        <v>45540.38586805556</v>
      </c>
      <c r="C474" s="1" t="n">
        <v>45994</v>
      </c>
      <c r="D474" t="inlineStr">
        <is>
          <t>JÄMTLANDS LÄN</t>
        </is>
      </c>
      <c r="E474" t="inlineStr">
        <is>
          <t>RAGUNDA</t>
        </is>
      </c>
      <c r="F474" t="inlineStr">
        <is>
          <t>SCA</t>
        </is>
      </c>
      <c r="G474" t="n">
        <v>6.3</v>
      </c>
      <c r="H474" t="n">
        <v>0</v>
      </c>
      <c r="I474" t="n">
        <v>0</v>
      </c>
      <c r="J474" t="n">
        <v>0</v>
      </c>
      <c r="K474" t="n">
        <v>0</v>
      </c>
      <c r="L474" t="n">
        <v>0</v>
      </c>
      <c r="M474" t="n">
        <v>0</v>
      </c>
      <c r="N474" t="n">
        <v>0</v>
      </c>
      <c r="O474" t="n">
        <v>0</v>
      </c>
      <c r="P474" t="n">
        <v>0</v>
      </c>
      <c r="Q474" t="n">
        <v>0</v>
      </c>
      <c r="R474" s="2" t="inlineStr"/>
    </row>
    <row r="475" ht="15" customHeight="1">
      <c r="A475" t="inlineStr">
        <is>
          <t>A 20773-2024</t>
        </is>
      </c>
      <c r="B475" s="1" t="n">
        <v>45436.94636574074</v>
      </c>
      <c r="C475" s="1" t="n">
        <v>45994</v>
      </c>
      <c r="D475" t="inlineStr">
        <is>
          <t>JÄMTLANDS LÄN</t>
        </is>
      </c>
      <c r="E475" t="inlineStr">
        <is>
          <t>RAGUNDA</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34323-2023</t>
        </is>
      </c>
      <c r="B476" s="1" t="n">
        <v>45138.94925925926</v>
      </c>
      <c r="C476" s="1" t="n">
        <v>45994</v>
      </c>
      <c r="D476" t="inlineStr">
        <is>
          <t>JÄMTLANDS LÄN</t>
        </is>
      </c>
      <c r="E476" t="inlineStr">
        <is>
          <t>RAGUNDA</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1554-2024</t>
        </is>
      </c>
      <c r="B477" s="1" t="n">
        <v>45306</v>
      </c>
      <c r="C477" s="1" t="n">
        <v>45994</v>
      </c>
      <c r="D477" t="inlineStr">
        <is>
          <t>JÄMTLANDS LÄN</t>
        </is>
      </c>
      <c r="E477" t="inlineStr">
        <is>
          <t>RAGUNDA</t>
        </is>
      </c>
      <c r="G477" t="n">
        <v>4.3</v>
      </c>
      <c r="H477" t="n">
        <v>0</v>
      </c>
      <c r="I477" t="n">
        <v>0</v>
      </c>
      <c r="J477" t="n">
        <v>0</v>
      </c>
      <c r="K477" t="n">
        <v>0</v>
      </c>
      <c r="L477" t="n">
        <v>0</v>
      </c>
      <c r="M477" t="n">
        <v>0</v>
      </c>
      <c r="N477" t="n">
        <v>0</v>
      </c>
      <c r="O477" t="n">
        <v>0</v>
      </c>
      <c r="P477" t="n">
        <v>0</v>
      </c>
      <c r="Q477" t="n">
        <v>0</v>
      </c>
      <c r="R477" s="2" t="inlineStr"/>
    </row>
    <row r="478" ht="15" customHeight="1">
      <c r="A478" t="inlineStr">
        <is>
          <t>A 9360-2023</t>
        </is>
      </c>
      <c r="B478" s="1" t="n">
        <v>44980.93865740741</v>
      </c>
      <c r="C478" s="1" t="n">
        <v>45994</v>
      </c>
      <c r="D478" t="inlineStr">
        <is>
          <t>JÄMTLANDS LÄN</t>
        </is>
      </c>
      <c r="E478" t="inlineStr">
        <is>
          <t>RAGUNDA</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14512-2025</t>
        </is>
      </c>
      <c r="B479" s="1" t="n">
        <v>45741.63659722222</v>
      </c>
      <c r="C479" s="1" t="n">
        <v>45994</v>
      </c>
      <c r="D479" t="inlineStr">
        <is>
          <t>JÄMTLANDS LÄN</t>
        </is>
      </c>
      <c r="E479" t="inlineStr">
        <is>
          <t>RAGUNDA</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50486-2023</t>
        </is>
      </c>
      <c r="B480" s="1" t="n">
        <v>45216.92424768519</v>
      </c>
      <c r="C480" s="1" t="n">
        <v>45994</v>
      </c>
      <c r="D480" t="inlineStr">
        <is>
          <t>JÄMTLANDS LÄN</t>
        </is>
      </c>
      <c r="E480" t="inlineStr">
        <is>
          <t>RAGUNDA</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13767-2022</t>
        </is>
      </c>
      <c r="B481" s="1" t="n">
        <v>44649.47048611111</v>
      </c>
      <c r="C481" s="1" t="n">
        <v>45994</v>
      </c>
      <c r="D481" t="inlineStr">
        <is>
          <t>JÄMTLANDS LÄN</t>
        </is>
      </c>
      <c r="E481" t="inlineStr">
        <is>
          <t>RAGUNDA</t>
        </is>
      </c>
      <c r="F481" t="inlineStr">
        <is>
          <t>Kommuner</t>
        </is>
      </c>
      <c r="G481" t="n">
        <v>3.1</v>
      </c>
      <c r="H481" t="n">
        <v>0</v>
      </c>
      <c r="I481" t="n">
        <v>0</v>
      </c>
      <c r="J481" t="n">
        <v>0</v>
      </c>
      <c r="K481" t="n">
        <v>0</v>
      </c>
      <c r="L481" t="n">
        <v>0</v>
      </c>
      <c r="M481" t="n">
        <v>0</v>
      </c>
      <c r="N481" t="n">
        <v>0</v>
      </c>
      <c r="O481" t="n">
        <v>0</v>
      </c>
      <c r="P481" t="n">
        <v>0</v>
      </c>
      <c r="Q481" t="n">
        <v>0</v>
      </c>
      <c r="R481" s="2" t="inlineStr"/>
    </row>
    <row r="482" ht="15" customHeight="1">
      <c r="A482" t="inlineStr">
        <is>
          <t>A 51538-2022</t>
        </is>
      </c>
      <c r="B482" s="1" t="n">
        <v>44869</v>
      </c>
      <c r="C482" s="1" t="n">
        <v>45994</v>
      </c>
      <c r="D482" t="inlineStr">
        <is>
          <t>JÄMTLANDS LÄN</t>
        </is>
      </c>
      <c r="E482" t="inlineStr">
        <is>
          <t>RAGUNDA</t>
        </is>
      </c>
      <c r="G482" t="n">
        <v>6.8</v>
      </c>
      <c r="H482" t="n">
        <v>0</v>
      </c>
      <c r="I482" t="n">
        <v>0</v>
      </c>
      <c r="J482" t="n">
        <v>0</v>
      </c>
      <c r="K482" t="n">
        <v>0</v>
      </c>
      <c r="L482" t="n">
        <v>0</v>
      </c>
      <c r="M482" t="n">
        <v>0</v>
      </c>
      <c r="N482" t="n">
        <v>0</v>
      </c>
      <c r="O482" t="n">
        <v>0</v>
      </c>
      <c r="P482" t="n">
        <v>0</v>
      </c>
      <c r="Q482" t="n">
        <v>0</v>
      </c>
      <c r="R482" s="2" t="inlineStr"/>
    </row>
    <row r="483" ht="15" customHeight="1">
      <c r="A483" t="inlineStr">
        <is>
          <t>A 1308-2025</t>
        </is>
      </c>
      <c r="B483" s="1" t="n">
        <v>45667.55239583334</v>
      </c>
      <c r="C483" s="1" t="n">
        <v>45994</v>
      </c>
      <c r="D483" t="inlineStr">
        <is>
          <t>JÄMTLANDS LÄN</t>
        </is>
      </c>
      <c r="E483" t="inlineStr">
        <is>
          <t>RAGUNDA</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50649-2022</t>
        </is>
      </c>
      <c r="B484" s="1" t="n">
        <v>44866</v>
      </c>
      <c r="C484" s="1" t="n">
        <v>45994</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11252-2025</t>
        </is>
      </c>
      <c r="B485" s="1" t="n">
        <v>45726.38615740741</v>
      </c>
      <c r="C485" s="1" t="n">
        <v>45994</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19854-2025</t>
        </is>
      </c>
      <c r="B486" s="1" t="n">
        <v>45771.51074074074</v>
      </c>
      <c r="C486" s="1" t="n">
        <v>45994</v>
      </c>
      <c r="D486" t="inlineStr">
        <is>
          <t>JÄMTLANDS LÄN</t>
        </is>
      </c>
      <c r="E486" t="inlineStr">
        <is>
          <t>RAGUNDA</t>
        </is>
      </c>
      <c r="F486" t="inlineStr">
        <is>
          <t>SCA</t>
        </is>
      </c>
      <c r="G486" t="n">
        <v>8.4</v>
      </c>
      <c r="H486" t="n">
        <v>0</v>
      </c>
      <c r="I486" t="n">
        <v>0</v>
      </c>
      <c r="J486" t="n">
        <v>0</v>
      </c>
      <c r="K486" t="n">
        <v>0</v>
      </c>
      <c r="L486" t="n">
        <v>0</v>
      </c>
      <c r="M486" t="n">
        <v>0</v>
      </c>
      <c r="N486" t="n">
        <v>0</v>
      </c>
      <c r="O486" t="n">
        <v>0</v>
      </c>
      <c r="P486" t="n">
        <v>0</v>
      </c>
      <c r="Q486" t="n">
        <v>0</v>
      </c>
      <c r="R486" s="2" t="inlineStr"/>
    </row>
    <row r="487" ht="15" customHeight="1">
      <c r="A487" t="inlineStr">
        <is>
          <t>A 22569-2023</t>
        </is>
      </c>
      <c r="B487" s="1" t="n">
        <v>45069</v>
      </c>
      <c r="C487" s="1" t="n">
        <v>45994</v>
      </c>
      <c r="D487" t="inlineStr">
        <is>
          <t>JÄMTLANDS LÄN</t>
        </is>
      </c>
      <c r="E487" t="inlineStr">
        <is>
          <t>RAGUNDA</t>
        </is>
      </c>
      <c r="G487" t="n">
        <v>6.6</v>
      </c>
      <c r="H487" t="n">
        <v>0</v>
      </c>
      <c r="I487" t="n">
        <v>0</v>
      </c>
      <c r="J487" t="n">
        <v>0</v>
      </c>
      <c r="K487" t="n">
        <v>0</v>
      </c>
      <c r="L487" t="n">
        <v>0</v>
      </c>
      <c r="M487" t="n">
        <v>0</v>
      </c>
      <c r="N487" t="n">
        <v>0</v>
      </c>
      <c r="O487" t="n">
        <v>0</v>
      </c>
      <c r="P487" t="n">
        <v>0</v>
      </c>
      <c r="Q487" t="n">
        <v>0</v>
      </c>
      <c r="R487" s="2" t="inlineStr"/>
    </row>
    <row r="488" ht="15" customHeight="1">
      <c r="A488" t="inlineStr">
        <is>
          <t>A 59759-2024</t>
        </is>
      </c>
      <c r="B488" s="1" t="n">
        <v>45639.55240740741</v>
      </c>
      <c r="C488" s="1" t="n">
        <v>45994</v>
      </c>
      <c r="D488" t="inlineStr">
        <is>
          <t>JÄMTLANDS LÄN</t>
        </is>
      </c>
      <c r="E488" t="inlineStr">
        <is>
          <t>RAGUNDA</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35537-2021</t>
        </is>
      </c>
      <c r="B489" s="1" t="n">
        <v>44384</v>
      </c>
      <c r="C489" s="1" t="n">
        <v>45994</v>
      </c>
      <c r="D489" t="inlineStr">
        <is>
          <t>JÄMTLANDS LÄN</t>
        </is>
      </c>
      <c r="E489" t="inlineStr">
        <is>
          <t>RAGUNDA</t>
        </is>
      </c>
      <c r="G489" t="n">
        <v>3.1</v>
      </c>
      <c r="H489" t="n">
        <v>0</v>
      </c>
      <c r="I489" t="n">
        <v>0</v>
      </c>
      <c r="J489" t="n">
        <v>0</v>
      </c>
      <c r="K489" t="n">
        <v>0</v>
      </c>
      <c r="L489" t="n">
        <v>0</v>
      </c>
      <c r="M489" t="n">
        <v>0</v>
      </c>
      <c r="N489" t="n">
        <v>0</v>
      </c>
      <c r="O489" t="n">
        <v>0</v>
      </c>
      <c r="P489" t="n">
        <v>0</v>
      </c>
      <c r="Q489" t="n">
        <v>0</v>
      </c>
      <c r="R489" s="2" t="inlineStr"/>
    </row>
    <row r="490" ht="15" customHeight="1">
      <c r="A490" t="inlineStr">
        <is>
          <t>A 2819-2023</t>
        </is>
      </c>
      <c r="B490" s="1" t="n">
        <v>44944</v>
      </c>
      <c r="C490" s="1" t="n">
        <v>45994</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50503-2024</t>
        </is>
      </c>
      <c r="B491" s="1" t="n">
        <v>45601.5315625</v>
      </c>
      <c r="C491" s="1" t="n">
        <v>45994</v>
      </c>
      <c r="D491" t="inlineStr">
        <is>
          <t>JÄMTLANDS LÄN</t>
        </is>
      </c>
      <c r="E491" t="inlineStr">
        <is>
          <t>RAGUNDA</t>
        </is>
      </c>
      <c r="F491" t="inlineStr">
        <is>
          <t>SCA</t>
        </is>
      </c>
      <c r="G491" t="n">
        <v>5.2</v>
      </c>
      <c r="H491" t="n">
        <v>0</v>
      </c>
      <c r="I491" t="n">
        <v>0</v>
      </c>
      <c r="J491" t="n">
        <v>0</v>
      </c>
      <c r="K491" t="n">
        <v>0</v>
      </c>
      <c r="L491" t="n">
        <v>0</v>
      </c>
      <c r="M491" t="n">
        <v>0</v>
      </c>
      <c r="N491" t="n">
        <v>0</v>
      </c>
      <c r="O491" t="n">
        <v>0</v>
      </c>
      <c r="P491" t="n">
        <v>0</v>
      </c>
      <c r="Q491" t="n">
        <v>0</v>
      </c>
      <c r="R491" s="2" t="inlineStr"/>
    </row>
    <row r="492" ht="15" customHeight="1">
      <c r="A492" t="inlineStr">
        <is>
          <t>A 10610-2024</t>
        </is>
      </c>
      <c r="B492" s="1" t="n">
        <v>45367.04693287037</v>
      </c>
      <c r="C492" s="1" t="n">
        <v>45994</v>
      </c>
      <c r="D492" t="inlineStr">
        <is>
          <t>JÄMTLANDS LÄN</t>
        </is>
      </c>
      <c r="E492" t="inlineStr">
        <is>
          <t>RAGUNDA</t>
        </is>
      </c>
      <c r="F492" t="inlineStr">
        <is>
          <t>SCA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11048-2023</t>
        </is>
      </c>
      <c r="B493" s="1" t="n">
        <v>44991</v>
      </c>
      <c r="C493" s="1" t="n">
        <v>45994</v>
      </c>
      <c r="D493" t="inlineStr">
        <is>
          <t>JÄMTLANDS LÄN</t>
        </is>
      </c>
      <c r="E493" t="inlineStr">
        <is>
          <t>RAGUNDA</t>
        </is>
      </c>
      <c r="F493" t="inlineStr">
        <is>
          <t>SCA</t>
        </is>
      </c>
      <c r="G493" t="n">
        <v>13.5</v>
      </c>
      <c r="H493" t="n">
        <v>0</v>
      </c>
      <c r="I493" t="n">
        <v>0</v>
      </c>
      <c r="J493" t="n">
        <v>0</v>
      </c>
      <c r="K493" t="n">
        <v>0</v>
      </c>
      <c r="L493" t="n">
        <v>0</v>
      </c>
      <c r="M493" t="n">
        <v>0</v>
      </c>
      <c r="N493" t="n">
        <v>0</v>
      </c>
      <c r="O493" t="n">
        <v>0</v>
      </c>
      <c r="P493" t="n">
        <v>0</v>
      </c>
      <c r="Q493" t="n">
        <v>0</v>
      </c>
      <c r="R493" s="2" t="inlineStr"/>
    </row>
    <row r="494" ht="15" customHeight="1">
      <c r="A494" t="inlineStr">
        <is>
          <t>A 11062-2023</t>
        </is>
      </c>
      <c r="B494" s="1" t="n">
        <v>44991</v>
      </c>
      <c r="C494" s="1" t="n">
        <v>45994</v>
      </c>
      <c r="D494" t="inlineStr">
        <is>
          <t>JÄMTLANDS LÄN</t>
        </is>
      </c>
      <c r="E494" t="inlineStr">
        <is>
          <t>RAGUNDA</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44536-2022</t>
        </is>
      </c>
      <c r="B495" s="1" t="n">
        <v>44839</v>
      </c>
      <c r="C495" s="1" t="n">
        <v>45994</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57064-2024</t>
        </is>
      </c>
      <c r="B496" s="1" t="n">
        <v>45629.35326388889</v>
      </c>
      <c r="C496" s="1" t="n">
        <v>45994</v>
      </c>
      <c r="D496" t="inlineStr">
        <is>
          <t>JÄMTLANDS LÄN</t>
        </is>
      </c>
      <c r="E496" t="inlineStr">
        <is>
          <t>RAGUNDA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10706-2023</t>
        </is>
      </c>
      <c r="B497" s="1" t="n">
        <v>44984</v>
      </c>
      <c r="C497" s="1" t="n">
        <v>45994</v>
      </c>
      <c r="D497" t="inlineStr">
        <is>
          <t>JÄMTLANDS LÄN</t>
        </is>
      </c>
      <c r="E497" t="inlineStr">
        <is>
          <t>RAGUNDA</t>
        </is>
      </c>
      <c r="G497" t="n">
        <v>7.7</v>
      </c>
      <c r="H497" t="n">
        <v>0</v>
      </c>
      <c r="I497" t="n">
        <v>0</v>
      </c>
      <c r="J497" t="n">
        <v>0</v>
      </c>
      <c r="K497" t="n">
        <v>0</v>
      </c>
      <c r="L497" t="n">
        <v>0</v>
      </c>
      <c r="M497" t="n">
        <v>0</v>
      </c>
      <c r="N497" t="n">
        <v>0</v>
      </c>
      <c r="O497" t="n">
        <v>0</v>
      </c>
      <c r="P497" t="n">
        <v>0</v>
      </c>
      <c r="Q497" t="n">
        <v>0</v>
      </c>
      <c r="R497" s="2" t="inlineStr"/>
    </row>
    <row r="498" ht="15" customHeight="1">
      <c r="A498" t="inlineStr">
        <is>
          <t>A 55524-2024</t>
        </is>
      </c>
      <c r="B498" s="1" t="n">
        <v>45622.47435185185</v>
      </c>
      <c r="C498" s="1" t="n">
        <v>45994</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63708-2023</t>
        </is>
      </c>
      <c r="B499" s="1" t="n">
        <v>45275.95060185185</v>
      </c>
      <c r="C499" s="1" t="n">
        <v>45994</v>
      </c>
      <c r="D499" t="inlineStr">
        <is>
          <t>JÄMTLANDS LÄN</t>
        </is>
      </c>
      <c r="E499" t="inlineStr">
        <is>
          <t>RAGUNDA</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16250-2022</t>
        </is>
      </c>
      <c r="B500" s="1" t="n">
        <v>44670</v>
      </c>
      <c r="C500" s="1" t="n">
        <v>45994</v>
      </c>
      <c r="D500" t="inlineStr">
        <is>
          <t>JÄMTLANDS LÄN</t>
        </is>
      </c>
      <c r="E500" t="inlineStr">
        <is>
          <t>RAGUNDA</t>
        </is>
      </c>
      <c r="G500" t="n">
        <v>1</v>
      </c>
      <c r="H500" t="n">
        <v>0</v>
      </c>
      <c r="I500" t="n">
        <v>0</v>
      </c>
      <c r="J500" t="n">
        <v>0</v>
      </c>
      <c r="K500" t="n">
        <v>0</v>
      </c>
      <c r="L500" t="n">
        <v>0</v>
      </c>
      <c r="M500" t="n">
        <v>0</v>
      </c>
      <c r="N500" t="n">
        <v>0</v>
      </c>
      <c r="O500" t="n">
        <v>0</v>
      </c>
      <c r="P500" t="n">
        <v>0</v>
      </c>
      <c r="Q500" t="n">
        <v>0</v>
      </c>
      <c r="R500" s="2" t="inlineStr"/>
    </row>
    <row r="501" ht="15" customHeight="1">
      <c r="A501" t="inlineStr">
        <is>
          <t>A 25332-2023</t>
        </is>
      </c>
      <c r="B501" s="1" t="n">
        <v>45086.94010416666</v>
      </c>
      <c r="C501" s="1" t="n">
        <v>45994</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29920-2024</t>
        </is>
      </c>
      <c r="B502" s="1" t="n">
        <v>45487.92856481481</v>
      </c>
      <c r="C502" s="1" t="n">
        <v>45994</v>
      </c>
      <c r="D502" t="inlineStr">
        <is>
          <t>JÄMTLANDS LÄN</t>
        </is>
      </c>
      <c r="E502" t="inlineStr">
        <is>
          <t>RAGUNDA</t>
        </is>
      </c>
      <c r="G502" t="n">
        <v>3.4</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45994</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60663-2022</t>
        </is>
      </c>
      <c r="B504" s="1" t="n">
        <v>44911.93846064815</v>
      </c>
      <c r="C504" s="1" t="n">
        <v>45994</v>
      </c>
      <c r="D504" t="inlineStr">
        <is>
          <t>JÄMTLANDS LÄN</t>
        </is>
      </c>
      <c r="E504" t="inlineStr">
        <is>
          <t>RAGUNDA</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58847-2024</t>
        </is>
      </c>
      <c r="B505" s="1" t="n">
        <v>45636.3864699074</v>
      </c>
      <c r="C505" s="1" t="n">
        <v>45994</v>
      </c>
      <c r="D505" t="inlineStr">
        <is>
          <t>JÄMTLANDS LÄN</t>
        </is>
      </c>
      <c r="E505" t="inlineStr">
        <is>
          <t>RAGUNDA</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27777-2022</t>
        </is>
      </c>
      <c r="B506" s="1" t="n">
        <v>44743</v>
      </c>
      <c r="C506" s="1" t="n">
        <v>45994</v>
      </c>
      <c r="D506" t="inlineStr">
        <is>
          <t>JÄMTLANDS LÄN</t>
        </is>
      </c>
      <c r="E506" t="inlineStr">
        <is>
          <t>RAGUNDA</t>
        </is>
      </c>
      <c r="G506" t="n">
        <v>1.5</v>
      </c>
      <c r="H506" t="n">
        <v>0</v>
      </c>
      <c r="I506" t="n">
        <v>0</v>
      </c>
      <c r="J506" t="n">
        <v>0</v>
      </c>
      <c r="K506" t="n">
        <v>0</v>
      </c>
      <c r="L506" t="n">
        <v>0</v>
      </c>
      <c r="M506" t="n">
        <v>0</v>
      </c>
      <c r="N506" t="n">
        <v>0</v>
      </c>
      <c r="O506" t="n">
        <v>0</v>
      </c>
      <c r="P506" t="n">
        <v>0</v>
      </c>
      <c r="Q506" t="n">
        <v>0</v>
      </c>
      <c r="R506" s="2" t="inlineStr"/>
    </row>
    <row r="507" ht="15" customHeight="1">
      <c r="A507" t="inlineStr">
        <is>
          <t>A 3767-2025</t>
        </is>
      </c>
      <c r="B507" s="1" t="n">
        <v>45681.60203703704</v>
      </c>
      <c r="C507" s="1" t="n">
        <v>45994</v>
      </c>
      <c r="D507" t="inlineStr">
        <is>
          <t>JÄMTLANDS LÄN</t>
        </is>
      </c>
      <c r="E507" t="inlineStr">
        <is>
          <t>RAGUNDA</t>
        </is>
      </c>
      <c r="G507" t="n">
        <v>4.9</v>
      </c>
      <c r="H507" t="n">
        <v>0</v>
      </c>
      <c r="I507" t="n">
        <v>0</v>
      </c>
      <c r="J507" t="n">
        <v>0</v>
      </c>
      <c r="K507" t="n">
        <v>0</v>
      </c>
      <c r="L507" t="n">
        <v>0</v>
      </c>
      <c r="M507" t="n">
        <v>0</v>
      </c>
      <c r="N507" t="n">
        <v>0</v>
      </c>
      <c r="O507" t="n">
        <v>0</v>
      </c>
      <c r="P507" t="n">
        <v>0</v>
      </c>
      <c r="Q507" t="n">
        <v>0</v>
      </c>
      <c r="R507" s="2" t="inlineStr"/>
    </row>
    <row r="508" ht="15" customHeight="1">
      <c r="A508" t="inlineStr">
        <is>
          <t>A 7280-2024</t>
        </is>
      </c>
      <c r="B508" s="1" t="n">
        <v>45344</v>
      </c>
      <c r="C508" s="1" t="n">
        <v>45994</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42875-2024</t>
        </is>
      </c>
      <c r="B509" s="1" t="n">
        <v>45566.68125</v>
      </c>
      <c r="C509" s="1" t="n">
        <v>45994</v>
      </c>
      <c r="D509" t="inlineStr">
        <is>
          <t>JÄMTLANDS LÄN</t>
        </is>
      </c>
      <c r="E509" t="inlineStr">
        <is>
          <t>RAGUNDA</t>
        </is>
      </c>
      <c r="G509" t="n">
        <v>0.5</v>
      </c>
      <c r="H509" t="n">
        <v>0</v>
      </c>
      <c r="I509" t="n">
        <v>0</v>
      </c>
      <c r="J509" t="n">
        <v>0</v>
      </c>
      <c r="K509" t="n">
        <v>0</v>
      </c>
      <c r="L509" t="n">
        <v>0</v>
      </c>
      <c r="M509" t="n">
        <v>0</v>
      </c>
      <c r="N509" t="n">
        <v>0</v>
      </c>
      <c r="O509" t="n">
        <v>0</v>
      </c>
      <c r="P509" t="n">
        <v>0</v>
      </c>
      <c r="Q509" t="n">
        <v>0</v>
      </c>
      <c r="R509" s="2" t="inlineStr"/>
    </row>
    <row r="510" ht="15" customHeight="1">
      <c r="A510" t="inlineStr">
        <is>
          <t>A 44778-2024</t>
        </is>
      </c>
      <c r="B510" s="1" t="n">
        <v>45574.63355324074</v>
      </c>
      <c r="C510" s="1" t="n">
        <v>45994</v>
      </c>
      <c r="D510" t="inlineStr">
        <is>
          <t>JÄMTLANDS LÄN</t>
        </is>
      </c>
      <c r="E510" t="inlineStr">
        <is>
          <t>RAGUNDA</t>
        </is>
      </c>
      <c r="G510" t="n">
        <v>5.5</v>
      </c>
      <c r="H510" t="n">
        <v>0</v>
      </c>
      <c r="I510" t="n">
        <v>0</v>
      </c>
      <c r="J510" t="n">
        <v>0</v>
      </c>
      <c r="K510" t="n">
        <v>0</v>
      </c>
      <c r="L510" t="n">
        <v>0</v>
      </c>
      <c r="M510" t="n">
        <v>0</v>
      </c>
      <c r="N510" t="n">
        <v>0</v>
      </c>
      <c r="O510" t="n">
        <v>0</v>
      </c>
      <c r="P510" t="n">
        <v>0</v>
      </c>
      <c r="Q510" t="n">
        <v>0</v>
      </c>
      <c r="R510" s="2" t="inlineStr"/>
    </row>
    <row r="511" ht="15" customHeight="1">
      <c r="A511" t="inlineStr">
        <is>
          <t>A 37543-2023</t>
        </is>
      </c>
      <c r="B511" s="1" t="n">
        <v>45158.94231481481</v>
      </c>
      <c r="C511" s="1" t="n">
        <v>45994</v>
      </c>
      <c r="D511" t="inlineStr">
        <is>
          <t>JÄMTLANDS LÄN</t>
        </is>
      </c>
      <c r="E511" t="inlineStr">
        <is>
          <t>RAGUNDA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2673-2024</t>
        </is>
      </c>
      <c r="B512" s="1" t="n">
        <v>45314</v>
      </c>
      <c r="C512" s="1" t="n">
        <v>45994</v>
      </c>
      <c r="D512" t="inlineStr">
        <is>
          <t>JÄMTLANDS LÄN</t>
        </is>
      </c>
      <c r="E512" t="inlineStr">
        <is>
          <t>RAGUNDA</t>
        </is>
      </c>
      <c r="G512" t="n">
        <v>0.9</v>
      </c>
      <c r="H512" t="n">
        <v>0</v>
      </c>
      <c r="I512" t="n">
        <v>0</v>
      </c>
      <c r="J512" t="n">
        <v>0</v>
      </c>
      <c r="K512" t="n">
        <v>0</v>
      </c>
      <c r="L512" t="n">
        <v>0</v>
      </c>
      <c r="M512" t="n">
        <v>0</v>
      </c>
      <c r="N512" t="n">
        <v>0</v>
      </c>
      <c r="O512" t="n">
        <v>0</v>
      </c>
      <c r="P512" t="n">
        <v>0</v>
      </c>
      <c r="Q512" t="n">
        <v>0</v>
      </c>
      <c r="R512" s="2" t="inlineStr"/>
    </row>
    <row r="513" ht="15" customHeight="1">
      <c r="A513" t="inlineStr">
        <is>
          <t>A 64492-2023</t>
        </is>
      </c>
      <c r="B513" s="1" t="n">
        <v>45280.92645833334</v>
      </c>
      <c r="C513" s="1" t="n">
        <v>45994</v>
      </c>
      <c r="D513" t="inlineStr">
        <is>
          <t>JÄMTLANDS LÄN</t>
        </is>
      </c>
      <c r="E513" t="inlineStr">
        <is>
          <t>RAGUNDA</t>
        </is>
      </c>
      <c r="G513" t="n">
        <v>0.6</v>
      </c>
      <c r="H513" t="n">
        <v>0</v>
      </c>
      <c r="I513" t="n">
        <v>0</v>
      </c>
      <c r="J513" t="n">
        <v>0</v>
      </c>
      <c r="K513" t="n">
        <v>0</v>
      </c>
      <c r="L513" t="n">
        <v>0</v>
      </c>
      <c r="M513" t="n">
        <v>0</v>
      </c>
      <c r="N513" t="n">
        <v>0</v>
      </c>
      <c r="O513" t="n">
        <v>0</v>
      </c>
      <c r="P513" t="n">
        <v>0</v>
      </c>
      <c r="Q513" t="n">
        <v>0</v>
      </c>
      <c r="R513" s="2" t="inlineStr"/>
    </row>
    <row r="514" ht="15" customHeight="1">
      <c r="A514" t="inlineStr">
        <is>
          <t>A 53935-2022</t>
        </is>
      </c>
      <c r="B514" s="1" t="n">
        <v>44880</v>
      </c>
      <c r="C514" s="1" t="n">
        <v>45994</v>
      </c>
      <c r="D514" t="inlineStr">
        <is>
          <t>JÄMTLANDS LÄN</t>
        </is>
      </c>
      <c r="E514" t="inlineStr">
        <is>
          <t>RAGUNDA</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14368-2024</t>
        </is>
      </c>
      <c r="B515" s="1" t="n">
        <v>45393.94431712963</v>
      </c>
      <c r="C515" s="1" t="n">
        <v>45994</v>
      </c>
      <c r="D515" t="inlineStr">
        <is>
          <t>JÄMTLANDS LÄN</t>
        </is>
      </c>
      <c r="E515" t="inlineStr">
        <is>
          <t>RAGUNDA</t>
        </is>
      </c>
      <c r="F515" t="inlineStr">
        <is>
          <t>Naturvårdsverket</t>
        </is>
      </c>
      <c r="G515" t="n">
        <v>1.6</v>
      </c>
      <c r="H515" t="n">
        <v>0</v>
      </c>
      <c r="I515" t="n">
        <v>0</v>
      </c>
      <c r="J515" t="n">
        <v>0</v>
      </c>
      <c r="K515" t="n">
        <v>0</v>
      </c>
      <c r="L515" t="n">
        <v>0</v>
      </c>
      <c r="M515" t="n">
        <v>0</v>
      </c>
      <c r="N515" t="n">
        <v>0</v>
      </c>
      <c r="O515" t="n">
        <v>0</v>
      </c>
      <c r="P515" t="n">
        <v>0</v>
      </c>
      <c r="Q515" t="n">
        <v>0</v>
      </c>
      <c r="R515" s="2" t="inlineStr"/>
    </row>
    <row r="516" ht="15" customHeight="1">
      <c r="A516" t="inlineStr">
        <is>
          <t>A 38782-2021</t>
        </is>
      </c>
      <c r="B516" s="1" t="n">
        <v>44410</v>
      </c>
      <c r="C516" s="1" t="n">
        <v>45994</v>
      </c>
      <c r="D516" t="inlineStr">
        <is>
          <t>JÄMTLANDS LÄN</t>
        </is>
      </c>
      <c r="E516" t="inlineStr">
        <is>
          <t>RAGUNDA</t>
        </is>
      </c>
      <c r="G516" t="n">
        <v>3.2</v>
      </c>
      <c r="H516" t="n">
        <v>0</v>
      </c>
      <c r="I516" t="n">
        <v>0</v>
      </c>
      <c r="J516" t="n">
        <v>0</v>
      </c>
      <c r="K516" t="n">
        <v>0</v>
      </c>
      <c r="L516" t="n">
        <v>0</v>
      </c>
      <c r="M516" t="n">
        <v>0</v>
      </c>
      <c r="N516" t="n">
        <v>0</v>
      </c>
      <c r="O516" t="n">
        <v>0</v>
      </c>
      <c r="P516" t="n">
        <v>0</v>
      </c>
      <c r="Q516" t="n">
        <v>0</v>
      </c>
      <c r="R516" s="2" t="inlineStr"/>
    </row>
    <row r="517" ht="15" customHeight="1">
      <c r="A517" t="inlineStr">
        <is>
          <t>A 7668-2025</t>
        </is>
      </c>
      <c r="B517" s="1" t="n">
        <v>45706.34450231482</v>
      </c>
      <c r="C517" s="1" t="n">
        <v>45994</v>
      </c>
      <c r="D517" t="inlineStr">
        <is>
          <t>JÄMTLANDS LÄN</t>
        </is>
      </c>
      <c r="E517" t="inlineStr">
        <is>
          <t>RAGUNDA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41262-2021</t>
        </is>
      </c>
      <c r="B518" s="1" t="n">
        <v>44424</v>
      </c>
      <c r="C518" s="1" t="n">
        <v>45994</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36046-2023</t>
        </is>
      </c>
      <c r="B519" s="1" t="n">
        <v>45148</v>
      </c>
      <c r="C519" s="1" t="n">
        <v>45994</v>
      </c>
      <c r="D519" t="inlineStr">
        <is>
          <t>JÄMTLANDS LÄN</t>
        </is>
      </c>
      <c r="E519" t="inlineStr">
        <is>
          <t>RAGUNDA</t>
        </is>
      </c>
      <c r="G519" t="n">
        <v>1.9</v>
      </c>
      <c r="H519" t="n">
        <v>0</v>
      </c>
      <c r="I519" t="n">
        <v>0</v>
      </c>
      <c r="J519" t="n">
        <v>0</v>
      </c>
      <c r="K519" t="n">
        <v>0</v>
      </c>
      <c r="L519" t="n">
        <v>0</v>
      </c>
      <c r="M519" t="n">
        <v>0</v>
      </c>
      <c r="N519" t="n">
        <v>0</v>
      </c>
      <c r="O519" t="n">
        <v>0</v>
      </c>
      <c r="P519" t="n">
        <v>0</v>
      </c>
      <c r="Q519" t="n">
        <v>0</v>
      </c>
      <c r="R519" s="2" t="inlineStr"/>
    </row>
    <row r="520" ht="15" customHeight="1">
      <c r="A520" t="inlineStr">
        <is>
          <t>A 20221-2025</t>
        </is>
      </c>
      <c r="B520" s="1" t="n">
        <v>45772.6565625</v>
      </c>
      <c r="C520" s="1" t="n">
        <v>45994</v>
      </c>
      <c r="D520" t="inlineStr">
        <is>
          <t>JÄMTLANDS LÄN</t>
        </is>
      </c>
      <c r="E520" t="inlineStr">
        <is>
          <t>RAGUNDA</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12783-2023</t>
        </is>
      </c>
      <c r="B521" s="1" t="n">
        <v>45000</v>
      </c>
      <c r="C521" s="1" t="n">
        <v>45994</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20728-2025</t>
        </is>
      </c>
      <c r="B522" s="1" t="n">
        <v>45776.51130787037</v>
      </c>
      <c r="C522" s="1" t="n">
        <v>45994</v>
      </c>
      <c r="D522" t="inlineStr">
        <is>
          <t>JÄMTLANDS LÄN</t>
        </is>
      </c>
      <c r="E522" t="inlineStr">
        <is>
          <t>RAGUNDA</t>
        </is>
      </c>
      <c r="F522" t="inlineStr">
        <is>
          <t>Kommuner</t>
        </is>
      </c>
      <c r="G522" t="n">
        <v>1.1</v>
      </c>
      <c r="H522" t="n">
        <v>0</v>
      </c>
      <c r="I522" t="n">
        <v>0</v>
      </c>
      <c r="J522" t="n">
        <v>0</v>
      </c>
      <c r="K522" t="n">
        <v>0</v>
      </c>
      <c r="L522" t="n">
        <v>0</v>
      </c>
      <c r="M522" t="n">
        <v>0</v>
      </c>
      <c r="N522" t="n">
        <v>0</v>
      </c>
      <c r="O522" t="n">
        <v>0</v>
      </c>
      <c r="P522" t="n">
        <v>0</v>
      </c>
      <c r="Q522" t="n">
        <v>0</v>
      </c>
      <c r="R522" s="2" t="inlineStr"/>
    </row>
    <row r="523" ht="15" customHeight="1">
      <c r="A523" t="inlineStr">
        <is>
          <t>A 53171-2024</t>
        </is>
      </c>
      <c r="B523" s="1" t="n">
        <v>45611.65679398148</v>
      </c>
      <c r="C523" s="1" t="n">
        <v>45994</v>
      </c>
      <c r="D523" t="inlineStr">
        <is>
          <t>JÄMTLANDS LÄN</t>
        </is>
      </c>
      <c r="E523" t="inlineStr">
        <is>
          <t>RAGUNDA</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7279-2024</t>
        </is>
      </c>
      <c r="B524" s="1" t="n">
        <v>45344.92822916667</v>
      </c>
      <c r="C524" s="1" t="n">
        <v>45994</v>
      </c>
      <c r="D524" t="inlineStr">
        <is>
          <t>JÄMTLANDS LÄN</t>
        </is>
      </c>
      <c r="E524" t="inlineStr">
        <is>
          <t>RAGUNDA</t>
        </is>
      </c>
      <c r="G524" t="n">
        <v>2.1</v>
      </c>
      <c r="H524" t="n">
        <v>0</v>
      </c>
      <c r="I524" t="n">
        <v>0</v>
      </c>
      <c r="J524" t="n">
        <v>0</v>
      </c>
      <c r="K524" t="n">
        <v>0</v>
      </c>
      <c r="L524" t="n">
        <v>0</v>
      </c>
      <c r="M524" t="n">
        <v>0</v>
      </c>
      <c r="N524" t="n">
        <v>0</v>
      </c>
      <c r="O524" t="n">
        <v>0</v>
      </c>
      <c r="P524" t="n">
        <v>0</v>
      </c>
      <c r="Q524" t="n">
        <v>0</v>
      </c>
      <c r="R524" s="2" t="inlineStr"/>
    </row>
    <row r="525" ht="15" customHeight="1">
      <c r="A525" t="inlineStr">
        <is>
          <t>A 4015-2022</t>
        </is>
      </c>
      <c r="B525" s="1" t="n">
        <v>44587.92149305555</v>
      </c>
      <c r="C525" s="1" t="n">
        <v>45994</v>
      </c>
      <c r="D525" t="inlineStr">
        <is>
          <t>JÄMTLANDS LÄN</t>
        </is>
      </c>
      <c r="E525" t="inlineStr">
        <is>
          <t>RAGUNDA</t>
        </is>
      </c>
      <c r="G525" t="n">
        <v>3.9</v>
      </c>
      <c r="H525" t="n">
        <v>0</v>
      </c>
      <c r="I525" t="n">
        <v>0</v>
      </c>
      <c r="J525" t="n">
        <v>0</v>
      </c>
      <c r="K525" t="n">
        <v>0</v>
      </c>
      <c r="L525" t="n">
        <v>0</v>
      </c>
      <c r="M525" t="n">
        <v>0</v>
      </c>
      <c r="N525" t="n">
        <v>0</v>
      </c>
      <c r="O525" t="n">
        <v>0</v>
      </c>
      <c r="P525" t="n">
        <v>0</v>
      </c>
      <c r="Q525" t="n">
        <v>0</v>
      </c>
      <c r="R525" s="2" t="inlineStr"/>
    </row>
    <row r="526" ht="15" customHeight="1">
      <c r="A526" t="inlineStr">
        <is>
          <t>A 54599-2023</t>
        </is>
      </c>
      <c r="B526" s="1" t="n">
        <v>45233.92591435185</v>
      </c>
      <c r="C526" s="1" t="n">
        <v>45994</v>
      </c>
      <c r="D526" t="inlineStr">
        <is>
          <t>JÄMTLANDS LÄN</t>
        </is>
      </c>
      <c r="E526" t="inlineStr">
        <is>
          <t>RAGUNDA</t>
        </is>
      </c>
      <c r="G526" t="n">
        <v>3.7</v>
      </c>
      <c r="H526" t="n">
        <v>0</v>
      </c>
      <c r="I526" t="n">
        <v>0</v>
      </c>
      <c r="J526" t="n">
        <v>0</v>
      </c>
      <c r="K526" t="n">
        <v>0</v>
      </c>
      <c r="L526" t="n">
        <v>0</v>
      </c>
      <c r="M526" t="n">
        <v>0</v>
      </c>
      <c r="N526" t="n">
        <v>0</v>
      </c>
      <c r="O526" t="n">
        <v>0</v>
      </c>
      <c r="P526" t="n">
        <v>0</v>
      </c>
      <c r="Q526" t="n">
        <v>0</v>
      </c>
      <c r="R526" s="2" t="inlineStr"/>
    </row>
    <row r="527" ht="15" customHeight="1">
      <c r="A527" t="inlineStr">
        <is>
          <t>A 8416-2023</t>
        </is>
      </c>
      <c r="B527" s="1" t="n">
        <v>44977.44373842593</v>
      </c>
      <c r="C527" s="1" t="n">
        <v>45994</v>
      </c>
      <c r="D527" t="inlineStr">
        <is>
          <t>JÄMTLANDS LÄN</t>
        </is>
      </c>
      <c r="E527" t="inlineStr">
        <is>
          <t>RAGUNDA</t>
        </is>
      </c>
      <c r="G527" t="n">
        <v>0.7</v>
      </c>
      <c r="H527" t="n">
        <v>0</v>
      </c>
      <c r="I527" t="n">
        <v>0</v>
      </c>
      <c r="J527" t="n">
        <v>0</v>
      </c>
      <c r="K527" t="n">
        <v>0</v>
      </c>
      <c r="L527" t="n">
        <v>0</v>
      </c>
      <c r="M527" t="n">
        <v>0</v>
      </c>
      <c r="N527" t="n">
        <v>0</v>
      </c>
      <c r="O527" t="n">
        <v>0</v>
      </c>
      <c r="P527" t="n">
        <v>0</v>
      </c>
      <c r="Q527" t="n">
        <v>0</v>
      </c>
      <c r="R527" s="2" t="inlineStr"/>
    </row>
    <row r="528" ht="15" customHeight="1">
      <c r="A528" t="inlineStr">
        <is>
          <t>A 45253-2023</t>
        </is>
      </c>
      <c r="B528" s="1" t="n">
        <v>45187</v>
      </c>
      <c r="C528" s="1" t="n">
        <v>45994</v>
      </c>
      <c r="D528" t="inlineStr">
        <is>
          <t>JÄMTLANDS LÄN</t>
        </is>
      </c>
      <c r="E528" t="inlineStr">
        <is>
          <t>RAGUNDA</t>
        </is>
      </c>
      <c r="G528" t="n">
        <v>3.3</v>
      </c>
      <c r="H528" t="n">
        <v>0</v>
      </c>
      <c r="I528" t="n">
        <v>0</v>
      </c>
      <c r="J528" t="n">
        <v>0</v>
      </c>
      <c r="K528" t="n">
        <v>0</v>
      </c>
      <c r="L528" t="n">
        <v>0</v>
      </c>
      <c r="M528" t="n">
        <v>0</v>
      </c>
      <c r="N528" t="n">
        <v>0</v>
      </c>
      <c r="O528" t="n">
        <v>0</v>
      </c>
      <c r="P528" t="n">
        <v>0</v>
      </c>
      <c r="Q528" t="n">
        <v>0</v>
      </c>
      <c r="R528" s="2" t="inlineStr"/>
    </row>
    <row r="529" ht="15" customHeight="1">
      <c r="A529" t="inlineStr">
        <is>
          <t>A 8654-2024</t>
        </is>
      </c>
      <c r="B529" s="1" t="n">
        <v>45356.03784722222</v>
      </c>
      <c r="C529" s="1" t="n">
        <v>45994</v>
      </c>
      <c r="D529" t="inlineStr">
        <is>
          <t>JÄMTLANDS LÄN</t>
        </is>
      </c>
      <c r="E529" t="inlineStr">
        <is>
          <t>RAGUNDA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25304-2023</t>
        </is>
      </c>
      <c r="B530" s="1" t="n">
        <v>45086</v>
      </c>
      <c r="C530" s="1" t="n">
        <v>45994</v>
      </c>
      <c r="D530" t="inlineStr">
        <is>
          <t>JÄMTLANDS LÄN</t>
        </is>
      </c>
      <c r="E530" t="inlineStr">
        <is>
          <t>RAGUNDA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6902-2024</t>
        </is>
      </c>
      <c r="B531" s="1" t="n">
        <v>45342</v>
      </c>
      <c r="C531" s="1" t="n">
        <v>45994</v>
      </c>
      <c r="D531" t="inlineStr">
        <is>
          <t>JÄMTLANDS LÄN</t>
        </is>
      </c>
      <c r="E531" t="inlineStr">
        <is>
          <t>RAGUNDA</t>
        </is>
      </c>
      <c r="F531" t="inlineStr">
        <is>
          <t>SCA</t>
        </is>
      </c>
      <c r="G531" t="n">
        <v>18.7</v>
      </c>
      <c r="H531" t="n">
        <v>0</v>
      </c>
      <c r="I531" t="n">
        <v>0</v>
      </c>
      <c r="J531" t="n">
        <v>0</v>
      </c>
      <c r="K531" t="n">
        <v>0</v>
      </c>
      <c r="L531" t="n">
        <v>0</v>
      </c>
      <c r="M531" t="n">
        <v>0</v>
      </c>
      <c r="N531" t="n">
        <v>0</v>
      </c>
      <c r="O531" t="n">
        <v>0</v>
      </c>
      <c r="P531" t="n">
        <v>0</v>
      </c>
      <c r="Q531" t="n">
        <v>0</v>
      </c>
      <c r="R531" s="2" t="inlineStr"/>
    </row>
    <row r="532" ht="15" customHeight="1">
      <c r="A532" t="inlineStr">
        <is>
          <t>A 6905-2024</t>
        </is>
      </c>
      <c r="B532" s="1" t="n">
        <v>45342.9462037037</v>
      </c>
      <c r="C532" s="1" t="n">
        <v>45994</v>
      </c>
      <c r="D532" t="inlineStr">
        <is>
          <t>JÄMTLANDS LÄN</t>
        </is>
      </c>
      <c r="E532" t="inlineStr">
        <is>
          <t>RAGUNDA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14369-2024</t>
        </is>
      </c>
      <c r="B533" s="1" t="n">
        <v>45393.94459490741</v>
      </c>
      <c r="C533" s="1" t="n">
        <v>45994</v>
      </c>
      <c r="D533" t="inlineStr">
        <is>
          <t>JÄMTLANDS LÄN</t>
        </is>
      </c>
      <c r="E533" t="inlineStr">
        <is>
          <t>RAGUNDA</t>
        </is>
      </c>
      <c r="F533" t="inlineStr">
        <is>
          <t>Naturvårdsverket</t>
        </is>
      </c>
      <c r="G533" t="n">
        <v>1.8</v>
      </c>
      <c r="H533" t="n">
        <v>0</v>
      </c>
      <c r="I533" t="n">
        <v>0</v>
      </c>
      <c r="J533" t="n">
        <v>0</v>
      </c>
      <c r="K533" t="n">
        <v>0</v>
      </c>
      <c r="L533" t="n">
        <v>0</v>
      </c>
      <c r="M533" t="n">
        <v>0</v>
      </c>
      <c r="N533" t="n">
        <v>0</v>
      </c>
      <c r="O533" t="n">
        <v>0</v>
      </c>
      <c r="P533" t="n">
        <v>0</v>
      </c>
      <c r="Q533" t="n">
        <v>0</v>
      </c>
      <c r="R533" s="2" t="inlineStr"/>
    </row>
    <row r="534" ht="15" customHeight="1">
      <c r="A534" t="inlineStr">
        <is>
          <t>A 22731-2023</t>
        </is>
      </c>
      <c r="B534" s="1" t="n">
        <v>45071</v>
      </c>
      <c r="C534" s="1" t="n">
        <v>45994</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11245-2025</t>
        </is>
      </c>
      <c r="B535" s="1" t="n">
        <v>45726.38575231482</v>
      </c>
      <c r="C535" s="1" t="n">
        <v>45994</v>
      </c>
      <c r="D535" t="inlineStr">
        <is>
          <t>JÄMTLANDS LÄN</t>
        </is>
      </c>
      <c r="E535" t="inlineStr">
        <is>
          <t>RAGUNDA</t>
        </is>
      </c>
      <c r="G535" t="n">
        <v>2.3</v>
      </c>
      <c r="H535" t="n">
        <v>0</v>
      </c>
      <c r="I535" t="n">
        <v>0</v>
      </c>
      <c r="J535" t="n">
        <v>0</v>
      </c>
      <c r="K535" t="n">
        <v>0</v>
      </c>
      <c r="L535" t="n">
        <v>0</v>
      </c>
      <c r="M535" t="n">
        <v>0</v>
      </c>
      <c r="N535" t="n">
        <v>0</v>
      </c>
      <c r="O535" t="n">
        <v>0</v>
      </c>
      <c r="P535" t="n">
        <v>0</v>
      </c>
      <c r="Q535" t="n">
        <v>0</v>
      </c>
      <c r="R535" s="2" t="inlineStr"/>
    </row>
    <row r="536" ht="15" customHeight="1">
      <c r="A536" t="inlineStr">
        <is>
          <t>A 61923-2024</t>
        </is>
      </c>
      <c r="B536" s="1" t="n">
        <v>45653.44836805556</v>
      </c>
      <c r="C536" s="1" t="n">
        <v>45994</v>
      </c>
      <c r="D536" t="inlineStr">
        <is>
          <t>JÄMTLANDS LÄN</t>
        </is>
      </c>
      <c r="E536" t="inlineStr">
        <is>
          <t>RAGUNDA</t>
        </is>
      </c>
      <c r="F536" t="inlineStr">
        <is>
          <t>SCA</t>
        </is>
      </c>
      <c r="G536" t="n">
        <v>11.1</v>
      </c>
      <c r="H536" t="n">
        <v>0</v>
      </c>
      <c r="I536" t="n">
        <v>0</v>
      </c>
      <c r="J536" t="n">
        <v>0</v>
      </c>
      <c r="K536" t="n">
        <v>0</v>
      </c>
      <c r="L536" t="n">
        <v>0</v>
      </c>
      <c r="M536" t="n">
        <v>0</v>
      </c>
      <c r="N536" t="n">
        <v>0</v>
      </c>
      <c r="O536" t="n">
        <v>0</v>
      </c>
      <c r="P536" t="n">
        <v>0</v>
      </c>
      <c r="Q536" t="n">
        <v>0</v>
      </c>
      <c r="R536" s="2" t="inlineStr"/>
    </row>
    <row r="537" ht="15" customHeight="1">
      <c r="A537" t="inlineStr">
        <is>
          <t>A 23567-2024</t>
        </is>
      </c>
      <c r="B537" s="1" t="n">
        <v>45453.95538194444</v>
      </c>
      <c r="C537" s="1" t="n">
        <v>45994</v>
      </c>
      <c r="D537" t="inlineStr">
        <is>
          <t>JÄMTLANDS LÄN</t>
        </is>
      </c>
      <c r="E537" t="inlineStr">
        <is>
          <t>RAGUNDA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19246-2023</t>
        </is>
      </c>
      <c r="B538" s="1" t="n">
        <v>45048.94340277778</v>
      </c>
      <c r="C538" s="1" t="n">
        <v>45994</v>
      </c>
      <c r="D538" t="inlineStr">
        <is>
          <t>JÄMTLANDS LÄN</t>
        </is>
      </c>
      <c r="E538" t="inlineStr">
        <is>
          <t>RAGUNDA</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12660-2024</t>
        </is>
      </c>
      <c r="B539" s="1" t="n">
        <v>45384</v>
      </c>
      <c r="C539" s="1" t="n">
        <v>45994</v>
      </c>
      <c r="D539" t="inlineStr">
        <is>
          <t>JÄMTLANDS LÄN</t>
        </is>
      </c>
      <c r="E539" t="inlineStr">
        <is>
          <t>RAGUNDA</t>
        </is>
      </c>
      <c r="G539" t="n">
        <v>1.3</v>
      </c>
      <c r="H539" t="n">
        <v>0</v>
      </c>
      <c r="I539" t="n">
        <v>0</v>
      </c>
      <c r="J539" t="n">
        <v>0</v>
      </c>
      <c r="K539" t="n">
        <v>0</v>
      </c>
      <c r="L539" t="n">
        <v>0</v>
      </c>
      <c r="M539" t="n">
        <v>0</v>
      </c>
      <c r="N539" t="n">
        <v>0</v>
      </c>
      <c r="O539" t="n">
        <v>0</v>
      </c>
      <c r="P539" t="n">
        <v>0</v>
      </c>
      <c r="Q539" t="n">
        <v>0</v>
      </c>
      <c r="R539" s="2" t="inlineStr"/>
    </row>
    <row r="540" ht="15" customHeight="1">
      <c r="A540" t="inlineStr">
        <is>
          <t>A 61109-2024</t>
        </is>
      </c>
      <c r="B540" s="1" t="n">
        <v>45645.55672453704</v>
      </c>
      <c r="C540" s="1" t="n">
        <v>45994</v>
      </c>
      <c r="D540" t="inlineStr">
        <is>
          <t>JÄMTLANDS LÄN</t>
        </is>
      </c>
      <c r="E540" t="inlineStr">
        <is>
          <t>RAGUNDA</t>
        </is>
      </c>
      <c r="G540" t="n">
        <v>4</v>
      </c>
      <c r="H540" t="n">
        <v>0</v>
      </c>
      <c r="I540" t="n">
        <v>0</v>
      </c>
      <c r="J540" t="n">
        <v>0</v>
      </c>
      <c r="K540" t="n">
        <v>0</v>
      </c>
      <c r="L540" t="n">
        <v>0</v>
      </c>
      <c r="M540" t="n">
        <v>0</v>
      </c>
      <c r="N540" t="n">
        <v>0</v>
      </c>
      <c r="O540" t="n">
        <v>0</v>
      </c>
      <c r="P540" t="n">
        <v>0</v>
      </c>
      <c r="Q540" t="n">
        <v>0</v>
      </c>
      <c r="R540" s="2" t="inlineStr"/>
    </row>
    <row r="541" ht="15" customHeight="1">
      <c r="A541" t="inlineStr">
        <is>
          <t>A 55649-2023</t>
        </is>
      </c>
      <c r="B541" s="1" t="n">
        <v>45238</v>
      </c>
      <c r="C541" s="1" t="n">
        <v>45994</v>
      </c>
      <c r="D541" t="inlineStr">
        <is>
          <t>JÄMTLANDS LÄN</t>
        </is>
      </c>
      <c r="E541" t="inlineStr">
        <is>
          <t>RAGUNDA</t>
        </is>
      </c>
      <c r="F541" t="inlineStr">
        <is>
          <t>SCA</t>
        </is>
      </c>
      <c r="G541" t="n">
        <v>6</v>
      </c>
      <c r="H541" t="n">
        <v>0</v>
      </c>
      <c r="I541" t="n">
        <v>0</v>
      </c>
      <c r="J541" t="n">
        <v>0</v>
      </c>
      <c r="K541" t="n">
        <v>0</v>
      </c>
      <c r="L541" t="n">
        <v>0</v>
      </c>
      <c r="M541" t="n">
        <v>0</v>
      </c>
      <c r="N541" t="n">
        <v>0</v>
      </c>
      <c r="O541" t="n">
        <v>0</v>
      </c>
      <c r="P541" t="n">
        <v>0</v>
      </c>
      <c r="Q541" t="n">
        <v>0</v>
      </c>
      <c r="R541" s="2" t="inlineStr"/>
    </row>
    <row r="542" ht="15" customHeight="1">
      <c r="A542" t="inlineStr">
        <is>
          <t>A 58955-2024</t>
        </is>
      </c>
      <c r="B542" s="1" t="n">
        <v>45636.57329861111</v>
      </c>
      <c r="C542" s="1" t="n">
        <v>45994</v>
      </c>
      <c r="D542" t="inlineStr">
        <is>
          <t>JÄMTLANDS LÄN</t>
        </is>
      </c>
      <c r="E542" t="inlineStr">
        <is>
          <t>RAGUNDA</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33877-2023</t>
        </is>
      </c>
      <c r="B543" s="1" t="n">
        <v>45133</v>
      </c>
      <c r="C543" s="1" t="n">
        <v>45994</v>
      </c>
      <c r="D543" t="inlineStr">
        <is>
          <t>JÄMTLANDS LÄN</t>
        </is>
      </c>
      <c r="E543" t="inlineStr">
        <is>
          <t>RAGUNDA</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182-2023</t>
        </is>
      </c>
      <c r="B544" s="1" t="n">
        <v>44922</v>
      </c>
      <c r="C544" s="1" t="n">
        <v>45994</v>
      </c>
      <c r="D544" t="inlineStr">
        <is>
          <t>JÄMTLANDS LÄN</t>
        </is>
      </c>
      <c r="E544" t="inlineStr">
        <is>
          <t>RAGUNDA</t>
        </is>
      </c>
      <c r="G544" t="n">
        <v>1.4</v>
      </c>
      <c r="H544" t="n">
        <v>0</v>
      </c>
      <c r="I544" t="n">
        <v>0</v>
      </c>
      <c r="J544" t="n">
        <v>0</v>
      </c>
      <c r="K544" t="n">
        <v>0</v>
      </c>
      <c r="L544" t="n">
        <v>0</v>
      </c>
      <c r="M544" t="n">
        <v>0</v>
      </c>
      <c r="N544" t="n">
        <v>0</v>
      </c>
      <c r="O544" t="n">
        <v>0</v>
      </c>
      <c r="P544" t="n">
        <v>0</v>
      </c>
      <c r="Q544" t="n">
        <v>0</v>
      </c>
      <c r="R544" s="2" t="inlineStr"/>
    </row>
    <row r="545" ht="15" customHeight="1">
      <c r="A545" t="inlineStr">
        <is>
          <t>A 12521-2023</t>
        </is>
      </c>
      <c r="B545" s="1" t="n">
        <v>45000</v>
      </c>
      <c r="C545" s="1" t="n">
        <v>45994</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62541-2022</t>
        </is>
      </c>
      <c r="B546" s="1" t="n">
        <v>44917</v>
      </c>
      <c r="C546" s="1" t="n">
        <v>45994</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6490-2022</t>
        </is>
      </c>
      <c r="B547" s="1" t="n">
        <v>44601</v>
      </c>
      <c r="C547" s="1" t="n">
        <v>45994</v>
      </c>
      <c r="D547" t="inlineStr">
        <is>
          <t>JÄMTLANDS LÄN</t>
        </is>
      </c>
      <c r="E547" t="inlineStr">
        <is>
          <t>RAGUNDA</t>
        </is>
      </c>
      <c r="G547" t="n">
        <v>3.8</v>
      </c>
      <c r="H547" t="n">
        <v>0</v>
      </c>
      <c r="I547" t="n">
        <v>0</v>
      </c>
      <c r="J547" t="n">
        <v>0</v>
      </c>
      <c r="K547" t="n">
        <v>0</v>
      </c>
      <c r="L547" t="n">
        <v>0</v>
      </c>
      <c r="M547" t="n">
        <v>0</v>
      </c>
      <c r="N547" t="n">
        <v>0</v>
      </c>
      <c r="O547" t="n">
        <v>0</v>
      </c>
      <c r="P547" t="n">
        <v>0</v>
      </c>
      <c r="Q547" t="n">
        <v>0</v>
      </c>
      <c r="R547" s="2" t="inlineStr"/>
    </row>
    <row r="548" ht="15" customHeight="1">
      <c r="A548" t="inlineStr">
        <is>
          <t>A 9567-2025</t>
        </is>
      </c>
      <c r="B548" s="1" t="n">
        <v>45715.61523148148</v>
      </c>
      <c r="C548" s="1" t="n">
        <v>45994</v>
      </c>
      <c r="D548" t="inlineStr">
        <is>
          <t>JÄMTLANDS LÄN</t>
        </is>
      </c>
      <c r="E548" t="inlineStr">
        <is>
          <t>RAGUNDA</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21661-2023</t>
        </is>
      </c>
      <c r="B549" s="1" t="n">
        <v>45063</v>
      </c>
      <c r="C549" s="1" t="n">
        <v>45994</v>
      </c>
      <c r="D549" t="inlineStr">
        <is>
          <t>JÄMTLANDS LÄN</t>
        </is>
      </c>
      <c r="E549" t="inlineStr">
        <is>
          <t>RAGUNDA</t>
        </is>
      </c>
      <c r="G549" t="n">
        <v>1.5</v>
      </c>
      <c r="H549" t="n">
        <v>0</v>
      </c>
      <c r="I549" t="n">
        <v>0</v>
      </c>
      <c r="J549" t="n">
        <v>0</v>
      </c>
      <c r="K549" t="n">
        <v>0</v>
      </c>
      <c r="L549" t="n">
        <v>0</v>
      </c>
      <c r="M549" t="n">
        <v>0</v>
      </c>
      <c r="N549" t="n">
        <v>0</v>
      </c>
      <c r="O549" t="n">
        <v>0</v>
      </c>
      <c r="P549" t="n">
        <v>0</v>
      </c>
      <c r="Q549" t="n">
        <v>0</v>
      </c>
      <c r="R549" s="2" t="inlineStr"/>
    </row>
    <row r="550" ht="15" customHeight="1">
      <c r="A550" t="inlineStr">
        <is>
          <t>A 6802-2021</t>
        </is>
      </c>
      <c r="B550" s="1" t="n">
        <v>44236</v>
      </c>
      <c r="C550" s="1" t="n">
        <v>45994</v>
      </c>
      <c r="D550" t="inlineStr">
        <is>
          <t>JÄMTLANDS LÄN</t>
        </is>
      </c>
      <c r="E550" t="inlineStr">
        <is>
          <t>RAGUNDA</t>
        </is>
      </c>
      <c r="G550" t="n">
        <v>11.2</v>
      </c>
      <c r="H550" t="n">
        <v>0</v>
      </c>
      <c r="I550" t="n">
        <v>0</v>
      </c>
      <c r="J550" t="n">
        <v>0</v>
      </c>
      <c r="K550" t="n">
        <v>0</v>
      </c>
      <c r="L550" t="n">
        <v>0</v>
      </c>
      <c r="M550" t="n">
        <v>0</v>
      </c>
      <c r="N550" t="n">
        <v>0</v>
      </c>
      <c r="O550" t="n">
        <v>0</v>
      </c>
      <c r="P550" t="n">
        <v>0</v>
      </c>
      <c r="Q550" t="n">
        <v>0</v>
      </c>
      <c r="R550" s="2" t="inlineStr"/>
    </row>
    <row r="551" ht="15" customHeight="1">
      <c r="A551" t="inlineStr">
        <is>
          <t>A 6477-2024</t>
        </is>
      </c>
      <c r="B551" s="1" t="n">
        <v>45338.95405092592</v>
      </c>
      <c r="C551" s="1" t="n">
        <v>45994</v>
      </c>
      <c r="D551" t="inlineStr">
        <is>
          <t>JÄMTLANDS LÄN</t>
        </is>
      </c>
      <c r="E551" t="inlineStr">
        <is>
          <t>RAGUNDA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29319-2023</t>
        </is>
      </c>
      <c r="B552" s="1" t="n">
        <v>45105</v>
      </c>
      <c r="C552" s="1" t="n">
        <v>45994</v>
      </c>
      <c r="D552" t="inlineStr">
        <is>
          <t>JÄMTLANDS LÄN</t>
        </is>
      </c>
      <c r="E552" t="inlineStr">
        <is>
          <t>RAGUNDA</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18612-2024</t>
        </is>
      </c>
      <c r="B553" s="1" t="n">
        <v>45425.96239583333</v>
      </c>
      <c r="C553" s="1" t="n">
        <v>45994</v>
      </c>
      <c r="D553" t="inlineStr">
        <is>
          <t>JÄMTLANDS LÄN</t>
        </is>
      </c>
      <c r="E553" t="inlineStr">
        <is>
          <t>RAGUNDA</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464-2023</t>
        </is>
      </c>
      <c r="B554" s="1" t="n">
        <v>44929.92489583333</v>
      </c>
      <c r="C554" s="1" t="n">
        <v>45994</v>
      </c>
      <c r="D554" t="inlineStr">
        <is>
          <t>JÄMTLANDS LÄN</t>
        </is>
      </c>
      <c r="E554" t="inlineStr">
        <is>
          <t>RAGUNDA</t>
        </is>
      </c>
      <c r="G554" t="n">
        <v>1.4</v>
      </c>
      <c r="H554" t="n">
        <v>0</v>
      </c>
      <c r="I554" t="n">
        <v>0</v>
      </c>
      <c r="J554" t="n">
        <v>0</v>
      </c>
      <c r="K554" t="n">
        <v>0</v>
      </c>
      <c r="L554" t="n">
        <v>0</v>
      </c>
      <c r="M554" t="n">
        <v>0</v>
      </c>
      <c r="N554" t="n">
        <v>0</v>
      </c>
      <c r="O554" t="n">
        <v>0</v>
      </c>
      <c r="P554" t="n">
        <v>0</v>
      </c>
      <c r="Q554" t="n">
        <v>0</v>
      </c>
      <c r="R554" s="2" t="inlineStr"/>
    </row>
    <row r="555" ht="15" customHeight="1">
      <c r="A555" t="inlineStr">
        <is>
          <t>A 53769-2023</t>
        </is>
      </c>
      <c r="B555" s="1" t="n">
        <v>45230</v>
      </c>
      <c r="C555" s="1" t="n">
        <v>45994</v>
      </c>
      <c r="D555" t="inlineStr">
        <is>
          <t>JÄMTLANDS LÄN</t>
        </is>
      </c>
      <c r="E555" t="inlineStr">
        <is>
          <t>RAGUNDA</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52228-2024</t>
        </is>
      </c>
      <c r="B556" s="1" t="n">
        <v>45608.6078587963</v>
      </c>
      <c r="C556" s="1" t="n">
        <v>45994</v>
      </c>
      <c r="D556" t="inlineStr">
        <is>
          <t>JÄMTLANDS LÄN</t>
        </is>
      </c>
      <c r="E556" t="inlineStr">
        <is>
          <t>RAGUNDA</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18193-2022</t>
        </is>
      </c>
      <c r="B557" s="1" t="n">
        <v>44684.94032407407</v>
      </c>
      <c r="C557" s="1" t="n">
        <v>45994</v>
      </c>
      <c r="D557" t="inlineStr">
        <is>
          <t>JÄMTLANDS LÄN</t>
        </is>
      </c>
      <c r="E557" t="inlineStr">
        <is>
          <t>RAGUNDA</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11551-2024</t>
        </is>
      </c>
      <c r="B558" s="1" t="n">
        <v>45372.95762731481</v>
      </c>
      <c r="C558" s="1" t="n">
        <v>45994</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49647-2024</t>
        </is>
      </c>
      <c r="B559" s="1" t="n">
        <v>45596.61533564814</v>
      </c>
      <c r="C559" s="1" t="n">
        <v>45994</v>
      </c>
      <c r="D559" t="inlineStr">
        <is>
          <t>JÄMTLANDS LÄN</t>
        </is>
      </c>
      <c r="E559" t="inlineStr">
        <is>
          <t>RAGUNDA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2242-2024</t>
        </is>
      </c>
      <c r="B560" s="1" t="n">
        <v>45309</v>
      </c>
      <c r="C560" s="1" t="n">
        <v>45994</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2248-2024</t>
        </is>
      </c>
      <c r="B561" s="1" t="n">
        <v>45309</v>
      </c>
      <c r="C561" s="1" t="n">
        <v>45994</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53264-2024</t>
        </is>
      </c>
      <c r="B562" s="1" t="n">
        <v>45614.34545138889</v>
      </c>
      <c r="C562" s="1" t="n">
        <v>45994</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20653-2025</t>
        </is>
      </c>
      <c r="B563" s="1" t="n">
        <v>45776.40311342593</v>
      </c>
      <c r="C563" s="1" t="n">
        <v>45994</v>
      </c>
      <c r="D563" t="inlineStr">
        <is>
          <t>JÄMTLANDS LÄN</t>
        </is>
      </c>
      <c r="E563" t="inlineStr">
        <is>
          <t>RAGUNDA</t>
        </is>
      </c>
      <c r="G563" t="n">
        <v>10.8</v>
      </c>
      <c r="H563" t="n">
        <v>0</v>
      </c>
      <c r="I563" t="n">
        <v>0</v>
      </c>
      <c r="J563" t="n">
        <v>0</v>
      </c>
      <c r="K563" t="n">
        <v>0</v>
      </c>
      <c r="L563" t="n">
        <v>0</v>
      </c>
      <c r="M563" t="n">
        <v>0</v>
      </c>
      <c r="N563" t="n">
        <v>0</v>
      </c>
      <c r="O563" t="n">
        <v>0</v>
      </c>
      <c r="P563" t="n">
        <v>0</v>
      </c>
      <c r="Q563" t="n">
        <v>0</v>
      </c>
      <c r="R563" s="2" t="inlineStr"/>
    </row>
    <row r="564" ht="15" customHeight="1">
      <c r="A564" t="inlineStr">
        <is>
          <t>A 13389-2025</t>
        </is>
      </c>
      <c r="B564" s="1" t="n">
        <v>45735.69842592593</v>
      </c>
      <c r="C564" s="1" t="n">
        <v>45994</v>
      </c>
      <c r="D564" t="inlineStr">
        <is>
          <t>JÄMTLANDS LÄN</t>
        </is>
      </c>
      <c r="E564" t="inlineStr">
        <is>
          <t>RAGUNDA</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69153-2021</t>
        </is>
      </c>
      <c r="B565" s="1" t="n">
        <v>44530.94694444445</v>
      </c>
      <c r="C565" s="1" t="n">
        <v>45994</v>
      </c>
      <c r="D565" t="inlineStr">
        <is>
          <t>JÄMTLANDS LÄN</t>
        </is>
      </c>
      <c r="E565" t="inlineStr">
        <is>
          <t>RAGUNDA</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12585-2024</t>
        </is>
      </c>
      <c r="B566" s="1" t="n">
        <v>45379.93637731481</v>
      </c>
      <c r="C566" s="1" t="n">
        <v>45994</v>
      </c>
      <c r="D566" t="inlineStr">
        <is>
          <t>JÄMTLANDS LÄN</t>
        </is>
      </c>
      <c r="E566" t="inlineStr">
        <is>
          <t>RAGUNDA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55489-2024</t>
        </is>
      </c>
      <c r="B567" s="1" t="n">
        <v>45622.44774305556</v>
      </c>
      <c r="C567" s="1" t="n">
        <v>45994</v>
      </c>
      <c r="D567" t="inlineStr">
        <is>
          <t>JÄMTLANDS LÄN</t>
        </is>
      </c>
      <c r="E567" t="inlineStr">
        <is>
          <t>RAGUNDA</t>
        </is>
      </c>
      <c r="G567" t="n">
        <v>1.6</v>
      </c>
      <c r="H567" t="n">
        <v>0</v>
      </c>
      <c r="I567" t="n">
        <v>0</v>
      </c>
      <c r="J567" t="n">
        <v>0</v>
      </c>
      <c r="K567" t="n">
        <v>0</v>
      </c>
      <c r="L567" t="n">
        <v>0</v>
      </c>
      <c r="M567" t="n">
        <v>0</v>
      </c>
      <c r="N567" t="n">
        <v>0</v>
      </c>
      <c r="O567" t="n">
        <v>0</v>
      </c>
      <c r="P567" t="n">
        <v>0</v>
      </c>
      <c r="Q567" t="n">
        <v>0</v>
      </c>
      <c r="R567" s="2" t="inlineStr"/>
    </row>
    <row r="568" ht="15" customHeight="1">
      <c r="A568" t="inlineStr">
        <is>
          <t>A 19264-2025</t>
        </is>
      </c>
      <c r="B568" s="1" t="n">
        <v>45769.51087962963</v>
      </c>
      <c r="C568" s="1" t="n">
        <v>45994</v>
      </c>
      <c r="D568" t="inlineStr">
        <is>
          <t>JÄMTLANDS LÄN</t>
        </is>
      </c>
      <c r="E568" t="inlineStr">
        <is>
          <t>RAGUNDA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18631-2024</t>
        </is>
      </c>
      <c r="B569" s="1" t="n">
        <v>45425.96494212963</v>
      </c>
      <c r="C569" s="1" t="n">
        <v>45994</v>
      </c>
      <c r="D569" t="inlineStr">
        <is>
          <t>JÄMTLANDS LÄN</t>
        </is>
      </c>
      <c r="E569" t="inlineStr">
        <is>
          <t>RAGUNDA</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29263-2024</t>
        </is>
      </c>
      <c r="B570" s="1" t="n">
        <v>45482.94891203703</v>
      </c>
      <c r="C570" s="1" t="n">
        <v>45994</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8800-2025</t>
        </is>
      </c>
      <c r="B571" s="1" t="n">
        <v>45712.65671296296</v>
      </c>
      <c r="C571" s="1" t="n">
        <v>45994</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45631-2024</t>
        </is>
      </c>
      <c r="B572" s="1" t="n">
        <v>45579.47052083333</v>
      </c>
      <c r="C572" s="1" t="n">
        <v>45994</v>
      </c>
      <c r="D572" t="inlineStr">
        <is>
          <t>JÄMTLANDS LÄN</t>
        </is>
      </c>
      <c r="E572" t="inlineStr">
        <is>
          <t>RAGUNDA</t>
        </is>
      </c>
      <c r="G572" t="n">
        <v>15.1</v>
      </c>
      <c r="H572" t="n">
        <v>0</v>
      </c>
      <c r="I572" t="n">
        <v>0</v>
      </c>
      <c r="J572" t="n">
        <v>0</v>
      </c>
      <c r="K572" t="n">
        <v>0</v>
      </c>
      <c r="L572" t="n">
        <v>0</v>
      </c>
      <c r="M572" t="n">
        <v>0</v>
      </c>
      <c r="N572" t="n">
        <v>0</v>
      </c>
      <c r="O572" t="n">
        <v>0</v>
      </c>
      <c r="P572" t="n">
        <v>0</v>
      </c>
      <c r="Q572" t="n">
        <v>0</v>
      </c>
      <c r="R572" s="2" t="inlineStr"/>
    </row>
    <row r="573" ht="15" customHeight="1">
      <c r="A573" t="inlineStr">
        <is>
          <t>A 26646-2023</t>
        </is>
      </c>
      <c r="B573" s="1" t="n">
        <v>45092</v>
      </c>
      <c r="C573" s="1" t="n">
        <v>45994</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43405-2023</t>
        </is>
      </c>
      <c r="B574" s="1" t="n">
        <v>45183.95563657407</v>
      </c>
      <c r="C574" s="1" t="n">
        <v>45994</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59496-2024</t>
        </is>
      </c>
      <c r="B575" s="1" t="n">
        <v>45638</v>
      </c>
      <c r="C575" s="1" t="n">
        <v>45994</v>
      </c>
      <c r="D575" t="inlineStr">
        <is>
          <t>JÄMTLANDS LÄN</t>
        </is>
      </c>
      <c r="E575" t="inlineStr">
        <is>
          <t>RAGUNDA</t>
        </is>
      </c>
      <c r="G575" t="n">
        <v>13.1</v>
      </c>
      <c r="H575" t="n">
        <v>0</v>
      </c>
      <c r="I575" t="n">
        <v>0</v>
      </c>
      <c r="J575" t="n">
        <v>0</v>
      </c>
      <c r="K575" t="n">
        <v>0</v>
      </c>
      <c r="L575" t="n">
        <v>0</v>
      </c>
      <c r="M575" t="n">
        <v>0</v>
      </c>
      <c r="N575" t="n">
        <v>0</v>
      </c>
      <c r="O575" t="n">
        <v>0</v>
      </c>
      <c r="P575" t="n">
        <v>0</v>
      </c>
      <c r="Q575" t="n">
        <v>0</v>
      </c>
      <c r="R575" s="2" t="inlineStr"/>
    </row>
    <row r="576" ht="15" customHeight="1">
      <c r="A576" t="inlineStr">
        <is>
          <t>A 29265-2024</t>
        </is>
      </c>
      <c r="B576" s="1" t="n">
        <v>45482.9491087963</v>
      </c>
      <c r="C576" s="1" t="n">
        <v>45994</v>
      </c>
      <c r="D576" t="inlineStr">
        <is>
          <t>JÄMTLANDS LÄN</t>
        </is>
      </c>
      <c r="E576" t="inlineStr">
        <is>
          <t>RAGUNDA</t>
        </is>
      </c>
      <c r="F576" t="inlineStr">
        <is>
          <t>SCA</t>
        </is>
      </c>
      <c r="G576" t="n">
        <v>11.6</v>
      </c>
      <c r="H576" t="n">
        <v>0</v>
      </c>
      <c r="I576" t="n">
        <v>0</v>
      </c>
      <c r="J576" t="n">
        <v>0</v>
      </c>
      <c r="K576" t="n">
        <v>0</v>
      </c>
      <c r="L576" t="n">
        <v>0</v>
      </c>
      <c r="M576" t="n">
        <v>0</v>
      </c>
      <c r="N576" t="n">
        <v>0</v>
      </c>
      <c r="O576" t="n">
        <v>0</v>
      </c>
      <c r="P576" t="n">
        <v>0</v>
      </c>
      <c r="Q576" t="n">
        <v>0</v>
      </c>
      <c r="R576" s="2" t="inlineStr"/>
    </row>
    <row r="577" ht="15" customHeight="1">
      <c r="A577" t="inlineStr">
        <is>
          <t>A 27291-2022</t>
        </is>
      </c>
      <c r="B577" s="1" t="n">
        <v>44741.94070601852</v>
      </c>
      <c r="C577" s="1" t="n">
        <v>45994</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62106-2023</t>
        </is>
      </c>
      <c r="B578" s="1" t="n">
        <v>45266.95082175926</v>
      </c>
      <c r="C578" s="1" t="n">
        <v>45994</v>
      </c>
      <c r="D578" t="inlineStr">
        <is>
          <t>JÄMTLANDS LÄN</t>
        </is>
      </c>
      <c r="E578" t="inlineStr">
        <is>
          <t>RAGUNDA</t>
        </is>
      </c>
      <c r="F578" t="inlineStr">
        <is>
          <t>SCA</t>
        </is>
      </c>
      <c r="G578" t="n">
        <v>6.6</v>
      </c>
      <c r="H578" t="n">
        <v>0</v>
      </c>
      <c r="I578" t="n">
        <v>0</v>
      </c>
      <c r="J578" t="n">
        <v>0</v>
      </c>
      <c r="K578" t="n">
        <v>0</v>
      </c>
      <c r="L578" t="n">
        <v>0</v>
      </c>
      <c r="M578" t="n">
        <v>0</v>
      </c>
      <c r="N578" t="n">
        <v>0</v>
      </c>
      <c r="O578" t="n">
        <v>0</v>
      </c>
      <c r="P578" t="n">
        <v>0</v>
      </c>
      <c r="Q578" t="n">
        <v>0</v>
      </c>
      <c r="R578" s="2" t="inlineStr"/>
    </row>
    <row r="579" ht="15" customHeight="1">
      <c r="A579" t="inlineStr">
        <is>
          <t>A 18781-2024</t>
        </is>
      </c>
      <c r="B579" s="1" t="n">
        <v>45426</v>
      </c>
      <c r="C579" s="1" t="n">
        <v>45994</v>
      </c>
      <c r="D579" t="inlineStr">
        <is>
          <t>JÄMTLANDS LÄN</t>
        </is>
      </c>
      <c r="E579" t="inlineStr">
        <is>
          <t>RAGUNDA</t>
        </is>
      </c>
      <c r="G579" t="n">
        <v>0.9</v>
      </c>
      <c r="H579" t="n">
        <v>0</v>
      </c>
      <c r="I579" t="n">
        <v>0</v>
      </c>
      <c r="J579" t="n">
        <v>0</v>
      </c>
      <c r="K579" t="n">
        <v>0</v>
      </c>
      <c r="L579" t="n">
        <v>0</v>
      </c>
      <c r="M579" t="n">
        <v>0</v>
      </c>
      <c r="N579" t="n">
        <v>0</v>
      </c>
      <c r="O579" t="n">
        <v>0</v>
      </c>
      <c r="P579" t="n">
        <v>0</v>
      </c>
      <c r="Q579" t="n">
        <v>0</v>
      </c>
      <c r="R579" s="2" t="inlineStr"/>
    </row>
    <row r="580" ht="15" customHeight="1">
      <c r="A580" t="inlineStr">
        <is>
          <t>A 8776-2025</t>
        </is>
      </c>
      <c r="B580" s="1" t="n">
        <v>45712.61510416667</v>
      </c>
      <c r="C580" s="1" t="n">
        <v>45994</v>
      </c>
      <c r="D580" t="inlineStr">
        <is>
          <t>JÄMTLANDS LÄN</t>
        </is>
      </c>
      <c r="E580" t="inlineStr">
        <is>
          <t>RAGUNDA</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55701-2021</t>
        </is>
      </c>
      <c r="B581" s="1" t="n">
        <v>44475</v>
      </c>
      <c r="C581" s="1" t="n">
        <v>45994</v>
      </c>
      <c r="D581" t="inlineStr">
        <is>
          <t>JÄMTLANDS LÄN</t>
        </is>
      </c>
      <c r="E581" t="inlineStr">
        <is>
          <t>RAGUNDA</t>
        </is>
      </c>
      <c r="G581" t="n">
        <v>5.6</v>
      </c>
      <c r="H581" t="n">
        <v>0</v>
      </c>
      <c r="I581" t="n">
        <v>0</v>
      </c>
      <c r="J581" t="n">
        <v>0</v>
      </c>
      <c r="K581" t="n">
        <v>0</v>
      </c>
      <c r="L581" t="n">
        <v>0</v>
      </c>
      <c r="M581" t="n">
        <v>0</v>
      </c>
      <c r="N581" t="n">
        <v>0</v>
      </c>
      <c r="O581" t="n">
        <v>0</v>
      </c>
      <c r="P581" t="n">
        <v>0</v>
      </c>
      <c r="Q581" t="n">
        <v>0</v>
      </c>
      <c r="R581" s="2" t="inlineStr"/>
    </row>
    <row r="582" ht="15" customHeight="1">
      <c r="A582" t="inlineStr">
        <is>
          <t>A 62081-2022</t>
        </is>
      </c>
      <c r="B582" s="1" t="n">
        <v>44918</v>
      </c>
      <c r="C582" s="1" t="n">
        <v>45994</v>
      </c>
      <c r="D582" t="inlineStr">
        <is>
          <t>JÄMTLANDS LÄN</t>
        </is>
      </c>
      <c r="E582" t="inlineStr">
        <is>
          <t>RAGUNDA</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20722-2025</t>
        </is>
      </c>
      <c r="B583" s="1" t="n">
        <v>45776.50651620371</v>
      </c>
      <c r="C583" s="1" t="n">
        <v>45994</v>
      </c>
      <c r="D583" t="inlineStr">
        <is>
          <t>JÄMTLANDS LÄN</t>
        </is>
      </c>
      <c r="E583" t="inlineStr">
        <is>
          <t>RAGUNDA</t>
        </is>
      </c>
      <c r="F583" t="inlineStr">
        <is>
          <t>Kommuner</t>
        </is>
      </c>
      <c r="G583" t="n">
        <v>0.8</v>
      </c>
      <c r="H583" t="n">
        <v>0</v>
      </c>
      <c r="I583" t="n">
        <v>0</v>
      </c>
      <c r="J583" t="n">
        <v>0</v>
      </c>
      <c r="K583" t="n">
        <v>0</v>
      </c>
      <c r="L583" t="n">
        <v>0</v>
      </c>
      <c r="M583" t="n">
        <v>0</v>
      </c>
      <c r="N583" t="n">
        <v>0</v>
      </c>
      <c r="O583" t="n">
        <v>0</v>
      </c>
      <c r="P583" t="n">
        <v>0</v>
      </c>
      <c r="Q583" t="n">
        <v>0</v>
      </c>
      <c r="R583" s="2" t="inlineStr"/>
    </row>
    <row r="584" ht="15" customHeight="1">
      <c r="A584" t="inlineStr">
        <is>
          <t>A 14821-2025</t>
        </is>
      </c>
      <c r="B584" s="1" t="n">
        <v>45743.36</v>
      </c>
      <c r="C584" s="1" t="n">
        <v>45994</v>
      </c>
      <c r="D584" t="inlineStr">
        <is>
          <t>JÄMTLANDS LÄN</t>
        </is>
      </c>
      <c r="E584" t="inlineStr">
        <is>
          <t>RAGUNDA</t>
        </is>
      </c>
      <c r="F584" t="inlineStr">
        <is>
          <t>Kyrkan</t>
        </is>
      </c>
      <c r="G584" t="n">
        <v>6.4</v>
      </c>
      <c r="H584" t="n">
        <v>0</v>
      </c>
      <c r="I584" t="n">
        <v>0</v>
      </c>
      <c r="J584" t="n">
        <v>0</v>
      </c>
      <c r="K584" t="n">
        <v>0</v>
      </c>
      <c r="L584" t="n">
        <v>0</v>
      </c>
      <c r="M584" t="n">
        <v>0</v>
      </c>
      <c r="N584" t="n">
        <v>0</v>
      </c>
      <c r="O584" t="n">
        <v>0</v>
      </c>
      <c r="P584" t="n">
        <v>0</v>
      </c>
      <c r="Q584" t="n">
        <v>0</v>
      </c>
      <c r="R584" s="2" t="inlineStr"/>
    </row>
    <row r="585" ht="15" customHeight="1">
      <c r="A585" t="inlineStr">
        <is>
          <t>A 30826-2023</t>
        </is>
      </c>
      <c r="B585" s="1" t="n">
        <v>45112</v>
      </c>
      <c r="C585" s="1" t="n">
        <v>45994</v>
      </c>
      <c r="D585" t="inlineStr">
        <is>
          <t>JÄMTLANDS LÄN</t>
        </is>
      </c>
      <c r="E585" t="inlineStr">
        <is>
          <t>RAGUNDA</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53263-2024</t>
        </is>
      </c>
      <c r="B586" s="1" t="n">
        <v>45614.34541666666</v>
      </c>
      <c r="C586" s="1" t="n">
        <v>45994</v>
      </c>
      <c r="D586" t="inlineStr">
        <is>
          <t>JÄMTLANDS LÄN</t>
        </is>
      </c>
      <c r="E586" t="inlineStr">
        <is>
          <t>RAGUNDA</t>
        </is>
      </c>
      <c r="G586" t="n">
        <v>1.9</v>
      </c>
      <c r="H586" t="n">
        <v>0</v>
      </c>
      <c r="I586" t="n">
        <v>0</v>
      </c>
      <c r="J586" t="n">
        <v>0</v>
      </c>
      <c r="K586" t="n">
        <v>0</v>
      </c>
      <c r="L586" t="n">
        <v>0</v>
      </c>
      <c r="M586" t="n">
        <v>0</v>
      </c>
      <c r="N586" t="n">
        <v>0</v>
      </c>
      <c r="O586" t="n">
        <v>0</v>
      </c>
      <c r="P586" t="n">
        <v>0</v>
      </c>
      <c r="Q586" t="n">
        <v>0</v>
      </c>
      <c r="R586" s="2" t="inlineStr"/>
    </row>
    <row r="587" ht="15" customHeight="1">
      <c r="A587" t="inlineStr">
        <is>
          <t>A 36375-2022</t>
        </is>
      </c>
      <c r="B587" s="1" t="n">
        <v>44803.94351851852</v>
      </c>
      <c r="C587" s="1" t="n">
        <v>45994</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30484-2024</t>
        </is>
      </c>
      <c r="B588" s="1" t="n">
        <v>45491</v>
      </c>
      <c r="C588" s="1" t="n">
        <v>45994</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26645-2024</t>
        </is>
      </c>
      <c r="B589" s="1" t="n">
        <v>45469.94667824074</v>
      </c>
      <c r="C589" s="1" t="n">
        <v>45994</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893-2025</t>
        </is>
      </c>
      <c r="B590" s="1" t="n">
        <v>45665.65684027778</v>
      </c>
      <c r="C590" s="1" t="n">
        <v>45994</v>
      </c>
      <c r="D590" t="inlineStr">
        <is>
          <t>JÄMTLANDS LÄN</t>
        </is>
      </c>
      <c r="E590" t="inlineStr">
        <is>
          <t>RAGUNDA</t>
        </is>
      </c>
      <c r="F590" t="inlineStr">
        <is>
          <t>SCA</t>
        </is>
      </c>
      <c r="G590" t="n">
        <v>45.1</v>
      </c>
      <c r="H590" t="n">
        <v>0</v>
      </c>
      <c r="I590" t="n">
        <v>0</v>
      </c>
      <c r="J590" t="n">
        <v>0</v>
      </c>
      <c r="K590" t="n">
        <v>0</v>
      </c>
      <c r="L590" t="n">
        <v>0</v>
      </c>
      <c r="M590" t="n">
        <v>0</v>
      </c>
      <c r="N590" t="n">
        <v>0</v>
      </c>
      <c r="O590" t="n">
        <v>0</v>
      </c>
      <c r="P590" t="n">
        <v>0</v>
      </c>
      <c r="Q590" t="n">
        <v>0</v>
      </c>
      <c r="R590" s="2" t="inlineStr"/>
    </row>
    <row r="591" ht="15" customHeight="1">
      <c r="A591" t="inlineStr">
        <is>
          <t>A 20777-2025</t>
        </is>
      </c>
      <c r="B591" s="1" t="n">
        <v>45776.59422453704</v>
      </c>
      <c r="C591" s="1" t="n">
        <v>45994</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31135-2023</t>
        </is>
      </c>
      <c r="B592" s="1" t="n">
        <v>45103</v>
      </c>
      <c r="C592" s="1" t="n">
        <v>45994</v>
      </c>
      <c r="D592" t="inlineStr">
        <is>
          <t>JÄMTLANDS LÄN</t>
        </is>
      </c>
      <c r="E592" t="inlineStr">
        <is>
          <t>RAGUNDA</t>
        </is>
      </c>
      <c r="G592" t="n">
        <v>0.9</v>
      </c>
      <c r="H592" t="n">
        <v>0</v>
      </c>
      <c r="I592" t="n">
        <v>0</v>
      </c>
      <c r="J592" t="n">
        <v>0</v>
      </c>
      <c r="K592" t="n">
        <v>0</v>
      </c>
      <c r="L592" t="n">
        <v>0</v>
      </c>
      <c r="M592" t="n">
        <v>0</v>
      </c>
      <c r="N592" t="n">
        <v>0</v>
      </c>
      <c r="O592" t="n">
        <v>0</v>
      </c>
      <c r="P592" t="n">
        <v>0</v>
      </c>
      <c r="Q592" t="n">
        <v>0</v>
      </c>
      <c r="R592" s="2" t="inlineStr"/>
    </row>
    <row r="593" ht="15" customHeight="1">
      <c r="A593" t="inlineStr">
        <is>
          <t>A 8679-2023</t>
        </is>
      </c>
      <c r="B593" s="1" t="n">
        <v>44977.98670138889</v>
      </c>
      <c r="C593" s="1" t="n">
        <v>45994</v>
      </c>
      <c r="D593" t="inlineStr">
        <is>
          <t>JÄMTLANDS LÄN</t>
        </is>
      </c>
      <c r="E593" t="inlineStr">
        <is>
          <t>RAGUNDA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9325-2024</t>
        </is>
      </c>
      <c r="B594" s="1" t="n">
        <v>45358.95813657407</v>
      </c>
      <c r="C594" s="1" t="n">
        <v>45994</v>
      </c>
      <c r="D594" t="inlineStr">
        <is>
          <t>JÄMTLANDS LÄN</t>
        </is>
      </c>
      <c r="E594" t="inlineStr">
        <is>
          <t>RAGUNDA</t>
        </is>
      </c>
      <c r="G594" t="n">
        <v>3.1</v>
      </c>
      <c r="H594" t="n">
        <v>0</v>
      </c>
      <c r="I594" t="n">
        <v>0</v>
      </c>
      <c r="J594" t="n">
        <v>0</v>
      </c>
      <c r="K594" t="n">
        <v>0</v>
      </c>
      <c r="L594" t="n">
        <v>0</v>
      </c>
      <c r="M594" t="n">
        <v>0</v>
      </c>
      <c r="N594" t="n">
        <v>0</v>
      </c>
      <c r="O594" t="n">
        <v>0</v>
      </c>
      <c r="P594" t="n">
        <v>0</v>
      </c>
      <c r="Q594" t="n">
        <v>0</v>
      </c>
      <c r="R594" s="2" t="inlineStr"/>
    </row>
    <row r="595" ht="15" customHeight="1">
      <c r="A595" t="inlineStr">
        <is>
          <t>A 5930-2025</t>
        </is>
      </c>
      <c r="B595" s="1" t="n">
        <v>45695.44724537037</v>
      </c>
      <c r="C595" s="1" t="n">
        <v>45994</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57170-2024</t>
        </is>
      </c>
      <c r="B596" s="1" t="n">
        <v>45629.42759259259</v>
      </c>
      <c r="C596" s="1" t="n">
        <v>45994</v>
      </c>
      <c r="D596" t="inlineStr">
        <is>
          <t>JÄMTLANDS LÄN</t>
        </is>
      </c>
      <c r="E596" t="inlineStr">
        <is>
          <t>RAGUNDA</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14513-2025</t>
        </is>
      </c>
      <c r="B597" s="1" t="n">
        <v>45741.63675925926</v>
      </c>
      <c r="C597" s="1" t="n">
        <v>45994</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43132-2023</t>
        </is>
      </c>
      <c r="B598" s="1" t="n">
        <v>45182</v>
      </c>
      <c r="C598" s="1" t="n">
        <v>45994</v>
      </c>
      <c r="D598" t="inlineStr">
        <is>
          <t>JÄMTLANDS LÄN</t>
        </is>
      </c>
      <c r="E598" t="inlineStr">
        <is>
          <t>RAGUNDA</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21150-2025</t>
        </is>
      </c>
      <c r="B599" s="1" t="n">
        <v>45779.34417824074</v>
      </c>
      <c r="C599" s="1" t="n">
        <v>45994</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55904-2022</t>
        </is>
      </c>
      <c r="B600" s="1" t="n">
        <v>44888</v>
      </c>
      <c r="C600" s="1" t="n">
        <v>45994</v>
      </c>
      <c r="D600" t="inlineStr">
        <is>
          <t>JÄMTLANDS LÄN</t>
        </is>
      </c>
      <c r="E600" t="inlineStr">
        <is>
          <t>RAGUNDA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21214-2025</t>
        </is>
      </c>
      <c r="B601" s="1" t="n">
        <v>45779.49025462963</v>
      </c>
      <c r="C601" s="1" t="n">
        <v>45994</v>
      </c>
      <c r="D601" t="inlineStr">
        <is>
          <t>JÄMTLANDS LÄN</t>
        </is>
      </c>
      <c r="E601" t="inlineStr">
        <is>
          <t>RAGUNDA</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7281-2025</t>
        </is>
      </c>
      <c r="B602" s="1" t="n">
        <v>45702.63572916666</v>
      </c>
      <c r="C602" s="1" t="n">
        <v>45994</v>
      </c>
      <c r="D602" t="inlineStr">
        <is>
          <t>JÄMTLANDS LÄN</t>
        </is>
      </c>
      <c r="E602" t="inlineStr">
        <is>
          <t>RAGUNDA</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48192-2024</t>
        </is>
      </c>
      <c r="B603" s="1" t="n">
        <v>45590</v>
      </c>
      <c r="C603" s="1" t="n">
        <v>45994</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2599-2023</t>
        </is>
      </c>
      <c r="B604" s="1" t="n">
        <v>44943.94802083333</v>
      </c>
      <c r="C604" s="1" t="n">
        <v>45994</v>
      </c>
      <c r="D604" t="inlineStr">
        <is>
          <t>JÄMTLANDS LÄN</t>
        </is>
      </c>
      <c r="E604" t="inlineStr">
        <is>
          <t>RAGUNDA</t>
        </is>
      </c>
      <c r="F604" t="inlineStr">
        <is>
          <t>SCA</t>
        </is>
      </c>
      <c r="G604" t="n">
        <v>5.9</v>
      </c>
      <c r="H604" t="n">
        <v>0</v>
      </c>
      <c r="I604" t="n">
        <v>0</v>
      </c>
      <c r="J604" t="n">
        <v>0</v>
      </c>
      <c r="K604" t="n">
        <v>0</v>
      </c>
      <c r="L604" t="n">
        <v>0</v>
      </c>
      <c r="M604" t="n">
        <v>0</v>
      </c>
      <c r="N604" t="n">
        <v>0</v>
      </c>
      <c r="O604" t="n">
        <v>0</v>
      </c>
      <c r="P604" t="n">
        <v>0</v>
      </c>
      <c r="Q604" t="n">
        <v>0</v>
      </c>
      <c r="R604" s="2" t="inlineStr"/>
    </row>
    <row r="605" ht="15" customHeight="1">
      <c r="A605" t="inlineStr">
        <is>
          <t>A 65341-2020</t>
        </is>
      </c>
      <c r="B605" s="1" t="n">
        <v>44173</v>
      </c>
      <c r="C605" s="1" t="n">
        <v>45994</v>
      </c>
      <c r="D605" t="inlineStr">
        <is>
          <t>JÄMTLANDS LÄN</t>
        </is>
      </c>
      <c r="E605" t="inlineStr">
        <is>
          <t>RAGUNDA</t>
        </is>
      </c>
      <c r="G605" t="n">
        <v>2.6</v>
      </c>
      <c r="H605" t="n">
        <v>0</v>
      </c>
      <c r="I605" t="n">
        <v>0</v>
      </c>
      <c r="J605" t="n">
        <v>0</v>
      </c>
      <c r="K605" t="n">
        <v>0</v>
      </c>
      <c r="L605" t="n">
        <v>0</v>
      </c>
      <c r="M605" t="n">
        <v>0</v>
      </c>
      <c r="N605" t="n">
        <v>0</v>
      </c>
      <c r="O605" t="n">
        <v>0</v>
      </c>
      <c r="P605" t="n">
        <v>0</v>
      </c>
      <c r="Q605" t="n">
        <v>0</v>
      </c>
      <c r="R605" s="2" t="inlineStr"/>
    </row>
    <row r="606" ht="15" customHeight="1">
      <c r="A606" t="inlineStr">
        <is>
          <t>A 22941-2024</t>
        </is>
      </c>
      <c r="B606" s="1" t="n">
        <v>45448.94520833333</v>
      </c>
      <c r="C606" s="1" t="n">
        <v>45994</v>
      </c>
      <c r="D606" t="inlineStr">
        <is>
          <t>JÄMTLANDS LÄN</t>
        </is>
      </c>
      <c r="E606" t="inlineStr">
        <is>
          <t>RAGUNDA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56284-2023</t>
        </is>
      </c>
      <c r="B607" s="1" t="n">
        <v>45241.95724537037</v>
      </c>
      <c r="C607" s="1" t="n">
        <v>45994</v>
      </c>
      <c r="D607" t="inlineStr">
        <is>
          <t>JÄMTLANDS LÄN</t>
        </is>
      </c>
      <c r="E607" t="inlineStr">
        <is>
          <t>RAGUNDA</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21430-2025</t>
        </is>
      </c>
      <c r="B608" s="1" t="n">
        <v>45782.51099537037</v>
      </c>
      <c r="C608" s="1" t="n">
        <v>45994</v>
      </c>
      <c r="D608" t="inlineStr">
        <is>
          <t>JÄMTLANDS LÄN</t>
        </is>
      </c>
      <c r="E608" t="inlineStr">
        <is>
          <t>RAGUNDA</t>
        </is>
      </c>
      <c r="F608" t="inlineStr">
        <is>
          <t>SCA</t>
        </is>
      </c>
      <c r="G608" t="n">
        <v>7.1</v>
      </c>
      <c r="H608" t="n">
        <v>0</v>
      </c>
      <c r="I608" t="n">
        <v>0</v>
      </c>
      <c r="J608" t="n">
        <v>0</v>
      </c>
      <c r="K608" t="n">
        <v>0</v>
      </c>
      <c r="L608" t="n">
        <v>0</v>
      </c>
      <c r="M608" t="n">
        <v>0</v>
      </c>
      <c r="N608" t="n">
        <v>0</v>
      </c>
      <c r="O608" t="n">
        <v>0</v>
      </c>
      <c r="P608" t="n">
        <v>0</v>
      </c>
      <c r="Q608" t="n">
        <v>0</v>
      </c>
      <c r="R608" s="2" t="inlineStr"/>
    </row>
    <row r="609" ht="15" customHeight="1">
      <c r="A609" t="inlineStr">
        <is>
          <t>A 44881-2023</t>
        </is>
      </c>
      <c r="B609" s="1" t="n">
        <v>45187</v>
      </c>
      <c r="C609" s="1" t="n">
        <v>45994</v>
      </c>
      <c r="D609" t="inlineStr">
        <is>
          <t>JÄMTLANDS LÄN</t>
        </is>
      </c>
      <c r="E609" t="inlineStr">
        <is>
          <t>RAGUNDA</t>
        </is>
      </c>
      <c r="G609" t="n">
        <v>2.4</v>
      </c>
      <c r="H609" t="n">
        <v>0</v>
      </c>
      <c r="I609" t="n">
        <v>0</v>
      </c>
      <c r="J609" t="n">
        <v>0</v>
      </c>
      <c r="K609" t="n">
        <v>0</v>
      </c>
      <c r="L609" t="n">
        <v>0</v>
      </c>
      <c r="M609" t="n">
        <v>0</v>
      </c>
      <c r="N609" t="n">
        <v>0</v>
      </c>
      <c r="O609" t="n">
        <v>0</v>
      </c>
      <c r="P609" t="n">
        <v>0</v>
      </c>
      <c r="Q609" t="n">
        <v>0</v>
      </c>
      <c r="R609" s="2" t="inlineStr"/>
    </row>
    <row r="610" ht="15" customHeight="1">
      <c r="A610" t="inlineStr">
        <is>
          <t>A 8795-2022</t>
        </is>
      </c>
      <c r="B610" s="1" t="n">
        <v>44614</v>
      </c>
      <c r="C610" s="1" t="n">
        <v>45994</v>
      </c>
      <c r="D610" t="inlineStr">
        <is>
          <t>JÄMTLANDS LÄN</t>
        </is>
      </c>
      <c r="E610" t="inlineStr">
        <is>
          <t>RAGUNDA</t>
        </is>
      </c>
      <c r="G610" t="n">
        <v>3.9</v>
      </c>
      <c r="H610" t="n">
        <v>0</v>
      </c>
      <c r="I610" t="n">
        <v>0</v>
      </c>
      <c r="J610" t="n">
        <v>0</v>
      </c>
      <c r="K610" t="n">
        <v>0</v>
      </c>
      <c r="L610" t="n">
        <v>0</v>
      </c>
      <c r="M610" t="n">
        <v>0</v>
      </c>
      <c r="N610" t="n">
        <v>0</v>
      </c>
      <c r="O610" t="n">
        <v>0</v>
      </c>
      <c r="P610" t="n">
        <v>0</v>
      </c>
      <c r="Q610" t="n">
        <v>0</v>
      </c>
      <c r="R610" s="2" t="inlineStr"/>
    </row>
    <row r="611" ht="15" customHeight="1">
      <c r="A611" t="inlineStr">
        <is>
          <t>A 21451-2025</t>
        </is>
      </c>
      <c r="B611" s="1" t="n">
        <v>45782.55287037037</v>
      </c>
      <c r="C611" s="1" t="n">
        <v>45994</v>
      </c>
      <c r="D611" t="inlineStr">
        <is>
          <t>JÄMTLANDS LÄN</t>
        </is>
      </c>
      <c r="E611" t="inlineStr">
        <is>
          <t>RAGUNDA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48249-2024</t>
        </is>
      </c>
      <c r="B612" s="1" t="n">
        <v>45590.40675925926</v>
      </c>
      <c r="C612" s="1" t="n">
        <v>45994</v>
      </c>
      <c r="D612" t="inlineStr">
        <is>
          <t>JÄMTLANDS LÄN</t>
        </is>
      </c>
      <c r="E612" t="inlineStr">
        <is>
          <t>RAGUNDA</t>
        </is>
      </c>
      <c r="F612" t="inlineStr">
        <is>
          <t>SCA</t>
        </is>
      </c>
      <c r="G612" t="n">
        <v>14.4</v>
      </c>
      <c r="H612" t="n">
        <v>0</v>
      </c>
      <c r="I612" t="n">
        <v>0</v>
      </c>
      <c r="J612" t="n">
        <v>0</v>
      </c>
      <c r="K612" t="n">
        <v>0</v>
      </c>
      <c r="L612" t="n">
        <v>0</v>
      </c>
      <c r="M612" t="n">
        <v>0</v>
      </c>
      <c r="N612" t="n">
        <v>0</v>
      </c>
      <c r="O612" t="n">
        <v>0</v>
      </c>
      <c r="P612" t="n">
        <v>0</v>
      </c>
      <c r="Q612" t="n">
        <v>0</v>
      </c>
      <c r="R612" s="2" t="inlineStr"/>
    </row>
    <row r="613" ht="15" customHeight="1">
      <c r="A613" t="inlineStr">
        <is>
          <t>A 64265-2023</t>
        </is>
      </c>
      <c r="B613" s="1" t="n">
        <v>45279.94572916667</v>
      </c>
      <c r="C613" s="1" t="n">
        <v>45994</v>
      </c>
      <c r="D613" t="inlineStr">
        <is>
          <t>JÄMTLANDS LÄN</t>
        </is>
      </c>
      <c r="E613" t="inlineStr">
        <is>
          <t>RAGUNDA</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21432-2025</t>
        </is>
      </c>
      <c r="B614" s="1" t="n">
        <v>45782.51109953703</v>
      </c>
      <c r="C614" s="1" t="n">
        <v>45994</v>
      </c>
      <c r="D614" t="inlineStr">
        <is>
          <t>JÄMTLANDS LÄN</t>
        </is>
      </c>
      <c r="E614" t="inlineStr">
        <is>
          <t>RAGUNDA</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21331-2025</t>
        </is>
      </c>
      <c r="B615" s="1" t="n">
        <v>45782.36494212963</v>
      </c>
      <c r="C615" s="1" t="n">
        <v>45994</v>
      </c>
      <c r="D615" t="inlineStr">
        <is>
          <t>JÄMTLANDS LÄN</t>
        </is>
      </c>
      <c r="E615" t="inlineStr">
        <is>
          <t>RAGUNDA</t>
        </is>
      </c>
      <c r="F615" t="inlineStr">
        <is>
          <t>SCA</t>
        </is>
      </c>
      <c r="G615" t="n">
        <v>23.1</v>
      </c>
      <c r="H615" t="n">
        <v>0</v>
      </c>
      <c r="I615" t="n">
        <v>0</v>
      </c>
      <c r="J615" t="n">
        <v>0</v>
      </c>
      <c r="K615" t="n">
        <v>0</v>
      </c>
      <c r="L615" t="n">
        <v>0</v>
      </c>
      <c r="M615" t="n">
        <v>0</v>
      </c>
      <c r="N615" t="n">
        <v>0</v>
      </c>
      <c r="O615" t="n">
        <v>0</v>
      </c>
      <c r="P615" t="n">
        <v>0</v>
      </c>
      <c r="Q615" t="n">
        <v>0</v>
      </c>
      <c r="R615" s="2" t="inlineStr"/>
      <c r="U615">
        <f>HYPERLINK("https://klasma.github.io/Logging_2303/knärot/A 21331-2025 karta knärot.png", "A 21331-2025")</f>
        <v/>
      </c>
      <c r="V615">
        <f>HYPERLINK("https://klasma.github.io/Logging_2303/klagomål/A 21331-2025 FSC-klagomål.docx", "A 21331-2025")</f>
        <v/>
      </c>
      <c r="W615">
        <f>HYPERLINK("https://klasma.github.io/Logging_2303/klagomålsmail/A 21331-2025 FSC-klagomål mail.docx", "A 21331-2025")</f>
        <v/>
      </c>
      <c r="X615">
        <f>HYPERLINK("https://klasma.github.io/Logging_2303/tillsyn/A 21331-2025 tillsynsbegäran.docx", "A 21331-2025")</f>
        <v/>
      </c>
      <c r="Y615">
        <f>HYPERLINK("https://klasma.github.io/Logging_2303/tillsynsmail/A 21331-2025 tillsynsbegäran mail.docx", "A 21331-2025")</f>
        <v/>
      </c>
    </row>
    <row r="616" ht="15" customHeight="1">
      <c r="A616" t="inlineStr">
        <is>
          <t>A 21550-2025</t>
        </is>
      </c>
      <c r="B616" s="1" t="n">
        <v>45782.67758101852</v>
      </c>
      <c r="C616" s="1" t="n">
        <v>45994</v>
      </c>
      <c r="D616" t="inlineStr">
        <is>
          <t>JÄMTLANDS LÄN</t>
        </is>
      </c>
      <c r="E616" t="inlineStr">
        <is>
          <t>RAGUNDA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35265-2023</t>
        </is>
      </c>
      <c r="B617" s="1" t="n">
        <v>45145.95326388889</v>
      </c>
      <c r="C617" s="1" t="n">
        <v>45994</v>
      </c>
      <c r="D617" t="inlineStr">
        <is>
          <t>JÄMTLANDS LÄN</t>
        </is>
      </c>
      <c r="E617" t="inlineStr">
        <is>
          <t>RAGUNDA</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5148-2023</t>
        </is>
      </c>
      <c r="B618" s="1" t="n">
        <v>44958</v>
      </c>
      <c r="C618" s="1" t="n">
        <v>45994</v>
      </c>
      <c r="D618" t="inlineStr">
        <is>
          <t>JÄMTLANDS LÄN</t>
        </is>
      </c>
      <c r="E618" t="inlineStr">
        <is>
          <t>RAGUNDA</t>
        </is>
      </c>
      <c r="G618" t="n">
        <v>2.9</v>
      </c>
      <c r="H618" t="n">
        <v>0</v>
      </c>
      <c r="I618" t="n">
        <v>0</v>
      </c>
      <c r="J618" t="n">
        <v>0</v>
      </c>
      <c r="K618" t="n">
        <v>0</v>
      </c>
      <c r="L618" t="n">
        <v>0</v>
      </c>
      <c r="M618" t="n">
        <v>0</v>
      </c>
      <c r="N618" t="n">
        <v>0</v>
      </c>
      <c r="O618" t="n">
        <v>0</v>
      </c>
      <c r="P618" t="n">
        <v>0</v>
      </c>
      <c r="Q618" t="n">
        <v>0</v>
      </c>
      <c r="R618" s="2" t="inlineStr"/>
    </row>
    <row r="619" ht="15" customHeight="1">
      <c r="A619" t="inlineStr">
        <is>
          <t>A 61045-2022</t>
        </is>
      </c>
      <c r="B619" s="1" t="n">
        <v>44914</v>
      </c>
      <c r="C619" s="1" t="n">
        <v>45994</v>
      </c>
      <c r="D619" t="inlineStr">
        <is>
          <t>JÄMTLANDS LÄN</t>
        </is>
      </c>
      <c r="E619" t="inlineStr">
        <is>
          <t>RAGUNDA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66706-2021</t>
        </is>
      </c>
      <c r="B620" s="1" t="n">
        <v>44519.94440972222</v>
      </c>
      <c r="C620" s="1" t="n">
        <v>45994</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66471-2021</t>
        </is>
      </c>
      <c r="B621" s="1" t="n">
        <v>44518</v>
      </c>
      <c r="C621" s="1" t="n">
        <v>45994</v>
      </c>
      <c r="D621" t="inlineStr">
        <is>
          <t>JÄMTLANDS LÄN</t>
        </is>
      </c>
      <c r="E621" t="inlineStr">
        <is>
          <t>RAGUNDA</t>
        </is>
      </c>
      <c r="G621" t="n">
        <v>13.4</v>
      </c>
      <c r="H621" t="n">
        <v>0</v>
      </c>
      <c r="I621" t="n">
        <v>0</v>
      </c>
      <c r="J621" t="n">
        <v>0</v>
      </c>
      <c r="K621" t="n">
        <v>0</v>
      </c>
      <c r="L621" t="n">
        <v>0</v>
      </c>
      <c r="M621" t="n">
        <v>0</v>
      </c>
      <c r="N621" t="n">
        <v>0</v>
      </c>
      <c r="O621" t="n">
        <v>0</v>
      </c>
      <c r="P621" t="n">
        <v>0</v>
      </c>
      <c r="Q621" t="n">
        <v>0</v>
      </c>
      <c r="R621" s="2" t="inlineStr"/>
    </row>
    <row r="622" ht="15" customHeight="1">
      <c r="A622" t="inlineStr">
        <is>
          <t>A 18778-2024</t>
        </is>
      </c>
      <c r="B622" s="1" t="n">
        <v>45426</v>
      </c>
      <c r="C622" s="1" t="n">
        <v>45994</v>
      </c>
      <c r="D622" t="inlineStr">
        <is>
          <t>JÄMTLANDS LÄN</t>
        </is>
      </c>
      <c r="E622" t="inlineStr">
        <is>
          <t>RAGUNDA</t>
        </is>
      </c>
      <c r="G622" t="n">
        <v>0.9</v>
      </c>
      <c r="H622" t="n">
        <v>0</v>
      </c>
      <c r="I622" t="n">
        <v>0</v>
      </c>
      <c r="J622" t="n">
        <v>0</v>
      </c>
      <c r="K622" t="n">
        <v>0</v>
      </c>
      <c r="L622" t="n">
        <v>0</v>
      </c>
      <c r="M622" t="n">
        <v>0</v>
      </c>
      <c r="N622" t="n">
        <v>0</v>
      </c>
      <c r="O622" t="n">
        <v>0</v>
      </c>
      <c r="P622" t="n">
        <v>0</v>
      </c>
      <c r="Q622" t="n">
        <v>0</v>
      </c>
      <c r="R622" s="2" t="inlineStr"/>
    </row>
    <row r="623" ht="15" customHeight="1">
      <c r="A623" t="inlineStr">
        <is>
          <t>A 59556-2024</t>
        </is>
      </c>
      <c r="B623" s="1" t="n">
        <v>45638.63600694444</v>
      </c>
      <c r="C623" s="1" t="n">
        <v>45994</v>
      </c>
      <c r="D623" t="inlineStr">
        <is>
          <t>JÄMTLANDS LÄN</t>
        </is>
      </c>
      <c r="E623" t="inlineStr">
        <is>
          <t>RAGUNDA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61197-2023</t>
        </is>
      </c>
      <c r="B624" s="1" t="n">
        <v>45260</v>
      </c>
      <c r="C624" s="1" t="n">
        <v>45994</v>
      </c>
      <c r="D624" t="inlineStr">
        <is>
          <t>JÄMTLANDS LÄN</t>
        </is>
      </c>
      <c r="E624" t="inlineStr">
        <is>
          <t>RAGUNDA</t>
        </is>
      </c>
      <c r="G624" t="n">
        <v>2.5</v>
      </c>
      <c r="H624" t="n">
        <v>0</v>
      </c>
      <c r="I624" t="n">
        <v>0</v>
      </c>
      <c r="J624" t="n">
        <v>0</v>
      </c>
      <c r="K624" t="n">
        <v>0</v>
      </c>
      <c r="L624" t="n">
        <v>0</v>
      </c>
      <c r="M624" t="n">
        <v>0</v>
      </c>
      <c r="N624" t="n">
        <v>0</v>
      </c>
      <c r="O624" t="n">
        <v>0</v>
      </c>
      <c r="P624" t="n">
        <v>0</v>
      </c>
      <c r="Q624" t="n">
        <v>0</v>
      </c>
      <c r="R624" s="2" t="inlineStr"/>
    </row>
    <row r="625" ht="15" customHeight="1">
      <c r="A625" t="inlineStr">
        <is>
          <t>A 13263-2025</t>
        </is>
      </c>
      <c r="B625" s="1" t="n">
        <v>45735.53177083333</v>
      </c>
      <c r="C625" s="1" t="n">
        <v>45994</v>
      </c>
      <c r="D625" t="inlineStr">
        <is>
          <t>JÄMTLANDS LÄN</t>
        </is>
      </c>
      <c r="E625" t="inlineStr">
        <is>
          <t>RAGUNDA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48066-2022</t>
        </is>
      </c>
      <c r="B626" s="1" t="n">
        <v>44855</v>
      </c>
      <c r="C626" s="1" t="n">
        <v>45994</v>
      </c>
      <c r="D626" t="inlineStr">
        <is>
          <t>JÄMTLANDS LÄN</t>
        </is>
      </c>
      <c r="E626" t="inlineStr">
        <is>
          <t>RAGUNDA</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64415-2023</t>
        </is>
      </c>
      <c r="B627" s="1" t="n">
        <v>45280</v>
      </c>
      <c r="C627" s="1" t="n">
        <v>45994</v>
      </c>
      <c r="D627" t="inlineStr">
        <is>
          <t>JÄMTLANDS LÄN</t>
        </is>
      </c>
      <c r="E627" t="inlineStr">
        <is>
          <t>RAGUNDA</t>
        </is>
      </c>
      <c r="G627" t="n">
        <v>5.1</v>
      </c>
      <c r="H627" t="n">
        <v>0</v>
      </c>
      <c r="I627" t="n">
        <v>0</v>
      </c>
      <c r="J627" t="n">
        <v>0</v>
      </c>
      <c r="K627" t="n">
        <v>0</v>
      </c>
      <c r="L627" t="n">
        <v>0</v>
      </c>
      <c r="M627" t="n">
        <v>0</v>
      </c>
      <c r="N627" t="n">
        <v>0</v>
      </c>
      <c r="O627" t="n">
        <v>0</v>
      </c>
      <c r="P627" t="n">
        <v>0</v>
      </c>
      <c r="Q627" t="n">
        <v>0</v>
      </c>
      <c r="R627" s="2" t="inlineStr"/>
    </row>
    <row r="628" ht="15" customHeight="1">
      <c r="A628" t="inlineStr">
        <is>
          <t>A 60225-2022</t>
        </is>
      </c>
      <c r="B628" s="1" t="n">
        <v>44903</v>
      </c>
      <c r="C628" s="1" t="n">
        <v>45994</v>
      </c>
      <c r="D628" t="inlineStr">
        <is>
          <t>JÄMTLANDS LÄN</t>
        </is>
      </c>
      <c r="E628" t="inlineStr">
        <is>
          <t>RAGUNDA</t>
        </is>
      </c>
      <c r="G628" t="n">
        <v>1</v>
      </c>
      <c r="H628" t="n">
        <v>0</v>
      </c>
      <c r="I628" t="n">
        <v>0</v>
      </c>
      <c r="J628" t="n">
        <v>0</v>
      </c>
      <c r="K628" t="n">
        <v>0</v>
      </c>
      <c r="L628" t="n">
        <v>0</v>
      </c>
      <c r="M628" t="n">
        <v>0</v>
      </c>
      <c r="N628" t="n">
        <v>0</v>
      </c>
      <c r="O628" t="n">
        <v>0</v>
      </c>
      <c r="P628" t="n">
        <v>0</v>
      </c>
      <c r="Q628" t="n">
        <v>0</v>
      </c>
      <c r="R628" s="2" t="inlineStr"/>
    </row>
    <row r="629" ht="15" customHeight="1">
      <c r="A629" t="inlineStr">
        <is>
          <t>A 15864-2024</t>
        </is>
      </c>
      <c r="B629" s="1" t="n">
        <v>45404.99792824074</v>
      </c>
      <c r="C629" s="1" t="n">
        <v>45994</v>
      </c>
      <c r="D629" t="inlineStr">
        <is>
          <t>JÄMTLANDS LÄN</t>
        </is>
      </c>
      <c r="E629" t="inlineStr">
        <is>
          <t>RAGUNDA</t>
        </is>
      </c>
      <c r="F629" t="inlineStr">
        <is>
          <t>SCA</t>
        </is>
      </c>
      <c r="G629" t="n">
        <v>1.1</v>
      </c>
      <c r="H629" t="n">
        <v>0</v>
      </c>
      <c r="I629" t="n">
        <v>0</v>
      </c>
      <c r="J629" t="n">
        <v>0</v>
      </c>
      <c r="K629" t="n">
        <v>0</v>
      </c>
      <c r="L629" t="n">
        <v>0</v>
      </c>
      <c r="M629" t="n">
        <v>0</v>
      </c>
      <c r="N629" t="n">
        <v>0</v>
      </c>
      <c r="O629" t="n">
        <v>0</v>
      </c>
      <c r="P629" t="n">
        <v>0</v>
      </c>
      <c r="Q629" t="n">
        <v>0</v>
      </c>
      <c r="R629" s="2" t="inlineStr"/>
      <c r="U629">
        <f>HYPERLINK("https://klasma.github.io/Logging_2303/knärot/A 15864-2024 karta knärot.png", "A 15864-2024")</f>
        <v/>
      </c>
      <c r="V629">
        <f>HYPERLINK("https://klasma.github.io/Logging_2303/klagomål/A 15864-2024 FSC-klagomål.docx", "A 15864-2024")</f>
        <v/>
      </c>
      <c r="W629">
        <f>HYPERLINK("https://klasma.github.io/Logging_2303/klagomålsmail/A 15864-2024 FSC-klagomål mail.docx", "A 15864-2024")</f>
        <v/>
      </c>
      <c r="X629">
        <f>HYPERLINK("https://klasma.github.io/Logging_2303/tillsyn/A 15864-2024 tillsynsbegäran.docx", "A 15864-2024")</f>
        <v/>
      </c>
      <c r="Y629">
        <f>HYPERLINK("https://klasma.github.io/Logging_2303/tillsynsmail/A 15864-2024 tillsynsbegäran mail.docx", "A 15864-2024")</f>
        <v/>
      </c>
    </row>
    <row r="630" ht="15" customHeight="1">
      <c r="A630" t="inlineStr">
        <is>
          <t>A 55222-2024</t>
        </is>
      </c>
      <c r="B630" s="1" t="n">
        <v>45621.57395833333</v>
      </c>
      <c r="C630" s="1" t="n">
        <v>45994</v>
      </c>
      <c r="D630" t="inlineStr">
        <is>
          <t>JÄMTLANDS LÄN</t>
        </is>
      </c>
      <c r="E630" t="inlineStr">
        <is>
          <t>RAGUNDA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46211-2024</t>
        </is>
      </c>
      <c r="B631" s="1" t="n">
        <v>45581.55260416667</v>
      </c>
      <c r="C631" s="1" t="n">
        <v>45994</v>
      </c>
      <c r="D631" t="inlineStr">
        <is>
          <t>JÄMTLANDS LÄN</t>
        </is>
      </c>
      <c r="E631" t="inlineStr">
        <is>
          <t>RAGUNDA</t>
        </is>
      </c>
      <c r="G631" t="n">
        <v>7.3</v>
      </c>
      <c r="H631" t="n">
        <v>0</v>
      </c>
      <c r="I631" t="n">
        <v>0</v>
      </c>
      <c r="J631" t="n">
        <v>0</v>
      </c>
      <c r="K631" t="n">
        <v>0</v>
      </c>
      <c r="L631" t="n">
        <v>0</v>
      </c>
      <c r="M631" t="n">
        <v>0</v>
      </c>
      <c r="N631" t="n">
        <v>0</v>
      </c>
      <c r="O631" t="n">
        <v>0</v>
      </c>
      <c r="P631" t="n">
        <v>0</v>
      </c>
      <c r="Q631" t="n">
        <v>0</v>
      </c>
      <c r="R631" s="2" t="inlineStr"/>
    </row>
    <row r="632" ht="15" customHeight="1">
      <c r="A632" t="inlineStr">
        <is>
          <t>A 16529-2022</t>
        </is>
      </c>
      <c r="B632" s="1" t="n">
        <v>44671</v>
      </c>
      <c r="C632" s="1" t="n">
        <v>45994</v>
      </c>
      <c r="D632" t="inlineStr">
        <is>
          <t>JÄMTLANDS LÄN</t>
        </is>
      </c>
      <c r="E632" t="inlineStr">
        <is>
          <t>RAGUNDA</t>
        </is>
      </c>
      <c r="G632" t="n">
        <v>1.5</v>
      </c>
      <c r="H632" t="n">
        <v>0</v>
      </c>
      <c r="I632" t="n">
        <v>0</v>
      </c>
      <c r="J632" t="n">
        <v>0</v>
      </c>
      <c r="K632" t="n">
        <v>0</v>
      </c>
      <c r="L632" t="n">
        <v>0</v>
      </c>
      <c r="M632" t="n">
        <v>0</v>
      </c>
      <c r="N632" t="n">
        <v>0</v>
      </c>
      <c r="O632" t="n">
        <v>0</v>
      </c>
      <c r="P632" t="n">
        <v>0</v>
      </c>
      <c r="Q632" t="n">
        <v>0</v>
      </c>
      <c r="R632" s="2" t="inlineStr"/>
    </row>
    <row r="633" ht="15" customHeight="1">
      <c r="A633" t="inlineStr">
        <is>
          <t>A 31435-2022</t>
        </is>
      </c>
      <c r="B633" s="1" t="n">
        <v>44774</v>
      </c>
      <c r="C633" s="1" t="n">
        <v>45994</v>
      </c>
      <c r="D633" t="inlineStr">
        <is>
          <t>JÄMTLANDS LÄN</t>
        </is>
      </c>
      <c r="E633" t="inlineStr">
        <is>
          <t>RAGUNDA</t>
        </is>
      </c>
      <c r="G633" t="n">
        <v>1.6</v>
      </c>
      <c r="H633" t="n">
        <v>0</v>
      </c>
      <c r="I633" t="n">
        <v>0</v>
      </c>
      <c r="J633" t="n">
        <v>0</v>
      </c>
      <c r="K633" t="n">
        <v>0</v>
      </c>
      <c r="L633" t="n">
        <v>0</v>
      </c>
      <c r="M633" t="n">
        <v>0</v>
      </c>
      <c r="N633" t="n">
        <v>0</v>
      </c>
      <c r="O633" t="n">
        <v>0</v>
      </c>
      <c r="P633" t="n">
        <v>0</v>
      </c>
      <c r="Q633" t="n">
        <v>0</v>
      </c>
      <c r="R633" s="2" t="inlineStr"/>
    </row>
    <row r="634" ht="15" customHeight="1">
      <c r="A634" t="inlineStr">
        <is>
          <t>A 57749-2024</t>
        </is>
      </c>
      <c r="B634" s="1" t="n">
        <v>45630.7862037037</v>
      </c>
      <c r="C634" s="1" t="n">
        <v>45994</v>
      </c>
      <c r="D634" t="inlineStr">
        <is>
          <t>JÄMTLANDS LÄN</t>
        </is>
      </c>
      <c r="E634" t="inlineStr">
        <is>
          <t>RAGUNDA</t>
        </is>
      </c>
      <c r="G634" t="n">
        <v>1.3</v>
      </c>
      <c r="H634" t="n">
        <v>0</v>
      </c>
      <c r="I634" t="n">
        <v>0</v>
      </c>
      <c r="J634" t="n">
        <v>0</v>
      </c>
      <c r="K634" t="n">
        <v>0</v>
      </c>
      <c r="L634" t="n">
        <v>0</v>
      </c>
      <c r="M634" t="n">
        <v>0</v>
      </c>
      <c r="N634" t="n">
        <v>0</v>
      </c>
      <c r="O634" t="n">
        <v>0</v>
      </c>
      <c r="P634" t="n">
        <v>0</v>
      </c>
      <c r="Q634" t="n">
        <v>0</v>
      </c>
      <c r="R634" s="2" t="inlineStr"/>
    </row>
    <row r="635" ht="15" customHeight="1">
      <c r="A635" t="inlineStr">
        <is>
          <t>A 24280-2021</t>
        </is>
      </c>
      <c r="B635" s="1" t="n">
        <v>44336</v>
      </c>
      <c r="C635" s="1" t="n">
        <v>45994</v>
      </c>
      <c r="D635" t="inlineStr">
        <is>
          <t>JÄMTLANDS LÄN</t>
        </is>
      </c>
      <c r="E635" t="inlineStr">
        <is>
          <t>RAGUNDA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39608-2024</t>
        </is>
      </c>
      <c r="B636" s="1" t="n">
        <v>45552.39113425926</v>
      </c>
      <c r="C636" s="1" t="n">
        <v>45994</v>
      </c>
      <c r="D636" t="inlineStr">
        <is>
          <t>JÄMTLANDS LÄN</t>
        </is>
      </c>
      <c r="E636" t="inlineStr">
        <is>
          <t>RAGUNDA</t>
        </is>
      </c>
      <c r="G636" t="n">
        <v>3.2</v>
      </c>
      <c r="H636" t="n">
        <v>0</v>
      </c>
      <c r="I636" t="n">
        <v>0</v>
      </c>
      <c r="J636" t="n">
        <v>0</v>
      </c>
      <c r="K636" t="n">
        <v>0</v>
      </c>
      <c r="L636" t="n">
        <v>0</v>
      </c>
      <c r="M636" t="n">
        <v>0</v>
      </c>
      <c r="N636" t="n">
        <v>0</v>
      </c>
      <c r="O636" t="n">
        <v>0</v>
      </c>
      <c r="P636" t="n">
        <v>0</v>
      </c>
      <c r="Q636" t="n">
        <v>0</v>
      </c>
      <c r="R636" s="2" t="inlineStr"/>
    </row>
    <row r="637" ht="15" customHeight="1">
      <c r="A637" t="inlineStr">
        <is>
          <t>A 39626-2024</t>
        </is>
      </c>
      <c r="B637" s="1" t="n">
        <v>45552.44096064815</v>
      </c>
      <c r="C637" s="1" t="n">
        <v>45994</v>
      </c>
      <c r="D637" t="inlineStr">
        <is>
          <t>JÄMTLANDS LÄN</t>
        </is>
      </c>
      <c r="E637" t="inlineStr">
        <is>
          <t>RAGUNDA</t>
        </is>
      </c>
      <c r="G637" t="n">
        <v>23.5</v>
      </c>
      <c r="H637" t="n">
        <v>0</v>
      </c>
      <c r="I637" t="n">
        <v>0</v>
      </c>
      <c r="J637" t="n">
        <v>0</v>
      </c>
      <c r="K637" t="n">
        <v>0</v>
      </c>
      <c r="L637" t="n">
        <v>0</v>
      </c>
      <c r="M637" t="n">
        <v>0</v>
      </c>
      <c r="N637" t="n">
        <v>0</v>
      </c>
      <c r="O637" t="n">
        <v>0</v>
      </c>
      <c r="P637" t="n">
        <v>0</v>
      </c>
      <c r="Q637" t="n">
        <v>0</v>
      </c>
      <c r="R637" s="2" t="inlineStr"/>
    </row>
    <row r="638" ht="15" customHeight="1">
      <c r="A638" t="inlineStr">
        <is>
          <t>A 8886-2024</t>
        </is>
      </c>
      <c r="B638" s="1" t="n">
        <v>45357.05300925926</v>
      </c>
      <c r="C638" s="1" t="n">
        <v>45994</v>
      </c>
      <c r="D638" t="inlineStr">
        <is>
          <t>JÄMTLANDS LÄN</t>
        </is>
      </c>
      <c r="E638" t="inlineStr">
        <is>
          <t>RAGUNDA</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28596-2021</t>
        </is>
      </c>
      <c r="B639" s="1" t="n">
        <v>44356</v>
      </c>
      <c r="C639" s="1" t="n">
        <v>45994</v>
      </c>
      <c r="D639" t="inlineStr">
        <is>
          <t>JÄMTLANDS LÄN</t>
        </is>
      </c>
      <c r="E639" t="inlineStr">
        <is>
          <t>RAGUNDA</t>
        </is>
      </c>
      <c r="G639" t="n">
        <v>5.4</v>
      </c>
      <c r="H639" t="n">
        <v>0</v>
      </c>
      <c r="I639" t="n">
        <v>0</v>
      </c>
      <c r="J639" t="n">
        <v>0</v>
      </c>
      <c r="K639" t="n">
        <v>0</v>
      </c>
      <c r="L639" t="n">
        <v>0</v>
      </c>
      <c r="M639" t="n">
        <v>0</v>
      </c>
      <c r="N639" t="n">
        <v>0</v>
      </c>
      <c r="O639" t="n">
        <v>0</v>
      </c>
      <c r="P639" t="n">
        <v>0</v>
      </c>
      <c r="Q639" t="n">
        <v>0</v>
      </c>
      <c r="R639" s="2" t="inlineStr"/>
    </row>
    <row r="640" ht="15" customHeight="1">
      <c r="A640" t="inlineStr">
        <is>
          <t>A 56984-2022</t>
        </is>
      </c>
      <c r="B640" s="1" t="n">
        <v>44894.79018518519</v>
      </c>
      <c r="C640" s="1" t="n">
        <v>45994</v>
      </c>
      <c r="D640" t="inlineStr">
        <is>
          <t>JÄMTLANDS LÄN</t>
        </is>
      </c>
      <c r="E640" t="inlineStr">
        <is>
          <t>RAGUNDA</t>
        </is>
      </c>
      <c r="G640" t="n">
        <v>1.4</v>
      </c>
      <c r="H640" t="n">
        <v>0</v>
      </c>
      <c r="I640" t="n">
        <v>0</v>
      </c>
      <c r="J640" t="n">
        <v>0</v>
      </c>
      <c r="K640" t="n">
        <v>0</v>
      </c>
      <c r="L640" t="n">
        <v>0</v>
      </c>
      <c r="M640" t="n">
        <v>0</v>
      </c>
      <c r="N640" t="n">
        <v>0</v>
      </c>
      <c r="O640" t="n">
        <v>0</v>
      </c>
      <c r="P640" t="n">
        <v>0</v>
      </c>
      <c r="Q640" t="n">
        <v>0</v>
      </c>
      <c r="R640" s="2" t="inlineStr"/>
    </row>
    <row r="641" ht="15" customHeight="1">
      <c r="A641" t="inlineStr">
        <is>
          <t>A 61934-2022</t>
        </is>
      </c>
      <c r="B641" s="1" t="n">
        <v>44917</v>
      </c>
      <c r="C641" s="1" t="n">
        <v>45994</v>
      </c>
      <c r="D641" t="inlineStr">
        <is>
          <t>JÄMTLANDS LÄN</t>
        </is>
      </c>
      <c r="E641" t="inlineStr">
        <is>
          <t>RAGUNDA</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11058-2025</t>
        </is>
      </c>
      <c r="B642" s="1" t="n">
        <v>45723.51079861111</v>
      </c>
      <c r="C642" s="1" t="n">
        <v>45994</v>
      </c>
      <c r="D642" t="inlineStr">
        <is>
          <t>JÄMTLANDS LÄN</t>
        </is>
      </c>
      <c r="E642" t="inlineStr">
        <is>
          <t>RAGUNDA</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8678-2023</t>
        </is>
      </c>
      <c r="B643" s="1" t="n">
        <v>44977.98660879629</v>
      </c>
      <c r="C643" s="1" t="n">
        <v>45994</v>
      </c>
      <c r="D643" t="inlineStr">
        <is>
          <t>JÄMTLANDS LÄN</t>
        </is>
      </c>
      <c r="E643" t="inlineStr">
        <is>
          <t>RAGUNDA</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38664-2022</t>
        </is>
      </c>
      <c r="B644" s="1" t="n">
        <v>44813</v>
      </c>
      <c r="C644" s="1" t="n">
        <v>45994</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13264-2025</t>
        </is>
      </c>
      <c r="B645" s="1" t="n">
        <v>45735</v>
      </c>
      <c r="C645" s="1" t="n">
        <v>45994</v>
      </c>
      <c r="D645" t="inlineStr">
        <is>
          <t>JÄMTLANDS LÄN</t>
        </is>
      </c>
      <c r="E645" t="inlineStr">
        <is>
          <t>RAGUNDA</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28742-2023</t>
        </is>
      </c>
      <c r="B646" s="1" t="n">
        <v>45103</v>
      </c>
      <c r="C646" s="1" t="n">
        <v>45994</v>
      </c>
      <c r="D646" t="inlineStr">
        <is>
          <t>JÄMTLANDS LÄN</t>
        </is>
      </c>
      <c r="E646" t="inlineStr">
        <is>
          <t>RAGUNDA</t>
        </is>
      </c>
      <c r="G646" t="n">
        <v>1.8</v>
      </c>
      <c r="H646" t="n">
        <v>0</v>
      </c>
      <c r="I646" t="n">
        <v>0</v>
      </c>
      <c r="J646" t="n">
        <v>0</v>
      </c>
      <c r="K646" t="n">
        <v>0</v>
      </c>
      <c r="L646" t="n">
        <v>0</v>
      </c>
      <c r="M646" t="n">
        <v>0</v>
      </c>
      <c r="N646" t="n">
        <v>0</v>
      </c>
      <c r="O646" t="n">
        <v>0</v>
      </c>
      <c r="P646" t="n">
        <v>0</v>
      </c>
      <c r="Q646" t="n">
        <v>0</v>
      </c>
      <c r="R646" s="2" t="inlineStr"/>
    </row>
    <row r="647" ht="15" customHeight="1">
      <c r="A647" t="inlineStr">
        <is>
          <t>A 17323-2025</t>
        </is>
      </c>
      <c r="B647" s="1" t="n">
        <v>45756.63601851852</v>
      </c>
      <c r="C647" s="1" t="n">
        <v>45994</v>
      </c>
      <c r="D647" t="inlineStr">
        <is>
          <t>JÄMTLANDS LÄN</t>
        </is>
      </c>
      <c r="E647" t="inlineStr">
        <is>
          <t>RAGUNDA</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24441-2024</t>
        </is>
      </c>
      <c r="B648" s="1" t="n">
        <v>45457.96372685185</v>
      </c>
      <c r="C648" s="1" t="n">
        <v>45994</v>
      </c>
      <c r="D648" t="inlineStr">
        <is>
          <t>JÄMTLANDS LÄN</t>
        </is>
      </c>
      <c r="E648" t="inlineStr">
        <is>
          <t>RAGUNDA</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5307-2025</t>
        </is>
      </c>
      <c r="B649" s="1" t="n">
        <v>45692.48993055556</v>
      </c>
      <c r="C649" s="1" t="n">
        <v>45994</v>
      </c>
      <c r="D649" t="inlineStr">
        <is>
          <t>JÄMTLANDS LÄN</t>
        </is>
      </c>
      <c r="E649" t="inlineStr">
        <is>
          <t>RAGUNDA</t>
        </is>
      </c>
      <c r="F649" t="inlineStr">
        <is>
          <t>SCA</t>
        </is>
      </c>
      <c r="G649" t="n">
        <v>20.9</v>
      </c>
      <c r="H649" t="n">
        <v>0</v>
      </c>
      <c r="I649" t="n">
        <v>0</v>
      </c>
      <c r="J649" t="n">
        <v>0</v>
      </c>
      <c r="K649" t="n">
        <v>0</v>
      </c>
      <c r="L649" t="n">
        <v>0</v>
      </c>
      <c r="M649" t="n">
        <v>0</v>
      </c>
      <c r="N649" t="n">
        <v>0</v>
      </c>
      <c r="O649" t="n">
        <v>0</v>
      </c>
      <c r="P649" t="n">
        <v>0</v>
      </c>
      <c r="Q649" t="n">
        <v>0</v>
      </c>
      <c r="R649" s="2" t="inlineStr"/>
    </row>
    <row r="650" ht="15" customHeight="1">
      <c r="A650" t="inlineStr">
        <is>
          <t>A 40801-2023</t>
        </is>
      </c>
      <c r="B650" s="1" t="n">
        <v>45170</v>
      </c>
      <c r="C650" s="1" t="n">
        <v>45994</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38548-2024</t>
        </is>
      </c>
      <c r="B651" s="1" t="n">
        <v>45546</v>
      </c>
      <c r="C651" s="1" t="n">
        <v>45994</v>
      </c>
      <c r="D651" t="inlineStr">
        <is>
          <t>JÄMTLANDS LÄN</t>
        </is>
      </c>
      <c r="E651" t="inlineStr">
        <is>
          <t>RAGUNDA</t>
        </is>
      </c>
      <c r="G651" t="n">
        <v>1.4</v>
      </c>
      <c r="H651" t="n">
        <v>0</v>
      </c>
      <c r="I651" t="n">
        <v>0</v>
      </c>
      <c r="J651" t="n">
        <v>0</v>
      </c>
      <c r="K651" t="n">
        <v>0</v>
      </c>
      <c r="L651" t="n">
        <v>0</v>
      </c>
      <c r="M651" t="n">
        <v>0</v>
      </c>
      <c r="N651" t="n">
        <v>0</v>
      </c>
      <c r="O651" t="n">
        <v>0</v>
      </c>
      <c r="P651" t="n">
        <v>0</v>
      </c>
      <c r="Q651" t="n">
        <v>0</v>
      </c>
      <c r="R651" s="2" t="inlineStr"/>
    </row>
    <row r="652" ht="15" customHeight="1">
      <c r="A652" t="inlineStr">
        <is>
          <t>A 2411-2023</t>
        </is>
      </c>
      <c r="B652" s="1" t="n">
        <v>44942</v>
      </c>
      <c r="C652" s="1" t="n">
        <v>45994</v>
      </c>
      <c r="D652" t="inlineStr">
        <is>
          <t>JÄMTLANDS LÄN</t>
        </is>
      </c>
      <c r="E652" t="inlineStr">
        <is>
          <t>RAGUNDA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16364-2023</t>
        </is>
      </c>
      <c r="B653" s="1" t="n">
        <v>45028</v>
      </c>
      <c r="C653" s="1" t="n">
        <v>45994</v>
      </c>
      <c r="D653" t="inlineStr">
        <is>
          <t>JÄMTLANDS LÄN</t>
        </is>
      </c>
      <c r="E653" t="inlineStr">
        <is>
          <t>RAGUNDA</t>
        </is>
      </c>
      <c r="G653" t="n">
        <v>0.5</v>
      </c>
      <c r="H653" t="n">
        <v>0</v>
      </c>
      <c r="I653" t="n">
        <v>0</v>
      </c>
      <c r="J653" t="n">
        <v>0</v>
      </c>
      <c r="K653" t="n">
        <v>0</v>
      </c>
      <c r="L653" t="n">
        <v>0</v>
      </c>
      <c r="M653" t="n">
        <v>0</v>
      </c>
      <c r="N653" t="n">
        <v>0</v>
      </c>
      <c r="O653" t="n">
        <v>0</v>
      </c>
      <c r="P653" t="n">
        <v>0</v>
      </c>
      <c r="Q653" t="n">
        <v>0</v>
      </c>
      <c r="R653" s="2" t="inlineStr"/>
    </row>
    <row r="654" ht="15" customHeight="1">
      <c r="A654" t="inlineStr">
        <is>
          <t>A 13935-2024</t>
        </is>
      </c>
      <c r="B654" s="1" t="n">
        <v>45391.95329861111</v>
      </c>
      <c r="C654" s="1" t="n">
        <v>45994</v>
      </c>
      <c r="D654" t="inlineStr">
        <is>
          <t>JÄMTLANDS LÄN</t>
        </is>
      </c>
      <c r="E654" t="inlineStr">
        <is>
          <t>RAGUNDA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59136-2023</t>
        </is>
      </c>
      <c r="B655" s="1" t="n">
        <v>45251</v>
      </c>
      <c r="C655" s="1" t="n">
        <v>45994</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5308-2025</t>
        </is>
      </c>
      <c r="B656" s="1" t="n">
        <v>45692.49008101852</v>
      </c>
      <c r="C656" s="1" t="n">
        <v>45994</v>
      </c>
      <c r="D656" t="inlineStr">
        <is>
          <t>JÄMTLANDS LÄN</t>
        </is>
      </c>
      <c r="E656" t="inlineStr">
        <is>
          <t>RAGUNDA</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48065-2023</t>
        </is>
      </c>
      <c r="B657" s="1" t="n">
        <v>45204.94399305555</v>
      </c>
      <c r="C657" s="1" t="n">
        <v>45994</v>
      </c>
      <c r="D657" t="inlineStr">
        <is>
          <t>JÄMTLANDS LÄN</t>
        </is>
      </c>
      <c r="E657" t="inlineStr">
        <is>
          <t>RAGUNDA</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58194-2022</t>
        </is>
      </c>
      <c r="B658" s="1" t="n">
        <v>44900</v>
      </c>
      <c r="C658" s="1" t="n">
        <v>45994</v>
      </c>
      <c r="D658" t="inlineStr">
        <is>
          <t>JÄMTLANDS LÄN</t>
        </is>
      </c>
      <c r="E658" t="inlineStr">
        <is>
          <t>RAGUNDA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4592-2024</t>
        </is>
      </c>
      <c r="B659" s="1" t="n">
        <v>45327.94443287037</v>
      </c>
      <c r="C659" s="1" t="n">
        <v>45994</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60195-2023</t>
        </is>
      </c>
      <c r="B660" s="1" t="n">
        <v>45257</v>
      </c>
      <c r="C660" s="1" t="n">
        <v>45994</v>
      </c>
      <c r="D660" t="inlineStr">
        <is>
          <t>JÄMTLANDS LÄN</t>
        </is>
      </c>
      <c r="E660" t="inlineStr">
        <is>
          <t>RAGUNDA</t>
        </is>
      </c>
      <c r="G660" t="n">
        <v>1.7</v>
      </c>
      <c r="H660" t="n">
        <v>0</v>
      </c>
      <c r="I660" t="n">
        <v>0</v>
      </c>
      <c r="J660" t="n">
        <v>0</v>
      </c>
      <c r="K660" t="n">
        <v>0</v>
      </c>
      <c r="L660" t="n">
        <v>0</v>
      </c>
      <c r="M660" t="n">
        <v>0</v>
      </c>
      <c r="N660" t="n">
        <v>0</v>
      </c>
      <c r="O660" t="n">
        <v>0</v>
      </c>
      <c r="P660" t="n">
        <v>0</v>
      </c>
      <c r="Q660" t="n">
        <v>0</v>
      </c>
      <c r="R660" s="2" t="inlineStr"/>
    </row>
    <row r="661" ht="15" customHeight="1">
      <c r="A661" t="inlineStr">
        <is>
          <t>A 24171-2021</t>
        </is>
      </c>
      <c r="B661" s="1" t="n">
        <v>44336</v>
      </c>
      <c r="C661" s="1" t="n">
        <v>45994</v>
      </c>
      <c r="D661" t="inlineStr">
        <is>
          <t>JÄMTLANDS LÄN</t>
        </is>
      </c>
      <c r="E661" t="inlineStr">
        <is>
          <t>RAGUNDA</t>
        </is>
      </c>
      <c r="G661" t="n">
        <v>3.6</v>
      </c>
      <c r="H661" t="n">
        <v>0</v>
      </c>
      <c r="I661" t="n">
        <v>0</v>
      </c>
      <c r="J661" t="n">
        <v>0</v>
      </c>
      <c r="K661" t="n">
        <v>0</v>
      </c>
      <c r="L661" t="n">
        <v>0</v>
      </c>
      <c r="M661" t="n">
        <v>0</v>
      </c>
      <c r="N661" t="n">
        <v>0</v>
      </c>
      <c r="O661" t="n">
        <v>0</v>
      </c>
      <c r="P661" t="n">
        <v>0</v>
      </c>
      <c r="Q661" t="n">
        <v>0</v>
      </c>
      <c r="R661" s="2" t="inlineStr"/>
    </row>
    <row r="662" ht="15" customHeight="1">
      <c r="A662" t="inlineStr">
        <is>
          <t>A 58843-2024</t>
        </is>
      </c>
      <c r="B662" s="1" t="n">
        <v>45636.38599537037</v>
      </c>
      <c r="C662" s="1" t="n">
        <v>45994</v>
      </c>
      <c r="D662" t="inlineStr">
        <is>
          <t>JÄMTLANDS LÄN</t>
        </is>
      </c>
      <c r="E662" t="inlineStr">
        <is>
          <t>RAGUNDA</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49659-2023</t>
        </is>
      </c>
      <c r="B663" s="1" t="n">
        <v>45211.95134259259</v>
      </c>
      <c r="C663" s="1" t="n">
        <v>45994</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22981-2023</t>
        </is>
      </c>
      <c r="B664" s="1" t="n">
        <v>45072.92737268518</v>
      </c>
      <c r="C664" s="1" t="n">
        <v>45994</v>
      </c>
      <c r="D664" t="inlineStr">
        <is>
          <t>JÄMTLANDS LÄN</t>
        </is>
      </c>
      <c r="E664" t="inlineStr">
        <is>
          <t>RAGUNDA</t>
        </is>
      </c>
      <c r="G664" t="n">
        <v>3.8</v>
      </c>
      <c r="H664" t="n">
        <v>0</v>
      </c>
      <c r="I664" t="n">
        <v>0</v>
      </c>
      <c r="J664" t="n">
        <v>0</v>
      </c>
      <c r="K664" t="n">
        <v>0</v>
      </c>
      <c r="L664" t="n">
        <v>0</v>
      </c>
      <c r="M664" t="n">
        <v>0</v>
      </c>
      <c r="N664" t="n">
        <v>0</v>
      </c>
      <c r="O664" t="n">
        <v>0</v>
      </c>
      <c r="P664" t="n">
        <v>0</v>
      </c>
      <c r="Q664" t="n">
        <v>0</v>
      </c>
      <c r="R664" s="2" t="inlineStr"/>
    </row>
    <row r="665" ht="15" customHeight="1">
      <c r="A665" t="inlineStr">
        <is>
          <t>A 50521-2024</t>
        </is>
      </c>
      <c r="B665" s="1" t="n">
        <v>45601.55331018518</v>
      </c>
      <c r="C665" s="1" t="n">
        <v>45994</v>
      </c>
      <c r="D665" t="inlineStr">
        <is>
          <t>JÄMTLANDS LÄN</t>
        </is>
      </c>
      <c r="E665" t="inlineStr">
        <is>
          <t>RAGUNDA</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4916-2025</t>
        </is>
      </c>
      <c r="B666" s="1" t="n">
        <v>45688.68196759259</v>
      </c>
      <c r="C666" s="1" t="n">
        <v>45994</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59557-2023</t>
        </is>
      </c>
      <c r="B667" s="1" t="n">
        <v>45253</v>
      </c>
      <c r="C667" s="1" t="n">
        <v>45994</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26942-2021</t>
        </is>
      </c>
      <c r="B668" s="1" t="n">
        <v>44349.91978009259</v>
      </c>
      <c r="C668" s="1" t="n">
        <v>45994</v>
      </c>
      <c r="D668" t="inlineStr">
        <is>
          <t>JÄMTLANDS LÄN</t>
        </is>
      </c>
      <c r="E668" t="inlineStr">
        <is>
          <t>RAGUNDA</t>
        </is>
      </c>
      <c r="G668" t="n">
        <v>6.2</v>
      </c>
      <c r="H668" t="n">
        <v>0</v>
      </c>
      <c r="I668" t="n">
        <v>0</v>
      </c>
      <c r="J668" t="n">
        <v>0</v>
      </c>
      <c r="K668" t="n">
        <v>0</v>
      </c>
      <c r="L668" t="n">
        <v>0</v>
      </c>
      <c r="M668" t="n">
        <v>0</v>
      </c>
      <c r="N668" t="n">
        <v>0</v>
      </c>
      <c r="O668" t="n">
        <v>0</v>
      </c>
      <c r="P668" t="n">
        <v>0</v>
      </c>
      <c r="Q668" t="n">
        <v>0</v>
      </c>
      <c r="R668" s="2" t="inlineStr"/>
    </row>
    <row r="669" ht="15" customHeight="1">
      <c r="A669" t="inlineStr">
        <is>
          <t>A 53287-2022</t>
        </is>
      </c>
      <c r="B669" s="1" t="n">
        <v>44876</v>
      </c>
      <c r="C669" s="1" t="n">
        <v>45994</v>
      </c>
      <c r="D669" t="inlineStr">
        <is>
          <t>JÄMTLANDS LÄN</t>
        </is>
      </c>
      <c r="E669" t="inlineStr">
        <is>
          <t>RAGUNDA</t>
        </is>
      </c>
      <c r="F669" t="inlineStr">
        <is>
          <t>SCA</t>
        </is>
      </c>
      <c r="G669" t="n">
        <v>6.2</v>
      </c>
      <c r="H669" t="n">
        <v>0</v>
      </c>
      <c r="I669" t="n">
        <v>0</v>
      </c>
      <c r="J669" t="n">
        <v>0</v>
      </c>
      <c r="K669" t="n">
        <v>0</v>
      </c>
      <c r="L669" t="n">
        <v>0</v>
      </c>
      <c r="M669" t="n">
        <v>0</v>
      </c>
      <c r="N669" t="n">
        <v>0</v>
      </c>
      <c r="O669" t="n">
        <v>0</v>
      </c>
      <c r="P669" t="n">
        <v>0</v>
      </c>
      <c r="Q669" t="n">
        <v>0</v>
      </c>
      <c r="R669" s="2" t="inlineStr"/>
    </row>
    <row r="670" ht="15" customHeight="1">
      <c r="A670" t="inlineStr">
        <is>
          <t>A 57112-2024</t>
        </is>
      </c>
      <c r="B670" s="1" t="n">
        <v>45629.36486111111</v>
      </c>
      <c r="C670" s="1" t="n">
        <v>45994</v>
      </c>
      <c r="D670" t="inlineStr">
        <is>
          <t>JÄMTLANDS LÄN</t>
        </is>
      </c>
      <c r="E670" t="inlineStr">
        <is>
          <t>RAGUNDA</t>
        </is>
      </c>
      <c r="G670" t="n">
        <v>0.7</v>
      </c>
      <c r="H670" t="n">
        <v>0</v>
      </c>
      <c r="I670" t="n">
        <v>0</v>
      </c>
      <c r="J670" t="n">
        <v>0</v>
      </c>
      <c r="K670" t="n">
        <v>0</v>
      </c>
      <c r="L670" t="n">
        <v>0</v>
      </c>
      <c r="M670" t="n">
        <v>0</v>
      </c>
      <c r="N670" t="n">
        <v>0</v>
      </c>
      <c r="O670" t="n">
        <v>0</v>
      </c>
      <c r="P670" t="n">
        <v>0</v>
      </c>
      <c r="Q670" t="n">
        <v>0</v>
      </c>
      <c r="R670" s="2" t="inlineStr"/>
    </row>
    <row r="671" ht="15" customHeight="1">
      <c r="A671" t="inlineStr">
        <is>
          <t>A 53136-2024</t>
        </is>
      </c>
      <c r="B671" s="1" t="n">
        <v>45611.5953125</v>
      </c>
      <c r="C671" s="1" t="n">
        <v>45994</v>
      </c>
      <c r="D671" t="inlineStr">
        <is>
          <t>JÄMTLANDS LÄN</t>
        </is>
      </c>
      <c r="E671" t="inlineStr">
        <is>
          <t>RAGUNDA</t>
        </is>
      </c>
      <c r="G671" t="n">
        <v>3.8</v>
      </c>
      <c r="H671" t="n">
        <v>0</v>
      </c>
      <c r="I671" t="n">
        <v>0</v>
      </c>
      <c r="J671" t="n">
        <v>0</v>
      </c>
      <c r="K671" t="n">
        <v>0</v>
      </c>
      <c r="L671" t="n">
        <v>0</v>
      </c>
      <c r="M671" t="n">
        <v>0</v>
      </c>
      <c r="N671" t="n">
        <v>0</v>
      </c>
      <c r="O671" t="n">
        <v>0</v>
      </c>
      <c r="P671" t="n">
        <v>0</v>
      </c>
      <c r="Q671" t="n">
        <v>0</v>
      </c>
      <c r="R671" s="2" t="inlineStr"/>
    </row>
    <row r="672" ht="15" customHeight="1">
      <c r="A672" t="inlineStr">
        <is>
          <t>A 16320-2025</t>
        </is>
      </c>
      <c r="B672" s="1" t="n">
        <v>45751.34859953704</v>
      </c>
      <c r="C672" s="1" t="n">
        <v>45994</v>
      </c>
      <c r="D672" t="inlineStr">
        <is>
          <t>JÄMTLANDS LÄN</t>
        </is>
      </c>
      <c r="E672" t="inlineStr">
        <is>
          <t>RAGUNDA</t>
        </is>
      </c>
      <c r="F672" t="inlineStr">
        <is>
          <t>SCA</t>
        </is>
      </c>
      <c r="G672" t="n">
        <v>16.2</v>
      </c>
      <c r="H672" t="n">
        <v>0</v>
      </c>
      <c r="I672" t="n">
        <v>0</v>
      </c>
      <c r="J672" t="n">
        <v>0</v>
      </c>
      <c r="K672" t="n">
        <v>0</v>
      </c>
      <c r="L672" t="n">
        <v>0</v>
      </c>
      <c r="M672" t="n">
        <v>0</v>
      </c>
      <c r="N672" t="n">
        <v>0</v>
      </c>
      <c r="O672" t="n">
        <v>0</v>
      </c>
      <c r="P672" t="n">
        <v>0</v>
      </c>
      <c r="Q672" t="n">
        <v>0</v>
      </c>
      <c r="R672" s="2" t="inlineStr"/>
    </row>
    <row r="673" ht="15" customHeight="1">
      <c r="A673" t="inlineStr">
        <is>
          <t>A 16321-2025</t>
        </is>
      </c>
      <c r="B673" s="1" t="n">
        <v>45751.34873842593</v>
      </c>
      <c r="C673" s="1" t="n">
        <v>45994</v>
      </c>
      <c r="D673" t="inlineStr">
        <is>
          <t>JÄMTLANDS LÄN</t>
        </is>
      </c>
      <c r="E673" t="inlineStr">
        <is>
          <t>RAGUNDA</t>
        </is>
      </c>
      <c r="F673" t="inlineStr">
        <is>
          <t>SCA</t>
        </is>
      </c>
      <c r="G673" t="n">
        <v>63.3</v>
      </c>
      <c r="H673" t="n">
        <v>0</v>
      </c>
      <c r="I673" t="n">
        <v>0</v>
      </c>
      <c r="J673" t="n">
        <v>0</v>
      </c>
      <c r="K673" t="n">
        <v>0</v>
      </c>
      <c r="L673" t="n">
        <v>0</v>
      </c>
      <c r="M673" t="n">
        <v>0</v>
      </c>
      <c r="N673" t="n">
        <v>0</v>
      </c>
      <c r="O673" t="n">
        <v>0</v>
      </c>
      <c r="P673" t="n">
        <v>0</v>
      </c>
      <c r="Q673" t="n">
        <v>0</v>
      </c>
      <c r="R673" s="2" t="inlineStr"/>
    </row>
    <row r="674" ht="15" customHeight="1">
      <c r="A674" t="inlineStr">
        <is>
          <t>A 57889-2024</t>
        </is>
      </c>
      <c r="B674" s="1" t="n">
        <v>45631.46665509259</v>
      </c>
      <c r="C674" s="1" t="n">
        <v>45994</v>
      </c>
      <c r="D674" t="inlineStr">
        <is>
          <t>JÄMTLANDS LÄN</t>
        </is>
      </c>
      <c r="E674" t="inlineStr">
        <is>
          <t>RAGUNDA</t>
        </is>
      </c>
      <c r="G674" t="n">
        <v>11.1</v>
      </c>
      <c r="H674" t="n">
        <v>0</v>
      </c>
      <c r="I674" t="n">
        <v>0</v>
      </c>
      <c r="J674" t="n">
        <v>0</v>
      </c>
      <c r="K674" t="n">
        <v>0</v>
      </c>
      <c r="L674" t="n">
        <v>0</v>
      </c>
      <c r="M674" t="n">
        <v>0</v>
      </c>
      <c r="N674" t="n">
        <v>0</v>
      </c>
      <c r="O674" t="n">
        <v>0</v>
      </c>
      <c r="P674" t="n">
        <v>0</v>
      </c>
      <c r="Q674" t="n">
        <v>0</v>
      </c>
      <c r="R674" s="2" t="inlineStr"/>
    </row>
    <row r="675" ht="15" customHeight="1">
      <c r="A675" t="inlineStr">
        <is>
          <t>A 33621-2023</t>
        </is>
      </c>
      <c r="B675" s="1" t="n">
        <v>45119</v>
      </c>
      <c r="C675" s="1" t="n">
        <v>45994</v>
      </c>
      <c r="D675" t="inlineStr">
        <is>
          <t>JÄMTLANDS LÄN</t>
        </is>
      </c>
      <c r="E675" t="inlineStr">
        <is>
          <t>RAGUNDA</t>
        </is>
      </c>
      <c r="G675" t="n">
        <v>0.5</v>
      </c>
      <c r="H675" t="n">
        <v>0</v>
      </c>
      <c r="I675" t="n">
        <v>0</v>
      </c>
      <c r="J675" t="n">
        <v>0</v>
      </c>
      <c r="K675" t="n">
        <v>0</v>
      </c>
      <c r="L675" t="n">
        <v>0</v>
      </c>
      <c r="M675" t="n">
        <v>0</v>
      </c>
      <c r="N675" t="n">
        <v>0</v>
      </c>
      <c r="O675" t="n">
        <v>0</v>
      </c>
      <c r="P675" t="n">
        <v>0</v>
      </c>
      <c r="Q675" t="n">
        <v>0</v>
      </c>
      <c r="R675" s="2" t="inlineStr"/>
    </row>
    <row r="676" ht="15" customHeight="1">
      <c r="A676" t="inlineStr">
        <is>
          <t>A 6694-2024</t>
        </is>
      </c>
      <c r="B676" s="1" t="n">
        <v>45341.95381944445</v>
      </c>
      <c r="C676" s="1" t="n">
        <v>45994</v>
      </c>
      <c r="D676" t="inlineStr">
        <is>
          <t>JÄMTLANDS LÄN</t>
        </is>
      </c>
      <c r="E676" t="inlineStr">
        <is>
          <t>RAGUNDA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14696-2022</t>
        </is>
      </c>
      <c r="B677" s="1" t="n">
        <v>44655</v>
      </c>
      <c r="C677" s="1" t="n">
        <v>45994</v>
      </c>
      <c r="D677" t="inlineStr">
        <is>
          <t>JÄMTLANDS LÄN</t>
        </is>
      </c>
      <c r="E677" t="inlineStr">
        <is>
          <t>RAGUNDA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46546-2023</t>
        </is>
      </c>
      <c r="B678" s="1" t="n">
        <v>45197.94152777778</v>
      </c>
      <c r="C678" s="1" t="n">
        <v>45994</v>
      </c>
      <c r="D678" t="inlineStr">
        <is>
          <t>JÄMTLANDS LÄN</t>
        </is>
      </c>
      <c r="E678" t="inlineStr">
        <is>
          <t>RAGUNDA</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55514-2024</t>
        </is>
      </c>
      <c r="B679" s="1" t="n">
        <v>45622.46910879629</v>
      </c>
      <c r="C679" s="1" t="n">
        <v>45994</v>
      </c>
      <c r="D679" t="inlineStr">
        <is>
          <t>JÄMTLANDS LÄN</t>
        </is>
      </c>
      <c r="E679" t="inlineStr">
        <is>
          <t>RAGUNDA</t>
        </is>
      </c>
      <c r="G679" t="n">
        <v>0.9</v>
      </c>
      <c r="H679" t="n">
        <v>0</v>
      </c>
      <c r="I679" t="n">
        <v>0</v>
      </c>
      <c r="J679" t="n">
        <v>0</v>
      </c>
      <c r="K679" t="n">
        <v>0</v>
      </c>
      <c r="L679" t="n">
        <v>0</v>
      </c>
      <c r="M679" t="n">
        <v>0</v>
      </c>
      <c r="N679" t="n">
        <v>0</v>
      </c>
      <c r="O679" t="n">
        <v>0</v>
      </c>
      <c r="P679" t="n">
        <v>0</v>
      </c>
      <c r="Q679" t="n">
        <v>0</v>
      </c>
      <c r="R679" s="2" t="inlineStr"/>
    </row>
    <row r="680" ht="15" customHeight="1">
      <c r="A680" t="inlineStr">
        <is>
          <t>A 18375-2022</t>
        </is>
      </c>
      <c r="B680" s="1" t="n">
        <v>44685</v>
      </c>
      <c r="C680" s="1" t="n">
        <v>45994</v>
      </c>
      <c r="D680" t="inlineStr">
        <is>
          <t>JÄMTLANDS LÄN</t>
        </is>
      </c>
      <c r="E680" t="inlineStr">
        <is>
          <t>RAGUNDA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17248-2023</t>
        </is>
      </c>
      <c r="B681" s="1" t="n">
        <v>45033</v>
      </c>
      <c r="C681" s="1" t="n">
        <v>45994</v>
      </c>
      <c r="D681" t="inlineStr">
        <is>
          <t>JÄMTLANDS LÄN</t>
        </is>
      </c>
      <c r="E681" t="inlineStr">
        <is>
          <t>RAGUNDA</t>
        </is>
      </c>
      <c r="G681" t="n">
        <v>3</v>
      </c>
      <c r="H681" t="n">
        <v>0</v>
      </c>
      <c r="I681" t="n">
        <v>0</v>
      </c>
      <c r="J681" t="n">
        <v>0</v>
      </c>
      <c r="K681" t="n">
        <v>0</v>
      </c>
      <c r="L681" t="n">
        <v>0</v>
      </c>
      <c r="M681" t="n">
        <v>0</v>
      </c>
      <c r="N681" t="n">
        <v>0</v>
      </c>
      <c r="O681" t="n">
        <v>0</v>
      </c>
      <c r="P681" t="n">
        <v>0</v>
      </c>
      <c r="Q681" t="n">
        <v>0</v>
      </c>
      <c r="R681" s="2" t="inlineStr"/>
    </row>
    <row r="682" ht="15" customHeight="1">
      <c r="A682" t="inlineStr">
        <is>
          <t>A 1537-2024</t>
        </is>
      </c>
      <c r="B682" s="1" t="n">
        <v>45306</v>
      </c>
      <c r="C682" s="1" t="n">
        <v>45994</v>
      </c>
      <c r="D682" t="inlineStr">
        <is>
          <t>JÄMTLANDS LÄN</t>
        </is>
      </c>
      <c r="E682" t="inlineStr">
        <is>
          <t>RAGUNDA</t>
        </is>
      </c>
      <c r="G682" t="n">
        <v>0.2</v>
      </c>
      <c r="H682" t="n">
        <v>0</v>
      </c>
      <c r="I682" t="n">
        <v>0</v>
      </c>
      <c r="J682" t="n">
        <v>0</v>
      </c>
      <c r="K682" t="n">
        <v>0</v>
      </c>
      <c r="L682" t="n">
        <v>0</v>
      </c>
      <c r="M682" t="n">
        <v>0</v>
      </c>
      <c r="N682" t="n">
        <v>0</v>
      </c>
      <c r="O682" t="n">
        <v>0</v>
      </c>
      <c r="P682" t="n">
        <v>0</v>
      </c>
      <c r="Q682" t="n">
        <v>0</v>
      </c>
      <c r="R682" s="2" t="inlineStr"/>
    </row>
    <row r="683" ht="15" customHeight="1">
      <c r="A683" t="inlineStr">
        <is>
          <t>A 19865-2023</t>
        </is>
      </c>
      <c r="B683" s="1" t="n">
        <v>45053.94305555556</v>
      </c>
      <c r="C683" s="1" t="n">
        <v>45994</v>
      </c>
      <c r="D683" t="inlineStr">
        <is>
          <t>JÄMTLANDS LÄN</t>
        </is>
      </c>
      <c r="E683" t="inlineStr">
        <is>
          <t>RAGUNDA</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62011-2022</t>
        </is>
      </c>
      <c r="B684" s="1" t="n">
        <v>44914</v>
      </c>
      <c r="C684" s="1" t="n">
        <v>45994</v>
      </c>
      <c r="D684" t="inlineStr">
        <is>
          <t>JÄMTLANDS LÄN</t>
        </is>
      </c>
      <c r="E684" t="inlineStr">
        <is>
          <t>RAGUNDA</t>
        </is>
      </c>
      <c r="G684" t="n">
        <v>0.3</v>
      </c>
      <c r="H684" t="n">
        <v>0</v>
      </c>
      <c r="I684" t="n">
        <v>0</v>
      </c>
      <c r="J684" t="n">
        <v>0</v>
      </c>
      <c r="K684" t="n">
        <v>0</v>
      </c>
      <c r="L684" t="n">
        <v>0</v>
      </c>
      <c r="M684" t="n">
        <v>0</v>
      </c>
      <c r="N684" t="n">
        <v>0</v>
      </c>
      <c r="O684" t="n">
        <v>0</v>
      </c>
      <c r="P684" t="n">
        <v>0</v>
      </c>
      <c r="Q684" t="n">
        <v>0</v>
      </c>
      <c r="R684" s="2" t="inlineStr"/>
    </row>
    <row r="685" ht="15" customHeight="1">
      <c r="A685" t="inlineStr">
        <is>
          <t>A 11557-2023</t>
        </is>
      </c>
      <c r="B685" s="1" t="n">
        <v>44993.94950231481</v>
      </c>
      <c r="C685" s="1" t="n">
        <v>45994</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11562-2023</t>
        </is>
      </c>
      <c r="B686" s="1" t="n">
        <v>44993</v>
      </c>
      <c r="C686" s="1" t="n">
        <v>45994</v>
      </c>
      <c r="D686" t="inlineStr">
        <is>
          <t>JÄMTLANDS LÄN</t>
        </is>
      </c>
      <c r="E686" t="inlineStr">
        <is>
          <t>RAGUNDA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60935-2024</t>
        </is>
      </c>
      <c r="B687" s="1" t="n">
        <v>45645.36740740741</v>
      </c>
      <c r="C687" s="1" t="n">
        <v>45994</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22131-2021</t>
        </is>
      </c>
      <c r="B688" s="1" t="n">
        <v>44323</v>
      </c>
      <c r="C688" s="1" t="n">
        <v>45994</v>
      </c>
      <c r="D688" t="inlineStr">
        <is>
          <t>JÄMTLANDS LÄN</t>
        </is>
      </c>
      <c r="E688" t="inlineStr">
        <is>
          <t>RAGUNDA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5971-2025</t>
        </is>
      </c>
      <c r="B689" s="1" t="n">
        <v>45695.51070601852</v>
      </c>
      <c r="C689" s="1" t="n">
        <v>45994</v>
      </c>
      <c r="D689" t="inlineStr">
        <is>
          <t>JÄMTLANDS LÄN</t>
        </is>
      </c>
      <c r="E689" t="inlineStr">
        <is>
          <t>RAGUNDA</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30563-2023</t>
        </is>
      </c>
      <c r="B690" s="1" t="n">
        <v>45111.92793981481</v>
      </c>
      <c r="C690" s="1" t="n">
        <v>45994</v>
      </c>
      <c r="D690" t="inlineStr">
        <is>
          <t>JÄMTLANDS LÄN</t>
        </is>
      </c>
      <c r="E690" t="inlineStr">
        <is>
          <t>RAGUNDA</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36212-2023</t>
        </is>
      </c>
      <c r="B691" s="1" t="n">
        <v>45149.95241898148</v>
      </c>
      <c r="C691" s="1" t="n">
        <v>45994</v>
      </c>
      <c r="D691" t="inlineStr">
        <is>
          <t>JÄMTLANDS LÄN</t>
        </is>
      </c>
      <c r="E691" t="inlineStr">
        <is>
          <t>RAGUNDA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6257-2025</t>
        </is>
      </c>
      <c r="B692" s="1" t="n">
        <v>45698.59409722222</v>
      </c>
      <c r="C692" s="1" t="n">
        <v>45994</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14074-2023</t>
        </is>
      </c>
      <c r="B693" s="1" t="n">
        <v>45009.089375</v>
      </c>
      <c r="C693" s="1" t="n">
        <v>45994</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37265-2024</t>
        </is>
      </c>
      <c r="B694" s="1" t="n">
        <v>45540.38564814815</v>
      </c>
      <c r="C694" s="1" t="n">
        <v>45994</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45994</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12773-2022</t>
        </is>
      </c>
      <c r="B696" s="1" t="n">
        <v>44641</v>
      </c>
      <c r="C696" s="1" t="n">
        <v>45994</v>
      </c>
      <c r="D696" t="inlineStr">
        <is>
          <t>JÄMTLANDS LÄN</t>
        </is>
      </c>
      <c r="E696" t="inlineStr">
        <is>
          <t>RAGUNDA</t>
        </is>
      </c>
      <c r="F696" t="inlineStr">
        <is>
          <t>SCA</t>
        </is>
      </c>
      <c r="G696" t="n">
        <v>14.7</v>
      </c>
      <c r="H696" t="n">
        <v>0</v>
      </c>
      <c r="I696" t="n">
        <v>0</v>
      </c>
      <c r="J696" t="n">
        <v>0</v>
      </c>
      <c r="K696" t="n">
        <v>0</v>
      </c>
      <c r="L696" t="n">
        <v>0</v>
      </c>
      <c r="M696" t="n">
        <v>0</v>
      </c>
      <c r="N696" t="n">
        <v>0</v>
      </c>
      <c r="O696" t="n">
        <v>0</v>
      </c>
      <c r="P696" t="n">
        <v>0</v>
      </c>
      <c r="Q696" t="n">
        <v>0</v>
      </c>
      <c r="R696" s="2" t="inlineStr"/>
    </row>
    <row r="697" ht="15" customHeight="1">
      <c r="A697" t="inlineStr">
        <is>
          <t>A 564-2025</t>
        </is>
      </c>
      <c r="B697" s="1" t="n">
        <v>45664.55241898148</v>
      </c>
      <c r="C697" s="1" t="n">
        <v>45994</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18777-2024</t>
        </is>
      </c>
      <c r="B698" s="1" t="n">
        <v>45426</v>
      </c>
      <c r="C698" s="1" t="n">
        <v>45994</v>
      </c>
      <c r="D698" t="inlineStr">
        <is>
          <t>JÄMTLANDS LÄN</t>
        </is>
      </c>
      <c r="E698" t="inlineStr">
        <is>
          <t>RAGUNDA</t>
        </is>
      </c>
      <c r="G698" t="n">
        <v>1.9</v>
      </c>
      <c r="H698" t="n">
        <v>0</v>
      </c>
      <c r="I698" t="n">
        <v>0</v>
      </c>
      <c r="J698" t="n">
        <v>0</v>
      </c>
      <c r="K698" t="n">
        <v>0</v>
      </c>
      <c r="L698" t="n">
        <v>0</v>
      </c>
      <c r="M698" t="n">
        <v>0</v>
      </c>
      <c r="N698" t="n">
        <v>0</v>
      </c>
      <c r="O698" t="n">
        <v>0</v>
      </c>
      <c r="P698" t="n">
        <v>0</v>
      </c>
      <c r="Q698" t="n">
        <v>0</v>
      </c>
      <c r="R698" s="2" t="inlineStr"/>
    </row>
    <row r="699" ht="15" customHeight="1">
      <c r="A699" t="inlineStr">
        <is>
          <t>A 50555-2024</t>
        </is>
      </c>
      <c r="B699" s="1" t="n">
        <v>45601.59518518519</v>
      </c>
      <c r="C699" s="1" t="n">
        <v>45994</v>
      </c>
      <c r="D699" t="inlineStr">
        <is>
          <t>JÄMTLANDS LÄN</t>
        </is>
      </c>
      <c r="E699" t="inlineStr">
        <is>
          <t>RAGUNDA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5067-2024</t>
        </is>
      </c>
      <c r="B700" s="1" t="n">
        <v>45329.95806712963</v>
      </c>
      <c r="C700" s="1" t="n">
        <v>45994</v>
      </c>
      <c r="D700" t="inlineStr">
        <is>
          <t>JÄMTLANDS LÄN</t>
        </is>
      </c>
      <c r="E700" t="inlineStr">
        <is>
          <t>RAGUNDA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59658-2023</t>
        </is>
      </c>
      <c r="B701" s="1" t="n">
        <v>45254.96402777778</v>
      </c>
      <c r="C701" s="1" t="n">
        <v>45994</v>
      </c>
      <c r="D701" t="inlineStr">
        <is>
          <t>JÄMTLANDS LÄN</t>
        </is>
      </c>
      <c r="E701" t="inlineStr">
        <is>
          <t>RAGUNDA</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58564-2024</t>
        </is>
      </c>
      <c r="B702" s="1" t="n">
        <v>45635.47243055556</v>
      </c>
      <c r="C702" s="1" t="n">
        <v>45994</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60629-2023</t>
        </is>
      </c>
      <c r="B703" s="1" t="n">
        <v>45259</v>
      </c>
      <c r="C703" s="1" t="n">
        <v>45994</v>
      </c>
      <c r="D703" t="inlineStr">
        <is>
          <t>JÄMTLANDS LÄN</t>
        </is>
      </c>
      <c r="E703" t="inlineStr">
        <is>
          <t>RAGUNDA</t>
        </is>
      </c>
      <c r="G703" t="n">
        <v>3.4</v>
      </c>
      <c r="H703" t="n">
        <v>0</v>
      </c>
      <c r="I703" t="n">
        <v>0</v>
      </c>
      <c r="J703" t="n">
        <v>0</v>
      </c>
      <c r="K703" t="n">
        <v>0</v>
      </c>
      <c r="L703" t="n">
        <v>0</v>
      </c>
      <c r="M703" t="n">
        <v>0</v>
      </c>
      <c r="N703" t="n">
        <v>0</v>
      </c>
      <c r="O703" t="n">
        <v>0</v>
      </c>
      <c r="P703" t="n">
        <v>0</v>
      </c>
      <c r="Q703" t="n">
        <v>0</v>
      </c>
      <c r="R703" s="2" t="inlineStr"/>
    </row>
    <row r="704" ht="15" customHeight="1">
      <c r="A704" t="inlineStr">
        <is>
          <t>A 49649-2024</t>
        </is>
      </c>
      <c r="B704" s="1" t="n">
        <v>45596.61553240741</v>
      </c>
      <c r="C704" s="1" t="n">
        <v>45994</v>
      </c>
      <c r="D704" t="inlineStr">
        <is>
          <t>JÄMTLANDS LÄN</t>
        </is>
      </c>
      <c r="E704" t="inlineStr">
        <is>
          <t>RAGUNDA</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8243-2024</t>
        </is>
      </c>
      <c r="B705" s="1" t="n">
        <v>45351.98532407408</v>
      </c>
      <c r="C705" s="1" t="n">
        <v>45994</v>
      </c>
      <c r="D705" t="inlineStr">
        <is>
          <t>JÄMTLANDS LÄN</t>
        </is>
      </c>
      <c r="E705" t="inlineStr">
        <is>
          <t>RAGUNDA</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1325-2025</t>
        </is>
      </c>
      <c r="B706" s="1" t="n">
        <v>45667.57342592593</v>
      </c>
      <c r="C706" s="1" t="n">
        <v>45994</v>
      </c>
      <c r="D706" t="inlineStr">
        <is>
          <t>JÄMTLANDS LÄN</t>
        </is>
      </c>
      <c r="E706" t="inlineStr">
        <is>
          <t>RAGUNDA</t>
        </is>
      </c>
      <c r="F706" t="inlineStr">
        <is>
          <t>SCA</t>
        </is>
      </c>
      <c r="G706" t="n">
        <v>20.2</v>
      </c>
      <c r="H706" t="n">
        <v>0</v>
      </c>
      <c r="I706" t="n">
        <v>0</v>
      </c>
      <c r="J706" t="n">
        <v>0</v>
      </c>
      <c r="K706" t="n">
        <v>0</v>
      </c>
      <c r="L706" t="n">
        <v>0</v>
      </c>
      <c r="M706" t="n">
        <v>0</v>
      </c>
      <c r="N706" t="n">
        <v>0</v>
      </c>
      <c r="O706" t="n">
        <v>0</v>
      </c>
      <c r="P706" t="n">
        <v>0</v>
      </c>
      <c r="Q706" t="n">
        <v>0</v>
      </c>
      <c r="R706" s="2" t="inlineStr"/>
    </row>
    <row r="707" ht="15" customHeight="1">
      <c r="A707" t="inlineStr">
        <is>
          <t>A 14905-2022</t>
        </is>
      </c>
      <c r="B707" s="1" t="n">
        <v>44656.94708333333</v>
      </c>
      <c r="C707" s="1" t="n">
        <v>45994</v>
      </c>
      <c r="D707" t="inlineStr">
        <is>
          <t>JÄMTLANDS LÄN</t>
        </is>
      </c>
      <c r="E707" t="inlineStr">
        <is>
          <t>RAGUNDA</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2831-2024</t>
        </is>
      </c>
      <c r="B708" s="1" t="n">
        <v>45314.92758101852</v>
      </c>
      <c r="C708" s="1" t="n">
        <v>45994</v>
      </c>
      <c r="D708" t="inlineStr">
        <is>
          <t>JÄMTLANDS LÄN</t>
        </is>
      </c>
      <c r="E708" t="inlineStr">
        <is>
          <t>RAGUNDA</t>
        </is>
      </c>
      <c r="G708" t="n">
        <v>0.6</v>
      </c>
      <c r="H708" t="n">
        <v>0</v>
      </c>
      <c r="I708" t="n">
        <v>0</v>
      </c>
      <c r="J708" t="n">
        <v>0</v>
      </c>
      <c r="K708" t="n">
        <v>0</v>
      </c>
      <c r="L708" t="n">
        <v>0</v>
      </c>
      <c r="M708" t="n">
        <v>0</v>
      </c>
      <c r="N708" t="n">
        <v>0</v>
      </c>
      <c r="O708" t="n">
        <v>0</v>
      </c>
      <c r="P708" t="n">
        <v>0</v>
      </c>
      <c r="Q708" t="n">
        <v>0</v>
      </c>
      <c r="R708" s="2" t="inlineStr"/>
    </row>
    <row r="709" ht="15" customHeight="1">
      <c r="A709" t="inlineStr">
        <is>
          <t>A 18159-2023</t>
        </is>
      </c>
      <c r="B709" s="1" t="n">
        <v>45040.94277777777</v>
      </c>
      <c r="C709" s="1" t="n">
        <v>45994</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53740-2024</t>
        </is>
      </c>
      <c r="B710" s="1" t="n">
        <v>45615.47091435185</v>
      </c>
      <c r="C710" s="1" t="n">
        <v>45994</v>
      </c>
      <c r="D710" t="inlineStr">
        <is>
          <t>JÄMTLANDS LÄN</t>
        </is>
      </c>
      <c r="E710" t="inlineStr">
        <is>
          <t>RAGUNDA</t>
        </is>
      </c>
      <c r="G710" t="n">
        <v>2.7</v>
      </c>
      <c r="H710" t="n">
        <v>0</v>
      </c>
      <c r="I710" t="n">
        <v>0</v>
      </c>
      <c r="J710" t="n">
        <v>0</v>
      </c>
      <c r="K710" t="n">
        <v>0</v>
      </c>
      <c r="L710" t="n">
        <v>0</v>
      </c>
      <c r="M710" t="n">
        <v>0</v>
      </c>
      <c r="N710" t="n">
        <v>0</v>
      </c>
      <c r="O710" t="n">
        <v>0</v>
      </c>
      <c r="P710" t="n">
        <v>0</v>
      </c>
      <c r="Q710" t="n">
        <v>0</v>
      </c>
      <c r="R710" s="2" t="inlineStr"/>
    </row>
    <row r="711" ht="15" customHeight="1">
      <c r="A711" t="inlineStr">
        <is>
          <t>A 59372-2024</t>
        </is>
      </c>
      <c r="B711" s="1" t="n">
        <v>45638.34431712963</v>
      </c>
      <c r="C711" s="1" t="n">
        <v>45994</v>
      </c>
      <c r="D711" t="inlineStr">
        <is>
          <t>JÄMTLANDS LÄN</t>
        </is>
      </c>
      <c r="E711" t="inlineStr">
        <is>
          <t>RAGUNDA</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19486-2024</t>
        </is>
      </c>
      <c r="B712" s="1" t="n">
        <v>45429</v>
      </c>
      <c r="C712" s="1" t="n">
        <v>45994</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1326-2025</t>
        </is>
      </c>
      <c r="B713" s="1" t="n">
        <v>45667.57347222222</v>
      </c>
      <c r="C713" s="1" t="n">
        <v>45994</v>
      </c>
      <c r="D713" t="inlineStr">
        <is>
          <t>JÄMTLANDS LÄN</t>
        </is>
      </c>
      <c r="E713" t="inlineStr">
        <is>
          <t>RAGUNDA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30642-2024</t>
        </is>
      </c>
      <c r="B714" s="1" t="n">
        <v>45495.57677083334</v>
      </c>
      <c r="C714" s="1" t="n">
        <v>45994</v>
      </c>
      <c r="D714" t="inlineStr">
        <is>
          <t>JÄMTLANDS LÄN</t>
        </is>
      </c>
      <c r="E714" t="inlineStr">
        <is>
          <t>RAGUNDA</t>
        </is>
      </c>
      <c r="G714" t="n">
        <v>2.7</v>
      </c>
      <c r="H714" t="n">
        <v>0</v>
      </c>
      <c r="I714" t="n">
        <v>0</v>
      </c>
      <c r="J714" t="n">
        <v>0</v>
      </c>
      <c r="K714" t="n">
        <v>0</v>
      </c>
      <c r="L714" t="n">
        <v>0</v>
      </c>
      <c r="M714" t="n">
        <v>0</v>
      </c>
      <c r="N714" t="n">
        <v>0</v>
      </c>
      <c r="O714" t="n">
        <v>0</v>
      </c>
      <c r="P714" t="n">
        <v>0</v>
      </c>
      <c r="Q714" t="n">
        <v>0</v>
      </c>
      <c r="R714" s="2" t="inlineStr"/>
    </row>
    <row r="715" ht="15" customHeight="1">
      <c r="A715" t="inlineStr">
        <is>
          <t>A 993-2025</t>
        </is>
      </c>
      <c r="B715" s="1" t="n">
        <v>45666.44943287037</v>
      </c>
      <c r="C715" s="1" t="n">
        <v>45994</v>
      </c>
      <c r="D715" t="inlineStr">
        <is>
          <t>JÄMTLANDS LÄN</t>
        </is>
      </c>
      <c r="E715" t="inlineStr">
        <is>
          <t>RAGUNDA</t>
        </is>
      </c>
      <c r="G715" t="n">
        <v>11.3</v>
      </c>
      <c r="H715" t="n">
        <v>0</v>
      </c>
      <c r="I715" t="n">
        <v>0</v>
      </c>
      <c r="J715" t="n">
        <v>0</v>
      </c>
      <c r="K715" t="n">
        <v>0</v>
      </c>
      <c r="L715" t="n">
        <v>0</v>
      </c>
      <c r="M715" t="n">
        <v>0</v>
      </c>
      <c r="N715" t="n">
        <v>0</v>
      </c>
      <c r="O715" t="n">
        <v>0</v>
      </c>
      <c r="P715" t="n">
        <v>0</v>
      </c>
      <c r="Q715" t="n">
        <v>0</v>
      </c>
      <c r="R715" s="2" t="inlineStr"/>
    </row>
    <row r="716" ht="15" customHeight="1">
      <c r="A716" t="inlineStr">
        <is>
          <t>A 29766-2023</t>
        </is>
      </c>
      <c r="B716" s="1" t="n">
        <v>45098</v>
      </c>
      <c r="C716" s="1" t="n">
        <v>45994</v>
      </c>
      <c r="D716" t="inlineStr">
        <is>
          <t>JÄMTLANDS LÄN</t>
        </is>
      </c>
      <c r="E716" t="inlineStr">
        <is>
          <t>RAGUNDA</t>
        </is>
      </c>
      <c r="G716" t="n">
        <v>2.7</v>
      </c>
      <c r="H716" t="n">
        <v>0</v>
      </c>
      <c r="I716" t="n">
        <v>0</v>
      </c>
      <c r="J716" t="n">
        <v>0</v>
      </c>
      <c r="K716" t="n">
        <v>0</v>
      </c>
      <c r="L716" t="n">
        <v>0</v>
      </c>
      <c r="M716" t="n">
        <v>0</v>
      </c>
      <c r="N716" t="n">
        <v>0</v>
      </c>
      <c r="O716" t="n">
        <v>0</v>
      </c>
      <c r="P716" t="n">
        <v>0</v>
      </c>
      <c r="Q716" t="n">
        <v>0</v>
      </c>
      <c r="R716" s="2" t="inlineStr"/>
    </row>
    <row r="717" ht="15" customHeight="1">
      <c r="A717" t="inlineStr">
        <is>
          <t>A 58193-2022</t>
        </is>
      </c>
      <c r="B717" s="1" t="n">
        <v>44900.95700231481</v>
      </c>
      <c r="C717" s="1" t="n">
        <v>45994</v>
      </c>
      <c r="D717" t="inlineStr">
        <is>
          <t>JÄMTLANDS LÄN</t>
        </is>
      </c>
      <c r="E717" t="inlineStr">
        <is>
          <t>RAGUNDA</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61107-2024</t>
        </is>
      </c>
      <c r="B718" s="1" t="n">
        <v>45645.55665509259</v>
      </c>
      <c r="C718" s="1" t="n">
        <v>45994</v>
      </c>
      <c r="D718" t="inlineStr">
        <is>
          <t>JÄMTLANDS LÄN</t>
        </is>
      </c>
      <c r="E718" t="inlineStr">
        <is>
          <t>RAGUNDA</t>
        </is>
      </c>
      <c r="G718" t="n">
        <v>3.2</v>
      </c>
      <c r="H718" t="n">
        <v>0</v>
      </c>
      <c r="I718" t="n">
        <v>0</v>
      </c>
      <c r="J718" t="n">
        <v>0</v>
      </c>
      <c r="K718" t="n">
        <v>0</v>
      </c>
      <c r="L718" t="n">
        <v>0</v>
      </c>
      <c r="M718" t="n">
        <v>0</v>
      </c>
      <c r="N718" t="n">
        <v>0</v>
      </c>
      <c r="O718" t="n">
        <v>0</v>
      </c>
      <c r="P718" t="n">
        <v>0</v>
      </c>
      <c r="Q718" t="n">
        <v>0</v>
      </c>
      <c r="R718" s="2" t="inlineStr"/>
    </row>
    <row r="719" ht="15" customHeight="1">
      <c r="A719" t="inlineStr">
        <is>
          <t>A 23287-2024</t>
        </is>
      </c>
      <c r="B719" s="1" t="n">
        <v>45453.42041666667</v>
      </c>
      <c r="C719" s="1" t="n">
        <v>45994</v>
      </c>
      <c r="D719" t="inlineStr">
        <is>
          <t>JÄMTLANDS LÄN</t>
        </is>
      </c>
      <c r="E719" t="inlineStr">
        <is>
          <t>RAGUNDA</t>
        </is>
      </c>
      <c r="G719" t="n">
        <v>3.1</v>
      </c>
      <c r="H719" t="n">
        <v>0</v>
      </c>
      <c r="I719" t="n">
        <v>0</v>
      </c>
      <c r="J719" t="n">
        <v>0</v>
      </c>
      <c r="K719" t="n">
        <v>0</v>
      </c>
      <c r="L719" t="n">
        <v>0</v>
      </c>
      <c r="M719" t="n">
        <v>0</v>
      </c>
      <c r="N719" t="n">
        <v>0</v>
      </c>
      <c r="O719" t="n">
        <v>0</v>
      </c>
      <c r="P719" t="n">
        <v>0</v>
      </c>
      <c r="Q719" t="n">
        <v>0</v>
      </c>
      <c r="R719" s="2" t="inlineStr"/>
    </row>
    <row r="720" ht="15" customHeight="1">
      <c r="A720" t="inlineStr">
        <is>
          <t>A 36922-2022</t>
        </is>
      </c>
      <c r="B720" s="1" t="n">
        <v>44805.94592592592</v>
      </c>
      <c r="C720" s="1" t="n">
        <v>45994</v>
      </c>
      <c r="D720" t="inlineStr">
        <is>
          <t>JÄMTLANDS LÄN</t>
        </is>
      </c>
      <c r="E720" t="inlineStr">
        <is>
          <t>RAGUNDA</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26347-2023</t>
        </is>
      </c>
      <c r="B721" s="1" t="n">
        <v>45091</v>
      </c>
      <c r="C721" s="1" t="n">
        <v>45994</v>
      </c>
      <c r="D721" t="inlineStr">
        <is>
          <t>JÄMTLANDS LÄN</t>
        </is>
      </c>
      <c r="E721" t="inlineStr">
        <is>
          <t>RAGUNDA</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28081-2022</t>
        </is>
      </c>
      <c r="B722" s="1" t="n">
        <v>44746</v>
      </c>
      <c r="C722" s="1" t="n">
        <v>45994</v>
      </c>
      <c r="D722" t="inlineStr">
        <is>
          <t>JÄMTLANDS LÄN</t>
        </is>
      </c>
      <c r="E722" t="inlineStr">
        <is>
          <t>RAGUNDA</t>
        </is>
      </c>
      <c r="G722" t="n">
        <v>7.2</v>
      </c>
      <c r="H722" t="n">
        <v>0</v>
      </c>
      <c r="I722" t="n">
        <v>0</v>
      </c>
      <c r="J722" t="n">
        <v>0</v>
      </c>
      <c r="K722" t="n">
        <v>0</v>
      </c>
      <c r="L722" t="n">
        <v>0</v>
      </c>
      <c r="M722" t="n">
        <v>0</v>
      </c>
      <c r="N722" t="n">
        <v>0</v>
      </c>
      <c r="O722" t="n">
        <v>0</v>
      </c>
      <c r="P722" t="n">
        <v>0</v>
      </c>
      <c r="Q722" t="n">
        <v>0</v>
      </c>
      <c r="R722" s="2" t="inlineStr"/>
    </row>
    <row r="723" ht="15" customHeight="1">
      <c r="A723" t="inlineStr">
        <is>
          <t>A 34483-2023</t>
        </is>
      </c>
      <c r="B723" s="1" t="n">
        <v>45139.94681712963</v>
      </c>
      <c r="C723" s="1" t="n">
        <v>45994</v>
      </c>
      <c r="D723" t="inlineStr">
        <is>
          <t>JÄMTLANDS LÄN</t>
        </is>
      </c>
      <c r="E723" t="inlineStr">
        <is>
          <t>RAGUNDA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12522-2023</t>
        </is>
      </c>
      <c r="B724" s="1" t="n">
        <v>45000</v>
      </c>
      <c r="C724" s="1" t="n">
        <v>45994</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12523-2023</t>
        </is>
      </c>
      <c r="B725" s="1" t="n">
        <v>45000</v>
      </c>
      <c r="C725" s="1" t="n">
        <v>45994</v>
      </c>
      <c r="D725" t="inlineStr">
        <is>
          <t>JÄMTLANDS LÄN</t>
        </is>
      </c>
      <c r="E725" t="inlineStr">
        <is>
          <t>RAGUNDA</t>
        </is>
      </c>
      <c r="F725" t="inlineStr">
        <is>
          <t>SCA</t>
        </is>
      </c>
      <c r="G725" t="n">
        <v>14.3</v>
      </c>
      <c r="H725" t="n">
        <v>0</v>
      </c>
      <c r="I725" t="n">
        <v>0</v>
      </c>
      <c r="J725" t="n">
        <v>0</v>
      </c>
      <c r="K725" t="n">
        <v>0</v>
      </c>
      <c r="L725" t="n">
        <v>0</v>
      </c>
      <c r="M725" t="n">
        <v>0</v>
      </c>
      <c r="N725" t="n">
        <v>0</v>
      </c>
      <c r="O725" t="n">
        <v>0</v>
      </c>
      <c r="P725" t="n">
        <v>0</v>
      </c>
      <c r="Q725" t="n">
        <v>0</v>
      </c>
      <c r="R725" s="2" t="inlineStr"/>
    </row>
    <row r="726" ht="15" customHeight="1">
      <c r="A726" t="inlineStr">
        <is>
          <t>A 22948-2024</t>
        </is>
      </c>
      <c r="B726" s="1" t="n">
        <v>45448.94600694445</v>
      </c>
      <c r="C726" s="1" t="n">
        <v>45994</v>
      </c>
      <c r="D726" t="inlineStr">
        <is>
          <t>JÄMTLANDS LÄN</t>
        </is>
      </c>
      <c r="E726" t="inlineStr">
        <is>
          <t>RAGUNDA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24861-2023</t>
        </is>
      </c>
      <c r="B727" s="1" t="n">
        <v>45078</v>
      </c>
      <c r="C727" s="1" t="n">
        <v>45994</v>
      </c>
      <c r="D727" t="inlineStr">
        <is>
          <t>JÄMTLANDS LÄN</t>
        </is>
      </c>
      <c r="E727" t="inlineStr">
        <is>
          <t>RAGUNDA</t>
        </is>
      </c>
      <c r="G727" t="n">
        <v>1.3</v>
      </c>
      <c r="H727" t="n">
        <v>0</v>
      </c>
      <c r="I727" t="n">
        <v>0</v>
      </c>
      <c r="J727" t="n">
        <v>0</v>
      </c>
      <c r="K727" t="n">
        <v>0</v>
      </c>
      <c r="L727" t="n">
        <v>0</v>
      </c>
      <c r="M727" t="n">
        <v>0</v>
      </c>
      <c r="N727" t="n">
        <v>0</v>
      </c>
      <c r="O727" t="n">
        <v>0</v>
      </c>
      <c r="P727" t="n">
        <v>0</v>
      </c>
      <c r="Q727" t="n">
        <v>0</v>
      </c>
      <c r="R727" s="2" t="inlineStr"/>
    </row>
    <row r="728" ht="15" customHeight="1">
      <c r="A728" t="inlineStr">
        <is>
          <t>A 51049-2024</t>
        </is>
      </c>
      <c r="B728" s="1" t="n">
        <v>45603.44644675926</v>
      </c>
      <c r="C728" s="1" t="n">
        <v>45994</v>
      </c>
      <c r="D728" t="inlineStr">
        <is>
          <t>JÄMTLANDS LÄN</t>
        </is>
      </c>
      <c r="E728" t="inlineStr">
        <is>
          <t>RAGUNDA</t>
        </is>
      </c>
      <c r="F728" t="inlineStr">
        <is>
          <t>SCA</t>
        </is>
      </c>
      <c r="G728" t="n">
        <v>6.9</v>
      </c>
      <c r="H728" t="n">
        <v>0</v>
      </c>
      <c r="I728" t="n">
        <v>0</v>
      </c>
      <c r="J728" t="n">
        <v>0</v>
      </c>
      <c r="K728" t="n">
        <v>0</v>
      </c>
      <c r="L728" t="n">
        <v>0</v>
      </c>
      <c r="M728" t="n">
        <v>0</v>
      </c>
      <c r="N728" t="n">
        <v>0</v>
      </c>
      <c r="O728" t="n">
        <v>0</v>
      </c>
      <c r="P728" t="n">
        <v>0</v>
      </c>
      <c r="Q728" t="n">
        <v>0</v>
      </c>
      <c r="R728" s="2" t="inlineStr"/>
    </row>
    <row r="729" ht="15" customHeight="1">
      <c r="A729" t="inlineStr">
        <is>
          <t>A 44759-2024</t>
        </is>
      </c>
      <c r="B729" s="1" t="n">
        <v>45574.61634259259</v>
      </c>
      <c r="C729" s="1" t="n">
        <v>45994</v>
      </c>
      <c r="D729" t="inlineStr">
        <is>
          <t>JÄMTLANDS LÄN</t>
        </is>
      </c>
      <c r="E729" t="inlineStr">
        <is>
          <t>RAGUNDA</t>
        </is>
      </c>
      <c r="G729" t="n">
        <v>1.9</v>
      </c>
      <c r="H729" t="n">
        <v>0</v>
      </c>
      <c r="I729" t="n">
        <v>0</v>
      </c>
      <c r="J729" t="n">
        <v>0</v>
      </c>
      <c r="K729" t="n">
        <v>0</v>
      </c>
      <c r="L729" t="n">
        <v>0</v>
      </c>
      <c r="M729" t="n">
        <v>0</v>
      </c>
      <c r="N729" t="n">
        <v>0</v>
      </c>
      <c r="O729" t="n">
        <v>0</v>
      </c>
      <c r="P729" t="n">
        <v>0</v>
      </c>
      <c r="Q729" t="n">
        <v>0</v>
      </c>
      <c r="R729" s="2" t="inlineStr"/>
    </row>
    <row r="730" ht="15" customHeight="1">
      <c r="A730" t="inlineStr">
        <is>
          <t>A 37324-2022</t>
        </is>
      </c>
      <c r="B730" s="1" t="n">
        <v>44806</v>
      </c>
      <c r="C730" s="1" t="n">
        <v>45994</v>
      </c>
      <c r="D730" t="inlineStr">
        <is>
          <t>JÄMTLANDS LÄN</t>
        </is>
      </c>
      <c r="E730" t="inlineStr">
        <is>
          <t>RAGUNDA</t>
        </is>
      </c>
      <c r="G730" t="n">
        <v>2.3</v>
      </c>
      <c r="H730" t="n">
        <v>0</v>
      </c>
      <c r="I730" t="n">
        <v>0</v>
      </c>
      <c r="J730" t="n">
        <v>0</v>
      </c>
      <c r="K730" t="n">
        <v>0</v>
      </c>
      <c r="L730" t="n">
        <v>0</v>
      </c>
      <c r="M730" t="n">
        <v>0</v>
      </c>
      <c r="N730" t="n">
        <v>0</v>
      </c>
      <c r="O730" t="n">
        <v>0</v>
      </c>
      <c r="P730" t="n">
        <v>0</v>
      </c>
      <c r="Q730" t="n">
        <v>0</v>
      </c>
      <c r="R730" s="2" t="inlineStr"/>
    </row>
    <row r="731" ht="15" customHeight="1">
      <c r="A731" t="inlineStr">
        <is>
          <t>A 41343-2024</t>
        </is>
      </c>
      <c r="B731" s="1" t="n">
        <v>45559.67745370371</v>
      </c>
      <c r="C731" s="1" t="n">
        <v>45994</v>
      </c>
      <c r="D731" t="inlineStr">
        <is>
          <t>JÄMTLANDS LÄN</t>
        </is>
      </c>
      <c r="E731" t="inlineStr">
        <is>
          <t>RAGUNDA</t>
        </is>
      </c>
      <c r="F731" t="inlineStr">
        <is>
          <t>SCA</t>
        </is>
      </c>
      <c r="G731" t="n">
        <v>25.1</v>
      </c>
      <c r="H731" t="n">
        <v>0</v>
      </c>
      <c r="I731" t="n">
        <v>0</v>
      </c>
      <c r="J731" t="n">
        <v>0</v>
      </c>
      <c r="K731" t="n">
        <v>0</v>
      </c>
      <c r="L731" t="n">
        <v>0</v>
      </c>
      <c r="M731" t="n">
        <v>0</v>
      </c>
      <c r="N731" t="n">
        <v>0</v>
      </c>
      <c r="O731" t="n">
        <v>0</v>
      </c>
      <c r="P731" t="n">
        <v>0</v>
      </c>
      <c r="Q731" t="n">
        <v>0</v>
      </c>
      <c r="R731" s="2" t="inlineStr"/>
    </row>
    <row r="732" ht="15" customHeight="1">
      <c r="A732" t="inlineStr">
        <is>
          <t>A 13905-2025</t>
        </is>
      </c>
      <c r="B732" s="1" t="n">
        <v>45737.63574074074</v>
      </c>
      <c r="C732" s="1" t="n">
        <v>45994</v>
      </c>
      <c r="D732" t="inlineStr">
        <is>
          <t>JÄMTLANDS LÄN</t>
        </is>
      </c>
      <c r="E732" t="inlineStr">
        <is>
          <t>RAGUNDA</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13941-2025</t>
        </is>
      </c>
      <c r="B733" s="1" t="n">
        <v>45737.69822916666</v>
      </c>
      <c r="C733" s="1" t="n">
        <v>45994</v>
      </c>
      <c r="D733" t="inlineStr">
        <is>
          <t>JÄMTLANDS LÄN</t>
        </is>
      </c>
      <c r="E733" t="inlineStr">
        <is>
          <t>RAGUNDA</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45953-2023</t>
        </is>
      </c>
      <c r="B734" s="1" t="n">
        <v>45195.94672453704</v>
      </c>
      <c r="C734" s="1" t="n">
        <v>45994</v>
      </c>
      <c r="D734" t="inlineStr">
        <is>
          <t>JÄMTLANDS LÄN</t>
        </is>
      </c>
      <c r="E734" t="inlineStr">
        <is>
          <t>RAGUNDA</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16982-2024</t>
        </is>
      </c>
      <c r="B735" s="1" t="n">
        <v>45412.02506944445</v>
      </c>
      <c r="C735" s="1" t="n">
        <v>45994</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50160-2023</t>
        </is>
      </c>
      <c r="B736" s="1" t="n">
        <v>45208</v>
      </c>
      <c r="C736" s="1" t="n">
        <v>45994</v>
      </c>
      <c r="D736" t="inlineStr">
        <is>
          <t>JÄMTLANDS LÄN</t>
        </is>
      </c>
      <c r="E736" t="inlineStr">
        <is>
          <t>RAGUNDA</t>
        </is>
      </c>
      <c r="G736" t="n">
        <v>4.6</v>
      </c>
      <c r="H736" t="n">
        <v>0</v>
      </c>
      <c r="I736" t="n">
        <v>0</v>
      </c>
      <c r="J736" t="n">
        <v>0</v>
      </c>
      <c r="K736" t="n">
        <v>0</v>
      </c>
      <c r="L736" t="n">
        <v>0</v>
      </c>
      <c r="M736" t="n">
        <v>0</v>
      </c>
      <c r="N736" t="n">
        <v>0</v>
      </c>
      <c r="O736" t="n">
        <v>0</v>
      </c>
      <c r="P736" t="n">
        <v>0</v>
      </c>
      <c r="Q736" t="n">
        <v>0</v>
      </c>
      <c r="R736" s="2" t="inlineStr"/>
    </row>
    <row r="737" ht="15" customHeight="1">
      <c r="A737" t="inlineStr">
        <is>
          <t>A 49650-2024</t>
        </is>
      </c>
      <c r="B737" s="1" t="n">
        <v>45596.61569444444</v>
      </c>
      <c r="C737" s="1" t="n">
        <v>45994</v>
      </c>
      <c r="D737" t="inlineStr">
        <is>
          <t>JÄMTLANDS LÄN</t>
        </is>
      </c>
      <c r="E737" t="inlineStr">
        <is>
          <t>RAGUNDA</t>
        </is>
      </c>
      <c r="F737" t="inlineStr">
        <is>
          <t>Naturvårdsverket</t>
        </is>
      </c>
      <c r="G737" t="n">
        <v>3</v>
      </c>
      <c r="H737" t="n">
        <v>0</v>
      </c>
      <c r="I737" t="n">
        <v>0</v>
      </c>
      <c r="J737" t="n">
        <v>0</v>
      </c>
      <c r="K737" t="n">
        <v>0</v>
      </c>
      <c r="L737" t="n">
        <v>0</v>
      </c>
      <c r="M737" t="n">
        <v>0</v>
      </c>
      <c r="N737" t="n">
        <v>0</v>
      </c>
      <c r="O737" t="n">
        <v>0</v>
      </c>
      <c r="P737" t="n">
        <v>0</v>
      </c>
      <c r="Q737" t="n">
        <v>0</v>
      </c>
      <c r="R737" s="2" t="inlineStr"/>
    </row>
    <row r="738" ht="15" customHeight="1">
      <c r="A738" t="inlineStr">
        <is>
          <t>A 49651-2024</t>
        </is>
      </c>
      <c r="B738" s="1" t="n">
        <v>45596.61582175926</v>
      </c>
      <c r="C738" s="1" t="n">
        <v>45994</v>
      </c>
      <c r="D738" t="inlineStr">
        <is>
          <t>JÄMTLANDS LÄN</t>
        </is>
      </c>
      <c r="E738" t="inlineStr">
        <is>
          <t>RAGUNDA</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23304-2023</t>
        </is>
      </c>
      <c r="B739" s="1" t="n">
        <v>45075.945</v>
      </c>
      <c r="C739" s="1" t="n">
        <v>45994</v>
      </c>
      <c r="D739" t="inlineStr">
        <is>
          <t>JÄMTLANDS LÄN</t>
        </is>
      </c>
      <c r="E739" t="inlineStr">
        <is>
          <t>RAGUNDA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64264-2023</t>
        </is>
      </c>
      <c r="B740" s="1" t="n">
        <v>45279.94564814815</v>
      </c>
      <c r="C740" s="1" t="n">
        <v>45994</v>
      </c>
      <c r="D740" t="inlineStr">
        <is>
          <t>JÄMTLANDS LÄN</t>
        </is>
      </c>
      <c r="E740" t="inlineStr">
        <is>
          <t>RAGUNDA</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36226-2023</t>
        </is>
      </c>
      <c r="B741" s="1" t="n">
        <v>45149.95372685185</v>
      </c>
      <c r="C741" s="1" t="n">
        <v>45994</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18615-2024</t>
        </is>
      </c>
      <c r="B742" s="1" t="n">
        <v>45425.96275462963</v>
      </c>
      <c r="C742" s="1" t="n">
        <v>45994</v>
      </c>
      <c r="D742" t="inlineStr">
        <is>
          <t>JÄMTLANDS LÄN</t>
        </is>
      </c>
      <c r="E742" t="inlineStr">
        <is>
          <t>RAGUNDA</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51245-2024</t>
        </is>
      </c>
      <c r="B743" s="1" t="n">
        <v>45603.67850694444</v>
      </c>
      <c r="C743" s="1" t="n">
        <v>45994</v>
      </c>
      <c r="D743" t="inlineStr">
        <is>
          <t>JÄMTLANDS LÄN</t>
        </is>
      </c>
      <c r="E743" t="inlineStr">
        <is>
          <t>RAGUNDA</t>
        </is>
      </c>
      <c r="G743" t="n">
        <v>0.9</v>
      </c>
      <c r="H743" t="n">
        <v>0</v>
      </c>
      <c r="I743" t="n">
        <v>0</v>
      </c>
      <c r="J743" t="n">
        <v>0</v>
      </c>
      <c r="K743" t="n">
        <v>0</v>
      </c>
      <c r="L743" t="n">
        <v>0</v>
      </c>
      <c r="M743" t="n">
        <v>0</v>
      </c>
      <c r="N743" t="n">
        <v>0</v>
      </c>
      <c r="O743" t="n">
        <v>0</v>
      </c>
      <c r="P743" t="n">
        <v>0</v>
      </c>
      <c r="Q743" t="n">
        <v>0</v>
      </c>
      <c r="R743" s="2" t="inlineStr"/>
    </row>
    <row r="744" ht="15" customHeight="1">
      <c r="A744" t="inlineStr">
        <is>
          <t>A 40269-2022</t>
        </is>
      </c>
      <c r="B744" s="1" t="n">
        <v>44820</v>
      </c>
      <c r="C744" s="1" t="n">
        <v>45994</v>
      </c>
      <c r="D744" t="inlineStr">
        <is>
          <t>JÄMTLANDS LÄN</t>
        </is>
      </c>
      <c r="E744" t="inlineStr">
        <is>
          <t>RAGUNDA</t>
        </is>
      </c>
      <c r="F744" t="inlineStr">
        <is>
          <t>SCA</t>
        </is>
      </c>
      <c r="G744" t="n">
        <v>77.8</v>
      </c>
      <c r="H744" t="n">
        <v>0</v>
      </c>
      <c r="I744" t="n">
        <v>0</v>
      </c>
      <c r="J744" t="n">
        <v>0</v>
      </c>
      <c r="K744" t="n">
        <v>0</v>
      </c>
      <c r="L744" t="n">
        <v>0</v>
      </c>
      <c r="M744" t="n">
        <v>0</v>
      </c>
      <c r="N744" t="n">
        <v>0</v>
      </c>
      <c r="O744" t="n">
        <v>0</v>
      </c>
      <c r="P744" t="n">
        <v>0</v>
      </c>
      <c r="Q744" t="n">
        <v>0</v>
      </c>
      <c r="R744" s="2" t="inlineStr"/>
    </row>
    <row r="745" ht="15" customHeight="1">
      <c r="A745" t="inlineStr">
        <is>
          <t>A 37242-2024</t>
        </is>
      </c>
      <c r="B745" s="1" t="n">
        <v>45540.34428240741</v>
      </c>
      <c r="C745" s="1" t="n">
        <v>45994</v>
      </c>
      <c r="D745" t="inlineStr">
        <is>
          <t>JÄMTLANDS LÄN</t>
        </is>
      </c>
      <c r="E745" t="inlineStr">
        <is>
          <t>RAGUNDA</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42893-2022</t>
        </is>
      </c>
      <c r="B746" s="1" t="n">
        <v>44832</v>
      </c>
      <c r="C746" s="1" t="n">
        <v>45994</v>
      </c>
      <c r="D746" t="inlineStr">
        <is>
          <t>JÄMTLANDS LÄN</t>
        </is>
      </c>
      <c r="E746" t="inlineStr">
        <is>
          <t>RAGUNDA</t>
        </is>
      </c>
      <c r="F746" t="inlineStr">
        <is>
          <t>SCA</t>
        </is>
      </c>
      <c r="G746" t="n">
        <v>28.4</v>
      </c>
      <c r="H746" t="n">
        <v>0</v>
      </c>
      <c r="I746" t="n">
        <v>0</v>
      </c>
      <c r="J746" t="n">
        <v>0</v>
      </c>
      <c r="K746" t="n">
        <v>0</v>
      </c>
      <c r="L746" t="n">
        <v>0</v>
      </c>
      <c r="M746" t="n">
        <v>0</v>
      </c>
      <c r="N746" t="n">
        <v>0</v>
      </c>
      <c r="O746" t="n">
        <v>0</v>
      </c>
      <c r="P746" t="n">
        <v>0</v>
      </c>
      <c r="Q746" t="n">
        <v>0</v>
      </c>
      <c r="R746" s="2" t="inlineStr"/>
    </row>
    <row r="747" ht="15" customHeight="1">
      <c r="A747" t="inlineStr">
        <is>
          <t>A 22388-2025</t>
        </is>
      </c>
      <c r="B747" s="1" t="n">
        <v>45786.51077546296</v>
      </c>
      <c r="C747" s="1" t="n">
        <v>45994</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53955-2022</t>
        </is>
      </c>
      <c r="B748" s="1" t="n">
        <v>44880.95741898148</v>
      </c>
      <c r="C748" s="1" t="n">
        <v>45994</v>
      </c>
      <c r="D748" t="inlineStr">
        <is>
          <t>JÄMTLANDS LÄN</t>
        </is>
      </c>
      <c r="E748" t="inlineStr">
        <is>
          <t>RAGUNDA</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45438-2022</t>
        </is>
      </c>
      <c r="B749" s="1" t="n">
        <v>44844.95368055555</v>
      </c>
      <c r="C749" s="1" t="n">
        <v>45994</v>
      </c>
      <c r="D749" t="inlineStr">
        <is>
          <t>JÄMTLANDS LÄN</t>
        </is>
      </c>
      <c r="E749" t="inlineStr">
        <is>
          <t>RAGUNDA</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56191-2022</t>
        </is>
      </c>
      <c r="B750" s="1" t="n">
        <v>44889.95015046297</v>
      </c>
      <c r="C750" s="1" t="n">
        <v>45994</v>
      </c>
      <c r="D750" t="inlineStr">
        <is>
          <t>JÄMTLANDS LÄN</t>
        </is>
      </c>
      <c r="E750" t="inlineStr">
        <is>
          <t>RAGUNDA</t>
        </is>
      </c>
      <c r="F750" t="inlineStr">
        <is>
          <t>Sveaskog</t>
        </is>
      </c>
      <c r="G750" t="n">
        <v>3</v>
      </c>
      <c r="H750" t="n">
        <v>0</v>
      </c>
      <c r="I750" t="n">
        <v>0</v>
      </c>
      <c r="J750" t="n">
        <v>0</v>
      </c>
      <c r="K750" t="n">
        <v>0</v>
      </c>
      <c r="L750" t="n">
        <v>0</v>
      </c>
      <c r="M750" t="n">
        <v>0</v>
      </c>
      <c r="N750" t="n">
        <v>0</v>
      </c>
      <c r="O750" t="n">
        <v>0</v>
      </c>
      <c r="P750" t="n">
        <v>0</v>
      </c>
      <c r="Q750" t="n">
        <v>0</v>
      </c>
      <c r="R750" s="2" t="inlineStr"/>
    </row>
    <row r="751" ht="15" customHeight="1">
      <c r="A751" t="inlineStr">
        <is>
          <t>A 30823-2023</t>
        </is>
      </c>
      <c r="B751" s="1" t="n">
        <v>45112</v>
      </c>
      <c r="C751" s="1" t="n">
        <v>45994</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29940-2023</t>
        </is>
      </c>
      <c r="B752" s="1" t="n">
        <v>45107</v>
      </c>
      <c r="C752" s="1" t="n">
        <v>45994</v>
      </c>
      <c r="D752" t="inlineStr">
        <is>
          <t>JÄMTLANDS LÄN</t>
        </is>
      </c>
      <c r="E752" t="inlineStr">
        <is>
          <t>RAGUNDA</t>
        </is>
      </c>
      <c r="G752" t="n">
        <v>13.5</v>
      </c>
      <c r="H752" t="n">
        <v>0</v>
      </c>
      <c r="I752" t="n">
        <v>0</v>
      </c>
      <c r="J752" t="n">
        <v>0</v>
      </c>
      <c r="K752" t="n">
        <v>0</v>
      </c>
      <c r="L752" t="n">
        <v>0</v>
      </c>
      <c r="M752" t="n">
        <v>0</v>
      </c>
      <c r="N752" t="n">
        <v>0</v>
      </c>
      <c r="O752" t="n">
        <v>0</v>
      </c>
      <c r="P752" t="n">
        <v>0</v>
      </c>
      <c r="Q752" t="n">
        <v>0</v>
      </c>
      <c r="R752" s="2" t="inlineStr"/>
    </row>
    <row r="753" ht="15" customHeight="1">
      <c r="A753" t="inlineStr">
        <is>
          <t>A 41772-2024</t>
        </is>
      </c>
      <c r="B753" s="1" t="n">
        <v>45561.34663194444</v>
      </c>
      <c r="C753" s="1" t="n">
        <v>45994</v>
      </c>
      <c r="D753" t="inlineStr">
        <is>
          <t>JÄMTLANDS LÄN</t>
        </is>
      </c>
      <c r="E753" t="inlineStr">
        <is>
          <t>RAGUNDA</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43339-2024</t>
        </is>
      </c>
      <c r="B754" s="1" t="n">
        <v>45568.51075231482</v>
      </c>
      <c r="C754" s="1" t="n">
        <v>45994</v>
      </c>
      <c r="D754" t="inlineStr">
        <is>
          <t>JÄMTLANDS LÄN</t>
        </is>
      </c>
      <c r="E754" t="inlineStr">
        <is>
          <t>RAGUNDA</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43102-2023</t>
        </is>
      </c>
      <c r="B755" s="1" t="n">
        <v>45182</v>
      </c>
      <c r="C755" s="1" t="n">
        <v>45994</v>
      </c>
      <c r="D755" t="inlineStr">
        <is>
          <t>JÄMTLANDS LÄN</t>
        </is>
      </c>
      <c r="E755" t="inlineStr">
        <is>
          <t>RAGUNDA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10972-2022</t>
        </is>
      </c>
      <c r="B756" s="1" t="n">
        <v>44628</v>
      </c>
      <c r="C756" s="1" t="n">
        <v>45994</v>
      </c>
      <c r="D756" t="inlineStr">
        <is>
          <t>JÄMTLANDS LÄN</t>
        </is>
      </c>
      <c r="E756" t="inlineStr">
        <is>
          <t>RAGUNDA</t>
        </is>
      </c>
      <c r="G756" t="n">
        <v>9.5</v>
      </c>
      <c r="H756" t="n">
        <v>0</v>
      </c>
      <c r="I756" t="n">
        <v>0</v>
      </c>
      <c r="J756" t="n">
        <v>0</v>
      </c>
      <c r="K756" t="n">
        <v>0</v>
      </c>
      <c r="L756" t="n">
        <v>0</v>
      </c>
      <c r="M756" t="n">
        <v>0</v>
      </c>
      <c r="N756" t="n">
        <v>0</v>
      </c>
      <c r="O756" t="n">
        <v>0</v>
      </c>
      <c r="P756" t="n">
        <v>0</v>
      </c>
      <c r="Q756" t="n">
        <v>0</v>
      </c>
      <c r="R756" s="2" t="inlineStr"/>
    </row>
    <row r="757" ht="15" customHeight="1">
      <c r="A757" t="inlineStr">
        <is>
          <t>A 23303-2024</t>
        </is>
      </c>
      <c r="B757" s="1" t="n">
        <v>45453.4444212963</v>
      </c>
      <c r="C757" s="1" t="n">
        <v>45994</v>
      </c>
      <c r="D757" t="inlineStr">
        <is>
          <t>JÄMTLANDS LÄN</t>
        </is>
      </c>
      <c r="E757" t="inlineStr">
        <is>
          <t>RAGUNDA</t>
        </is>
      </c>
      <c r="G757" t="n">
        <v>0.7</v>
      </c>
      <c r="H757" t="n">
        <v>0</v>
      </c>
      <c r="I757" t="n">
        <v>0</v>
      </c>
      <c r="J757" t="n">
        <v>0</v>
      </c>
      <c r="K757" t="n">
        <v>0</v>
      </c>
      <c r="L757" t="n">
        <v>0</v>
      </c>
      <c r="M757" t="n">
        <v>0</v>
      </c>
      <c r="N757" t="n">
        <v>0</v>
      </c>
      <c r="O757" t="n">
        <v>0</v>
      </c>
      <c r="P757" t="n">
        <v>0</v>
      </c>
      <c r="Q757" t="n">
        <v>0</v>
      </c>
      <c r="R757" s="2" t="inlineStr"/>
    </row>
    <row r="758" ht="15" customHeight="1">
      <c r="A758" t="inlineStr">
        <is>
          <t>A 179-2025</t>
        </is>
      </c>
      <c r="B758" s="1" t="n">
        <v>45659.69822916666</v>
      </c>
      <c r="C758" s="1" t="n">
        <v>45994</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11834-2023</t>
        </is>
      </c>
      <c r="B759" s="1" t="n">
        <v>44994.94296296296</v>
      </c>
      <c r="C759" s="1" t="n">
        <v>45994</v>
      </c>
      <c r="D759" t="inlineStr">
        <is>
          <t>JÄMTLANDS LÄN</t>
        </is>
      </c>
      <c r="E759" t="inlineStr">
        <is>
          <t>RAGUNDA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22412-2024</t>
        </is>
      </c>
      <c r="B760" s="1" t="n">
        <v>45446.68947916666</v>
      </c>
      <c r="C760" s="1" t="n">
        <v>45994</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9823-2025</t>
        </is>
      </c>
      <c r="B761" s="1" t="n">
        <v>45716</v>
      </c>
      <c r="C761" s="1" t="n">
        <v>45994</v>
      </c>
      <c r="D761" t="inlineStr">
        <is>
          <t>JÄMTLANDS LÄN</t>
        </is>
      </c>
      <c r="E761" t="inlineStr">
        <is>
          <t>RAGUNDA</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13334-2024</t>
        </is>
      </c>
      <c r="B762" s="1" t="n">
        <v>45386</v>
      </c>
      <c r="C762" s="1" t="n">
        <v>45994</v>
      </c>
      <c r="D762" t="inlineStr">
        <is>
          <t>JÄMTLANDS LÄN</t>
        </is>
      </c>
      <c r="E762" t="inlineStr">
        <is>
          <t>RAGUNDA</t>
        </is>
      </c>
      <c r="G762" t="n">
        <v>8.6</v>
      </c>
      <c r="H762" t="n">
        <v>0</v>
      </c>
      <c r="I762" t="n">
        <v>0</v>
      </c>
      <c r="J762" t="n">
        <v>0</v>
      </c>
      <c r="K762" t="n">
        <v>0</v>
      </c>
      <c r="L762" t="n">
        <v>0</v>
      </c>
      <c r="M762" t="n">
        <v>0</v>
      </c>
      <c r="N762" t="n">
        <v>0</v>
      </c>
      <c r="O762" t="n">
        <v>0</v>
      </c>
      <c r="P762" t="n">
        <v>0</v>
      </c>
      <c r="Q762" t="n">
        <v>0</v>
      </c>
      <c r="R762" s="2" t="inlineStr"/>
    </row>
    <row r="763" ht="15" customHeight="1">
      <c r="A763" t="inlineStr">
        <is>
          <t>A 17559-2023</t>
        </is>
      </c>
      <c r="B763" s="1" t="n">
        <v>45034</v>
      </c>
      <c r="C763" s="1" t="n">
        <v>45994</v>
      </c>
      <c r="D763" t="inlineStr">
        <is>
          <t>JÄMTLANDS LÄN</t>
        </is>
      </c>
      <c r="E763" t="inlineStr">
        <is>
          <t>RAGUNDA</t>
        </is>
      </c>
      <c r="G763" t="n">
        <v>7.5</v>
      </c>
      <c r="H763" t="n">
        <v>0</v>
      </c>
      <c r="I763" t="n">
        <v>0</v>
      </c>
      <c r="J763" t="n">
        <v>0</v>
      </c>
      <c r="K763" t="n">
        <v>0</v>
      </c>
      <c r="L763" t="n">
        <v>0</v>
      </c>
      <c r="M763" t="n">
        <v>0</v>
      </c>
      <c r="N763" t="n">
        <v>0</v>
      </c>
      <c r="O763" t="n">
        <v>0</v>
      </c>
      <c r="P763" t="n">
        <v>0</v>
      </c>
      <c r="Q763" t="n">
        <v>0</v>
      </c>
      <c r="R763" s="2" t="inlineStr"/>
    </row>
    <row r="764" ht="15" customHeight="1">
      <c r="A764" t="inlineStr">
        <is>
          <t>A 60443-2023</t>
        </is>
      </c>
      <c r="B764" s="1" t="n">
        <v>45258</v>
      </c>
      <c r="C764" s="1" t="n">
        <v>45994</v>
      </c>
      <c r="D764" t="inlineStr">
        <is>
          <t>JÄMTLANDS LÄN</t>
        </is>
      </c>
      <c r="E764" t="inlineStr">
        <is>
          <t>RAGUNDA</t>
        </is>
      </c>
      <c r="G764" t="n">
        <v>2.9</v>
      </c>
      <c r="H764" t="n">
        <v>0</v>
      </c>
      <c r="I764" t="n">
        <v>0</v>
      </c>
      <c r="J764" t="n">
        <v>0</v>
      </c>
      <c r="K764" t="n">
        <v>0</v>
      </c>
      <c r="L764" t="n">
        <v>0</v>
      </c>
      <c r="M764" t="n">
        <v>0</v>
      </c>
      <c r="N764" t="n">
        <v>0</v>
      </c>
      <c r="O764" t="n">
        <v>0</v>
      </c>
      <c r="P764" t="n">
        <v>0</v>
      </c>
      <c r="Q764" t="n">
        <v>0</v>
      </c>
      <c r="R764" s="2" t="inlineStr"/>
    </row>
    <row r="765" ht="15" customHeight="1">
      <c r="A765" t="inlineStr">
        <is>
          <t>A 38312-2024</t>
        </is>
      </c>
      <c r="B765" s="1" t="n">
        <v>45545.64957175926</v>
      </c>
      <c r="C765" s="1" t="n">
        <v>45994</v>
      </c>
      <c r="D765" t="inlineStr">
        <is>
          <t>JÄMTLANDS LÄN</t>
        </is>
      </c>
      <c r="E765" t="inlineStr">
        <is>
          <t>RAGUNDA</t>
        </is>
      </c>
      <c r="G765" t="n">
        <v>1.2</v>
      </c>
      <c r="H765" t="n">
        <v>0</v>
      </c>
      <c r="I765" t="n">
        <v>0</v>
      </c>
      <c r="J765" t="n">
        <v>0</v>
      </c>
      <c r="K765" t="n">
        <v>0</v>
      </c>
      <c r="L765" t="n">
        <v>0</v>
      </c>
      <c r="M765" t="n">
        <v>0</v>
      </c>
      <c r="N765" t="n">
        <v>0</v>
      </c>
      <c r="O765" t="n">
        <v>0</v>
      </c>
      <c r="P765" t="n">
        <v>0</v>
      </c>
      <c r="Q765" t="n">
        <v>0</v>
      </c>
      <c r="R765" s="2" t="inlineStr"/>
    </row>
    <row r="766" ht="15" customHeight="1">
      <c r="A766" t="inlineStr">
        <is>
          <t>A 13917-2023</t>
        </is>
      </c>
      <c r="B766" s="1" t="n">
        <v>45007</v>
      </c>
      <c r="C766" s="1" t="n">
        <v>45994</v>
      </c>
      <c r="D766" t="inlineStr">
        <is>
          <t>JÄMTLANDS LÄN</t>
        </is>
      </c>
      <c r="E766" t="inlineStr">
        <is>
          <t>RAGUNDA</t>
        </is>
      </c>
      <c r="G766" t="n">
        <v>1</v>
      </c>
      <c r="H766" t="n">
        <v>0</v>
      </c>
      <c r="I766" t="n">
        <v>0</v>
      </c>
      <c r="J766" t="n">
        <v>0</v>
      </c>
      <c r="K766" t="n">
        <v>0</v>
      </c>
      <c r="L766" t="n">
        <v>0</v>
      </c>
      <c r="M766" t="n">
        <v>0</v>
      </c>
      <c r="N766" t="n">
        <v>0</v>
      </c>
      <c r="O766" t="n">
        <v>0</v>
      </c>
      <c r="P766" t="n">
        <v>0</v>
      </c>
      <c r="Q766" t="n">
        <v>0</v>
      </c>
      <c r="R766" s="2" t="inlineStr"/>
    </row>
    <row r="767" ht="15" customHeight="1">
      <c r="A767" t="inlineStr">
        <is>
          <t>A 21726-2023</t>
        </is>
      </c>
      <c r="B767" s="1" t="n">
        <v>45065.42894675926</v>
      </c>
      <c r="C767" s="1" t="n">
        <v>45994</v>
      </c>
      <c r="D767" t="inlineStr">
        <is>
          <t>JÄMTLANDS LÄN</t>
        </is>
      </c>
      <c r="E767" t="inlineStr">
        <is>
          <t>RAGUNDA</t>
        </is>
      </c>
      <c r="G767" t="n">
        <v>0.4</v>
      </c>
      <c r="H767" t="n">
        <v>0</v>
      </c>
      <c r="I767" t="n">
        <v>0</v>
      </c>
      <c r="J767" t="n">
        <v>0</v>
      </c>
      <c r="K767" t="n">
        <v>0</v>
      </c>
      <c r="L767" t="n">
        <v>0</v>
      </c>
      <c r="M767" t="n">
        <v>0</v>
      </c>
      <c r="N767" t="n">
        <v>0</v>
      </c>
      <c r="O767" t="n">
        <v>0</v>
      </c>
      <c r="P767" t="n">
        <v>0</v>
      </c>
      <c r="Q767" t="n">
        <v>0</v>
      </c>
      <c r="R767" s="2" t="inlineStr"/>
    </row>
    <row r="768" ht="15" customHeight="1">
      <c r="A768" t="inlineStr">
        <is>
          <t>A 32832-2021</t>
        </is>
      </c>
      <c r="B768" s="1" t="n">
        <v>44375</v>
      </c>
      <c r="C768" s="1" t="n">
        <v>45994</v>
      </c>
      <c r="D768" t="inlineStr">
        <is>
          <t>JÄMTLANDS LÄN</t>
        </is>
      </c>
      <c r="E768" t="inlineStr">
        <is>
          <t>RAGUNDA</t>
        </is>
      </c>
      <c r="G768" t="n">
        <v>3</v>
      </c>
      <c r="H768" t="n">
        <v>0</v>
      </c>
      <c r="I768" t="n">
        <v>0</v>
      </c>
      <c r="J768" t="n">
        <v>0</v>
      </c>
      <c r="K768" t="n">
        <v>0</v>
      </c>
      <c r="L768" t="n">
        <v>0</v>
      </c>
      <c r="M768" t="n">
        <v>0</v>
      </c>
      <c r="N768" t="n">
        <v>0</v>
      </c>
      <c r="O768" t="n">
        <v>0</v>
      </c>
      <c r="P768" t="n">
        <v>0</v>
      </c>
      <c r="Q768" t="n">
        <v>0</v>
      </c>
      <c r="R768" s="2" t="inlineStr"/>
    </row>
    <row r="769" ht="15" customHeight="1">
      <c r="A769" t="inlineStr">
        <is>
          <t>A 53019-2023</t>
        </is>
      </c>
      <c r="B769" s="1" t="n">
        <v>45222</v>
      </c>
      <c r="C769" s="1" t="n">
        <v>45994</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22011-2023</t>
        </is>
      </c>
      <c r="B770" s="1" t="n">
        <v>45068</v>
      </c>
      <c r="C770" s="1" t="n">
        <v>45994</v>
      </c>
      <c r="D770" t="inlineStr">
        <is>
          <t>JÄMTLANDS LÄN</t>
        </is>
      </c>
      <c r="E770" t="inlineStr">
        <is>
          <t>RAGUNDA</t>
        </is>
      </c>
      <c r="F770" t="inlineStr">
        <is>
          <t>SCA</t>
        </is>
      </c>
      <c r="G770" t="n">
        <v>12.2</v>
      </c>
      <c r="H770" t="n">
        <v>0</v>
      </c>
      <c r="I770" t="n">
        <v>0</v>
      </c>
      <c r="J770" t="n">
        <v>0</v>
      </c>
      <c r="K770" t="n">
        <v>0</v>
      </c>
      <c r="L770" t="n">
        <v>0</v>
      </c>
      <c r="M770" t="n">
        <v>0</v>
      </c>
      <c r="N770" t="n">
        <v>0</v>
      </c>
      <c r="O770" t="n">
        <v>0</v>
      </c>
      <c r="P770" t="n">
        <v>0</v>
      </c>
      <c r="Q770" t="n">
        <v>0</v>
      </c>
      <c r="R770" s="2" t="inlineStr"/>
    </row>
    <row r="771" ht="15" customHeight="1">
      <c r="A771" t="inlineStr">
        <is>
          <t>A 45952-2023</t>
        </is>
      </c>
      <c r="B771" s="1" t="n">
        <v>45195</v>
      </c>
      <c r="C771" s="1" t="n">
        <v>45994</v>
      </c>
      <c r="D771" t="inlineStr">
        <is>
          <t>JÄMTLANDS LÄN</t>
        </is>
      </c>
      <c r="E771" t="inlineStr">
        <is>
          <t>RAGUNDA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45954-2023</t>
        </is>
      </c>
      <c r="B772" s="1" t="n">
        <v>45195.94679398148</v>
      </c>
      <c r="C772" s="1" t="n">
        <v>45994</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45955-2023</t>
        </is>
      </c>
      <c r="B773" s="1" t="n">
        <v>45195.94685185186</v>
      </c>
      <c r="C773" s="1" t="n">
        <v>45994</v>
      </c>
      <c r="D773" t="inlineStr">
        <is>
          <t>JÄMTLANDS LÄN</t>
        </is>
      </c>
      <c r="E773" t="inlineStr">
        <is>
          <t>RAGUNDA</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14212-2023</t>
        </is>
      </c>
      <c r="B774" s="1" t="n">
        <v>45009</v>
      </c>
      <c r="C774" s="1" t="n">
        <v>45994</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59996-2023</t>
        </is>
      </c>
      <c r="B775" s="1" t="n">
        <v>45257.92826388889</v>
      </c>
      <c r="C775" s="1" t="n">
        <v>45994</v>
      </c>
      <c r="D775" t="inlineStr">
        <is>
          <t>JÄMTLANDS LÄN</t>
        </is>
      </c>
      <c r="E775" t="inlineStr">
        <is>
          <t>RAGUNDA</t>
        </is>
      </c>
      <c r="G775" t="n">
        <v>2.7</v>
      </c>
      <c r="H775" t="n">
        <v>0</v>
      </c>
      <c r="I775" t="n">
        <v>0</v>
      </c>
      <c r="J775" t="n">
        <v>0</v>
      </c>
      <c r="K775" t="n">
        <v>0</v>
      </c>
      <c r="L775" t="n">
        <v>0</v>
      </c>
      <c r="M775" t="n">
        <v>0</v>
      </c>
      <c r="N775" t="n">
        <v>0</v>
      </c>
      <c r="O775" t="n">
        <v>0</v>
      </c>
      <c r="P775" t="n">
        <v>0</v>
      </c>
      <c r="Q775" t="n">
        <v>0</v>
      </c>
      <c r="R775" s="2" t="inlineStr"/>
    </row>
    <row r="776" ht="15" customHeight="1">
      <c r="A776" t="inlineStr">
        <is>
          <t>A 60456-2023</t>
        </is>
      </c>
      <c r="B776" s="1" t="n">
        <v>45258</v>
      </c>
      <c r="C776" s="1" t="n">
        <v>45994</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16334-2025</t>
        </is>
      </c>
      <c r="B777" s="1" t="n">
        <v>45751.36490740741</v>
      </c>
      <c r="C777" s="1" t="n">
        <v>45994</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58438-2022</t>
        </is>
      </c>
      <c r="B778" s="1" t="n">
        <v>44901</v>
      </c>
      <c r="C778" s="1" t="n">
        <v>45994</v>
      </c>
      <c r="D778" t="inlineStr">
        <is>
          <t>JÄMTLANDS LÄN</t>
        </is>
      </c>
      <c r="E778" t="inlineStr">
        <is>
          <t>RAGUNDA</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58442-2022</t>
        </is>
      </c>
      <c r="B779" s="1" t="n">
        <v>44901</v>
      </c>
      <c r="C779" s="1" t="n">
        <v>45994</v>
      </c>
      <c r="D779" t="inlineStr">
        <is>
          <t>JÄMTLANDS LÄN</t>
        </is>
      </c>
      <c r="E779" t="inlineStr">
        <is>
          <t>RAGUNDA</t>
        </is>
      </c>
      <c r="F779" t="inlineStr">
        <is>
          <t>SCA</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5806-2025</t>
        </is>
      </c>
      <c r="B780" s="1" t="n">
        <v>45694.69826388889</v>
      </c>
      <c r="C780" s="1" t="n">
        <v>45994</v>
      </c>
      <c r="D780" t="inlineStr">
        <is>
          <t>JÄMTLANDS LÄN</t>
        </is>
      </c>
      <c r="E780" t="inlineStr">
        <is>
          <t>RAGUNDA</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14158-2024</t>
        </is>
      </c>
      <c r="B781" s="1" t="n">
        <v>45392</v>
      </c>
      <c r="C781" s="1" t="n">
        <v>45994</v>
      </c>
      <c r="D781" t="inlineStr">
        <is>
          <t>JÄMTLANDS LÄN</t>
        </is>
      </c>
      <c r="E781" t="inlineStr">
        <is>
          <t>RAGUNDA</t>
        </is>
      </c>
      <c r="G781" t="n">
        <v>0.7</v>
      </c>
      <c r="H781" t="n">
        <v>0</v>
      </c>
      <c r="I781" t="n">
        <v>0</v>
      </c>
      <c r="J781" t="n">
        <v>0</v>
      </c>
      <c r="K781" t="n">
        <v>0</v>
      </c>
      <c r="L781" t="n">
        <v>0</v>
      </c>
      <c r="M781" t="n">
        <v>0</v>
      </c>
      <c r="N781" t="n">
        <v>0</v>
      </c>
      <c r="O781" t="n">
        <v>0</v>
      </c>
      <c r="P781" t="n">
        <v>0</v>
      </c>
      <c r="Q781" t="n">
        <v>0</v>
      </c>
      <c r="R781" s="2" t="inlineStr"/>
    </row>
    <row r="782" ht="15" customHeight="1">
      <c r="A782" t="inlineStr">
        <is>
          <t>A 41179-2022</t>
        </is>
      </c>
      <c r="B782" s="1" t="n">
        <v>44825</v>
      </c>
      <c r="C782" s="1" t="n">
        <v>45994</v>
      </c>
      <c r="D782" t="inlineStr">
        <is>
          <t>JÄMTLANDS LÄN</t>
        </is>
      </c>
      <c r="E782" t="inlineStr">
        <is>
          <t>RAGUNDA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44980-2023</t>
        </is>
      </c>
      <c r="B783" s="1" t="n">
        <v>45190</v>
      </c>
      <c r="C783" s="1" t="n">
        <v>45994</v>
      </c>
      <c r="D783" t="inlineStr">
        <is>
          <t>JÄMTLANDS LÄN</t>
        </is>
      </c>
      <c r="E783" t="inlineStr">
        <is>
          <t>RAGUNDA</t>
        </is>
      </c>
      <c r="F783" t="inlineStr">
        <is>
          <t>SCA</t>
        </is>
      </c>
      <c r="G783" t="n">
        <v>5.2</v>
      </c>
      <c r="H783" t="n">
        <v>0</v>
      </c>
      <c r="I783" t="n">
        <v>0</v>
      </c>
      <c r="J783" t="n">
        <v>0</v>
      </c>
      <c r="K783" t="n">
        <v>0</v>
      </c>
      <c r="L783" t="n">
        <v>0</v>
      </c>
      <c r="M783" t="n">
        <v>0</v>
      </c>
      <c r="N783" t="n">
        <v>0</v>
      </c>
      <c r="O783" t="n">
        <v>0</v>
      </c>
      <c r="P783" t="n">
        <v>0</v>
      </c>
      <c r="Q783" t="n">
        <v>0</v>
      </c>
      <c r="R783" s="2" t="inlineStr"/>
    </row>
    <row r="784" ht="15" customHeight="1">
      <c r="A784" t="inlineStr">
        <is>
          <t>A 42508-2023</t>
        </is>
      </c>
      <c r="B784" s="1" t="n">
        <v>45180.95907407408</v>
      </c>
      <c r="C784" s="1" t="n">
        <v>45994</v>
      </c>
      <c r="D784" t="inlineStr">
        <is>
          <t>JÄMTLANDS LÄN</t>
        </is>
      </c>
      <c r="E784" t="inlineStr">
        <is>
          <t>RAGUNDA</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22898-2025</t>
        </is>
      </c>
      <c r="B785" s="1" t="n">
        <v>45790.40670138889</v>
      </c>
      <c r="C785" s="1" t="n">
        <v>45994</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14076-2023</t>
        </is>
      </c>
      <c r="B786" s="1" t="n">
        <v>45009.0897337963</v>
      </c>
      <c r="C786" s="1" t="n">
        <v>45994</v>
      </c>
      <c r="D786" t="inlineStr">
        <is>
          <t>JÄMTLANDS LÄN</t>
        </is>
      </c>
      <c r="E786" t="inlineStr">
        <is>
          <t>RAGUNDA</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35274-2023</t>
        </is>
      </c>
      <c r="B787" s="1" t="n">
        <v>45145</v>
      </c>
      <c r="C787" s="1" t="n">
        <v>45994</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61598-2024</t>
        </is>
      </c>
      <c r="B788" s="1" t="n">
        <v>45646.63605324074</v>
      </c>
      <c r="C788" s="1" t="n">
        <v>45994</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17667-2025</t>
        </is>
      </c>
      <c r="B789" s="1" t="n">
        <v>45758.36487268518</v>
      </c>
      <c r="C789" s="1" t="n">
        <v>45994</v>
      </c>
      <c r="D789" t="inlineStr">
        <is>
          <t>JÄMTLANDS LÄN</t>
        </is>
      </c>
      <c r="E789" t="inlineStr">
        <is>
          <t>RAGUNDA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12805-2025</t>
        </is>
      </c>
      <c r="B790" s="1" t="n">
        <v>45733.61497685185</v>
      </c>
      <c r="C790" s="1" t="n">
        <v>45994</v>
      </c>
      <c r="D790" t="inlineStr">
        <is>
          <t>JÄMTLANDS LÄN</t>
        </is>
      </c>
      <c r="E790" t="inlineStr">
        <is>
          <t>RAGUNDA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12808-2025</t>
        </is>
      </c>
      <c r="B791" s="1" t="n">
        <v>45733.61554398148</v>
      </c>
      <c r="C791" s="1" t="n">
        <v>45994</v>
      </c>
      <c r="D791" t="inlineStr">
        <is>
          <t>JÄMTLANDS LÄN</t>
        </is>
      </c>
      <c r="E791" t="inlineStr">
        <is>
          <t>RAGUNDA</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50157-2023</t>
        </is>
      </c>
      <c r="B792" s="1" t="n">
        <v>45208</v>
      </c>
      <c r="C792" s="1" t="n">
        <v>45994</v>
      </c>
      <c r="D792" t="inlineStr">
        <is>
          <t>JÄMTLANDS LÄN</t>
        </is>
      </c>
      <c r="E792" t="inlineStr">
        <is>
          <t>RAGUNDA</t>
        </is>
      </c>
      <c r="G792" t="n">
        <v>0.9</v>
      </c>
      <c r="H792" t="n">
        <v>0</v>
      </c>
      <c r="I792" t="n">
        <v>0</v>
      </c>
      <c r="J792" t="n">
        <v>0</v>
      </c>
      <c r="K792" t="n">
        <v>0</v>
      </c>
      <c r="L792" t="n">
        <v>0</v>
      </c>
      <c r="M792" t="n">
        <v>0</v>
      </c>
      <c r="N792" t="n">
        <v>0</v>
      </c>
      <c r="O792" t="n">
        <v>0</v>
      </c>
      <c r="P792" t="n">
        <v>0</v>
      </c>
      <c r="Q792" t="n">
        <v>0</v>
      </c>
      <c r="R792" s="2" t="inlineStr"/>
    </row>
    <row r="793" ht="15" customHeight="1">
      <c r="A793" t="inlineStr">
        <is>
          <t>A 4615-2023</t>
        </is>
      </c>
      <c r="B793" s="1" t="n">
        <v>44956.93924768519</v>
      </c>
      <c r="C793" s="1" t="n">
        <v>45994</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12983-2025</t>
        </is>
      </c>
      <c r="B794" s="1" t="n">
        <v>45734.4633912037</v>
      </c>
      <c r="C794" s="1" t="n">
        <v>45994</v>
      </c>
      <c r="D794" t="inlineStr">
        <is>
          <t>JÄMTLANDS LÄN</t>
        </is>
      </c>
      <c r="E794" t="inlineStr">
        <is>
          <t>RAGUNDA</t>
        </is>
      </c>
      <c r="G794" t="n">
        <v>5.2</v>
      </c>
      <c r="H794" t="n">
        <v>0</v>
      </c>
      <c r="I794" t="n">
        <v>0</v>
      </c>
      <c r="J794" t="n">
        <v>0</v>
      </c>
      <c r="K794" t="n">
        <v>0</v>
      </c>
      <c r="L794" t="n">
        <v>0</v>
      </c>
      <c r="M794" t="n">
        <v>0</v>
      </c>
      <c r="N794" t="n">
        <v>0</v>
      </c>
      <c r="O794" t="n">
        <v>0</v>
      </c>
      <c r="P794" t="n">
        <v>0</v>
      </c>
      <c r="Q794" t="n">
        <v>0</v>
      </c>
      <c r="R794" s="2" t="inlineStr"/>
    </row>
    <row r="795" ht="15" customHeight="1">
      <c r="A795" t="inlineStr">
        <is>
          <t>A 17598-2021</t>
        </is>
      </c>
      <c r="B795" s="1" t="n">
        <v>44299</v>
      </c>
      <c r="C795" s="1" t="n">
        <v>45994</v>
      </c>
      <c r="D795" t="inlineStr">
        <is>
          <t>JÄMTLANDS LÄN</t>
        </is>
      </c>
      <c r="E795" t="inlineStr">
        <is>
          <t>RAGUNDA</t>
        </is>
      </c>
      <c r="G795" t="n">
        <v>4.6</v>
      </c>
      <c r="H795" t="n">
        <v>0</v>
      </c>
      <c r="I795" t="n">
        <v>0</v>
      </c>
      <c r="J795" t="n">
        <v>0</v>
      </c>
      <c r="K795" t="n">
        <v>0</v>
      </c>
      <c r="L795" t="n">
        <v>0</v>
      </c>
      <c r="M795" t="n">
        <v>0</v>
      </c>
      <c r="N795" t="n">
        <v>0</v>
      </c>
      <c r="O795" t="n">
        <v>0</v>
      </c>
      <c r="P795" t="n">
        <v>0</v>
      </c>
      <c r="Q795" t="n">
        <v>0</v>
      </c>
      <c r="R795" s="2" t="inlineStr"/>
    </row>
    <row r="796" ht="15" customHeight="1">
      <c r="A796" t="inlineStr">
        <is>
          <t>A 12405-2025</t>
        </is>
      </c>
      <c r="B796" s="1" t="n">
        <v>45730.42738425926</v>
      </c>
      <c r="C796" s="1" t="n">
        <v>45994</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5938-2025</t>
        </is>
      </c>
      <c r="B797" s="1" t="n">
        <v>45695.45868055556</v>
      </c>
      <c r="C797" s="1" t="n">
        <v>45994</v>
      </c>
      <c r="D797" t="inlineStr">
        <is>
          <t>JÄMTLANDS LÄN</t>
        </is>
      </c>
      <c r="E797" t="inlineStr">
        <is>
          <t>RAGUNDA</t>
        </is>
      </c>
      <c r="G797" t="n">
        <v>1</v>
      </c>
      <c r="H797" t="n">
        <v>0</v>
      </c>
      <c r="I797" t="n">
        <v>0</v>
      </c>
      <c r="J797" t="n">
        <v>0</v>
      </c>
      <c r="K797" t="n">
        <v>0</v>
      </c>
      <c r="L797" t="n">
        <v>0</v>
      </c>
      <c r="M797" t="n">
        <v>0</v>
      </c>
      <c r="N797" t="n">
        <v>0</v>
      </c>
      <c r="O797" t="n">
        <v>0</v>
      </c>
      <c r="P797" t="n">
        <v>0</v>
      </c>
      <c r="Q797" t="n">
        <v>0</v>
      </c>
      <c r="R797" s="2" t="inlineStr"/>
    </row>
    <row r="798" ht="15" customHeight="1">
      <c r="A798" t="inlineStr">
        <is>
          <t>A 36986-2023</t>
        </is>
      </c>
      <c r="B798" s="1" t="n">
        <v>45154.95525462963</v>
      </c>
      <c r="C798" s="1" t="n">
        <v>45994</v>
      </c>
      <c r="D798" t="inlineStr">
        <is>
          <t>JÄMTLANDS LÄN</t>
        </is>
      </c>
      <c r="E798" t="inlineStr">
        <is>
          <t>RAGUNDA</t>
        </is>
      </c>
      <c r="F798" t="inlineStr">
        <is>
          <t>SCA</t>
        </is>
      </c>
      <c r="G798" t="n">
        <v>0.2</v>
      </c>
      <c r="H798" t="n">
        <v>0</v>
      </c>
      <c r="I798" t="n">
        <v>0</v>
      </c>
      <c r="J798" t="n">
        <v>0</v>
      </c>
      <c r="K798" t="n">
        <v>0</v>
      </c>
      <c r="L798" t="n">
        <v>0</v>
      </c>
      <c r="M798" t="n">
        <v>0</v>
      </c>
      <c r="N798" t="n">
        <v>0</v>
      </c>
      <c r="O798" t="n">
        <v>0</v>
      </c>
      <c r="P798" t="n">
        <v>0</v>
      </c>
      <c r="Q798" t="n">
        <v>0</v>
      </c>
      <c r="R798" s="2" t="inlineStr"/>
    </row>
    <row r="799" ht="15" customHeight="1">
      <c r="A799" t="inlineStr">
        <is>
          <t>A 4125-2024</t>
        </is>
      </c>
      <c r="B799" s="1" t="n">
        <v>45323</v>
      </c>
      <c r="C799" s="1" t="n">
        <v>45994</v>
      </c>
      <c r="D799" t="inlineStr">
        <is>
          <t>JÄMTLANDS LÄN</t>
        </is>
      </c>
      <c r="E799" t="inlineStr">
        <is>
          <t>RAGUNDA</t>
        </is>
      </c>
      <c r="G799" t="n">
        <v>1</v>
      </c>
      <c r="H799" t="n">
        <v>0</v>
      </c>
      <c r="I799" t="n">
        <v>0</v>
      </c>
      <c r="J799" t="n">
        <v>0</v>
      </c>
      <c r="K799" t="n">
        <v>0</v>
      </c>
      <c r="L799" t="n">
        <v>0</v>
      </c>
      <c r="M799" t="n">
        <v>0</v>
      </c>
      <c r="N799" t="n">
        <v>0</v>
      </c>
      <c r="O799" t="n">
        <v>0</v>
      </c>
      <c r="P799" t="n">
        <v>0</v>
      </c>
      <c r="Q799" t="n">
        <v>0</v>
      </c>
      <c r="R799" s="2" t="inlineStr"/>
    </row>
    <row r="800" ht="15" customHeight="1">
      <c r="A800" t="inlineStr">
        <is>
          <t>A 3938-2024</t>
        </is>
      </c>
      <c r="B800" s="1" t="n">
        <v>45322</v>
      </c>
      <c r="C800" s="1" t="n">
        <v>45994</v>
      </c>
      <c r="D800" t="inlineStr">
        <is>
          <t>JÄMTLANDS LÄN</t>
        </is>
      </c>
      <c r="E800" t="inlineStr">
        <is>
          <t>RAGUNDA</t>
        </is>
      </c>
      <c r="G800" t="n">
        <v>3.2</v>
      </c>
      <c r="H800" t="n">
        <v>0</v>
      </c>
      <c r="I800" t="n">
        <v>0</v>
      </c>
      <c r="J800" t="n">
        <v>0</v>
      </c>
      <c r="K800" t="n">
        <v>0</v>
      </c>
      <c r="L800" t="n">
        <v>0</v>
      </c>
      <c r="M800" t="n">
        <v>0</v>
      </c>
      <c r="N800" t="n">
        <v>0</v>
      </c>
      <c r="O800" t="n">
        <v>0</v>
      </c>
      <c r="P800" t="n">
        <v>0</v>
      </c>
      <c r="Q800" t="n">
        <v>0</v>
      </c>
      <c r="R800" s="2" t="inlineStr"/>
    </row>
    <row r="801" ht="15" customHeight="1">
      <c r="A801" t="inlineStr">
        <is>
          <t>A 53549-2024</t>
        </is>
      </c>
      <c r="B801" s="1" t="n">
        <v>45614.63869212963</v>
      </c>
      <c r="C801" s="1" t="n">
        <v>45994</v>
      </c>
      <c r="D801" t="inlineStr">
        <is>
          <t>JÄMTLANDS LÄN</t>
        </is>
      </c>
      <c r="E801" t="inlineStr">
        <is>
          <t>RAGUNDA</t>
        </is>
      </c>
      <c r="F801" t="inlineStr">
        <is>
          <t>Kyrkan</t>
        </is>
      </c>
      <c r="G801" t="n">
        <v>1.7</v>
      </c>
      <c r="H801" t="n">
        <v>0</v>
      </c>
      <c r="I801" t="n">
        <v>0</v>
      </c>
      <c r="J801" t="n">
        <v>0</v>
      </c>
      <c r="K801" t="n">
        <v>0</v>
      </c>
      <c r="L801" t="n">
        <v>0</v>
      </c>
      <c r="M801" t="n">
        <v>0</v>
      </c>
      <c r="N801" t="n">
        <v>0</v>
      </c>
      <c r="O801" t="n">
        <v>0</v>
      </c>
      <c r="P801" t="n">
        <v>0</v>
      </c>
      <c r="Q801" t="n">
        <v>0</v>
      </c>
      <c r="R801" s="2" t="inlineStr"/>
    </row>
    <row r="802" ht="15" customHeight="1">
      <c r="A802" t="inlineStr">
        <is>
          <t>A 53144-2024</t>
        </is>
      </c>
      <c r="B802" s="1" t="n">
        <v>45611</v>
      </c>
      <c r="C802" s="1" t="n">
        <v>45994</v>
      </c>
      <c r="D802" t="inlineStr">
        <is>
          <t>JÄMTLANDS LÄN</t>
        </is>
      </c>
      <c r="E802" t="inlineStr">
        <is>
          <t>RAGUNDA</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7284-2025</t>
        </is>
      </c>
      <c r="B803" s="1" t="n">
        <v>45702.63604166666</v>
      </c>
      <c r="C803" s="1" t="n">
        <v>45994</v>
      </c>
      <c r="D803" t="inlineStr">
        <is>
          <t>JÄMTLANDS LÄN</t>
        </is>
      </c>
      <c r="E803" t="inlineStr">
        <is>
          <t>RAGUNDA</t>
        </is>
      </c>
      <c r="F803" t="inlineStr">
        <is>
          <t>SCA</t>
        </is>
      </c>
      <c r="G803" t="n">
        <v>0.3</v>
      </c>
      <c r="H803" t="n">
        <v>0</v>
      </c>
      <c r="I803" t="n">
        <v>0</v>
      </c>
      <c r="J803" t="n">
        <v>0</v>
      </c>
      <c r="K803" t="n">
        <v>0</v>
      </c>
      <c r="L803" t="n">
        <v>0</v>
      </c>
      <c r="M803" t="n">
        <v>0</v>
      </c>
      <c r="N803" t="n">
        <v>0</v>
      </c>
      <c r="O803" t="n">
        <v>0</v>
      </c>
      <c r="P803" t="n">
        <v>0</v>
      </c>
      <c r="Q803" t="n">
        <v>0</v>
      </c>
      <c r="R803" s="2" t="inlineStr"/>
    </row>
    <row r="804" ht="15" customHeight="1">
      <c r="A804" t="inlineStr">
        <is>
          <t>A 31506-2024</t>
        </is>
      </c>
      <c r="B804" s="1" t="n">
        <v>45505</v>
      </c>
      <c r="C804" s="1" t="n">
        <v>45994</v>
      </c>
      <c r="D804" t="inlineStr">
        <is>
          <t>JÄMTLANDS LÄN</t>
        </is>
      </c>
      <c r="E804" t="inlineStr">
        <is>
          <t>RAGUNDA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23253-2025</t>
        </is>
      </c>
      <c r="B805" s="1" t="n">
        <v>45791.53238425926</v>
      </c>
      <c r="C805" s="1" t="n">
        <v>45994</v>
      </c>
      <c r="D805" t="inlineStr">
        <is>
          <t>JÄMTLANDS LÄN</t>
        </is>
      </c>
      <c r="E805" t="inlineStr">
        <is>
          <t>RAGUNDA</t>
        </is>
      </c>
      <c r="G805" t="n">
        <v>0.7</v>
      </c>
      <c r="H805" t="n">
        <v>0</v>
      </c>
      <c r="I805" t="n">
        <v>0</v>
      </c>
      <c r="J805" t="n">
        <v>0</v>
      </c>
      <c r="K805" t="n">
        <v>0</v>
      </c>
      <c r="L805" t="n">
        <v>0</v>
      </c>
      <c r="M805" t="n">
        <v>0</v>
      </c>
      <c r="N805" t="n">
        <v>0</v>
      </c>
      <c r="O805" t="n">
        <v>0</v>
      </c>
      <c r="P805" t="n">
        <v>0</v>
      </c>
      <c r="Q805" t="n">
        <v>0</v>
      </c>
      <c r="R805" s="2" t="inlineStr"/>
    </row>
    <row r="806" ht="15" customHeight="1">
      <c r="A806" t="inlineStr">
        <is>
          <t>A 19382-2025</t>
        </is>
      </c>
      <c r="B806" s="1" t="n">
        <v>45769.65659722222</v>
      </c>
      <c r="C806" s="1" t="n">
        <v>45994</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23413-2025</t>
        </is>
      </c>
      <c r="B807" s="1" t="n">
        <v>45792.34606481482</v>
      </c>
      <c r="C807" s="1" t="n">
        <v>45994</v>
      </c>
      <c r="D807" t="inlineStr">
        <is>
          <t>JÄMTLANDS LÄN</t>
        </is>
      </c>
      <c r="E807" t="inlineStr">
        <is>
          <t>RAGUNDA</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37479-2023</t>
        </is>
      </c>
      <c r="B808" s="1" t="n">
        <v>45156</v>
      </c>
      <c r="C808" s="1" t="n">
        <v>45994</v>
      </c>
      <c r="D808" t="inlineStr">
        <is>
          <t>JÄMTLANDS LÄN</t>
        </is>
      </c>
      <c r="E808" t="inlineStr">
        <is>
          <t>RAGUNDA</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5958-2021</t>
        </is>
      </c>
      <c r="B809" s="1" t="n">
        <v>44231</v>
      </c>
      <c r="C809" s="1" t="n">
        <v>45994</v>
      </c>
      <c r="D809" t="inlineStr">
        <is>
          <t>JÄMTLANDS LÄN</t>
        </is>
      </c>
      <c r="E809" t="inlineStr">
        <is>
          <t>RAGUNDA</t>
        </is>
      </c>
      <c r="G809" t="n">
        <v>3.1</v>
      </c>
      <c r="H809" t="n">
        <v>0</v>
      </c>
      <c r="I809" t="n">
        <v>0</v>
      </c>
      <c r="J809" t="n">
        <v>0</v>
      </c>
      <c r="K809" t="n">
        <v>0</v>
      </c>
      <c r="L809" t="n">
        <v>0</v>
      </c>
      <c r="M809" t="n">
        <v>0</v>
      </c>
      <c r="N809" t="n">
        <v>0</v>
      </c>
      <c r="O809" t="n">
        <v>0</v>
      </c>
      <c r="P809" t="n">
        <v>0</v>
      </c>
      <c r="Q809" t="n">
        <v>0</v>
      </c>
      <c r="R809" s="2" t="inlineStr"/>
    </row>
    <row r="810" ht="15" customHeight="1">
      <c r="A810" t="inlineStr">
        <is>
          <t>A 22311-2024</t>
        </is>
      </c>
      <c r="B810" s="1" t="n">
        <v>45446.57052083333</v>
      </c>
      <c r="C810" s="1" t="n">
        <v>45994</v>
      </c>
      <c r="D810" t="inlineStr">
        <is>
          <t>JÄMTLANDS LÄN</t>
        </is>
      </c>
      <c r="E810" t="inlineStr">
        <is>
          <t>RAGUNDA</t>
        </is>
      </c>
      <c r="G810" t="n">
        <v>1.3</v>
      </c>
      <c r="H810" t="n">
        <v>0</v>
      </c>
      <c r="I810" t="n">
        <v>0</v>
      </c>
      <c r="J810" t="n">
        <v>0</v>
      </c>
      <c r="K810" t="n">
        <v>0</v>
      </c>
      <c r="L810" t="n">
        <v>0</v>
      </c>
      <c r="M810" t="n">
        <v>0</v>
      </c>
      <c r="N810" t="n">
        <v>0</v>
      </c>
      <c r="O810" t="n">
        <v>0</v>
      </c>
      <c r="P810" t="n">
        <v>0</v>
      </c>
      <c r="Q810" t="n">
        <v>0</v>
      </c>
      <c r="R810" s="2" t="inlineStr"/>
    </row>
    <row r="811" ht="15" customHeight="1">
      <c r="A811" t="inlineStr">
        <is>
          <t>A 23586-2025</t>
        </is>
      </c>
      <c r="B811" s="1" t="n">
        <v>45792.63584490741</v>
      </c>
      <c r="C811" s="1" t="n">
        <v>45994</v>
      </c>
      <c r="D811" t="inlineStr">
        <is>
          <t>JÄMTLANDS LÄN</t>
        </is>
      </c>
      <c r="E811" t="inlineStr">
        <is>
          <t>RAGUNDA</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23841-2025</t>
        </is>
      </c>
      <c r="B812" s="1" t="n">
        <v>45793.61523148148</v>
      </c>
      <c r="C812" s="1" t="n">
        <v>45994</v>
      </c>
      <c r="D812" t="inlineStr">
        <is>
          <t>JÄMTLANDS LÄN</t>
        </is>
      </c>
      <c r="E812" t="inlineStr">
        <is>
          <t>RAGUNDA</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4866-2025</t>
        </is>
      </c>
      <c r="B813" s="1" t="n">
        <v>45688.67542824074</v>
      </c>
      <c r="C813" s="1" t="n">
        <v>45994</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23507-2025</t>
        </is>
      </c>
      <c r="B814" s="1" t="n">
        <v>45792.49023148148</v>
      </c>
      <c r="C814" s="1" t="n">
        <v>45994</v>
      </c>
      <c r="D814" t="inlineStr">
        <is>
          <t>JÄMTLANDS LÄN</t>
        </is>
      </c>
      <c r="E814" t="inlineStr">
        <is>
          <t>RAGUNDA</t>
        </is>
      </c>
      <c r="F814" t="inlineStr">
        <is>
          <t>SCA</t>
        </is>
      </c>
      <c r="G814" t="n">
        <v>16.4</v>
      </c>
      <c r="H814" t="n">
        <v>0</v>
      </c>
      <c r="I814" t="n">
        <v>0</v>
      </c>
      <c r="J814" t="n">
        <v>0</v>
      </c>
      <c r="K814" t="n">
        <v>0</v>
      </c>
      <c r="L814" t="n">
        <v>0</v>
      </c>
      <c r="M814" t="n">
        <v>0</v>
      </c>
      <c r="N814" t="n">
        <v>0</v>
      </c>
      <c r="O814" t="n">
        <v>0</v>
      </c>
      <c r="P814" t="n">
        <v>0</v>
      </c>
      <c r="Q814" t="n">
        <v>0</v>
      </c>
      <c r="R814" s="2" t="inlineStr"/>
    </row>
    <row r="815" ht="15" customHeight="1">
      <c r="A815" t="inlineStr">
        <is>
          <t>A 23840-2025</t>
        </is>
      </c>
      <c r="B815" s="1" t="n">
        <v>45793</v>
      </c>
      <c r="C815" s="1" t="n">
        <v>45994</v>
      </c>
      <c r="D815" t="inlineStr">
        <is>
          <t>JÄMTLANDS LÄN</t>
        </is>
      </c>
      <c r="E815" t="inlineStr">
        <is>
          <t>RAGUNDA</t>
        </is>
      </c>
      <c r="G815" t="n">
        <v>0.8</v>
      </c>
      <c r="H815" t="n">
        <v>0</v>
      </c>
      <c r="I815" t="n">
        <v>0</v>
      </c>
      <c r="J815" t="n">
        <v>0</v>
      </c>
      <c r="K815" t="n">
        <v>0</v>
      </c>
      <c r="L815" t="n">
        <v>0</v>
      </c>
      <c r="M815" t="n">
        <v>0</v>
      </c>
      <c r="N815" t="n">
        <v>0</v>
      </c>
      <c r="O815" t="n">
        <v>0</v>
      </c>
      <c r="P815" t="n">
        <v>0</v>
      </c>
      <c r="Q815" t="n">
        <v>0</v>
      </c>
      <c r="R815" s="2" t="inlineStr"/>
    </row>
    <row r="816" ht="15" customHeight="1">
      <c r="A816" t="inlineStr">
        <is>
          <t>A 23654-2025</t>
        </is>
      </c>
      <c r="B816" s="1" t="n">
        <v>45792.71905092592</v>
      </c>
      <c r="C816" s="1" t="n">
        <v>45994</v>
      </c>
      <c r="D816" t="inlineStr">
        <is>
          <t>JÄMTLANDS LÄN</t>
        </is>
      </c>
      <c r="E816" t="inlineStr">
        <is>
          <t>RAGUNDA</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11780-2024</t>
        </is>
      </c>
      <c r="B817" s="1" t="n">
        <v>45374</v>
      </c>
      <c r="C817" s="1" t="n">
        <v>45994</v>
      </c>
      <c r="D817" t="inlineStr">
        <is>
          <t>JÄMTLANDS LÄN</t>
        </is>
      </c>
      <c r="E817" t="inlineStr">
        <is>
          <t>RAGUNDA</t>
        </is>
      </c>
      <c r="G817" t="n">
        <v>14.6</v>
      </c>
      <c r="H817" t="n">
        <v>0</v>
      </c>
      <c r="I817" t="n">
        <v>0</v>
      </c>
      <c r="J817" t="n">
        <v>0</v>
      </c>
      <c r="K817" t="n">
        <v>0</v>
      </c>
      <c r="L817" t="n">
        <v>0</v>
      </c>
      <c r="M817" t="n">
        <v>0</v>
      </c>
      <c r="N817" t="n">
        <v>0</v>
      </c>
      <c r="O817" t="n">
        <v>0</v>
      </c>
      <c r="P817" t="n">
        <v>0</v>
      </c>
      <c r="Q817" t="n">
        <v>0</v>
      </c>
      <c r="R817" s="2" t="inlineStr"/>
    </row>
    <row r="818" ht="15" customHeight="1">
      <c r="A818" t="inlineStr">
        <is>
          <t>A 11288-2022</t>
        </is>
      </c>
      <c r="B818" s="1" t="n">
        <v>44629</v>
      </c>
      <c r="C818" s="1" t="n">
        <v>45994</v>
      </c>
      <c r="D818" t="inlineStr">
        <is>
          <t>JÄMTLANDS LÄN</t>
        </is>
      </c>
      <c r="E818" t="inlineStr">
        <is>
          <t>RAGUNDA</t>
        </is>
      </c>
      <c r="G818" t="n">
        <v>4.9</v>
      </c>
      <c r="H818" t="n">
        <v>0</v>
      </c>
      <c r="I818" t="n">
        <v>0</v>
      </c>
      <c r="J818" t="n">
        <v>0</v>
      </c>
      <c r="K818" t="n">
        <v>0</v>
      </c>
      <c r="L818" t="n">
        <v>0</v>
      </c>
      <c r="M818" t="n">
        <v>0</v>
      </c>
      <c r="N818" t="n">
        <v>0</v>
      </c>
      <c r="O818" t="n">
        <v>0</v>
      </c>
      <c r="P818" t="n">
        <v>0</v>
      </c>
      <c r="Q818" t="n">
        <v>0</v>
      </c>
      <c r="R818" s="2" t="inlineStr"/>
    </row>
    <row r="819" ht="15" customHeight="1">
      <c r="A819" t="inlineStr">
        <is>
          <t>A 18984-2023</t>
        </is>
      </c>
      <c r="B819" s="1" t="n">
        <v>45044</v>
      </c>
      <c r="C819" s="1" t="n">
        <v>45994</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66011-2021</t>
        </is>
      </c>
      <c r="B820" s="1" t="n">
        <v>44517.58137731482</v>
      </c>
      <c r="C820" s="1" t="n">
        <v>45994</v>
      </c>
      <c r="D820" t="inlineStr">
        <is>
          <t>JÄMTLANDS LÄN</t>
        </is>
      </c>
      <c r="E820" t="inlineStr">
        <is>
          <t>RAGUNDA</t>
        </is>
      </c>
      <c r="G820" t="n">
        <v>1.1</v>
      </c>
      <c r="H820" t="n">
        <v>0</v>
      </c>
      <c r="I820" t="n">
        <v>0</v>
      </c>
      <c r="J820" t="n">
        <v>0</v>
      </c>
      <c r="K820" t="n">
        <v>0</v>
      </c>
      <c r="L820" t="n">
        <v>0</v>
      </c>
      <c r="M820" t="n">
        <v>0</v>
      </c>
      <c r="N820" t="n">
        <v>0</v>
      </c>
      <c r="O820" t="n">
        <v>0</v>
      </c>
      <c r="P820" t="n">
        <v>0</v>
      </c>
      <c r="Q820" t="n">
        <v>0</v>
      </c>
      <c r="R820" s="2" t="inlineStr"/>
    </row>
    <row r="821" ht="15" customHeight="1">
      <c r="A821" t="inlineStr">
        <is>
          <t>A 23405-2025</t>
        </is>
      </c>
      <c r="B821" s="1" t="n">
        <v>45792.34527777778</v>
      </c>
      <c r="C821" s="1" t="n">
        <v>45994</v>
      </c>
      <c r="D821" t="inlineStr">
        <is>
          <t>JÄMTLANDS LÄN</t>
        </is>
      </c>
      <c r="E821" t="inlineStr">
        <is>
          <t>RAGUNDA</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19403-2025</t>
        </is>
      </c>
      <c r="B822" s="1" t="n">
        <v>45769.67790509259</v>
      </c>
      <c r="C822" s="1" t="n">
        <v>45994</v>
      </c>
      <c r="D822" t="inlineStr">
        <is>
          <t>JÄMTLANDS LÄN</t>
        </is>
      </c>
      <c r="E822" t="inlineStr">
        <is>
          <t>RAGUNDA</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18284-2025</t>
        </is>
      </c>
      <c r="B823" s="1" t="n">
        <v>45762.39876157408</v>
      </c>
      <c r="C823" s="1" t="n">
        <v>45994</v>
      </c>
      <c r="D823" t="inlineStr">
        <is>
          <t>JÄMTLANDS LÄN</t>
        </is>
      </c>
      <c r="E823" t="inlineStr">
        <is>
          <t>RAGUNDA</t>
        </is>
      </c>
      <c r="G823" t="n">
        <v>0.2</v>
      </c>
      <c r="H823" t="n">
        <v>0</v>
      </c>
      <c r="I823" t="n">
        <v>0</v>
      </c>
      <c r="J823" t="n">
        <v>0</v>
      </c>
      <c r="K823" t="n">
        <v>0</v>
      </c>
      <c r="L823" t="n">
        <v>0</v>
      </c>
      <c r="M823" t="n">
        <v>0</v>
      </c>
      <c r="N823" t="n">
        <v>0</v>
      </c>
      <c r="O823" t="n">
        <v>0</v>
      </c>
      <c r="P823" t="n">
        <v>0</v>
      </c>
      <c r="Q823" t="n">
        <v>0</v>
      </c>
      <c r="R823" s="2" t="inlineStr"/>
      <c r="U823">
        <f>HYPERLINK("https://klasma.github.io/Logging_2303/knärot/A 18284-2025 karta knärot.png", "A 18284-2025")</f>
        <v/>
      </c>
      <c r="V823">
        <f>HYPERLINK("https://klasma.github.io/Logging_2303/klagomål/A 18284-2025 FSC-klagomål.docx", "A 18284-2025")</f>
        <v/>
      </c>
      <c r="W823">
        <f>HYPERLINK("https://klasma.github.io/Logging_2303/klagomålsmail/A 18284-2025 FSC-klagomål mail.docx", "A 18284-2025")</f>
        <v/>
      </c>
      <c r="X823">
        <f>HYPERLINK("https://klasma.github.io/Logging_2303/tillsyn/A 18284-2025 tillsynsbegäran.docx", "A 18284-2025")</f>
        <v/>
      </c>
      <c r="Y823">
        <f>HYPERLINK("https://klasma.github.io/Logging_2303/tillsynsmail/A 18284-2025 tillsynsbegäran mail.docx", "A 18284-2025")</f>
        <v/>
      </c>
    </row>
    <row r="824" ht="15" customHeight="1">
      <c r="A824" t="inlineStr">
        <is>
          <t>A 42509-2023</t>
        </is>
      </c>
      <c r="B824" s="1" t="n">
        <v>45180</v>
      </c>
      <c r="C824" s="1" t="n">
        <v>45994</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33615-2023</t>
        </is>
      </c>
      <c r="B825" s="1" t="n">
        <v>45119</v>
      </c>
      <c r="C825" s="1" t="n">
        <v>45994</v>
      </c>
      <c r="D825" t="inlineStr">
        <is>
          <t>JÄMTLANDS LÄN</t>
        </is>
      </c>
      <c r="E825" t="inlineStr">
        <is>
          <t>RAGUNDA</t>
        </is>
      </c>
      <c r="G825" t="n">
        <v>0.9</v>
      </c>
      <c r="H825" t="n">
        <v>0</v>
      </c>
      <c r="I825" t="n">
        <v>0</v>
      </c>
      <c r="J825" t="n">
        <v>0</v>
      </c>
      <c r="K825" t="n">
        <v>0</v>
      </c>
      <c r="L825" t="n">
        <v>0</v>
      </c>
      <c r="M825" t="n">
        <v>0</v>
      </c>
      <c r="N825" t="n">
        <v>0</v>
      </c>
      <c r="O825" t="n">
        <v>0</v>
      </c>
      <c r="P825" t="n">
        <v>0</v>
      </c>
      <c r="Q825" t="n">
        <v>0</v>
      </c>
      <c r="R825" s="2" t="inlineStr"/>
    </row>
    <row r="826" ht="15" customHeight="1">
      <c r="A826" t="inlineStr">
        <is>
          <t>A 42510-2023</t>
        </is>
      </c>
      <c r="B826" s="1" t="n">
        <v>45180.95927083334</v>
      </c>
      <c r="C826" s="1" t="n">
        <v>45994</v>
      </c>
      <c r="D826" t="inlineStr">
        <is>
          <t>JÄMTLANDS LÄN</t>
        </is>
      </c>
      <c r="E826" t="inlineStr">
        <is>
          <t>RAGUNDA</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53860-2023</t>
        </is>
      </c>
      <c r="B827" s="1" t="n">
        <v>45224</v>
      </c>
      <c r="C827" s="1" t="n">
        <v>45994</v>
      </c>
      <c r="D827" t="inlineStr">
        <is>
          <t>JÄMTLANDS LÄN</t>
        </is>
      </c>
      <c r="E827" t="inlineStr">
        <is>
          <t>RAGUNDA</t>
        </is>
      </c>
      <c r="G827" t="n">
        <v>3.3</v>
      </c>
      <c r="H827" t="n">
        <v>0</v>
      </c>
      <c r="I827" t="n">
        <v>0</v>
      </c>
      <c r="J827" t="n">
        <v>0</v>
      </c>
      <c r="K827" t="n">
        <v>0</v>
      </c>
      <c r="L827" t="n">
        <v>0</v>
      </c>
      <c r="M827" t="n">
        <v>0</v>
      </c>
      <c r="N827" t="n">
        <v>0</v>
      </c>
      <c r="O827" t="n">
        <v>0</v>
      </c>
      <c r="P827" t="n">
        <v>0</v>
      </c>
      <c r="Q827" t="n">
        <v>0</v>
      </c>
      <c r="R827" s="2" t="inlineStr"/>
    </row>
    <row r="828" ht="15" customHeight="1">
      <c r="A828" t="inlineStr">
        <is>
          <t>A 65898-2020</t>
        </is>
      </c>
      <c r="B828" s="1" t="n">
        <v>44174</v>
      </c>
      <c r="C828" s="1" t="n">
        <v>45994</v>
      </c>
      <c r="D828" t="inlineStr">
        <is>
          <t>JÄMTLANDS LÄN</t>
        </is>
      </c>
      <c r="E828" t="inlineStr">
        <is>
          <t>RAGUNDA</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12039-2023</t>
        </is>
      </c>
      <c r="B829" s="1" t="n">
        <v>44995.98341435185</v>
      </c>
      <c r="C829" s="1" t="n">
        <v>45994</v>
      </c>
      <c r="D829" t="inlineStr">
        <is>
          <t>JÄMTLANDS LÄN</t>
        </is>
      </c>
      <c r="E829" t="inlineStr">
        <is>
          <t>RAGUNDA</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11147-2025</t>
        </is>
      </c>
      <c r="B830" s="1" t="n">
        <v>45723.67777777778</v>
      </c>
      <c r="C830" s="1" t="n">
        <v>45994</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26991-2023</t>
        </is>
      </c>
      <c r="B831" s="1" t="n">
        <v>45093.92207175926</v>
      </c>
      <c r="C831" s="1" t="n">
        <v>45994</v>
      </c>
      <c r="D831" t="inlineStr">
        <is>
          <t>JÄMTLANDS LÄN</t>
        </is>
      </c>
      <c r="E831" t="inlineStr">
        <is>
          <t>RAGUNDA</t>
        </is>
      </c>
      <c r="G831" t="n">
        <v>1.4</v>
      </c>
      <c r="H831" t="n">
        <v>0</v>
      </c>
      <c r="I831" t="n">
        <v>0</v>
      </c>
      <c r="J831" t="n">
        <v>0</v>
      </c>
      <c r="K831" t="n">
        <v>0</v>
      </c>
      <c r="L831" t="n">
        <v>0</v>
      </c>
      <c r="M831" t="n">
        <v>0</v>
      </c>
      <c r="N831" t="n">
        <v>0</v>
      </c>
      <c r="O831" t="n">
        <v>0</v>
      </c>
      <c r="P831" t="n">
        <v>0</v>
      </c>
      <c r="Q831" t="n">
        <v>0</v>
      </c>
      <c r="R831" s="2" t="inlineStr"/>
    </row>
    <row r="832" ht="15" customHeight="1">
      <c r="A832" t="inlineStr">
        <is>
          <t>A 9847-2025</t>
        </is>
      </c>
      <c r="B832" s="1" t="n">
        <v>45716.61487268518</v>
      </c>
      <c r="C832" s="1" t="n">
        <v>45994</v>
      </c>
      <c r="D832" t="inlineStr">
        <is>
          <t>JÄMTLANDS LÄN</t>
        </is>
      </c>
      <c r="E832" t="inlineStr">
        <is>
          <t>RAGUNDA</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13302-2022</t>
        </is>
      </c>
      <c r="B833" s="1" t="n">
        <v>44644</v>
      </c>
      <c r="C833" s="1" t="n">
        <v>45994</v>
      </c>
      <c r="D833" t="inlineStr">
        <is>
          <t>JÄMTLANDS LÄN</t>
        </is>
      </c>
      <c r="E833" t="inlineStr">
        <is>
          <t>RAGUNDA</t>
        </is>
      </c>
      <c r="F833" t="inlineStr">
        <is>
          <t>SCA</t>
        </is>
      </c>
      <c r="G833" t="n">
        <v>35.6</v>
      </c>
      <c r="H833" t="n">
        <v>0</v>
      </c>
      <c r="I833" t="n">
        <v>0</v>
      </c>
      <c r="J833" t="n">
        <v>0</v>
      </c>
      <c r="K833" t="n">
        <v>0</v>
      </c>
      <c r="L833" t="n">
        <v>0</v>
      </c>
      <c r="M833" t="n">
        <v>0</v>
      </c>
      <c r="N833" t="n">
        <v>0</v>
      </c>
      <c r="O833" t="n">
        <v>0</v>
      </c>
      <c r="P833" t="n">
        <v>0</v>
      </c>
      <c r="Q833" t="n">
        <v>0</v>
      </c>
      <c r="R833" s="2" t="inlineStr"/>
    </row>
    <row r="834" ht="15" customHeight="1">
      <c r="A834" t="inlineStr">
        <is>
          <t>A 19263-2025</t>
        </is>
      </c>
      <c r="B834" s="1" t="n">
        <v>45769.51075231482</v>
      </c>
      <c r="C834" s="1" t="n">
        <v>45994</v>
      </c>
      <c r="D834" t="inlineStr">
        <is>
          <t>JÄMTLANDS LÄN</t>
        </is>
      </c>
      <c r="E834" t="inlineStr">
        <is>
          <t>RAGUNDA</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26651-2024</t>
        </is>
      </c>
      <c r="B835" s="1" t="n">
        <v>45469.94876157407</v>
      </c>
      <c r="C835" s="1" t="n">
        <v>45994</v>
      </c>
      <c r="D835" t="inlineStr">
        <is>
          <t>JÄMTLANDS LÄN</t>
        </is>
      </c>
      <c r="E835" t="inlineStr">
        <is>
          <t>RAGUNDA</t>
        </is>
      </c>
      <c r="F835" t="inlineStr">
        <is>
          <t>SCA</t>
        </is>
      </c>
      <c r="G835" t="n">
        <v>10.4</v>
      </c>
      <c r="H835" t="n">
        <v>0</v>
      </c>
      <c r="I835" t="n">
        <v>0</v>
      </c>
      <c r="J835" t="n">
        <v>0</v>
      </c>
      <c r="K835" t="n">
        <v>0</v>
      </c>
      <c r="L835" t="n">
        <v>0</v>
      </c>
      <c r="M835" t="n">
        <v>0</v>
      </c>
      <c r="N835" t="n">
        <v>0</v>
      </c>
      <c r="O835" t="n">
        <v>0</v>
      </c>
      <c r="P835" t="n">
        <v>0</v>
      </c>
      <c r="Q835" t="n">
        <v>0</v>
      </c>
      <c r="R835" s="2" t="inlineStr"/>
    </row>
    <row r="836" ht="15" customHeight="1">
      <c r="A836" t="inlineStr">
        <is>
          <t>A 24158-2025</t>
        </is>
      </c>
      <c r="B836" s="1" t="n">
        <v>45796</v>
      </c>
      <c r="C836" s="1" t="n">
        <v>45994</v>
      </c>
      <c r="D836" t="inlineStr">
        <is>
          <t>JÄMTLANDS LÄN</t>
        </is>
      </c>
      <c r="E836" t="inlineStr">
        <is>
          <t>RAGUNDA</t>
        </is>
      </c>
      <c r="G836" t="n">
        <v>2.9</v>
      </c>
      <c r="H836" t="n">
        <v>0</v>
      </c>
      <c r="I836" t="n">
        <v>0</v>
      </c>
      <c r="J836" t="n">
        <v>0</v>
      </c>
      <c r="K836" t="n">
        <v>0</v>
      </c>
      <c r="L836" t="n">
        <v>0</v>
      </c>
      <c r="M836" t="n">
        <v>0</v>
      </c>
      <c r="N836" t="n">
        <v>0</v>
      </c>
      <c r="O836" t="n">
        <v>0</v>
      </c>
      <c r="P836" t="n">
        <v>0</v>
      </c>
      <c r="Q836" t="n">
        <v>0</v>
      </c>
      <c r="R836" s="2" t="inlineStr"/>
      <c r="U836">
        <f>HYPERLINK("https://klasma.github.io/Logging_2303/knärot/A 24158-2025 karta knärot.png", "A 24158-2025")</f>
        <v/>
      </c>
      <c r="V836">
        <f>HYPERLINK("https://klasma.github.io/Logging_2303/klagomål/A 24158-2025 FSC-klagomål.docx", "A 24158-2025")</f>
        <v/>
      </c>
      <c r="W836">
        <f>HYPERLINK("https://klasma.github.io/Logging_2303/klagomålsmail/A 24158-2025 FSC-klagomål mail.docx", "A 24158-2025")</f>
        <v/>
      </c>
      <c r="X836">
        <f>HYPERLINK("https://klasma.github.io/Logging_2303/tillsyn/A 24158-2025 tillsynsbegäran.docx", "A 24158-2025")</f>
        <v/>
      </c>
      <c r="Y836">
        <f>HYPERLINK("https://klasma.github.io/Logging_2303/tillsynsmail/A 24158-2025 tillsynsbegäran mail.docx", "A 24158-2025")</f>
        <v/>
      </c>
    </row>
    <row r="837" ht="15" customHeight="1">
      <c r="A837" t="inlineStr">
        <is>
          <t>A 24161-2025</t>
        </is>
      </c>
      <c r="B837" s="1" t="n">
        <v>45796</v>
      </c>
      <c r="C837" s="1" t="n">
        <v>45994</v>
      </c>
      <c r="D837" t="inlineStr">
        <is>
          <t>JÄMTLANDS LÄN</t>
        </is>
      </c>
      <c r="E837" t="inlineStr">
        <is>
          <t>RAGUNDA</t>
        </is>
      </c>
      <c r="G837" t="n">
        <v>2.4</v>
      </c>
      <c r="H837" t="n">
        <v>0</v>
      </c>
      <c r="I837" t="n">
        <v>0</v>
      </c>
      <c r="J837" t="n">
        <v>0</v>
      </c>
      <c r="K837" t="n">
        <v>0</v>
      </c>
      <c r="L837" t="n">
        <v>0</v>
      </c>
      <c r="M837" t="n">
        <v>0</v>
      </c>
      <c r="N837" t="n">
        <v>0</v>
      </c>
      <c r="O837" t="n">
        <v>0</v>
      </c>
      <c r="P837" t="n">
        <v>0</v>
      </c>
      <c r="Q837" t="n">
        <v>0</v>
      </c>
      <c r="R837" s="2" t="inlineStr"/>
    </row>
    <row r="838" ht="15" customHeight="1">
      <c r="A838" t="inlineStr">
        <is>
          <t>A 28173-2024</t>
        </is>
      </c>
      <c r="B838" s="1" t="n">
        <v>45476.94533564815</v>
      </c>
      <c r="C838" s="1" t="n">
        <v>45994</v>
      </c>
      <c r="D838" t="inlineStr">
        <is>
          <t>JÄMTLANDS LÄN</t>
        </is>
      </c>
      <c r="E838" t="inlineStr">
        <is>
          <t>RAGUNDA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40919-2024</t>
        </is>
      </c>
      <c r="B839" s="1" t="n">
        <v>45558.63575231482</v>
      </c>
      <c r="C839" s="1" t="n">
        <v>45994</v>
      </c>
      <c r="D839" t="inlineStr">
        <is>
          <t>JÄMTLANDS LÄN</t>
        </is>
      </c>
      <c r="E839" t="inlineStr">
        <is>
          <t>RAGUNDA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23734-2024</t>
        </is>
      </c>
      <c r="B840" s="1" t="n">
        <v>45454.95960648148</v>
      </c>
      <c r="C840" s="1" t="n">
        <v>45994</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3186-2025</t>
        </is>
      </c>
      <c r="B841" s="1" t="n">
        <v>45679.40362268518</v>
      </c>
      <c r="C841" s="1" t="n">
        <v>45994</v>
      </c>
      <c r="D841" t="inlineStr">
        <is>
          <t>JÄMTLANDS LÄN</t>
        </is>
      </c>
      <c r="E841" t="inlineStr">
        <is>
          <t>RAGUNDA</t>
        </is>
      </c>
      <c r="G841" t="n">
        <v>5.2</v>
      </c>
      <c r="H841" t="n">
        <v>0</v>
      </c>
      <c r="I841" t="n">
        <v>0</v>
      </c>
      <c r="J841" t="n">
        <v>0</v>
      </c>
      <c r="K841" t="n">
        <v>0</v>
      </c>
      <c r="L841" t="n">
        <v>0</v>
      </c>
      <c r="M841" t="n">
        <v>0</v>
      </c>
      <c r="N841" t="n">
        <v>0</v>
      </c>
      <c r="O841" t="n">
        <v>0</v>
      </c>
      <c r="P841" t="n">
        <v>0</v>
      </c>
      <c r="Q841" t="n">
        <v>0</v>
      </c>
      <c r="R841" s="2" t="inlineStr"/>
    </row>
    <row r="842" ht="15" customHeight="1">
      <c r="A842" t="inlineStr">
        <is>
          <t>A 38425-2022</t>
        </is>
      </c>
      <c r="B842" s="1" t="n">
        <v>44812.94709490741</v>
      </c>
      <c r="C842" s="1" t="n">
        <v>45994</v>
      </c>
      <c r="D842" t="inlineStr">
        <is>
          <t>JÄMTLANDS LÄN</t>
        </is>
      </c>
      <c r="E842" t="inlineStr">
        <is>
          <t>RAGUNDA</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465-2023</t>
        </is>
      </c>
      <c r="B843" s="1" t="n">
        <v>44929</v>
      </c>
      <c r="C843" s="1" t="n">
        <v>45994</v>
      </c>
      <c r="D843" t="inlineStr">
        <is>
          <t>JÄMTLANDS LÄN</t>
        </is>
      </c>
      <c r="E843" t="inlineStr">
        <is>
          <t>RAGUNDA</t>
        </is>
      </c>
      <c r="G843" t="n">
        <v>0.8</v>
      </c>
      <c r="H843" t="n">
        <v>0</v>
      </c>
      <c r="I843" t="n">
        <v>0</v>
      </c>
      <c r="J843" t="n">
        <v>0</v>
      </c>
      <c r="K843" t="n">
        <v>0</v>
      </c>
      <c r="L843" t="n">
        <v>0</v>
      </c>
      <c r="M843" t="n">
        <v>0</v>
      </c>
      <c r="N843" t="n">
        <v>0</v>
      </c>
      <c r="O843" t="n">
        <v>0</v>
      </c>
      <c r="P843" t="n">
        <v>0</v>
      </c>
      <c r="Q843" t="n">
        <v>0</v>
      </c>
      <c r="R843" s="2" t="inlineStr"/>
    </row>
    <row r="844" ht="15" customHeight="1">
      <c r="A844" t="inlineStr">
        <is>
          <t>A 12995-2023</t>
        </is>
      </c>
      <c r="B844" s="1" t="n">
        <v>45002.0328125</v>
      </c>
      <c r="C844" s="1" t="n">
        <v>45994</v>
      </c>
      <c r="D844" t="inlineStr">
        <is>
          <t>JÄMTLANDS LÄN</t>
        </is>
      </c>
      <c r="E844" t="inlineStr">
        <is>
          <t>RAGUNDA</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44755-2024</t>
        </is>
      </c>
      <c r="B845" s="1" t="n">
        <v>45574.61184027778</v>
      </c>
      <c r="C845" s="1" t="n">
        <v>45994</v>
      </c>
      <c r="D845" t="inlineStr">
        <is>
          <t>JÄMTLANDS LÄN</t>
        </is>
      </c>
      <c r="E845" t="inlineStr">
        <is>
          <t>RAGUNDA</t>
        </is>
      </c>
      <c r="G845" t="n">
        <v>4.4</v>
      </c>
      <c r="H845" t="n">
        <v>0</v>
      </c>
      <c r="I845" t="n">
        <v>0</v>
      </c>
      <c r="J845" t="n">
        <v>0</v>
      </c>
      <c r="K845" t="n">
        <v>0</v>
      </c>
      <c r="L845" t="n">
        <v>0</v>
      </c>
      <c r="M845" t="n">
        <v>0</v>
      </c>
      <c r="N845" t="n">
        <v>0</v>
      </c>
      <c r="O845" t="n">
        <v>0</v>
      </c>
      <c r="P845" t="n">
        <v>0</v>
      </c>
      <c r="Q845" t="n">
        <v>0</v>
      </c>
      <c r="R845" s="2" t="inlineStr"/>
    </row>
    <row r="846" ht="15" customHeight="1">
      <c r="A846" t="inlineStr">
        <is>
          <t>A 44766-2024</t>
        </is>
      </c>
      <c r="B846" s="1" t="n">
        <v>45574.62297453704</v>
      </c>
      <c r="C846" s="1" t="n">
        <v>45994</v>
      </c>
      <c r="D846" t="inlineStr">
        <is>
          <t>JÄMTLANDS LÄN</t>
        </is>
      </c>
      <c r="E846" t="inlineStr">
        <is>
          <t>RAGUNDA</t>
        </is>
      </c>
      <c r="G846" t="n">
        <v>3.2</v>
      </c>
      <c r="H846" t="n">
        <v>0</v>
      </c>
      <c r="I846" t="n">
        <v>0</v>
      </c>
      <c r="J846" t="n">
        <v>0</v>
      </c>
      <c r="K846" t="n">
        <v>0</v>
      </c>
      <c r="L846" t="n">
        <v>0</v>
      </c>
      <c r="M846" t="n">
        <v>0</v>
      </c>
      <c r="N846" t="n">
        <v>0</v>
      </c>
      <c r="O846" t="n">
        <v>0</v>
      </c>
      <c r="P846" t="n">
        <v>0</v>
      </c>
      <c r="Q846" t="n">
        <v>0</v>
      </c>
      <c r="R846" s="2" t="inlineStr"/>
    </row>
    <row r="847" ht="15" customHeight="1">
      <c r="A847" t="inlineStr">
        <is>
          <t>A 16676-2022</t>
        </is>
      </c>
      <c r="B847" s="1" t="n">
        <v>44672.94018518519</v>
      </c>
      <c r="C847" s="1" t="n">
        <v>45994</v>
      </c>
      <c r="D847" t="inlineStr">
        <is>
          <t>JÄMTLANDS LÄN</t>
        </is>
      </c>
      <c r="E847" t="inlineStr">
        <is>
          <t>RAGUNDA</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26455-2023</t>
        </is>
      </c>
      <c r="B848" s="1" t="n">
        <v>45092</v>
      </c>
      <c r="C848" s="1" t="n">
        <v>45994</v>
      </c>
      <c r="D848" t="inlineStr">
        <is>
          <t>JÄMTLANDS LÄN</t>
        </is>
      </c>
      <c r="E848" t="inlineStr">
        <is>
          <t>RAGUNDA</t>
        </is>
      </c>
      <c r="G848" t="n">
        <v>3.8</v>
      </c>
      <c r="H848" t="n">
        <v>0</v>
      </c>
      <c r="I848" t="n">
        <v>0</v>
      </c>
      <c r="J848" t="n">
        <v>0</v>
      </c>
      <c r="K848" t="n">
        <v>0</v>
      </c>
      <c r="L848" t="n">
        <v>0</v>
      </c>
      <c r="M848" t="n">
        <v>0</v>
      </c>
      <c r="N848" t="n">
        <v>0</v>
      </c>
      <c r="O848" t="n">
        <v>0</v>
      </c>
      <c r="P848" t="n">
        <v>0</v>
      </c>
      <c r="Q848" t="n">
        <v>0</v>
      </c>
      <c r="R848" s="2" t="inlineStr"/>
    </row>
    <row r="849" ht="15" customHeight="1">
      <c r="A849" t="inlineStr">
        <is>
          <t>A 10639-2024</t>
        </is>
      </c>
      <c r="B849" s="1" t="n">
        <v>45367.67256944445</v>
      </c>
      <c r="C849" s="1" t="n">
        <v>45994</v>
      </c>
      <c r="D849" t="inlineStr">
        <is>
          <t>JÄMTLANDS LÄN</t>
        </is>
      </c>
      <c r="E849" t="inlineStr">
        <is>
          <t>RAGUNDA</t>
        </is>
      </c>
      <c r="G849" t="n">
        <v>2</v>
      </c>
      <c r="H849" t="n">
        <v>0</v>
      </c>
      <c r="I849" t="n">
        <v>0</v>
      </c>
      <c r="J849" t="n">
        <v>0</v>
      </c>
      <c r="K849" t="n">
        <v>0</v>
      </c>
      <c r="L849" t="n">
        <v>0</v>
      </c>
      <c r="M849" t="n">
        <v>0</v>
      </c>
      <c r="N849" t="n">
        <v>0</v>
      </c>
      <c r="O849" t="n">
        <v>0</v>
      </c>
      <c r="P849" t="n">
        <v>0</v>
      </c>
      <c r="Q849" t="n">
        <v>0</v>
      </c>
      <c r="R849" s="2" t="inlineStr"/>
    </row>
    <row r="850" ht="15" customHeight="1">
      <c r="A850" t="inlineStr">
        <is>
          <t>A 55536-2024</t>
        </is>
      </c>
      <c r="B850" s="1" t="n">
        <v>45622</v>
      </c>
      <c r="C850" s="1" t="n">
        <v>45994</v>
      </c>
      <c r="D850" t="inlineStr">
        <is>
          <t>JÄMTLANDS LÄN</t>
        </is>
      </c>
      <c r="E850" t="inlineStr">
        <is>
          <t>RAGUNDA</t>
        </is>
      </c>
      <c r="G850" t="n">
        <v>0.8</v>
      </c>
      <c r="H850" t="n">
        <v>0</v>
      </c>
      <c r="I850" t="n">
        <v>0</v>
      </c>
      <c r="J850" t="n">
        <v>0</v>
      </c>
      <c r="K850" t="n">
        <v>0</v>
      </c>
      <c r="L850" t="n">
        <v>0</v>
      </c>
      <c r="M850" t="n">
        <v>0</v>
      </c>
      <c r="N850" t="n">
        <v>0</v>
      </c>
      <c r="O850" t="n">
        <v>0</v>
      </c>
      <c r="P850" t="n">
        <v>0</v>
      </c>
      <c r="Q850" t="n">
        <v>0</v>
      </c>
      <c r="R850" s="2" t="inlineStr"/>
    </row>
    <row r="851" ht="15" customHeight="1">
      <c r="A851" t="inlineStr">
        <is>
          <t>A 2751-2024</t>
        </is>
      </c>
      <c r="B851" s="1" t="n">
        <v>45314</v>
      </c>
      <c r="C851" s="1" t="n">
        <v>45994</v>
      </c>
      <c r="D851" t="inlineStr">
        <is>
          <t>JÄMTLANDS LÄN</t>
        </is>
      </c>
      <c r="E851" t="inlineStr">
        <is>
          <t>RAGUNDA</t>
        </is>
      </c>
      <c r="G851" t="n">
        <v>1.8</v>
      </c>
      <c r="H851" t="n">
        <v>0</v>
      </c>
      <c r="I851" t="n">
        <v>0</v>
      </c>
      <c r="J851" t="n">
        <v>0</v>
      </c>
      <c r="K851" t="n">
        <v>0</v>
      </c>
      <c r="L851" t="n">
        <v>0</v>
      </c>
      <c r="M851" t="n">
        <v>0</v>
      </c>
      <c r="N851" t="n">
        <v>0</v>
      </c>
      <c r="O851" t="n">
        <v>0</v>
      </c>
      <c r="P851" t="n">
        <v>0</v>
      </c>
      <c r="Q851" t="n">
        <v>0</v>
      </c>
      <c r="R851" s="2" t="inlineStr"/>
    </row>
    <row r="852" ht="15" customHeight="1">
      <c r="A852" t="inlineStr">
        <is>
          <t>A 44597-2024</t>
        </is>
      </c>
      <c r="B852" s="1" t="n">
        <v>45574.51087962963</v>
      </c>
      <c r="C852" s="1" t="n">
        <v>45994</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44598-2024</t>
        </is>
      </c>
      <c r="B853" s="1" t="n">
        <v>45574.51090277778</v>
      </c>
      <c r="C853" s="1" t="n">
        <v>45994</v>
      </c>
      <c r="D853" t="inlineStr">
        <is>
          <t>JÄMTLANDS LÄN</t>
        </is>
      </c>
      <c r="E853" t="inlineStr">
        <is>
          <t>RAGUNDA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36317-2024</t>
        </is>
      </c>
      <c r="B854" s="1" t="n">
        <v>45534.63537037037</v>
      </c>
      <c r="C854" s="1" t="n">
        <v>45994</v>
      </c>
      <c r="D854" t="inlineStr">
        <is>
          <t>JÄMTLANDS LÄN</t>
        </is>
      </c>
      <c r="E854" t="inlineStr">
        <is>
          <t>RAGUNDA</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18614-2024</t>
        </is>
      </c>
      <c r="B855" s="1" t="n">
        <v>45425.96263888889</v>
      </c>
      <c r="C855" s="1" t="n">
        <v>45994</v>
      </c>
      <c r="D855" t="inlineStr">
        <is>
          <t>JÄMTLANDS LÄN</t>
        </is>
      </c>
      <c r="E855" t="inlineStr">
        <is>
          <t>RAGUNDA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8787-2022</t>
        </is>
      </c>
      <c r="B856" s="1" t="n">
        <v>44614</v>
      </c>
      <c r="C856" s="1" t="n">
        <v>45994</v>
      </c>
      <c r="D856" t="inlineStr">
        <is>
          <t>JÄMTLANDS LÄN</t>
        </is>
      </c>
      <c r="E856" t="inlineStr">
        <is>
          <t>RAGUNDA</t>
        </is>
      </c>
      <c r="G856" t="n">
        <v>6.4</v>
      </c>
      <c r="H856" t="n">
        <v>0</v>
      </c>
      <c r="I856" t="n">
        <v>0</v>
      </c>
      <c r="J856" t="n">
        <v>0</v>
      </c>
      <c r="K856" t="n">
        <v>0</v>
      </c>
      <c r="L856" t="n">
        <v>0</v>
      </c>
      <c r="M856" t="n">
        <v>0</v>
      </c>
      <c r="N856" t="n">
        <v>0</v>
      </c>
      <c r="O856" t="n">
        <v>0</v>
      </c>
      <c r="P856" t="n">
        <v>0</v>
      </c>
      <c r="Q856" t="n">
        <v>0</v>
      </c>
      <c r="R856" s="2" t="inlineStr"/>
    </row>
    <row r="857" ht="15" customHeight="1">
      <c r="A857" t="inlineStr">
        <is>
          <t>A 5967-2021</t>
        </is>
      </c>
      <c r="B857" s="1" t="n">
        <v>44231</v>
      </c>
      <c r="C857" s="1" t="n">
        <v>45994</v>
      </c>
      <c r="D857" t="inlineStr">
        <is>
          <t>JÄMTLANDS LÄN</t>
        </is>
      </c>
      <c r="E857" t="inlineStr">
        <is>
          <t>RAGUNDA</t>
        </is>
      </c>
      <c r="G857" t="n">
        <v>3.6</v>
      </c>
      <c r="H857" t="n">
        <v>0</v>
      </c>
      <c r="I857" t="n">
        <v>0</v>
      </c>
      <c r="J857" t="n">
        <v>0</v>
      </c>
      <c r="K857" t="n">
        <v>0</v>
      </c>
      <c r="L857" t="n">
        <v>0</v>
      </c>
      <c r="M857" t="n">
        <v>0</v>
      </c>
      <c r="N857" t="n">
        <v>0</v>
      </c>
      <c r="O857" t="n">
        <v>0</v>
      </c>
      <c r="P857" t="n">
        <v>0</v>
      </c>
      <c r="Q857" t="n">
        <v>0</v>
      </c>
      <c r="R857" s="2" t="inlineStr"/>
    </row>
    <row r="858" ht="15" customHeight="1">
      <c r="A858" t="inlineStr">
        <is>
          <t>A 50431-2024</t>
        </is>
      </c>
      <c r="B858" s="1" t="n">
        <v>45601.40686342592</v>
      </c>
      <c r="C858" s="1" t="n">
        <v>45994</v>
      </c>
      <c r="D858" t="inlineStr">
        <is>
          <t>JÄMTLANDS LÄN</t>
        </is>
      </c>
      <c r="E858" t="inlineStr">
        <is>
          <t>RAGUNDA</t>
        </is>
      </c>
      <c r="F858" t="inlineStr">
        <is>
          <t>SCA</t>
        </is>
      </c>
      <c r="G858" t="n">
        <v>8.5</v>
      </c>
      <c r="H858" t="n">
        <v>0</v>
      </c>
      <c r="I858" t="n">
        <v>0</v>
      </c>
      <c r="J858" t="n">
        <v>0</v>
      </c>
      <c r="K858" t="n">
        <v>0</v>
      </c>
      <c r="L858" t="n">
        <v>0</v>
      </c>
      <c r="M858" t="n">
        <v>0</v>
      </c>
      <c r="N858" t="n">
        <v>0</v>
      </c>
      <c r="O858" t="n">
        <v>0</v>
      </c>
      <c r="P858" t="n">
        <v>0</v>
      </c>
      <c r="Q858" t="n">
        <v>0</v>
      </c>
      <c r="R858" s="2" t="inlineStr"/>
    </row>
    <row r="859" ht="15" customHeight="1">
      <c r="A859" t="inlineStr">
        <is>
          <t>A 39192-2025</t>
        </is>
      </c>
      <c r="B859" s="1" t="n">
        <v>45888.6775</v>
      </c>
      <c r="C859" s="1" t="n">
        <v>45994</v>
      </c>
      <c r="D859" t="inlineStr">
        <is>
          <t>JÄMTLANDS LÄN</t>
        </is>
      </c>
      <c r="E859" t="inlineStr">
        <is>
          <t>RAGUNDA</t>
        </is>
      </c>
      <c r="F859" t="inlineStr">
        <is>
          <t>Naturvårdsverket</t>
        </is>
      </c>
      <c r="G859" t="n">
        <v>2.3</v>
      </c>
      <c r="H859" t="n">
        <v>0</v>
      </c>
      <c r="I859" t="n">
        <v>0</v>
      </c>
      <c r="J859" t="n">
        <v>0</v>
      </c>
      <c r="K859" t="n">
        <v>0</v>
      </c>
      <c r="L859" t="n">
        <v>0</v>
      </c>
      <c r="M859" t="n">
        <v>0</v>
      </c>
      <c r="N859" t="n">
        <v>0</v>
      </c>
      <c r="O859" t="n">
        <v>0</v>
      </c>
      <c r="P859" t="n">
        <v>0</v>
      </c>
      <c r="Q859" t="n">
        <v>0</v>
      </c>
      <c r="R859" s="2" t="inlineStr"/>
    </row>
    <row r="860" ht="15" customHeight="1">
      <c r="A860" t="inlineStr">
        <is>
          <t>A 24159-2025</t>
        </is>
      </c>
      <c r="B860" s="1" t="n">
        <v>45796</v>
      </c>
      <c r="C860" s="1" t="n">
        <v>45994</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60936-2024</t>
        </is>
      </c>
      <c r="B861" s="1" t="n">
        <v>45645.36743055555</v>
      </c>
      <c r="C861" s="1" t="n">
        <v>45994</v>
      </c>
      <c r="D861" t="inlineStr">
        <is>
          <t>JÄMTLANDS LÄN</t>
        </is>
      </c>
      <c r="E861" t="inlineStr">
        <is>
          <t>RAGUNDA</t>
        </is>
      </c>
      <c r="G861" t="n">
        <v>1.2</v>
      </c>
      <c r="H861" t="n">
        <v>0</v>
      </c>
      <c r="I861" t="n">
        <v>0</v>
      </c>
      <c r="J861" t="n">
        <v>0</v>
      </c>
      <c r="K861" t="n">
        <v>0</v>
      </c>
      <c r="L861" t="n">
        <v>0</v>
      </c>
      <c r="M861" t="n">
        <v>0</v>
      </c>
      <c r="N861" t="n">
        <v>0</v>
      </c>
      <c r="O861" t="n">
        <v>0</v>
      </c>
      <c r="P861" t="n">
        <v>0</v>
      </c>
      <c r="Q861" t="n">
        <v>0</v>
      </c>
      <c r="R861" s="2" t="inlineStr"/>
    </row>
    <row r="862" ht="15" customHeight="1">
      <c r="A862" t="inlineStr">
        <is>
          <t>A 4212-2024</t>
        </is>
      </c>
      <c r="B862" s="1" t="n">
        <v>45324</v>
      </c>
      <c r="C862" s="1" t="n">
        <v>45994</v>
      </c>
      <c r="D862" t="inlineStr">
        <is>
          <t>JÄMTLANDS LÄN</t>
        </is>
      </c>
      <c r="E862" t="inlineStr">
        <is>
          <t>RAGUNDA</t>
        </is>
      </c>
      <c r="G862" t="n">
        <v>2</v>
      </c>
      <c r="H862" t="n">
        <v>0</v>
      </c>
      <c r="I862" t="n">
        <v>0</v>
      </c>
      <c r="J862" t="n">
        <v>0</v>
      </c>
      <c r="K862" t="n">
        <v>0</v>
      </c>
      <c r="L862" t="n">
        <v>0</v>
      </c>
      <c r="M862" t="n">
        <v>0</v>
      </c>
      <c r="N862" t="n">
        <v>0</v>
      </c>
      <c r="O862" t="n">
        <v>0</v>
      </c>
      <c r="P862" t="n">
        <v>0</v>
      </c>
      <c r="Q862" t="n">
        <v>0</v>
      </c>
      <c r="R862" s="2" t="inlineStr"/>
    </row>
    <row r="863" ht="15" customHeight="1">
      <c r="A863" t="inlineStr">
        <is>
          <t>A 9262-2025</t>
        </is>
      </c>
      <c r="B863" s="1" t="n">
        <v>45714.60649305556</v>
      </c>
      <c r="C863" s="1" t="n">
        <v>45994</v>
      </c>
      <c r="D863" t="inlineStr">
        <is>
          <t>JÄMTLANDS LÄN</t>
        </is>
      </c>
      <c r="E863" t="inlineStr">
        <is>
          <t>RAGUNDA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18610-2024</t>
        </is>
      </c>
      <c r="B864" s="1" t="n">
        <v>45425.96230324074</v>
      </c>
      <c r="C864" s="1" t="n">
        <v>45994</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57116-2024</t>
        </is>
      </c>
      <c r="B865" s="1" t="n">
        <v>45629.36513888889</v>
      </c>
      <c r="C865" s="1" t="n">
        <v>45994</v>
      </c>
      <c r="D865" t="inlineStr">
        <is>
          <t>JÄMTLANDS LÄN</t>
        </is>
      </c>
      <c r="E865" t="inlineStr">
        <is>
          <t>RAGUNDA</t>
        </is>
      </c>
      <c r="G865" t="n">
        <v>0.6</v>
      </c>
      <c r="H865" t="n">
        <v>0</v>
      </c>
      <c r="I865" t="n">
        <v>0</v>
      </c>
      <c r="J865" t="n">
        <v>0</v>
      </c>
      <c r="K865" t="n">
        <v>0</v>
      </c>
      <c r="L865" t="n">
        <v>0</v>
      </c>
      <c r="M865" t="n">
        <v>0</v>
      </c>
      <c r="N865" t="n">
        <v>0</v>
      </c>
      <c r="O865" t="n">
        <v>0</v>
      </c>
      <c r="P865" t="n">
        <v>0</v>
      </c>
      <c r="Q865" t="n">
        <v>0</v>
      </c>
      <c r="R865" s="2" t="inlineStr"/>
    </row>
    <row r="866" ht="15" customHeight="1">
      <c r="A866" t="inlineStr">
        <is>
          <t>A 3104-2025</t>
        </is>
      </c>
      <c r="B866" s="1" t="n">
        <v>45678.67761574074</v>
      </c>
      <c r="C866" s="1" t="n">
        <v>45994</v>
      </c>
      <c r="D866" t="inlineStr">
        <is>
          <t>JÄMTLANDS LÄN</t>
        </is>
      </c>
      <c r="E866" t="inlineStr">
        <is>
          <t>RAGUNDA</t>
        </is>
      </c>
      <c r="F866" t="inlineStr">
        <is>
          <t>SCA</t>
        </is>
      </c>
      <c r="G866" t="n">
        <v>46.2</v>
      </c>
      <c r="H866" t="n">
        <v>0</v>
      </c>
      <c r="I866" t="n">
        <v>0</v>
      </c>
      <c r="J866" t="n">
        <v>0</v>
      </c>
      <c r="K866" t="n">
        <v>0</v>
      </c>
      <c r="L866" t="n">
        <v>0</v>
      </c>
      <c r="M866" t="n">
        <v>0</v>
      </c>
      <c r="N866" t="n">
        <v>0</v>
      </c>
      <c r="O866" t="n">
        <v>0</v>
      </c>
      <c r="P866" t="n">
        <v>0</v>
      </c>
      <c r="Q866" t="n">
        <v>0</v>
      </c>
      <c r="R866" s="2" t="inlineStr"/>
    </row>
    <row r="867" ht="15" customHeight="1">
      <c r="A867" t="inlineStr">
        <is>
          <t>A 39384-2025</t>
        </is>
      </c>
      <c r="B867" s="1" t="n">
        <v>45889.61517361111</v>
      </c>
      <c r="C867" s="1" t="n">
        <v>45994</v>
      </c>
      <c r="D867" t="inlineStr">
        <is>
          <t>JÄMTLANDS LÄN</t>
        </is>
      </c>
      <c r="E867" t="inlineStr">
        <is>
          <t>RAGUNDA</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24391-2025</t>
        </is>
      </c>
      <c r="B868" s="1" t="n">
        <v>45797.63627314815</v>
      </c>
      <c r="C868" s="1" t="n">
        <v>45994</v>
      </c>
      <c r="D868" t="inlineStr">
        <is>
          <t>JÄMTLANDS LÄN</t>
        </is>
      </c>
      <c r="E868" t="inlineStr">
        <is>
          <t>RAGUNDA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28216-2025</t>
        </is>
      </c>
      <c r="B869" s="1" t="n">
        <v>45818.46898148148</v>
      </c>
      <c r="C869" s="1" t="n">
        <v>45994</v>
      </c>
      <c r="D869" t="inlineStr">
        <is>
          <t>JÄMTLANDS LÄN</t>
        </is>
      </c>
      <c r="E869" t="inlineStr">
        <is>
          <t>RAGUNDA</t>
        </is>
      </c>
      <c r="G869" t="n">
        <v>6.6</v>
      </c>
      <c r="H869" t="n">
        <v>0</v>
      </c>
      <c r="I869" t="n">
        <v>0</v>
      </c>
      <c r="J869" t="n">
        <v>0</v>
      </c>
      <c r="K869" t="n">
        <v>0</v>
      </c>
      <c r="L869" t="n">
        <v>0</v>
      </c>
      <c r="M869" t="n">
        <v>0</v>
      </c>
      <c r="N869" t="n">
        <v>0</v>
      </c>
      <c r="O869" t="n">
        <v>0</v>
      </c>
      <c r="P869" t="n">
        <v>0</v>
      </c>
      <c r="Q869" t="n">
        <v>0</v>
      </c>
      <c r="R869" s="2" t="inlineStr"/>
    </row>
    <row r="870" ht="15" customHeight="1">
      <c r="A870" t="inlineStr">
        <is>
          <t>A 60012-2023</t>
        </is>
      </c>
      <c r="B870" s="1" t="n">
        <v>45257</v>
      </c>
      <c r="C870" s="1" t="n">
        <v>45994</v>
      </c>
      <c r="D870" t="inlineStr">
        <is>
          <t>JÄMTLANDS LÄN</t>
        </is>
      </c>
      <c r="E870" t="inlineStr">
        <is>
          <t>RAGUNDA</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40246-2024</t>
        </is>
      </c>
      <c r="B871" s="1" t="n">
        <v>45554.61583333334</v>
      </c>
      <c r="C871" s="1" t="n">
        <v>45994</v>
      </c>
      <c r="D871" t="inlineStr">
        <is>
          <t>JÄMTLANDS LÄN</t>
        </is>
      </c>
      <c r="E871" t="inlineStr">
        <is>
          <t>RAGUNDA</t>
        </is>
      </c>
      <c r="G871" t="n">
        <v>1</v>
      </c>
      <c r="H871" t="n">
        <v>0</v>
      </c>
      <c r="I871" t="n">
        <v>0</v>
      </c>
      <c r="J871" t="n">
        <v>0</v>
      </c>
      <c r="K871" t="n">
        <v>0</v>
      </c>
      <c r="L871" t="n">
        <v>0</v>
      </c>
      <c r="M871" t="n">
        <v>0</v>
      </c>
      <c r="N871" t="n">
        <v>0</v>
      </c>
      <c r="O871" t="n">
        <v>0</v>
      </c>
      <c r="P871" t="n">
        <v>0</v>
      </c>
      <c r="Q871" t="n">
        <v>0</v>
      </c>
      <c r="R871" s="2" t="inlineStr"/>
    </row>
    <row r="872" ht="15" customHeight="1">
      <c r="A872" t="inlineStr">
        <is>
          <t>A 53676-2022</t>
        </is>
      </c>
      <c r="B872" s="1" t="n">
        <v>44879</v>
      </c>
      <c r="C872" s="1" t="n">
        <v>45994</v>
      </c>
      <c r="D872" t="inlineStr">
        <is>
          <t>JÄMTLANDS LÄN</t>
        </is>
      </c>
      <c r="E872" t="inlineStr">
        <is>
          <t>RAGUNDA</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4878-2022</t>
        </is>
      </c>
      <c r="B873" s="1" t="n">
        <v>44593</v>
      </c>
      <c r="C873" s="1" t="n">
        <v>45994</v>
      </c>
      <c r="D873" t="inlineStr">
        <is>
          <t>JÄMTLANDS LÄN</t>
        </is>
      </c>
      <c r="E873" t="inlineStr">
        <is>
          <t>RAGUNDA</t>
        </is>
      </c>
      <c r="G873" t="n">
        <v>21.7</v>
      </c>
      <c r="H873" t="n">
        <v>0</v>
      </c>
      <c r="I873" t="n">
        <v>0</v>
      </c>
      <c r="J873" t="n">
        <v>0</v>
      </c>
      <c r="K873" t="n">
        <v>0</v>
      </c>
      <c r="L873" t="n">
        <v>0</v>
      </c>
      <c r="M873" t="n">
        <v>0</v>
      </c>
      <c r="N873" t="n">
        <v>0</v>
      </c>
      <c r="O873" t="n">
        <v>0</v>
      </c>
      <c r="P873" t="n">
        <v>0</v>
      </c>
      <c r="Q873" t="n">
        <v>0</v>
      </c>
      <c r="R873" s="2" t="inlineStr"/>
    </row>
    <row r="874" ht="15" customHeight="1">
      <c r="A874" t="inlineStr">
        <is>
          <t>A 57237-2022</t>
        </is>
      </c>
      <c r="B874" s="1" t="n">
        <v>44889</v>
      </c>
      <c r="C874" s="1" t="n">
        <v>45994</v>
      </c>
      <c r="D874" t="inlineStr">
        <is>
          <t>JÄMTLANDS LÄN</t>
        </is>
      </c>
      <c r="E874" t="inlineStr">
        <is>
          <t>RAGUNDA</t>
        </is>
      </c>
      <c r="G874" t="n">
        <v>2.2</v>
      </c>
      <c r="H874" t="n">
        <v>0</v>
      </c>
      <c r="I874" t="n">
        <v>0</v>
      </c>
      <c r="J874" t="n">
        <v>0</v>
      </c>
      <c r="K874" t="n">
        <v>0</v>
      </c>
      <c r="L874" t="n">
        <v>0</v>
      </c>
      <c r="M874" t="n">
        <v>0</v>
      </c>
      <c r="N874" t="n">
        <v>0</v>
      </c>
      <c r="O874" t="n">
        <v>0</v>
      </c>
      <c r="P874" t="n">
        <v>0</v>
      </c>
      <c r="Q874" t="n">
        <v>0</v>
      </c>
      <c r="R874" s="2" t="inlineStr"/>
    </row>
    <row r="875" ht="15" customHeight="1">
      <c r="A875" t="inlineStr">
        <is>
          <t>A 56504-2024</t>
        </is>
      </c>
      <c r="B875" s="1" t="n">
        <v>45625.51068287037</v>
      </c>
      <c r="C875" s="1" t="n">
        <v>45994</v>
      </c>
      <c r="D875" t="inlineStr">
        <is>
          <t>JÄMTLANDS LÄN</t>
        </is>
      </c>
      <c r="E875" t="inlineStr">
        <is>
          <t>RAGUNDA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934-2023</t>
        </is>
      </c>
      <c r="B876" s="1" t="n">
        <v>44932.93927083333</v>
      </c>
      <c r="C876" s="1" t="n">
        <v>45994</v>
      </c>
      <c r="D876" t="inlineStr">
        <is>
          <t>JÄMTLANDS LÄN</t>
        </is>
      </c>
      <c r="E876" t="inlineStr">
        <is>
          <t>RAGUNDA</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36106-2022</t>
        </is>
      </c>
      <c r="B877" s="1" t="n">
        <v>44802.94811342593</v>
      </c>
      <c r="C877" s="1" t="n">
        <v>45994</v>
      </c>
      <c r="D877" t="inlineStr">
        <is>
          <t>JÄMTLANDS LÄN</t>
        </is>
      </c>
      <c r="E877" t="inlineStr">
        <is>
          <t>RAGUNDA</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57839-2022</t>
        </is>
      </c>
      <c r="B878" s="1" t="n">
        <v>44897</v>
      </c>
      <c r="C878" s="1" t="n">
        <v>45994</v>
      </c>
      <c r="D878" t="inlineStr">
        <is>
          <t>JÄMTLANDS LÄN</t>
        </is>
      </c>
      <c r="E878" t="inlineStr">
        <is>
          <t>RAGUNDA</t>
        </is>
      </c>
      <c r="F878" t="inlineStr">
        <is>
          <t>SCA</t>
        </is>
      </c>
      <c r="G878" t="n">
        <v>8.5</v>
      </c>
      <c r="H878" t="n">
        <v>0</v>
      </c>
      <c r="I878" t="n">
        <v>0</v>
      </c>
      <c r="J878" t="n">
        <v>0</v>
      </c>
      <c r="K878" t="n">
        <v>0</v>
      </c>
      <c r="L878" t="n">
        <v>0</v>
      </c>
      <c r="M878" t="n">
        <v>0</v>
      </c>
      <c r="N878" t="n">
        <v>0</v>
      </c>
      <c r="O878" t="n">
        <v>0</v>
      </c>
      <c r="P878" t="n">
        <v>0</v>
      </c>
      <c r="Q878" t="n">
        <v>0</v>
      </c>
      <c r="R878" s="2" t="inlineStr"/>
    </row>
    <row r="879" ht="15" customHeight="1">
      <c r="A879" t="inlineStr">
        <is>
          <t>A 2133-2023</t>
        </is>
      </c>
      <c r="B879" s="1" t="n">
        <v>44939</v>
      </c>
      <c r="C879" s="1" t="n">
        <v>45994</v>
      </c>
      <c r="D879" t="inlineStr">
        <is>
          <t>JÄMTLANDS LÄN</t>
        </is>
      </c>
      <c r="E879" t="inlineStr">
        <is>
          <t>RAGUNDA</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19419-2024</t>
        </is>
      </c>
      <c r="B880" s="1" t="n">
        <v>45429</v>
      </c>
      <c r="C880" s="1" t="n">
        <v>45994</v>
      </c>
      <c r="D880" t="inlineStr">
        <is>
          <t>JÄMTLANDS LÄN</t>
        </is>
      </c>
      <c r="E880" t="inlineStr">
        <is>
          <t>RAGUNDA</t>
        </is>
      </c>
      <c r="G880" t="n">
        <v>3.5</v>
      </c>
      <c r="H880" t="n">
        <v>0</v>
      </c>
      <c r="I880" t="n">
        <v>0</v>
      </c>
      <c r="J880" t="n">
        <v>0</v>
      </c>
      <c r="K880" t="n">
        <v>0</v>
      </c>
      <c r="L880" t="n">
        <v>0</v>
      </c>
      <c r="M880" t="n">
        <v>0</v>
      </c>
      <c r="N880" t="n">
        <v>0</v>
      </c>
      <c r="O880" t="n">
        <v>0</v>
      </c>
      <c r="P880" t="n">
        <v>0</v>
      </c>
      <c r="Q880" t="n">
        <v>0</v>
      </c>
      <c r="R880" s="2" t="inlineStr"/>
    </row>
    <row r="881" ht="15" customHeight="1">
      <c r="A881" t="inlineStr">
        <is>
          <t>A 41693-2023</t>
        </is>
      </c>
      <c r="B881" s="1" t="n">
        <v>45176</v>
      </c>
      <c r="C881" s="1" t="n">
        <v>45994</v>
      </c>
      <c r="D881" t="inlineStr">
        <is>
          <t>JÄMTLANDS LÄN</t>
        </is>
      </c>
      <c r="E881" t="inlineStr">
        <is>
          <t>RAGUNDA</t>
        </is>
      </c>
      <c r="G881" t="n">
        <v>5.5</v>
      </c>
      <c r="H881" t="n">
        <v>0</v>
      </c>
      <c r="I881" t="n">
        <v>0</v>
      </c>
      <c r="J881" t="n">
        <v>0</v>
      </c>
      <c r="K881" t="n">
        <v>0</v>
      </c>
      <c r="L881" t="n">
        <v>0</v>
      </c>
      <c r="M881" t="n">
        <v>0</v>
      </c>
      <c r="N881" t="n">
        <v>0</v>
      </c>
      <c r="O881" t="n">
        <v>0</v>
      </c>
      <c r="P881" t="n">
        <v>0</v>
      </c>
      <c r="Q881" t="n">
        <v>0</v>
      </c>
      <c r="R881" s="2" t="inlineStr"/>
    </row>
    <row r="882" ht="15" customHeight="1">
      <c r="A882" t="inlineStr">
        <is>
          <t>A 39947-2025</t>
        </is>
      </c>
      <c r="B882" s="1" t="n">
        <v>45892.34438657408</v>
      </c>
      <c r="C882" s="1" t="n">
        <v>45994</v>
      </c>
      <c r="D882" t="inlineStr">
        <is>
          <t>JÄMTLANDS LÄN</t>
        </is>
      </c>
      <c r="E882" t="inlineStr">
        <is>
          <t>RAGUNDA</t>
        </is>
      </c>
      <c r="G882" t="n">
        <v>6.6</v>
      </c>
      <c r="H882" t="n">
        <v>0</v>
      </c>
      <c r="I882" t="n">
        <v>0</v>
      </c>
      <c r="J882" t="n">
        <v>0</v>
      </c>
      <c r="K882" t="n">
        <v>0</v>
      </c>
      <c r="L882" t="n">
        <v>0</v>
      </c>
      <c r="M882" t="n">
        <v>0</v>
      </c>
      <c r="N882" t="n">
        <v>0</v>
      </c>
      <c r="O882" t="n">
        <v>0</v>
      </c>
      <c r="P882" t="n">
        <v>0</v>
      </c>
      <c r="Q882" t="n">
        <v>0</v>
      </c>
      <c r="R882" s="2" t="inlineStr"/>
    </row>
    <row r="883" ht="15" customHeight="1">
      <c r="A883" t="inlineStr">
        <is>
          <t>A 39951-2025</t>
        </is>
      </c>
      <c r="B883" s="1" t="n">
        <v>45892.38657407407</v>
      </c>
      <c r="C883" s="1" t="n">
        <v>45994</v>
      </c>
      <c r="D883" t="inlineStr">
        <is>
          <t>JÄMTLANDS LÄN</t>
        </is>
      </c>
      <c r="E883" t="inlineStr">
        <is>
          <t>RAGUNDA</t>
        </is>
      </c>
      <c r="G883" t="n">
        <v>2.3</v>
      </c>
      <c r="H883" t="n">
        <v>0</v>
      </c>
      <c r="I883" t="n">
        <v>0</v>
      </c>
      <c r="J883" t="n">
        <v>0</v>
      </c>
      <c r="K883" t="n">
        <v>0</v>
      </c>
      <c r="L883" t="n">
        <v>0</v>
      </c>
      <c r="M883" t="n">
        <v>0</v>
      </c>
      <c r="N883" t="n">
        <v>0</v>
      </c>
      <c r="O883" t="n">
        <v>0</v>
      </c>
      <c r="P883" t="n">
        <v>0</v>
      </c>
      <c r="Q883" t="n">
        <v>0</v>
      </c>
      <c r="R883" s="2" t="inlineStr"/>
    </row>
    <row r="884" ht="15" customHeight="1">
      <c r="A884" t="inlineStr">
        <is>
          <t>A 39948-2025</t>
        </is>
      </c>
      <c r="B884" s="1" t="n">
        <v>45892.38591435185</v>
      </c>
      <c r="C884" s="1" t="n">
        <v>45994</v>
      </c>
      <c r="D884" t="inlineStr">
        <is>
          <t>JÄMTLANDS LÄN</t>
        </is>
      </c>
      <c r="E884" t="inlineStr">
        <is>
          <t>RAGUNDA</t>
        </is>
      </c>
      <c r="G884" t="n">
        <v>5</v>
      </c>
      <c r="H884" t="n">
        <v>0</v>
      </c>
      <c r="I884" t="n">
        <v>0</v>
      </c>
      <c r="J884" t="n">
        <v>0</v>
      </c>
      <c r="K884" t="n">
        <v>0</v>
      </c>
      <c r="L884" t="n">
        <v>0</v>
      </c>
      <c r="M884" t="n">
        <v>0</v>
      </c>
      <c r="N884" t="n">
        <v>0</v>
      </c>
      <c r="O884" t="n">
        <v>0</v>
      </c>
      <c r="P884" t="n">
        <v>0</v>
      </c>
      <c r="Q884" t="n">
        <v>0</v>
      </c>
      <c r="R884" s="2" t="inlineStr"/>
    </row>
    <row r="885" ht="15" customHeight="1">
      <c r="A885" t="inlineStr">
        <is>
          <t>A 39946-2025</t>
        </is>
      </c>
      <c r="B885" s="1" t="n">
        <v>45892.34423611111</v>
      </c>
      <c r="C885" s="1" t="n">
        <v>45994</v>
      </c>
      <c r="D885" t="inlineStr">
        <is>
          <t>JÄMTLANDS LÄN</t>
        </is>
      </c>
      <c r="E885" t="inlineStr">
        <is>
          <t>RAGUNDA</t>
        </is>
      </c>
      <c r="G885" t="n">
        <v>4.7</v>
      </c>
      <c r="H885" t="n">
        <v>0</v>
      </c>
      <c r="I885" t="n">
        <v>0</v>
      </c>
      <c r="J885" t="n">
        <v>0</v>
      </c>
      <c r="K885" t="n">
        <v>0</v>
      </c>
      <c r="L885" t="n">
        <v>0</v>
      </c>
      <c r="M885" t="n">
        <v>0</v>
      </c>
      <c r="N885" t="n">
        <v>0</v>
      </c>
      <c r="O885" t="n">
        <v>0</v>
      </c>
      <c r="P885" t="n">
        <v>0</v>
      </c>
      <c r="Q885" t="n">
        <v>0</v>
      </c>
      <c r="R885" s="2" t="inlineStr"/>
    </row>
    <row r="886" ht="15" customHeight="1">
      <c r="A886" t="inlineStr">
        <is>
          <t>A 39950-2025</t>
        </is>
      </c>
      <c r="B886" s="1" t="n">
        <v>45892.38641203703</v>
      </c>
      <c r="C886" s="1" t="n">
        <v>45994</v>
      </c>
      <c r="D886" t="inlineStr">
        <is>
          <t>JÄMTLANDS LÄN</t>
        </is>
      </c>
      <c r="E886" t="inlineStr">
        <is>
          <t>RAGUNDA</t>
        </is>
      </c>
      <c r="G886" t="n">
        <v>1.1</v>
      </c>
      <c r="H886" t="n">
        <v>0</v>
      </c>
      <c r="I886" t="n">
        <v>0</v>
      </c>
      <c r="J886" t="n">
        <v>0</v>
      </c>
      <c r="K886" t="n">
        <v>0</v>
      </c>
      <c r="L886" t="n">
        <v>0</v>
      </c>
      <c r="M886" t="n">
        <v>0</v>
      </c>
      <c r="N886" t="n">
        <v>0</v>
      </c>
      <c r="O886" t="n">
        <v>0</v>
      </c>
      <c r="P886" t="n">
        <v>0</v>
      </c>
      <c r="Q886" t="n">
        <v>0</v>
      </c>
      <c r="R886" s="2" t="inlineStr"/>
    </row>
    <row r="887" ht="15" customHeight="1">
      <c r="A887" t="inlineStr">
        <is>
          <t>A 39955-2025</t>
        </is>
      </c>
      <c r="B887" s="1" t="n">
        <v>45892.44824074074</v>
      </c>
      <c r="C887" s="1" t="n">
        <v>45994</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39956-2025</t>
        </is>
      </c>
      <c r="B888" s="1" t="n">
        <v>45892.44840277778</v>
      </c>
      <c r="C888" s="1" t="n">
        <v>45994</v>
      </c>
      <c r="D888" t="inlineStr">
        <is>
          <t>JÄMTLANDS LÄN</t>
        </is>
      </c>
      <c r="E888" t="inlineStr">
        <is>
          <t>RAGUNDA</t>
        </is>
      </c>
      <c r="G888" t="n">
        <v>3.6</v>
      </c>
      <c r="H888" t="n">
        <v>0</v>
      </c>
      <c r="I888" t="n">
        <v>0</v>
      </c>
      <c r="J888" t="n">
        <v>0</v>
      </c>
      <c r="K888" t="n">
        <v>0</v>
      </c>
      <c r="L888" t="n">
        <v>0</v>
      </c>
      <c r="M888" t="n">
        <v>0</v>
      </c>
      <c r="N888" t="n">
        <v>0</v>
      </c>
      <c r="O888" t="n">
        <v>0</v>
      </c>
      <c r="P888" t="n">
        <v>0</v>
      </c>
      <c r="Q888" t="n">
        <v>0</v>
      </c>
      <c r="R888" s="2" t="inlineStr"/>
    </row>
    <row r="889" ht="15" customHeight="1">
      <c r="A889" t="inlineStr">
        <is>
          <t>A 53678-2022</t>
        </is>
      </c>
      <c r="B889" s="1" t="n">
        <v>44879.95768518518</v>
      </c>
      <c r="C889" s="1" t="n">
        <v>45994</v>
      </c>
      <c r="D889" t="inlineStr">
        <is>
          <t>JÄMTLANDS LÄN</t>
        </is>
      </c>
      <c r="E889" t="inlineStr">
        <is>
          <t>RAGUNDA</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39949-2025</t>
        </is>
      </c>
      <c r="B890" s="1" t="n">
        <v>45892.38619212963</v>
      </c>
      <c r="C890" s="1" t="n">
        <v>45994</v>
      </c>
      <c r="D890" t="inlineStr">
        <is>
          <t>JÄMTLANDS LÄN</t>
        </is>
      </c>
      <c r="E890" t="inlineStr">
        <is>
          <t>RAGUNDA</t>
        </is>
      </c>
      <c r="G890" t="n">
        <v>1.4</v>
      </c>
      <c r="H890" t="n">
        <v>0</v>
      </c>
      <c r="I890" t="n">
        <v>0</v>
      </c>
      <c r="J890" t="n">
        <v>0</v>
      </c>
      <c r="K890" t="n">
        <v>0</v>
      </c>
      <c r="L890" t="n">
        <v>0</v>
      </c>
      <c r="M890" t="n">
        <v>0</v>
      </c>
      <c r="N890" t="n">
        <v>0</v>
      </c>
      <c r="O890" t="n">
        <v>0</v>
      </c>
      <c r="P890" t="n">
        <v>0</v>
      </c>
      <c r="Q890" t="n">
        <v>0</v>
      </c>
      <c r="R890" s="2" t="inlineStr"/>
    </row>
    <row r="891" ht="15" customHeight="1">
      <c r="A891" t="inlineStr">
        <is>
          <t>A 19383-2025</t>
        </is>
      </c>
      <c r="B891" s="1" t="n">
        <v>45769.65688657408</v>
      </c>
      <c r="C891" s="1" t="n">
        <v>45994</v>
      </c>
      <c r="D891" t="inlineStr">
        <is>
          <t>JÄMTLANDS LÄN</t>
        </is>
      </c>
      <c r="E891" t="inlineStr">
        <is>
          <t>RAGUNDA</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49229-2024</t>
        </is>
      </c>
      <c r="B892" s="1" t="n">
        <v>45595.42738425926</v>
      </c>
      <c r="C892" s="1" t="n">
        <v>45994</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13700-2023</t>
        </is>
      </c>
      <c r="B893" s="1" t="n">
        <v>45006</v>
      </c>
      <c r="C893" s="1" t="n">
        <v>45994</v>
      </c>
      <c r="D893" t="inlineStr">
        <is>
          <t>JÄMTLANDS LÄN</t>
        </is>
      </c>
      <c r="E893" t="inlineStr">
        <is>
          <t>RAGUNDA</t>
        </is>
      </c>
      <c r="F893" t="inlineStr">
        <is>
          <t>SCA</t>
        </is>
      </c>
      <c r="G893" t="n">
        <v>50.3</v>
      </c>
      <c r="H893" t="n">
        <v>0</v>
      </c>
      <c r="I893" t="n">
        <v>0</v>
      </c>
      <c r="J893" t="n">
        <v>0</v>
      </c>
      <c r="K893" t="n">
        <v>0</v>
      </c>
      <c r="L893" t="n">
        <v>0</v>
      </c>
      <c r="M893" t="n">
        <v>0</v>
      </c>
      <c r="N893" t="n">
        <v>0</v>
      </c>
      <c r="O893" t="n">
        <v>0</v>
      </c>
      <c r="P893" t="n">
        <v>0</v>
      </c>
      <c r="Q893" t="n">
        <v>0</v>
      </c>
      <c r="R893" s="2" t="inlineStr"/>
    </row>
    <row r="894" ht="15" customHeight="1">
      <c r="A894" t="inlineStr">
        <is>
          <t>A 51389-2024</t>
        </is>
      </c>
      <c r="B894" s="1" t="n">
        <v>45604.40540509259</v>
      </c>
      <c r="C894" s="1" t="n">
        <v>45994</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51393-2024</t>
        </is>
      </c>
      <c r="B895" s="1" t="n">
        <v>45604.41625</v>
      </c>
      <c r="C895" s="1" t="n">
        <v>45994</v>
      </c>
      <c r="D895" t="inlineStr">
        <is>
          <t>JÄMTLANDS LÄN</t>
        </is>
      </c>
      <c r="E895" t="inlineStr">
        <is>
          <t>RAGUNDA</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23305-2023</t>
        </is>
      </c>
      <c r="B896" s="1" t="n">
        <v>45075.94506944445</v>
      </c>
      <c r="C896" s="1" t="n">
        <v>45994</v>
      </c>
      <c r="D896" t="inlineStr">
        <is>
          <t>JÄMTLANDS LÄN</t>
        </is>
      </c>
      <c r="E896" t="inlineStr">
        <is>
          <t>RAGUNDA</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18194-2025</t>
        </is>
      </c>
      <c r="B897" s="1" t="n">
        <v>45761.67744212963</v>
      </c>
      <c r="C897" s="1" t="n">
        <v>45994</v>
      </c>
      <c r="D897" t="inlineStr">
        <is>
          <t>JÄMTLANDS LÄN</t>
        </is>
      </c>
      <c r="E897" t="inlineStr">
        <is>
          <t>RAGUNDA</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18225-2024</t>
        </is>
      </c>
      <c r="B898" s="1" t="n">
        <v>45420</v>
      </c>
      <c r="C898" s="1" t="n">
        <v>45994</v>
      </c>
      <c r="D898" t="inlineStr">
        <is>
          <t>JÄMTLANDS LÄN</t>
        </is>
      </c>
      <c r="E898" t="inlineStr">
        <is>
          <t>RAGUNDA</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54764-2024</t>
        </is>
      </c>
      <c r="B899" s="1" t="n">
        <v>45618.46921296296</v>
      </c>
      <c r="C899" s="1" t="n">
        <v>45994</v>
      </c>
      <c r="D899" t="inlineStr">
        <is>
          <t>JÄMTLANDS LÄN</t>
        </is>
      </c>
      <c r="E899" t="inlineStr">
        <is>
          <t>RAGUNDA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40586-2025</t>
        </is>
      </c>
      <c r="B900" s="1" t="n">
        <v>45896.52478009259</v>
      </c>
      <c r="C900" s="1" t="n">
        <v>45994</v>
      </c>
      <c r="D900" t="inlineStr">
        <is>
          <t>JÄMTLANDS LÄN</t>
        </is>
      </c>
      <c r="E900" t="inlineStr">
        <is>
          <t>RAGUNDA</t>
        </is>
      </c>
      <c r="G900" t="n">
        <v>1.2</v>
      </c>
      <c r="H900" t="n">
        <v>0</v>
      </c>
      <c r="I900" t="n">
        <v>0</v>
      </c>
      <c r="J900" t="n">
        <v>0</v>
      </c>
      <c r="K900" t="n">
        <v>0</v>
      </c>
      <c r="L900" t="n">
        <v>0</v>
      </c>
      <c r="M900" t="n">
        <v>0</v>
      </c>
      <c r="N900" t="n">
        <v>0</v>
      </c>
      <c r="O900" t="n">
        <v>0</v>
      </c>
      <c r="P900" t="n">
        <v>0</v>
      </c>
      <c r="Q900" t="n">
        <v>0</v>
      </c>
      <c r="R900" s="2" t="inlineStr"/>
    </row>
    <row r="901" ht="15" customHeight="1">
      <c r="A901" t="inlineStr">
        <is>
          <t>A 32904-2024</t>
        </is>
      </c>
      <c r="B901" s="1" t="n">
        <v>45516.94732638889</v>
      </c>
      <c r="C901" s="1" t="n">
        <v>45994</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20987-2023</t>
        </is>
      </c>
      <c r="B902" s="1" t="n">
        <v>45056</v>
      </c>
      <c r="C902" s="1" t="n">
        <v>45994</v>
      </c>
      <c r="D902" t="inlineStr">
        <is>
          <t>JÄMTLANDS LÄN</t>
        </is>
      </c>
      <c r="E902" t="inlineStr">
        <is>
          <t>RAGUNDA</t>
        </is>
      </c>
      <c r="G902" t="n">
        <v>1.1</v>
      </c>
      <c r="H902" t="n">
        <v>0</v>
      </c>
      <c r="I902" t="n">
        <v>0</v>
      </c>
      <c r="J902" t="n">
        <v>0</v>
      </c>
      <c r="K902" t="n">
        <v>0</v>
      </c>
      <c r="L902" t="n">
        <v>0</v>
      </c>
      <c r="M902" t="n">
        <v>0</v>
      </c>
      <c r="N902" t="n">
        <v>0</v>
      </c>
      <c r="O902" t="n">
        <v>0</v>
      </c>
      <c r="P902" t="n">
        <v>0</v>
      </c>
      <c r="Q902" t="n">
        <v>0</v>
      </c>
      <c r="R902" s="2" t="inlineStr"/>
    </row>
    <row r="903" ht="15" customHeight="1">
      <c r="A903" t="inlineStr">
        <is>
          <t>A 20994-2023</t>
        </is>
      </c>
      <c r="B903" s="1" t="n">
        <v>45056</v>
      </c>
      <c r="C903" s="1" t="n">
        <v>45994</v>
      </c>
      <c r="D903" t="inlineStr">
        <is>
          <t>JÄMTLANDS LÄN</t>
        </is>
      </c>
      <c r="E903" t="inlineStr">
        <is>
          <t>RAGUNDA</t>
        </is>
      </c>
      <c r="G903" t="n">
        <v>1.3</v>
      </c>
      <c r="H903" t="n">
        <v>0</v>
      </c>
      <c r="I903" t="n">
        <v>0</v>
      </c>
      <c r="J903" t="n">
        <v>0</v>
      </c>
      <c r="K903" t="n">
        <v>0</v>
      </c>
      <c r="L903" t="n">
        <v>0</v>
      </c>
      <c r="M903" t="n">
        <v>0</v>
      </c>
      <c r="N903" t="n">
        <v>0</v>
      </c>
      <c r="O903" t="n">
        <v>0</v>
      </c>
      <c r="P903" t="n">
        <v>0</v>
      </c>
      <c r="Q903" t="n">
        <v>0</v>
      </c>
      <c r="R903" s="2" t="inlineStr"/>
    </row>
    <row r="904" ht="15" customHeight="1">
      <c r="A904" t="inlineStr">
        <is>
          <t>A 12976-2025</t>
        </is>
      </c>
      <c r="B904" s="1" t="n">
        <v>45734.45268518518</v>
      </c>
      <c r="C904" s="1" t="n">
        <v>45994</v>
      </c>
      <c r="D904" t="inlineStr">
        <is>
          <t>JÄMTLANDS LÄN</t>
        </is>
      </c>
      <c r="E904" t="inlineStr">
        <is>
          <t>RAGUNDA</t>
        </is>
      </c>
      <c r="G904" t="n">
        <v>24.2</v>
      </c>
      <c r="H904" t="n">
        <v>0</v>
      </c>
      <c r="I904" t="n">
        <v>0</v>
      </c>
      <c r="J904" t="n">
        <v>0</v>
      </c>
      <c r="K904" t="n">
        <v>0</v>
      </c>
      <c r="L904" t="n">
        <v>0</v>
      </c>
      <c r="M904" t="n">
        <v>0</v>
      </c>
      <c r="N904" t="n">
        <v>0</v>
      </c>
      <c r="O904" t="n">
        <v>0</v>
      </c>
      <c r="P904" t="n">
        <v>0</v>
      </c>
      <c r="Q904" t="n">
        <v>0</v>
      </c>
      <c r="R904" s="2" t="inlineStr"/>
    </row>
    <row r="905" ht="15" customHeight="1">
      <c r="A905" t="inlineStr">
        <is>
          <t>A 59286-2023</t>
        </is>
      </c>
      <c r="B905" s="1" t="n">
        <v>45253</v>
      </c>
      <c r="C905" s="1" t="n">
        <v>45994</v>
      </c>
      <c r="D905" t="inlineStr">
        <is>
          <t>JÄMTLANDS LÄN</t>
        </is>
      </c>
      <c r="E905" t="inlineStr">
        <is>
          <t>RAGUNDA</t>
        </is>
      </c>
      <c r="G905" t="n">
        <v>1</v>
      </c>
      <c r="H905" t="n">
        <v>0</v>
      </c>
      <c r="I905" t="n">
        <v>0</v>
      </c>
      <c r="J905" t="n">
        <v>0</v>
      </c>
      <c r="K905" t="n">
        <v>0</v>
      </c>
      <c r="L905" t="n">
        <v>0</v>
      </c>
      <c r="M905" t="n">
        <v>0</v>
      </c>
      <c r="N905" t="n">
        <v>0</v>
      </c>
      <c r="O905" t="n">
        <v>0</v>
      </c>
      <c r="P905" t="n">
        <v>0</v>
      </c>
      <c r="Q905" t="n">
        <v>0</v>
      </c>
      <c r="R905" s="2" t="inlineStr"/>
    </row>
    <row r="906" ht="15" customHeight="1">
      <c r="A906" t="inlineStr">
        <is>
          <t>A 15672-2021</t>
        </is>
      </c>
      <c r="B906" s="1" t="n">
        <v>44286</v>
      </c>
      <c r="C906" s="1" t="n">
        <v>45994</v>
      </c>
      <c r="D906" t="inlineStr">
        <is>
          <t>JÄMTLANDS LÄN</t>
        </is>
      </c>
      <c r="E906" t="inlineStr">
        <is>
          <t>RAGUNDA</t>
        </is>
      </c>
      <c r="G906" t="n">
        <v>1.7</v>
      </c>
      <c r="H906" t="n">
        <v>0</v>
      </c>
      <c r="I906" t="n">
        <v>0</v>
      </c>
      <c r="J906" t="n">
        <v>0</v>
      </c>
      <c r="K906" t="n">
        <v>0</v>
      </c>
      <c r="L906" t="n">
        <v>0</v>
      </c>
      <c r="M906" t="n">
        <v>0</v>
      </c>
      <c r="N906" t="n">
        <v>0</v>
      </c>
      <c r="O906" t="n">
        <v>0</v>
      </c>
      <c r="P906" t="n">
        <v>0</v>
      </c>
      <c r="Q906" t="n">
        <v>0</v>
      </c>
      <c r="R906" s="2" t="inlineStr"/>
    </row>
    <row r="907" ht="15" customHeight="1">
      <c r="A907" t="inlineStr">
        <is>
          <t>A 55669-2023</t>
        </is>
      </c>
      <c r="B907" s="1" t="n">
        <v>45238.96797453704</v>
      </c>
      <c r="C907" s="1" t="n">
        <v>45994</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62407-2023</t>
        </is>
      </c>
      <c r="B908" s="1" t="n">
        <v>45266</v>
      </c>
      <c r="C908" s="1" t="n">
        <v>45994</v>
      </c>
      <c r="D908" t="inlineStr">
        <is>
          <t>JÄMTLANDS LÄN</t>
        </is>
      </c>
      <c r="E908" t="inlineStr">
        <is>
          <t>RAGUNDA</t>
        </is>
      </c>
      <c r="G908" t="n">
        <v>1.6</v>
      </c>
      <c r="H908" t="n">
        <v>0</v>
      </c>
      <c r="I908" t="n">
        <v>0</v>
      </c>
      <c r="J908" t="n">
        <v>0</v>
      </c>
      <c r="K908" t="n">
        <v>0</v>
      </c>
      <c r="L908" t="n">
        <v>0</v>
      </c>
      <c r="M908" t="n">
        <v>0</v>
      </c>
      <c r="N908" t="n">
        <v>0</v>
      </c>
      <c r="O908" t="n">
        <v>0</v>
      </c>
      <c r="P908" t="n">
        <v>0</v>
      </c>
      <c r="Q908" t="n">
        <v>0</v>
      </c>
      <c r="R908" s="2" t="inlineStr"/>
    </row>
    <row r="909" ht="15" customHeight="1">
      <c r="A909" t="inlineStr">
        <is>
          <t>A 6688-2024</t>
        </is>
      </c>
      <c r="B909" s="1" t="n">
        <v>45341</v>
      </c>
      <c r="C909" s="1" t="n">
        <v>45994</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32063-2024</t>
        </is>
      </c>
      <c r="B910" s="1" t="n">
        <v>45510</v>
      </c>
      <c r="C910" s="1" t="n">
        <v>45994</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41161-2025</t>
        </is>
      </c>
      <c r="B911" s="1" t="n">
        <v>45898.53193287037</v>
      </c>
      <c r="C911" s="1" t="n">
        <v>45994</v>
      </c>
      <c r="D911" t="inlineStr">
        <is>
          <t>JÄMTLANDS LÄN</t>
        </is>
      </c>
      <c r="E911" t="inlineStr">
        <is>
          <t>RAGUNDA</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10641-2024</t>
        </is>
      </c>
      <c r="B912" s="1" t="n">
        <v>45367.69850694444</v>
      </c>
      <c r="C912" s="1" t="n">
        <v>45994</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10644-2024</t>
        </is>
      </c>
      <c r="B913" s="1" t="n">
        <v>45367.71348379629</v>
      </c>
      <c r="C913" s="1" t="n">
        <v>45994</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20426-2024</t>
        </is>
      </c>
      <c r="B914" s="1" t="n">
        <v>45435</v>
      </c>
      <c r="C914" s="1" t="n">
        <v>45994</v>
      </c>
      <c r="D914" t="inlineStr">
        <is>
          <t>JÄMTLANDS LÄN</t>
        </is>
      </c>
      <c r="E914" t="inlineStr">
        <is>
          <t>RAGUNDA</t>
        </is>
      </c>
      <c r="G914" t="n">
        <v>2.1</v>
      </c>
      <c r="H914" t="n">
        <v>0</v>
      </c>
      <c r="I914" t="n">
        <v>0</v>
      </c>
      <c r="J914" t="n">
        <v>0</v>
      </c>
      <c r="K914" t="n">
        <v>0</v>
      </c>
      <c r="L914" t="n">
        <v>0</v>
      </c>
      <c r="M914" t="n">
        <v>0</v>
      </c>
      <c r="N914" t="n">
        <v>0</v>
      </c>
      <c r="O914" t="n">
        <v>0</v>
      </c>
      <c r="P914" t="n">
        <v>0</v>
      </c>
      <c r="Q914" t="n">
        <v>0</v>
      </c>
      <c r="R914" s="2" t="inlineStr"/>
    </row>
    <row r="915" ht="15" customHeight="1">
      <c r="A915" t="inlineStr">
        <is>
          <t>A 50650-2023</t>
        </is>
      </c>
      <c r="B915" s="1" t="n">
        <v>45210</v>
      </c>
      <c r="C915" s="1" t="n">
        <v>45994</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41233-2025</t>
        </is>
      </c>
      <c r="B916" s="1" t="n">
        <v>45898.59295138889</v>
      </c>
      <c r="C916" s="1" t="n">
        <v>45994</v>
      </c>
      <c r="D916" t="inlineStr">
        <is>
          <t>JÄMTLANDS LÄN</t>
        </is>
      </c>
      <c r="E916" t="inlineStr">
        <is>
          <t>RAGUNDA</t>
        </is>
      </c>
      <c r="G916" t="n">
        <v>1.7</v>
      </c>
      <c r="H916" t="n">
        <v>0</v>
      </c>
      <c r="I916" t="n">
        <v>0</v>
      </c>
      <c r="J916" t="n">
        <v>0</v>
      </c>
      <c r="K916" t="n">
        <v>0</v>
      </c>
      <c r="L916" t="n">
        <v>0</v>
      </c>
      <c r="M916" t="n">
        <v>0</v>
      </c>
      <c r="N916" t="n">
        <v>0</v>
      </c>
      <c r="O916" t="n">
        <v>0</v>
      </c>
      <c r="P916" t="n">
        <v>0</v>
      </c>
      <c r="Q916" t="n">
        <v>0</v>
      </c>
      <c r="R916" s="2" t="inlineStr"/>
    </row>
    <row r="917" ht="15" customHeight="1">
      <c r="A917" t="inlineStr">
        <is>
          <t>A 41344-2024</t>
        </is>
      </c>
      <c r="B917" s="1" t="n">
        <v>45559.67759259259</v>
      </c>
      <c r="C917" s="1" t="n">
        <v>45994</v>
      </c>
      <c r="D917" t="inlineStr">
        <is>
          <t>JÄMTLANDS LÄN</t>
        </is>
      </c>
      <c r="E917" t="inlineStr">
        <is>
          <t>RAGUNDA</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17742-2022</t>
        </is>
      </c>
      <c r="B918" s="1" t="n">
        <v>44680.95246527778</v>
      </c>
      <c r="C918" s="1" t="n">
        <v>45994</v>
      </c>
      <c r="D918" t="inlineStr">
        <is>
          <t>JÄMTLANDS LÄN</t>
        </is>
      </c>
      <c r="E918" t="inlineStr">
        <is>
          <t>RAGUNDA</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41262-2025</t>
        </is>
      </c>
      <c r="B919" s="1" t="n">
        <v>45898.61502314815</v>
      </c>
      <c r="C919" s="1" t="n">
        <v>45994</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59670-2023</t>
        </is>
      </c>
      <c r="B920" s="1" t="n">
        <v>45254.96516203704</v>
      </c>
      <c r="C920" s="1" t="n">
        <v>45994</v>
      </c>
      <c r="D920" t="inlineStr">
        <is>
          <t>JÄMTLANDS LÄN</t>
        </is>
      </c>
      <c r="E920" t="inlineStr">
        <is>
          <t>RAGUNDA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30825-2023</t>
        </is>
      </c>
      <c r="B921" s="1" t="n">
        <v>45112.94310185185</v>
      </c>
      <c r="C921" s="1" t="n">
        <v>45994</v>
      </c>
      <c r="D921" t="inlineStr">
        <is>
          <t>JÄMTLANDS LÄN</t>
        </is>
      </c>
      <c r="E921" t="inlineStr">
        <is>
          <t>RAGUNDA</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41423-2025</t>
        </is>
      </c>
      <c r="B922" s="1" t="n">
        <v>45901.38578703703</v>
      </c>
      <c r="C922" s="1" t="n">
        <v>45994</v>
      </c>
      <c r="D922" t="inlineStr">
        <is>
          <t>JÄMTLANDS LÄN</t>
        </is>
      </c>
      <c r="E922" t="inlineStr">
        <is>
          <t>RAGUNDA</t>
        </is>
      </c>
      <c r="G922" t="n">
        <v>0.7</v>
      </c>
      <c r="H922" t="n">
        <v>0</v>
      </c>
      <c r="I922" t="n">
        <v>0</v>
      </c>
      <c r="J922" t="n">
        <v>0</v>
      </c>
      <c r="K922" t="n">
        <v>0</v>
      </c>
      <c r="L922" t="n">
        <v>0</v>
      </c>
      <c r="M922" t="n">
        <v>0</v>
      </c>
      <c r="N922" t="n">
        <v>0</v>
      </c>
      <c r="O922" t="n">
        <v>0</v>
      </c>
      <c r="P922" t="n">
        <v>0</v>
      </c>
      <c r="Q922" t="n">
        <v>0</v>
      </c>
      <c r="R922" s="2" t="inlineStr"/>
    </row>
    <row r="923" ht="15" customHeight="1">
      <c r="A923" t="inlineStr">
        <is>
          <t>A 55508-2024</t>
        </is>
      </c>
      <c r="B923" s="1" t="n">
        <v>45622.46200231482</v>
      </c>
      <c r="C923" s="1" t="n">
        <v>45994</v>
      </c>
      <c r="D923" t="inlineStr">
        <is>
          <t>JÄMTLANDS LÄN</t>
        </is>
      </c>
      <c r="E923" t="inlineStr">
        <is>
          <t>RAGUNDA</t>
        </is>
      </c>
      <c r="G923" t="n">
        <v>1.8</v>
      </c>
      <c r="H923" t="n">
        <v>0</v>
      </c>
      <c r="I923" t="n">
        <v>0</v>
      </c>
      <c r="J923" t="n">
        <v>0</v>
      </c>
      <c r="K923" t="n">
        <v>0</v>
      </c>
      <c r="L923" t="n">
        <v>0</v>
      </c>
      <c r="M923" t="n">
        <v>0</v>
      </c>
      <c r="N923" t="n">
        <v>0</v>
      </c>
      <c r="O923" t="n">
        <v>0</v>
      </c>
      <c r="P923" t="n">
        <v>0</v>
      </c>
      <c r="Q923" t="n">
        <v>0</v>
      </c>
      <c r="R923" s="2" t="inlineStr"/>
    </row>
    <row r="924" ht="15" customHeight="1">
      <c r="A924" t="inlineStr">
        <is>
          <t>A 59492-2024</t>
        </is>
      </c>
      <c r="B924" s="1" t="n">
        <v>45638</v>
      </c>
      <c r="C924" s="1" t="n">
        <v>45994</v>
      </c>
      <c r="D924" t="inlineStr">
        <is>
          <t>JÄMTLANDS LÄN</t>
        </is>
      </c>
      <c r="E924" t="inlineStr">
        <is>
          <t>RAGUNDA</t>
        </is>
      </c>
      <c r="G924" t="n">
        <v>1.2</v>
      </c>
      <c r="H924" t="n">
        <v>0</v>
      </c>
      <c r="I924" t="n">
        <v>0</v>
      </c>
      <c r="J924" t="n">
        <v>0</v>
      </c>
      <c r="K924" t="n">
        <v>0</v>
      </c>
      <c r="L924" t="n">
        <v>0</v>
      </c>
      <c r="M924" t="n">
        <v>0</v>
      </c>
      <c r="N924" t="n">
        <v>0</v>
      </c>
      <c r="O924" t="n">
        <v>0</v>
      </c>
      <c r="P924" t="n">
        <v>0</v>
      </c>
      <c r="Q924" t="n">
        <v>0</v>
      </c>
      <c r="R924" s="2" t="inlineStr"/>
    </row>
    <row r="925" ht="15" customHeight="1">
      <c r="A925" t="inlineStr">
        <is>
          <t>A 41424-2025</t>
        </is>
      </c>
      <c r="B925" s="1" t="n">
        <v>45901.38584490741</v>
      </c>
      <c r="C925" s="1" t="n">
        <v>45994</v>
      </c>
      <c r="D925" t="inlineStr">
        <is>
          <t>JÄMTLANDS LÄN</t>
        </is>
      </c>
      <c r="E925" t="inlineStr">
        <is>
          <t>RAGUNDA</t>
        </is>
      </c>
      <c r="G925" t="n">
        <v>3</v>
      </c>
      <c r="H925" t="n">
        <v>0</v>
      </c>
      <c r="I925" t="n">
        <v>0</v>
      </c>
      <c r="J925" t="n">
        <v>0</v>
      </c>
      <c r="K925" t="n">
        <v>0</v>
      </c>
      <c r="L925" t="n">
        <v>0</v>
      </c>
      <c r="M925" t="n">
        <v>0</v>
      </c>
      <c r="N925" t="n">
        <v>0</v>
      </c>
      <c r="O925" t="n">
        <v>0</v>
      </c>
      <c r="P925" t="n">
        <v>0</v>
      </c>
      <c r="Q925" t="n">
        <v>0</v>
      </c>
      <c r="R925" s="2" t="inlineStr"/>
    </row>
    <row r="926" ht="15" customHeight="1">
      <c r="A926" t="inlineStr">
        <is>
          <t>A 20772-2024</t>
        </is>
      </c>
      <c r="B926" s="1" t="n">
        <v>45436.94628472222</v>
      </c>
      <c r="C926" s="1" t="n">
        <v>45994</v>
      </c>
      <c r="D926" t="inlineStr">
        <is>
          <t>JÄMTLANDS LÄN</t>
        </is>
      </c>
      <c r="E926" t="inlineStr">
        <is>
          <t>RAGUNDA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9084-2023</t>
        </is>
      </c>
      <c r="B927" s="1" t="n">
        <v>44979</v>
      </c>
      <c r="C927" s="1" t="n">
        <v>45994</v>
      </c>
      <c r="D927" t="inlineStr">
        <is>
          <t>JÄMTLANDS LÄN</t>
        </is>
      </c>
      <c r="E927" t="inlineStr">
        <is>
          <t>RAGUNDA</t>
        </is>
      </c>
      <c r="G927" t="n">
        <v>1.9</v>
      </c>
      <c r="H927" t="n">
        <v>0</v>
      </c>
      <c r="I927" t="n">
        <v>0</v>
      </c>
      <c r="J927" t="n">
        <v>0</v>
      </c>
      <c r="K927" t="n">
        <v>0</v>
      </c>
      <c r="L927" t="n">
        <v>0</v>
      </c>
      <c r="M927" t="n">
        <v>0</v>
      </c>
      <c r="N927" t="n">
        <v>0</v>
      </c>
      <c r="O927" t="n">
        <v>0</v>
      </c>
      <c r="P927" t="n">
        <v>0</v>
      </c>
      <c r="Q927" t="n">
        <v>0</v>
      </c>
      <c r="R927" s="2" t="inlineStr"/>
    </row>
    <row r="928" ht="15" customHeight="1">
      <c r="A928" t="inlineStr">
        <is>
          <t>A 53757-2024</t>
        </is>
      </c>
      <c r="B928" s="1" t="n">
        <v>45615.50034722222</v>
      </c>
      <c r="C928" s="1" t="n">
        <v>45994</v>
      </c>
      <c r="D928" t="inlineStr">
        <is>
          <t>JÄMTLANDS LÄN</t>
        </is>
      </c>
      <c r="E928" t="inlineStr">
        <is>
          <t>RAGUNDA</t>
        </is>
      </c>
      <c r="G928" t="n">
        <v>2</v>
      </c>
      <c r="H928" t="n">
        <v>0</v>
      </c>
      <c r="I928" t="n">
        <v>0</v>
      </c>
      <c r="J928" t="n">
        <v>0</v>
      </c>
      <c r="K928" t="n">
        <v>0</v>
      </c>
      <c r="L928" t="n">
        <v>0</v>
      </c>
      <c r="M928" t="n">
        <v>0</v>
      </c>
      <c r="N928" t="n">
        <v>0</v>
      </c>
      <c r="O928" t="n">
        <v>0</v>
      </c>
      <c r="P928" t="n">
        <v>0</v>
      </c>
      <c r="Q928" t="n">
        <v>0</v>
      </c>
      <c r="R928" s="2" t="inlineStr"/>
    </row>
    <row r="929" ht="15" customHeight="1">
      <c r="A929" t="inlineStr">
        <is>
          <t>A 41140-2025</t>
        </is>
      </c>
      <c r="B929" s="1" t="n">
        <v>45898.49012731481</v>
      </c>
      <c r="C929" s="1" t="n">
        <v>45994</v>
      </c>
      <c r="D929" t="inlineStr">
        <is>
          <t>JÄMTLANDS LÄN</t>
        </is>
      </c>
      <c r="E929" t="inlineStr">
        <is>
          <t>RAGUNDA</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41422-2025</t>
        </is>
      </c>
      <c r="B930" s="1" t="n">
        <v>45901.38572916666</v>
      </c>
      <c r="C930" s="1" t="n">
        <v>45994</v>
      </c>
      <c r="D930" t="inlineStr">
        <is>
          <t>JÄMTLANDS LÄN</t>
        </is>
      </c>
      <c r="E930" t="inlineStr">
        <is>
          <t>RAGUNDA</t>
        </is>
      </c>
      <c r="G930" t="n">
        <v>4.3</v>
      </c>
      <c r="H930" t="n">
        <v>0</v>
      </c>
      <c r="I930" t="n">
        <v>0</v>
      </c>
      <c r="J930" t="n">
        <v>0</v>
      </c>
      <c r="K930" t="n">
        <v>0</v>
      </c>
      <c r="L930" t="n">
        <v>0</v>
      </c>
      <c r="M930" t="n">
        <v>0</v>
      </c>
      <c r="N930" t="n">
        <v>0</v>
      </c>
      <c r="O930" t="n">
        <v>0</v>
      </c>
      <c r="P930" t="n">
        <v>0</v>
      </c>
      <c r="Q930" t="n">
        <v>0</v>
      </c>
      <c r="R930" s="2" t="inlineStr"/>
    </row>
    <row r="931" ht="15" customHeight="1">
      <c r="A931" t="inlineStr">
        <is>
          <t>A 41876-2025</t>
        </is>
      </c>
      <c r="B931" s="1" t="n">
        <v>45903.34555555556</v>
      </c>
      <c r="C931" s="1" t="n">
        <v>45994</v>
      </c>
      <c r="D931" t="inlineStr">
        <is>
          <t>JÄMTLANDS LÄN</t>
        </is>
      </c>
      <c r="E931" t="inlineStr">
        <is>
          <t>RAGUNDA</t>
        </is>
      </c>
      <c r="G931" t="n">
        <v>2</v>
      </c>
      <c r="H931" t="n">
        <v>0</v>
      </c>
      <c r="I931" t="n">
        <v>0</v>
      </c>
      <c r="J931" t="n">
        <v>0</v>
      </c>
      <c r="K931" t="n">
        <v>0</v>
      </c>
      <c r="L931" t="n">
        <v>0</v>
      </c>
      <c r="M931" t="n">
        <v>0</v>
      </c>
      <c r="N931" t="n">
        <v>0</v>
      </c>
      <c r="O931" t="n">
        <v>0</v>
      </c>
      <c r="P931" t="n">
        <v>0</v>
      </c>
      <c r="Q931" t="n">
        <v>0</v>
      </c>
      <c r="R931" s="2" t="inlineStr"/>
    </row>
    <row r="932" ht="15" customHeight="1">
      <c r="A932" t="inlineStr">
        <is>
          <t>A 9326-2024</t>
        </is>
      </c>
      <c r="B932" s="1" t="n">
        <v>45358.95818287037</v>
      </c>
      <c r="C932" s="1" t="n">
        <v>45994</v>
      </c>
      <c r="D932" t="inlineStr">
        <is>
          <t>JÄMTLANDS LÄN</t>
        </is>
      </c>
      <c r="E932" t="inlineStr">
        <is>
          <t>RAGUNDA</t>
        </is>
      </c>
      <c r="G932" t="n">
        <v>0.7</v>
      </c>
      <c r="H932" t="n">
        <v>0</v>
      </c>
      <c r="I932" t="n">
        <v>0</v>
      </c>
      <c r="J932" t="n">
        <v>0</v>
      </c>
      <c r="K932" t="n">
        <v>0</v>
      </c>
      <c r="L932" t="n">
        <v>0</v>
      </c>
      <c r="M932" t="n">
        <v>0</v>
      </c>
      <c r="N932" t="n">
        <v>0</v>
      </c>
      <c r="O932" t="n">
        <v>0</v>
      </c>
      <c r="P932" t="n">
        <v>0</v>
      </c>
      <c r="Q932" t="n">
        <v>0</v>
      </c>
      <c r="R932" s="2" t="inlineStr"/>
    </row>
    <row r="933" ht="15" customHeight="1">
      <c r="A933" t="inlineStr">
        <is>
          <t>A 7520-2023</t>
        </is>
      </c>
      <c r="B933" s="1" t="n">
        <v>44971</v>
      </c>
      <c r="C933" s="1" t="n">
        <v>45994</v>
      </c>
      <c r="D933" t="inlineStr">
        <is>
          <t>JÄMTLANDS LÄN</t>
        </is>
      </c>
      <c r="E933" t="inlineStr">
        <is>
          <t>RAGUNDA</t>
        </is>
      </c>
      <c r="F933" t="inlineStr">
        <is>
          <t>SCA</t>
        </is>
      </c>
      <c r="G933" t="n">
        <v>3.5</v>
      </c>
      <c r="H933" t="n">
        <v>0</v>
      </c>
      <c r="I933" t="n">
        <v>0</v>
      </c>
      <c r="J933" t="n">
        <v>0</v>
      </c>
      <c r="K933" t="n">
        <v>0</v>
      </c>
      <c r="L933" t="n">
        <v>0</v>
      </c>
      <c r="M933" t="n">
        <v>0</v>
      </c>
      <c r="N933" t="n">
        <v>0</v>
      </c>
      <c r="O933" t="n">
        <v>0</v>
      </c>
      <c r="P933" t="n">
        <v>0</v>
      </c>
      <c r="Q933" t="n">
        <v>0</v>
      </c>
      <c r="R933" s="2" t="inlineStr"/>
    </row>
    <row r="934" ht="15" customHeight="1">
      <c r="A934" t="inlineStr">
        <is>
          <t>A 21662-2023</t>
        </is>
      </c>
      <c r="B934" s="1" t="n">
        <v>45063</v>
      </c>
      <c r="C934" s="1" t="n">
        <v>45994</v>
      </c>
      <c r="D934" t="inlineStr">
        <is>
          <t>JÄMTLANDS LÄN</t>
        </is>
      </c>
      <c r="E934" t="inlineStr">
        <is>
          <t>RAGUNDA</t>
        </is>
      </c>
      <c r="G934" t="n">
        <v>1.8</v>
      </c>
      <c r="H934" t="n">
        <v>0</v>
      </c>
      <c r="I934" t="n">
        <v>0</v>
      </c>
      <c r="J934" t="n">
        <v>0</v>
      </c>
      <c r="K934" t="n">
        <v>0</v>
      </c>
      <c r="L934" t="n">
        <v>0</v>
      </c>
      <c r="M934" t="n">
        <v>0</v>
      </c>
      <c r="N934" t="n">
        <v>0</v>
      </c>
      <c r="O934" t="n">
        <v>0</v>
      </c>
      <c r="P934" t="n">
        <v>0</v>
      </c>
      <c r="Q934" t="n">
        <v>0</v>
      </c>
      <c r="R934" s="2" t="inlineStr"/>
    </row>
    <row r="935" ht="15" customHeight="1">
      <c r="A935" t="inlineStr">
        <is>
          <t>A 6716-2025</t>
        </is>
      </c>
      <c r="B935" s="1" t="n">
        <v>45700.57324074074</v>
      </c>
      <c r="C935" s="1" t="n">
        <v>45994</v>
      </c>
      <c r="D935" t="inlineStr">
        <is>
          <t>JÄMTLANDS LÄN</t>
        </is>
      </c>
      <c r="E935" t="inlineStr">
        <is>
          <t>RAGUNDA</t>
        </is>
      </c>
      <c r="F935" t="inlineStr">
        <is>
          <t>SCA</t>
        </is>
      </c>
      <c r="G935" t="n">
        <v>5.1</v>
      </c>
      <c r="H935" t="n">
        <v>0</v>
      </c>
      <c r="I935" t="n">
        <v>0</v>
      </c>
      <c r="J935" t="n">
        <v>0</v>
      </c>
      <c r="K935" t="n">
        <v>0</v>
      </c>
      <c r="L935" t="n">
        <v>0</v>
      </c>
      <c r="M935" t="n">
        <v>0</v>
      </c>
      <c r="N935" t="n">
        <v>0</v>
      </c>
      <c r="O935" t="n">
        <v>0</v>
      </c>
      <c r="P935" t="n">
        <v>0</v>
      </c>
      <c r="Q935" t="n">
        <v>0</v>
      </c>
      <c r="R935" s="2" t="inlineStr"/>
    </row>
    <row r="936" ht="15" customHeight="1">
      <c r="A936" t="inlineStr">
        <is>
          <t>A 41656-2025</t>
        </is>
      </c>
      <c r="B936" s="1" t="n">
        <v>45902.34423611111</v>
      </c>
      <c r="C936" s="1" t="n">
        <v>45994</v>
      </c>
      <c r="D936" t="inlineStr">
        <is>
          <t>JÄMTLANDS LÄN</t>
        </is>
      </c>
      <c r="E936" t="inlineStr">
        <is>
          <t>RAGUNDA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19866-2023</t>
        </is>
      </c>
      <c r="B937" s="1" t="n">
        <v>45053.94313657407</v>
      </c>
      <c r="C937" s="1" t="n">
        <v>45994</v>
      </c>
      <c r="D937" t="inlineStr">
        <is>
          <t>JÄMTLANDS LÄN</t>
        </is>
      </c>
      <c r="E937" t="inlineStr">
        <is>
          <t>RAGUNDA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44727-2024</t>
        </is>
      </c>
      <c r="B938" s="1" t="n">
        <v>45574.57967592592</v>
      </c>
      <c r="C938" s="1" t="n">
        <v>45994</v>
      </c>
      <c r="D938" t="inlineStr">
        <is>
          <t>JÄMTLANDS LÄN</t>
        </is>
      </c>
      <c r="E938" t="inlineStr">
        <is>
          <t>RAGUNDA</t>
        </is>
      </c>
      <c r="G938" t="n">
        <v>4.7</v>
      </c>
      <c r="H938" t="n">
        <v>0</v>
      </c>
      <c r="I938" t="n">
        <v>0</v>
      </c>
      <c r="J938" t="n">
        <v>0</v>
      </c>
      <c r="K938" t="n">
        <v>0</v>
      </c>
      <c r="L938" t="n">
        <v>0</v>
      </c>
      <c r="M938" t="n">
        <v>0</v>
      </c>
      <c r="N938" t="n">
        <v>0</v>
      </c>
      <c r="O938" t="n">
        <v>0</v>
      </c>
      <c r="P938" t="n">
        <v>0</v>
      </c>
      <c r="Q938" t="n">
        <v>0</v>
      </c>
      <c r="R938" s="2" t="inlineStr"/>
    </row>
    <row r="939" ht="15" customHeight="1">
      <c r="A939" t="inlineStr">
        <is>
          <t>A 21853-2024</t>
        </is>
      </c>
      <c r="B939" s="1" t="n">
        <v>45442.96296296296</v>
      </c>
      <c r="C939" s="1" t="n">
        <v>45994</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8241-2024</t>
        </is>
      </c>
      <c r="B940" s="1" t="n">
        <v>45351.98496527778</v>
      </c>
      <c r="C940" s="1" t="n">
        <v>45994</v>
      </c>
      <c r="D940" t="inlineStr">
        <is>
          <t>JÄMTLANDS LÄN</t>
        </is>
      </c>
      <c r="E940" t="inlineStr">
        <is>
          <t>RAGUNDA</t>
        </is>
      </c>
      <c r="F940" t="inlineStr">
        <is>
          <t>SCA</t>
        </is>
      </c>
      <c r="G940" t="n">
        <v>4.2</v>
      </c>
      <c r="H940" t="n">
        <v>0</v>
      </c>
      <c r="I940" t="n">
        <v>0</v>
      </c>
      <c r="J940" t="n">
        <v>0</v>
      </c>
      <c r="K940" t="n">
        <v>0</v>
      </c>
      <c r="L940" t="n">
        <v>0</v>
      </c>
      <c r="M940" t="n">
        <v>0</v>
      </c>
      <c r="N940" t="n">
        <v>0</v>
      </c>
      <c r="O940" t="n">
        <v>0</v>
      </c>
      <c r="P940" t="n">
        <v>0</v>
      </c>
      <c r="Q940" t="n">
        <v>0</v>
      </c>
      <c r="R940" s="2" t="inlineStr"/>
    </row>
    <row r="941" ht="15" customHeight="1">
      <c r="A941" t="inlineStr">
        <is>
          <t>A 21524-2024</t>
        </is>
      </c>
      <c r="B941" s="1" t="n">
        <v>45441</v>
      </c>
      <c r="C941" s="1" t="n">
        <v>45994</v>
      </c>
      <c r="D941" t="inlineStr">
        <is>
          <t>JÄMTLANDS LÄN</t>
        </is>
      </c>
      <c r="E941" t="inlineStr">
        <is>
          <t>RAGUNDA</t>
        </is>
      </c>
      <c r="G941" t="n">
        <v>1.6</v>
      </c>
      <c r="H941" t="n">
        <v>0</v>
      </c>
      <c r="I941" t="n">
        <v>0</v>
      </c>
      <c r="J941" t="n">
        <v>0</v>
      </c>
      <c r="K941" t="n">
        <v>0</v>
      </c>
      <c r="L941" t="n">
        <v>0</v>
      </c>
      <c r="M941" t="n">
        <v>0</v>
      </c>
      <c r="N941" t="n">
        <v>0</v>
      </c>
      <c r="O941" t="n">
        <v>0</v>
      </c>
      <c r="P941" t="n">
        <v>0</v>
      </c>
      <c r="Q941" t="n">
        <v>0</v>
      </c>
      <c r="R941" s="2" t="inlineStr"/>
    </row>
    <row r="942" ht="15" customHeight="1">
      <c r="A942" t="inlineStr">
        <is>
          <t>A 40365-2024</t>
        </is>
      </c>
      <c r="B942" s="1" t="n">
        <v>45555.38509259259</v>
      </c>
      <c r="C942" s="1" t="n">
        <v>45994</v>
      </c>
      <c r="D942" t="inlineStr">
        <is>
          <t>JÄMTLANDS LÄN</t>
        </is>
      </c>
      <c r="E942" t="inlineStr">
        <is>
          <t>RAGUNDA</t>
        </is>
      </c>
      <c r="G942" t="n">
        <v>7.8</v>
      </c>
      <c r="H942" t="n">
        <v>0</v>
      </c>
      <c r="I942" t="n">
        <v>0</v>
      </c>
      <c r="J942" t="n">
        <v>0</v>
      </c>
      <c r="K942" t="n">
        <v>0</v>
      </c>
      <c r="L942" t="n">
        <v>0</v>
      </c>
      <c r="M942" t="n">
        <v>0</v>
      </c>
      <c r="N942" t="n">
        <v>0</v>
      </c>
      <c r="O942" t="n">
        <v>0</v>
      </c>
      <c r="P942" t="n">
        <v>0</v>
      </c>
      <c r="Q942" t="n">
        <v>0</v>
      </c>
      <c r="R942" s="2" t="inlineStr"/>
    </row>
    <row r="943" ht="15" customHeight="1">
      <c r="A943" t="inlineStr">
        <is>
          <t>A 20770-2024</t>
        </is>
      </c>
      <c r="B943" s="1" t="n">
        <v>45436.94613425926</v>
      </c>
      <c r="C943" s="1" t="n">
        <v>45994</v>
      </c>
      <c r="D943" t="inlineStr">
        <is>
          <t>JÄMTLANDS LÄN</t>
        </is>
      </c>
      <c r="E943" t="inlineStr">
        <is>
          <t>RAGUNDA</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21083-2024</t>
        </is>
      </c>
      <c r="B944" s="1" t="n">
        <v>45439.92752314815</v>
      </c>
      <c r="C944" s="1" t="n">
        <v>45994</v>
      </c>
      <c r="D944" t="inlineStr">
        <is>
          <t>JÄMTLANDS LÄN</t>
        </is>
      </c>
      <c r="E944" t="inlineStr">
        <is>
          <t>RAGUNDA</t>
        </is>
      </c>
      <c r="G944" t="n">
        <v>1.5</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45994</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7281-2024</t>
        </is>
      </c>
      <c r="B946" s="1" t="n">
        <v>45344</v>
      </c>
      <c r="C946" s="1" t="n">
        <v>45994</v>
      </c>
      <c r="D946" t="inlineStr">
        <is>
          <t>JÄMTLANDS LÄN</t>
        </is>
      </c>
      <c r="E946" t="inlineStr">
        <is>
          <t>RAGUNDA</t>
        </is>
      </c>
      <c r="G946" t="n">
        <v>1.2</v>
      </c>
      <c r="H946" t="n">
        <v>0</v>
      </c>
      <c r="I946" t="n">
        <v>0</v>
      </c>
      <c r="J946" t="n">
        <v>0</v>
      </c>
      <c r="K946" t="n">
        <v>0</v>
      </c>
      <c r="L946" t="n">
        <v>0</v>
      </c>
      <c r="M946" t="n">
        <v>0</v>
      </c>
      <c r="N946" t="n">
        <v>0</v>
      </c>
      <c r="O946" t="n">
        <v>0</v>
      </c>
      <c r="P946" t="n">
        <v>0</v>
      </c>
      <c r="Q946" t="n">
        <v>0</v>
      </c>
      <c r="R946" s="2" t="inlineStr"/>
    </row>
    <row r="947" ht="15" customHeight="1">
      <c r="A947" t="inlineStr">
        <is>
          <t>A 7284-2024</t>
        </is>
      </c>
      <c r="B947" s="1" t="n">
        <v>45344.92865740741</v>
      </c>
      <c r="C947" s="1" t="n">
        <v>45994</v>
      </c>
      <c r="D947" t="inlineStr">
        <is>
          <t>JÄMTLANDS LÄN</t>
        </is>
      </c>
      <c r="E947" t="inlineStr">
        <is>
          <t>RAGUNDA</t>
        </is>
      </c>
      <c r="G947" t="n">
        <v>2.1</v>
      </c>
      <c r="H947" t="n">
        <v>0</v>
      </c>
      <c r="I947" t="n">
        <v>0</v>
      </c>
      <c r="J947" t="n">
        <v>0</v>
      </c>
      <c r="K947" t="n">
        <v>0</v>
      </c>
      <c r="L947" t="n">
        <v>0</v>
      </c>
      <c r="M947" t="n">
        <v>0</v>
      </c>
      <c r="N947" t="n">
        <v>0</v>
      </c>
      <c r="O947" t="n">
        <v>0</v>
      </c>
      <c r="P947" t="n">
        <v>0</v>
      </c>
      <c r="Q947" t="n">
        <v>0</v>
      </c>
      <c r="R947" s="2" t="inlineStr"/>
    </row>
    <row r="948" ht="15" customHeight="1">
      <c r="A948" t="inlineStr">
        <is>
          <t>A 7285-2024</t>
        </is>
      </c>
      <c r="B948" s="1" t="n">
        <v>45344.92873842592</v>
      </c>
      <c r="C948" s="1" t="n">
        <v>45994</v>
      </c>
      <c r="D948" t="inlineStr">
        <is>
          <t>JÄMTLANDS LÄN</t>
        </is>
      </c>
      <c r="E948" t="inlineStr">
        <is>
          <t>RAGUNDA</t>
        </is>
      </c>
      <c r="G948" t="n">
        <v>0.5</v>
      </c>
      <c r="H948" t="n">
        <v>0</v>
      </c>
      <c r="I948" t="n">
        <v>0</v>
      </c>
      <c r="J948" t="n">
        <v>0</v>
      </c>
      <c r="K948" t="n">
        <v>0</v>
      </c>
      <c r="L948" t="n">
        <v>0</v>
      </c>
      <c r="M948" t="n">
        <v>0</v>
      </c>
      <c r="N948" t="n">
        <v>0</v>
      </c>
      <c r="O948" t="n">
        <v>0</v>
      </c>
      <c r="P948" t="n">
        <v>0</v>
      </c>
      <c r="Q948" t="n">
        <v>0</v>
      </c>
      <c r="R948" s="2" t="inlineStr"/>
    </row>
    <row r="949" ht="15" customHeight="1">
      <c r="A949" t="inlineStr">
        <is>
          <t>A 12050-2023</t>
        </is>
      </c>
      <c r="B949" s="1" t="n">
        <v>44995.98644675926</v>
      </c>
      <c r="C949" s="1" t="n">
        <v>45994</v>
      </c>
      <c r="D949" t="inlineStr">
        <is>
          <t>JÄMTLANDS LÄN</t>
        </is>
      </c>
      <c r="E949" t="inlineStr">
        <is>
          <t>RAGUNDA</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38191-2024</t>
        </is>
      </c>
      <c r="B950" s="1" t="n">
        <v>45545.49078703704</v>
      </c>
      <c r="C950" s="1" t="n">
        <v>45994</v>
      </c>
      <c r="D950" t="inlineStr">
        <is>
          <t>JÄMTLANDS LÄN</t>
        </is>
      </c>
      <c r="E950" t="inlineStr">
        <is>
          <t>RAGUNDA</t>
        </is>
      </c>
      <c r="G950" t="n">
        <v>1.6</v>
      </c>
      <c r="H950" t="n">
        <v>0</v>
      </c>
      <c r="I950" t="n">
        <v>0</v>
      </c>
      <c r="J950" t="n">
        <v>0</v>
      </c>
      <c r="K950" t="n">
        <v>0</v>
      </c>
      <c r="L950" t="n">
        <v>0</v>
      </c>
      <c r="M950" t="n">
        <v>0</v>
      </c>
      <c r="N950" t="n">
        <v>0</v>
      </c>
      <c r="O950" t="n">
        <v>0</v>
      </c>
      <c r="P950" t="n">
        <v>0</v>
      </c>
      <c r="Q950" t="n">
        <v>0</v>
      </c>
      <c r="R950" s="2" t="inlineStr"/>
    </row>
    <row r="951" ht="15" customHeight="1">
      <c r="A951" t="inlineStr">
        <is>
          <t>A 62358-2023</t>
        </is>
      </c>
      <c r="B951" s="1" t="n">
        <v>45267</v>
      </c>
      <c r="C951" s="1" t="n">
        <v>45994</v>
      </c>
      <c r="D951" t="inlineStr">
        <is>
          <t>JÄMTLANDS LÄN</t>
        </is>
      </c>
      <c r="E951" t="inlineStr">
        <is>
          <t>RAGUNDA</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18820-2023</t>
        </is>
      </c>
      <c r="B952" s="1" t="n">
        <v>45042</v>
      </c>
      <c r="C952" s="1" t="n">
        <v>45994</v>
      </c>
      <c r="D952" t="inlineStr">
        <is>
          <t>JÄMTLANDS LÄN</t>
        </is>
      </c>
      <c r="E952" t="inlineStr">
        <is>
          <t>RAGUNDA</t>
        </is>
      </c>
      <c r="G952" t="n">
        <v>18.8</v>
      </c>
      <c r="H952" t="n">
        <v>0</v>
      </c>
      <c r="I952" t="n">
        <v>0</v>
      </c>
      <c r="J952" t="n">
        <v>0</v>
      </c>
      <c r="K952" t="n">
        <v>0</v>
      </c>
      <c r="L952" t="n">
        <v>0</v>
      </c>
      <c r="M952" t="n">
        <v>0</v>
      </c>
      <c r="N952" t="n">
        <v>0</v>
      </c>
      <c r="O952" t="n">
        <v>0</v>
      </c>
      <c r="P952" t="n">
        <v>0</v>
      </c>
      <c r="Q952" t="n">
        <v>0</v>
      </c>
      <c r="R952" s="2" t="inlineStr"/>
    </row>
    <row r="953" ht="15" customHeight="1">
      <c r="A953" t="inlineStr">
        <is>
          <t>A 53347-2023</t>
        </is>
      </c>
      <c r="B953" s="1" t="n">
        <v>45223</v>
      </c>
      <c r="C953" s="1" t="n">
        <v>45994</v>
      </c>
      <c r="D953" t="inlineStr">
        <is>
          <t>JÄMTLANDS LÄN</t>
        </is>
      </c>
      <c r="E953" t="inlineStr">
        <is>
          <t>RAGUNDA</t>
        </is>
      </c>
      <c r="G953" t="n">
        <v>1.6</v>
      </c>
      <c r="H953" t="n">
        <v>0</v>
      </c>
      <c r="I953" t="n">
        <v>0</v>
      </c>
      <c r="J953" t="n">
        <v>0</v>
      </c>
      <c r="K953" t="n">
        <v>0</v>
      </c>
      <c r="L953" t="n">
        <v>0</v>
      </c>
      <c r="M953" t="n">
        <v>0</v>
      </c>
      <c r="N953" t="n">
        <v>0</v>
      </c>
      <c r="O953" t="n">
        <v>0</v>
      </c>
      <c r="P953" t="n">
        <v>0</v>
      </c>
      <c r="Q953" t="n">
        <v>0</v>
      </c>
      <c r="R953" s="2" t="inlineStr"/>
    </row>
    <row r="954" ht="15" customHeight="1">
      <c r="A954" t="inlineStr">
        <is>
          <t>A 49648-2023</t>
        </is>
      </c>
      <c r="B954" s="1" t="n">
        <v>45211.95061342593</v>
      </c>
      <c r="C954" s="1" t="n">
        <v>45994</v>
      </c>
      <c r="D954" t="inlineStr">
        <is>
          <t>JÄMTLANDS LÄN</t>
        </is>
      </c>
      <c r="E954" t="inlineStr">
        <is>
          <t>RAGUNDA</t>
        </is>
      </c>
      <c r="F954" t="inlineStr">
        <is>
          <t>SCA</t>
        </is>
      </c>
      <c r="G954" t="n">
        <v>4.3</v>
      </c>
      <c r="H954" t="n">
        <v>0</v>
      </c>
      <c r="I954" t="n">
        <v>0</v>
      </c>
      <c r="J954" t="n">
        <v>0</v>
      </c>
      <c r="K954" t="n">
        <v>0</v>
      </c>
      <c r="L954" t="n">
        <v>0</v>
      </c>
      <c r="M954" t="n">
        <v>0</v>
      </c>
      <c r="N954" t="n">
        <v>0</v>
      </c>
      <c r="O954" t="n">
        <v>0</v>
      </c>
      <c r="P954" t="n">
        <v>0</v>
      </c>
      <c r="Q954" t="n">
        <v>0</v>
      </c>
      <c r="R954" s="2" t="inlineStr"/>
    </row>
    <row r="955" ht="15" customHeight="1">
      <c r="A955" t="inlineStr">
        <is>
          <t>A 51537-2022</t>
        </is>
      </c>
      <c r="B955" s="1" t="n">
        <v>44869</v>
      </c>
      <c r="C955" s="1" t="n">
        <v>45994</v>
      </c>
      <c r="D955" t="inlineStr">
        <is>
          <t>JÄMTLANDS LÄN</t>
        </is>
      </c>
      <c r="E955" t="inlineStr">
        <is>
          <t>RAGUNDA</t>
        </is>
      </c>
      <c r="G955" t="n">
        <v>1.8</v>
      </c>
      <c r="H955" t="n">
        <v>0</v>
      </c>
      <c r="I955" t="n">
        <v>0</v>
      </c>
      <c r="J955" t="n">
        <v>0</v>
      </c>
      <c r="K955" t="n">
        <v>0</v>
      </c>
      <c r="L955" t="n">
        <v>0</v>
      </c>
      <c r="M955" t="n">
        <v>0</v>
      </c>
      <c r="N955" t="n">
        <v>0</v>
      </c>
      <c r="O955" t="n">
        <v>0</v>
      </c>
      <c r="P955" t="n">
        <v>0</v>
      </c>
      <c r="Q955" t="n">
        <v>0</v>
      </c>
      <c r="R955" s="2" t="inlineStr"/>
    </row>
    <row r="956" ht="15" customHeight="1">
      <c r="A956" t="inlineStr">
        <is>
          <t>A 60838-2023</t>
        </is>
      </c>
      <c r="B956" s="1" t="n">
        <v>45260.92561342593</v>
      </c>
      <c r="C956" s="1" t="n">
        <v>45994</v>
      </c>
      <c r="D956" t="inlineStr">
        <is>
          <t>JÄMTLANDS LÄN</t>
        </is>
      </c>
      <c r="E956" t="inlineStr">
        <is>
          <t>RAGUNDA</t>
        </is>
      </c>
      <c r="G956" t="n">
        <v>2.7</v>
      </c>
      <c r="H956" t="n">
        <v>0</v>
      </c>
      <c r="I956" t="n">
        <v>0</v>
      </c>
      <c r="J956" t="n">
        <v>0</v>
      </c>
      <c r="K956" t="n">
        <v>0</v>
      </c>
      <c r="L956" t="n">
        <v>0</v>
      </c>
      <c r="M956" t="n">
        <v>0</v>
      </c>
      <c r="N956" t="n">
        <v>0</v>
      </c>
      <c r="O956" t="n">
        <v>0</v>
      </c>
      <c r="P956" t="n">
        <v>0</v>
      </c>
      <c r="Q956" t="n">
        <v>0</v>
      </c>
      <c r="R956" s="2" t="inlineStr"/>
    </row>
    <row r="957" ht="15" customHeight="1">
      <c r="A957" t="inlineStr">
        <is>
          <t>A 59044-2022</t>
        </is>
      </c>
      <c r="B957" s="1" t="n">
        <v>44903</v>
      </c>
      <c r="C957" s="1" t="n">
        <v>45994</v>
      </c>
      <c r="D957" t="inlineStr">
        <is>
          <t>JÄMTLANDS LÄN</t>
        </is>
      </c>
      <c r="E957" t="inlineStr">
        <is>
          <t>RAGUNDA</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42269-2025</t>
        </is>
      </c>
      <c r="B958" s="1" t="n">
        <v>45904.60431712963</v>
      </c>
      <c r="C958" s="1" t="n">
        <v>45994</v>
      </c>
      <c r="D958" t="inlineStr">
        <is>
          <t>JÄMTLANDS LÄN</t>
        </is>
      </c>
      <c r="E958" t="inlineStr">
        <is>
          <t>RAGUNDA</t>
        </is>
      </c>
      <c r="G958" t="n">
        <v>4.3</v>
      </c>
      <c r="H958" t="n">
        <v>0</v>
      </c>
      <c r="I958" t="n">
        <v>0</v>
      </c>
      <c r="J958" t="n">
        <v>0</v>
      </c>
      <c r="K958" t="n">
        <v>0</v>
      </c>
      <c r="L958" t="n">
        <v>0</v>
      </c>
      <c r="M958" t="n">
        <v>0</v>
      </c>
      <c r="N958" t="n">
        <v>0</v>
      </c>
      <c r="O958" t="n">
        <v>0</v>
      </c>
      <c r="P958" t="n">
        <v>0</v>
      </c>
      <c r="Q958" t="n">
        <v>0</v>
      </c>
      <c r="R958" s="2" t="inlineStr"/>
    </row>
    <row r="959" ht="15" customHeight="1">
      <c r="A959" t="inlineStr">
        <is>
          <t>A 9548-2025</t>
        </is>
      </c>
      <c r="B959" s="1" t="n">
        <v>45715.59405092592</v>
      </c>
      <c r="C959" s="1" t="n">
        <v>45994</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5958-2023</t>
        </is>
      </c>
      <c r="B960" s="1" t="n">
        <v>44963</v>
      </c>
      <c r="C960" s="1" t="n">
        <v>45994</v>
      </c>
      <c r="D960" t="inlineStr">
        <is>
          <t>JÄMTLANDS LÄN</t>
        </is>
      </c>
      <c r="E960" t="inlineStr">
        <is>
          <t>RAGUNDA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8779-2025</t>
        </is>
      </c>
      <c r="B961" s="1" t="n">
        <v>45712.61552083334</v>
      </c>
      <c r="C961" s="1" t="n">
        <v>45994</v>
      </c>
      <c r="D961" t="inlineStr">
        <is>
          <t>JÄMTLANDS LÄN</t>
        </is>
      </c>
      <c r="E961" t="inlineStr">
        <is>
          <t>RAGUNDA</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61400-2022</t>
        </is>
      </c>
      <c r="B962" s="1" t="n">
        <v>44915</v>
      </c>
      <c r="C962" s="1" t="n">
        <v>45994</v>
      </c>
      <c r="D962" t="inlineStr">
        <is>
          <t>JÄMTLANDS LÄN</t>
        </is>
      </c>
      <c r="E962" t="inlineStr">
        <is>
          <t>RAGUNDA</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53989-2024</t>
        </is>
      </c>
      <c r="B963" s="1" t="n">
        <v>45616.34479166667</v>
      </c>
      <c r="C963" s="1" t="n">
        <v>45994</v>
      </c>
      <c r="D963" t="inlineStr">
        <is>
          <t>JÄMTLANDS LÄN</t>
        </is>
      </c>
      <c r="E963" t="inlineStr">
        <is>
          <t>RAGUNDA</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4348-2023</t>
        </is>
      </c>
      <c r="B964" s="1" t="n">
        <v>44953</v>
      </c>
      <c r="C964" s="1" t="n">
        <v>45994</v>
      </c>
      <c r="D964" t="inlineStr">
        <is>
          <t>JÄMTLANDS LÄN</t>
        </is>
      </c>
      <c r="E964" t="inlineStr">
        <is>
          <t>RAGUNDA</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15581-2024</t>
        </is>
      </c>
      <c r="B965" s="1" t="n">
        <v>45401</v>
      </c>
      <c r="C965" s="1" t="n">
        <v>45994</v>
      </c>
      <c r="D965" t="inlineStr">
        <is>
          <t>JÄMTLANDS LÄN</t>
        </is>
      </c>
      <c r="E965" t="inlineStr">
        <is>
          <t>RAGUNDA</t>
        </is>
      </c>
      <c r="F965" t="inlineStr">
        <is>
          <t>Kommuner</t>
        </is>
      </c>
      <c r="G965" t="n">
        <v>2.2</v>
      </c>
      <c r="H965" t="n">
        <v>0</v>
      </c>
      <c r="I965" t="n">
        <v>0</v>
      </c>
      <c r="J965" t="n">
        <v>0</v>
      </c>
      <c r="K965" t="n">
        <v>0</v>
      </c>
      <c r="L965" t="n">
        <v>0</v>
      </c>
      <c r="M965" t="n">
        <v>0</v>
      </c>
      <c r="N965" t="n">
        <v>0</v>
      </c>
      <c r="O965" t="n">
        <v>0</v>
      </c>
      <c r="P965" t="n">
        <v>0</v>
      </c>
      <c r="Q965" t="n">
        <v>0</v>
      </c>
      <c r="R965" s="2" t="inlineStr"/>
    </row>
    <row r="966" ht="15" customHeight="1">
      <c r="A966" t="inlineStr">
        <is>
          <t>A 15611-2024</t>
        </is>
      </c>
      <c r="B966" s="1" t="n">
        <v>45401</v>
      </c>
      <c r="C966" s="1" t="n">
        <v>45994</v>
      </c>
      <c r="D966" t="inlineStr">
        <is>
          <t>JÄMTLANDS LÄN</t>
        </is>
      </c>
      <c r="E966" t="inlineStr">
        <is>
          <t>RAGUNDA</t>
        </is>
      </c>
      <c r="F966" t="inlineStr">
        <is>
          <t>SCA</t>
        </is>
      </c>
      <c r="G966" t="n">
        <v>10.3</v>
      </c>
      <c r="H966" t="n">
        <v>0</v>
      </c>
      <c r="I966" t="n">
        <v>0</v>
      </c>
      <c r="J966" t="n">
        <v>0</v>
      </c>
      <c r="K966" t="n">
        <v>0</v>
      </c>
      <c r="L966" t="n">
        <v>0</v>
      </c>
      <c r="M966" t="n">
        <v>0</v>
      </c>
      <c r="N966" t="n">
        <v>0</v>
      </c>
      <c r="O966" t="n">
        <v>0</v>
      </c>
      <c r="P966" t="n">
        <v>0</v>
      </c>
      <c r="Q966" t="n">
        <v>0</v>
      </c>
      <c r="R966" s="2" t="inlineStr"/>
    </row>
    <row r="967" ht="15" customHeight="1">
      <c r="A967" t="inlineStr">
        <is>
          <t>A 23528-2024</t>
        </is>
      </c>
      <c r="B967" s="1" t="n">
        <v>45453.95016203704</v>
      </c>
      <c r="C967" s="1" t="n">
        <v>45994</v>
      </c>
      <c r="D967" t="inlineStr">
        <is>
          <t>JÄMTLANDS LÄN</t>
        </is>
      </c>
      <c r="E967" t="inlineStr">
        <is>
          <t>RAGUNDA</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4594-2024</t>
        </is>
      </c>
      <c r="B968" s="1" t="n">
        <v>45327.94459490741</v>
      </c>
      <c r="C968" s="1" t="n">
        <v>45994</v>
      </c>
      <c r="D968" t="inlineStr">
        <is>
          <t>JÄMTLANDS LÄN</t>
        </is>
      </c>
      <c r="E968" t="inlineStr">
        <is>
          <t>RAGUNDA</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33763-2025</t>
        </is>
      </c>
      <c r="B969" s="1" t="n">
        <v>45842.38579861111</v>
      </c>
      <c r="C969" s="1" t="n">
        <v>45994</v>
      </c>
      <c r="D969" t="inlineStr">
        <is>
          <t>JÄMTLANDS LÄN</t>
        </is>
      </c>
      <c r="E969" t="inlineStr">
        <is>
          <t>RAGUNDA</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30824-2023</t>
        </is>
      </c>
      <c r="B970" s="1" t="n">
        <v>45112.94303240741</v>
      </c>
      <c r="C970" s="1" t="n">
        <v>45994</v>
      </c>
      <c r="D970" t="inlineStr">
        <is>
          <t>JÄMTLANDS LÄN</t>
        </is>
      </c>
      <c r="E970" t="inlineStr">
        <is>
          <t>RAGUNDA</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25631-2025</t>
        </is>
      </c>
      <c r="B971" s="1" t="n">
        <v>45803.5946875</v>
      </c>
      <c r="C971" s="1" t="n">
        <v>45994</v>
      </c>
      <c r="D971" t="inlineStr">
        <is>
          <t>JÄMTLANDS LÄN</t>
        </is>
      </c>
      <c r="E971" t="inlineStr">
        <is>
          <t>RAGUNDA</t>
        </is>
      </c>
      <c r="G971" t="n">
        <v>1.1</v>
      </c>
      <c r="H971" t="n">
        <v>0</v>
      </c>
      <c r="I971" t="n">
        <v>0</v>
      </c>
      <c r="J971" t="n">
        <v>0</v>
      </c>
      <c r="K971" t="n">
        <v>0</v>
      </c>
      <c r="L971" t="n">
        <v>0</v>
      </c>
      <c r="M971" t="n">
        <v>0</v>
      </c>
      <c r="N971" t="n">
        <v>0</v>
      </c>
      <c r="O971" t="n">
        <v>0</v>
      </c>
      <c r="P971" t="n">
        <v>0</v>
      </c>
      <c r="Q971" t="n">
        <v>0</v>
      </c>
      <c r="R971" s="2" t="inlineStr"/>
    </row>
    <row r="972" ht="15" customHeight="1">
      <c r="A972" t="inlineStr">
        <is>
          <t>A 51906-2025</t>
        </is>
      </c>
      <c r="B972" s="1" t="n">
        <v>45952.4615162037</v>
      </c>
      <c r="C972" s="1" t="n">
        <v>45994</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51882-2025</t>
        </is>
      </c>
      <c r="B973" s="1" t="n">
        <v>45952.40685185185</v>
      </c>
      <c r="C973" s="1" t="n">
        <v>45994</v>
      </c>
      <c r="D973" t="inlineStr">
        <is>
          <t>JÄMTLANDS LÄN</t>
        </is>
      </c>
      <c r="E973" t="inlineStr">
        <is>
          <t>RAGUNDA</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52330-2025</t>
        </is>
      </c>
      <c r="B974" s="1" t="n">
        <v>45953.67752314815</v>
      </c>
      <c r="C974" s="1" t="n">
        <v>45994</v>
      </c>
      <c r="D974" t="inlineStr">
        <is>
          <t>JÄMTLANDS LÄN</t>
        </is>
      </c>
      <c r="E974" t="inlineStr">
        <is>
          <t>RAGUNDA</t>
        </is>
      </c>
      <c r="F974" t="inlineStr">
        <is>
          <t>SCA</t>
        </is>
      </c>
      <c r="G974" t="n">
        <v>10.1</v>
      </c>
      <c r="H974" t="n">
        <v>0</v>
      </c>
      <c r="I974" t="n">
        <v>0</v>
      </c>
      <c r="J974" t="n">
        <v>0</v>
      </c>
      <c r="K974" t="n">
        <v>0</v>
      </c>
      <c r="L974" t="n">
        <v>0</v>
      </c>
      <c r="M974" t="n">
        <v>0</v>
      </c>
      <c r="N974" t="n">
        <v>0</v>
      </c>
      <c r="O974" t="n">
        <v>0</v>
      </c>
      <c r="P974" t="n">
        <v>0</v>
      </c>
      <c r="Q974" t="n">
        <v>0</v>
      </c>
      <c r="R974" s="2" t="inlineStr"/>
    </row>
    <row r="975" ht="15" customHeight="1">
      <c r="A975" t="inlineStr">
        <is>
          <t>A 25376-2025</t>
        </is>
      </c>
      <c r="B975" s="1" t="n">
        <v>45800.63619212963</v>
      </c>
      <c r="C975" s="1" t="n">
        <v>45994</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51903-2025</t>
        </is>
      </c>
      <c r="B976" s="1" t="n">
        <v>45952.44857638889</v>
      </c>
      <c r="C976" s="1" t="n">
        <v>45994</v>
      </c>
      <c r="D976" t="inlineStr">
        <is>
          <t>JÄMTLANDS LÄN</t>
        </is>
      </c>
      <c r="E976" t="inlineStr">
        <is>
          <t>RAGUNDA</t>
        </is>
      </c>
      <c r="F976" t="inlineStr">
        <is>
          <t>SCA</t>
        </is>
      </c>
      <c r="G976" t="n">
        <v>20.8</v>
      </c>
      <c r="H976" t="n">
        <v>0</v>
      </c>
      <c r="I976" t="n">
        <v>0</v>
      </c>
      <c r="J976" t="n">
        <v>0</v>
      </c>
      <c r="K976" t="n">
        <v>0</v>
      </c>
      <c r="L976" t="n">
        <v>0</v>
      </c>
      <c r="M976" t="n">
        <v>0</v>
      </c>
      <c r="N976" t="n">
        <v>0</v>
      </c>
      <c r="O976" t="n">
        <v>0</v>
      </c>
      <c r="P976" t="n">
        <v>0</v>
      </c>
      <c r="Q976" t="n">
        <v>0</v>
      </c>
      <c r="R976" s="2" t="inlineStr"/>
    </row>
    <row r="977" ht="15" customHeight="1">
      <c r="A977" t="inlineStr">
        <is>
          <t>A 43177-2025</t>
        </is>
      </c>
      <c r="B977" s="1" t="n">
        <v>45910.40667824074</v>
      </c>
      <c r="C977" s="1" t="n">
        <v>45994</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52317-2025</t>
        </is>
      </c>
      <c r="B978" s="1" t="n">
        <v>45953.65675925926</v>
      </c>
      <c r="C978" s="1" t="n">
        <v>45994</v>
      </c>
      <c r="D978" t="inlineStr">
        <is>
          <t>JÄMTLANDS LÄN</t>
        </is>
      </c>
      <c r="E978" t="inlineStr">
        <is>
          <t>RAGUNDA</t>
        </is>
      </c>
      <c r="F978" t="inlineStr">
        <is>
          <t>SCA</t>
        </is>
      </c>
      <c r="G978" t="n">
        <v>27.2</v>
      </c>
      <c r="H978" t="n">
        <v>0</v>
      </c>
      <c r="I978" t="n">
        <v>0</v>
      </c>
      <c r="J978" t="n">
        <v>0</v>
      </c>
      <c r="K978" t="n">
        <v>0</v>
      </c>
      <c r="L978" t="n">
        <v>0</v>
      </c>
      <c r="M978" t="n">
        <v>0</v>
      </c>
      <c r="N978" t="n">
        <v>0</v>
      </c>
      <c r="O978" t="n">
        <v>0</v>
      </c>
      <c r="P978" t="n">
        <v>0</v>
      </c>
      <c r="Q978" t="n">
        <v>0</v>
      </c>
      <c r="R978" s="2" t="inlineStr"/>
    </row>
    <row r="979" ht="15" customHeight="1">
      <c r="A979" t="inlineStr">
        <is>
          <t>A 25175-2025</t>
        </is>
      </c>
      <c r="B979" s="1" t="n">
        <v>45800.44822916666</v>
      </c>
      <c r="C979" s="1" t="n">
        <v>45994</v>
      </c>
      <c r="D979" t="inlineStr">
        <is>
          <t>JÄMTLANDS LÄN</t>
        </is>
      </c>
      <c r="E979" t="inlineStr">
        <is>
          <t>RAGUNDA</t>
        </is>
      </c>
      <c r="F979" t="inlineStr">
        <is>
          <t>SCA</t>
        </is>
      </c>
      <c r="G979" t="n">
        <v>4.3</v>
      </c>
      <c r="H979" t="n">
        <v>0</v>
      </c>
      <c r="I979" t="n">
        <v>0</v>
      </c>
      <c r="J979" t="n">
        <v>0</v>
      </c>
      <c r="K979" t="n">
        <v>0</v>
      </c>
      <c r="L979" t="n">
        <v>0</v>
      </c>
      <c r="M979" t="n">
        <v>0</v>
      </c>
      <c r="N979" t="n">
        <v>0</v>
      </c>
      <c r="O979" t="n">
        <v>0</v>
      </c>
      <c r="P979" t="n">
        <v>0</v>
      </c>
      <c r="Q979" t="n">
        <v>0</v>
      </c>
      <c r="R979" s="2" t="inlineStr"/>
    </row>
    <row r="980" ht="15" customHeight="1">
      <c r="A980" t="inlineStr">
        <is>
          <t>A 25177-2025</t>
        </is>
      </c>
      <c r="B980" s="1" t="n">
        <v>45800.44862268519</v>
      </c>
      <c r="C980" s="1" t="n">
        <v>45994</v>
      </c>
      <c r="D980" t="inlineStr">
        <is>
          <t>JÄMTLANDS LÄN</t>
        </is>
      </c>
      <c r="E980" t="inlineStr">
        <is>
          <t>RAGUNDA</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43181-2025</t>
        </is>
      </c>
      <c r="B981" s="1" t="n">
        <v>45910.40721064815</v>
      </c>
      <c r="C981" s="1" t="n">
        <v>45994</v>
      </c>
      <c r="D981" t="inlineStr">
        <is>
          <t>JÄMTLANDS LÄN</t>
        </is>
      </c>
      <c r="E981" t="inlineStr">
        <is>
          <t>RAGUNDA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52093-2025</t>
        </is>
      </c>
      <c r="B982" s="1" t="n">
        <v>45952.67865740741</v>
      </c>
      <c r="C982" s="1" t="n">
        <v>45994</v>
      </c>
      <c r="D982" t="inlineStr">
        <is>
          <t>JÄMTLANDS LÄN</t>
        </is>
      </c>
      <c r="E982" t="inlineStr">
        <is>
          <t>RAGUNDA</t>
        </is>
      </c>
      <c r="F982" t="inlineStr">
        <is>
          <t>SCA</t>
        </is>
      </c>
      <c r="G982" t="n">
        <v>22.7</v>
      </c>
      <c r="H982" t="n">
        <v>0</v>
      </c>
      <c r="I982" t="n">
        <v>0</v>
      </c>
      <c r="J982" t="n">
        <v>0</v>
      </c>
      <c r="K982" t="n">
        <v>0</v>
      </c>
      <c r="L982" t="n">
        <v>0</v>
      </c>
      <c r="M982" t="n">
        <v>0</v>
      </c>
      <c r="N982" t="n">
        <v>0</v>
      </c>
      <c r="O982" t="n">
        <v>0</v>
      </c>
      <c r="P982" t="n">
        <v>0</v>
      </c>
      <c r="Q982" t="n">
        <v>0</v>
      </c>
      <c r="R982" s="2" t="inlineStr"/>
    </row>
    <row r="983" ht="15" customHeight="1">
      <c r="A983" t="inlineStr">
        <is>
          <t>A 52122-2025</t>
        </is>
      </c>
      <c r="B983" s="1" t="n">
        <v>45952.71946759259</v>
      </c>
      <c r="C983" s="1" t="n">
        <v>45994</v>
      </c>
      <c r="D983" t="inlineStr">
        <is>
          <t>JÄMTLANDS LÄN</t>
        </is>
      </c>
      <c r="E983" t="inlineStr">
        <is>
          <t>RAGUNDA</t>
        </is>
      </c>
      <c r="F983" t="inlineStr">
        <is>
          <t>SCA</t>
        </is>
      </c>
      <c r="G983" t="n">
        <v>8</v>
      </c>
      <c r="H983" t="n">
        <v>0</v>
      </c>
      <c r="I983" t="n">
        <v>0</v>
      </c>
      <c r="J983" t="n">
        <v>0</v>
      </c>
      <c r="K983" t="n">
        <v>0</v>
      </c>
      <c r="L983" t="n">
        <v>0</v>
      </c>
      <c r="M983" t="n">
        <v>0</v>
      </c>
      <c r="N983" t="n">
        <v>0</v>
      </c>
      <c r="O983" t="n">
        <v>0</v>
      </c>
      <c r="P983" t="n">
        <v>0</v>
      </c>
      <c r="Q983" t="n">
        <v>0</v>
      </c>
      <c r="R983" s="2" t="inlineStr"/>
    </row>
    <row r="984" ht="15" customHeight="1">
      <c r="A984" t="inlineStr">
        <is>
          <t>A 25659-2025</t>
        </is>
      </c>
      <c r="B984" s="1" t="n">
        <v>45803.61552083334</v>
      </c>
      <c r="C984" s="1" t="n">
        <v>45994</v>
      </c>
      <c r="D984" t="inlineStr">
        <is>
          <t>JÄMTLANDS LÄN</t>
        </is>
      </c>
      <c r="E984" t="inlineStr">
        <is>
          <t>RAGUNDA</t>
        </is>
      </c>
      <c r="G984" t="n">
        <v>1.5</v>
      </c>
      <c r="H984" t="n">
        <v>0</v>
      </c>
      <c r="I984" t="n">
        <v>0</v>
      </c>
      <c r="J984" t="n">
        <v>0</v>
      </c>
      <c r="K984" t="n">
        <v>0</v>
      </c>
      <c r="L984" t="n">
        <v>0</v>
      </c>
      <c r="M984" t="n">
        <v>0</v>
      </c>
      <c r="N984" t="n">
        <v>0</v>
      </c>
      <c r="O984" t="n">
        <v>0</v>
      </c>
      <c r="P984" t="n">
        <v>0</v>
      </c>
      <c r="Q984" t="n">
        <v>0</v>
      </c>
      <c r="R984" s="2" t="inlineStr"/>
    </row>
    <row r="985" ht="15" customHeight="1">
      <c r="A985" t="inlineStr">
        <is>
          <t>A 25661-2025</t>
        </is>
      </c>
      <c r="B985" s="1" t="n">
        <v>45803.61557870371</v>
      </c>
      <c r="C985" s="1" t="n">
        <v>45994</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25350-2025</t>
        </is>
      </c>
      <c r="B986" s="1" t="n">
        <v>45800</v>
      </c>
      <c r="C986" s="1" t="n">
        <v>45994</v>
      </c>
      <c r="D986" t="inlineStr">
        <is>
          <t>JÄMTLANDS LÄN</t>
        </is>
      </c>
      <c r="E986" t="inlineStr">
        <is>
          <t>RAGUNDA</t>
        </is>
      </c>
      <c r="G986" t="n">
        <v>2.4</v>
      </c>
      <c r="H986" t="n">
        <v>0</v>
      </c>
      <c r="I986" t="n">
        <v>0</v>
      </c>
      <c r="J986" t="n">
        <v>0</v>
      </c>
      <c r="K986" t="n">
        <v>0</v>
      </c>
      <c r="L986" t="n">
        <v>0</v>
      </c>
      <c r="M986" t="n">
        <v>0</v>
      </c>
      <c r="N986" t="n">
        <v>0</v>
      </c>
      <c r="O986" t="n">
        <v>0</v>
      </c>
      <c r="P986" t="n">
        <v>0</v>
      </c>
      <c r="Q986" t="n">
        <v>0</v>
      </c>
      <c r="R986" s="2" t="inlineStr"/>
    </row>
    <row r="987" ht="15" customHeight="1">
      <c r="A987" t="inlineStr">
        <is>
          <t>A 25152-2025</t>
        </is>
      </c>
      <c r="B987" s="1" t="n">
        <v>45800.42743055556</v>
      </c>
      <c r="C987" s="1" t="n">
        <v>45994</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19613-2023</t>
        </is>
      </c>
      <c r="B988" s="1" t="n">
        <v>45050.94020833333</v>
      </c>
      <c r="C988" s="1" t="n">
        <v>45994</v>
      </c>
      <c r="D988" t="inlineStr">
        <is>
          <t>JÄMTLANDS LÄN</t>
        </is>
      </c>
      <c r="E988" t="inlineStr">
        <is>
          <t>RAGUNDA</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25814-2025</t>
        </is>
      </c>
      <c r="B989" s="1" t="n">
        <v>45804.42642361111</v>
      </c>
      <c r="C989" s="1" t="n">
        <v>45994</v>
      </c>
      <c r="D989" t="inlineStr">
        <is>
          <t>JÄMTLANDS LÄN</t>
        </is>
      </c>
      <c r="E989" t="inlineStr">
        <is>
          <t>RAGUNDA</t>
        </is>
      </c>
      <c r="G989" t="n">
        <v>0.8</v>
      </c>
      <c r="H989" t="n">
        <v>0</v>
      </c>
      <c r="I989" t="n">
        <v>0</v>
      </c>
      <c r="J989" t="n">
        <v>0</v>
      </c>
      <c r="K989" t="n">
        <v>0</v>
      </c>
      <c r="L989" t="n">
        <v>0</v>
      </c>
      <c r="M989" t="n">
        <v>0</v>
      </c>
      <c r="N989" t="n">
        <v>0</v>
      </c>
      <c r="O989" t="n">
        <v>0</v>
      </c>
      <c r="P989" t="n">
        <v>0</v>
      </c>
      <c r="Q989" t="n">
        <v>0</v>
      </c>
      <c r="R989" s="2" t="inlineStr"/>
    </row>
    <row r="990" ht="15" customHeight="1">
      <c r="A990" t="inlineStr">
        <is>
          <t>A 43330-2025</t>
        </is>
      </c>
      <c r="B990" s="1" t="n">
        <v>45910.67766203704</v>
      </c>
      <c r="C990" s="1" t="n">
        <v>45994</v>
      </c>
      <c r="D990" t="inlineStr">
        <is>
          <t>JÄMTLANDS LÄN</t>
        </is>
      </c>
      <c r="E990" t="inlineStr">
        <is>
          <t>RAGUNDA</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51932-2025</t>
        </is>
      </c>
      <c r="B991" s="1" t="n">
        <v>45952.51094907407</v>
      </c>
      <c r="C991" s="1" t="n">
        <v>45994</v>
      </c>
      <c r="D991" t="inlineStr">
        <is>
          <t>JÄMTLANDS LÄN</t>
        </is>
      </c>
      <c r="E991" t="inlineStr">
        <is>
          <t>RAGUNDA</t>
        </is>
      </c>
      <c r="F991" t="inlineStr">
        <is>
          <t>SCA</t>
        </is>
      </c>
      <c r="G991" t="n">
        <v>39.2</v>
      </c>
      <c r="H991" t="n">
        <v>0</v>
      </c>
      <c r="I991" t="n">
        <v>0</v>
      </c>
      <c r="J991" t="n">
        <v>0</v>
      </c>
      <c r="K991" t="n">
        <v>0</v>
      </c>
      <c r="L991" t="n">
        <v>0</v>
      </c>
      <c r="M991" t="n">
        <v>0</v>
      </c>
      <c r="N991" t="n">
        <v>0</v>
      </c>
      <c r="O991" t="n">
        <v>0</v>
      </c>
      <c r="P991" t="n">
        <v>0</v>
      </c>
      <c r="Q991" t="n">
        <v>0</v>
      </c>
      <c r="R991" s="2" t="inlineStr"/>
    </row>
    <row r="992" ht="15" customHeight="1">
      <c r="A992" t="inlineStr">
        <is>
          <t>A 25944-2025</t>
        </is>
      </c>
      <c r="B992" s="1" t="n">
        <v>45804.59487268519</v>
      </c>
      <c r="C992" s="1" t="n">
        <v>45994</v>
      </c>
      <c r="D992" t="inlineStr">
        <is>
          <t>JÄMTLANDS LÄN</t>
        </is>
      </c>
      <c r="E992" t="inlineStr">
        <is>
          <t>RAGUNDA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26283-2025</t>
        </is>
      </c>
      <c r="B993" s="1" t="n">
        <v>45805.61495370371</v>
      </c>
      <c r="C993" s="1" t="n">
        <v>45994</v>
      </c>
      <c r="D993" t="inlineStr">
        <is>
          <t>JÄMTLANDS LÄN</t>
        </is>
      </c>
      <c r="E993" t="inlineStr">
        <is>
          <t>RAGUNDA</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52875-2025</t>
        </is>
      </c>
      <c r="B994" s="1" t="n">
        <v>45957.53211805555</v>
      </c>
      <c r="C994" s="1" t="n">
        <v>45994</v>
      </c>
      <c r="D994" t="inlineStr">
        <is>
          <t>JÄMTLANDS LÄN</t>
        </is>
      </c>
      <c r="E994" t="inlineStr">
        <is>
          <t>RAGUNDA</t>
        </is>
      </c>
      <c r="F994" t="inlineStr">
        <is>
          <t>SCA</t>
        </is>
      </c>
      <c r="G994" t="n">
        <v>34.3</v>
      </c>
      <c r="H994" t="n">
        <v>0</v>
      </c>
      <c r="I994" t="n">
        <v>0</v>
      </c>
      <c r="J994" t="n">
        <v>0</v>
      </c>
      <c r="K994" t="n">
        <v>0</v>
      </c>
      <c r="L994" t="n">
        <v>0</v>
      </c>
      <c r="M994" t="n">
        <v>0</v>
      </c>
      <c r="N994" t="n">
        <v>0</v>
      </c>
      <c r="O994" t="n">
        <v>0</v>
      </c>
      <c r="P994" t="n">
        <v>0</v>
      </c>
      <c r="Q994" t="n">
        <v>0</v>
      </c>
      <c r="R994" s="2" t="inlineStr"/>
    </row>
    <row r="995" ht="15" customHeight="1">
      <c r="A995" t="inlineStr">
        <is>
          <t>A 10788-2025</t>
        </is>
      </c>
      <c r="B995" s="1" t="n">
        <v>45722.48982638889</v>
      </c>
      <c r="C995" s="1" t="n">
        <v>45994</v>
      </c>
      <c r="D995" t="inlineStr">
        <is>
          <t>JÄMTLANDS LÄN</t>
        </is>
      </c>
      <c r="E995" t="inlineStr">
        <is>
          <t>RAGUNDA</t>
        </is>
      </c>
      <c r="G995" t="n">
        <v>3.5</v>
      </c>
      <c r="H995" t="n">
        <v>0</v>
      </c>
      <c r="I995" t="n">
        <v>0</v>
      </c>
      <c r="J995" t="n">
        <v>0</v>
      </c>
      <c r="K995" t="n">
        <v>0</v>
      </c>
      <c r="L995" t="n">
        <v>0</v>
      </c>
      <c r="M995" t="n">
        <v>0</v>
      </c>
      <c r="N995" t="n">
        <v>0</v>
      </c>
      <c r="O995" t="n">
        <v>0</v>
      </c>
      <c r="P995" t="n">
        <v>0</v>
      </c>
      <c r="Q995" t="n">
        <v>0</v>
      </c>
      <c r="R995" s="2" t="inlineStr"/>
    </row>
    <row r="996" ht="15" customHeight="1">
      <c r="A996" t="inlineStr">
        <is>
          <t>A 24258-2025</t>
        </is>
      </c>
      <c r="B996" s="1" t="n">
        <v>45797.40800925926</v>
      </c>
      <c r="C996" s="1" t="n">
        <v>45994</v>
      </c>
      <c r="D996" t="inlineStr">
        <is>
          <t>JÄMTLANDS LÄN</t>
        </is>
      </c>
      <c r="E996" t="inlineStr">
        <is>
          <t>RAGUNDA</t>
        </is>
      </c>
      <c r="G996" t="n">
        <v>1.2</v>
      </c>
      <c r="H996" t="n">
        <v>0</v>
      </c>
      <c r="I996" t="n">
        <v>0</v>
      </c>
      <c r="J996" t="n">
        <v>0</v>
      </c>
      <c r="K996" t="n">
        <v>0</v>
      </c>
      <c r="L996" t="n">
        <v>0</v>
      </c>
      <c r="M996" t="n">
        <v>0</v>
      </c>
      <c r="N996" t="n">
        <v>0</v>
      </c>
      <c r="O996" t="n">
        <v>0</v>
      </c>
      <c r="P996" t="n">
        <v>0</v>
      </c>
      <c r="Q996" t="n">
        <v>0</v>
      </c>
      <c r="R996" s="2" t="inlineStr"/>
    </row>
    <row r="997" ht="15" customHeight="1">
      <c r="A997" t="inlineStr">
        <is>
          <t>A 25994-2025</t>
        </is>
      </c>
      <c r="B997" s="1" t="n">
        <v>45804.65672453704</v>
      </c>
      <c r="C997" s="1" t="n">
        <v>45994</v>
      </c>
      <c r="D997" t="inlineStr">
        <is>
          <t>JÄMTLANDS LÄN</t>
        </is>
      </c>
      <c r="E997" t="inlineStr">
        <is>
          <t>RAGUNDA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52972-2025</t>
        </is>
      </c>
      <c r="B998" s="1" t="n">
        <v>45957.67783564814</v>
      </c>
      <c r="C998" s="1" t="n">
        <v>45994</v>
      </c>
      <c r="D998" t="inlineStr">
        <is>
          <t>JÄMTLANDS LÄN</t>
        </is>
      </c>
      <c r="E998" t="inlineStr">
        <is>
          <t>RAGUNDA</t>
        </is>
      </c>
      <c r="F998" t="inlineStr">
        <is>
          <t>SCA</t>
        </is>
      </c>
      <c r="G998" t="n">
        <v>53.4</v>
      </c>
      <c r="H998" t="n">
        <v>0</v>
      </c>
      <c r="I998" t="n">
        <v>0</v>
      </c>
      <c r="J998" t="n">
        <v>0</v>
      </c>
      <c r="K998" t="n">
        <v>0</v>
      </c>
      <c r="L998" t="n">
        <v>0</v>
      </c>
      <c r="M998" t="n">
        <v>0</v>
      </c>
      <c r="N998" t="n">
        <v>0</v>
      </c>
      <c r="O998" t="n">
        <v>0</v>
      </c>
      <c r="P998" t="n">
        <v>0</v>
      </c>
      <c r="Q998" t="n">
        <v>0</v>
      </c>
      <c r="R998" s="2" t="inlineStr"/>
    </row>
    <row r="999" ht="15" customHeight="1">
      <c r="A999" t="inlineStr">
        <is>
          <t>A 26172-2025</t>
        </is>
      </c>
      <c r="B999" s="1" t="n">
        <v>45805.46613425926</v>
      </c>
      <c r="C999" s="1" t="n">
        <v>45994</v>
      </c>
      <c r="D999" t="inlineStr">
        <is>
          <t>JÄMTLANDS LÄN</t>
        </is>
      </c>
      <c r="E999" t="inlineStr">
        <is>
          <t>RAGUNDA</t>
        </is>
      </c>
      <c r="G999" t="n">
        <v>2.1</v>
      </c>
      <c r="H999" t="n">
        <v>0</v>
      </c>
      <c r="I999" t="n">
        <v>0</v>
      </c>
      <c r="J999" t="n">
        <v>0</v>
      </c>
      <c r="K999" t="n">
        <v>0</v>
      </c>
      <c r="L999" t="n">
        <v>0</v>
      </c>
      <c r="M999" t="n">
        <v>0</v>
      </c>
      <c r="N999" t="n">
        <v>0</v>
      </c>
      <c r="O999" t="n">
        <v>0</v>
      </c>
      <c r="P999" t="n">
        <v>0</v>
      </c>
      <c r="Q999" t="n">
        <v>0</v>
      </c>
      <c r="R999" s="2" t="inlineStr"/>
    </row>
    <row r="1000" ht="15" customHeight="1">
      <c r="A1000" t="inlineStr">
        <is>
          <t>A 26246-2025</t>
        </is>
      </c>
      <c r="B1000" s="1" t="n">
        <v>45805.57390046296</v>
      </c>
      <c r="C1000" s="1" t="n">
        <v>45994</v>
      </c>
      <c r="D1000" t="inlineStr">
        <is>
          <t>JÄMTLANDS LÄN</t>
        </is>
      </c>
      <c r="E1000" t="inlineStr">
        <is>
          <t>RAGUNDA</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52578-2025</t>
        </is>
      </c>
      <c r="B1001" s="1" t="n">
        <v>45954.61508101852</v>
      </c>
      <c r="C1001" s="1" t="n">
        <v>45994</v>
      </c>
      <c r="D1001" t="inlineStr">
        <is>
          <t>JÄMTLANDS LÄN</t>
        </is>
      </c>
      <c r="E1001" t="inlineStr">
        <is>
          <t>RAGUNDA</t>
        </is>
      </c>
      <c r="F1001" t="inlineStr">
        <is>
          <t>SCA</t>
        </is>
      </c>
      <c r="G1001" t="n">
        <v>25.2</v>
      </c>
      <c r="H1001" t="n">
        <v>0</v>
      </c>
      <c r="I1001" t="n">
        <v>0</v>
      </c>
      <c r="J1001" t="n">
        <v>0</v>
      </c>
      <c r="K1001" t="n">
        <v>0</v>
      </c>
      <c r="L1001" t="n">
        <v>0</v>
      </c>
      <c r="M1001" t="n">
        <v>0</v>
      </c>
      <c r="N1001" t="n">
        <v>0</v>
      </c>
      <c r="O1001" t="n">
        <v>0</v>
      </c>
      <c r="P1001" t="n">
        <v>0</v>
      </c>
      <c r="Q1001" t="n">
        <v>0</v>
      </c>
      <c r="R1001" s="2" t="inlineStr"/>
    </row>
    <row r="1002" ht="15" customHeight="1">
      <c r="A1002" t="inlineStr">
        <is>
          <t>A 52394-2025</t>
        </is>
      </c>
      <c r="B1002" s="1" t="n">
        <v>45954.34466435185</v>
      </c>
      <c r="C1002" s="1" t="n">
        <v>45994</v>
      </c>
      <c r="D1002" t="inlineStr">
        <is>
          <t>JÄMTLANDS LÄN</t>
        </is>
      </c>
      <c r="E1002" t="inlineStr">
        <is>
          <t>RAGUNDA</t>
        </is>
      </c>
      <c r="F1002" t="inlineStr">
        <is>
          <t>SCA</t>
        </is>
      </c>
      <c r="G1002" t="n">
        <v>53.8</v>
      </c>
      <c r="H1002" t="n">
        <v>0</v>
      </c>
      <c r="I1002" t="n">
        <v>0</v>
      </c>
      <c r="J1002" t="n">
        <v>0</v>
      </c>
      <c r="K1002" t="n">
        <v>0</v>
      </c>
      <c r="L1002" t="n">
        <v>0</v>
      </c>
      <c r="M1002" t="n">
        <v>0</v>
      </c>
      <c r="N1002" t="n">
        <v>0</v>
      </c>
      <c r="O1002" t="n">
        <v>0</v>
      </c>
      <c r="P1002" t="n">
        <v>0</v>
      </c>
      <c r="Q1002" t="n">
        <v>0</v>
      </c>
      <c r="R1002" s="2" t="inlineStr"/>
    </row>
    <row r="1003" ht="15" customHeight="1">
      <c r="A1003" t="inlineStr">
        <is>
          <t>A 52395-2025</t>
        </is>
      </c>
      <c r="B1003" s="1" t="n">
        <v>45954.34487268519</v>
      </c>
      <c r="C1003" s="1" t="n">
        <v>45994</v>
      </c>
      <c r="D1003" t="inlineStr">
        <is>
          <t>JÄMTLANDS LÄN</t>
        </is>
      </c>
      <c r="E1003" t="inlineStr">
        <is>
          <t>RAGUNDA</t>
        </is>
      </c>
      <c r="F1003" t="inlineStr">
        <is>
          <t>SCA</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73278-2021</t>
        </is>
      </c>
      <c r="B1004" s="1" t="n">
        <v>44550.92168981482</v>
      </c>
      <c r="C1004" s="1" t="n">
        <v>45994</v>
      </c>
      <c r="D1004" t="inlineStr">
        <is>
          <t>JÄMTLANDS LÄN</t>
        </is>
      </c>
      <c r="E1004" t="inlineStr">
        <is>
          <t>RAGUNDA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43812-2025</t>
        </is>
      </c>
      <c r="B1005" s="1" t="n">
        <v>45912.59417824074</v>
      </c>
      <c r="C1005" s="1" t="n">
        <v>45994</v>
      </c>
      <c r="D1005" t="inlineStr">
        <is>
          <t>JÄMTLANDS LÄN</t>
        </is>
      </c>
      <c r="E1005" t="inlineStr">
        <is>
          <t>RAGUNDA</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51396-2024</t>
        </is>
      </c>
      <c r="B1006" s="1" t="n">
        <v>45604.4190625</v>
      </c>
      <c r="C1006" s="1" t="n">
        <v>45994</v>
      </c>
      <c r="D1006" t="inlineStr">
        <is>
          <t>JÄMTLANDS LÄN</t>
        </is>
      </c>
      <c r="E1006" t="inlineStr">
        <is>
          <t>RAGUNDA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52430-2025</t>
        </is>
      </c>
      <c r="B1007" s="1" t="n">
        <v>45954.38592592593</v>
      </c>
      <c r="C1007" s="1" t="n">
        <v>45994</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26640-2025</t>
        </is>
      </c>
      <c r="B1008" s="1" t="n">
        <v>45810.36495370371</v>
      </c>
      <c r="C1008" s="1" t="n">
        <v>45994</v>
      </c>
      <c r="D1008" t="inlineStr">
        <is>
          <t>JÄMTLANDS LÄN</t>
        </is>
      </c>
      <c r="E1008" t="inlineStr">
        <is>
          <t>RAGUNDA</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43776-2025</t>
        </is>
      </c>
      <c r="B1009" s="1" t="n">
        <v>45912.51086805556</v>
      </c>
      <c r="C1009" s="1" t="n">
        <v>45994</v>
      </c>
      <c r="D1009" t="inlineStr">
        <is>
          <t>JÄMTLANDS LÄN</t>
        </is>
      </c>
      <c r="E1009" t="inlineStr">
        <is>
          <t>RAGUNDA</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43971-2025</t>
        </is>
      </c>
      <c r="B1010" s="1" t="n">
        <v>45915.40694444445</v>
      </c>
      <c r="C1010" s="1" t="n">
        <v>45994</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43804-2025</t>
        </is>
      </c>
      <c r="B1011" s="1" t="n">
        <v>45912.57373842593</v>
      </c>
      <c r="C1011" s="1" t="n">
        <v>45994</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2001-2025</t>
        </is>
      </c>
      <c r="B1012" s="1" t="n">
        <v>45672.44898148148</v>
      </c>
      <c r="C1012" s="1" t="n">
        <v>45994</v>
      </c>
      <c r="D1012" t="inlineStr">
        <is>
          <t>JÄMTLANDS LÄN</t>
        </is>
      </c>
      <c r="E1012" t="inlineStr">
        <is>
          <t>RAGUNDA</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53762-2023</t>
        </is>
      </c>
      <c r="B1013" s="1" t="n">
        <v>45230.96376157407</v>
      </c>
      <c r="C1013" s="1" t="n">
        <v>45994</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53075-2025</t>
        </is>
      </c>
      <c r="B1014" s="1" t="n">
        <v>45958.38584490741</v>
      </c>
      <c r="C1014" s="1" t="n">
        <v>45994</v>
      </c>
      <c r="D1014" t="inlineStr">
        <is>
          <t>JÄMTLANDS LÄN</t>
        </is>
      </c>
      <c r="E1014" t="inlineStr">
        <is>
          <t>RAGUNDA</t>
        </is>
      </c>
      <c r="F1014" t="inlineStr">
        <is>
          <t>SCA</t>
        </is>
      </c>
      <c r="G1014" t="n">
        <v>28.9</v>
      </c>
      <c r="H1014" t="n">
        <v>0</v>
      </c>
      <c r="I1014" t="n">
        <v>0</v>
      </c>
      <c r="J1014" t="n">
        <v>0</v>
      </c>
      <c r="K1014" t="n">
        <v>0</v>
      </c>
      <c r="L1014" t="n">
        <v>0</v>
      </c>
      <c r="M1014" t="n">
        <v>0</v>
      </c>
      <c r="N1014" t="n">
        <v>0</v>
      </c>
      <c r="O1014" t="n">
        <v>0</v>
      </c>
      <c r="P1014" t="n">
        <v>0</v>
      </c>
      <c r="Q1014" t="n">
        <v>0</v>
      </c>
      <c r="R1014" s="2" t="inlineStr"/>
    </row>
    <row r="1015" ht="15" customHeight="1">
      <c r="A1015" t="inlineStr">
        <is>
          <t>A 19089-2024</t>
        </is>
      </c>
      <c r="B1015" s="1" t="n">
        <v>45428.00471064815</v>
      </c>
      <c r="C1015" s="1" t="n">
        <v>45994</v>
      </c>
      <c r="D1015" t="inlineStr">
        <is>
          <t>JÄMTLANDS LÄN</t>
        </is>
      </c>
      <c r="E1015" t="inlineStr">
        <is>
          <t>RAGUNDA</t>
        </is>
      </c>
      <c r="F1015" t="inlineStr">
        <is>
          <t>SCA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27510-2025</t>
        </is>
      </c>
      <c r="B1016" s="1" t="n">
        <v>45813.42790509259</v>
      </c>
      <c r="C1016" s="1" t="n">
        <v>45994</v>
      </c>
      <c r="D1016" t="inlineStr">
        <is>
          <t>JÄMTLANDS LÄN</t>
        </is>
      </c>
      <c r="E1016" t="inlineStr">
        <is>
          <t>RAGUNDA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19404-2025</t>
        </is>
      </c>
      <c r="B1017" s="1" t="n">
        <v>45769.67802083334</v>
      </c>
      <c r="C1017" s="1" t="n">
        <v>45994</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c r="U1017">
        <f>HYPERLINK("https://klasma.github.io/Logging_2303/knärot/A 19404-2025 karta knärot.png", "A 19404-2025")</f>
        <v/>
      </c>
      <c r="V1017">
        <f>HYPERLINK("https://klasma.github.io/Logging_2303/klagomål/A 19404-2025 FSC-klagomål.docx", "A 19404-2025")</f>
        <v/>
      </c>
      <c r="W1017">
        <f>HYPERLINK("https://klasma.github.io/Logging_2303/klagomålsmail/A 19404-2025 FSC-klagomål mail.docx", "A 19404-2025")</f>
        <v/>
      </c>
      <c r="X1017">
        <f>HYPERLINK("https://klasma.github.io/Logging_2303/tillsyn/A 19404-2025 tillsynsbegäran.docx", "A 19404-2025")</f>
        <v/>
      </c>
      <c r="Y1017">
        <f>HYPERLINK("https://klasma.github.io/Logging_2303/tillsynsmail/A 19404-2025 tillsynsbegäran mail.docx", "A 19404-2025")</f>
        <v/>
      </c>
    </row>
    <row r="1018" ht="15" customHeight="1">
      <c r="A1018" t="inlineStr">
        <is>
          <t>A 53211-2025</t>
        </is>
      </c>
      <c r="B1018" s="1" t="n">
        <v>45958.59490740741</v>
      </c>
      <c r="C1018" s="1" t="n">
        <v>45994</v>
      </c>
      <c r="D1018" t="inlineStr">
        <is>
          <t>JÄMTLANDS LÄN</t>
        </is>
      </c>
      <c r="E1018" t="inlineStr">
        <is>
          <t>RAGUNDA</t>
        </is>
      </c>
      <c r="F1018" t="inlineStr">
        <is>
          <t>SCA</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18989-2025</t>
        </is>
      </c>
      <c r="B1019" s="1" t="n">
        <v>45764</v>
      </c>
      <c r="C1019" s="1" t="n">
        <v>45994</v>
      </c>
      <c r="D1019" t="inlineStr">
        <is>
          <t>JÄMTLANDS LÄN</t>
        </is>
      </c>
      <c r="E1019" t="inlineStr">
        <is>
          <t>RAGUNDA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53032-2025</t>
        </is>
      </c>
      <c r="B1020" s="1" t="n">
        <v>45958.34462962963</v>
      </c>
      <c r="C1020" s="1" t="n">
        <v>45994</v>
      </c>
      <c r="D1020" t="inlineStr">
        <is>
          <t>JÄMTLANDS LÄN</t>
        </is>
      </c>
      <c r="E1020" t="inlineStr">
        <is>
          <t>RAGUNDA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53076-2025</t>
        </is>
      </c>
      <c r="B1021" s="1" t="n">
        <v>45958.38604166666</v>
      </c>
      <c r="C1021" s="1" t="n">
        <v>45994</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53765-2025</t>
        </is>
      </c>
      <c r="B1022" s="1" t="n">
        <v>45960.67753472222</v>
      </c>
      <c r="C1022" s="1" t="n">
        <v>45994</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53549-2025</t>
        </is>
      </c>
      <c r="B1023" s="1" t="n">
        <v>45960.38576388889</v>
      </c>
      <c r="C1023" s="1" t="n">
        <v>45994</v>
      </c>
      <c r="D1023" t="inlineStr">
        <is>
          <t>JÄMTLANDS LÄN</t>
        </is>
      </c>
      <c r="E1023" t="inlineStr">
        <is>
          <t>RAGUNDA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53726-2025</t>
        </is>
      </c>
      <c r="B1024" s="1" t="n">
        <v>45960.63597222222</v>
      </c>
      <c r="C1024" s="1" t="n">
        <v>45994</v>
      </c>
      <c r="D1024" t="inlineStr">
        <is>
          <t>JÄMTLANDS LÄN</t>
        </is>
      </c>
      <c r="E1024" t="inlineStr">
        <is>
          <t>RAGUNDA</t>
        </is>
      </c>
      <c r="F1024" t="inlineStr">
        <is>
          <t>SCA</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53948-2025</t>
        </is>
      </c>
      <c r="B1025" s="1" t="n">
        <v>45961.50033564815</v>
      </c>
      <c r="C1025" s="1" t="n">
        <v>45994</v>
      </c>
      <c r="D1025" t="inlineStr">
        <is>
          <t>JÄMTLANDS LÄN</t>
        </is>
      </c>
      <c r="E1025" t="inlineStr">
        <is>
          <t>RAGUNDA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28637-2025</t>
        </is>
      </c>
      <c r="B1026" s="1" t="n">
        <v>45819.6359375</v>
      </c>
      <c r="C1026" s="1" t="n">
        <v>45994</v>
      </c>
      <c r="D1026" t="inlineStr">
        <is>
          <t>JÄMTLANDS LÄN</t>
        </is>
      </c>
      <c r="E1026" t="inlineStr">
        <is>
          <t>RAGUNDA</t>
        </is>
      </c>
      <c r="F1026" t="inlineStr">
        <is>
          <t>SCA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53986-2025</t>
        </is>
      </c>
      <c r="B1027" s="1" t="n">
        <v>45961.57381944444</v>
      </c>
      <c r="C1027" s="1" t="n">
        <v>45994</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45279-2025</t>
        </is>
      </c>
      <c r="B1028" s="1" t="n">
        <v>45919.71912037037</v>
      </c>
      <c r="C1028" s="1" t="n">
        <v>45994</v>
      </c>
      <c r="D1028" t="inlineStr">
        <is>
          <t>JÄMTLANDS LÄN</t>
        </is>
      </c>
      <c r="E1028" t="inlineStr">
        <is>
          <t>RAGUNDA</t>
        </is>
      </c>
      <c r="F1028" t="inlineStr">
        <is>
          <t>SCA</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53973-2025</t>
        </is>
      </c>
      <c r="B1029" s="1" t="n">
        <v>45961.55246527777</v>
      </c>
      <c r="C1029" s="1" t="n">
        <v>45994</v>
      </c>
      <c r="D1029" t="inlineStr">
        <is>
          <t>JÄMTLANDS LÄN</t>
        </is>
      </c>
      <c r="E1029" t="inlineStr">
        <is>
          <t>RAGUNDA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28973-2025</t>
        </is>
      </c>
      <c r="B1030" s="1" t="n">
        <v>45821.34513888889</v>
      </c>
      <c r="C1030" s="1" t="n">
        <v>45994</v>
      </c>
      <c r="D1030" t="inlineStr">
        <is>
          <t>JÄMTLANDS LÄN</t>
        </is>
      </c>
      <c r="E1030" t="inlineStr">
        <is>
          <t>RAGUNDA</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44954-2025</t>
        </is>
      </c>
      <c r="B1031" s="1" t="n">
        <v>45918.61203703703</v>
      </c>
      <c r="C1031" s="1" t="n">
        <v>45994</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29731-2025</t>
        </is>
      </c>
      <c r="B1032" s="1" t="n">
        <v>45825.58252314815</v>
      </c>
      <c r="C1032" s="1" t="n">
        <v>45994</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53748-2025</t>
        </is>
      </c>
      <c r="B1033" s="1" t="n">
        <v>45960.65673611111</v>
      </c>
      <c r="C1033" s="1" t="n">
        <v>45994</v>
      </c>
      <c r="D1033" t="inlineStr">
        <is>
          <t>JÄMTLANDS LÄN</t>
        </is>
      </c>
      <c r="E1033" t="inlineStr">
        <is>
          <t>RAGUNDA</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29723-2025</t>
        </is>
      </c>
      <c r="B1034" s="1" t="n">
        <v>45825.57675925926</v>
      </c>
      <c r="C1034" s="1" t="n">
        <v>45994</v>
      </c>
      <c r="D1034" t="inlineStr">
        <is>
          <t>JÄMTLANDS LÄN</t>
        </is>
      </c>
      <c r="E1034" t="inlineStr">
        <is>
          <t>RAGUNDA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53727-2025</t>
        </is>
      </c>
      <c r="B1035" s="1" t="n">
        <v>45960.63630787037</v>
      </c>
      <c r="C1035" s="1" t="n">
        <v>45994</v>
      </c>
      <c r="D1035" t="inlineStr">
        <is>
          <t>JÄMTLANDS LÄN</t>
        </is>
      </c>
      <c r="E1035" t="inlineStr">
        <is>
          <t>RAGUNDA</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53951-2025</t>
        </is>
      </c>
      <c r="B1036" s="1" t="n">
        <v>45961.50200231482</v>
      </c>
      <c r="C1036" s="1" t="n">
        <v>45994</v>
      </c>
      <c r="D1036" t="inlineStr">
        <is>
          <t>JÄMTLANDS LÄN</t>
        </is>
      </c>
      <c r="E1036" t="inlineStr">
        <is>
          <t>RAGUNDA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53975-2025</t>
        </is>
      </c>
      <c r="B1037" s="1" t="n">
        <v>45961.55277777778</v>
      </c>
      <c r="C1037" s="1" t="n">
        <v>45994</v>
      </c>
      <c r="D1037" t="inlineStr">
        <is>
          <t>JÄMTLANDS LÄN</t>
        </is>
      </c>
      <c r="E1037" t="inlineStr">
        <is>
          <t>RAGUNDA</t>
        </is>
      </c>
      <c r="F1037" t="inlineStr">
        <is>
          <t>SCA</t>
        </is>
      </c>
      <c r="G1037" t="n">
        <v>21.9</v>
      </c>
      <c r="H1037" t="n">
        <v>0</v>
      </c>
      <c r="I1037" t="n">
        <v>0</v>
      </c>
      <c r="J1037" t="n">
        <v>0</v>
      </c>
      <c r="K1037" t="n">
        <v>0</v>
      </c>
      <c r="L1037" t="n">
        <v>0</v>
      </c>
      <c r="M1037" t="n">
        <v>0</v>
      </c>
      <c r="N1037" t="n">
        <v>0</v>
      </c>
      <c r="O1037" t="n">
        <v>0</v>
      </c>
      <c r="P1037" t="n">
        <v>0</v>
      </c>
      <c r="Q1037" t="n">
        <v>0</v>
      </c>
      <c r="R1037" s="2" t="inlineStr"/>
    </row>
    <row r="1038" ht="15" customHeight="1">
      <c r="A1038" t="inlineStr">
        <is>
          <t>A 54396-2025</t>
        </is>
      </c>
      <c r="B1038" s="1" t="n">
        <v>45965.44849537037</v>
      </c>
      <c r="C1038" s="1" t="n">
        <v>45994</v>
      </c>
      <c r="D1038" t="inlineStr">
        <is>
          <t>JÄMTLANDS LÄN</t>
        </is>
      </c>
      <c r="E1038" t="inlineStr">
        <is>
          <t>RAGUNDA</t>
        </is>
      </c>
      <c r="F1038" t="inlineStr">
        <is>
          <t>SCA</t>
        </is>
      </c>
      <c r="G1038" t="n">
        <v>35.2</v>
      </c>
      <c r="H1038" t="n">
        <v>0</v>
      </c>
      <c r="I1038" t="n">
        <v>0</v>
      </c>
      <c r="J1038" t="n">
        <v>0</v>
      </c>
      <c r="K1038" t="n">
        <v>0</v>
      </c>
      <c r="L1038" t="n">
        <v>0</v>
      </c>
      <c r="M1038" t="n">
        <v>0</v>
      </c>
      <c r="N1038" t="n">
        <v>0</v>
      </c>
      <c r="O1038" t="n">
        <v>0</v>
      </c>
      <c r="P1038" t="n">
        <v>0</v>
      </c>
      <c r="Q1038" t="n">
        <v>0</v>
      </c>
      <c r="R1038" s="2" t="inlineStr"/>
    </row>
    <row r="1039" ht="15" customHeight="1">
      <c r="A1039" t="inlineStr">
        <is>
          <t>A 30088-2025</t>
        </is>
      </c>
      <c r="B1039" s="1" t="n">
        <v>45826.65759259259</v>
      </c>
      <c r="C1039" s="1" t="n">
        <v>45994</v>
      </c>
      <c r="D1039" t="inlineStr">
        <is>
          <t>JÄMTLANDS LÄN</t>
        </is>
      </c>
      <c r="E1039" t="inlineStr">
        <is>
          <t>RAGUNDA</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30348-2025</t>
        </is>
      </c>
      <c r="B1040" s="1" t="n">
        <v>45827.53178240741</v>
      </c>
      <c r="C1040" s="1" t="n">
        <v>45994</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30434-2025</t>
        </is>
      </c>
      <c r="B1041" s="1" t="n">
        <v>45827.63582175926</v>
      </c>
      <c r="C1041" s="1" t="n">
        <v>45994</v>
      </c>
      <c r="D1041" t="inlineStr">
        <is>
          <t>JÄMTLANDS LÄN</t>
        </is>
      </c>
      <c r="E1041" t="inlineStr">
        <is>
          <t>RAGUNDA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54195-2025</t>
        </is>
      </c>
      <c r="B1042" s="1" t="n">
        <v>45964.57413194444</v>
      </c>
      <c r="C1042" s="1" t="n">
        <v>45994</v>
      </c>
      <c r="D1042" t="inlineStr">
        <is>
          <t>JÄMTLANDS LÄN</t>
        </is>
      </c>
      <c r="E1042" t="inlineStr">
        <is>
          <t>RAGUNDA</t>
        </is>
      </c>
      <c r="F1042" t="inlineStr">
        <is>
          <t>SCA</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31463-2024</t>
        </is>
      </c>
      <c r="B1043" s="1" t="n">
        <v>45505</v>
      </c>
      <c r="C1043" s="1" t="n">
        <v>45994</v>
      </c>
      <c r="D1043" t="inlineStr">
        <is>
          <t>JÄMTLANDS LÄN</t>
        </is>
      </c>
      <c r="E1043" t="inlineStr">
        <is>
          <t>RAGUNDA</t>
        </is>
      </c>
      <c r="F1043" t="inlineStr">
        <is>
          <t>SCA</t>
        </is>
      </c>
      <c r="G1043" t="n">
        <v>20.3</v>
      </c>
      <c r="H1043" t="n">
        <v>0</v>
      </c>
      <c r="I1043" t="n">
        <v>0</v>
      </c>
      <c r="J1043" t="n">
        <v>0</v>
      </c>
      <c r="K1043" t="n">
        <v>0</v>
      </c>
      <c r="L1043" t="n">
        <v>0</v>
      </c>
      <c r="M1043" t="n">
        <v>0</v>
      </c>
      <c r="N1043" t="n">
        <v>0</v>
      </c>
      <c r="O1043" t="n">
        <v>0</v>
      </c>
      <c r="P1043" t="n">
        <v>0</v>
      </c>
      <c r="Q1043" t="n">
        <v>0</v>
      </c>
      <c r="R1043" s="2" t="inlineStr"/>
    </row>
    <row r="1044" ht="15" customHeight="1">
      <c r="A1044" t="inlineStr">
        <is>
          <t>A 30887-2025</t>
        </is>
      </c>
      <c r="B1044" s="1" t="n">
        <v>45832.3459375</v>
      </c>
      <c r="C1044" s="1" t="n">
        <v>45994</v>
      </c>
      <c r="D1044" t="inlineStr">
        <is>
          <t>JÄMTLANDS LÄN</t>
        </is>
      </c>
      <c r="E1044" t="inlineStr">
        <is>
          <t>RAGUNDA</t>
        </is>
      </c>
      <c r="F1044" t="inlineStr">
        <is>
          <t>SCA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30883-2025</t>
        </is>
      </c>
      <c r="B1045" s="1" t="n">
        <v>45832.34552083333</v>
      </c>
      <c r="C1045" s="1" t="n">
        <v>45994</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45894-2025</t>
        </is>
      </c>
      <c r="B1046" s="1" t="n">
        <v>45923.67765046296</v>
      </c>
      <c r="C1046" s="1" t="n">
        <v>45994</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46192-2025</t>
        </is>
      </c>
      <c r="B1047" s="1" t="n">
        <v>45924.67789351852</v>
      </c>
      <c r="C1047" s="1" t="n">
        <v>45994</v>
      </c>
      <c r="D1047" t="inlineStr">
        <is>
          <t>JÄMTLANDS LÄN</t>
        </is>
      </c>
      <c r="E1047" t="inlineStr">
        <is>
          <t>RAGUNDA</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30880-2025</t>
        </is>
      </c>
      <c r="B1048" s="1" t="n">
        <v>45832.34524305556</v>
      </c>
      <c r="C1048" s="1" t="n">
        <v>45994</v>
      </c>
      <c r="D1048" t="inlineStr">
        <is>
          <t>JÄMTLANDS LÄN</t>
        </is>
      </c>
      <c r="E1048" t="inlineStr">
        <is>
          <t>RAGUNDA</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54820-2025</t>
        </is>
      </c>
      <c r="B1049" s="1" t="n">
        <v>45966.65728009259</v>
      </c>
      <c r="C1049" s="1" t="n">
        <v>45994</v>
      </c>
      <c r="D1049" t="inlineStr">
        <is>
          <t>JÄMTLANDS LÄN</t>
        </is>
      </c>
      <c r="E1049" t="inlineStr">
        <is>
          <t>RAGUNDA</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32096-2025</t>
        </is>
      </c>
      <c r="B1050" s="1" t="n">
        <v>45835.46334490741</v>
      </c>
      <c r="C1050" s="1" t="n">
        <v>45994</v>
      </c>
      <c r="D1050" t="inlineStr">
        <is>
          <t>JÄMTLANDS LÄN</t>
        </is>
      </c>
      <c r="E1050" t="inlineStr">
        <is>
          <t>RAGUNDA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32151-2025</t>
        </is>
      </c>
      <c r="B1051" s="1" t="n">
        <v>45835.53166666667</v>
      </c>
      <c r="C1051" s="1" t="n">
        <v>45994</v>
      </c>
      <c r="D1051" t="inlineStr">
        <is>
          <t>JÄMTLANDS LÄN</t>
        </is>
      </c>
      <c r="E1051" t="inlineStr">
        <is>
          <t>RAGUNDA</t>
        </is>
      </c>
      <c r="F1051" t="inlineStr">
        <is>
          <t>SCA</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32306-2025</t>
        </is>
      </c>
      <c r="B1052" s="1" t="n">
        <v>45835.72046296296</v>
      </c>
      <c r="C1052" s="1" t="n">
        <v>45994</v>
      </c>
      <c r="D1052" t="inlineStr">
        <is>
          <t>JÄMTLANDS LÄN</t>
        </is>
      </c>
      <c r="E1052" t="inlineStr">
        <is>
          <t>RAGUNDA</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46275-2025</t>
        </is>
      </c>
      <c r="B1053" s="1" t="n">
        <v>45925.3711574074</v>
      </c>
      <c r="C1053" s="1" t="n">
        <v>45994</v>
      </c>
      <c r="D1053" t="inlineStr">
        <is>
          <t>JÄMTLANDS LÄN</t>
        </is>
      </c>
      <c r="E1053" t="inlineStr">
        <is>
          <t>RAGUNDA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32021-2025</t>
        </is>
      </c>
      <c r="B1054" s="1" t="n">
        <v>45835.40668981482</v>
      </c>
      <c r="C1054" s="1" t="n">
        <v>45994</v>
      </c>
      <c r="D1054" t="inlineStr">
        <is>
          <t>JÄMTLANDS LÄN</t>
        </is>
      </c>
      <c r="E1054" t="inlineStr">
        <is>
          <t>RAGUNDA</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31882-2025</t>
        </is>
      </c>
      <c r="B1055" s="1" t="n">
        <v>45834.65662037037</v>
      </c>
      <c r="C1055" s="1" t="n">
        <v>45994</v>
      </c>
      <c r="D1055" t="inlineStr">
        <is>
          <t>JÄMTLANDS LÄN</t>
        </is>
      </c>
      <c r="E1055" t="inlineStr">
        <is>
          <t>RAGUNDA</t>
        </is>
      </c>
      <c r="F1055" t="inlineStr">
        <is>
          <t>SCA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54794-2025</t>
        </is>
      </c>
      <c r="B1056" s="1" t="n">
        <v>45966.63592592593</v>
      </c>
      <c r="C1056" s="1" t="n">
        <v>45994</v>
      </c>
      <c r="D1056" t="inlineStr">
        <is>
          <t>JÄMTLANDS LÄN</t>
        </is>
      </c>
      <c r="E1056" t="inlineStr">
        <is>
          <t>RAGUNDA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32796-2025</t>
        </is>
      </c>
      <c r="B1057" s="1" t="n">
        <v>45839.49082175926</v>
      </c>
      <c r="C1057" s="1" t="n">
        <v>45994</v>
      </c>
      <c r="D1057" t="inlineStr">
        <is>
          <t>JÄMTLANDS LÄN</t>
        </is>
      </c>
      <c r="E1057" t="inlineStr">
        <is>
          <t>RAGUNDA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32655-2025</t>
        </is>
      </c>
      <c r="B1058" s="1" t="n">
        <v>45838.67800925926</v>
      </c>
      <c r="C1058" s="1" t="n">
        <v>45994</v>
      </c>
      <c r="D1058" t="inlineStr">
        <is>
          <t>JÄMTLANDS LÄN</t>
        </is>
      </c>
      <c r="E1058" t="inlineStr">
        <is>
          <t>RAGUNDA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32751-2025</t>
        </is>
      </c>
      <c r="B1059" s="1" t="n">
        <v>45839.42864583333</v>
      </c>
      <c r="C1059" s="1" t="n">
        <v>45994</v>
      </c>
      <c r="D1059" t="inlineStr">
        <is>
          <t>JÄMTLANDS LÄN</t>
        </is>
      </c>
      <c r="E1059" t="inlineStr">
        <is>
          <t>RAGUNDA</t>
        </is>
      </c>
      <c r="F1059" t="inlineStr">
        <is>
          <t>SCA</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32777-2025</t>
        </is>
      </c>
      <c r="B1060" s="1" t="n">
        <v>45839.46915509259</v>
      </c>
      <c r="C1060" s="1" t="n">
        <v>45994</v>
      </c>
      <c r="D1060" t="inlineStr">
        <is>
          <t>JÄMTLANDS LÄN</t>
        </is>
      </c>
      <c r="E1060" t="inlineStr">
        <is>
          <t>RAGUNDA</t>
        </is>
      </c>
      <c r="F1060" t="inlineStr">
        <is>
          <t>SCA</t>
        </is>
      </c>
      <c r="G1060" t="n">
        <v>21.7</v>
      </c>
      <c r="H1060" t="n">
        <v>0</v>
      </c>
      <c r="I1060" t="n">
        <v>0</v>
      </c>
      <c r="J1060" t="n">
        <v>0</v>
      </c>
      <c r="K1060" t="n">
        <v>0</v>
      </c>
      <c r="L1060" t="n">
        <v>0</v>
      </c>
      <c r="M1060" t="n">
        <v>0</v>
      </c>
      <c r="N1060" t="n">
        <v>0</v>
      </c>
      <c r="O1060" t="n">
        <v>0</v>
      </c>
      <c r="P1060" t="n">
        <v>0</v>
      </c>
      <c r="Q1060" t="n">
        <v>0</v>
      </c>
      <c r="R1060" s="2" t="inlineStr"/>
    </row>
    <row r="1061" ht="15" customHeight="1">
      <c r="A1061" t="inlineStr">
        <is>
          <t>A 32430-2025</t>
        </is>
      </c>
      <c r="B1061" s="1" t="n">
        <v>45838.36532407408</v>
      </c>
      <c r="C1061" s="1" t="n">
        <v>45994</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46825-2025</t>
        </is>
      </c>
      <c r="B1062" s="1" t="n">
        <v>45926.92506944444</v>
      </c>
      <c r="C1062" s="1" t="n">
        <v>45994</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46710-2025</t>
        </is>
      </c>
      <c r="B1063" s="1" t="n">
        <v>45926.57337962963</v>
      </c>
      <c r="C1063" s="1" t="n">
        <v>45994</v>
      </c>
      <c r="D1063" t="inlineStr">
        <is>
          <t>JÄMTLANDS LÄN</t>
        </is>
      </c>
      <c r="E1063" t="inlineStr">
        <is>
          <t>RAGUNDA</t>
        </is>
      </c>
      <c r="F1063" t="inlineStr">
        <is>
          <t>SCA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32747-2025</t>
        </is>
      </c>
      <c r="B1064" s="1" t="n">
        <v>45839.42810185185</v>
      </c>
      <c r="C1064" s="1" t="n">
        <v>45994</v>
      </c>
      <c r="D1064" t="inlineStr">
        <is>
          <t>JÄMTLANDS LÄN</t>
        </is>
      </c>
      <c r="E1064" t="inlineStr">
        <is>
          <t>RAGUNDA</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32757-2025</t>
        </is>
      </c>
      <c r="B1065" s="1" t="n">
        <v>45838</v>
      </c>
      <c r="C1065" s="1" t="n">
        <v>45994</v>
      </c>
      <c r="D1065" t="inlineStr">
        <is>
          <t>JÄMTLANDS LÄN</t>
        </is>
      </c>
      <c r="E1065" t="inlineStr">
        <is>
          <t>RAGUNDA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47075-2025</t>
        </is>
      </c>
      <c r="B1066" s="1" t="n">
        <v>45929.63728009259</v>
      </c>
      <c r="C1066" s="1" t="n">
        <v>45994</v>
      </c>
      <c r="D1066" t="inlineStr">
        <is>
          <t>JÄMTLANDS LÄN</t>
        </is>
      </c>
      <c r="E1066" t="inlineStr">
        <is>
          <t>RAGUNDA</t>
        </is>
      </c>
      <c r="F1066" t="inlineStr">
        <is>
          <t>SCA</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32846-2025</t>
        </is>
      </c>
      <c r="B1067" s="1" t="n">
        <v>45839.57331018519</v>
      </c>
      <c r="C1067" s="1" t="n">
        <v>45994</v>
      </c>
      <c r="D1067" t="inlineStr">
        <is>
          <t>JÄMTLANDS LÄN</t>
        </is>
      </c>
      <c r="E1067" t="inlineStr">
        <is>
          <t>RAGUNDA</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32748-2025</t>
        </is>
      </c>
      <c r="B1068" s="1" t="n">
        <v>45839.42822916667</v>
      </c>
      <c r="C1068" s="1" t="n">
        <v>45994</v>
      </c>
      <c r="D1068" t="inlineStr">
        <is>
          <t>JÄMTLANDS LÄN</t>
        </is>
      </c>
      <c r="E1068" t="inlineStr">
        <is>
          <t>RAGUNDA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32762-2025</t>
        </is>
      </c>
      <c r="B1069" s="1" t="n">
        <v>45838</v>
      </c>
      <c r="C1069" s="1" t="n">
        <v>45994</v>
      </c>
      <c r="D1069" t="inlineStr">
        <is>
          <t>JÄMTLANDS LÄN</t>
        </is>
      </c>
      <c r="E1069" t="inlineStr">
        <is>
          <t>RAGUNDA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32660-2025</t>
        </is>
      </c>
      <c r="B1070" s="1" t="n">
        <v>45838.67887731481</v>
      </c>
      <c r="C1070" s="1" t="n">
        <v>45994</v>
      </c>
      <c r="D1070" t="inlineStr">
        <is>
          <t>JÄMTLANDS LÄN</t>
        </is>
      </c>
      <c r="E1070" t="inlineStr">
        <is>
          <t>RAGUNDA</t>
        </is>
      </c>
      <c r="F1070" t="inlineStr">
        <is>
          <t>SCA</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47119-2025</t>
        </is>
      </c>
      <c r="B1071" s="1" t="n">
        <v>45929.67795138889</v>
      </c>
      <c r="C1071" s="1" t="n">
        <v>45994</v>
      </c>
      <c r="D1071" t="inlineStr">
        <is>
          <t>JÄMTLANDS LÄN</t>
        </is>
      </c>
      <c r="E1071" t="inlineStr">
        <is>
          <t>RAGUNDA</t>
        </is>
      </c>
      <c r="F1071" t="inlineStr">
        <is>
          <t>SCA</t>
        </is>
      </c>
      <c r="G1071" t="n">
        <v>22.7</v>
      </c>
      <c r="H1071" t="n">
        <v>0</v>
      </c>
      <c r="I1071" t="n">
        <v>0</v>
      </c>
      <c r="J1071" t="n">
        <v>0</v>
      </c>
      <c r="K1071" t="n">
        <v>0</v>
      </c>
      <c r="L1071" t="n">
        <v>0</v>
      </c>
      <c r="M1071" t="n">
        <v>0</v>
      </c>
      <c r="N1071" t="n">
        <v>0</v>
      </c>
      <c r="O1071" t="n">
        <v>0</v>
      </c>
      <c r="P1071" t="n">
        <v>0</v>
      </c>
      <c r="Q1071" t="n">
        <v>0</v>
      </c>
      <c r="R1071" s="2" t="inlineStr"/>
    </row>
    <row r="1072" ht="15" customHeight="1">
      <c r="A1072" t="inlineStr">
        <is>
          <t>A 32527-2025</t>
        </is>
      </c>
      <c r="B1072" s="1" t="n">
        <v>45838.48996527777</v>
      </c>
      <c r="C1072" s="1" t="n">
        <v>45994</v>
      </c>
      <c r="D1072" t="inlineStr">
        <is>
          <t>JÄMTLANDS LÄN</t>
        </is>
      </c>
      <c r="E1072" t="inlineStr">
        <is>
          <t>RAGUNDA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46689-2025</t>
        </is>
      </c>
      <c r="B1073" s="1" t="n">
        <v>45926.55307870371</v>
      </c>
      <c r="C1073" s="1" t="n">
        <v>45994</v>
      </c>
      <c r="D1073" t="inlineStr">
        <is>
          <t>JÄMTLANDS LÄN</t>
        </is>
      </c>
      <c r="E1073" t="inlineStr">
        <is>
          <t>RAGUNDA</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46909-2025</t>
        </is>
      </c>
      <c r="B1074" s="1" t="n">
        <v>45929.40673611111</v>
      </c>
      <c r="C1074" s="1" t="n">
        <v>45994</v>
      </c>
      <c r="D1074" t="inlineStr">
        <is>
          <t>JÄMTLANDS LÄN</t>
        </is>
      </c>
      <c r="E1074" t="inlineStr">
        <is>
          <t>RAGUNDA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47122-2025</t>
        </is>
      </c>
      <c r="B1075" s="1" t="n">
        <v>45929.67878472222</v>
      </c>
      <c r="C1075" s="1" t="n">
        <v>45994</v>
      </c>
      <c r="D1075" t="inlineStr">
        <is>
          <t>JÄMTLANDS LÄN</t>
        </is>
      </c>
      <c r="E1075" t="inlineStr">
        <is>
          <t>RAGUNDA</t>
        </is>
      </c>
      <c r="F1075" t="inlineStr">
        <is>
          <t>SCA</t>
        </is>
      </c>
      <c r="G1075" t="n">
        <v>31.1</v>
      </c>
      <c r="H1075" t="n">
        <v>0</v>
      </c>
      <c r="I1075" t="n">
        <v>0</v>
      </c>
      <c r="J1075" t="n">
        <v>0</v>
      </c>
      <c r="K1075" t="n">
        <v>0</v>
      </c>
      <c r="L1075" t="n">
        <v>0</v>
      </c>
      <c r="M1075" t="n">
        <v>0</v>
      </c>
      <c r="N1075" t="n">
        <v>0</v>
      </c>
      <c r="O1075" t="n">
        <v>0</v>
      </c>
      <c r="P1075" t="n">
        <v>0</v>
      </c>
      <c r="Q1075" t="n">
        <v>0</v>
      </c>
      <c r="R1075" s="2" t="inlineStr"/>
    </row>
    <row r="1076" ht="15" customHeight="1">
      <c r="A1076" t="inlineStr">
        <is>
          <t>A 33140-2025</t>
        </is>
      </c>
      <c r="B1076" s="1" t="n">
        <v>45840.52225694444</v>
      </c>
      <c r="C1076" s="1" t="n">
        <v>45994</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33556-2025</t>
        </is>
      </c>
      <c r="B1077" s="1" t="n">
        <v>45841.57427083333</v>
      </c>
      <c r="C1077" s="1" t="n">
        <v>45994</v>
      </c>
      <c r="D1077" t="inlineStr">
        <is>
          <t>JÄMTLANDS LÄN</t>
        </is>
      </c>
      <c r="E1077" t="inlineStr">
        <is>
          <t>RAGUNDA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46974-2025</t>
        </is>
      </c>
      <c r="B1078" s="1" t="n">
        <v>45929.51104166666</v>
      </c>
      <c r="C1078" s="1" t="n">
        <v>45994</v>
      </c>
      <c r="D1078" t="inlineStr">
        <is>
          <t>JÄMTLANDS LÄN</t>
        </is>
      </c>
      <c r="E1078" t="inlineStr">
        <is>
          <t>RAGUNDA</t>
        </is>
      </c>
      <c r="F1078" t="inlineStr">
        <is>
          <t>SCA</t>
        </is>
      </c>
      <c r="G1078" t="n">
        <v>12.1</v>
      </c>
      <c r="H1078" t="n">
        <v>0</v>
      </c>
      <c r="I1078" t="n">
        <v>0</v>
      </c>
      <c r="J1078" t="n">
        <v>0</v>
      </c>
      <c r="K1078" t="n">
        <v>0</v>
      </c>
      <c r="L1078" t="n">
        <v>0</v>
      </c>
      <c r="M1078" t="n">
        <v>0</v>
      </c>
      <c r="N1078" t="n">
        <v>0</v>
      </c>
      <c r="O1078" t="n">
        <v>0</v>
      </c>
      <c r="P1078" t="n">
        <v>0</v>
      </c>
      <c r="Q1078" t="n">
        <v>0</v>
      </c>
      <c r="R1078" s="2" t="inlineStr"/>
    </row>
    <row r="1079" ht="15" customHeight="1">
      <c r="A1079" t="inlineStr">
        <is>
          <t>A 46751-2025</t>
        </is>
      </c>
      <c r="B1079" s="1" t="n">
        <v>45926.6153125</v>
      </c>
      <c r="C1079" s="1" t="n">
        <v>45994</v>
      </c>
      <c r="D1079" t="inlineStr">
        <is>
          <t>JÄMTLANDS LÄN</t>
        </is>
      </c>
      <c r="E1079" t="inlineStr">
        <is>
          <t>RAGUNDA</t>
        </is>
      </c>
      <c r="F1079" t="inlineStr">
        <is>
          <t>SCA</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46753-2025</t>
        </is>
      </c>
      <c r="B1080" s="1" t="n">
        <v>45926.61552083334</v>
      </c>
      <c r="C1080" s="1" t="n">
        <v>45994</v>
      </c>
      <c r="D1080" t="inlineStr">
        <is>
          <t>JÄMTLANDS LÄN</t>
        </is>
      </c>
      <c r="E1080" t="inlineStr">
        <is>
          <t>RAGUNDA</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47037-2025</t>
        </is>
      </c>
      <c r="B1081" s="1" t="n">
        <v>45929.59456018519</v>
      </c>
      <c r="C1081" s="1" t="n">
        <v>45994</v>
      </c>
      <c r="D1081" t="inlineStr">
        <is>
          <t>JÄMTLANDS LÄN</t>
        </is>
      </c>
      <c r="E1081" t="inlineStr">
        <is>
          <t>RAGUNDA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19438-2023</t>
        </is>
      </c>
      <c r="B1082" s="1" t="n">
        <v>45049</v>
      </c>
      <c r="C1082" s="1" t="n">
        <v>45994</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33790-2025</t>
        </is>
      </c>
      <c r="B1083" s="1" t="n">
        <v>45842.42608796297</v>
      </c>
      <c r="C1083" s="1" t="n">
        <v>45994</v>
      </c>
      <c r="D1083" t="inlineStr">
        <is>
          <t>JÄMTLANDS LÄN</t>
        </is>
      </c>
      <c r="E1083" t="inlineStr">
        <is>
          <t>RAGUNDA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47749-2025</t>
        </is>
      </c>
      <c r="B1084" s="1" t="n">
        <v>45931.65711805555</v>
      </c>
      <c r="C1084" s="1" t="n">
        <v>45994</v>
      </c>
      <c r="D1084" t="inlineStr">
        <is>
          <t>JÄMTLANDS LÄN</t>
        </is>
      </c>
      <c r="E1084" t="inlineStr">
        <is>
          <t>RAGUNDA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55671-2025</t>
        </is>
      </c>
      <c r="B1085" s="1" t="n">
        <v>45972.406875</v>
      </c>
      <c r="C1085" s="1" t="n">
        <v>45994</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47228-2025</t>
        </is>
      </c>
      <c r="B1086" s="1" t="n">
        <v>45930.3990162037</v>
      </c>
      <c r="C1086" s="1" t="n">
        <v>45994</v>
      </c>
      <c r="D1086" t="inlineStr">
        <is>
          <t>JÄMTLANDS LÄN</t>
        </is>
      </c>
      <c r="E1086" t="inlineStr">
        <is>
          <t>RAGUNDA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34607-2025</t>
        </is>
      </c>
      <c r="B1087" s="1" t="n">
        <v>45847.65703703704</v>
      </c>
      <c r="C1087" s="1" t="n">
        <v>45994</v>
      </c>
      <c r="D1087" t="inlineStr">
        <is>
          <t>JÄMTLANDS LÄN</t>
        </is>
      </c>
      <c r="E1087" t="inlineStr">
        <is>
          <t>RAGUNDA</t>
        </is>
      </c>
      <c r="F1087" t="inlineStr">
        <is>
          <t>SCA</t>
        </is>
      </c>
      <c r="G1087" t="n">
        <v>31.4</v>
      </c>
      <c r="H1087" t="n">
        <v>0</v>
      </c>
      <c r="I1087" t="n">
        <v>0</v>
      </c>
      <c r="J1087" t="n">
        <v>0</v>
      </c>
      <c r="K1087" t="n">
        <v>0</v>
      </c>
      <c r="L1087" t="n">
        <v>0</v>
      </c>
      <c r="M1087" t="n">
        <v>0</v>
      </c>
      <c r="N1087" t="n">
        <v>0</v>
      </c>
      <c r="O1087" t="n">
        <v>0</v>
      </c>
      <c r="P1087" t="n">
        <v>0</v>
      </c>
      <c r="Q1087" t="n">
        <v>0</v>
      </c>
      <c r="R1087" s="2" t="inlineStr"/>
    </row>
    <row r="1088" ht="15" customHeight="1">
      <c r="A1088" t="inlineStr">
        <is>
          <t>A 34461-2025</t>
        </is>
      </c>
      <c r="B1088" s="1" t="n">
        <v>45847.34474537037</v>
      </c>
      <c r="C1088" s="1" t="n">
        <v>45994</v>
      </c>
      <c r="D1088" t="inlineStr">
        <is>
          <t>JÄMTLANDS LÄN</t>
        </is>
      </c>
      <c r="E1088" t="inlineStr">
        <is>
          <t>RAGUNDA</t>
        </is>
      </c>
      <c r="F1088" t="inlineStr">
        <is>
          <t>SCA</t>
        </is>
      </c>
      <c r="G1088" t="n">
        <v>44.8</v>
      </c>
      <c r="H1088" t="n">
        <v>0</v>
      </c>
      <c r="I1088" t="n">
        <v>0</v>
      </c>
      <c r="J1088" t="n">
        <v>0</v>
      </c>
      <c r="K1088" t="n">
        <v>0</v>
      </c>
      <c r="L1088" t="n">
        <v>0</v>
      </c>
      <c r="M1088" t="n">
        <v>0</v>
      </c>
      <c r="N1088" t="n">
        <v>0</v>
      </c>
      <c r="O1088" t="n">
        <v>0</v>
      </c>
      <c r="P1088" t="n">
        <v>0</v>
      </c>
      <c r="Q1088" t="n">
        <v>0</v>
      </c>
      <c r="R1088" s="2" t="inlineStr"/>
    </row>
    <row r="1089" ht="15" customHeight="1">
      <c r="A1089" t="inlineStr">
        <is>
          <t>A 34464-2025</t>
        </is>
      </c>
      <c r="B1089" s="1" t="n">
        <v>45847.34528935186</v>
      </c>
      <c r="C1089" s="1" t="n">
        <v>45994</v>
      </c>
      <c r="D1089" t="inlineStr">
        <is>
          <t>JÄMTLANDS LÄN</t>
        </is>
      </c>
      <c r="E1089" t="inlineStr">
        <is>
          <t>RAGUNDA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34468-2025</t>
        </is>
      </c>
      <c r="B1090" s="1" t="n">
        <v>45847.34597222223</v>
      </c>
      <c r="C1090" s="1" t="n">
        <v>45994</v>
      </c>
      <c r="D1090" t="inlineStr">
        <is>
          <t>JÄMTLANDS LÄN</t>
        </is>
      </c>
      <c r="E1090" t="inlineStr">
        <is>
          <t>RAGUNDA</t>
        </is>
      </c>
      <c r="F1090" t="inlineStr">
        <is>
          <t>SCA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34466-2025</t>
        </is>
      </c>
      <c r="B1091" s="1" t="n">
        <v>45847.34565972222</v>
      </c>
      <c r="C1091" s="1" t="n">
        <v>45994</v>
      </c>
      <c r="D1091" t="inlineStr">
        <is>
          <t>JÄMTLANDS LÄN</t>
        </is>
      </c>
      <c r="E1091" t="inlineStr">
        <is>
          <t>RAGUNDA</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34463-2025</t>
        </is>
      </c>
      <c r="B1092" s="1" t="n">
        <v>45847.34515046296</v>
      </c>
      <c r="C1092" s="1" t="n">
        <v>45994</v>
      </c>
      <c r="D1092" t="inlineStr">
        <is>
          <t>JÄMTLANDS LÄN</t>
        </is>
      </c>
      <c r="E1092" t="inlineStr">
        <is>
          <t>RAGUNDA</t>
        </is>
      </c>
      <c r="F1092" t="inlineStr">
        <is>
          <t>SCA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55633-2025</t>
        </is>
      </c>
      <c r="B1093" s="1" t="n">
        <v>45972.3443287037</v>
      </c>
      <c r="C1093" s="1" t="n">
        <v>45994</v>
      </c>
      <c r="D1093" t="inlineStr">
        <is>
          <t>JÄMTLANDS LÄN</t>
        </is>
      </c>
      <c r="E1093" t="inlineStr">
        <is>
          <t>RAGUNDA</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34586-2025</t>
        </is>
      </c>
      <c r="B1094" s="1" t="n">
        <v>45847.61513888889</v>
      </c>
      <c r="C1094" s="1" t="n">
        <v>45994</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34588-2025</t>
        </is>
      </c>
      <c r="B1095" s="1" t="n">
        <v>45847.61548611111</v>
      </c>
      <c r="C1095" s="1" t="n">
        <v>45994</v>
      </c>
      <c r="D1095" t="inlineStr">
        <is>
          <t>JÄMTLANDS LÄN</t>
        </is>
      </c>
      <c r="E1095" t="inlineStr">
        <is>
          <t>RAGUNDA</t>
        </is>
      </c>
      <c r="G1095" t="n">
        <v>32.3</v>
      </c>
      <c r="H1095" t="n">
        <v>0</v>
      </c>
      <c r="I1095" t="n">
        <v>0</v>
      </c>
      <c r="J1095" t="n">
        <v>0</v>
      </c>
      <c r="K1095" t="n">
        <v>0</v>
      </c>
      <c r="L1095" t="n">
        <v>0</v>
      </c>
      <c r="M1095" t="n">
        <v>0</v>
      </c>
      <c r="N1095" t="n">
        <v>0</v>
      </c>
      <c r="O1095" t="n">
        <v>0</v>
      </c>
      <c r="P1095" t="n">
        <v>0</v>
      </c>
      <c r="Q1095" t="n">
        <v>0</v>
      </c>
      <c r="R1095" s="2" t="inlineStr"/>
    </row>
    <row r="1096" ht="15" customHeight="1">
      <c r="A1096" t="inlineStr">
        <is>
          <t>A 34296-2025</t>
        </is>
      </c>
      <c r="B1096" s="1" t="n">
        <v>45846.34454861111</v>
      </c>
      <c r="C1096" s="1" t="n">
        <v>45994</v>
      </c>
      <c r="D1096" t="inlineStr">
        <is>
          <t>JÄMTLANDS LÄN</t>
        </is>
      </c>
      <c r="E1096" t="inlineStr">
        <is>
          <t>RAGUNDA</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34709-2025</t>
        </is>
      </c>
      <c r="B1097" s="1" t="n">
        <v>45848.49761574074</v>
      </c>
      <c r="C1097" s="1" t="n">
        <v>45994</v>
      </c>
      <c r="D1097" t="inlineStr">
        <is>
          <t>JÄMTLANDS LÄN</t>
        </is>
      </c>
      <c r="E1097" t="inlineStr">
        <is>
          <t>RAGUNDA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47229-2025</t>
        </is>
      </c>
      <c r="B1098" s="1" t="n">
        <v>45930.40166666666</v>
      </c>
      <c r="C1098" s="1" t="n">
        <v>45994</v>
      </c>
      <c r="D1098" t="inlineStr">
        <is>
          <t>JÄMTLANDS LÄN</t>
        </is>
      </c>
      <c r="E1098" t="inlineStr">
        <is>
          <t>RAGUNDA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34772-2025</t>
        </is>
      </c>
      <c r="B1099" s="1" t="n">
        <v>45848.65658564815</v>
      </c>
      <c r="C1099" s="1" t="n">
        <v>45994</v>
      </c>
      <c r="D1099" t="inlineStr">
        <is>
          <t>JÄMTLANDS LÄN</t>
        </is>
      </c>
      <c r="E1099" t="inlineStr">
        <is>
          <t>RAGUNDA</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55797-2025</t>
        </is>
      </c>
      <c r="B1100" s="1" t="n">
        <v>45972.65693287037</v>
      </c>
      <c r="C1100" s="1" t="n">
        <v>45994</v>
      </c>
      <c r="D1100" t="inlineStr">
        <is>
          <t>JÄMTLANDS LÄN</t>
        </is>
      </c>
      <c r="E1100" t="inlineStr">
        <is>
          <t>RAGUNDA</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34710-2025</t>
        </is>
      </c>
      <c r="B1101" s="1" t="n">
        <v>45848.49774305556</v>
      </c>
      <c r="C1101" s="1" t="n">
        <v>45994</v>
      </c>
      <c r="D1101" t="inlineStr">
        <is>
          <t>JÄMTLANDS LÄN</t>
        </is>
      </c>
      <c r="E1101" t="inlineStr">
        <is>
          <t>RAGUNDA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34968-2025</t>
        </is>
      </c>
      <c r="B1102" s="1" t="n">
        <v>45849.65663194445</v>
      </c>
      <c r="C1102" s="1" t="n">
        <v>45994</v>
      </c>
      <c r="D1102" t="inlineStr">
        <is>
          <t>JÄMTLANDS LÄN</t>
        </is>
      </c>
      <c r="E1102" t="inlineStr">
        <is>
          <t>RAGUNDA</t>
        </is>
      </c>
      <c r="F1102" t="inlineStr">
        <is>
          <t>SCA</t>
        </is>
      </c>
      <c r="G1102" t="n">
        <v>20.2</v>
      </c>
      <c r="H1102" t="n">
        <v>0</v>
      </c>
      <c r="I1102" t="n">
        <v>0</v>
      </c>
      <c r="J1102" t="n">
        <v>0</v>
      </c>
      <c r="K1102" t="n">
        <v>0</v>
      </c>
      <c r="L1102" t="n">
        <v>0</v>
      </c>
      <c r="M1102" t="n">
        <v>0</v>
      </c>
      <c r="N1102" t="n">
        <v>0</v>
      </c>
      <c r="O1102" t="n">
        <v>0</v>
      </c>
      <c r="P1102" t="n">
        <v>0</v>
      </c>
      <c r="Q1102" t="n">
        <v>0</v>
      </c>
      <c r="R1102" s="2" t="inlineStr"/>
    </row>
    <row r="1103" ht="15" customHeight="1">
      <c r="A1103" t="inlineStr">
        <is>
          <t>A 34998-2025</t>
        </is>
      </c>
      <c r="B1103" s="1" t="n">
        <v>45850.34434027778</v>
      </c>
      <c r="C1103" s="1" t="n">
        <v>45994</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47748-2025</t>
        </is>
      </c>
      <c r="B1104" s="1" t="n">
        <v>45931.65693287037</v>
      </c>
      <c r="C1104" s="1" t="n">
        <v>45994</v>
      </c>
      <c r="D1104" t="inlineStr">
        <is>
          <t>JÄMTLANDS LÄN</t>
        </is>
      </c>
      <c r="E1104" t="inlineStr">
        <is>
          <t>RAGUNDA</t>
        </is>
      </c>
      <c r="F1104" t="inlineStr">
        <is>
          <t>SCA</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34999-2025</t>
        </is>
      </c>
      <c r="B1105" s="1" t="n">
        <v>45850.34450231482</v>
      </c>
      <c r="C1105" s="1" t="n">
        <v>45994</v>
      </c>
      <c r="D1105" t="inlineStr">
        <is>
          <t>JÄMTLANDS LÄN</t>
        </is>
      </c>
      <c r="E1105" t="inlineStr">
        <is>
          <t>RAGUNDA</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55897-2025</t>
        </is>
      </c>
      <c r="B1106" s="1" t="n">
        <v>45973.38600694444</v>
      </c>
      <c r="C1106" s="1" t="n">
        <v>45994</v>
      </c>
      <c r="D1106" t="inlineStr">
        <is>
          <t>JÄMTLANDS LÄN</t>
        </is>
      </c>
      <c r="E1106" t="inlineStr">
        <is>
          <t>RAGUNDA</t>
        </is>
      </c>
      <c r="F1106" t="inlineStr">
        <is>
          <t>SCA</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35092-2025</t>
        </is>
      </c>
      <c r="B1107" s="1" t="n">
        <v>45852.53185185185</v>
      </c>
      <c r="C1107" s="1" t="n">
        <v>45994</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55547-2025</t>
        </is>
      </c>
      <c r="B1108" s="1" t="n">
        <v>45971.63657407407</v>
      </c>
      <c r="C1108" s="1" t="n">
        <v>45994</v>
      </c>
      <c r="D1108" t="inlineStr">
        <is>
          <t>JÄMTLANDS LÄN</t>
        </is>
      </c>
      <c r="E1108" t="inlineStr">
        <is>
          <t>RAGUNDA</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21332-2025</t>
        </is>
      </c>
      <c r="B1109" s="1" t="n">
        <v>45782.36506944444</v>
      </c>
      <c r="C1109" s="1" t="n">
        <v>45994</v>
      </c>
      <c r="D1109" t="inlineStr">
        <is>
          <t>JÄMTLANDS LÄN</t>
        </is>
      </c>
      <c r="E1109" t="inlineStr">
        <is>
          <t>RAGUNDA</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35091-2025</t>
        </is>
      </c>
      <c r="B1110" s="1" t="n">
        <v>45852.53168981482</v>
      </c>
      <c r="C1110" s="1" t="n">
        <v>45994</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56170-2025</t>
        </is>
      </c>
      <c r="B1111" s="1" t="n">
        <v>45974.39398148148</v>
      </c>
      <c r="C1111" s="1" t="n">
        <v>45994</v>
      </c>
      <c r="D1111" t="inlineStr">
        <is>
          <t>JÄMTLANDS LÄN</t>
        </is>
      </c>
      <c r="E1111" t="inlineStr">
        <is>
          <t>RAGUNDA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35462-2025</t>
        </is>
      </c>
      <c r="B1112" s="1" t="n">
        <v>45855.61523148148</v>
      </c>
      <c r="C1112" s="1" t="n">
        <v>45994</v>
      </c>
      <c r="D1112" t="inlineStr">
        <is>
          <t>JÄMTLANDS LÄN</t>
        </is>
      </c>
      <c r="E1112" t="inlineStr">
        <is>
          <t>RAGUNDA</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35355-2025</t>
        </is>
      </c>
      <c r="B1113" s="1" t="n">
        <v>45854.65663194445</v>
      </c>
      <c r="C1113" s="1" t="n">
        <v>45994</v>
      </c>
      <c r="D1113" t="inlineStr">
        <is>
          <t>JÄMTLANDS LÄN</t>
        </is>
      </c>
      <c r="E1113" t="inlineStr">
        <is>
          <t>RAGUNDA</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35477-2025</t>
        </is>
      </c>
      <c r="B1114" s="1" t="n">
        <v>45855.67899305555</v>
      </c>
      <c r="C1114" s="1" t="n">
        <v>45994</v>
      </c>
      <c r="D1114" t="inlineStr">
        <is>
          <t>JÄMTLANDS LÄN</t>
        </is>
      </c>
      <c r="E1114" t="inlineStr">
        <is>
          <t>RAGUNDA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35541-2025</t>
        </is>
      </c>
      <c r="B1115" s="1" t="n">
        <v>45856.46931712963</v>
      </c>
      <c r="C1115" s="1" t="n">
        <v>45994</v>
      </c>
      <c r="D1115" t="inlineStr">
        <is>
          <t>JÄMTLANDS LÄN</t>
        </is>
      </c>
      <c r="E1115" t="inlineStr">
        <is>
          <t>RAGUNDA</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56435-2025</t>
        </is>
      </c>
      <c r="B1116" s="1" t="n">
        <v>45975.34679398148</v>
      </c>
      <c r="C1116" s="1" t="n">
        <v>45994</v>
      </c>
      <c r="D1116" t="inlineStr">
        <is>
          <t>JÄMTLANDS LÄN</t>
        </is>
      </c>
      <c r="E1116" t="inlineStr">
        <is>
          <t>RAGUNDA</t>
        </is>
      </c>
      <c r="F1116" t="inlineStr">
        <is>
          <t>SCA</t>
        </is>
      </c>
      <c r="G1116" t="n">
        <v>9.199999999999999</v>
      </c>
      <c r="H1116" t="n">
        <v>0</v>
      </c>
      <c r="I1116" t="n">
        <v>0</v>
      </c>
      <c r="J1116" t="n">
        <v>0</v>
      </c>
      <c r="K1116" t="n">
        <v>0</v>
      </c>
      <c r="L1116" t="n">
        <v>0</v>
      </c>
      <c r="M1116" t="n">
        <v>0</v>
      </c>
      <c r="N1116" t="n">
        <v>0</v>
      </c>
      <c r="O1116" t="n">
        <v>0</v>
      </c>
      <c r="P1116" t="n">
        <v>0</v>
      </c>
      <c r="Q1116" t="n">
        <v>0</v>
      </c>
      <c r="R1116" s="2" t="inlineStr"/>
      <c r="U1116">
        <f>HYPERLINK("https://klasma.github.io/Logging_2303/knärot/A 56435-2025 karta knärot.png", "A 56435-2025")</f>
        <v/>
      </c>
      <c r="V1116">
        <f>HYPERLINK("https://klasma.github.io/Logging_2303/klagomål/A 56435-2025 FSC-klagomål.docx", "A 56435-2025")</f>
        <v/>
      </c>
      <c r="W1116">
        <f>HYPERLINK("https://klasma.github.io/Logging_2303/klagomålsmail/A 56435-2025 FSC-klagomål mail.docx", "A 56435-2025")</f>
        <v/>
      </c>
      <c r="X1116">
        <f>HYPERLINK("https://klasma.github.io/Logging_2303/tillsyn/A 56435-2025 tillsynsbegäran.docx", "A 56435-2025")</f>
        <v/>
      </c>
      <c r="Y1116">
        <f>HYPERLINK("https://klasma.github.io/Logging_2303/tillsynsmail/A 56435-2025 tillsynsbegäran mail.docx", "A 56435-2025")</f>
        <v/>
      </c>
    </row>
    <row r="1117" ht="15" customHeight="1">
      <c r="A1117" t="inlineStr">
        <is>
          <t>A 35658-2025</t>
        </is>
      </c>
      <c r="B1117" s="1" t="n">
        <v>45859.594375</v>
      </c>
      <c r="C1117" s="1" t="n">
        <v>45994</v>
      </c>
      <c r="D1117" t="inlineStr">
        <is>
          <t>JÄMTLANDS LÄN</t>
        </is>
      </c>
      <c r="E1117" t="inlineStr">
        <is>
          <t>RAGUNDA</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35689-2025</t>
        </is>
      </c>
      <c r="B1118" s="1" t="n">
        <v>45860.30229166667</v>
      </c>
      <c r="C1118" s="1" t="n">
        <v>45994</v>
      </c>
      <c r="D1118" t="inlineStr">
        <is>
          <t>JÄMTLANDS LÄN</t>
        </is>
      </c>
      <c r="E1118" t="inlineStr">
        <is>
          <t>RAGUNDA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21401-2024</t>
        </is>
      </c>
      <c r="B1119" s="1" t="n">
        <v>45441.33313657407</v>
      </c>
      <c r="C1119" s="1" t="n">
        <v>45994</v>
      </c>
      <c r="D1119" t="inlineStr">
        <is>
          <t>JÄMTLANDS LÄN</t>
        </is>
      </c>
      <c r="E1119" t="inlineStr">
        <is>
          <t>RAGUNDA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48748-2025</t>
        </is>
      </c>
      <c r="B1120" s="1" t="n">
        <v>45936.67912037037</v>
      </c>
      <c r="C1120" s="1" t="n">
        <v>45994</v>
      </c>
      <c r="D1120" t="inlineStr">
        <is>
          <t>JÄMTLANDS LÄN</t>
        </is>
      </c>
      <c r="E1120" t="inlineStr">
        <is>
          <t>RAGUNDA</t>
        </is>
      </c>
      <c r="F1120" t="inlineStr">
        <is>
          <t>SCA</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54092-2024</t>
        </is>
      </c>
      <c r="B1121" s="1" t="n">
        <v>45616.5108912037</v>
      </c>
      <c r="C1121" s="1" t="n">
        <v>45994</v>
      </c>
      <c r="D1121" t="inlineStr">
        <is>
          <t>JÄMTLANDS LÄN</t>
        </is>
      </c>
      <c r="E1121" t="inlineStr">
        <is>
          <t>RAGUNDA</t>
        </is>
      </c>
      <c r="F1121" t="inlineStr">
        <is>
          <t>Naturvårdsverket</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57117-2025</t>
        </is>
      </c>
      <c r="B1122" s="1" t="n">
        <v>45978</v>
      </c>
      <c r="C1122" s="1" t="n">
        <v>45994</v>
      </c>
      <c r="D1122" t="inlineStr">
        <is>
          <t>JÄMTLANDS LÄN</t>
        </is>
      </c>
      <c r="E1122" t="inlineStr">
        <is>
          <t>RAGUNDA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48528-2025</t>
        </is>
      </c>
      <c r="B1123" s="1" t="n">
        <v>45936.40758101852</v>
      </c>
      <c r="C1123" s="1" t="n">
        <v>45994</v>
      </c>
      <c r="D1123" t="inlineStr">
        <is>
          <t>JÄMTLANDS LÄN</t>
        </is>
      </c>
      <c r="E1123" t="inlineStr">
        <is>
          <t>RAGUNDA</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48742-2025</t>
        </is>
      </c>
      <c r="B1124" s="1" t="n">
        <v>45936.67810185185</v>
      </c>
      <c r="C1124" s="1" t="n">
        <v>45994</v>
      </c>
      <c r="D1124" t="inlineStr">
        <is>
          <t>JÄMTLANDS LÄN</t>
        </is>
      </c>
      <c r="E1124" t="inlineStr">
        <is>
          <t>RAGUNDA</t>
        </is>
      </c>
      <c r="F1124" t="inlineStr">
        <is>
          <t>SCA</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36541-2025</t>
        </is>
      </c>
      <c r="B1125" s="1" t="n">
        <v>45869.65666666667</v>
      </c>
      <c r="C1125" s="1" t="n">
        <v>45994</v>
      </c>
      <c r="D1125" t="inlineStr">
        <is>
          <t>JÄMTLANDS LÄN</t>
        </is>
      </c>
      <c r="E1125" t="inlineStr">
        <is>
          <t>RAGUNDA</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36544-2025</t>
        </is>
      </c>
      <c r="B1126" s="1" t="n">
        <v>45869.67744212963</v>
      </c>
      <c r="C1126" s="1" t="n">
        <v>45994</v>
      </c>
      <c r="D1126" t="inlineStr">
        <is>
          <t>JÄMTLANDS LÄN</t>
        </is>
      </c>
      <c r="E1126" t="inlineStr">
        <is>
          <t>RAGUNDA</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56751-2025</t>
        </is>
      </c>
      <c r="B1127" s="1" t="n">
        <v>45978.36538194444</v>
      </c>
      <c r="C1127" s="1" t="n">
        <v>45994</v>
      </c>
      <c r="D1127" t="inlineStr">
        <is>
          <t>JÄMTLANDS LÄN</t>
        </is>
      </c>
      <c r="E1127" t="inlineStr">
        <is>
          <t>RAGUNDA</t>
        </is>
      </c>
      <c r="F1127" t="inlineStr">
        <is>
          <t>SCA</t>
        </is>
      </c>
      <c r="G1127" t="n">
        <v>34.5</v>
      </c>
      <c r="H1127" t="n">
        <v>0</v>
      </c>
      <c r="I1127" t="n">
        <v>0</v>
      </c>
      <c r="J1127" t="n">
        <v>0</v>
      </c>
      <c r="K1127" t="n">
        <v>0</v>
      </c>
      <c r="L1127" t="n">
        <v>0</v>
      </c>
      <c r="M1127" t="n">
        <v>0</v>
      </c>
      <c r="N1127" t="n">
        <v>0</v>
      </c>
      <c r="O1127" t="n">
        <v>0</v>
      </c>
      <c r="P1127" t="n">
        <v>0</v>
      </c>
      <c r="Q1127" t="n">
        <v>0</v>
      </c>
      <c r="R1127" s="2" t="inlineStr"/>
    </row>
    <row r="1128" ht="15" customHeight="1">
      <c r="A1128" t="inlineStr">
        <is>
          <t>A 57184-2025</t>
        </is>
      </c>
      <c r="B1128" s="1" t="n">
        <v>45979.57361111111</v>
      </c>
      <c r="C1128" s="1" t="n">
        <v>45994</v>
      </c>
      <c r="D1128" t="inlineStr">
        <is>
          <t>JÄMTLANDS LÄN</t>
        </is>
      </c>
      <c r="E1128" t="inlineStr">
        <is>
          <t>RAGUNDA</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56806-2025</t>
        </is>
      </c>
      <c r="B1129" s="1" t="n">
        <v>45978.44842592593</v>
      </c>
      <c r="C1129" s="1" t="n">
        <v>45994</v>
      </c>
      <c r="D1129" t="inlineStr">
        <is>
          <t>JÄMTLANDS LÄN</t>
        </is>
      </c>
      <c r="E1129" t="inlineStr">
        <is>
          <t>RAGUNDA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57111-2025</t>
        </is>
      </c>
      <c r="B1130" s="1" t="n">
        <v>45978</v>
      </c>
      <c r="C1130" s="1" t="n">
        <v>45994</v>
      </c>
      <c r="D1130" t="inlineStr">
        <is>
          <t>JÄMTLANDS LÄN</t>
        </is>
      </c>
      <c r="E1130" t="inlineStr">
        <is>
          <t>RAGUNDA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48746-2025</t>
        </is>
      </c>
      <c r="B1131" s="1" t="n">
        <v>45936.67878472222</v>
      </c>
      <c r="C1131" s="1" t="n">
        <v>45994</v>
      </c>
      <c r="D1131" t="inlineStr">
        <is>
          <t>JÄMTLANDS LÄN</t>
        </is>
      </c>
      <c r="E1131" t="inlineStr">
        <is>
          <t>RAGUNDA</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36553-2025</t>
        </is>
      </c>
      <c r="B1132" s="1" t="n">
        <v>45870.34439814815</v>
      </c>
      <c r="C1132" s="1" t="n">
        <v>45994</v>
      </c>
      <c r="D1132" t="inlineStr">
        <is>
          <t>JÄMTLANDS LÄN</t>
        </is>
      </c>
      <c r="E1132" t="inlineStr">
        <is>
          <t>RAGUNDA</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32075-2025</t>
        </is>
      </c>
      <c r="B1133" s="1" t="n">
        <v>45835.4506712963</v>
      </c>
      <c r="C1133" s="1" t="n">
        <v>45994</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57833-2025</t>
        </is>
      </c>
      <c r="B1134" s="1" t="n">
        <v>45981.61541666667</v>
      </c>
      <c r="C1134" s="1" t="n">
        <v>45994</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32874-2025</t>
        </is>
      </c>
      <c r="B1135" s="1" t="n">
        <v>45839</v>
      </c>
      <c r="C1135" s="1" t="n">
        <v>45994</v>
      </c>
      <c r="D1135" t="inlineStr">
        <is>
          <t>JÄMTLANDS LÄN</t>
        </is>
      </c>
      <c r="E1135" t="inlineStr">
        <is>
          <t>RAGUNDA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36994-2025</t>
        </is>
      </c>
      <c r="B1136" s="1" t="n">
        <v>45874.67746527777</v>
      </c>
      <c r="C1136" s="1" t="n">
        <v>45994</v>
      </c>
      <c r="D1136" t="inlineStr">
        <is>
          <t>JÄMTLANDS LÄN</t>
        </is>
      </c>
      <c r="E1136" t="inlineStr">
        <is>
          <t>RAGUNDA</t>
        </is>
      </c>
      <c r="F1136" t="inlineStr">
        <is>
          <t>SCA</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49639-2025</t>
        </is>
      </c>
      <c r="B1137" s="1" t="n">
        <v>45939.61253472222</v>
      </c>
      <c r="C1137" s="1" t="n">
        <v>45994</v>
      </c>
      <c r="D1137" t="inlineStr">
        <is>
          <t>JÄMTLANDS LÄN</t>
        </is>
      </c>
      <c r="E1137" t="inlineStr">
        <is>
          <t>RAGUNDA</t>
        </is>
      </c>
      <c r="F1137" t="inlineStr">
        <is>
          <t>Kommuner</t>
        </is>
      </c>
      <c r="G1137" t="n">
        <v>13.6</v>
      </c>
      <c r="H1137" t="n">
        <v>0</v>
      </c>
      <c r="I1137" t="n">
        <v>0</v>
      </c>
      <c r="J1137" t="n">
        <v>0</v>
      </c>
      <c r="K1137" t="n">
        <v>0</v>
      </c>
      <c r="L1137" t="n">
        <v>0</v>
      </c>
      <c r="M1137" t="n">
        <v>0</v>
      </c>
      <c r="N1137" t="n">
        <v>0</v>
      </c>
      <c r="O1137" t="n">
        <v>0</v>
      </c>
      <c r="P1137" t="n">
        <v>0</v>
      </c>
      <c r="Q1137" t="n">
        <v>0</v>
      </c>
      <c r="R1137" s="2" t="inlineStr"/>
    </row>
    <row r="1138" ht="15" customHeight="1">
      <c r="A1138" t="inlineStr">
        <is>
          <t>A 49059-2025</t>
        </is>
      </c>
      <c r="B1138" s="1" t="n">
        <v>45937.64123842592</v>
      </c>
      <c r="C1138" s="1" t="n">
        <v>45994</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37008-2025</t>
        </is>
      </c>
      <c r="B1139" s="1" t="n">
        <v>45874.69844907407</v>
      </c>
      <c r="C1139" s="1" t="n">
        <v>45994</v>
      </c>
      <c r="D1139" t="inlineStr">
        <is>
          <t>JÄMTLANDS LÄN</t>
        </is>
      </c>
      <c r="E1139" t="inlineStr">
        <is>
          <t>RAGUNDA</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57332-2025</t>
        </is>
      </c>
      <c r="B1140" s="1" t="n">
        <v>45980.34467592592</v>
      </c>
      <c r="C1140" s="1" t="n">
        <v>45994</v>
      </c>
      <c r="D1140" t="inlineStr">
        <is>
          <t>JÄMTLANDS LÄN</t>
        </is>
      </c>
      <c r="E1140" t="inlineStr">
        <is>
          <t>RAGUNDA</t>
        </is>
      </c>
      <c r="F1140" t="inlineStr">
        <is>
          <t>SCA</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36947-2025</t>
        </is>
      </c>
      <c r="B1141" s="1" t="n">
        <v>45874.59496527778</v>
      </c>
      <c r="C1141" s="1" t="n">
        <v>45994</v>
      </c>
      <c r="D1141" t="inlineStr">
        <is>
          <t>JÄMTLANDS LÄN</t>
        </is>
      </c>
      <c r="E1141" t="inlineStr">
        <is>
          <t>RAGUNDA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49193-2025</t>
        </is>
      </c>
      <c r="B1142" s="1" t="n">
        <v>45938.40831018519</v>
      </c>
      <c r="C1142" s="1" t="n">
        <v>45994</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57560-2025</t>
        </is>
      </c>
      <c r="B1143" s="1" t="n">
        <v>45980.6987962963</v>
      </c>
      <c r="C1143" s="1" t="n">
        <v>45994</v>
      </c>
      <c r="D1143" t="inlineStr">
        <is>
          <t>JÄMTLANDS LÄN</t>
        </is>
      </c>
      <c r="E1143" t="inlineStr">
        <is>
          <t>RAGUNDA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57785-2025</t>
        </is>
      </c>
      <c r="B1144" s="1" t="n">
        <v>45981.57393518519</v>
      </c>
      <c r="C1144" s="1" t="n">
        <v>45994</v>
      </c>
      <c r="D1144" t="inlineStr">
        <is>
          <t>JÄMTLANDS LÄN</t>
        </is>
      </c>
      <c r="E1144" t="inlineStr">
        <is>
          <t>RAGUNDA</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37292-2025</t>
        </is>
      </c>
      <c r="B1145" s="1" t="n">
        <v>45876.53188657408</v>
      </c>
      <c r="C1145" s="1" t="n">
        <v>45994</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57561-2025</t>
        </is>
      </c>
      <c r="B1146" s="1" t="n">
        <v>45980.69885416667</v>
      </c>
      <c r="C1146" s="1" t="n">
        <v>45994</v>
      </c>
      <c r="D1146" t="inlineStr">
        <is>
          <t>JÄMTLANDS LÄN</t>
        </is>
      </c>
      <c r="E1146" t="inlineStr">
        <is>
          <t>RAGUNDA</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49238-2025</t>
        </is>
      </c>
      <c r="B1147" s="1" t="n">
        <v>45938.48231481481</v>
      </c>
      <c r="C1147" s="1" t="n">
        <v>45994</v>
      </c>
      <c r="D1147" t="inlineStr">
        <is>
          <t>JÄMTLANDS LÄN</t>
        </is>
      </c>
      <c r="E1147" t="inlineStr">
        <is>
          <t>RAGUNDA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49290-2025</t>
        </is>
      </c>
      <c r="B1148" s="1" t="n">
        <v>45938.53168981482</v>
      </c>
      <c r="C1148" s="1" t="n">
        <v>45994</v>
      </c>
      <c r="D1148" t="inlineStr">
        <is>
          <t>JÄMTLANDS LÄN</t>
        </is>
      </c>
      <c r="E1148" t="inlineStr">
        <is>
          <t>RAGUNDA</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49092-2025</t>
        </is>
      </c>
      <c r="B1149" s="1" t="n">
        <v>45937.67792824074</v>
      </c>
      <c r="C1149" s="1" t="n">
        <v>45994</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34088-2025</t>
        </is>
      </c>
      <c r="B1150" s="1" t="n">
        <v>45845</v>
      </c>
      <c r="C1150" s="1" t="n">
        <v>45994</v>
      </c>
      <c r="D1150" t="inlineStr">
        <is>
          <t>JÄMTLANDS LÄN</t>
        </is>
      </c>
      <c r="E1150" t="inlineStr">
        <is>
          <t>RAGUNDA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50215-2025</t>
        </is>
      </c>
      <c r="B1151" s="1" t="n">
        <v>45943.67842592593</v>
      </c>
      <c r="C1151" s="1" t="n">
        <v>45994</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58093-2025</t>
        </is>
      </c>
      <c r="B1152" s="1" t="n">
        <v>45982.5741087963</v>
      </c>
      <c r="C1152" s="1" t="n">
        <v>45994</v>
      </c>
      <c r="D1152" t="inlineStr">
        <is>
          <t>JÄMTLANDS LÄN</t>
        </is>
      </c>
      <c r="E1152" t="inlineStr">
        <is>
          <t>RAGUNDA</t>
        </is>
      </c>
      <c r="G1152" t="n">
        <v>22.2</v>
      </c>
      <c r="H1152" t="n">
        <v>0</v>
      </c>
      <c r="I1152" t="n">
        <v>0</v>
      </c>
      <c r="J1152" t="n">
        <v>0</v>
      </c>
      <c r="K1152" t="n">
        <v>0</v>
      </c>
      <c r="L1152" t="n">
        <v>0</v>
      </c>
      <c r="M1152" t="n">
        <v>0</v>
      </c>
      <c r="N1152" t="n">
        <v>0</v>
      </c>
      <c r="O1152" t="n">
        <v>0</v>
      </c>
      <c r="P1152" t="n">
        <v>0</v>
      </c>
      <c r="Q1152" t="n">
        <v>0</v>
      </c>
      <c r="R1152" s="2" t="inlineStr"/>
    </row>
    <row r="1153" ht="15" customHeight="1">
      <c r="A1153" t="inlineStr">
        <is>
          <t>A 58076-2025</t>
        </is>
      </c>
      <c r="B1153" s="1" t="n">
        <v>45982.55273148148</v>
      </c>
      <c r="C1153" s="1" t="n">
        <v>45994</v>
      </c>
      <c r="D1153" t="inlineStr">
        <is>
          <t>JÄMTLANDS LÄN</t>
        </is>
      </c>
      <c r="E1153" t="inlineStr">
        <is>
          <t>RAGUNDA</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49991-2025</t>
        </is>
      </c>
      <c r="B1154" s="1" t="n">
        <v>45942.91568287037</v>
      </c>
      <c r="C1154" s="1" t="n">
        <v>45994</v>
      </c>
      <c r="D1154" t="inlineStr">
        <is>
          <t>JÄMTLANDS LÄN</t>
        </is>
      </c>
      <c r="E1154" t="inlineStr">
        <is>
          <t>RAGUNDA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49993-2025</t>
        </is>
      </c>
      <c r="B1155" s="1" t="n">
        <v>45942.94371527778</v>
      </c>
      <c r="C1155" s="1" t="n">
        <v>45994</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9504-2025</t>
        </is>
      </c>
      <c r="B1156" s="1" t="n">
        <v>45714</v>
      </c>
      <c r="C1156" s="1" t="n">
        <v>45994</v>
      </c>
      <c r="D1156" t="inlineStr">
        <is>
          <t>JÄMTLANDS LÄN</t>
        </is>
      </c>
      <c r="E1156" t="inlineStr">
        <is>
          <t>RAGUNDA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57970-2025</t>
        </is>
      </c>
      <c r="B1157" s="1" t="n">
        <v>45982.38582175926</v>
      </c>
      <c r="C1157" s="1" t="n">
        <v>45994</v>
      </c>
      <c r="D1157" t="inlineStr">
        <is>
          <t>JÄMTLANDS LÄN</t>
        </is>
      </c>
      <c r="E1157" t="inlineStr">
        <is>
          <t>RAGUNDA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49994-2025</t>
        </is>
      </c>
      <c r="B1158" s="1" t="n">
        <v>45942.96922453704</v>
      </c>
      <c r="C1158" s="1" t="n">
        <v>45994</v>
      </c>
      <c r="D1158" t="inlineStr">
        <is>
          <t>JÄMTLANDS LÄN</t>
        </is>
      </c>
      <c r="E1158" t="inlineStr">
        <is>
          <t>RAGUNDA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49995-2025</t>
        </is>
      </c>
      <c r="B1159" s="1" t="n">
        <v>45943.00986111111</v>
      </c>
      <c r="C1159" s="1" t="n">
        <v>45994</v>
      </c>
      <c r="D1159" t="inlineStr">
        <is>
          <t>JÄMTLANDS LÄN</t>
        </is>
      </c>
      <c r="E1159" t="inlineStr">
        <is>
          <t>RAGUNDA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57963-2025</t>
        </is>
      </c>
      <c r="B1160" s="1" t="n">
        <v>45982.37800925926</v>
      </c>
      <c r="C1160" s="1" t="n">
        <v>45994</v>
      </c>
      <c r="D1160" t="inlineStr">
        <is>
          <t>JÄMTLANDS LÄN</t>
        </is>
      </c>
      <c r="E1160" t="inlineStr">
        <is>
          <t>RAGUNDA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50126-2025</t>
        </is>
      </c>
      <c r="B1161" s="1" t="n">
        <v>45943.55271990741</v>
      </c>
      <c r="C1161" s="1" t="n">
        <v>45994</v>
      </c>
      <c r="D1161" t="inlineStr">
        <is>
          <t>JÄMTLANDS LÄN</t>
        </is>
      </c>
      <c r="E1161" t="inlineStr">
        <is>
          <t>RAGUNDA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50098-2025</t>
        </is>
      </c>
      <c r="B1162" s="1" t="n">
        <v>45943.51086805556</v>
      </c>
      <c r="C1162" s="1" t="n">
        <v>45994</v>
      </c>
      <c r="D1162" t="inlineStr">
        <is>
          <t>JÄMTLANDS LÄN</t>
        </is>
      </c>
      <c r="E1162" t="inlineStr">
        <is>
          <t>RAGUNDA</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50125-2025</t>
        </is>
      </c>
      <c r="B1163" s="1" t="n">
        <v>45943.55262731481</v>
      </c>
      <c r="C1163" s="1" t="n">
        <v>45994</v>
      </c>
      <c r="D1163" t="inlineStr">
        <is>
          <t>JÄMTLANDS LÄN</t>
        </is>
      </c>
      <c r="E1163" t="inlineStr">
        <is>
          <t>RAGUNDA</t>
        </is>
      </c>
      <c r="F1163" t="inlineStr">
        <is>
          <t>Sveaskog</t>
        </is>
      </c>
      <c r="G1163" t="n">
        <v>23.2</v>
      </c>
      <c r="H1163" t="n">
        <v>0</v>
      </c>
      <c r="I1163" t="n">
        <v>0</v>
      </c>
      <c r="J1163" t="n">
        <v>0</v>
      </c>
      <c r="K1163" t="n">
        <v>0</v>
      </c>
      <c r="L1163" t="n">
        <v>0</v>
      </c>
      <c r="M1163" t="n">
        <v>0</v>
      </c>
      <c r="N1163" t="n">
        <v>0</v>
      </c>
      <c r="O1163" t="n">
        <v>0</v>
      </c>
      <c r="P1163" t="n">
        <v>0</v>
      </c>
      <c r="Q1163" t="n">
        <v>0</v>
      </c>
      <c r="R1163" s="2" t="inlineStr"/>
    </row>
    <row r="1164" ht="15" customHeight="1">
      <c r="A1164" t="inlineStr">
        <is>
          <t>A 57916-2025</t>
        </is>
      </c>
      <c r="B1164" s="1" t="n">
        <v>45981</v>
      </c>
      <c r="C1164" s="1" t="n">
        <v>45994</v>
      </c>
      <c r="D1164" t="inlineStr">
        <is>
          <t>JÄMTLANDS LÄN</t>
        </is>
      </c>
      <c r="E1164" t="inlineStr">
        <is>
          <t>RAGUNDA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50081-2025</t>
        </is>
      </c>
      <c r="B1165" s="1" t="n">
        <v>45943.46954861111</v>
      </c>
      <c r="C1165" s="1" t="n">
        <v>45994</v>
      </c>
      <c r="D1165" t="inlineStr">
        <is>
          <t>JÄMTLANDS LÄN</t>
        </is>
      </c>
      <c r="E1165" t="inlineStr">
        <is>
          <t>RAGUNDA</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50055-2025</t>
        </is>
      </c>
      <c r="B1166" s="1" t="n">
        <v>45943.43287037037</v>
      </c>
      <c r="C1166" s="1" t="n">
        <v>45994</v>
      </c>
      <c r="D1166" t="inlineStr">
        <is>
          <t>JÄMTLANDS LÄN</t>
        </is>
      </c>
      <c r="E1166" t="inlineStr">
        <is>
          <t>RAGUNDA</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50080-2025</t>
        </is>
      </c>
      <c r="B1167" s="1" t="n">
        <v>45943.469375</v>
      </c>
      <c r="C1167" s="1" t="n">
        <v>45994</v>
      </c>
      <c r="D1167" t="inlineStr">
        <is>
          <t>JÄMTLANDS LÄN</t>
        </is>
      </c>
      <c r="E1167" t="inlineStr">
        <is>
          <t>RAGUNDA</t>
        </is>
      </c>
      <c r="F1167" t="inlineStr">
        <is>
          <t>Naturvårdsverket</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50260-2025</t>
        </is>
      </c>
      <c r="B1168" s="1" t="n">
        <v>45944.34515046296</v>
      </c>
      <c r="C1168" s="1" t="n">
        <v>45994</v>
      </c>
      <c r="D1168" t="inlineStr">
        <is>
          <t>JÄMTLANDS LÄN</t>
        </is>
      </c>
      <c r="E1168" t="inlineStr">
        <is>
          <t>RAGUNDA</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58638-2025</t>
        </is>
      </c>
      <c r="B1169" s="1" t="n">
        <v>45986.49016203704</v>
      </c>
      <c r="C1169" s="1" t="n">
        <v>45994</v>
      </c>
      <c r="D1169" t="inlineStr">
        <is>
          <t>JÄMTLANDS LÄN</t>
        </is>
      </c>
      <c r="E1169" t="inlineStr">
        <is>
          <t>RAGUNDA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50473-2025</t>
        </is>
      </c>
      <c r="B1170" s="1" t="n">
        <v>45945.36520833334</v>
      </c>
      <c r="C1170" s="1" t="n">
        <v>45994</v>
      </c>
      <c r="D1170" t="inlineStr">
        <is>
          <t>JÄMTLANDS LÄN</t>
        </is>
      </c>
      <c r="E1170" t="inlineStr">
        <is>
          <t>RAGUNDA</t>
        </is>
      </c>
      <c r="F1170" t="inlineStr">
        <is>
          <t>SCA</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58918-2025</t>
        </is>
      </c>
      <c r="B1171" s="1" t="n">
        <v>45987.52952546296</v>
      </c>
      <c r="C1171" s="1" t="n">
        <v>45994</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58559-2025</t>
        </is>
      </c>
      <c r="B1172" s="1" t="n">
        <v>45986.34475694445</v>
      </c>
      <c r="C1172" s="1" t="n">
        <v>45994</v>
      </c>
      <c r="D1172" t="inlineStr">
        <is>
          <t>JÄMTLANDS LÄN</t>
        </is>
      </c>
      <c r="E1172" t="inlineStr">
        <is>
          <t>RAGUNDA</t>
        </is>
      </c>
      <c r="F1172" t="inlineStr">
        <is>
          <t>SCA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50504-2025</t>
        </is>
      </c>
      <c r="B1173" s="1" t="n">
        <v>45945.4284837963</v>
      </c>
      <c r="C1173" s="1" t="n">
        <v>45994</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50503-2025</t>
        </is>
      </c>
      <c r="B1174" s="1" t="n">
        <v>45945.42746527777</v>
      </c>
      <c r="C1174" s="1" t="n">
        <v>45994</v>
      </c>
      <c r="D1174" t="inlineStr">
        <is>
          <t>JÄMTLANDS LÄN</t>
        </is>
      </c>
      <c r="E1174" t="inlineStr">
        <is>
          <t>RAGUNDA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33650-2025</t>
        </is>
      </c>
      <c r="B1175" s="1" t="n">
        <v>45841</v>
      </c>
      <c r="C1175" s="1" t="n">
        <v>45994</v>
      </c>
      <c r="D1175" t="inlineStr">
        <is>
          <t>JÄMTLANDS LÄN</t>
        </is>
      </c>
      <c r="E1175" t="inlineStr">
        <is>
          <t>RAGUNDA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50711-2025</t>
        </is>
      </c>
      <c r="B1176" s="1" t="n">
        <v>45946.34431712963</v>
      </c>
      <c r="C1176" s="1" t="n">
        <v>45994</v>
      </c>
      <c r="D1176" t="inlineStr">
        <is>
          <t>JÄMTLANDS LÄN</t>
        </is>
      </c>
      <c r="E1176" t="inlineStr">
        <is>
          <t>RAGUNDA</t>
        </is>
      </c>
      <c r="F1176" t="inlineStr">
        <is>
          <t>SCA</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50716-2025</t>
        </is>
      </c>
      <c r="B1177" s="1" t="n">
        <v>45946.34572916666</v>
      </c>
      <c r="C1177" s="1" t="n">
        <v>45994</v>
      </c>
      <c r="D1177" t="inlineStr">
        <is>
          <t>JÄMTLANDS LÄN</t>
        </is>
      </c>
      <c r="E1177" t="inlineStr">
        <is>
          <t>RAGUNDA</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53109-2025</t>
        </is>
      </c>
      <c r="B1178" s="1" t="n">
        <v>45958</v>
      </c>
      <c r="C1178" s="1" t="n">
        <v>45994</v>
      </c>
      <c r="D1178" t="inlineStr">
        <is>
          <t>JÄMTLANDS LÄN</t>
        </is>
      </c>
      <c r="E1178" t="inlineStr">
        <is>
          <t>RAGUNDA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50719-2025</t>
        </is>
      </c>
      <c r="B1179" s="1" t="n">
        <v>45946.34642361111</v>
      </c>
      <c r="C1179" s="1" t="n">
        <v>45994</v>
      </c>
      <c r="D1179" t="inlineStr">
        <is>
          <t>JÄMTLANDS LÄN</t>
        </is>
      </c>
      <c r="E1179" t="inlineStr">
        <is>
          <t>RAGUNDA</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59491-2025</t>
        </is>
      </c>
      <c r="B1180" s="1" t="n">
        <v>45989.60376157407</v>
      </c>
      <c r="C1180" s="1" t="n">
        <v>45994</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59214-2025</t>
        </is>
      </c>
      <c r="B1181" s="1" t="n">
        <v>45988.61623842592</v>
      </c>
      <c r="C1181" s="1" t="n">
        <v>45994</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51019-2025</t>
        </is>
      </c>
      <c r="B1182" s="1" t="n">
        <v>45947.38623842593</v>
      </c>
      <c r="C1182" s="1" t="n">
        <v>45994</v>
      </c>
      <c r="D1182" t="inlineStr">
        <is>
          <t>JÄMTLANDS LÄN</t>
        </is>
      </c>
      <c r="E1182" t="inlineStr">
        <is>
          <t>RAGUNDA</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59503-2025</t>
        </is>
      </c>
      <c r="B1183" s="1" t="n">
        <v>45989.62703703704</v>
      </c>
      <c r="C1183" s="1" t="n">
        <v>45994</v>
      </c>
      <c r="D1183" t="inlineStr">
        <is>
          <t>JÄMTLANDS LÄN</t>
        </is>
      </c>
      <c r="E1183" t="inlineStr">
        <is>
          <t>RAGUNDA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58990-2025</t>
        </is>
      </c>
      <c r="B1184" s="1" t="n">
        <v>45987</v>
      </c>
      <c r="C1184" s="1" t="n">
        <v>45994</v>
      </c>
      <c r="D1184" t="inlineStr">
        <is>
          <t>JÄMTLANDS LÄN</t>
        </is>
      </c>
      <c r="E1184" t="inlineStr">
        <is>
          <t>RAGUNDA</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50985-2025</t>
        </is>
      </c>
      <c r="B1185" s="1" t="n">
        <v>45947.34506944445</v>
      </c>
      <c r="C1185" s="1" t="n">
        <v>45994</v>
      </c>
      <c r="D1185" t="inlineStr">
        <is>
          <t>JÄMTLANDS LÄN</t>
        </is>
      </c>
      <c r="E1185" t="inlineStr">
        <is>
          <t>RAGUNDA</t>
        </is>
      </c>
      <c r="F1185" t="inlineStr">
        <is>
          <t>SCA</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51034-2025</t>
        </is>
      </c>
      <c r="B1186" s="1" t="n">
        <v>45947.40670138889</v>
      </c>
      <c r="C1186" s="1" t="n">
        <v>45994</v>
      </c>
      <c r="D1186" t="inlineStr">
        <is>
          <t>JÄMTLANDS LÄN</t>
        </is>
      </c>
      <c r="E1186" t="inlineStr">
        <is>
          <t>RAGUNDA</t>
        </is>
      </c>
      <c r="F1186" t="inlineStr">
        <is>
          <t>SCA</t>
        </is>
      </c>
      <c r="G1186" t="n">
        <v>44.1</v>
      </c>
      <c r="H1186" t="n">
        <v>0</v>
      </c>
      <c r="I1186" t="n">
        <v>0</v>
      </c>
      <c r="J1186" t="n">
        <v>0</v>
      </c>
      <c r="K1186" t="n">
        <v>0</v>
      </c>
      <c r="L1186" t="n">
        <v>0</v>
      </c>
      <c r="M1186" t="n">
        <v>0</v>
      </c>
      <c r="N1186" t="n">
        <v>0</v>
      </c>
      <c r="O1186" t="n">
        <v>0</v>
      </c>
      <c r="P1186" t="n">
        <v>0</v>
      </c>
      <c r="Q1186" t="n">
        <v>0</v>
      </c>
      <c r="R1186" s="2" t="inlineStr"/>
    </row>
    <row r="1187" ht="15" customHeight="1">
      <c r="A1187" t="inlineStr">
        <is>
          <t>A 58909-2025</t>
        </is>
      </c>
      <c r="B1187" s="1" t="n">
        <v>45987</v>
      </c>
      <c r="C1187" s="1" t="n">
        <v>45994</v>
      </c>
      <c r="D1187" t="inlineStr">
        <is>
          <t>JÄMTLANDS LÄN</t>
        </is>
      </c>
      <c r="E1187" t="inlineStr">
        <is>
          <t>RAGUNDA</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59499-2025</t>
        </is>
      </c>
      <c r="B1188" s="1" t="n">
        <v>45989.61846064815</v>
      </c>
      <c r="C1188" s="1" t="n">
        <v>45994</v>
      </c>
      <c r="D1188" t="inlineStr">
        <is>
          <t>JÄMTLANDS LÄN</t>
        </is>
      </c>
      <c r="E1188" t="inlineStr">
        <is>
          <t>RAGUNDA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51592-2025</t>
        </is>
      </c>
      <c r="B1189" s="1" t="n">
        <v>45951.36541666667</v>
      </c>
      <c r="C1189" s="1" t="n">
        <v>45994</v>
      </c>
      <c r="D1189" t="inlineStr">
        <is>
          <t>JÄMTLANDS LÄN</t>
        </is>
      </c>
      <c r="E1189" t="inlineStr">
        <is>
          <t>RAGUNDA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51395-2025</t>
        </is>
      </c>
      <c r="B1190" s="1" t="n">
        <v>45950.46989583333</v>
      </c>
      <c r="C1190" s="1" t="n">
        <v>45994</v>
      </c>
      <c r="D1190" t="inlineStr">
        <is>
          <t>JÄMTLANDS LÄN</t>
        </is>
      </c>
      <c r="E1190" t="inlineStr">
        <is>
          <t>RAGUNDA</t>
        </is>
      </c>
      <c r="F1190" t="inlineStr">
        <is>
          <t>SCA</t>
        </is>
      </c>
      <c r="G1190" t="n">
        <v>30.7</v>
      </c>
      <c r="H1190" t="n">
        <v>0</v>
      </c>
      <c r="I1190" t="n">
        <v>0</v>
      </c>
      <c r="J1190" t="n">
        <v>0</v>
      </c>
      <c r="K1190" t="n">
        <v>0</v>
      </c>
      <c r="L1190" t="n">
        <v>0</v>
      </c>
      <c r="M1190" t="n">
        <v>0</v>
      </c>
      <c r="N1190" t="n">
        <v>0</v>
      </c>
      <c r="O1190" t="n">
        <v>0</v>
      </c>
      <c r="P1190" t="n">
        <v>0</v>
      </c>
      <c r="Q1190" t="n">
        <v>0</v>
      </c>
      <c r="R1190" s="2" t="inlineStr"/>
    </row>
    <row r="1191" ht="15" customHeight="1">
      <c r="A1191" t="inlineStr">
        <is>
          <t>A 59692-2025</t>
        </is>
      </c>
      <c r="B1191" s="1" t="n">
        <v>45992.49001157407</v>
      </c>
      <c r="C1191" s="1" t="n">
        <v>45994</v>
      </c>
      <c r="D1191" t="inlineStr">
        <is>
          <t>JÄMTLANDS LÄN</t>
        </is>
      </c>
      <c r="E1191" t="inlineStr">
        <is>
          <t>RAGUNDA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51678-2025</t>
        </is>
      </c>
      <c r="B1192" s="1" t="n">
        <v>45951.51106481482</v>
      </c>
      <c r="C1192" s="1" t="n">
        <v>45994</v>
      </c>
      <c r="D1192" t="inlineStr">
        <is>
          <t>JÄMTLANDS LÄN</t>
        </is>
      </c>
      <c r="E1192" t="inlineStr">
        <is>
          <t>RAGUNDA</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59693-2025</t>
        </is>
      </c>
      <c r="B1193" s="1" t="n">
        <v>45992.49009259259</v>
      </c>
      <c r="C1193" s="1" t="n">
        <v>45994</v>
      </c>
      <c r="D1193" t="inlineStr">
        <is>
          <t>JÄMTLANDS LÄN</t>
        </is>
      </c>
      <c r="E1193" t="inlineStr">
        <is>
          <t>RAGUNDA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57914-2025</t>
        </is>
      </c>
      <c r="B1194" s="1" t="n">
        <v>45981</v>
      </c>
      <c r="C1194" s="1" t="n">
        <v>45994</v>
      </c>
      <c r="D1194" t="inlineStr">
        <is>
          <t>JÄMTLANDS LÄN</t>
        </is>
      </c>
      <c r="E1194" t="inlineStr">
        <is>
          <t>RAGUNDA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59931-2025</t>
        </is>
      </c>
      <c r="B1195" s="1" t="n">
        <v>45993.40177083333</v>
      </c>
      <c r="C1195" s="1" t="n">
        <v>45994</v>
      </c>
      <c r="D1195" t="inlineStr">
        <is>
          <t>JÄMTLANDS LÄN</t>
        </is>
      </c>
      <c r="E1195" t="inlineStr">
        <is>
          <t>RAGUNDA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51593-2025</t>
        </is>
      </c>
      <c r="B1196" s="1" t="n">
        <v>45951.36548611111</v>
      </c>
      <c r="C1196" s="1" t="n">
        <v>45994</v>
      </c>
      <c r="D1196" t="inlineStr">
        <is>
          <t>JÄMTLANDS LÄN</t>
        </is>
      </c>
      <c r="E1196" t="inlineStr">
        <is>
          <t>RAGUNDA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60062-2025</t>
        </is>
      </c>
      <c r="B1197" s="1" t="n">
        <v>45993.65694444445</v>
      </c>
      <c r="C1197" s="1" t="n">
        <v>45994</v>
      </c>
      <c r="D1197" t="inlineStr">
        <is>
          <t>JÄMTLANDS LÄN</t>
        </is>
      </c>
      <c r="E1197" t="inlineStr">
        <is>
          <t>RAGUNDA</t>
        </is>
      </c>
      <c r="F1197" t="inlineStr">
        <is>
          <t>SCA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59738-2025</t>
        </is>
      </c>
      <c r="B1198" s="1" t="n">
        <v>45992.57408564815</v>
      </c>
      <c r="C1198" s="1" t="n">
        <v>45994</v>
      </c>
      <c r="D1198" t="inlineStr">
        <is>
          <t>JÄMTLANDS LÄN</t>
        </is>
      </c>
      <c r="E1198" t="inlineStr">
        <is>
          <t>RAGUNDA</t>
        </is>
      </c>
      <c r="F1198" t="inlineStr">
        <is>
          <t>SCA</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51484-2025</t>
        </is>
      </c>
      <c r="B1199" s="1" t="n">
        <v>45950.62196759259</v>
      </c>
      <c r="C1199" s="1" t="n">
        <v>45994</v>
      </c>
      <c r="D1199" t="inlineStr">
        <is>
          <t>JÄMTLANDS LÄN</t>
        </is>
      </c>
      <c r="E1199" t="inlineStr">
        <is>
          <t>RAGUNDA</t>
        </is>
      </c>
      <c r="F1199" t="inlineStr">
        <is>
          <t>SCA</t>
        </is>
      </c>
      <c r="G1199" t="n">
        <v>23.1</v>
      </c>
      <c r="H1199" t="n">
        <v>0</v>
      </c>
      <c r="I1199" t="n">
        <v>0</v>
      </c>
      <c r="J1199" t="n">
        <v>0</v>
      </c>
      <c r="K1199" t="n">
        <v>0</v>
      </c>
      <c r="L1199" t="n">
        <v>0</v>
      </c>
      <c r="M1199" t="n">
        <v>0</v>
      </c>
      <c r="N1199" t="n">
        <v>0</v>
      </c>
      <c r="O1199" t="n">
        <v>0</v>
      </c>
      <c r="P1199" t="n">
        <v>0</v>
      </c>
      <c r="Q1199" t="n">
        <v>0</v>
      </c>
      <c r="R1199" s="2" t="inlineStr"/>
    </row>
    <row r="1200" ht="15" customHeight="1">
      <c r="A1200" t="inlineStr">
        <is>
          <t>A 51491-2025</t>
        </is>
      </c>
      <c r="B1200" s="1" t="n">
        <v>45950.63362268519</v>
      </c>
      <c r="C1200" s="1" t="n">
        <v>45994</v>
      </c>
      <c r="D1200" t="inlineStr">
        <is>
          <t>JÄMTLANDS LÄN</t>
        </is>
      </c>
      <c r="E1200" t="inlineStr">
        <is>
          <t>RAGUNDA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59740-2025</t>
        </is>
      </c>
      <c r="B1201" s="1" t="n">
        <v>45992.5743287037</v>
      </c>
      <c r="C1201" s="1" t="n">
        <v>45994</v>
      </c>
      <c r="D1201" t="inlineStr">
        <is>
          <t>JÄMTLANDS LÄN</t>
        </is>
      </c>
      <c r="E1201" t="inlineStr">
        <is>
          <t>RAGUNDA</t>
        </is>
      </c>
      <c r="F1201" t="inlineStr">
        <is>
          <t>SCA</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59739-2025</t>
        </is>
      </c>
      <c r="B1202" s="1" t="n">
        <v>45992.57417824074</v>
      </c>
      <c r="C1202" s="1" t="n">
        <v>45994</v>
      </c>
      <c r="D1202" t="inlineStr">
        <is>
          <t>JÄMTLANDS LÄN</t>
        </is>
      </c>
      <c r="E1202" t="inlineStr">
        <is>
          <t>RAGUNDA</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51791-2025</t>
        </is>
      </c>
      <c r="B1203" s="1" t="n">
        <v>45951.69833333333</v>
      </c>
      <c r="C1203" s="1" t="n">
        <v>45994</v>
      </c>
      <c r="D1203" t="inlineStr">
        <is>
          <t>JÄMTLANDS LÄN</t>
        </is>
      </c>
      <c r="E1203" t="inlineStr">
        <is>
          <t>RAGUNDA</t>
        </is>
      </c>
      <c r="F1203" t="inlineStr">
        <is>
          <t>SCA</t>
        </is>
      </c>
      <c r="G1203" t="n">
        <v>43.3</v>
      </c>
      <c r="H1203" t="n">
        <v>0</v>
      </c>
      <c r="I1203" t="n">
        <v>0</v>
      </c>
      <c r="J1203" t="n">
        <v>0</v>
      </c>
      <c r="K1203" t="n">
        <v>0</v>
      </c>
      <c r="L1203" t="n">
        <v>0</v>
      </c>
      <c r="M1203" t="n">
        <v>0</v>
      </c>
      <c r="N1203" t="n">
        <v>0</v>
      </c>
      <c r="O1203" t="n">
        <v>0</v>
      </c>
      <c r="P1203" t="n">
        <v>0</v>
      </c>
      <c r="Q1203" t="n">
        <v>0</v>
      </c>
      <c r="R1203" s="2" t="inlineStr"/>
    </row>
    <row r="1204" ht="15" customHeight="1">
      <c r="A1204" t="inlineStr">
        <is>
          <t>A 57915-2025</t>
        </is>
      </c>
      <c r="B1204" s="1" t="n">
        <v>45981</v>
      </c>
      <c r="C1204" s="1" t="n">
        <v>45994</v>
      </c>
      <c r="D1204" t="inlineStr">
        <is>
          <t>JÄMTLANDS LÄN</t>
        </is>
      </c>
      <c r="E1204" t="inlineStr">
        <is>
          <t>RAGUNDA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51702-2025</t>
        </is>
      </c>
      <c r="B1205" s="1" t="n">
        <v>45951.55305555555</v>
      </c>
      <c r="C1205" s="1" t="n">
        <v>45994</v>
      </c>
      <c r="D1205" t="inlineStr">
        <is>
          <t>JÄMTLANDS LÄN</t>
        </is>
      </c>
      <c r="E1205" t="inlineStr">
        <is>
          <t>RAGUNDA</t>
        </is>
      </c>
      <c r="G1205" t="n">
        <v>11.4</v>
      </c>
      <c r="H1205" t="n">
        <v>0</v>
      </c>
      <c r="I1205" t="n">
        <v>0</v>
      </c>
      <c r="J1205" t="n">
        <v>0</v>
      </c>
      <c r="K1205" t="n">
        <v>0</v>
      </c>
      <c r="L1205" t="n">
        <v>0</v>
      </c>
      <c r="M1205" t="n">
        <v>0</v>
      </c>
      <c r="N1205" t="n">
        <v>0</v>
      </c>
      <c r="O1205" t="n">
        <v>0</v>
      </c>
      <c r="P1205" t="n">
        <v>0</v>
      </c>
      <c r="Q1205" t="n">
        <v>0</v>
      </c>
      <c r="R1205" s="2" t="inlineStr"/>
    </row>
    <row r="1206">
      <c r="A1206" t="inlineStr">
        <is>
          <t>A 51394-2025</t>
        </is>
      </c>
      <c r="B1206" s="1" t="n">
        <v>45950.46972222222</v>
      </c>
      <c r="C1206" s="1" t="n">
        <v>45994</v>
      </c>
      <c r="D1206" t="inlineStr">
        <is>
          <t>JÄMTLANDS LÄN</t>
        </is>
      </c>
      <c r="E1206" t="inlineStr">
        <is>
          <t>RAGUNDA</t>
        </is>
      </c>
      <c r="F1206" t="inlineStr">
        <is>
          <t>SCA</t>
        </is>
      </c>
      <c r="G1206" t="n">
        <v>36.5</v>
      </c>
      <c r="H1206" t="n">
        <v>0</v>
      </c>
      <c r="I1206" t="n">
        <v>0</v>
      </c>
      <c r="J1206" t="n">
        <v>0</v>
      </c>
      <c r="K1206" t="n">
        <v>0</v>
      </c>
      <c r="L1206" t="n">
        <v>0</v>
      </c>
      <c r="M1206" t="n">
        <v>0</v>
      </c>
      <c r="N1206" t="n">
        <v>0</v>
      </c>
      <c r="O1206" t="n">
        <v>0</v>
      </c>
      <c r="P1206" t="n">
        <v>0</v>
      </c>
      <c r="Q1206" t="n">
        <v>0</v>
      </c>
      <c r="R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2025-12-03T10:27:38Z</dcterms:created>
  <dcterms:modified xmlns:dcterms="http://purl.org/dc/terms/" xmlns:xsi="http://www.w3.org/2001/XMLSchema-instance" xsi:type="dcterms:W3CDTF">2025-12-03T10:27:39Z</dcterms:modified>
</cp:coreProperties>
</file>