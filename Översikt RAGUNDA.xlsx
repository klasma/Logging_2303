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45712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45712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45712</v>
      </c>
      <c r="D4" t="inlineStr">
        <is>
          <t>JÄMTLANDS LÄN</t>
        </is>
      </c>
      <c r="E4" t="inlineStr">
        <is>
          <t>RAGUNDA</t>
        </is>
      </c>
      <c r="G4" t="n">
        <v>26.2</v>
      </c>
      <c r="H4" t="n">
        <v>7</v>
      </c>
      <c r="I4" t="n">
        <v>6</v>
      </c>
      <c r="J4" t="n">
        <v>12</v>
      </c>
      <c r="K4" t="n">
        <v>4</v>
      </c>
      <c r="L4" t="n">
        <v>0</v>
      </c>
      <c r="M4" t="n">
        <v>0</v>
      </c>
      <c r="N4" t="n">
        <v>0</v>
      </c>
      <c r="O4" t="n">
        <v>16</v>
      </c>
      <c r="P4" t="n">
        <v>4</v>
      </c>
      <c r="Q4" t="n">
        <v>24</v>
      </c>
      <c r="R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45712</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45712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45712</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45712</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45712</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45712</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45712</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45712</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45712</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45712</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45712</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45712</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45712</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45712</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45712</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45712</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45712</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45712</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45712</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45712</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45712</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45712</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45712</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45712</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45712</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45712</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45712</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45712</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45712</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45712</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45712</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45712</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45712</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45712</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45712</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45712</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45712</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45712</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45712</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45712</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45712</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45712</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45712</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45712</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45712</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45712</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45712</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45712</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45712</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45712</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45712</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45712</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45712</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45712</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45712</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45712</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45712</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45712</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45712</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45712</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45712</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45712</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45712</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45712</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45712</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45712</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45712</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45712</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45712</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45712</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45712</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45712</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45712</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45712</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45712</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45712</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45712</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45712</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45712</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45712</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45712</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45712</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45712</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45712</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45712</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45712</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45712</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45712</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45712</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45712</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45712</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45712</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45712</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45712</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45712</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45712</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45712</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45712</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45712</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45712</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45712</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45712</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45712</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45712</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45712</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45712</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45712</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45712</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45712</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45712</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45712</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45712</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45712</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45712</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45712</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45712</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45712</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45712</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45712</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45712</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45712</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45712</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45712</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45712</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45712</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45712</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45712</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45712</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45712</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45712</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45712</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45712</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45712</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45712</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45712</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45712</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45712</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45712</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45712</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45712</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45712</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45712</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45712</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45712</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45712</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45712</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45712</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45712</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45712</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45712</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45712</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45712</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45712</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45712</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45712</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45712</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45712</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45712</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45712</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45712</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45712</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45712</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45712</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45712</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45712</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45712</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45712</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45712</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45712</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45712</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45712</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45712</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45712</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45712</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45712</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45712</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45712</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45712</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45712</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45712</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45712</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45712</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45712</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45712</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45712</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7821-2025</t>
        </is>
      </c>
      <c r="B190" s="1" t="n">
        <v>45706</v>
      </c>
      <c r="C190" s="1" t="n">
        <v>45712</v>
      </c>
      <c r="D190" t="inlineStr">
        <is>
          <t>JÄMTLANDS LÄN</t>
        </is>
      </c>
      <c r="E190" t="inlineStr">
        <is>
          <t>RAGUNDA</t>
        </is>
      </c>
      <c r="G190" t="n">
        <v>10.3</v>
      </c>
      <c r="H190" t="n">
        <v>0</v>
      </c>
      <c r="I190" t="n">
        <v>1</v>
      </c>
      <c r="J190" t="n">
        <v>2</v>
      </c>
      <c r="K190" t="n">
        <v>0</v>
      </c>
      <c r="L190" t="n">
        <v>0</v>
      </c>
      <c r="M190" t="n">
        <v>0</v>
      </c>
      <c r="N190" t="n">
        <v>0</v>
      </c>
      <c r="O190" t="n">
        <v>2</v>
      </c>
      <c r="P190" t="n">
        <v>0</v>
      </c>
      <c r="Q190" t="n">
        <v>3</v>
      </c>
      <c r="R190" s="2" t="inlineStr">
        <is>
          <t>Garnlav
Ullticka
Vedticka</t>
        </is>
      </c>
      <c r="S190">
        <f>HYPERLINK("https://klasma.github.io/Logging_2303/artfynd/A 7821-2025 artfynd.xlsx", "A 7821-2025")</f>
        <v/>
      </c>
      <c r="T190">
        <f>HYPERLINK("https://klasma.github.io/Logging_2303/kartor/A 7821-2025 karta.png", "A 7821-2025")</f>
        <v/>
      </c>
      <c r="V190">
        <f>HYPERLINK("https://klasma.github.io/Logging_2303/klagomål/A 7821-2025 FSC-klagomål.docx", "A 7821-2025")</f>
        <v/>
      </c>
      <c r="W190">
        <f>HYPERLINK("https://klasma.github.io/Logging_2303/klagomålsmail/A 7821-2025 FSC-klagomål mail.docx", "A 7821-2025")</f>
        <v/>
      </c>
      <c r="X190">
        <f>HYPERLINK("https://klasma.github.io/Logging_2303/tillsyn/A 7821-2025 tillsynsbegäran.docx", "A 7821-2025")</f>
        <v/>
      </c>
      <c r="Y190">
        <f>HYPERLINK("https://klasma.github.io/Logging_2303/tillsynsmail/A 7821-2025 tillsynsbegäran mail.docx", "A 7821-2025")</f>
        <v/>
      </c>
    </row>
    <row r="191" ht="15" customHeight="1">
      <c r="A191" t="inlineStr">
        <is>
          <t>A 43760-2019</t>
        </is>
      </c>
      <c r="B191" s="1" t="n">
        <v>43707</v>
      </c>
      <c r="C191" s="1" t="n">
        <v>45712</v>
      </c>
      <c r="D191" t="inlineStr">
        <is>
          <t>JÄMTLANDS LÄN</t>
        </is>
      </c>
      <c r="E191" t="inlineStr">
        <is>
          <t>RAGUNDA</t>
        </is>
      </c>
      <c r="G191" t="n">
        <v>3.5</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43760-2019 artfynd.xlsx", "A 43760-2019")</f>
        <v/>
      </c>
      <c r="T191">
        <f>HYPERLINK("https://klasma.github.io/Logging_2303/kartor/A 43760-2019 karta.png", "A 43760-2019")</f>
        <v/>
      </c>
      <c r="U191">
        <f>HYPERLINK("https://klasma.github.io/Logging_2303/knärot/A 43760-2019 karta knärot.png", "A 43760-2019")</f>
        <v/>
      </c>
      <c r="V191">
        <f>HYPERLINK("https://klasma.github.io/Logging_2303/klagomål/A 43760-2019 FSC-klagomål.docx", "A 43760-2019")</f>
        <v/>
      </c>
      <c r="W191">
        <f>HYPERLINK("https://klasma.github.io/Logging_2303/klagomålsmail/A 43760-2019 FSC-klagomål mail.docx", "A 43760-2019")</f>
        <v/>
      </c>
      <c r="X191">
        <f>HYPERLINK("https://klasma.github.io/Logging_2303/tillsyn/A 43760-2019 tillsynsbegäran.docx", "A 43760-2019")</f>
        <v/>
      </c>
      <c r="Y191">
        <f>HYPERLINK("https://klasma.github.io/Logging_2303/tillsynsmail/A 43760-2019 tillsynsbegäran mail.docx", "A 43760-2019")</f>
        <v/>
      </c>
    </row>
    <row r="192" ht="15" customHeight="1">
      <c r="A192" t="inlineStr">
        <is>
          <t>A 16044-2020</t>
        </is>
      </c>
      <c r="B192" s="1" t="n">
        <v>43916</v>
      </c>
      <c r="C192" s="1" t="n">
        <v>45712</v>
      </c>
      <c r="D192" t="inlineStr">
        <is>
          <t>JÄMTLANDS LÄN</t>
        </is>
      </c>
      <c r="E192" t="inlineStr">
        <is>
          <t>RAGUNDA</t>
        </is>
      </c>
      <c r="G192" t="n">
        <v>7.6</v>
      </c>
      <c r="H192" t="n">
        <v>1</v>
      </c>
      <c r="I192" t="n">
        <v>0</v>
      </c>
      <c r="J192" t="n">
        <v>1</v>
      </c>
      <c r="K192" t="n">
        <v>1</v>
      </c>
      <c r="L192" t="n">
        <v>0</v>
      </c>
      <c r="M192" t="n">
        <v>0</v>
      </c>
      <c r="N192" t="n">
        <v>0</v>
      </c>
      <c r="O192" t="n">
        <v>2</v>
      </c>
      <c r="P192" t="n">
        <v>1</v>
      </c>
      <c r="Q192" t="n">
        <v>2</v>
      </c>
      <c r="R192" s="2" t="inlineStr">
        <is>
          <t>Knärot
Lunglav</t>
        </is>
      </c>
      <c r="S192">
        <f>HYPERLINK("https://klasma.github.io/Logging_2303/artfynd/A 16044-2020 artfynd.xlsx", "A 16044-2020")</f>
        <v/>
      </c>
      <c r="T192">
        <f>HYPERLINK("https://klasma.github.io/Logging_2303/kartor/A 16044-2020 karta.png", "A 16044-2020")</f>
        <v/>
      </c>
      <c r="U192">
        <f>HYPERLINK("https://klasma.github.io/Logging_2303/knärot/A 16044-2020 karta knärot.png", "A 16044-2020")</f>
        <v/>
      </c>
      <c r="V192">
        <f>HYPERLINK("https://klasma.github.io/Logging_2303/klagomål/A 16044-2020 FSC-klagomål.docx", "A 16044-2020")</f>
        <v/>
      </c>
      <c r="W192">
        <f>HYPERLINK("https://klasma.github.io/Logging_2303/klagomålsmail/A 16044-2020 FSC-klagomål mail.docx", "A 16044-2020")</f>
        <v/>
      </c>
      <c r="X192">
        <f>HYPERLINK("https://klasma.github.io/Logging_2303/tillsyn/A 16044-2020 tillsynsbegäran.docx", "A 16044-2020")</f>
        <v/>
      </c>
      <c r="Y192">
        <f>HYPERLINK("https://klasma.github.io/Logging_2303/tillsynsmail/A 16044-2020 tillsynsbegäran mail.docx", "A 16044-2020")</f>
        <v/>
      </c>
    </row>
    <row r="193" ht="15" customHeight="1">
      <c r="A193" t="inlineStr">
        <is>
          <t>A 20477-2020</t>
        </is>
      </c>
      <c r="B193" s="1" t="n">
        <v>43948</v>
      </c>
      <c r="C193" s="1" t="n">
        <v>45712</v>
      </c>
      <c r="D193" t="inlineStr">
        <is>
          <t>JÄMTLANDS LÄN</t>
        </is>
      </c>
      <c r="E193" t="inlineStr">
        <is>
          <t>RAGUNDA</t>
        </is>
      </c>
      <c r="G193" t="n">
        <v>33.6</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20477-2020 artfynd.xlsx", "A 20477-2020")</f>
        <v/>
      </c>
      <c r="T193">
        <f>HYPERLINK("https://klasma.github.io/Logging_2303/kartor/A 20477-2020 karta.png", "A 20477-2020")</f>
        <v/>
      </c>
      <c r="V193">
        <f>HYPERLINK("https://klasma.github.io/Logging_2303/klagomål/A 20477-2020 FSC-klagomål.docx", "A 20477-2020")</f>
        <v/>
      </c>
      <c r="W193">
        <f>HYPERLINK("https://klasma.github.io/Logging_2303/klagomålsmail/A 20477-2020 FSC-klagomål mail.docx", "A 20477-2020")</f>
        <v/>
      </c>
      <c r="X193">
        <f>HYPERLINK("https://klasma.github.io/Logging_2303/tillsyn/A 20477-2020 tillsynsbegäran.docx", "A 20477-2020")</f>
        <v/>
      </c>
      <c r="Y193">
        <f>HYPERLINK("https://klasma.github.io/Logging_2303/tillsynsmail/A 20477-2020 tillsynsbegäran mail.docx", "A 20477-2020")</f>
        <v/>
      </c>
    </row>
    <row r="194" ht="15" customHeight="1">
      <c r="A194" t="inlineStr">
        <is>
          <t>A 47164-2021</t>
        </is>
      </c>
      <c r="B194" s="1" t="n">
        <v>44447</v>
      </c>
      <c r="C194" s="1" t="n">
        <v>45712</v>
      </c>
      <c r="D194" t="inlineStr">
        <is>
          <t>JÄMTLANDS LÄN</t>
        </is>
      </c>
      <c r="E194" t="inlineStr">
        <is>
          <t>RAGUNDA</t>
        </is>
      </c>
      <c r="F194" t="inlineStr">
        <is>
          <t>SCA</t>
        </is>
      </c>
      <c r="G194" t="n">
        <v>8.5</v>
      </c>
      <c r="H194" t="n">
        <v>0</v>
      </c>
      <c r="I194" t="n">
        <v>0</v>
      </c>
      <c r="J194" t="n">
        <v>2</v>
      </c>
      <c r="K194" t="n">
        <v>0</v>
      </c>
      <c r="L194" t="n">
        <v>0</v>
      </c>
      <c r="M194" t="n">
        <v>0</v>
      </c>
      <c r="N194" t="n">
        <v>0</v>
      </c>
      <c r="O194" t="n">
        <v>2</v>
      </c>
      <c r="P194" t="n">
        <v>0</v>
      </c>
      <c r="Q194" t="n">
        <v>2</v>
      </c>
      <c r="R194" s="2" t="inlineStr">
        <is>
          <t>Lunglav
Mörk kolflarnlav</t>
        </is>
      </c>
      <c r="S194">
        <f>HYPERLINK("https://klasma.github.io/Logging_2303/artfynd/A 47164-2021 artfynd.xlsx", "A 47164-2021")</f>
        <v/>
      </c>
      <c r="T194">
        <f>HYPERLINK("https://klasma.github.io/Logging_2303/kartor/A 47164-2021 karta.png", "A 47164-2021")</f>
        <v/>
      </c>
      <c r="V194">
        <f>HYPERLINK("https://klasma.github.io/Logging_2303/klagomål/A 47164-2021 FSC-klagomål.docx", "A 47164-2021")</f>
        <v/>
      </c>
      <c r="W194">
        <f>HYPERLINK("https://klasma.github.io/Logging_2303/klagomålsmail/A 47164-2021 FSC-klagomål mail.docx", "A 47164-2021")</f>
        <v/>
      </c>
      <c r="X194">
        <f>HYPERLINK("https://klasma.github.io/Logging_2303/tillsyn/A 47164-2021 tillsynsbegäran.docx", "A 47164-2021")</f>
        <v/>
      </c>
      <c r="Y194">
        <f>HYPERLINK("https://klasma.github.io/Logging_2303/tillsynsmail/A 47164-2021 tillsynsbegäran mail.docx", "A 47164-2021")</f>
        <v/>
      </c>
    </row>
    <row r="195" ht="15" customHeight="1">
      <c r="A195" t="inlineStr">
        <is>
          <t>A 17043-2022</t>
        </is>
      </c>
      <c r="B195" s="1" t="n">
        <v>44676</v>
      </c>
      <c r="C195" s="1" t="n">
        <v>45712</v>
      </c>
      <c r="D195" t="inlineStr">
        <is>
          <t>JÄMTLANDS LÄN</t>
        </is>
      </c>
      <c r="E195" t="inlineStr">
        <is>
          <t>RAGUNDA</t>
        </is>
      </c>
      <c r="F195" t="inlineStr">
        <is>
          <t>SCA</t>
        </is>
      </c>
      <c r="G195" t="n">
        <v>3</v>
      </c>
      <c r="H195" t="n">
        <v>0</v>
      </c>
      <c r="I195" t="n">
        <v>2</v>
      </c>
      <c r="J195" t="n">
        <v>0</v>
      </c>
      <c r="K195" t="n">
        <v>0</v>
      </c>
      <c r="L195" t="n">
        <v>0</v>
      </c>
      <c r="M195" t="n">
        <v>0</v>
      </c>
      <c r="N195" t="n">
        <v>0</v>
      </c>
      <c r="O195" t="n">
        <v>0</v>
      </c>
      <c r="P195" t="n">
        <v>0</v>
      </c>
      <c r="Q195" t="n">
        <v>2</v>
      </c>
      <c r="R195" s="2" t="inlineStr">
        <is>
          <t>Skinnlav
Vedticka</t>
        </is>
      </c>
      <c r="S195">
        <f>HYPERLINK("https://klasma.github.io/Logging_2303/artfynd/A 17043-2022 artfynd.xlsx", "A 17043-2022")</f>
        <v/>
      </c>
      <c r="T195">
        <f>HYPERLINK("https://klasma.github.io/Logging_2303/kartor/A 17043-2022 karta.png", "A 17043-2022")</f>
        <v/>
      </c>
      <c r="V195">
        <f>HYPERLINK("https://klasma.github.io/Logging_2303/klagomål/A 17043-2022 FSC-klagomål.docx", "A 17043-2022")</f>
        <v/>
      </c>
      <c r="W195">
        <f>HYPERLINK("https://klasma.github.io/Logging_2303/klagomålsmail/A 17043-2022 FSC-klagomål mail.docx", "A 17043-2022")</f>
        <v/>
      </c>
      <c r="X195">
        <f>HYPERLINK("https://klasma.github.io/Logging_2303/tillsyn/A 17043-2022 tillsynsbegäran.docx", "A 17043-2022")</f>
        <v/>
      </c>
      <c r="Y195">
        <f>HYPERLINK("https://klasma.github.io/Logging_2303/tillsynsmail/A 17043-2022 tillsynsbegäran mail.docx", "A 17043-2022")</f>
        <v/>
      </c>
    </row>
    <row r="196" ht="15" customHeight="1">
      <c r="A196" t="inlineStr">
        <is>
          <t>A 17733-2022</t>
        </is>
      </c>
      <c r="B196" s="1" t="n">
        <v>44680</v>
      </c>
      <c r="C196" s="1" t="n">
        <v>45712</v>
      </c>
      <c r="D196" t="inlineStr">
        <is>
          <t>JÄMTLANDS LÄN</t>
        </is>
      </c>
      <c r="E196" t="inlineStr">
        <is>
          <t>RAGUNDA</t>
        </is>
      </c>
      <c r="G196" t="n">
        <v>2.2</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17733-2022 artfynd.xlsx", "A 17733-2022")</f>
        <v/>
      </c>
      <c r="T196">
        <f>HYPERLINK("https://klasma.github.io/Logging_2303/kartor/A 17733-2022 karta.png", "A 17733-2022")</f>
        <v/>
      </c>
      <c r="V196">
        <f>HYPERLINK("https://klasma.github.io/Logging_2303/klagomål/A 17733-2022 FSC-klagomål.docx", "A 17733-2022")</f>
        <v/>
      </c>
      <c r="W196">
        <f>HYPERLINK("https://klasma.github.io/Logging_2303/klagomålsmail/A 17733-2022 FSC-klagomål mail.docx", "A 17733-2022")</f>
        <v/>
      </c>
      <c r="X196">
        <f>HYPERLINK("https://klasma.github.io/Logging_2303/tillsyn/A 17733-2022 tillsynsbegäran.docx", "A 17733-2022")</f>
        <v/>
      </c>
      <c r="Y196">
        <f>HYPERLINK("https://klasma.github.io/Logging_2303/tillsynsmail/A 17733-2022 tillsynsbegäran mail.docx", "A 17733-2022")</f>
        <v/>
      </c>
    </row>
    <row r="197" ht="15" customHeight="1">
      <c r="A197" t="inlineStr">
        <is>
          <t>A 18552-2022</t>
        </is>
      </c>
      <c r="B197" s="1" t="n">
        <v>44687</v>
      </c>
      <c r="C197" s="1" t="n">
        <v>45712</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Granticka
Vedtrappmossa</t>
        </is>
      </c>
      <c r="S197">
        <f>HYPERLINK("https://klasma.github.io/Logging_2303/artfynd/A 18552-2022 artfynd.xlsx", "A 18552-2022")</f>
        <v/>
      </c>
      <c r="T197">
        <f>HYPERLINK("https://klasma.github.io/Logging_2303/kartor/A 18552-2022 karta.png", "A 18552-2022")</f>
        <v/>
      </c>
      <c r="V197">
        <f>HYPERLINK("https://klasma.github.io/Logging_2303/klagomål/A 18552-2022 FSC-klagomål.docx", "A 18552-2022")</f>
        <v/>
      </c>
      <c r="W197">
        <f>HYPERLINK("https://klasma.github.io/Logging_2303/klagomålsmail/A 18552-2022 FSC-klagomål mail.docx", "A 18552-2022")</f>
        <v/>
      </c>
      <c r="X197">
        <f>HYPERLINK("https://klasma.github.io/Logging_2303/tillsyn/A 18552-2022 tillsynsbegäran.docx", "A 18552-2022")</f>
        <v/>
      </c>
      <c r="Y197">
        <f>HYPERLINK("https://klasma.github.io/Logging_2303/tillsynsmail/A 18552-2022 tillsynsbegäran mail.docx", "A 18552-2022")</f>
        <v/>
      </c>
    </row>
    <row r="198" ht="15" customHeight="1">
      <c r="A198" t="inlineStr">
        <is>
          <t>A 41490-2022</t>
        </is>
      </c>
      <c r="B198" s="1" t="n">
        <v>44827</v>
      </c>
      <c r="C198" s="1" t="n">
        <v>45712</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47267-2022</t>
        </is>
      </c>
      <c r="B199" s="1" t="n">
        <v>44852</v>
      </c>
      <c r="C199" s="1" t="n">
        <v>45712</v>
      </c>
      <c r="D199" t="inlineStr">
        <is>
          <t>JÄMTLANDS LÄN</t>
        </is>
      </c>
      <c r="E199" t="inlineStr">
        <is>
          <t>RAGUNDA</t>
        </is>
      </c>
      <c r="F199" t="inlineStr">
        <is>
          <t>SCA</t>
        </is>
      </c>
      <c r="G199" t="n">
        <v>82.8</v>
      </c>
      <c r="H199" t="n">
        <v>0</v>
      </c>
      <c r="I199" t="n">
        <v>0</v>
      </c>
      <c r="J199" t="n">
        <v>2</v>
      </c>
      <c r="K199" t="n">
        <v>0</v>
      </c>
      <c r="L199" t="n">
        <v>0</v>
      </c>
      <c r="M199" t="n">
        <v>0</v>
      </c>
      <c r="N199" t="n">
        <v>0</v>
      </c>
      <c r="O199" t="n">
        <v>2</v>
      </c>
      <c r="P199" t="n">
        <v>0</v>
      </c>
      <c r="Q199" t="n">
        <v>2</v>
      </c>
      <c r="R199" s="2" t="inlineStr">
        <is>
          <t>Dvärgbägarlav
Garnlav</t>
        </is>
      </c>
      <c r="S199">
        <f>HYPERLINK("https://klasma.github.io/Logging_2303/artfynd/A 47267-2022 artfynd.xlsx", "A 47267-2022")</f>
        <v/>
      </c>
      <c r="T199">
        <f>HYPERLINK("https://klasma.github.io/Logging_2303/kartor/A 47267-2022 karta.png", "A 47267-2022")</f>
        <v/>
      </c>
      <c r="V199">
        <f>HYPERLINK("https://klasma.github.io/Logging_2303/klagomål/A 47267-2022 FSC-klagomål.docx", "A 47267-2022")</f>
        <v/>
      </c>
      <c r="W199">
        <f>HYPERLINK("https://klasma.github.io/Logging_2303/klagomålsmail/A 47267-2022 FSC-klagomål mail.docx", "A 47267-2022")</f>
        <v/>
      </c>
      <c r="X199">
        <f>HYPERLINK("https://klasma.github.io/Logging_2303/tillsyn/A 47267-2022 tillsynsbegäran.docx", "A 47267-2022")</f>
        <v/>
      </c>
      <c r="Y199">
        <f>HYPERLINK("https://klasma.github.io/Logging_2303/tillsynsmail/A 47267-2022 tillsynsbegäran mail.docx", "A 47267-2022")</f>
        <v/>
      </c>
    </row>
    <row r="200" ht="15" customHeight="1">
      <c r="A200" t="inlineStr">
        <is>
          <t>A 47583-2022</t>
        </is>
      </c>
      <c r="B200" s="1" t="n">
        <v>44854</v>
      </c>
      <c r="C200" s="1" t="n">
        <v>45712</v>
      </c>
      <c r="D200" t="inlineStr">
        <is>
          <t>JÄMTLANDS LÄN</t>
        </is>
      </c>
      <c r="E200" t="inlineStr">
        <is>
          <t>RAGUNDA</t>
        </is>
      </c>
      <c r="F200" t="inlineStr">
        <is>
          <t>SCA</t>
        </is>
      </c>
      <c r="G200" t="n">
        <v>2.6</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47583-2022 artfynd.xlsx", "A 47583-2022")</f>
        <v/>
      </c>
      <c r="T200">
        <f>HYPERLINK("https://klasma.github.io/Logging_2303/kartor/A 47583-2022 karta.png", "A 47583-2022")</f>
        <v/>
      </c>
      <c r="V200">
        <f>HYPERLINK("https://klasma.github.io/Logging_2303/klagomål/A 47583-2022 FSC-klagomål.docx", "A 47583-2022")</f>
        <v/>
      </c>
      <c r="W200">
        <f>HYPERLINK("https://klasma.github.io/Logging_2303/klagomålsmail/A 47583-2022 FSC-klagomål mail.docx", "A 47583-2022")</f>
        <v/>
      </c>
      <c r="X200">
        <f>HYPERLINK("https://klasma.github.io/Logging_2303/tillsyn/A 47583-2022 tillsynsbegäran.docx", "A 47583-2022")</f>
        <v/>
      </c>
      <c r="Y200">
        <f>HYPERLINK("https://klasma.github.io/Logging_2303/tillsynsmail/A 47583-2022 tillsynsbegäran mail.docx", "A 47583-2022")</f>
        <v/>
      </c>
    </row>
    <row r="201" ht="15" customHeight="1">
      <c r="A201" t="inlineStr">
        <is>
          <t>A 48059-2022</t>
        </is>
      </c>
      <c r="B201" s="1" t="n">
        <v>44855</v>
      </c>
      <c r="C201" s="1" t="n">
        <v>45712</v>
      </c>
      <c r="D201" t="inlineStr">
        <is>
          <t>JÄMTLANDS LÄN</t>
        </is>
      </c>
      <c r="E201" t="inlineStr">
        <is>
          <t>RAGUNDA</t>
        </is>
      </c>
      <c r="F201" t="inlineStr">
        <is>
          <t>SCA</t>
        </is>
      </c>
      <c r="G201" t="n">
        <v>3.2</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48059-2022 artfynd.xlsx", "A 48059-2022")</f>
        <v/>
      </c>
      <c r="T201">
        <f>HYPERLINK("https://klasma.github.io/Logging_2303/kartor/A 48059-2022 karta.png", "A 48059-2022")</f>
        <v/>
      </c>
      <c r="V201">
        <f>HYPERLINK("https://klasma.github.io/Logging_2303/klagomål/A 48059-2022 FSC-klagomål.docx", "A 48059-2022")</f>
        <v/>
      </c>
      <c r="W201">
        <f>HYPERLINK("https://klasma.github.io/Logging_2303/klagomålsmail/A 48059-2022 FSC-klagomål mail.docx", "A 48059-2022")</f>
        <v/>
      </c>
      <c r="X201">
        <f>HYPERLINK("https://klasma.github.io/Logging_2303/tillsyn/A 48059-2022 tillsynsbegäran.docx", "A 48059-2022")</f>
        <v/>
      </c>
      <c r="Y201">
        <f>HYPERLINK("https://klasma.github.io/Logging_2303/tillsynsmail/A 48059-2022 tillsynsbegäran mail.docx", "A 48059-2022")</f>
        <v/>
      </c>
    </row>
    <row r="202" ht="15" customHeight="1">
      <c r="A202" t="inlineStr">
        <is>
          <t>A 48084-2022</t>
        </is>
      </c>
      <c r="B202" s="1" t="n">
        <v>44855</v>
      </c>
      <c r="C202" s="1" t="n">
        <v>45712</v>
      </c>
      <c r="D202" t="inlineStr">
        <is>
          <t>JÄMTLANDS LÄN</t>
        </is>
      </c>
      <c r="E202" t="inlineStr">
        <is>
          <t>RAGUNDA</t>
        </is>
      </c>
      <c r="F202" t="inlineStr">
        <is>
          <t>SCA</t>
        </is>
      </c>
      <c r="G202" t="n">
        <v>4.7</v>
      </c>
      <c r="H202" t="n">
        <v>1</v>
      </c>
      <c r="I202" t="n">
        <v>0</v>
      </c>
      <c r="J202" t="n">
        <v>2</v>
      </c>
      <c r="K202" t="n">
        <v>0</v>
      </c>
      <c r="L202" t="n">
        <v>0</v>
      </c>
      <c r="M202" t="n">
        <v>0</v>
      </c>
      <c r="N202" t="n">
        <v>0</v>
      </c>
      <c r="O202" t="n">
        <v>2</v>
      </c>
      <c r="P202" t="n">
        <v>0</v>
      </c>
      <c r="Q202" t="n">
        <v>2</v>
      </c>
      <c r="R202" s="2" t="inlineStr">
        <is>
          <t>Rosenticka
Tretåig hackspett</t>
        </is>
      </c>
      <c r="S202">
        <f>HYPERLINK("https://klasma.github.io/Logging_2303/artfynd/A 48084-2022 artfynd.xlsx", "A 48084-2022")</f>
        <v/>
      </c>
      <c r="T202">
        <f>HYPERLINK("https://klasma.github.io/Logging_2303/kartor/A 48084-2022 karta.png", "A 48084-2022")</f>
        <v/>
      </c>
      <c r="V202">
        <f>HYPERLINK("https://klasma.github.io/Logging_2303/klagomål/A 48084-2022 FSC-klagomål.docx", "A 48084-2022")</f>
        <v/>
      </c>
      <c r="W202">
        <f>HYPERLINK("https://klasma.github.io/Logging_2303/klagomålsmail/A 48084-2022 FSC-klagomål mail.docx", "A 48084-2022")</f>
        <v/>
      </c>
      <c r="X202">
        <f>HYPERLINK("https://klasma.github.io/Logging_2303/tillsyn/A 48084-2022 tillsynsbegäran.docx", "A 48084-2022")</f>
        <v/>
      </c>
      <c r="Y202">
        <f>HYPERLINK("https://klasma.github.io/Logging_2303/tillsynsmail/A 48084-2022 tillsynsbegäran mail.docx", "A 48084-2022")</f>
        <v/>
      </c>
      <c r="Z202">
        <f>HYPERLINK("https://klasma.github.io/Logging_2303/fåglar/A 48084-2022 prioriterade fågelarter.docx", "A 48084-2022")</f>
        <v/>
      </c>
    </row>
    <row r="203" ht="15" customHeight="1">
      <c r="A203" t="inlineStr">
        <is>
          <t>A 49194-2022</t>
        </is>
      </c>
      <c r="B203" s="1" t="n">
        <v>44860</v>
      </c>
      <c r="C203" s="1" t="n">
        <v>45712</v>
      </c>
      <c r="D203" t="inlineStr">
        <is>
          <t>JÄMTLANDS LÄN</t>
        </is>
      </c>
      <c r="E203" t="inlineStr">
        <is>
          <t>RAGUNDA</t>
        </is>
      </c>
      <c r="F203" t="inlineStr">
        <is>
          <t>SCA</t>
        </is>
      </c>
      <c r="G203" t="n">
        <v>2</v>
      </c>
      <c r="H203" t="n">
        <v>1</v>
      </c>
      <c r="I203" t="n">
        <v>0</v>
      </c>
      <c r="J203" t="n">
        <v>1</v>
      </c>
      <c r="K203" t="n">
        <v>1</v>
      </c>
      <c r="L203" t="n">
        <v>0</v>
      </c>
      <c r="M203" t="n">
        <v>0</v>
      </c>
      <c r="N203" t="n">
        <v>0</v>
      </c>
      <c r="O203" t="n">
        <v>2</v>
      </c>
      <c r="P203" t="n">
        <v>1</v>
      </c>
      <c r="Q203" t="n">
        <v>2</v>
      </c>
      <c r="R203" s="2" t="inlineStr">
        <is>
          <t>Doftticka
Lunglav</t>
        </is>
      </c>
      <c r="S203">
        <f>HYPERLINK("https://klasma.github.io/Logging_2303/artfynd/A 49194-2022 artfynd.xlsx", "A 49194-2022")</f>
        <v/>
      </c>
      <c r="T203">
        <f>HYPERLINK("https://klasma.github.io/Logging_2303/kartor/A 49194-2022 karta.png", "A 49194-2022")</f>
        <v/>
      </c>
      <c r="V203">
        <f>HYPERLINK("https://klasma.github.io/Logging_2303/klagomål/A 49194-2022 FSC-klagomål.docx", "A 49194-2022")</f>
        <v/>
      </c>
      <c r="W203">
        <f>HYPERLINK("https://klasma.github.io/Logging_2303/klagomålsmail/A 49194-2022 FSC-klagomål mail.docx", "A 49194-2022")</f>
        <v/>
      </c>
      <c r="X203">
        <f>HYPERLINK("https://klasma.github.io/Logging_2303/tillsyn/A 49194-2022 tillsynsbegäran.docx", "A 49194-2022")</f>
        <v/>
      </c>
      <c r="Y203">
        <f>HYPERLINK("https://klasma.github.io/Logging_2303/tillsynsmail/A 49194-2022 tillsynsbegäran mail.docx", "A 49194-2022")</f>
        <v/>
      </c>
    </row>
    <row r="204" ht="15" customHeight="1">
      <c r="A204" t="inlineStr">
        <is>
          <t>A 8033-2023</t>
        </is>
      </c>
      <c r="B204" s="1" t="n">
        <v>44973</v>
      </c>
      <c r="C204" s="1" t="n">
        <v>45712</v>
      </c>
      <c r="D204" t="inlineStr">
        <is>
          <t>JÄMTLANDS LÄN</t>
        </is>
      </c>
      <c r="E204" t="inlineStr">
        <is>
          <t>RAGUNDA</t>
        </is>
      </c>
      <c r="F204" t="inlineStr">
        <is>
          <t>SCA</t>
        </is>
      </c>
      <c r="G204" t="n">
        <v>9.199999999999999</v>
      </c>
      <c r="H204" t="n">
        <v>0</v>
      </c>
      <c r="I204" t="n">
        <v>1</v>
      </c>
      <c r="J204" t="n">
        <v>1</v>
      </c>
      <c r="K204" t="n">
        <v>0</v>
      </c>
      <c r="L204" t="n">
        <v>0</v>
      </c>
      <c r="M204" t="n">
        <v>0</v>
      </c>
      <c r="N204" t="n">
        <v>0</v>
      </c>
      <c r="O204" t="n">
        <v>1</v>
      </c>
      <c r="P204" t="n">
        <v>0</v>
      </c>
      <c r="Q204" t="n">
        <v>2</v>
      </c>
      <c r="R204" s="2" t="inlineStr">
        <is>
          <t>Kolflarnlav
Grönpyrola</t>
        </is>
      </c>
      <c r="S204">
        <f>HYPERLINK("https://klasma.github.io/Logging_2303/artfynd/A 8033-2023 artfynd.xlsx", "A 8033-2023")</f>
        <v/>
      </c>
      <c r="T204">
        <f>HYPERLINK("https://klasma.github.io/Logging_2303/kartor/A 8033-2023 karta.png", "A 8033-2023")</f>
        <v/>
      </c>
      <c r="V204">
        <f>HYPERLINK("https://klasma.github.io/Logging_2303/klagomål/A 8033-2023 FSC-klagomål.docx", "A 8033-2023")</f>
        <v/>
      </c>
      <c r="W204">
        <f>HYPERLINK("https://klasma.github.io/Logging_2303/klagomålsmail/A 8033-2023 FSC-klagomål mail.docx", "A 8033-2023")</f>
        <v/>
      </c>
      <c r="X204">
        <f>HYPERLINK("https://klasma.github.io/Logging_2303/tillsyn/A 8033-2023 tillsynsbegäran.docx", "A 8033-2023")</f>
        <v/>
      </c>
      <c r="Y204">
        <f>HYPERLINK("https://klasma.github.io/Logging_2303/tillsynsmail/A 8033-2023 tillsynsbegäran mail.docx", "A 8033-2023")</f>
        <v/>
      </c>
    </row>
    <row r="205" ht="15" customHeight="1">
      <c r="A205" t="inlineStr">
        <is>
          <t>A 9340-2023</t>
        </is>
      </c>
      <c r="B205" s="1" t="n">
        <v>44980</v>
      </c>
      <c r="C205" s="1" t="n">
        <v>45712</v>
      </c>
      <c r="D205" t="inlineStr">
        <is>
          <t>JÄMTLANDS LÄN</t>
        </is>
      </c>
      <c r="E205" t="inlineStr">
        <is>
          <t>RAGUNDA</t>
        </is>
      </c>
      <c r="G205" t="n">
        <v>2.9</v>
      </c>
      <c r="H205" t="n">
        <v>0</v>
      </c>
      <c r="I205" t="n">
        <v>0</v>
      </c>
      <c r="J205" t="n">
        <v>2</v>
      </c>
      <c r="K205" t="n">
        <v>0</v>
      </c>
      <c r="L205" t="n">
        <v>0</v>
      </c>
      <c r="M205" t="n">
        <v>0</v>
      </c>
      <c r="N205" t="n">
        <v>0</v>
      </c>
      <c r="O205" t="n">
        <v>2</v>
      </c>
      <c r="P205" t="n">
        <v>0</v>
      </c>
      <c r="Q205" t="n">
        <v>2</v>
      </c>
      <c r="R205" s="2" t="inlineStr">
        <is>
          <t>Garnlav
Lunglav</t>
        </is>
      </c>
      <c r="S205">
        <f>HYPERLINK("https://klasma.github.io/Logging_2303/artfynd/A 9340-2023 artfynd.xlsx", "A 9340-2023")</f>
        <v/>
      </c>
      <c r="T205">
        <f>HYPERLINK("https://klasma.github.io/Logging_2303/kartor/A 9340-2023 karta.png", "A 9340-2023")</f>
        <v/>
      </c>
      <c r="V205">
        <f>HYPERLINK("https://klasma.github.io/Logging_2303/klagomål/A 9340-2023 FSC-klagomål.docx", "A 9340-2023")</f>
        <v/>
      </c>
      <c r="W205">
        <f>HYPERLINK("https://klasma.github.io/Logging_2303/klagomålsmail/A 9340-2023 FSC-klagomål mail.docx", "A 9340-2023")</f>
        <v/>
      </c>
      <c r="X205">
        <f>HYPERLINK("https://klasma.github.io/Logging_2303/tillsyn/A 9340-2023 tillsynsbegäran.docx", "A 9340-2023")</f>
        <v/>
      </c>
      <c r="Y205">
        <f>HYPERLINK("https://klasma.github.io/Logging_2303/tillsynsmail/A 9340-2023 tillsynsbegäran mail.docx", "A 9340-2023")</f>
        <v/>
      </c>
    </row>
    <row r="206" ht="15" customHeight="1">
      <c r="A206" t="inlineStr">
        <is>
          <t>A 11843-2023</t>
        </is>
      </c>
      <c r="B206" s="1" t="n">
        <v>44993</v>
      </c>
      <c r="C206" s="1" t="n">
        <v>45712</v>
      </c>
      <c r="D206" t="inlineStr">
        <is>
          <t>JÄMTLANDS LÄN</t>
        </is>
      </c>
      <c r="E206" t="inlineStr">
        <is>
          <t>RAGUNDA</t>
        </is>
      </c>
      <c r="G206" t="n">
        <v>6.4</v>
      </c>
      <c r="H206" t="n">
        <v>2</v>
      </c>
      <c r="I206" t="n">
        <v>0</v>
      </c>
      <c r="J206" t="n">
        <v>1</v>
      </c>
      <c r="K206" t="n">
        <v>0</v>
      </c>
      <c r="L206" t="n">
        <v>0</v>
      </c>
      <c r="M206" t="n">
        <v>0</v>
      </c>
      <c r="N206" t="n">
        <v>0</v>
      </c>
      <c r="O206" t="n">
        <v>1</v>
      </c>
      <c r="P206" t="n">
        <v>0</v>
      </c>
      <c r="Q206" t="n">
        <v>2</v>
      </c>
      <c r="R206" s="2" t="inlineStr">
        <is>
          <t>Spillkråka
Revlummer</t>
        </is>
      </c>
      <c r="S206">
        <f>HYPERLINK("https://klasma.github.io/Logging_2303/artfynd/A 11843-2023 artfynd.xlsx", "A 11843-2023")</f>
        <v/>
      </c>
      <c r="T206">
        <f>HYPERLINK("https://klasma.github.io/Logging_2303/kartor/A 11843-2023 karta.png", "A 11843-2023")</f>
        <v/>
      </c>
      <c r="V206">
        <f>HYPERLINK("https://klasma.github.io/Logging_2303/klagomål/A 11843-2023 FSC-klagomål.docx", "A 11843-2023")</f>
        <v/>
      </c>
      <c r="W206">
        <f>HYPERLINK("https://klasma.github.io/Logging_2303/klagomålsmail/A 11843-2023 FSC-klagomål mail.docx", "A 11843-2023")</f>
        <v/>
      </c>
      <c r="X206">
        <f>HYPERLINK("https://klasma.github.io/Logging_2303/tillsyn/A 11843-2023 tillsynsbegäran.docx", "A 11843-2023")</f>
        <v/>
      </c>
      <c r="Y206">
        <f>HYPERLINK("https://klasma.github.io/Logging_2303/tillsynsmail/A 11843-2023 tillsynsbegäran mail.docx", "A 11843-2023")</f>
        <v/>
      </c>
      <c r="Z206">
        <f>HYPERLINK("https://klasma.github.io/Logging_2303/fåglar/A 11843-2023 prioriterade fågelarter.docx", "A 11843-2023")</f>
        <v/>
      </c>
    </row>
    <row r="207" ht="15" customHeight="1">
      <c r="A207" t="inlineStr">
        <is>
          <t>A 13486-2023</t>
        </is>
      </c>
      <c r="B207" s="1" t="n">
        <v>45005</v>
      </c>
      <c r="C207" s="1" t="n">
        <v>45712</v>
      </c>
      <c r="D207" t="inlineStr">
        <is>
          <t>JÄMTLANDS LÄN</t>
        </is>
      </c>
      <c r="E207" t="inlineStr">
        <is>
          <t>RAGUNDA</t>
        </is>
      </c>
      <c r="F207" t="inlineStr">
        <is>
          <t>SCA</t>
        </is>
      </c>
      <c r="G207" t="n">
        <v>4</v>
      </c>
      <c r="H207" t="n">
        <v>0</v>
      </c>
      <c r="I207" t="n">
        <v>0</v>
      </c>
      <c r="J207" t="n">
        <v>2</v>
      </c>
      <c r="K207" t="n">
        <v>0</v>
      </c>
      <c r="L207" t="n">
        <v>0</v>
      </c>
      <c r="M207" t="n">
        <v>0</v>
      </c>
      <c r="N207" t="n">
        <v>0</v>
      </c>
      <c r="O207" t="n">
        <v>2</v>
      </c>
      <c r="P207" t="n">
        <v>0</v>
      </c>
      <c r="Q207" t="n">
        <v>2</v>
      </c>
      <c r="R207" s="2" t="inlineStr">
        <is>
          <t>Dvärgbägarlav
Lunglav</t>
        </is>
      </c>
      <c r="S207">
        <f>HYPERLINK("https://klasma.github.io/Logging_2303/artfynd/A 13486-2023 artfynd.xlsx", "A 13486-2023")</f>
        <v/>
      </c>
      <c r="T207">
        <f>HYPERLINK("https://klasma.github.io/Logging_2303/kartor/A 13486-2023 karta.png", "A 13486-2023")</f>
        <v/>
      </c>
      <c r="V207">
        <f>HYPERLINK("https://klasma.github.io/Logging_2303/klagomål/A 13486-2023 FSC-klagomål.docx", "A 13486-2023")</f>
        <v/>
      </c>
      <c r="W207">
        <f>HYPERLINK("https://klasma.github.io/Logging_2303/klagomålsmail/A 13486-2023 FSC-klagomål mail.docx", "A 13486-2023")</f>
        <v/>
      </c>
      <c r="X207">
        <f>HYPERLINK("https://klasma.github.io/Logging_2303/tillsyn/A 13486-2023 tillsynsbegäran.docx", "A 13486-2023")</f>
        <v/>
      </c>
      <c r="Y207">
        <f>HYPERLINK("https://klasma.github.io/Logging_2303/tillsynsmail/A 13486-2023 tillsynsbegäran mail.docx", "A 13486-2023")</f>
        <v/>
      </c>
    </row>
    <row r="208" ht="15" customHeight="1">
      <c r="A208" t="inlineStr">
        <is>
          <t>A 13899-2023</t>
        </is>
      </c>
      <c r="B208" s="1" t="n">
        <v>45008</v>
      </c>
      <c r="C208" s="1" t="n">
        <v>45712</v>
      </c>
      <c r="D208" t="inlineStr">
        <is>
          <t>JÄMTLANDS LÄN</t>
        </is>
      </c>
      <c r="E208" t="inlineStr">
        <is>
          <t>RAGUNDA</t>
        </is>
      </c>
      <c r="F208" t="inlineStr">
        <is>
          <t>SCA</t>
        </is>
      </c>
      <c r="G208" t="n">
        <v>3.6</v>
      </c>
      <c r="H208" t="n">
        <v>0</v>
      </c>
      <c r="I208" t="n">
        <v>1</v>
      </c>
      <c r="J208" t="n">
        <v>1</v>
      </c>
      <c r="K208" t="n">
        <v>0</v>
      </c>
      <c r="L208" t="n">
        <v>0</v>
      </c>
      <c r="M208" t="n">
        <v>0</v>
      </c>
      <c r="N208" t="n">
        <v>0</v>
      </c>
      <c r="O208" t="n">
        <v>1</v>
      </c>
      <c r="P208" t="n">
        <v>0</v>
      </c>
      <c r="Q208" t="n">
        <v>2</v>
      </c>
      <c r="R208" s="2" t="inlineStr">
        <is>
          <t>Garnlav
Källmossa</t>
        </is>
      </c>
      <c r="S208">
        <f>HYPERLINK("https://klasma.github.io/Logging_2303/artfynd/A 13899-2023 artfynd.xlsx", "A 13899-2023")</f>
        <v/>
      </c>
      <c r="T208">
        <f>HYPERLINK("https://klasma.github.io/Logging_2303/kartor/A 13899-2023 karta.png", "A 13899-2023")</f>
        <v/>
      </c>
      <c r="V208">
        <f>HYPERLINK("https://klasma.github.io/Logging_2303/klagomål/A 13899-2023 FSC-klagomål.docx", "A 13899-2023")</f>
        <v/>
      </c>
      <c r="W208">
        <f>HYPERLINK("https://klasma.github.io/Logging_2303/klagomålsmail/A 13899-2023 FSC-klagomål mail.docx", "A 13899-2023")</f>
        <v/>
      </c>
      <c r="X208">
        <f>HYPERLINK("https://klasma.github.io/Logging_2303/tillsyn/A 13899-2023 tillsynsbegäran.docx", "A 13899-2023")</f>
        <v/>
      </c>
      <c r="Y208">
        <f>HYPERLINK("https://klasma.github.io/Logging_2303/tillsynsmail/A 13899-2023 tillsynsbegäran mail.docx", "A 13899-2023")</f>
        <v/>
      </c>
    </row>
    <row r="209" ht="15" customHeight="1">
      <c r="A209" t="inlineStr">
        <is>
          <t>A 14075-2023</t>
        </is>
      </c>
      <c r="B209" s="1" t="n">
        <v>45009</v>
      </c>
      <c r="C209" s="1" t="n">
        <v>45712</v>
      </c>
      <c r="D209" t="inlineStr">
        <is>
          <t>JÄMTLANDS LÄN</t>
        </is>
      </c>
      <c r="E209" t="inlineStr">
        <is>
          <t>RAGUNDA</t>
        </is>
      </c>
      <c r="F209" t="inlineStr">
        <is>
          <t>SCA</t>
        </is>
      </c>
      <c r="G209" t="n">
        <v>9.5</v>
      </c>
      <c r="H209" t="n">
        <v>0</v>
      </c>
      <c r="I209" t="n">
        <v>0</v>
      </c>
      <c r="J209" t="n">
        <v>1</v>
      </c>
      <c r="K209" t="n">
        <v>1</v>
      </c>
      <c r="L209" t="n">
        <v>0</v>
      </c>
      <c r="M209" t="n">
        <v>0</v>
      </c>
      <c r="N209" t="n">
        <v>0</v>
      </c>
      <c r="O209" t="n">
        <v>2</v>
      </c>
      <c r="P209" t="n">
        <v>1</v>
      </c>
      <c r="Q209" t="n">
        <v>2</v>
      </c>
      <c r="R209" s="2" t="inlineStr">
        <is>
          <t>Gräddporing
Lunglav</t>
        </is>
      </c>
      <c r="S209">
        <f>HYPERLINK("https://klasma.github.io/Logging_2303/artfynd/A 14075-2023 artfynd.xlsx", "A 14075-2023")</f>
        <v/>
      </c>
      <c r="T209">
        <f>HYPERLINK("https://klasma.github.io/Logging_2303/kartor/A 14075-2023 karta.png", "A 14075-2023")</f>
        <v/>
      </c>
      <c r="V209">
        <f>HYPERLINK("https://klasma.github.io/Logging_2303/klagomål/A 14075-2023 FSC-klagomål.docx", "A 14075-2023")</f>
        <v/>
      </c>
      <c r="W209">
        <f>HYPERLINK("https://klasma.github.io/Logging_2303/klagomålsmail/A 14075-2023 FSC-klagomål mail.docx", "A 14075-2023")</f>
        <v/>
      </c>
      <c r="X209">
        <f>HYPERLINK("https://klasma.github.io/Logging_2303/tillsyn/A 14075-2023 tillsynsbegäran.docx", "A 14075-2023")</f>
        <v/>
      </c>
      <c r="Y209">
        <f>HYPERLINK("https://klasma.github.io/Logging_2303/tillsynsmail/A 14075-2023 tillsynsbegäran mail.docx", "A 14075-2023")</f>
        <v/>
      </c>
    </row>
    <row r="210" ht="15" customHeight="1">
      <c r="A210" t="inlineStr">
        <is>
          <t>A 22732-2023</t>
        </is>
      </c>
      <c r="B210" s="1" t="n">
        <v>45071</v>
      </c>
      <c r="C210" s="1" t="n">
        <v>45712</v>
      </c>
      <c r="D210" t="inlineStr">
        <is>
          <t>JÄMTLANDS LÄN</t>
        </is>
      </c>
      <c r="E210" t="inlineStr">
        <is>
          <t>RAGUNDA</t>
        </is>
      </c>
      <c r="G210" t="n">
        <v>3.8</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22732-2023 artfynd.xlsx", "A 22732-2023")</f>
        <v/>
      </c>
      <c r="T210">
        <f>HYPERLINK("https://klasma.github.io/Logging_2303/kartor/A 22732-2023 karta.png", "A 22732-2023")</f>
        <v/>
      </c>
      <c r="V210">
        <f>HYPERLINK("https://klasma.github.io/Logging_2303/klagomål/A 22732-2023 FSC-klagomål.docx", "A 22732-2023")</f>
        <v/>
      </c>
      <c r="W210">
        <f>HYPERLINK("https://klasma.github.io/Logging_2303/klagomålsmail/A 22732-2023 FSC-klagomål mail.docx", "A 22732-2023")</f>
        <v/>
      </c>
      <c r="X210">
        <f>HYPERLINK("https://klasma.github.io/Logging_2303/tillsyn/A 22732-2023 tillsynsbegäran.docx", "A 22732-2023")</f>
        <v/>
      </c>
      <c r="Y210">
        <f>HYPERLINK("https://klasma.github.io/Logging_2303/tillsynsmail/A 22732-2023 tillsynsbegäran mail.docx", "A 22732-2023")</f>
        <v/>
      </c>
    </row>
    <row r="211" ht="15" customHeight="1">
      <c r="A211" t="inlineStr">
        <is>
          <t>A 26482-2023</t>
        </is>
      </c>
      <c r="B211" s="1" t="n">
        <v>45089</v>
      </c>
      <c r="C211" s="1" t="n">
        <v>45712</v>
      </c>
      <c r="D211" t="inlineStr">
        <is>
          <t>JÄMTLANDS LÄN</t>
        </is>
      </c>
      <c r="E211" t="inlineStr">
        <is>
          <t>RAGUNDA</t>
        </is>
      </c>
      <c r="G211" t="n">
        <v>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HYPERLINK("https://klasma.github.io/Logging_2303/artfynd/A 26482-2023 artfynd.xlsx", "A 26482-2023")</f>
        <v/>
      </c>
      <c r="T211">
        <f>HYPERLINK("https://klasma.github.io/Logging_2303/kartor/A 26482-2023 karta.png", "A 26482-2023")</f>
        <v/>
      </c>
      <c r="V211">
        <f>HYPERLINK("https://klasma.github.io/Logging_2303/klagomål/A 26482-2023 FSC-klagomål.docx", "A 26482-2023")</f>
        <v/>
      </c>
      <c r="W211">
        <f>HYPERLINK("https://klasma.github.io/Logging_2303/klagomålsmail/A 26482-2023 FSC-klagomål mail.docx", "A 26482-2023")</f>
        <v/>
      </c>
      <c r="X211">
        <f>HYPERLINK("https://klasma.github.io/Logging_2303/tillsyn/A 26482-2023 tillsynsbegäran.docx", "A 26482-2023")</f>
        <v/>
      </c>
      <c r="Y211">
        <f>HYPERLINK("https://klasma.github.io/Logging_2303/tillsynsmail/A 26482-2023 tillsynsbegäran mail.docx", "A 26482-2023")</f>
        <v/>
      </c>
      <c r="Z211">
        <f>HYPERLINK("https://klasma.github.io/Logging_2303/fåglar/A 26482-2023 prioriterade fågelarter.docx", "A 26482-2023")</f>
        <v/>
      </c>
    </row>
    <row r="212" ht="15" customHeight="1">
      <c r="A212" t="inlineStr">
        <is>
          <t>A 32736-2023</t>
        </is>
      </c>
      <c r="B212" s="1" t="n">
        <v>45121</v>
      </c>
      <c r="C212" s="1" t="n">
        <v>45712</v>
      </c>
      <c r="D212" t="inlineStr">
        <is>
          <t>JÄMTLANDS LÄN</t>
        </is>
      </c>
      <c r="E212" t="inlineStr">
        <is>
          <t>RAGUNDA</t>
        </is>
      </c>
      <c r="F212" t="inlineStr">
        <is>
          <t>SCA</t>
        </is>
      </c>
      <c r="G212" t="n">
        <v>2.5</v>
      </c>
      <c r="H212" t="n">
        <v>0</v>
      </c>
      <c r="I212" t="n">
        <v>1</v>
      </c>
      <c r="J212" t="n">
        <v>1</v>
      </c>
      <c r="K212" t="n">
        <v>0</v>
      </c>
      <c r="L212" t="n">
        <v>0</v>
      </c>
      <c r="M212" t="n">
        <v>0</v>
      </c>
      <c r="N212" t="n">
        <v>0</v>
      </c>
      <c r="O212" t="n">
        <v>1</v>
      </c>
      <c r="P212" t="n">
        <v>0</v>
      </c>
      <c r="Q212" t="n">
        <v>2</v>
      </c>
      <c r="R212" s="2" t="inlineStr">
        <is>
          <t>Vedtrappmossa
Stor aspticka</t>
        </is>
      </c>
      <c r="S212">
        <f>HYPERLINK("https://klasma.github.io/Logging_2303/artfynd/A 32736-2023 artfynd.xlsx", "A 32736-2023")</f>
        <v/>
      </c>
      <c r="T212">
        <f>HYPERLINK("https://klasma.github.io/Logging_2303/kartor/A 32736-2023 karta.png", "A 32736-2023")</f>
        <v/>
      </c>
      <c r="V212">
        <f>HYPERLINK("https://klasma.github.io/Logging_2303/klagomål/A 32736-2023 FSC-klagomål.docx", "A 32736-2023")</f>
        <v/>
      </c>
      <c r="W212">
        <f>HYPERLINK("https://klasma.github.io/Logging_2303/klagomålsmail/A 32736-2023 FSC-klagomål mail.docx", "A 32736-2023")</f>
        <v/>
      </c>
      <c r="X212">
        <f>HYPERLINK("https://klasma.github.io/Logging_2303/tillsyn/A 32736-2023 tillsynsbegäran.docx", "A 32736-2023")</f>
        <v/>
      </c>
      <c r="Y212">
        <f>HYPERLINK("https://klasma.github.io/Logging_2303/tillsynsmail/A 32736-2023 tillsynsbegäran mail.docx", "A 32736-2023")</f>
        <v/>
      </c>
    </row>
    <row r="213" ht="15" customHeight="1">
      <c r="A213" t="inlineStr">
        <is>
          <t>A 37236-2023</t>
        </is>
      </c>
      <c r="B213" s="1" t="n">
        <v>45155</v>
      </c>
      <c r="C213" s="1" t="n">
        <v>45712</v>
      </c>
      <c r="D213" t="inlineStr">
        <is>
          <t>JÄMTLANDS LÄN</t>
        </is>
      </c>
      <c r="E213" t="inlineStr">
        <is>
          <t>RAGUNDA</t>
        </is>
      </c>
      <c r="F213" t="inlineStr">
        <is>
          <t>SCA</t>
        </is>
      </c>
      <c r="G213" t="n">
        <v>4.7</v>
      </c>
      <c r="H213" t="n">
        <v>0</v>
      </c>
      <c r="I213" t="n">
        <v>0</v>
      </c>
      <c r="J213" t="n">
        <v>2</v>
      </c>
      <c r="K213" t="n">
        <v>0</v>
      </c>
      <c r="L213" t="n">
        <v>0</v>
      </c>
      <c r="M213" t="n">
        <v>0</v>
      </c>
      <c r="N213" t="n">
        <v>0</v>
      </c>
      <c r="O213" t="n">
        <v>2</v>
      </c>
      <c r="P213" t="n">
        <v>0</v>
      </c>
      <c r="Q213" t="n">
        <v>2</v>
      </c>
      <c r="R213" s="2" t="inlineStr">
        <is>
          <t>Kolflarnlav
Lunglav</t>
        </is>
      </c>
      <c r="S213">
        <f>HYPERLINK("https://klasma.github.io/Logging_2303/artfynd/A 37236-2023 artfynd.xlsx", "A 37236-2023")</f>
        <v/>
      </c>
      <c r="T213">
        <f>HYPERLINK("https://klasma.github.io/Logging_2303/kartor/A 37236-2023 karta.png", "A 37236-2023")</f>
        <v/>
      </c>
      <c r="U213">
        <f>HYPERLINK("https://klasma.github.io/Logging_2303/knärot/A 37236-2023 karta knärot.png", "A 37236-2023")</f>
        <v/>
      </c>
      <c r="V213">
        <f>HYPERLINK("https://klasma.github.io/Logging_2303/klagomål/A 37236-2023 FSC-klagomål.docx", "A 37236-2023")</f>
        <v/>
      </c>
      <c r="W213">
        <f>HYPERLINK("https://klasma.github.io/Logging_2303/klagomålsmail/A 37236-2023 FSC-klagomål mail.docx", "A 37236-2023")</f>
        <v/>
      </c>
      <c r="X213">
        <f>HYPERLINK("https://klasma.github.io/Logging_2303/tillsyn/A 37236-2023 tillsynsbegäran.docx", "A 37236-2023")</f>
        <v/>
      </c>
      <c r="Y213">
        <f>HYPERLINK("https://klasma.github.io/Logging_2303/tillsynsmail/A 37236-2023 tillsynsbegäran mail.docx", "A 37236-2023")</f>
        <v/>
      </c>
    </row>
    <row r="214" ht="15" customHeight="1">
      <c r="A214" t="inlineStr">
        <is>
          <t>A 39818-2023</t>
        </is>
      </c>
      <c r="B214" s="1" t="n">
        <v>45167</v>
      </c>
      <c r="C214" s="1" t="n">
        <v>45712</v>
      </c>
      <c r="D214" t="inlineStr">
        <is>
          <t>JÄMTLANDS LÄN</t>
        </is>
      </c>
      <c r="E214" t="inlineStr">
        <is>
          <t>RAGUNDA</t>
        </is>
      </c>
      <c r="F214" t="inlineStr">
        <is>
          <t>SCA</t>
        </is>
      </c>
      <c r="G214" t="n">
        <v>13.6</v>
      </c>
      <c r="H214" t="n">
        <v>0</v>
      </c>
      <c r="I214" t="n">
        <v>0</v>
      </c>
      <c r="J214" t="n">
        <v>2</v>
      </c>
      <c r="K214" t="n">
        <v>0</v>
      </c>
      <c r="L214" t="n">
        <v>0</v>
      </c>
      <c r="M214" t="n">
        <v>0</v>
      </c>
      <c r="N214" t="n">
        <v>0</v>
      </c>
      <c r="O214" t="n">
        <v>2</v>
      </c>
      <c r="P214" t="n">
        <v>0</v>
      </c>
      <c r="Q214" t="n">
        <v>2</v>
      </c>
      <c r="R214" s="2" t="inlineStr">
        <is>
          <t>Lunglav
Ullticka</t>
        </is>
      </c>
      <c r="S214">
        <f>HYPERLINK("https://klasma.github.io/Logging_2303/artfynd/A 39818-2023 artfynd.xlsx", "A 39818-2023")</f>
        <v/>
      </c>
      <c r="T214">
        <f>HYPERLINK("https://klasma.github.io/Logging_2303/kartor/A 39818-2023 karta.png", "A 39818-2023")</f>
        <v/>
      </c>
      <c r="V214">
        <f>HYPERLINK("https://klasma.github.io/Logging_2303/klagomål/A 39818-2023 FSC-klagomål.docx", "A 39818-2023")</f>
        <v/>
      </c>
      <c r="W214">
        <f>HYPERLINK("https://klasma.github.io/Logging_2303/klagomålsmail/A 39818-2023 FSC-klagomål mail.docx", "A 39818-2023")</f>
        <v/>
      </c>
      <c r="X214">
        <f>HYPERLINK("https://klasma.github.io/Logging_2303/tillsyn/A 39818-2023 tillsynsbegäran.docx", "A 39818-2023")</f>
        <v/>
      </c>
      <c r="Y214">
        <f>HYPERLINK("https://klasma.github.io/Logging_2303/tillsynsmail/A 39818-2023 tillsynsbegäran mail.docx", "A 39818-2023")</f>
        <v/>
      </c>
    </row>
    <row r="215" ht="15" customHeight="1">
      <c r="A215" t="inlineStr">
        <is>
          <t>A 40826-2023</t>
        </is>
      </c>
      <c r="B215" s="1" t="n">
        <v>45171</v>
      </c>
      <c r="C215" s="1" t="n">
        <v>45712</v>
      </c>
      <c r="D215" t="inlineStr">
        <is>
          <t>JÄMTLANDS LÄN</t>
        </is>
      </c>
      <c r="E215" t="inlineStr">
        <is>
          <t>RAGUNDA</t>
        </is>
      </c>
      <c r="F215" t="inlineStr">
        <is>
          <t>SCA</t>
        </is>
      </c>
      <c r="G215" t="n">
        <v>4.5</v>
      </c>
      <c r="H215" t="n">
        <v>0</v>
      </c>
      <c r="I215" t="n">
        <v>1</v>
      </c>
      <c r="J215" t="n">
        <v>1</v>
      </c>
      <c r="K215" t="n">
        <v>0</v>
      </c>
      <c r="L215" t="n">
        <v>0</v>
      </c>
      <c r="M215" t="n">
        <v>0</v>
      </c>
      <c r="N215" t="n">
        <v>0</v>
      </c>
      <c r="O215" t="n">
        <v>1</v>
      </c>
      <c r="P215" t="n">
        <v>0</v>
      </c>
      <c r="Q215" t="n">
        <v>2</v>
      </c>
      <c r="R215" s="2" t="inlineStr">
        <is>
          <t>Lunglav
Stuplav</t>
        </is>
      </c>
      <c r="S215">
        <f>HYPERLINK("https://klasma.github.io/Logging_2303/artfynd/A 40826-2023 artfynd.xlsx", "A 40826-2023")</f>
        <v/>
      </c>
      <c r="T215">
        <f>HYPERLINK("https://klasma.github.io/Logging_2303/kartor/A 40826-2023 karta.png", "A 40826-2023")</f>
        <v/>
      </c>
      <c r="V215">
        <f>HYPERLINK("https://klasma.github.io/Logging_2303/klagomål/A 40826-2023 FSC-klagomål.docx", "A 40826-2023")</f>
        <v/>
      </c>
      <c r="W215">
        <f>HYPERLINK("https://klasma.github.io/Logging_2303/klagomålsmail/A 40826-2023 FSC-klagomål mail.docx", "A 40826-2023")</f>
        <v/>
      </c>
      <c r="X215">
        <f>HYPERLINK("https://klasma.github.io/Logging_2303/tillsyn/A 40826-2023 tillsynsbegäran.docx", "A 40826-2023")</f>
        <v/>
      </c>
      <c r="Y215">
        <f>HYPERLINK("https://klasma.github.io/Logging_2303/tillsynsmail/A 40826-2023 tillsynsbegäran mail.docx", "A 40826-2023")</f>
        <v/>
      </c>
    </row>
    <row r="216" ht="15" customHeight="1">
      <c r="A216" t="inlineStr">
        <is>
          <t>A 41407-2023</t>
        </is>
      </c>
      <c r="B216" s="1" t="n">
        <v>45174</v>
      </c>
      <c r="C216" s="1" t="n">
        <v>45712</v>
      </c>
      <c r="D216" t="inlineStr">
        <is>
          <t>JÄMTLANDS LÄN</t>
        </is>
      </c>
      <c r="E216" t="inlineStr">
        <is>
          <t>RAGUNDA</t>
        </is>
      </c>
      <c r="F216" t="inlineStr">
        <is>
          <t>SCA</t>
        </is>
      </c>
      <c r="G216" t="n">
        <v>1.4</v>
      </c>
      <c r="H216" t="n">
        <v>0</v>
      </c>
      <c r="I216" t="n">
        <v>0</v>
      </c>
      <c r="J216" t="n">
        <v>1</v>
      </c>
      <c r="K216" t="n">
        <v>1</v>
      </c>
      <c r="L216" t="n">
        <v>0</v>
      </c>
      <c r="M216" t="n">
        <v>0</v>
      </c>
      <c r="N216" t="n">
        <v>0</v>
      </c>
      <c r="O216" t="n">
        <v>2</v>
      </c>
      <c r="P216" t="n">
        <v>1</v>
      </c>
      <c r="Q216" t="n">
        <v>2</v>
      </c>
      <c r="R216" s="2" t="inlineStr">
        <is>
          <t>Gräddporing
Dvärgbägarlav</t>
        </is>
      </c>
      <c r="S216">
        <f>HYPERLINK("https://klasma.github.io/Logging_2303/artfynd/A 41407-2023 artfynd.xlsx", "A 41407-2023")</f>
        <v/>
      </c>
      <c r="T216">
        <f>HYPERLINK("https://klasma.github.io/Logging_2303/kartor/A 41407-2023 karta.png", "A 41407-2023")</f>
        <v/>
      </c>
      <c r="V216">
        <f>HYPERLINK("https://klasma.github.io/Logging_2303/klagomål/A 41407-2023 FSC-klagomål.docx", "A 41407-2023")</f>
        <v/>
      </c>
      <c r="W216">
        <f>HYPERLINK("https://klasma.github.io/Logging_2303/klagomålsmail/A 41407-2023 FSC-klagomål mail.docx", "A 41407-2023")</f>
        <v/>
      </c>
      <c r="X216">
        <f>HYPERLINK("https://klasma.github.io/Logging_2303/tillsyn/A 41407-2023 tillsynsbegäran.docx", "A 41407-2023")</f>
        <v/>
      </c>
      <c r="Y216">
        <f>HYPERLINK("https://klasma.github.io/Logging_2303/tillsynsmail/A 41407-2023 tillsynsbegäran mail.docx", "A 41407-2023")</f>
        <v/>
      </c>
    </row>
    <row r="217" ht="15" customHeight="1">
      <c r="A217" t="inlineStr">
        <is>
          <t>A 43232-2023</t>
        </is>
      </c>
      <c r="B217" s="1" t="n">
        <v>45180</v>
      </c>
      <c r="C217" s="1" t="n">
        <v>45712</v>
      </c>
      <c r="D217" t="inlineStr">
        <is>
          <t>JÄMTLANDS LÄN</t>
        </is>
      </c>
      <c r="E217" t="inlineStr">
        <is>
          <t>RAGUNDA</t>
        </is>
      </c>
      <c r="G217" t="n">
        <v>7.9</v>
      </c>
      <c r="H217" t="n">
        <v>0</v>
      </c>
      <c r="I217" t="n">
        <v>0</v>
      </c>
      <c r="J217" t="n">
        <v>2</v>
      </c>
      <c r="K217" t="n">
        <v>0</v>
      </c>
      <c r="L217" t="n">
        <v>0</v>
      </c>
      <c r="M217" t="n">
        <v>0</v>
      </c>
      <c r="N217" t="n">
        <v>0</v>
      </c>
      <c r="O217" t="n">
        <v>2</v>
      </c>
      <c r="P217" t="n">
        <v>0</v>
      </c>
      <c r="Q217" t="n">
        <v>2</v>
      </c>
      <c r="R217" s="2" t="inlineStr">
        <is>
          <t>Garnlav
Ullticka</t>
        </is>
      </c>
      <c r="S217">
        <f>HYPERLINK("https://klasma.github.io/Logging_2303/artfynd/A 43232-2023 artfynd.xlsx", "A 43232-2023")</f>
        <v/>
      </c>
      <c r="T217">
        <f>HYPERLINK("https://klasma.github.io/Logging_2303/kartor/A 43232-2023 karta.png", "A 43232-2023")</f>
        <v/>
      </c>
      <c r="V217">
        <f>HYPERLINK("https://klasma.github.io/Logging_2303/klagomål/A 43232-2023 FSC-klagomål.docx", "A 43232-2023")</f>
        <v/>
      </c>
      <c r="W217">
        <f>HYPERLINK("https://klasma.github.io/Logging_2303/klagomålsmail/A 43232-2023 FSC-klagomål mail.docx", "A 43232-2023")</f>
        <v/>
      </c>
      <c r="X217">
        <f>HYPERLINK("https://klasma.github.io/Logging_2303/tillsyn/A 43232-2023 tillsynsbegäran.docx", "A 43232-2023")</f>
        <v/>
      </c>
      <c r="Y217">
        <f>HYPERLINK("https://klasma.github.io/Logging_2303/tillsynsmail/A 43232-2023 tillsynsbegäran mail.docx", "A 43232-2023")</f>
        <v/>
      </c>
    </row>
    <row r="218" ht="15" customHeight="1">
      <c r="A218" t="inlineStr">
        <is>
          <t>A 44409-2023</t>
        </is>
      </c>
      <c r="B218" s="1" t="n">
        <v>45188</v>
      </c>
      <c r="C218" s="1" t="n">
        <v>45712</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Garnlav
Norrlandslav</t>
        </is>
      </c>
      <c r="S218">
        <f>HYPERLINK("https://klasma.github.io/Logging_2303/artfynd/A 44409-2023 artfynd.xlsx", "A 44409-2023")</f>
        <v/>
      </c>
      <c r="T218">
        <f>HYPERLINK("https://klasma.github.io/Logging_2303/kartor/A 44409-2023 karta.png", "A 44409-2023")</f>
        <v/>
      </c>
      <c r="V218">
        <f>HYPERLINK("https://klasma.github.io/Logging_2303/klagomål/A 44409-2023 FSC-klagomål.docx", "A 44409-2023")</f>
        <v/>
      </c>
      <c r="W218">
        <f>HYPERLINK("https://klasma.github.io/Logging_2303/klagomålsmail/A 44409-2023 FSC-klagomål mail.docx", "A 44409-2023")</f>
        <v/>
      </c>
      <c r="X218">
        <f>HYPERLINK("https://klasma.github.io/Logging_2303/tillsyn/A 44409-2023 tillsynsbegäran.docx", "A 44409-2023")</f>
        <v/>
      </c>
      <c r="Y218">
        <f>HYPERLINK("https://klasma.github.io/Logging_2303/tillsynsmail/A 44409-2023 tillsynsbegäran mail.docx", "A 44409-2023")</f>
        <v/>
      </c>
    </row>
    <row r="219" ht="15" customHeight="1">
      <c r="A219" t="inlineStr">
        <is>
          <t>A 45021-2023</t>
        </is>
      </c>
      <c r="B219" s="1" t="n">
        <v>45190</v>
      </c>
      <c r="C219" s="1" t="n">
        <v>45712</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2</v>
      </c>
      <c r="R219" s="2" t="inlineStr">
        <is>
          <t>Lunglav
Fläcknycklar</t>
        </is>
      </c>
      <c r="S219">
        <f>HYPERLINK("https://klasma.github.io/Logging_2303/artfynd/A 45021-2023 artfynd.xlsx", "A 45021-2023")</f>
        <v/>
      </c>
      <c r="T219">
        <f>HYPERLINK("https://klasma.github.io/Logging_2303/kartor/A 45021-2023 karta.png", "A 45021-2023")</f>
        <v/>
      </c>
      <c r="V219">
        <f>HYPERLINK("https://klasma.github.io/Logging_2303/klagomål/A 45021-2023 FSC-klagomål.docx", "A 45021-2023")</f>
        <v/>
      </c>
      <c r="W219">
        <f>HYPERLINK("https://klasma.github.io/Logging_2303/klagomålsmail/A 45021-2023 FSC-klagomål mail.docx", "A 45021-2023")</f>
        <v/>
      </c>
      <c r="X219">
        <f>HYPERLINK("https://klasma.github.io/Logging_2303/tillsyn/A 45021-2023 tillsynsbegäran.docx", "A 45021-2023")</f>
        <v/>
      </c>
      <c r="Y219">
        <f>HYPERLINK("https://klasma.github.io/Logging_2303/tillsynsmail/A 45021-2023 tillsynsbegäran mail.docx", "A 45021-2023")</f>
        <v/>
      </c>
    </row>
    <row r="220" ht="15" customHeight="1">
      <c r="A220" t="inlineStr">
        <is>
          <t>A 45035-2023</t>
        </is>
      </c>
      <c r="B220" s="1" t="n">
        <v>45191</v>
      </c>
      <c r="C220" s="1" t="n">
        <v>45712</v>
      </c>
      <c r="D220" t="inlineStr">
        <is>
          <t>JÄMTLANDS LÄN</t>
        </is>
      </c>
      <c r="E220" t="inlineStr">
        <is>
          <t>RAGUNDA</t>
        </is>
      </c>
      <c r="G220" t="n">
        <v>2.9</v>
      </c>
      <c r="H220" t="n">
        <v>0</v>
      </c>
      <c r="I220" t="n">
        <v>1</v>
      </c>
      <c r="J220" t="n">
        <v>1</v>
      </c>
      <c r="K220" t="n">
        <v>0</v>
      </c>
      <c r="L220" t="n">
        <v>0</v>
      </c>
      <c r="M220" t="n">
        <v>0</v>
      </c>
      <c r="N220" t="n">
        <v>0</v>
      </c>
      <c r="O220" t="n">
        <v>1</v>
      </c>
      <c r="P220" t="n">
        <v>0</v>
      </c>
      <c r="Q220" t="n">
        <v>2</v>
      </c>
      <c r="R220" s="2" t="inlineStr">
        <is>
          <t>Lunglav
Korallblylav</t>
        </is>
      </c>
      <c r="S220">
        <f>HYPERLINK("https://klasma.github.io/Logging_2303/artfynd/A 45035-2023 artfynd.xlsx", "A 45035-2023")</f>
        <v/>
      </c>
      <c r="T220">
        <f>HYPERLINK("https://klasma.github.io/Logging_2303/kartor/A 45035-2023 karta.png", "A 45035-2023")</f>
        <v/>
      </c>
      <c r="V220">
        <f>HYPERLINK("https://klasma.github.io/Logging_2303/klagomål/A 45035-2023 FSC-klagomål.docx", "A 45035-2023")</f>
        <v/>
      </c>
      <c r="W220">
        <f>HYPERLINK("https://klasma.github.io/Logging_2303/klagomålsmail/A 45035-2023 FSC-klagomål mail.docx", "A 45035-2023")</f>
        <v/>
      </c>
      <c r="X220">
        <f>HYPERLINK("https://klasma.github.io/Logging_2303/tillsyn/A 45035-2023 tillsynsbegäran.docx", "A 45035-2023")</f>
        <v/>
      </c>
      <c r="Y220">
        <f>HYPERLINK("https://klasma.github.io/Logging_2303/tillsynsmail/A 45035-2023 tillsynsbegäran mail.docx", "A 45035-2023")</f>
        <v/>
      </c>
    </row>
    <row r="221" ht="15" customHeight="1">
      <c r="A221" t="inlineStr">
        <is>
          <t>A 48427-2023</t>
        </is>
      </c>
      <c r="B221" s="1" t="n">
        <v>45205</v>
      </c>
      <c r="C221" s="1" t="n">
        <v>45712</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48427-2023 artfynd.xlsx", "A 48427-2023")</f>
        <v/>
      </c>
      <c r="T221">
        <f>HYPERLINK("https://klasma.github.io/Logging_2303/kartor/A 48427-2023 karta.png", "A 48427-2023")</f>
        <v/>
      </c>
      <c r="V221">
        <f>HYPERLINK("https://klasma.github.io/Logging_2303/klagomål/A 48427-2023 FSC-klagomål.docx", "A 48427-2023")</f>
        <v/>
      </c>
      <c r="W221">
        <f>HYPERLINK("https://klasma.github.io/Logging_2303/klagomålsmail/A 48427-2023 FSC-klagomål mail.docx", "A 48427-2023")</f>
        <v/>
      </c>
      <c r="X221">
        <f>HYPERLINK("https://klasma.github.io/Logging_2303/tillsyn/A 48427-2023 tillsynsbegäran.docx", "A 48427-2023")</f>
        <v/>
      </c>
      <c r="Y221">
        <f>HYPERLINK("https://klasma.github.io/Logging_2303/tillsynsmail/A 48427-2023 tillsynsbegäran mail.docx", "A 48427-2023")</f>
        <v/>
      </c>
    </row>
    <row r="222" ht="15" customHeight="1">
      <c r="A222" t="inlineStr">
        <is>
          <t>A 48474-2023</t>
        </is>
      </c>
      <c r="B222" s="1" t="n">
        <v>45206</v>
      </c>
      <c r="C222" s="1" t="n">
        <v>45712</v>
      </c>
      <c r="D222" t="inlineStr">
        <is>
          <t>JÄMTLANDS LÄN</t>
        </is>
      </c>
      <c r="E222" t="inlineStr">
        <is>
          <t>RAGUNDA</t>
        </is>
      </c>
      <c r="F222" t="inlineStr">
        <is>
          <t>SCA</t>
        </is>
      </c>
      <c r="G222" t="n">
        <v>10.1</v>
      </c>
      <c r="H222" t="n">
        <v>0</v>
      </c>
      <c r="I222" t="n">
        <v>1</v>
      </c>
      <c r="J222" t="n">
        <v>1</v>
      </c>
      <c r="K222" t="n">
        <v>0</v>
      </c>
      <c r="L222" t="n">
        <v>0</v>
      </c>
      <c r="M222" t="n">
        <v>0</v>
      </c>
      <c r="N222" t="n">
        <v>0</v>
      </c>
      <c r="O222" t="n">
        <v>1</v>
      </c>
      <c r="P222" t="n">
        <v>0</v>
      </c>
      <c r="Q222" t="n">
        <v>2</v>
      </c>
      <c r="R222" s="2" t="inlineStr">
        <is>
          <t>Lunglav
Luddlav</t>
        </is>
      </c>
      <c r="S222">
        <f>HYPERLINK("https://klasma.github.io/Logging_2303/artfynd/A 48474-2023 artfynd.xlsx", "A 48474-2023")</f>
        <v/>
      </c>
      <c r="T222">
        <f>HYPERLINK("https://klasma.github.io/Logging_2303/kartor/A 48474-2023 karta.png", "A 48474-2023")</f>
        <v/>
      </c>
      <c r="V222">
        <f>HYPERLINK("https://klasma.github.io/Logging_2303/klagomål/A 48474-2023 FSC-klagomål.docx", "A 48474-2023")</f>
        <v/>
      </c>
      <c r="W222">
        <f>HYPERLINK("https://klasma.github.io/Logging_2303/klagomålsmail/A 48474-2023 FSC-klagomål mail.docx", "A 48474-2023")</f>
        <v/>
      </c>
      <c r="X222">
        <f>HYPERLINK("https://klasma.github.io/Logging_2303/tillsyn/A 48474-2023 tillsynsbegäran.docx", "A 48474-2023")</f>
        <v/>
      </c>
      <c r="Y222">
        <f>HYPERLINK("https://klasma.github.io/Logging_2303/tillsynsmail/A 48474-2023 tillsynsbegäran mail.docx", "A 48474-2023")</f>
        <v/>
      </c>
    </row>
    <row r="223" ht="15" customHeight="1">
      <c r="A223" t="inlineStr">
        <is>
          <t>A 55647-2023</t>
        </is>
      </c>
      <c r="B223" s="1" t="n">
        <v>45238</v>
      </c>
      <c r="C223" s="1" t="n">
        <v>45712</v>
      </c>
      <c r="D223" t="inlineStr">
        <is>
          <t>JÄMTLANDS LÄN</t>
        </is>
      </c>
      <c r="E223" t="inlineStr">
        <is>
          <t>RAGUNDA</t>
        </is>
      </c>
      <c r="F223" t="inlineStr">
        <is>
          <t>SCA</t>
        </is>
      </c>
      <c r="G223" t="n">
        <v>3.7</v>
      </c>
      <c r="H223" t="n">
        <v>0</v>
      </c>
      <c r="I223" t="n">
        <v>1</v>
      </c>
      <c r="J223" t="n">
        <v>1</v>
      </c>
      <c r="K223" t="n">
        <v>0</v>
      </c>
      <c r="L223" t="n">
        <v>0</v>
      </c>
      <c r="M223" t="n">
        <v>0</v>
      </c>
      <c r="N223" t="n">
        <v>0</v>
      </c>
      <c r="O223" t="n">
        <v>1</v>
      </c>
      <c r="P223" t="n">
        <v>0</v>
      </c>
      <c r="Q223" t="n">
        <v>2</v>
      </c>
      <c r="R223" s="2" t="inlineStr">
        <is>
          <t>Granticka
Trådticka</t>
        </is>
      </c>
      <c r="S223">
        <f>HYPERLINK("https://klasma.github.io/Logging_2303/artfynd/A 55647-2023 artfynd.xlsx", "A 55647-2023")</f>
        <v/>
      </c>
      <c r="T223">
        <f>HYPERLINK("https://klasma.github.io/Logging_2303/kartor/A 55647-2023 karta.png", "A 55647-2023")</f>
        <v/>
      </c>
      <c r="V223">
        <f>HYPERLINK("https://klasma.github.io/Logging_2303/klagomål/A 55647-2023 FSC-klagomål.docx", "A 55647-2023")</f>
        <v/>
      </c>
      <c r="W223">
        <f>HYPERLINK("https://klasma.github.io/Logging_2303/klagomålsmail/A 55647-2023 FSC-klagomål mail.docx", "A 55647-2023")</f>
        <v/>
      </c>
      <c r="X223">
        <f>HYPERLINK("https://klasma.github.io/Logging_2303/tillsyn/A 55647-2023 tillsynsbegäran.docx", "A 55647-2023")</f>
        <v/>
      </c>
      <c r="Y223">
        <f>HYPERLINK("https://klasma.github.io/Logging_2303/tillsynsmail/A 55647-2023 tillsynsbegäran mail.docx", "A 55647-2023")</f>
        <v/>
      </c>
    </row>
    <row r="224" ht="15" customHeight="1">
      <c r="A224" t="inlineStr">
        <is>
          <t>A 56285-2023</t>
        </is>
      </c>
      <c r="B224" s="1" t="n">
        <v>45241</v>
      </c>
      <c r="C224" s="1" t="n">
        <v>45712</v>
      </c>
      <c r="D224" t="inlineStr">
        <is>
          <t>JÄMTLANDS LÄN</t>
        </is>
      </c>
      <c r="E224" t="inlineStr">
        <is>
          <t>RAGUNDA</t>
        </is>
      </c>
      <c r="F224" t="inlineStr">
        <is>
          <t>SCA</t>
        </is>
      </c>
      <c r="G224" t="n">
        <v>5.5</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56285-2023 artfynd.xlsx", "A 56285-2023")</f>
        <v/>
      </c>
      <c r="T224">
        <f>HYPERLINK("https://klasma.github.io/Logging_2303/kartor/A 56285-2023 karta.png", "A 56285-2023")</f>
        <v/>
      </c>
      <c r="V224">
        <f>HYPERLINK("https://klasma.github.io/Logging_2303/klagomål/A 56285-2023 FSC-klagomål.docx", "A 56285-2023")</f>
        <v/>
      </c>
      <c r="W224">
        <f>HYPERLINK("https://klasma.github.io/Logging_2303/klagomålsmail/A 56285-2023 FSC-klagomål mail.docx", "A 56285-2023")</f>
        <v/>
      </c>
      <c r="X224">
        <f>HYPERLINK("https://klasma.github.io/Logging_2303/tillsyn/A 56285-2023 tillsynsbegäran.docx", "A 56285-2023")</f>
        <v/>
      </c>
      <c r="Y224">
        <f>HYPERLINK("https://klasma.github.io/Logging_2303/tillsynsmail/A 56285-2023 tillsynsbegäran mail.docx", "A 56285-2023")</f>
        <v/>
      </c>
    </row>
    <row r="225" ht="15" customHeight="1">
      <c r="A225" t="inlineStr">
        <is>
          <t>A 3838-2024</t>
        </is>
      </c>
      <c r="B225" s="1" t="n">
        <v>45321</v>
      </c>
      <c r="C225" s="1" t="n">
        <v>45712</v>
      </c>
      <c r="D225" t="inlineStr">
        <is>
          <t>JÄMTLANDS LÄN</t>
        </is>
      </c>
      <c r="E225" t="inlineStr">
        <is>
          <t>RAGUNDA</t>
        </is>
      </c>
      <c r="F225" t="inlineStr">
        <is>
          <t>SCA</t>
        </is>
      </c>
      <c r="G225" t="n">
        <v>2</v>
      </c>
      <c r="H225" t="n">
        <v>1</v>
      </c>
      <c r="I225" t="n">
        <v>1</v>
      </c>
      <c r="J225" t="n">
        <v>1</v>
      </c>
      <c r="K225" t="n">
        <v>0</v>
      </c>
      <c r="L225" t="n">
        <v>0</v>
      </c>
      <c r="M225" t="n">
        <v>0</v>
      </c>
      <c r="N225" t="n">
        <v>0</v>
      </c>
      <c r="O225" t="n">
        <v>1</v>
      </c>
      <c r="P225" t="n">
        <v>0</v>
      </c>
      <c r="Q225" t="n">
        <v>2</v>
      </c>
      <c r="R225" s="2" t="inlineStr">
        <is>
          <t>Garnlav
Guckusko</t>
        </is>
      </c>
      <c r="S225">
        <f>HYPERLINK("https://klasma.github.io/Logging_2303/artfynd/A 3838-2024 artfynd.xlsx", "A 3838-2024")</f>
        <v/>
      </c>
      <c r="T225">
        <f>HYPERLINK("https://klasma.github.io/Logging_2303/kartor/A 3838-2024 karta.png", "A 3838-2024")</f>
        <v/>
      </c>
      <c r="V225">
        <f>HYPERLINK("https://klasma.github.io/Logging_2303/klagomål/A 3838-2024 FSC-klagomål.docx", "A 3838-2024")</f>
        <v/>
      </c>
      <c r="W225">
        <f>HYPERLINK("https://klasma.github.io/Logging_2303/klagomålsmail/A 3838-2024 FSC-klagomål mail.docx", "A 3838-2024")</f>
        <v/>
      </c>
      <c r="X225">
        <f>HYPERLINK("https://klasma.github.io/Logging_2303/tillsyn/A 3838-2024 tillsynsbegäran.docx", "A 3838-2024")</f>
        <v/>
      </c>
      <c r="Y225">
        <f>HYPERLINK("https://klasma.github.io/Logging_2303/tillsynsmail/A 3838-2024 tillsynsbegäran mail.docx", "A 3838-2024")</f>
        <v/>
      </c>
    </row>
    <row r="226" ht="15" customHeight="1">
      <c r="A226" t="inlineStr">
        <is>
          <t>A 11544-2024</t>
        </is>
      </c>
      <c r="B226" s="1" t="n">
        <v>45372</v>
      </c>
      <c r="C226" s="1" t="n">
        <v>45712</v>
      </c>
      <c r="D226" t="inlineStr">
        <is>
          <t>JÄMTLANDS LÄN</t>
        </is>
      </c>
      <c r="E226" t="inlineStr">
        <is>
          <t>RAGUNDA</t>
        </is>
      </c>
      <c r="F226" t="inlineStr">
        <is>
          <t>SCA</t>
        </is>
      </c>
      <c r="G226" t="n">
        <v>15.5</v>
      </c>
      <c r="H226" t="n">
        <v>0</v>
      </c>
      <c r="I226" t="n">
        <v>0</v>
      </c>
      <c r="J226" t="n">
        <v>2</v>
      </c>
      <c r="K226" t="n">
        <v>0</v>
      </c>
      <c r="L226" t="n">
        <v>0</v>
      </c>
      <c r="M226" t="n">
        <v>0</v>
      </c>
      <c r="N226" t="n">
        <v>0</v>
      </c>
      <c r="O226" t="n">
        <v>2</v>
      </c>
      <c r="P226" t="n">
        <v>0</v>
      </c>
      <c r="Q226" t="n">
        <v>2</v>
      </c>
      <c r="R226" s="2" t="inlineStr">
        <is>
          <t>Granticka
Mörk kolflarnlav</t>
        </is>
      </c>
      <c r="S226">
        <f>HYPERLINK("https://klasma.github.io/Logging_2303/artfynd/A 11544-2024 artfynd.xlsx", "A 11544-2024")</f>
        <v/>
      </c>
      <c r="T226">
        <f>HYPERLINK("https://klasma.github.io/Logging_2303/kartor/A 11544-2024 karta.png", "A 11544-2024")</f>
        <v/>
      </c>
      <c r="V226">
        <f>HYPERLINK("https://klasma.github.io/Logging_2303/klagomål/A 11544-2024 FSC-klagomål.docx", "A 11544-2024")</f>
        <v/>
      </c>
      <c r="W226">
        <f>HYPERLINK("https://klasma.github.io/Logging_2303/klagomålsmail/A 11544-2024 FSC-klagomål mail.docx", "A 11544-2024")</f>
        <v/>
      </c>
      <c r="X226">
        <f>HYPERLINK("https://klasma.github.io/Logging_2303/tillsyn/A 11544-2024 tillsynsbegäran.docx", "A 11544-2024")</f>
        <v/>
      </c>
      <c r="Y226">
        <f>HYPERLINK("https://klasma.github.io/Logging_2303/tillsynsmail/A 11544-2024 tillsynsbegäran mail.docx", "A 11544-2024")</f>
        <v/>
      </c>
    </row>
    <row r="227" ht="15" customHeight="1">
      <c r="A227" t="inlineStr">
        <is>
          <t>A 12271-2024</t>
        </is>
      </c>
      <c r="B227" s="1" t="n">
        <v>45378</v>
      </c>
      <c r="C227" s="1" t="n">
        <v>45712</v>
      </c>
      <c r="D227" t="inlineStr">
        <is>
          <t>JÄMTLANDS LÄN</t>
        </is>
      </c>
      <c r="E227" t="inlineStr">
        <is>
          <t>RAGUNDA</t>
        </is>
      </c>
      <c r="F227" t="inlineStr">
        <is>
          <t>Kommuner</t>
        </is>
      </c>
      <c r="G227" t="n">
        <v>6.1</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12271-2024 artfynd.xlsx", "A 12271-2024")</f>
        <v/>
      </c>
      <c r="T227">
        <f>HYPERLINK("https://klasma.github.io/Logging_2303/kartor/A 12271-2024 karta.png", "A 12271-2024")</f>
        <v/>
      </c>
      <c r="V227">
        <f>HYPERLINK("https://klasma.github.io/Logging_2303/klagomål/A 12271-2024 FSC-klagomål.docx", "A 12271-2024")</f>
        <v/>
      </c>
      <c r="W227">
        <f>HYPERLINK("https://klasma.github.io/Logging_2303/klagomålsmail/A 12271-2024 FSC-klagomål mail.docx", "A 12271-2024")</f>
        <v/>
      </c>
      <c r="X227">
        <f>HYPERLINK("https://klasma.github.io/Logging_2303/tillsyn/A 12271-2024 tillsynsbegäran.docx", "A 12271-2024")</f>
        <v/>
      </c>
      <c r="Y227">
        <f>HYPERLINK("https://klasma.github.io/Logging_2303/tillsynsmail/A 12271-2024 tillsynsbegäran mail.docx", "A 12271-2024")</f>
        <v/>
      </c>
    </row>
    <row r="228" ht="15" customHeight="1">
      <c r="A228" t="inlineStr">
        <is>
          <t>A 13660-2024</t>
        </is>
      </c>
      <c r="B228" s="1" t="n">
        <v>45387</v>
      </c>
      <c r="C228" s="1" t="n">
        <v>45712</v>
      </c>
      <c r="D228" t="inlineStr">
        <is>
          <t>JÄMTLANDS LÄN</t>
        </is>
      </c>
      <c r="E228" t="inlineStr">
        <is>
          <t>RAGUNDA</t>
        </is>
      </c>
      <c r="G228" t="n">
        <v>4.8</v>
      </c>
      <c r="H228" t="n">
        <v>1</v>
      </c>
      <c r="I228" t="n">
        <v>1</v>
      </c>
      <c r="J228" t="n">
        <v>1</v>
      </c>
      <c r="K228" t="n">
        <v>0</v>
      </c>
      <c r="L228" t="n">
        <v>0</v>
      </c>
      <c r="M228" t="n">
        <v>0</v>
      </c>
      <c r="N228" t="n">
        <v>0</v>
      </c>
      <c r="O228" t="n">
        <v>1</v>
      </c>
      <c r="P228" t="n">
        <v>0</v>
      </c>
      <c r="Q228" t="n">
        <v>2</v>
      </c>
      <c r="R228" s="2" t="inlineStr">
        <is>
          <t>Garnlav
Plattlummer</t>
        </is>
      </c>
      <c r="S228">
        <f>HYPERLINK("https://klasma.github.io/Logging_2303/artfynd/A 13660-2024 artfynd.xlsx", "A 13660-2024")</f>
        <v/>
      </c>
      <c r="T228">
        <f>HYPERLINK("https://klasma.github.io/Logging_2303/kartor/A 13660-2024 karta.png", "A 13660-2024")</f>
        <v/>
      </c>
      <c r="V228">
        <f>HYPERLINK("https://klasma.github.io/Logging_2303/klagomål/A 13660-2024 FSC-klagomål.docx", "A 13660-2024")</f>
        <v/>
      </c>
      <c r="W228">
        <f>HYPERLINK("https://klasma.github.io/Logging_2303/klagomålsmail/A 13660-2024 FSC-klagomål mail.docx", "A 13660-2024")</f>
        <v/>
      </c>
      <c r="X228">
        <f>HYPERLINK("https://klasma.github.io/Logging_2303/tillsyn/A 13660-2024 tillsynsbegäran.docx", "A 13660-2024")</f>
        <v/>
      </c>
      <c r="Y228">
        <f>HYPERLINK("https://klasma.github.io/Logging_2303/tillsynsmail/A 13660-2024 tillsynsbegäran mail.docx", "A 13660-2024")</f>
        <v/>
      </c>
    </row>
    <row r="229" ht="15" customHeight="1">
      <c r="A229" t="inlineStr">
        <is>
          <t>A 13943-2024</t>
        </is>
      </c>
      <c r="B229" s="1" t="n">
        <v>45392</v>
      </c>
      <c r="C229" s="1" t="n">
        <v>45712</v>
      </c>
      <c r="D229" t="inlineStr">
        <is>
          <t>JÄMTLANDS LÄN</t>
        </is>
      </c>
      <c r="E229" t="inlineStr">
        <is>
          <t>RAGUNDA</t>
        </is>
      </c>
      <c r="F229" t="inlineStr">
        <is>
          <t>SCA</t>
        </is>
      </c>
      <c r="G229" t="n">
        <v>3.5</v>
      </c>
      <c r="H229" t="n">
        <v>1</v>
      </c>
      <c r="I229" t="n">
        <v>1</v>
      </c>
      <c r="J229" t="n">
        <v>1</v>
      </c>
      <c r="K229" t="n">
        <v>0</v>
      </c>
      <c r="L229" t="n">
        <v>0</v>
      </c>
      <c r="M229" t="n">
        <v>0</v>
      </c>
      <c r="N229" t="n">
        <v>0</v>
      </c>
      <c r="O229" t="n">
        <v>1</v>
      </c>
      <c r="P229" t="n">
        <v>0</v>
      </c>
      <c r="Q229" t="n">
        <v>2</v>
      </c>
      <c r="R229" s="2" t="inlineStr">
        <is>
          <t>Spillkråka
Dropptaggsvamp</t>
        </is>
      </c>
      <c r="S229">
        <f>HYPERLINK("https://klasma.github.io/Logging_2303/artfynd/A 13943-2024 artfynd.xlsx", "A 13943-2024")</f>
        <v/>
      </c>
      <c r="T229">
        <f>HYPERLINK("https://klasma.github.io/Logging_2303/kartor/A 13943-2024 karta.png", "A 13943-2024")</f>
        <v/>
      </c>
      <c r="V229">
        <f>HYPERLINK("https://klasma.github.io/Logging_2303/klagomål/A 13943-2024 FSC-klagomål.docx", "A 13943-2024")</f>
        <v/>
      </c>
      <c r="W229">
        <f>HYPERLINK("https://klasma.github.io/Logging_2303/klagomålsmail/A 13943-2024 FSC-klagomål mail.docx", "A 13943-2024")</f>
        <v/>
      </c>
      <c r="X229">
        <f>HYPERLINK("https://klasma.github.io/Logging_2303/tillsyn/A 13943-2024 tillsynsbegäran.docx", "A 13943-2024")</f>
        <v/>
      </c>
      <c r="Y229">
        <f>HYPERLINK("https://klasma.github.io/Logging_2303/tillsynsmail/A 13943-2024 tillsynsbegäran mail.docx", "A 13943-2024")</f>
        <v/>
      </c>
      <c r="Z229">
        <f>HYPERLINK("https://klasma.github.io/Logging_2303/fåglar/A 13943-2024 prioriterade fågelarter.docx", "A 13943-2024")</f>
        <v/>
      </c>
    </row>
    <row r="230" ht="15" customHeight="1">
      <c r="A230" t="inlineStr">
        <is>
          <t>A 14502-2024</t>
        </is>
      </c>
      <c r="B230" s="1" t="n">
        <v>45394</v>
      </c>
      <c r="C230" s="1" t="n">
        <v>45712</v>
      </c>
      <c r="D230" t="inlineStr">
        <is>
          <t>JÄMTLANDS LÄN</t>
        </is>
      </c>
      <c r="E230" t="inlineStr">
        <is>
          <t>RAGUNDA</t>
        </is>
      </c>
      <c r="G230" t="n">
        <v>11.6</v>
      </c>
      <c r="H230" t="n">
        <v>0</v>
      </c>
      <c r="I230" t="n">
        <v>0</v>
      </c>
      <c r="J230" t="n">
        <v>2</v>
      </c>
      <c r="K230" t="n">
        <v>0</v>
      </c>
      <c r="L230" t="n">
        <v>0</v>
      </c>
      <c r="M230" t="n">
        <v>0</v>
      </c>
      <c r="N230" t="n">
        <v>0</v>
      </c>
      <c r="O230" t="n">
        <v>2</v>
      </c>
      <c r="P230" t="n">
        <v>0</v>
      </c>
      <c r="Q230" t="n">
        <v>2</v>
      </c>
      <c r="R230" s="2" t="inlineStr">
        <is>
          <t>Garnlav
Stjärntagging</t>
        </is>
      </c>
      <c r="S230">
        <f>HYPERLINK("https://klasma.github.io/Logging_2303/artfynd/A 14502-2024 artfynd.xlsx", "A 14502-2024")</f>
        <v/>
      </c>
      <c r="T230">
        <f>HYPERLINK("https://klasma.github.io/Logging_2303/kartor/A 14502-2024 karta.png", "A 14502-2024")</f>
        <v/>
      </c>
      <c r="V230">
        <f>HYPERLINK("https://klasma.github.io/Logging_2303/klagomål/A 14502-2024 FSC-klagomål.docx", "A 14502-2024")</f>
        <v/>
      </c>
      <c r="W230">
        <f>HYPERLINK("https://klasma.github.io/Logging_2303/klagomålsmail/A 14502-2024 FSC-klagomål mail.docx", "A 14502-2024")</f>
        <v/>
      </c>
      <c r="X230">
        <f>HYPERLINK("https://klasma.github.io/Logging_2303/tillsyn/A 14502-2024 tillsynsbegäran.docx", "A 14502-2024")</f>
        <v/>
      </c>
      <c r="Y230">
        <f>HYPERLINK("https://klasma.github.io/Logging_2303/tillsynsmail/A 14502-2024 tillsynsbegäran mail.docx", "A 14502-2024")</f>
        <v/>
      </c>
    </row>
    <row r="231" ht="15" customHeight="1">
      <c r="A231" t="inlineStr">
        <is>
          <t>A 26324-2024</t>
        </is>
      </c>
      <c r="B231" s="1" t="n">
        <v>45469</v>
      </c>
      <c r="C231" s="1" t="n">
        <v>45712</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Knärot
Vedtrappmossa</t>
        </is>
      </c>
      <c r="S231">
        <f>HYPERLINK("https://klasma.github.io/Logging_2303/artfynd/A 26324-2024 artfynd.xlsx", "A 26324-2024")</f>
        <v/>
      </c>
      <c r="T231">
        <f>HYPERLINK("https://klasma.github.io/Logging_2303/kartor/A 26324-2024 karta.png", "A 26324-2024")</f>
        <v/>
      </c>
      <c r="U231">
        <f>HYPERLINK("https://klasma.github.io/Logging_2303/knärot/A 26324-2024 karta knärot.png", "A 26324-2024")</f>
        <v/>
      </c>
      <c r="V231">
        <f>HYPERLINK("https://klasma.github.io/Logging_2303/klagomål/A 26324-2024 FSC-klagomål.docx", "A 26324-2024")</f>
        <v/>
      </c>
      <c r="W231">
        <f>HYPERLINK("https://klasma.github.io/Logging_2303/klagomålsmail/A 26324-2024 FSC-klagomål mail.docx", "A 26324-2024")</f>
        <v/>
      </c>
      <c r="X231">
        <f>HYPERLINK("https://klasma.github.io/Logging_2303/tillsyn/A 26324-2024 tillsynsbegäran.docx", "A 26324-2024")</f>
        <v/>
      </c>
      <c r="Y231">
        <f>HYPERLINK("https://klasma.github.io/Logging_2303/tillsynsmail/A 26324-2024 tillsynsbegäran mail.docx", "A 26324-2024")</f>
        <v/>
      </c>
    </row>
    <row r="232" ht="15" customHeight="1">
      <c r="A232" t="inlineStr">
        <is>
          <t>A 32065-2024</t>
        </is>
      </c>
      <c r="B232" s="1" t="n">
        <v>45510</v>
      </c>
      <c r="C232" s="1" t="n">
        <v>45712</v>
      </c>
      <c r="D232" t="inlineStr">
        <is>
          <t>JÄMTLANDS LÄN</t>
        </is>
      </c>
      <c r="E232" t="inlineStr">
        <is>
          <t>RAGUNDA</t>
        </is>
      </c>
      <c r="F232" t="inlineStr">
        <is>
          <t>SCA</t>
        </is>
      </c>
      <c r="G232" t="n">
        <v>9.199999999999999</v>
      </c>
      <c r="H232" t="n">
        <v>0</v>
      </c>
      <c r="I232" t="n">
        <v>0</v>
      </c>
      <c r="J232" t="n">
        <v>2</v>
      </c>
      <c r="K232" t="n">
        <v>0</v>
      </c>
      <c r="L232" t="n">
        <v>0</v>
      </c>
      <c r="M232" t="n">
        <v>0</v>
      </c>
      <c r="N232" t="n">
        <v>0</v>
      </c>
      <c r="O232" t="n">
        <v>2</v>
      </c>
      <c r="P232" t="n">
        <v>0</v>
      </c>
      <c r="Q232" t="n">
        <v>2</v>
      </c>
      <c r="R232" s="2" t="inlineStr">
        <is>
          <t>Rosenticka
Vitgrynig nållav</t>
        </is>
      </c>
      <c r="S232">
        <f>HYPERLINK("https://klasma.github.io/Logging_2303/artfynd/A 32065-2024 artfynd.xlsx", "A 32065-2024")</f>
        <v/>
      </c>
      <c r="T232">
        <f>HYPERLINK("https://klasma.github.io/Logging_2303/kartor/A 32065-2024 karta.png", "A 32065-2024")</f>
        <v/>
      </c>
      <c r="V232">
        <f>HYPERLINK("https://klasma.github.io/Logging_2303/klagomål/A 32065-2024 FSC-klagomål.docx", "A 32065-2024")</f>
        <v/>
      </c>
      <c r="W232">
        <f>HYPERLINK("https://klasma.github.io/Logging_2303/klagomålsmail/A 32065-2024 FSC-klagomål mail.docx", "A 32065-2024")</f>
        <v/>
      </c>
      <c r="X232">
        <f>HYPERLINK("https://klasma.github.io/Logging_2303/tillsyn/A 32065-2024 tillsynsbegäran.docx", "A 32065-2024")</f>
        <v/>
      </c>
      <c r="Y232">
        <f>HYPERLINK("https://klasma.github.io/Logging_2303/tillsynsmail/A 32065-2024 tillsynsbegäran mail.docx", "A 32065-2024")</f>
        <v/>
      </c>
    </row>
    <row r="233" ht="15" customHeight="1">
      <c r="A233" t="inlineStr">
        <is>
          <t>A 34715-2024</t>
        </is>
      </c>
      <c r="B233" s="1" t="n">
        <v>45526</v>
      </c>
      <c r="C233" s="1" t="n">
        <v>45712</v>
      </c>
      <c r="D233" t="inlineStr">
        <is>
          <t>JÄMTLANDS LÄN</t>
        </is>
      </c>
      <c r="E233" t="inlineStr">
        <is>
          <t>RAGUNDA</t>
        </is>
      </c>
      <c r="F233" t="inlineStr">
        <is>
          <t>SCA</t>
        </is>
      </c>
      <c r="G233" t="n">
        <v>3</v>
      </c>
      <c r="H233" t="n">
        <v>0</v>
      </c>
      <c r="I233" t="n">
        <v>1</v>
      </c>
      <c r="J233" t="n">
        <v>1</v>
      </c>
      <c r="K233" t="n">
        <v>0</v>
      </c>
      <c r="L233" t="n">
        <v>0</v>
      </c>
      <c r="M233" t="n">
        <v>0</v>
      </c>
      <c r="N233" t="n">
        <v>0</v>
      </c>
      <c r="O233" t="n">
        <v>1</v>
      </c>
      <c r="P233" t="n">
        <v>0</v>
      </c>
      <c r="Q233" t="n">
        <v>2</v>
      </c>
      <c r="R233" s="2" t="inlineStr">
        <is>
          <t>Garnlav
Vedticka</t>
        </is>
      </c>
      <c r="S233">
        <f>HYPERLINK("https://klasma.github.io/Logging_2303/artfynd/A 34715-2024 artfynd.xlsx", "A 34715-2024")</f>
        <v/>
      </c>
      <c r="T233">
        <f>HYPERLINK("https://klasma.github.io/Logging_2303/kartor/A 34715-2024 karta.png", "A 34715-2024")</f>
        <v/>
      </c>
      <c r="V233">
        <f>HYPERLINK("https://klasma.github.io/Logging_2303/klagomål/A 34715-2024 FSC-klagomål.docx", "A 34715-2024")</f>
        <v/>
      </c>
      <c r="W233">
        <f>HYPERLINK("https://klasma.github.io/Logging_2303/klagomålsmail/A 34715-2024 FSC-klagomål mail.docx", "A 34715-2024")</f>
        <v/>
      </c>
      <c r="X233">
        <f>HYPERLINK("https://klasma.github.io/Logging_2303/tillsyn/A 34715-2024 tillsynsbegäran.docx", "A 34715-2024")</f>
        <v/>
      </c>
      <c r="Y233">
        <f>HYPERLINK("https://klasma.github.io/Logging_2303/tillsynsmail/A 34715-2024 tillsynsbegäran mail.docx", "A 34715-2024")</f>
        <v/>
      </c>
    </row>
    <row r="234" ht="15" customHeight="1">
      <c r="A234" t="inlineStr">
        <is>
          <t>A 35405-2024</t>
        </is>
      </c>
      <c r="B234" s="1" t="n">
        <v>45531</v>
      </c>
      <c r="C234" s="1" t="n">
        <v>45712</v>
      </c>
      <c r="D234" t="inlineStr">
        <is>
          <t>JÄMTLANDS LÄN</t>
        </is>
      </c>
      <c r="E234" t="inlineStr">
        <is>
          <t>RAGUNDA</t>
        </is>
      </c>
      <c r="F234" t="inlineStr">
        <is>
          <t>SCA</t>
        </is>
      </c>
      <c r="G234" t="n">
        <v>12.3</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HYPERLINK("https://klasma.github.io/Logging_2303/artfynd/A 35405-2024 artfynd.xlsx", "A 35405-2024")</f>
        <v/>
      </c>
      <c r="T234">
        <f>HYPERLINK("https://klasma.github.io/Logging_2303/kartor/A 35405-2024 karta.png", "A 35405-2024")</f>
        <v/>
      </c>
      <c r="V234">
        <f>HYPERLINK("https://klasma.github.io/Logging_2303/klagomål/A 35405-2024 FSC-klagomål.docx", "A 35405-2024")</f>
        <v/>
      </c>
      <c r="W234">
        <f>HYPERLINK("https://klasma.github.io/Logging_2303/klagomålsmail/A 35405-2024 FSC-klagomål mail.docx", "A 35405-2024")</f>
        <v/>
      </c>
      <c r="X234">
        <f>HYPERLINK("https://klasma.github.io/Logging_2303/tillsyn/A 35405-2024 tillsynsbegäran.docx", "A 35405-2024")</f>
        <v/>
      </c>
      <c r="Y234">
        <f>HYPERLINK("https://klasma.github.io/Logging_2303/tillsynsmail/A 35405-2024 tillsynsbegäran mail.docx", "A 35405-2024")</f>
        <v/>
      </c>
    </row>
    <row r="235" ht="15" customHeight="1">
      <c r="A235" t="inlineStr">
        <is>
          <t>A 37826-2024</t>
        </is>
      </c>
      <c r="B235" s="1" t="n">
        <v>45544</v>
      </c>
      <c r="C235" s="1" t="n">
        <v>45712</v>
      </c>
      <c r="D235" t="inlineStr">
        <is>
          <t>JÄMTLANDS LÄN</t>
        </is>
      </c>
      <c r="E235" t="inlineStr">
        <is>
          <t>RAGUNDA</t>
        </is>
      </c>
      <c r="F235" t="inlineStr">
        <is>
          <t>SCA</t>
        </is>
      </c>
      <c r="G235" t="n">
        <v>12.8</v>
      </c>
      <c r="H235" t="n">
        <v>0</v>
      </c>
      <c r="I235" t="n">
        <v>0</v>
      </c>
      <c r="J235" t="n">
        <v>2</v>
      </c>
      <c r="K235" t="n">
        <v>0</v>
      </c>
      <c r="L235" t="n">
        <v>0</v>
      </c>
      <c r="M235" t="n">
        <v>0</v>
      </c>
      <c r="N235" t="n">
        <v>0</v>
      </c>
      <c r="O235" t="n">
        <v>2</v>
      </c>
      <c r="P235" t="n">
        <v>0</v>
      </c>
      <c r="Q235" t="n">
        <v>2</v>
      </c>
      <c r="R235" s="2" t="inlineStr">
        <is>
          <t>Brunklöver
Månlåsbräken</t>
        </is>
      </c>
      <c r="S235">
        <f>HYPERLINK("https://klasma.github.io/Logging_2303/artfynd/A 37826-2024 artfynd.xlsx", "A 37826-2024")</f>
        <v/>
      </c>
      <c r="T235">
        <f>HYPERLINK("https://klasma.github.io/Logging_2303/kartor/A 37826-2024 karta.png", "A 37826-2024")</f>
        <v/>
      </c>
      <c r="V235">
        <f>HYPERLINK("https://klasma.github.io/Logging_2303/klagomål/A 37826-2024 FSC-klagomål.docx", "A 37826-2024")</f>
        <v/>
      </c>
      <c r="W235">
        <f>HYPERLINK("https://klasma.github.io/Logging_2303/klagomålsmail/A 37826-2024 FSC-klagomål mail.docx", "A 37826-2024")</f>
        <v/>
      </c>
      <c r="X235">
        <f>HYPERLINK("https://klasma.github.io/Logging_2303/tillsyn/A 37826-2024 tillsynsbegäran.docx", "A 37826-2024")</f>
        <v/>
      </c>
      <c r="Y235">
        <f>HYPERLINK("https://klasma.github.io/Logging_2303/tillsynsmail/A 37826-2024 tillsynsbegäran mail.docx", "A 37826-2024")</f>
        <v/>
      </c>
    </row>
    <row r="236" ht="15" customHeight="1">
      <c r="A236" t="inlineStr">
        <is>
          <t>A 39495-2024</t>
        </is>
      </c>
      <c r="B236" s="1" t="n">
        <v>45551</v>
      </c>
      <c r="C236" s="1" t="n">
        <v>45712</v>
      </c>
      <c r="D236" t="inlineStr">
        <is>
          <t>JÄMTLANDS LÄN</t>
        </is>
      </c>
      <c r="E236" t="inlineStr">
        <is>
          <t>RAGUNDA</t>
        </is>
      </c>
      <c r="F236" t="inlineStr">
        <is>
          <t>SCA</t>
        </is>
      </c>
      <c r="G236" t="n">
        <v>6.6</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39495-2024 artfynd.xlsx", "A 39495-2024")</f>
        <v/>
      </c>
      <c r="T236">
        <f>HYPERLINK("https://klasma.github.io/Logging_2303/kartor/A 39495-2024 karta.png", "A 39495-2024")</f>
        <v/>
      </c>
      <c r="V236">
        <f>HYPERLINK("https://klasma.github.io/Logging_2303/klagomål/A 39495-2024 FSC-klagomål.docx", "A 39495-2024")</f>
        <v/>
      </c>
      <c r="W236">
        <f>HYPERLINK("https://klasma.github.io/Logging_2303/klagomålsmail/A 39495-2024 FSC-klagomål mail.docx", "A 39495-2024")</f>
        <v/>
      </c>
      <c r="X236">
        <f>HYPERLINK("https://klasma.github.io/Logging_2303/tillsyn/A 39495-2024 tillsynsbegäran.docx", "A 39495-2024")</f>
        <v/>
      </c>
      <c r="Y236">
        <f>HYPERLINK("https://klasma.github.io/Logging_2303/tillsynsmail/A 39495-2024 tillsynsbegäran mail.docx", "A 39495-2024")</f>
        <v/>
      </c>
    </row>
    <row r="237" ht="15" customHeight="1">
      <c r="A237" t="inlineStr">
        <is>
          <t>A 46771-2024</t>
        </is>
      </c>
      <c r="B237" s="1" t="n">
        <v>45583</v>
      </c>
      <c r="C237" s="1" t="n">
        <v>45712</v>
      </c>
      <c r="D237" t="inlineStr">
        <is>
          <t>JÄMTLANDS LÄN</t>
        </is>
      </c>
      <c r="E237" t="inlineStr">
        <is>
          <t>RAGUNDA</t>
        </is>
      </c>
      <c r="F237" t="inlineStr">
        <is>
          <t>SCA</t>
        </is>
      </c>
      <c r="G237" t="n">
        <v>3.1</v>
      </c>
      <c r="H237" t="n">
        <v>0</v>
      </c>
      <c r="I237" t="n">
        <v>0</v>
      </c>
      <c r="J237" t="n">
        <v>2</v>
      </c>
      <c r="K237" t="n">
        <v>0</v>
      </c>
      <c r="L237" t="n">
        <v>0</v>
      </c>
      <c r="M237" t="n">
        <v>0</v>
      </c>
      <c r="N237" t="n">
        <v>0</v>
      </c>
      <c r="O237" t="n">
        <v>2</v>
      </c>
      <c r="P237" t="n">
        <v>0</v>
      </c>
      <c r="Q237" t="n">
        <v>2</v>
      </c>
      <c r="R237" s="2" t="inlineStr">
        <is>
          <t>Doftskinn
Gammelgransskål</t>
        </is>
      </c>
      <c r="S237">
        <f>HYPERLINK("https://klasma.github.io/Logging_2303/artfynd/A 46771-2024 artfynd.xlsx", "A 46771-2024")</f>
        <v/>
      </c>
      <c r="T237">
        <f>HYPERLINK("https://klasma.github.io/Logging_2303/kartor/A 46771-2024 karta.png", "A 46771-2024")</f>
        <v/>
      </c>
      <c r="V237">
        <f>HYPERLINK("https://klasma.github.io/Logging_2303/klagomål/A 46771-2024 FSC-klagomål.docx", "A 46771-2024")</f>
        <v/>
      </c>
      <c r="W237">
        <f>HYPERLINK("https://klasma.github.io/Logging_2303/klagomålsmail/A 46771-2024 FSC-klagomål mail.docx", "A 46771-2024")</f>
        <v/>
      </c>
      <c r="X237">
        <f>HYPERLINK("https://klasma.github.io/Logging_2303/tillsyn/A 46771-2024 tillsynsbegäran.docx", "A 46771-2024")</f>
        <v/>
      </c>
      <c r="Y237">
        <f>HYPERLINK("https://klasma.github.io/Logging_2303/tillsynsmail/A 46771-2024 tillsynsbegäran mail.docx", "A 46771-2024")</f>
        <v/>
      </c>
    </row>
    <row r="238" ht="15" customHeight="1">
      <c r="A238" t="inlineStr">
        <is>
          <t>A 54057-2024</t>
        </is>
      </c>
      <c r="B238" s="1" t="n">
        <v>45616</v>
      </c>
      <c r="C238" s="1" t="n">
        <v>45712</v>
      </c>
      <c r="D238" t="inlineStr">
        <is>
          <t>JÄMTLANDS LÄN</t>
        </is>
      </c>
      <c r="E238" t="inlineStr">
        <is>
          <t>RAGUNDA</t>
        </is>
      </c>
      <c r="F238" t="inlineStr">
        <is>
          <t>SCA</t>
        </is>
      </c>
      <c r="G238" t="n">
        <v>2.6</v>
      </c>
      <c r="H238" t="n">
        <v>0</v>
      </c>
      <c r="I238" t="n">
        <v>1</v>
      </c>
      <c r="J238" t="n">
        <v>1</v>
      </c>
      <c r="K238" t="n">
        <v>0</v>
      </c>
      <c r="L238" t="n">
        <v>0</v>
      </c>
      <c r="M238" t="n">
        <v>0</v>
      </c>
      <c r="N238" t="n">
        <v>0</v>
      </c>
      <c r="O238" t="n">
        <v>1</v>
      </c>
      <c r="P238" t="n">
        <v>0</v>
      </c>
      <c r="Q238" t="n">
        <v>2</v>
      </c>
      <c r="R238" s="2" t="inlineStr">
        <is>
          <t>Dvärgbägarlav
Dropptaggsvamp</t>
        </is>
      </c>
      <c r="S238">
        <f>HYPERLINK("https://klasma.github.io/Logging_2303/artfynd/A 54057-2024 artfynd.xlsx", "A 54057-2024")</f>
        <v/>
      </c>
      <c r="T238">
        <f>HYPERLINK("https://klasma.github.io/Logging_2303/kartor/A 54057-2024 karta.png", "A 54057-2024")</f>
        <v/>
      </c>
      <c r="V238">
        <f>HYPERLINK("https://klasma.github.io/Logging_2303/klagomål/A 54057-2024 FSC-klagomål.docx", "A 54057-2024")</f>
        <v/>
      </c>
      <c r="W238">
        <f>HYPERLINK("https://klasma.github.io/Logging_2303/klagomålsmail/A 54057-2024 FSC-klagomål mail.docx", "A 54057-2024")</f>
        <v/>
      </c>
      <c r="X238">
        <f>HYPERLINK("https://klasma.github.io/Logging_2303/tillsyn/A 54057-2024 tillsynsbegäran.docx", "A 54057-2024")</f>
        <v/>
      </c>
      <c r="Y238">
        <f>HYPERLINK("https://klasma.github.io/Logging_2303/tillsynsmail/A 54057-2024 tillsynsbegäran mail.docx", "A 54057-2024")</f>
        <v/>
      </c>
    </row>
    <row r="239" ht="15" customHeight="1">
      <c r="A239" t="inlineStr">
        <is>
          <t>A 33241-2019</t>
        </is>
      </c>
      <c r="B239" s="1" t="n">
        <v>43650</v>
      </c>
      <c r="C239" s="1" t="n">
        <v>45712</v>
      </c>
      <c r="D239" t="inlineStr">
        <is>
          <t>JÄMTLANDS LÄN</t>
        </is>
      </c>
      <c r="E239" t="inlineStr">
        <is>
          <t>RAGUNDA</t>
        </is>
      </c>
      <c r="G239" t="n">
        <v>6.3</v>
      </c>
      <c r="H239" t="n">
        <v>0</v>
      </c>
      <c r="I239" t="n">
        <v>0</v>
      </c>
      <c r="J239" t="n">
        <v>1</v>
      </c>
      <c r="K239" t="n">
        <v>0</v>
      </c>
      <c r="L239" t="n">
        <v>0</v>
      </c>
      <c r="M239" t="n">
        <v>0</v>
      </c>
      <c r="N239" t="n">
        <v>0</v>
      </c>
      <c r="O239" t="n">
        <v>1</v>
      </c>
      <c r="P239" t="n">
        <v>0</v>
      </c>
      <c r="Q239" t="n">
        <v>1</v>
      </c>
      <c r="R239" s="2" t="inlineStr">
        <is>
          <t>Garnlav</t>
        </is>
      </c>
      <c r="S239">
        <f>HYPERLINK("https://klasma.github.io/Logging_2303/artfynd/A 33241-2019 artfynd.xlsx", "A 33241-2019")</f>
        <v/>
      </c>
      <c r="T239">
        <f>HYPERLINK("https://klasma.github.io/Logging_2303/kartor/A 33241-2019 karta.png", "A 33241-2019")</f>
        <v/>
      </c>
      <c r="V239">
        <f>HYPERLINK("https://klasma.github.io/Logging_2303/klagomål/A 33241-2019 FSC-klagomål.docx", "A 33241-2019")</f>
        <v/>
      </c>
      <c r="W239">
        <f>HYPERLINK("https://klasma.github.io/Logging_2303/klagomålsmail/A 33241-2019 FSC-klagomål mail.docx", "A 33241-2019")</f>
        <v/>
      </c>
      <c r="X239">
        <f>HYPERLINK("https://klasma.github.io/Logging_2303/tillsyn/A 33241-2019 tillsynsbegäran.docx", "A 33241-2019")</f>
        <v/>
      </c>
      <c r="Y239">
        <f>HYPERLINK("https://klasma.github.io/Logging_2303/tillsynsmail/A 33241-2019 tillsynsbegäran mail.docx", "A 33241-2019")</f>
        <v/>
      </c>
    </row>
    <row r="240" ht="15" customHeight="1">
      <c r="A240" t="inlineStr">
        <is>
          <t>A 61777-2019</t>
        </is>
      </c>
      <c r="B240" s="1" t="n">
        <v>43784</v>
      </c>
      <c r="C240" s="1" t="n">
        <v>45712</v>
      </c>
      <c r="D240" t="inlineStr">
        <is>
          <t>JÄMTLANDS LÄN</t>
        </is>
      </c>
      <c r="E240" t="inlineStr">
        <is>
          <t>RAGUNDA</t>
        </is>
      </c>
      <c r="F240" t="inlineStr">
        <is>
          <t>SCA</t>
        </is>
      </c>
      <c r="G240" t="n">
        <v>6.1</v>
      </c>
      <c r="H240" t="n">
        <v>1</v>
      </c>
      <c r="I240" t="n">
        <v>1</v>
      </c>
      <c r="J240" t="n">
        <v>0</v>
      </c>
      <c r="K240" t="n">
        <v>0</v>
      </c>
      <c r="L240" t="n">
        <v>0</v>
      </c>
      <c r="M240" t="n">
        <v>0</v>
      </c>
      <c r="N240" t="n">
        <v>0</v>
      </c>
      <c r="O240" t="n">
        <v>0</v>
      </c>
      <c r="P240" t="n">
        <v>0</v>
      </c>
      <c r="Q240" t="n">
        <v>1</v>
      </c>
      <c r="R240" s="2" t="inlineStr">
        <is>
          <t>Guckusko</t>
        </is>
      </c>
      <c r="S240">
        <f>HYPERLINK("https://klasma.github.io/Logging_2303/artfynd/A 61777-2019 artfynd.xlsx", "A 61777-2019")</f>
        <v/>
      </c>
      <c r="T240">
        <f>HYPERLINK("https://klasma.github.io/Logging_2303/kartor/A 61777-2019 karta.png", "A 61777-2019")</f>
        <v/>
      </c>
      <c r="V240">
        <f>HYPERLINK("https://klasma.github.io/Logging_2303/klagomål/A 61777-2019 FSC-klagomål.docx", "A 61777-2019")</f>
        <v/>
      </c>
      <c r="W240">
        <f>HYPERLINK("https://klasma.github.io/Logging_2303/klagomålsmail/A 61777-2019 FSC-klagomål mail.docx", "A 61777-2019")</f>
        <v/>
      </c>
      <c r="X240">
        <f>HYPERLINK("https://klasma.github.io/Logging_2303/tillsyn/A 61777-2019 tillsynsbegäran.docx", "A 61777-2019")</f>
        <v/>
      </c>
      <c r="Y240">
        <f>HYPERLINK("https://klasma.github.io/Logging_2303/tillsynsmail/A 61777-2019 tillsynsbegäran mail.docx", "A 61777-2019")</f>
        <v/>
      </c>
    </row>
    <row r="241" ht="15" customHeight="1">
      <c r="A241" t="inlineStr">
        <is>
          <t>A 63221-2019</t>
        </is>
      </c>
      <c r="B241" s="1" t="n">
        <v>43791</v>
      </c>
      <c r="C241" s="1" t="n">
        <v>45712</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Dvärghäxört</t>
        </is>
      </c>
      <c r="S241">
        <f>HYPERLINK("https://klasma.github.io/Logging_2303/artfynd/A 63221-2019 artfynd.xlsx", "A 63221-2019")</f>
        <v/>
      </c>
      <c r="T241">
        <f>HYPERLINK("https://klasma.github.io/Logging_2303/kartor/A 63221-2019 karta.png", "A 63221-2019")</f>
        <v/>
      </c>
      <c r="V241">
        <f>HYPERLINK("https://klasma.github.io/Logging_2303/klagomål/A 63221-2019 FSC-klagomål.docx", "A 63221-2019")</f>
        <v/>
      </c>
      <c r="W241">
        <f>HYPERLINK("https://klasma.github.io/Logging_2303/klagomålsmail/A 63221-2019 FSC-klagomål mail.docx", "A 63221-2019")</f>
        <v/>
      </c>
      <c r="X241">
        <f>HYPERLINK("https://klasma.github.io/Logging_2303/tillsyn/A 63221-2019 tillsynsbegäran.docx", "A 63221-2019")</f>
        <v/>
      </c>
      <c r="Y241">
        <f>HYPERLINK("https://klasma.github.io/Logging_2303/tillsynsmail/A 63221-2019 tillsynsbegäran mail.docx", "A 63221-2019")</f>
        <v/>
      </c>
    </row>
    <row r="242" ht="15" customHeight="1">
      <c r="A242" t="inlineStr">
        <is>
          <t>A 24657-2020</t>
        </is>
      </c>
      <c r="B242" s="1" t="n">
        <v>43977</v>
      </c>
      <c r="C242" s="1" t="n">
        <v>45712</v>
      </c>
      <c r="D242" t="inlineStr">
        <is>
          <t>JÄMTLANDS LÄN</t>
        </is>
      </c>
      <c r="E242" t="inlineStr">
        <is>
          <t>RAGUNDA</t>
        </is>
      </c>
      <c r="F242" t="inlineStr">
        <is>
          <t>SCA</t>
        </is>
      </c>
      <c r="G242" t="n">
        <v>20.5</v>
      </c>
      <c r="H242" t="n">
        <v>0</v>
      </c>
      <c r="I242" t="n">
        <v>0</v>
      </c>
      <c r="J242" t="n">
        <v>0</v>
      </c>
      <c r="K242" t="n">
        <v>1</v>
      </c>
      <c r="L242" t="n">
        <v>0</v>
      </c>
      <c r="M242" t="n">
        <v>0</v>
      </c>
      <c r="N242" t="n">
        <v>0</v>
      </c>
      <c r="O242" t="n">
        <v>1</v>
      </c>
      <c r="P242" t="n">
        <v>1</v>
      </c>
      <c r="Q242" t="n">
        <v>1</v>
      </c>
      <c r="R242" s="2" t="inlineStr">
        <is>
          <t>Gräddporing</t>
        </is>
      </c>
      <c r="S242">
        <f>HYPERLINK("https://klasma.github.io/Logging_2303/artfynd/A 24657-2020 artfynd.xlsx", "A 24657-2020")</f>
        <v/>
      </c>
      <c r="T242">
        <f>HYPERLINK("https://klasma.github.io/Logging_2303/kartor/A 24657-2020 karta.png", "A 24657-2020")</f>
        <v/>
      </c>
      <c r="V242">
        <f>HYPERLINK("https://klasma.github.io/Logging_2303/klagomål/A 24657-2020 FSC-klagomål.docx", "A 24657-2020")</f>
        <v/>
      </c>
      <c r="W242">
        <f>HYPERLINK("https://klasma.github.io/Logging_2303/klagomålsmail/A 24657-2020 FSC-klagomål mail.docx", "A 24657-2020")</f>
        <v/>
      </c>
      <c r="X242">
        <f>HYPERLINK("https://klasma.github.io/Logging_2303/tillsyn/A 24657-2020 tillsynsbegäran.docx", "A 24657-2020")</f>
        <v/>
      </c>
      <c r="Y242">
        <f>HYPERLINK("https://klasma.github.io/Logging_2303/tillsynsmail/A 24657-2020 tillsynsbegäran mail.docx", "A 24657-2020")</f>
        <v/>
      </c>
    </row>
    <row r="243" ht="15" customHeight="1">
      <c r="A243" t="inlineStr">
        <is>
          <t>A 31357-2020</t>
        </is>
      </c>
      <c r="B243" s="1" t="n">
        <v>44012</v>
      </c>
      <c r="C243" s="1" t="n">
        <v>45712</v>
      </c>
      <c r="D243" t="inlineStr">
        <is>
          <t>JÄMTLANDS LÄN</t>
        </is>
      </c>
      <c r="E243" t="inlineStr">
        <is>
          <t>RAGUNDA</t>
        </is>
      </c>
      <c r="F243" t="inlineStr">
        <is>
          <t>SCA</t>
        </is>
      </c>
      <c r="G243" t="n">
        <v>21.4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31357-2020 artfynd.xlsx", "A 31357-2020")</f>
        <v/>
      </c>
      <c r="T243">
        <f>HYPERLINK("https://klasma.github.io/Logging_2303/kartor/A 31357-2020 karta.png", "A 31357-2020")</f>
        <v/>
      </c>
      <c r="V243">
        <f>HYPERLINK("https://klasma.github.io/Logging_2303/klagomål/A 31357-2020 FSC-klagomål.docx", "A 31357-2020")</f>
        <v/>
      </c>
      <c r="W243">
        <f>HYPERLINK("https://klasma.github.io/Logging_2303/klagomålsmail/A 31357-2020 FSC-klagomål mail.docx", "A 31357-2020")</f>
        <v/>
      </c>
      <c r="X243">
        <f>HYPERLINK("https://klasma.github.io/Logging_2303/tillsyn/A 31357-2020 tillsynsbegäran.docx", "A 31357-2020")</f>
        <v/>
      </c>
      <c r="Y243">
        <f>HYPERLINK("https://klasma.github.io/Logging_2303/tillsynsmail/A 31357-2020 tillsynsbegäran mail.docx", "A 31357-2020")</f>
        <v/>
      </c>
      <c r="Z243">
        <f>HYPERLINK("https://klasma.github.io/Logging_2303/fåglar/A 31357-2020 prioriterade fågelarter.docx", "A 31357-2020")</f>
        <v/>
      </c>
    </row>
    <row r="244" ht="15" customHeight="1">
      <c r="A244" t="inlineStr">
        <is>
          <t>A 36457-2020</t>
        </is>
      </c>
      <c r="B244" s="1" t="n">
        <v>44049</v>
      </c>
      <c r="C244" s="1" t="n">
        <v>45712</v>
      </c>
      <c r="D244" t="inlineStr">
        <is>
          <t>JÄMTLANDS LÄN</t>
        </is>
      </c>
      <c r="E244" t="inlineStr">
        <is>
          <t>RAGUNDA</t>
        </is>
      </c>
      <c r="F244" t="inlineStr">
        <is>
          <t>SCA</t>
        </is>
      </c>
      <c r="G244" t="n">
        <v>2.5</v>
      </c>
      <c r="H244" t="n">
        <v>1</v>
      </c>
      <c r="I244" t="n">
        <v>1</v>
      </c>
      <c r="J244" t="n">
        <v>0</v>
      </c>
      <c r="K244" t="n">
        <v>0</v>
      </c>
      <c r="L244" t="n">
        <v>0</v>
      </c>
      <c r="M244" t="n">
        <v>0</v>
      </c>
      <c r="N244" t="n">
        <v>0</v>
      </c>
      <c r="O244" t="n">
        <v>0</v>
      </c>
      <c r="P244" t="n">
        <v>0</v>
      </c>
      <c r="Q244" t="n">
        <v>1</v>
      </c>
      <c r="R244" s="2" t="inlineStr">
        <is>
          <t>Guckusko</t>
        </is>
      </c>
      <c r="S244">
        <f>HYPERLINK("https://klasma.github.io/Logging_2303/artfynd/A 36457-2020 artfynd.xlsx", "A 36457-2020")</f>
        <v/>
      </c>
      <c r="T244">
        <f>HYPERLINK("https://klasma.github.io/Logging_2303/kartor/A 36457-2020 karta.png", "A 36457-2020")</f>
        <v/>
      </c>
      <c r="V244">
        <f>HYPERLINK("https://klasma.github.io/Logging_2303/klagomål/A 36457-2020 FSC-klagomål.docx", "A 36457-2020")</f>
        <v/>
      </c>
      <c r="W244">
        <f>HYPERLINK("https://klasma.github.io/Logging_2303/klagomålsmail/A 36457-2020 FSC-klagomål mail.docx", "A 36457-2020")</f>
        <v/>
      </c>
      <c r="X244">
        <f>HYPERLINK("https://klasma.github.io/Logging_2303/tillsyn/A 36457-2020 tillsynsbegäran.docx", "A 36457-2020")</f>
        <v/>
      </c>
      <c r="Y244">
        <f>HYPERLINK("https://klasma.github.io/Logging_2303/tillsynsmail/A 36457-2020 tillsynsbegäran mail.docx", "A 36457-2020")</f>
        <v/>
      </c>
    </row>
    <row r="245" ht="15" customHeight="1">
      <c r="A245" t="inlineStr">
        <is>
          <t>A 39060-2020</t>
        </is>
      </c>
      <c r="B245" s="1" t="n">
        <v>44062</v>
      </c>
      <c r="C245" s="1" t="n">
        <v>45712</v>
      </c>
      <c r="D245" t="inlineStr">
        <is>
          <t>JÄMTLANDS LÄN</t>
        </is>
      </c>
      <c r="E245" t="inlineStr">
        <is>
          <t>RAGUNDA</t>
        </is>
      </c>
      <c r="F245" t="inlineStr">
        <is>
          <t>SCA</t>
        </is>
      </c>
      <c r="G245" t="n">
        <v>6.5</v>
      </c>
      <c r="H245" t="n">
        <v>0</v>
      </c>
      <c r="I245" t="n">
        <v>1</v>
      </c>
      <c r="J245" t="n">
        <v>0</v>
      </c>
      <c r="K245" t="n">
        <v>0</v>
      </c>
      <c r="L245" t="n">
        <v>0</v>
      </c>
      <c r="M245" t="n">
        <v>0</v>
      </c>
      <c r="N245" t="n">
        <v>0</v>
      </c>
      <c r="O245" t="n">
        <v>0</v>
      </c>
      <c r="P245" t="n">
        <v>0</v>
      </c>
      <c r="Q245" t="n">
        <v>1</v>
      </c>
      <c r="R245" s="2" t="inlineStr">
        <is>
          <t>Stuplav</t>
        </is>
      </c>
      <c r="S245">
        <f>HYPERLINK("https://klasma.github.io/Logging_2303/artfynd/A 39060-2020 artfynd.xlsx", "A 39060-2020")</f>
        <v/>
      </c>
      <c r="T245">
        <f>HYPERLINK("https://klasma.github.io/Logging_2303/kartor/A 39060-2020 karta.png", "A 39060-2020")</f>
        <v/>
      </c>
      <c r="V245">
        <f>HYPERLINK("https://klasma.github.io/Logging_2303/klagomål/A 39060-2020 FSC-klagomål.docx", "A 39060-2020")</f>
        <v/>
      </c>
      <c r="W245">
        <f>HYPERLINK("https://klasma.github.io/Logging_2303/klagomålsmail/A 39060-2020 FSC-klagomål mail.docx", "A 39060-2020")</f>
        <v/>
      </c>
      <c r="X245">
        <f>HYPERLINK("https://klasma.github.io/Logging_2303/tillsyn/A 39060-2020 tillsynsbegäran.docx", "A 39060-2020")</f>
        <v/>
      </c>
      <c r="Y245">
        <f>HYPERLINK("https://klasma.github.io/Logging_2303/tillsynsmail/A 39060-2020 tillsynsbegäran mail.docx", "A 39060-2020")</f>
        <v/>
      </c>
    </row>
    <row r="246" ht="15" customHeight="1">
      <c r="A246" t="inlineStr">
        <is>
          <t>A 47853-2020</t>
        </is>
      </c>
      <c r="B246" s="1" t="n">
        <v>44098</v>
      </c>
      <c r="C246" s="1" t="n">
        <v>45712</v>
      </c>
      <c r="D246" t="inlineStr">
        <is>
          <t>JÄMTLANDS LÄN</t>
        </is>
      </c>
      <c r="E246" t="inlineStr">
        <is>
          <t>RAGUNDA</t>
        </is>
      </c>
      <c r="F246" t="inlineStr">
        <is>
          <t>SCA</t>
        </is>
      </c>
      <c r="G246" t="n">
        <v>5.3</v>
      </c>
      <c r="H246" t="n">
        <v>0</v>
      </c>
      <c r="I246" t="n">
        <v>0</v>
      </c>
      <c r="J246" t="n">
        <v>1</v>
      </c>
      <c r="K246" t="n">
        <v>0</v>
      </c>
      <c r="L246" t="n">
        <v>0</v>
      </c>
      <c r="M246" t="n">
        <v>0</v>
      </c>
      <c r="N246" t="n">
        <v>0</v>
      </c>
      <c r="O246" t="n">
        <v>1</v>
      </c>
      <c r="P246" t="n">
        <v>0</v>
      </c>
      <c r="Q246" t="n">
        <v>1</v>
      </c>
      <c r="R246" s="2" t="inlineStr">
        <is>
          <t>Lunglav</t>
        </is>
      </c>
      <c r="S246">
        <f>HYPERLINK("https://klasma.github.io/Logging_2303/artfynd/A 47853-2020 artfynd.xlsx", "A 47853-2020")</f>
        <v/>
      </c>
      <c r="T246">
        <f>HYPERLINK("https://klasma.github.io/Logging_2303/kartor/A 47853-2020 karta.png", "A 47853-2020")</f>
        <v/>
      </c>
      <c r="V246">
        <f>HYPERLINK("https://klasma.github.io/Logging_2303/klagomål/A 47853-2020 FSC-klagomål.docx", "A 47853-2020")</f>
        <v/>
      </c>
      <c r="W246">
        <f>HYPERLINK("https://klasma.github.io/Logging_2303/klagomålsmail/A 47853-2020 FSC-klagomål mail.docx", "A 47853-2020")</f>
        <v/>
      </c>
      <c r="X246">
        <f>HYPERLINK("https://klasma.github.io/Logging_2303/tillsyn/A 47853-2020 tillsynsbegäran.docx", "A 47853-2020")</f>
        <v/>
      </c>
      <c r="Y246">
        <f>HYPERLINK("https://klasma.github.io/Logging_2303/tillsynsmail/A 47853-2020 tillsynsbegäran mail.docx", "A 47853-2020")</f>
        <v/>
      </c>
    </row>
    <row r="247" ht="15" customHeight="1">
      <c r="A247" t="inlineStr">
        <is>
          <t>A 52898-2020</t>
        </is>
      </c>
      <c r="B247" s="1" t="n">
        <v>44119</v>
      </c>
      <c r="C247" s="1" t="n">
        <v>45712</v>
      </c>
      <c r="D247" t="inlineStr">
        <is>
          <t>JÄMTLANDS LÄN</t>
        </is>
      </c>
      <c r="E247" t="inlineStr">
        <is>
          <t>RAGUNDA</t>
        </is>
      </c>
      <c r="G247" t="n">
        <v>1.4</v>
      </c>
      <c r="H247" t="n">
        <v>1</v>
      </c>
      <c r="I247" t="n">
        <v>0</v>
      </c>
      <c r="J247" t="n">
        <v>0</v>
      </c>
      <c r="K247" t="n">
        <v>0</v>
      </c>
      <c r="L247" t="n">
        <v>0</v>
      </c>
      <c r="M247" t="n">
        <v>0</v>
      </c>
      <c r="N247" t="n">
        <v>0</v>
      </c>
      <c r="O247" t="n">
        <v>0</v>
      </c>
      <c r="P247" t="n">
        <v>0</v>
      </c>
      <c r="Q247" t="n">
        <v>1</v>
      </c>
      <c r="R247" s="2" t="inlineStr">
        <is>
          <t>Revlummer</t>
        </is>
      </c>
      <c r="S247">
        <f>HYPERLINK("https://klasma.github.io/Logging_2303/artfynd/A 52898-2020 artfynd.xlsx", "A 52898-2020")</f>
        <v/>
      </c>
      <c r="T247">
        <f>HYPERLINK("https://klasma.github.io/Logging_2303/kartor/A 52898-2020 karta.png", "A 52898-2020")</f>
        <v/>
      </c>
      <c r="V247">
        <f>HYPERLINK("https://klasma.github.io/Logging_2303/klagomål/A 52898-2020 FSC-klagomål.docx", "A 52898-2020")</f>
        <v/>
      </c>
      <c r="W247">
        <f>HYPERLINK("https://klasma.github.io/Logging_2303/klagomålsmail/A 52898-2020 FSC-klagomål mail.docx", "A 52898-2020")</f>
        <v/>
      </c>
      <c r="X247">
        <f>HYPERLINK("https://klasma.github.io/Logging_2303/tillsyn/A 52898-2020 tillsynsbegäran.docx", "A 52898-2020")</f>
        <v/>
      </c>
      <c r="Y247">
        <f>HYPERLINK("https://klasma.github.io/Logging_2303/tillsynsmail/A 52898-2020 tillsynsbegäran mail.docx", "A 52898-2020")</f>
        <v/>
      </c>
    </row>
    <row r="248" ht="15" customHeight="1">
      <c r="A248" t="inlineStr">
        <is>
          <t>A 64363-2020</t>
        </is>
      </c>
      <c r="B248" s="1" t="n">
        <v>44166</v>
      </c>
      <c r="C248" s="1" t="n">
        <v>45712</v>
      </c>
      <c r="D248" t="inlineStr">
        <is>
          <t>JÄMTLANDS LÄN</t>
        </is>
      </c>
      <c r="E248" t="inlineStr">
        <is>
          <t>RAGUNDA</t>
        </is>
      </c>
      <c r="G248" t="n">
        <v>4.5</v>
      </c>
      <c r="H248" t="n">
        <v>1</v>
      </c>
      <c r="I248" t="n">
        <v>0</v>
      </c>
      <c r="J248" t="n">
        <v>0</v>
      </c>
      <c r="K248" t="n">
        <v>1</v>
      </c>
      <c r="L248" t="n">
        <v>0</v>
      </c>
      <c r="M248" t="n">
        <v>0</v>
      </c>
      <c r="N248" t="n">
        <v>0</v>
      </c>
      <c r="O248" t="n">
        <v>1</v>
      </c>
      <c r="P248" t="n">
        <v>1</v>
      </c>
      <c r="Q248" t="n">
        <v>1</v>
      </c>
      <c r="R248" s="2" t="inlineStr">
        <is>
          <t>Bombmurkla</t>
        </is>
      </c>
      <c r="S248">
        <f>HYPERLINK("https://klasma.github.io/Logging_2303/artfynd/A 64363-2020 artfynd.xlsx", "A 64363-2020")</f>
        <v/>
      </c>
      <c r="T248">
        <f>HYPERLINK("https://klasma.github.io/Logging_2303/kartor/A 64363-2020 karta.png", "A 64363-2020")</f>
        <v/>
      </c>
      <c r="V248">
        <f>HYPERLINK("https://klasma.github.io/Logging_2303/klagomål/A 64363-2020 FSC-klagomål.docx", "A 64363-2020")</f>
        <v/>
      </c>
      <c r="W248">
        <f>HYPERLINK("https://klasma.github.io/Logging_2303/klagomålsmail/A 64363-2020 FSC-klagomål mail.docx", "A 64363-2020")</f>
        <v/>
      </c>
      <c r="X248">
        <f>HYPERLINK("https://klasma.github.io/Logging_2303/tillsyn/A 64363-2020 tillsynsbegäran.docx", "A 64363-2020")</f>
        <v/>
      </c>
      <c r="Y248">
        <f>HYPERLINK("https://klasma.github.io/Logging_2303/tillsynsmail/A 64363-2020 tillsynsbegäran mail.docx", "A 64363-2020")</f>
        <v/>
      </c>
    </row>
    <row r="249" ht="15" customHeight="1">
      <c r="A249" t="inlineStr">
        <is>
          <t>A 21037-2021</t>
        </is>
      </c>
      <c r="B249" s="1" t="n">
        <v>44319</v>
      </c>
      <c r="C249" s="1" t="n">
        <v>45712</v>
      </c>
      <c r="D249" t="inlineStr">
        <is>
          <t>JÄMTLANDS LÄN</t>
        </is>
      </c>
      <c r="E249" t="inlineStr">
        <is>
          <t>RAGUNDA</t>
        </is>
      </c>
      <c r="F249" t="inlineStr">
        <is>
          <t>Kyrkan</t>
        </is>
      </c>
      <c r="G249" t="n">
        <v>0.8</v>
      </c>
      <c r="H249" t="n">
        <v>0</v>
      </c>
      <c r="I249" t="n">
        <v>0</v>
      </c>
      <c r="J249" t="n">
        <v>1</v>
      </c>
      <c r="K249" t="n">
        <v>0</v>
      </c>
      <c r="L249" t="n">
        <v>0</v>
      </c>
      <c r="M249" t="n">
        <v>0</v>
      </c>
      <c r="N249" t="n">
        <v>0</v>
      </c>
      <c r="O249" t="n">
        <v>1</v>
      </c>
      <c r="P249" t="n">
        <v>0</v>
      </c>
      <c r="Q249" t="n">
        <v>1</v>
      </c>
      <c r="R249" s="2" t="inlineStr">
        <is>
          <t>Olivbrun gytterlav</t>
        </is>
      </c>
      <c r="S249">
        <f>HYPERLINK("https://klasma.github.io/Logging_2303/artfynd/A 21037-2021 artfynd.xlsx", "A 21037-2021")</f>
        <v/>
      </c>
      <c r="T249">
        <f>HYPERLINK("https://klasma.github.io/Logging_2303/kartor/A 21037-2021 karta.png", "A 21037-2021")</f>
        <v/>
      </c>
      <c r="V249">
        <f>HYPERLINK("https://klasma.github.io/Logging_2303/klagomål/A 21037-2021 FSC-klagomål.docx", "A 21037-2021")</f>
        <v/>
      </c>
      <c r="W249">
        <f>HYPERLINK("https://klasma.github.io/Logging_2303/klagomålsmail/A 21037-2021 FSC-klagomål mail.docx", "A 21037-2021")</f>
        <v/>
      </c>
      <c r="X249">
        <f>HYPERLINK("https://klasma.github.io/Logging_2303/tillsyn/A 21037-2021 tillsynsbegäran.docx", "A 21037-2021")</f>
        <v/>
      </c>
      <c r="Y249">
        <f>HYPERLINK("https://klasma.github.io/Logging_2303/tillsynsmail/A 21037-2021 tillsynsbegäran mail.docx", "A 21037-2021")</f>
        <v/>
      </c>
    </row>
    <row r="250" ht="15" customHeight="1">
      <c r="A250" t="inlineStr">
        <is>
          <t>A 31773-2021</t>
        </is>
      </c>
      <c r="B250" s="1" t="n">
        <v>44369</v>
      </c>
      <c r="C250" s="1" t="n">
        <v>45712</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42546-2021</t>
        </is>
      </c>
      <c r="B251" s="1" t="n">
        <v>44428</v>
      </c>
      <c r="C251" s="1" t="n">
        <v>45712</v>
      </c>
      <c r="D251" t="inlineStr">
        <is>
          <t>JÄMTLANDS LÄN</t>
        </is>
      </c>
      <c r="E251" t="inlineStr">
        <is>
          <t>RAGUNDA</t>
        </is>
      </c>
      <c r="F251" t="inlineStr">
        <is>
          <t>SCA</t>
        </is>
      </c>
      <c r="G251" t="n">
        <v>5.6</v>
      </c>
      <c r="H251" t="n">
        <v>0</v>
      </c>
      <c r="I251" t="n">
        <v>0</v>
      </c>
      <c r="J251" t="n">
        <v>1</v>
      </c>
      <c r="K251" t="n">
        <v>0</v>
      </c>
      <c r="L251" t="n">
        <v>0</v>
      </c>
      <c r="M251" t="n">
        <v>0</v>
      </c>
      <c r="N251" t="n">
        <v>0</v>
      </c>
      <c r="O251" t="n">
        <v>1</v>
      </c>
      <c r="P251" t="n">
        <v>0</v>
      </c>
      <c r="Q251" t="n">
        <v>1</v>
      </c>
      <c r="R251" s="2" t="inlineStr">
        <is>
          <t>Dvärgbägarlav</t>
        </is>
      </c>
      <c r="S251">
        <f>HYPERLINK("https://klasma.github.io/Logging_2303/artfynd/A 42546-2021 artfynd.xlsx", "A 42546-2021")</f>
        <v/>
      </c>
      <c r="T251">
        <f>HYPERLINK("https://klasma.github.io/Logging_2303/kartor/A 42546-2021 karta.png", "A 42546-2021")</f>
        <v/>
      </c>
      <c r="V251">
        <f>HYPERLINK("https://klasma.github.io/Logging_2303/klagomål/A 42546-2021 FSC-klagomål.docx", "A 42546-2021")</f>
        <v/>
      </c>
      <c r="W251">
        <f>HYPERLINK("https://klasma.github.io/Logging_2303/klagomålsmail/A 42546-2021 FSC-klagomål mail.docx", "A 42546-2021")</f>
        <v/>
      </c>
      <c r="X251">
        <f>HYPERLINK("https://klasma.github.io/Logging_2303/tillsyn/A 42546-2021 tillsynsbegäran.docx", "A 42546-2021")</f>
        <v/>
      </c>
      <c r="Y251">
        <f>HYPERLINK("https://klasma.github.io/Logging_2303/tillsynsmail/A 42546-2021 tillsynsbegäran mail.docx", "A 42546-2021")</f>
        <v/>
      </c>
    </row>
    <row r="252" ht="15" customHeight="1">
      <c r="A252" t="inlineStr">
        <is>
          <t>A 51916-2021</t>
        </is>
      </c>
      <c r="B252" s="1" t="n">
        <v>44462</v>
      </c>
      <c r="C252" s="1" t="n">
        <v>45712</v>
      </c>
      <c r="D252" t="inlineStr">
        <is>
          <t>JÄMTLANDS LÄN</t>
        </is>
      </c>
      <c r="E252" t="inlineStr">
        <is>
          <t>RAGUNDA</t>
        </is>
      </c>
      <c r="F252" t="inlineStr">
        <is>
          <t>SCA</t>
        </is>
      </c>
      <c r="G252" t="n">
        <v>3</v>
      </c>
      <c r="H252" t="n">
        <v>1</v>
      </c>
      <c r="I252" t="n">
        <v>0</v>
      </c>
      <c r="J252" t="n">
        <v>1</v>
      </c>
      <c r="K252" t="n">
        <v>0</v>
      </c>
      <c r="L252" t="n">
        <v>0</v>
      </c>
      <c r="M252" t="n">
        <v>0</v>
      </c>
      <c r="N252" t="n">
        <v>0</v>
      </c>
      <c r="O252" t="n">
        <v>1</v>
      </c>
      <c r="P252" t="n">
        <v>0</v>
      </c>
      <c r="Q252" t="n">
        <v>1</v>
      </c>
      <c r="R252" s="2" t="inlineStr">
        <is>
          <t>Varglav</t>
        </is>
      </c>
      <c r="S252">
        <f>HYPERLINK("https://klasma.github.io/Logging_2303/artfynd/A 51916-2021 artfynd.xlsx", "A 51916-2021")</f>
        <v/>
      </c>
      <c r="T252">
        <f>HYPERLINK("https://klasma.github.io/Logging_2303/kartor/A 51916-2021 karta.png", "A 51916-2021")</f>
        <v/>
      </c>
      <c r="V252">
        <f>HYPERLINK("https://klasma.github.io/Logging_2303/klagomål/A 51916-2021 FSC-klagomål.docx", "A 51916-2021")</f>
        <v/>
      </c>
      <c r="W252">
        <f>HYPERLINK("https://klasma.github.io/Logging_2303/klagomålsmail/A 51916-2021 FSC-klagomål mail.docx", "A 51916-2021")</f>
        <v/>
      </c>
      <c r="X252">
        <f>HYPERLINK("https://klasma.github.io/Logging_2303/tillsyn/A 51916-2021 tillsynsbegäran.docx", "A 51916-2021")</f>
        <v/>
      </c>
      <c r="Y252">
        <f>HYPERLINK("https://klasma.github.io/Logging_2303/tillsynsmail/A 51916-2021 tillsynsbegäran mail.docx", "A 51916-2021")</f>
        <v/>
      </c>
    </row>
    <row r="253" ht="15" customHeight="1">
      <c r="A253" t="inlineStr">
        <is>
          <t>A 6550-2022</t>
        </is>
      </c>
      <c r="B253" s="1" t="n">
        <v>44601</v>
      </c>
      <c r="C253" s="1" t="n">
        <v>45712</v>
      </c>
      <c r="D253" t="inlineStr">
        <is>
          <t>JÄMTLANDS LÄN</t>
        </is>
      </c>
      <c r="E253" t="inlineStr">
        <is>
          <t>RAGUNDA</t>
        </is>
      </c>
      <c r="G253" t="n">
        <v>2.3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6550-2022 artfynd.xlsx", "A 6550-2022")</f>
        <v/>
      </c>
      <c r="T253">
        <f>HYPERLINK("https://klasma.github.io/Logging_2303/kartor/A 6550-2022 karta.png", "A 6550-2022")</f>
        <v/>
      </c>
      <c r="V253">
        <f>HYPERLINK("https://klasma.github.io/Logging_2303/klagomål/A 6550-2022 FSC-klagomål.docx", "A 6550-2022")</f>
        <v/>
      </c>
      <c r="W253">
        <f>HYPERLINK("https://klasma.github.io/Logging_2303/klagomålsmail/A 6550-2022 FSC-klagomål mail.docx", "A 6550-2022")</f>
        <v/>
      </c>
      <c r="X253">
        <f>HYPERLINK("https://klasma.github.io/Logging_2303/tillsyn/A 6550-2022 tillsynsbegäran.docx", "A 6550-2022")</f>
        <v/>
      </c>
      <c r="Y253">
        <f>HYPERLINK("https://klasma.github.io/Logging_2303/tillsynsmail/A 6550-2022 tillsynsbegäran mail.docx", "A 6550-2022")</f>
        <v/>
      </c>
    </row>
    <row r="254" ht="15" customHeight="1">
      <c r="A254" t="inlineStr">
        <is>
          <t>A 7666-2022</t>
        </is>
      </c>
      <c r="B254" s="1" t="n">
        <v>44607</v>
      </c>
      <c r="C254" s="1" t="n">
        <v>45712</v>
      </c>
      <c r="D254" t="inlineStr">
        <is>
          <t>JÄMTLANDS LÄN</t>
        </is>
      </c>
      <c r="E254" t="inlineStr">
        <is>
          <t>RAGUNDA</t>
        </is>
      </c>
      <c r="F254" t="inlineStr">
        <is>
          <t>SCA</t>
        </is>
      </c>
      <c r="G254" t="n">
        <v>1.4</v>
      </c>
      <c r="H254" t="n">
        <v>0</v>
      </c>
      <c r="I254" t="n">
        <v>0</v>
      </c>
      <c r="J254" t="n">
        <v>1</v>
      </c>
      <c r="K254" t="n">
        <v>0</v>
      </c>
      <c r="L254" t="n">
        <v>0</v>
      </c>
      <c r="M254" t="n">
        <v>0</v>
      </c>
      <c r="N254" t="n">
        <v>0</v>
      </c>
      <c r="O254" t="n">
        <v>1</v>
      </c>
      <c r="P254" t="n">
        <v>0</v>
      </c>
      <c r="Q254" t="n">
        <v>1</v>
      </c>
      <c r="R254" s="2" t="inlineStr">
        <is>
          <t>Garnlav</t>
        </is>
      </c>
      <c r="S254">
        <f>HYPERLINK("https://klasma.github.io/Logging_2303/artfynd/A 7666-2022 artfynd.xlsx", "A 7666-2022")</f>
        <v/>
      </c>
      <c r="T254">
        <f>HYPERLINK("https://klasma.github.io/Logging_2303/kartor/A 7666-2022 karta.png", "A 7666-2022")</f>
        <v/>
      </c>
      <c r="V254">
        <f>HYPERLINK("https://klasma.github.io/Logging_2303/klagomål/A 7666-2022 FSC-klagomål.docx", "A 7666-2022")</f>
        <v/>
      </c>
      <c r="W254">
        <f>HYPERLINK("https://klasma.github.io/Logging_2303/klagomålsmail/A 7666-2022 FSC-klagomål mail.docx", "A 7666-2022")</f>
        <v/>
      </c>
      <c r="X254">
        <f>HYPERLINK("https://klasma.github.io/Logging_2303/tillsyn/A 7666-2022 tillsynsbegäran.docx", "A 7666-2022")</f>
        <v/>
      </c>
      <c r="Y254">
        <f>HYPERLINK("https://klasma.github.io/Logging_2303/tillsynsmail/A 7666-2022 tillsynsbegäran mail.docx", "A 7666-2022")</f>
        <v/>
      </c>
    </row>
    <row r="255" ht="15" customHeight="1">
      <c r="A255" t="inlineStr">
        <is>
          <t>A 15663-2022</t>
        </is>
      </c>
      <c r="B255" s="1" t="n">
        <v>44663</v>
      </c>
      <c r="C255" s="1" t="n">
        <v>45712</v>
      </c>
      <c r="D255" t="inlineStr">
        <is>
          <t>JÄMTLANDS LÄN</t>
        </is>
      </c>
      <c r="E255" t="inlineStr">
        <is>
          <t>RAGUNDA</t>
        </is>
      </c>
      <c r="F255" t="inlineStr">
        <is>
          <t>SCA</t>
        </is>
      </c>
      <c r="G255" t="n">
        <v>1.7</v>
      </c>
      <c r="H255" t="n">
        <v>1</v>
      </c>
      <c r="I255" t="n">
        <v>0</v>
      </c>
      <c r="J255" t="n">
        <v>0</v>
      </c>
      <c r="K255" t="n">
        <v>1</v>
      </c>
      <c r="L255" t="n">
        <v>0</v>
      </c>
      <c r="M255" t="n">
        <v>0</v>
      </c>
      <c r="N255" t="n">
        <v>0</v>
      </c>
      <c r="O255" t="n">
        <v>1</v>
      </c>
      <c r="P255" t="n">
        <v>1</v>
      </c>
      <c r="Q255" t="n">
        <v>1</v>
      </c>
      <c r="R255" s="2" t="inlineStr">
        <is>
          <t>Norna</t>
        </is>
      </c>
      <c r="S255">
        <f>HYPERLINK("https://klasma.github.io/Logging_2303/artfynd/A 15663-2022 artfynd.xlsx", "A 15663-2022")</f>
        <v/>
      </c>
      <c r="T255">
        <f>HYPERLINK("https://klasma.github.io/Logging_2303/kartor/A 15663-2022 karta.png", "A 15663-2022")</f>
        <v/>
      </c>
      <c r="V255">
        <f>HYPERLINK("https://klasma.github.io/Logging_2303/klagomål/A 15663-2022 FSC-klagomål.docx", "A 15663-2022")</f>
        <v/>
      </c>
      <c r="W255">
        <f>HYPERLINK("https://klasma.github.io/Logging_2303/klagomålsmail/A 15663-2022 FSC-klagomål mail.docx", "A 15663-2022")</f>
        <v/>
      </c>
      <c r="X255">
        <f>HYPERLINK("https://klasma.github.io/Logging_2303/tillsyn/A 15663-2022 tillsynsbegäran.docx", "A 15663-2022")</f>
        <v/>
      </c>
      <c r="Y255">
        <f>HYPERLINK("https://klasma.github.io/Logging_2303/tillsynsmail/A 15663-2022 tillsynsbegäran mail.docx", "A 15663-2022")</f>
        <v/>
      </c>
    </row>
    <row r="256" ht="15" customHeight="1">
      <c r="A256" t="inlineStr">
        <is>
          <t>A 17751-2022</t>
        </is>
      </c>
      <c r="B256" s="1" t="n">
        <v>44681</v>
      </c>
      <c r="C256" s="1" t="n">
        <v>45712</v>
      </c>
      <c r="D256" t="inlineStr">
        <is>
          <t>JÄMTLANDS LÄN</t>
        </is>
      </c>
      <c r="E256" t="inlineStr">
        <is>
          <t>RAGUNDA</t>
        </is>
      </c>
      <c r="F256" t="inlineStr">
        <is>
          <t>SCA</t>
        </is>
      </c>
      <c r="G256" t="n">
        <v>1.4</v>
      </c>
      <c r="H256" t="n">
        <v>0</v>
      </c>
      <c r="I256" t="n">
        <v>0</v>
      </c>
      <c r="J256" t="n">
        <v>1</v>
      </c>
      <c r="K256" t="n">
        <v>0</v>
      </c>
      <c r="L256" t="n">
        <v>0</v>
      </c>
      <c r="M256" t="n">
        <v>0</v>
      </c>
      <c r="N256" t="n">
        <v>0</v>
      </c>
      <c r="O256" t="n">
        <v>1</v>
      </c>
      <c r="P256" t="n">
        <v>0</v>
      </c>
      <c r="Q256" t="n">
        <v>1</v>
      </c>
      <c r="R256" s="2" t="inlineStr">
        <is>
          <t>Granticka</t>
        </is>
      </c>
      <c r="S256">
        <f>HYPERLINK("https://klasma.github.io/Logging_2303/artfynd/A 17751-2022 artfynd.xlsx", "A 17751-2022")</f>
        <v/>
      </c>
      <c r="T256">
        <f>HYPERLINK("https://klasma.github.io/Logging_2303/kartor/A 17751-2022 karta.png", "A 17751-2022")</f>
        <v/>
      </c>
      <c r="V256">
        <f>HYPERLINK("https://klasma.github.io/Logging_2303/klagomål/A 17751-2022 FSC-klagomål.docx", "A 17751-2022")</f>
        <v/>
      </c>
      <c r="W256">
        <f>HYPERLINK("https://klasma.github.io/Logging_2303/klagomålsmail/A 17751-2022 FSC-klagomål mail.docx", "A 17751-2022")</f>
        <v/>
      </c>
      <c r="X256">
        <f>HYPERLINK("https://klasma.github.io/Logging_2303/tillsyn/A 17751-2022 tillsynsbegäran.docx", "A 17751-2022")</f>
        <v/>
      </c>
      <c r="Y256">
        <f>HYPERLINK("https://klasma.github.io/Logging_2303/tillsynsmail/A 17751-2022 tillsynsbegäran mail.docx", "A 17751-2022")</f>
        <v/>
      </c>
    </row>
    <row r="257" ht="15" customHeight="1">
      <c r="A257" t="inlineStr">
        <is>
          <t>A 21275-2022</t>
        </is>
      </c>
      <c r="B257" s="1" t="n">
        <v>44705</v>
      </c>
      <c r="C257" s="1" t="n">
        <v>45712</v>
      </c>
      <c r="D257" t="inlineStr">
        <is>
          <t>JÄMTLANDS LÄN</t>
        </is>
      </c>
      <c r="E257" t="inlineStr">
        <is>
          <t>RAGUNDA</t>
        </is>
      </c>
      <c r="G257" t="n">
        <v>2.2</v>
      </c>
      <c r="H257" t="n">
        <v>0</v>
      </c>
      <c r="I257" t="n">
        <v>1</v>
      </c>
      <c r="J257" t="n">
        <v>0</v>
      </c>
      <c r="K257" t="n">
        <v>0</v>
      </c>
      <c r="L257" t="n">
        <v>0</v>
      </c>
      <c r="M257" t="n">
        <v>0</v>
      </c>
      <c r="N257" t="n">
        <v>0</v>
      </c>
      <c r="O257" t="n">
        <v>0</v>
      </c>
      <c r="P257" t="n">
        <v>0</v>
      </c>
      <c r="Q257" t="n">
        <v>1</v>
      </c>
      <c r="R257" s="2" t="inlineStr">
        <is>
          <t>Kransrams</t>
        </is>
      </c>
      <c r="S257">
        <f>HYPERLINK("https://klasma.github.io/Logging_2303/artfynd/A 21275-2022 artfynd.xlsx", "A 21275-2022")</f>
        <v/>
      </c>
      <c r="T257">
        <f>HYPERLINK("https://klasma.github.io/Logging_2303/kartor/A 21275-2022 karta.png", "A 21275-2022")</f>
        <v/>
      </c>
      <c r="V257">
        <f>HYPERLINK("https://klasma.github.io/Logging_2303/klagomål/A 21275-2022 FSC-klagomål.docx", "A 21275-2022")</f>
        <v/>
      </c>
      <c r="W257">
        <f>HYPERLINK("https://klasma.github.io/Logging_2303/klagomålsmail/A 21275-2022 FSC-klagomål mail.docx", "A 21275-2022")</f>
        <v/>
      </c>
      <c r="X257">
        <f>HYPERLINK("https://klasma.github.io/Logging_2303/tillsyn/A 21275-2022 tillsynsbegäran.docx", "A 21275-2022")</f>
        <v/>
      </c>
      <c r="Y257">
        <f>HYPERLINK("https://klasma.github.io/Logging_2303/tillsynsmail/A 21275-2022 tillsynsbegäran mail.docx", "A 21275-2022")</f>
        <v/>
      </c>
    </row>
    <row r="258" ht="15" customHeight="1">
      <c r="A258" t="inlineStr">
        <is>
          <t>A 27273-2022</t>
        </is>
      </c>
      <c r="B258" s="1" t="n">
        <v>44741</v>
      </c>
      <c r="C258" s="1" t="n">
        <v>45712</v>
      </c>
      <c r="D258" t="inlineStr">
        <is>
          <t>JÄMTLANDS LÄN</t>
        </is>
      </c>
      <c r="E258" t="inlineStr">
        <is>
          <t>RAGUNDA</t>
        </is>
      </c>
      <c r="G258" t="n">
        <v>1.2</v>
      </c>
      <c r="H258" t="n">
        <v>0</v>
      </c>
      <c r="I258" t="n">
        <v>1</v>
      </c>
      <c r="J258" t="n">
        <v>0</v>
      </c>
      <c r="K258" t="n">
        <v>0</v>
      </c>
      <c r="L258" t="n">
        <v>0</v>
      </c>
      <c r="M258" t="n">
        <v>0</v>
      </c>
      <c r="N258" t="n">
        <v>0</v>
      </c>
      <c r="O258" t="n">
        <v>0</v>
      </c>
      <c r="P258" t="n">
        <v>0</v>
      </c>
      <c r="Q258" t="n">
        <v>1</v>
      </c>
      <c r="R258" s="2" t="inlineStr">
        <is>
          <t>Svart trolldruva</t>
        </is>
      </c>
      <c r="S258">
        <f>HYPERLINK("https://klasma.github.io/Logging_2303/artfynd/A 27273-2022 artfynd.xlsx", "A 27273-2022")</f>
        <v/>
      </c>
      <c r="T258">
        <f>HYPERLINK("https://klasma.github.io/Logging_2303/kartor/A 27273-2022 karta.png", "A 27273-2022")</f>
        <v/>
      </c>
      <c r="V258">
        <f>HYPERLINK("https://klasma.github.io/Logging_2303/klagomål/A 27273-2022 FSC-klagomål.docx", "A 27273-2022")</f>
        <v/>
      </c>
      <c r="W258">
        <f>HYPERLINK("https://klasma.github.io/Logging_2303/klagomålsmail/A 27273-2022 FSC-klagomål mail.docx", "A 27273-2022")</f>
        <v/>
      </c>
      <c r="X258">
        <f>HYPERLINK("https://klasma.github.io/Logging_2303/tillsyn/A 27273-2022 tillsynsbegäran.docx", "A 27273-2022")</f>
        <v/>
      </c>
      <c r="Y258">
        <f>HYPERLINK("https://klasma.github.io/Logging_2303/tillsynsmail/A 27273-2022 tillsynsbegäran mail.docx", "A 27273-2022")</f>
        <v/>
      </c>
    </row>
    <row r="259" ht="15" customHeight="1">
      <c r="A259" t="inlineStr">
        <is>
          <t>A 27286-2022</t>
        </is>
      </c>
      <c r="B259" s="1" t="n">
        <v>44741</v>
      </c>
      <c r="C259" s="1" t="n">
        <v>45712</v>
      </c>
      <c r="D259" t="inlineStr">
        <is>
          <t>JÄMTLANDS LÄN</t>
        </is>
      </c>
      <c r="E259" t="inlineStr">
        <is>
          <t>RAGUNDA</t>
        </is>
      </c>
      <c r="F259" t="inlineStr">
        <is>
          <t>SCA</t>
        </is>
      </c>
      <c r="G259" t="n">
        <v>3.1</v>
      </c>
      <c r="H259" t="n">
        <v>0</v>
      </c>
      <c r="I259" t="n">
        <v>0</v>
      </c>
      <c r="J259" t="n">
        <v>1</v>
      </c>
      <c r="K259" t="n">
        <v>0</v>
      </c>
      <c r="L259" t="n">
        <v>0</v>
      </c>
      <c r="M259" t="n">
        <v>0</v>
      </c>
      <c r="N259" t="n">
        <v>0</v>
      </c>
      <c r="O259" t="n">
        <v>1</v>
      </c>
      <c r="P259" t="n">
        <v>0</v>
      </c>
      <c r="Q259" t="n">
        <v>1</v>
      </c>
      <c r="R259" s="2" t="inlineStr">
        <is>
          <t>Harticka</t>
        </is>
      </c>
      <c r="S259">
        <f>HYPERLINK("https://klasma.github.io/Logging_2303/artfynd/A 27286-2022 artfynd.xlsx", "A 27286-2022")</f>
        <v/>
      </c>
      <c r="T259">
        <f>HYPERLINK("https://klasma.github.io/Logging_2303/kartor/A 27286-2022 karta.png", "A 27286-2022")</f>
        <v/>
      </c>
      <c r="V259">
        <f>HYPERLINK("https://klasma.github.io/Logging_2303/klagomål/A 27286-2022 FSC-klagomål.docx", "A 27286-2022")</f>
        <v/>
      </c>
      <c r="W259">
        <f>HYPERLINK("https://klasma.github.io/Logging_2303/klagomålsmail/A 27286-2022 FSC-klagomål mail.docx", "A 27286-2022")</f>
        <v/>
      </c>
      <c r="X259">
        <f>HYPERLINK("https://klasma.github.io/Logging_2303/tillsyn/A 27286-2022 tillsynsbegäran.docx", "A 27286-2022")</f>
        <v/>
      </c>
      <c r="Y259">
        <f>HYPERLINK("https://klasma.github.io/Logging_2303/tillsynsmail/A 27286-2022 tillsynsbegäran mail.docx", "A 27286-2022")</f>
        <v/>
      </c>
    </row>
    <row r="260" ht="15" customHeight="1">
      <c r="A260" t="inlineStr">
        <is>
          <t>A 31477-2022</t>
        </is>
      </c>
      <c r="B260" s="1" t="n">
        <v>44775</v>
      </c>
      <c r="C260" s="1" t="n">
        <v>45712</v>
      </c>
      <c r="D260" t="inlineStr">
        <is>
          <t>JÄMTLANDS LÄN</t>
        </is>
      </c>
      <c r="E260" t="inlineStr">
        <is>
          <t>RAGUNDA</t>
        </is>
      </c>
      <c r="F260" t="inlineStr">
        <is>
          <t>SCA</t>
        </is>
      </c>
      <c r="G260" t="n">
        <v>1.8</v>
      </c>
      <c r="H260" t="n">
        <v>0</v>
      </c>
      <c r="I260" t="n">
        <v>0</v>
      </c>
      <c r="J260" t="n">
        <v>1</v>
      </c>
      <c r="K260" t="n">
        <v>0</v>
      </c>
      <c r="L260" t="n">
        <v>0</v>
      </c>
      <c r="M260" t="n">
        <v>0</v>
      </c>
      <c r="N260" t="n">
        <v>0</v>
      </c>
      <c r="O260" t="n">
        <v>1</v>
      </c>
      <c r="P260" t="n">
        <v>0</v>
      </c>
      <c r="Q260" t="n">
        <v>1</v>
      </c>
      <c r="R260" s="2" t="inlineStr">
        <is>
          <t>Garnlav</t>
        </is>
      </c>
      <c r="S260">
        <f>HYPERLINK("https://klasma.github.io/Logging_2303/artfynd/A 31477-2022 artfynd.xlsx", "A 31477-2022")</f>
        <v/>
      </c>
      <c r="T260">
        <f>HYPERLINK("https://klasma.github.io/Logging_2303/kartor/A 31477-2022 karta.png", "A 31477-2022")</f>
        <v/>
      </c>
      <c r="V260">
        <f>HYPERLINK("https://klasma.github.io/Logging_2303/klagomål/A 31477-2022 FSC-klagomål.docx", "A 31477-2022")</f>
        <v/>
      </c>
      <c r="W260">
        <f>HYPERLINK("https://klasma.github.io/Logging_2303/klagomålsmail/A 31477-2022 FSC-klagomål mail.docx", "A 31477-2022")</f>
        <v/>
      </c>
      <c r="X260">
        <f>HYPERLINK("https://klasma.github.io/Logging_2303/tillsyn/A 31477-2022 tillsynsbegäran.docx", "A 31477-2022")</f>
        <v/>
      </c>
      <c r="Y260">
        <f>HYPERLINK("https://klasma.github.io/Logging_2303/tillsynsmail/A 31477-2022 tillsynsbegäran mail.docx", "A 31477-2022")</f>
        <v/>
      </c>
    </row>
    <row r="261" ht="15" customHeight="1">
      <c r="A261" t="inlineStr">
        <is>
          <t>A 42307-2022</t>
        </is>
      </c>
      <c r="B261" s="1" t="n">
        <v>44830</v>
      </c>
      <c r="C261" s="1" t="n">
        <v>45712</v>
      </c>
      <c r="D261" t="inlineStr">
        <is>
          <t>JÄMTLANDS LÄN</t>
        </is>
      </c>
      <c r="E261" t="inlineStr">
        <is>
          <t>RAGUNDA</t>
        </is>
      </c>
      <c r="F261" t="inlineStr">
        <is>
          <t>SCA</t>
        </is>
      </c>
      <c r="G261" t="n">
        <v>2.6</v>
      </c>
      <c r="H261" t="n">
        <v>0</v>
      </c>
      <c r="I261" t="n">
        <v>0</v>
      </c>
      <c r="J261" t="n">
        <v>0</v>
      </c>
      <c r="K261" t="n">
        <v>1</v>
      </c>
      <c r="L261" t="n">
        <v>0</v>
      </c>
      <c r="M261" t="n">
        <v>0</v>
      </c>
      <c r="N261" t="n">
        <v>0</v>
      </c>
      <c r="O261" t="n">
        <v>1</v>
      </c>
      <c r="P261" t="n">
        <v>1</v>
      </c>
      <c r="Q261" t="n">
        <v>1</v>
      </c>
      <c r="R261" s="2" t="inlineStr">
        <is>
          <t>Smalskaftslav</t>
        </is>
      </c>
      <c r="S261">
        <f>HYPERLINK("https://klasma.github.io/Logging_2303/artfynd/A 42307-2022 artfynd.xlsx", "A 42307-2022")</f>
        <v/>
      </c>
      <c r="T261">
        <f>HYPERLINK("https://klasma.github.io/Logging_2303/kartor/A 42307-2022 karta.png", "A 42307-2022")</f>
        <v/>
      </c>
      <c r="V261">
        <f>HYPERLINK("https://klasma.github.io/Logging_2303/klagomål/A 42307-2022 FSC-klagomål.docx", "A 42307-2022")</f>
        <v/>
      </c>
      <c r="W261">
        <f>HYPERLINK("https://klasma.github.io/Logging_2303/klagomålsmail/A 42307-2022 FSC-klagomål mail.docx", "A 42307-2022")</f>
        <v/>
      </c>
      <c r="X261">
        <f>HYPERLINK("https://klasma.github.io/Logging_2303/tillsyn/A 42307-2022 tillsynsbegäran.docx", "A 42307-2022")</f>
        <v/>
      </c>
      <c r="Y261">
        <f>HYPERLINK("https://klasma.github.io/Logging_2303/tillsynsmail/A 42307-2022 tillsynsbegäran mail.docx", "A 42307-2022")</f>
        <v/>
      </c>
    </row>
    <row r="262" ht="15" customHeight="1">
      <c r="A262" t="inlineStr">
        <is>
          <t>A 42899-2022</t>
        </is>
      </c>
      <c r="B262" s="1" t="n">
        <v>44832</v>
      </c>
      <c r="C262" s="1" t="n">
        <v>45712</v>
      </c>
      <c r="D262" t="inlineStr">
        <is>
          <t>JÄMTLANDS LÄN</t>
        </is>
      </c>
      <c r="E262" t="inlineStr">
        <is>
          <t>RAGUNDA</t>
        </is>
      </c>
      <c r="F262" t="inlineStr">
        <is>
          <t>SCA</t>
        </is>
      </c>
      <c r="G262" t="n">
        <v>2.3</v>
      </c>
      <c r="H262" t="n">
        <v>0</v>
      </c>
      <c r="I262" t="n">
        <v>0</v>
      </c>
      <c r="J262" t="n">
        <v>1</v>
      </c>
      <c r="K262" t="n">
        <v>0</v>
      </c>
      <c r="L262" t="n">
        <v>0</v>
      </c>
      <c r="M262" t="n">
        <v>0</v>
      </c>
      <c r="N262" t="n">
        <v>0</v>
      </c>
      <c r="O262" t="n">
        <v>1</v>
      </c>
      <c r="P262" t="n">
        <v>0</v>
      </c>
      <c r="Q262" t="n">
        <v>1</v>
      </c>
      <c r="R262" s="2" t="inlineStr">
        <is>
          <t>Ullticka</t>
        </is>
      </c>
      <c r="S262">
        <f>HYPERLINK("https://klasma.github.io/Logging_2303/artfynd/A 42899-2022 artfynd.xlsx", "A 42899-2022")</f>
        <v/>
      </c>
      <c r="T262">
        <f>HYPERLINK("https://klasma.github.io/Logging_2303/kartor/A 42899-2022 karta.png", "A 42899-2022")</f>
        <v/>
      </c>
      <c r="V262">
        <f>HYPERLINK("https://klasma.github.io/Logging_2303/klagomål/A 42899-2022 FSC-klagomål.docx", "A 42899-2022")</f>
        <v/>
      </c>
      <c r="W262">
        <f>HYPERLINK("https://klasma.github.io/Logging_2303/klagomålsmail/A 42899-2022 FSC-klagomål mail.docx", "A 42899-2022")</f>
        <v/>
      </c>
      <c r="X262">
        <f>HYPERLINK("https://klasma.github.io/Logging_2303/tillsyn/A 42899-2022 tillsynsbegäran.docx", "A 42899-2022")</f>
        <v/>
      </c>
      <c r="Y262">
        <f>HYPERLINK("https://klasma.github.io/Logging_2303/tillsynsmail/A 42899-2022 tillsynsbegäran mail.docx", "A 42899-2022")</f>
        <v/>
      </c>
    </row>
    <row r="263" ht="15" customHeight="1">
      <c r="A263" t="inlineStr">
        <is>
          <t>A 48063-2022</t>
        </is>
      </c>
      <c r="B263" s="1" t="n">
        <v>44855</v>
      </c>
      <c r="C263" s="1" t="n">
        <v>45712</v>
      </c>
      <c r="D263" t="inlineStr">
        <is>
          <t>JÄMTLANDS LÄN</t>
        </is>
      </c>
      <c r="E263" t="inlineStr">
        <is>
          <t>RAGUNDA</t>
        </is>
      </c>
      <c r="F263" t="inlineStr">
        <is>
          <t>SCA</t>
        </is>
      </c>
      <c r="G263" t="n">
        <v>3.3</v>
      </c>
      <c r="H263" t="n">
        <v>0</v>
      </c>
      <c r="I263" t="n">
        <v>1</v>
      </c>
      <c r="J263" t="n">
        <v>0</v>
      </c>
      <c r="K263" t="n">
        <v>0</v>
      </c>
      <c r="L263" t="n">
        <v>0</v>
      </c>
      <c r="M263" t="n">
        <v>0</v>
      </c>
      <c r="N263" t="n">
        <v>0</v>
      </c>
      <c r="O263" t="n">
        <v>0</v>
      </c>
      <c r="P263" t="n">
        <v>0</v>
      </c>
      <c r="Q263" t="n">
        <v>1</v>
      </c>
      <c r="R263" s="2" t="inlineStr">
        <is>
          <t>Källmossa</t>
        </is>
      </c>
      <c r="S263">
        <f>HYPERLINK("https://klasma.github.io/Logging_2303/artfynd/A 48063-2022 artfynd.xlsx", "A 48063-2022")</f>
        <v/>
      </c>
      <c r="T263">
        <f>HYPERLINK("https://klasma.github.io/Logging_2303/kartor/A 48063-2022 karta.png", "A 48063-2022")</f>
        <v/>
      </c>
      <c r="V263">
        <f>HYPERLINK("https://klasma.github.io/Logging_2303/klagomål/A 48063-2022 FSC-klagomål.docx", "A 48063-2022")</f>
        <v/>
      </c>
      <c r="W263">
        <f>HYPERLINK("https://klasma.github.io/Logging_2303/klagomålsmail/A 48063-2022 FSC-klagomål mail.docx", "A 48063-2022")</f>
        <v/>
      </c>
      <c r="X263">
        <f>HYPERLINK("https://klasma.github.io/Logging_2303/tillsyn/A 48063-2022 tillsynsbegäran.docx", "A 48063-2022")</f>
        <v/>
      </c>
      <c r="Y263">
        <f>HYPERLINK("https://klasma.github.io/Logging_2303/tillsynsmail/A 48063-2022 tillsynsbegäran mail.docx", "A 48063-2022")</f>
        <v/>
      </c>
    </row>
    <row r="264" ht="15" customHeight="1">
      <c r="A264" t="inlineStr">
        <is>
          <t>A 49091-2022</t>
        </is>
      </c>
      <c r="B264" s="1" t="n">
        <v>44860</v>
      </c>
      <c r="C264" s="1" t="n">
        <v>45712</v>
      </c>
      <c r="D264" t="inlineStr">
        <is>
          <t>JÄMTLANDS LÄN</t>
        </is>
      </c>
      <c r="E264" t="inlineStr">
        <is>
          <t>RAGUNDA</t>
        </is>
      </c>
      <c r="G264" t="n">
        <v>3.5</v>
      </c>
      <c r="H264" t="n">
        <v>1</v>
      </c>
      <c r="I264" t="n">
        <v>0</v>
      </c>
      <c r="J264" t="n">
        <v>0</v>
      </c>
      <c r="K264" t="n">
        <v>1</v>
      </c>
      <c r="L264" t="n">
        <v>0</v>
      </c>
      <c r="M264" t="n">
        <v>0</v>
      </c>
      <c r="N264" t="n">
        <v>0</v>
      </c>
      <c r="O264" t="n">
        <v>1</v>
      </c>
      <c r="P264" t="n">
        <v>1</v>
      </c>
      <c r="Q264" t="n">
        <v>1</v>
      </c>
      <c r="R264" s="2" t="inlineStr">
        <is>
          <t>Doftticka</t>
        </is>
      </c>
      <c r="S264">
        <f>HYPERLINK("https://klasma.github.io/Logging_2303/artfynd/A 49091-2022 artfynd.xlsx", "A 49091-2022")</f>
        <v/>
      </c>
      <c r="T264">
        <f>HYPERLINK("https://klasma.github.io/Logging_2303/kartor/A 49091-2022 karta.png", "A 49091-2022")</f>
        <v/>
      </c>
      <c r="V264">
        <f>HYPERLINK("https://klasma.github.io/Logging_2303/klagomål/A 49091-2022 FSC-klagomål.docx", "A 49091-2022")</f>
        <v/>
      </c>
      <c r="W264">
        <f>HYPERLINK("https://klasma.github.io/Logging_2303/klagomålsmail/A 49091-2022 FSC-klagomål mail.docx", "A 49091-2022")</f>
        <v/>
      </c>
      <c r="X264">
        <f>HYPERLINK("https://klasma.github.io/Logging_2303/tillsyn/A 49091-2022 tillsynsbegäran.docx", "A 49091-2022")</f>
        <v/>
      </c>
      <c r="Y264">
        <f>HYPERLINK("https://klasma.github.io/Logging_2303/tillsynsmail/A 49091-2022 tillsynsbegäran mail.docx", "A 49091-2022")</f>
        <v/>
      </c>
    </row>
    <row r="265" ht="15" customHeight="1">
      <c r="A265" t="inlineStr">
        <is>
          <t>A 50089-2022</t>
        </is>
      </c>
      <c r="B265" s="1" t="n">
        <v>44865</v>
      </c>
      <c r="C265" s="1" t="n">
        <v>45712</v>
      </c>
      <c r="D265" t="inlineStr">
        <is>
          <t>JÄMTLANDS LÄN</t>
        </is>
      </c>
      <c r="E265" t="inlineStr">
        <is>
          <t>RAGUNDA</t>
        </is>
      </c>
      <c r="G265" t="n">
        <v>5.7</v>
      </c>
      <c r="H265" t="n">
        <v>1</v>
      </c>
      <c r="I265" t="n">
        <v>0</v>
      </c>
      <c r="J265" t="n">
        <v>1</v>
      </c>
      <c r="K265" t="n">
        <v>0</v>
      </c>
      <c r="L265" t="n">
        <v>0</v>
      </c>
      <c r="M265" t="n">
        <v>0</v>
      </c>
      <c r="N265" t="n">
        <v>0</v>
      </c>
      <c r="O265" t="n">
        <v>1</v>
      </c>
      <c r="P265" t="n">
        <v>0</v>
      </c>
      <c r="Q265" t="n">
        <v>1</v>
      </c>
      <c r="R265" s="2" t="inlineStr">
        <is>
          <t>Björktrast</t>
        </is>
      </c>
      <c r="S265">
        <f>HYPERLINK("https://klasma.github.io/Logging_2303/artfynd/A 50089-2022 artfynd.xlsx", "A 50089-2022")</f>
        <v/>
      </c>
      <c r="T265">
        <f>HYPERLINK("https://klasma.github.io/Logging_2303/kartor/A 50089-2022 karta.png", "A 50089-2022")</f>
        <v/>
      </c>
      <c r="V265">
        <f>HYPERLINK("https://klasma.github.io/Logging_2303/klagomål/A 50089-2022 FSC-klagomål.docx", "A 50089-2022")</f>
        <v/>
      </c>
      <c r="W265">
        <f>HYPERLINK("https://klasma.github.io/Logging_2303/klagomålsmail/A 50089-2022 FSC-klagomål mail.docx", "A 50089-2022")</f>
        <v/>
      </c>
      <c r="X265">
        <f>HYPERLINK("https://klasma.github.io/Logging_2303/tillsyn/A 50089-2022 tillsynsbegäran.docx", "A 50089-2022")</f>
        <v/>
      </c>
      <c r="Y265">
        <f>HYPERLINK("https://klasma.github.io/Logging_2303/tillsynsmail/A 50089-2022 tillsynsbegäran mail.docx", "A 50089-2022")</f>
        <v/>
      </c>
      <c r="Z265">
        <f>HYPERLINK("https://klasma.github.io/Logging_2303/fåglar/A 50089-2022 prioriterade fågelarter.docx", "A 50089-2022")</f>
        <v/>
      </c>
    </row>
    <row r="266" ht="15" customHeight="1">
      <c r="A266" t="inlineStr">
        <is>
          <t>A 11040-2023</t>
        </is>
      </c>
      <c r="B266" s="1" t="n">
        <v>44991</v>
      </c>
      <c r="C266" s="1" t="n">
        <v>45712</v>
      </c>
      <c r="D266" t="inlineStr">
        <is>
          <t>JÄMTLANDS LÄN</t>
        </is>
      </c>
      <c r="E266" t="inlineStr">
        <is>
          <t>RAGUNDA</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HYPERLINK("https://klasma.github.io/Logging_2303/artfynd/A 11040-2023 artfynd.xlsx", "A 11040-2023")</f>
        <v/>
      </c>
      <c r="T266">
        <f>HYPERLINK("https://klasma.github.io/Logging_2303/kartor/A 11040-2023 karta.png", "A 11040-2023")</f>
        <v/>
      </c>
      <c r="V266">
        <f>HYPERLINK("https://klasma.github.io/Logging_2303/klagomål/A 11040-2023 FSC-klagomål.docx", "A 11040-2023")</f>
        <v/>
      </c>
      <c r="W266">
        <f>HYPERLINK("https://klasma.github.io/Logging_2303/klagomålsmail/A 11040-2023 FSC-klagomål mail.docx", "A 11040-2023")</f>
        <v/>
      </c>
      <c r="X266">
        <f>HYPERLINK("https://klasma.github.io/Logging_2303/tillsyn/A 11040-2023 tillsynsbegäran.docx", "A 11040-2023")</f>
        <v/>
      </c>
      <c r="Y266">
        <f>HYPERLINK("https://klasma.github.io/Logging_2303/tillsynsmail/A 11040-2023 tillsynsbegäran mail.docx", "A 11040-2023")</f>
        <v/>
      </c>
    </row>
    <row r="267" ht="15" customHeight="1">
      <c r="A267" t="inlineStr">
        <is>
          <t>A 17340-2023</t>
        </is>
      </c>
      <c r="B267" s="1" t="n">
        <v>45033</v>
      </c>
      <c r="C267" s="1" t="n">
        <v>45712</v>
      </c>
      <c r="D267" t="inlineStr">
        <is>
          <t>JÄMTLANDS LÄN</t>
        </is>
      </c>
      <c r="E267" t="inlineStr">
        <is>
          <t>RAGUNDA</t>
        </is>
      </c>
      <c r="G267" t="n">
        <v>1.6</v>
      </c>
      <c r="H267" t="n">
        <v>0</v>
      </c>
      <c r="I267" t="n">
        <v>0</v>
      </c>
      <c r="J267" t="n">
        <v>1</v>
      </c>
      <c r="K267" t="n">
        <v>0</v>
      </c>
      <c r="L267" t="n">
        <v>0</v>
      </c>
      <c r="M267" t="n">
        <v>0</v>
      </c>
      <c r="N267" t="n">
        <v>0</v>
      </c>
      <c r="O267" t="n">
        <v>1</v>
      </c>
      <c r="P267" t="n">
        <v>0</v>
      </c>
      <c r="Q267" t="n">
        <v>1</v>
      </c>
      <c r="R267" s="2" t="inlineStr">
        <is>
          <t>Vedtrappmossa</t>
        </is>
      </c>
      <c r="S267">
        <f>HYPERLINK("https://klasma.github.io/Logging_2303/artfynd/A 17340-2023 artfynd.xlsx", "A 17340-2023")</f>
        <v/>
      </c>
      <c r="T267">
        <f>HYPERLINK("https://klasma.github.io/Logging_2303/kartor/A 17340-2023 karta.png", "A 17340-2023")</f>
        <v/>
      </c>
      <c r="U267">
        <f>HYPERLINK("https://klasma.github.io/Logging_2303/knärot/A 17340-2023 karta knärot.png", "A 17340-2023")</f>
        <v/>
      </c>
      <c r="V267">
        <f>HYPERLINK("https://klasma.github.io/Logging_2303/klagomål/A 17340-2023 FSC-klagomål.docx", "A 17340-2023")</f>
        <v/>
      </c>
      <c r="W267">
        <f>HYPERLINK("https://klasma.github.io/Logging_2303/klagomålsmail/A 17340-2023 FSC-klagomål mail.docx", "A 17340-2023")</f>
        <v/>
      </c>
      <c r="X267">
        <f>HYPERLINK("https://klasma.github.io/Logging_2303/tillsyn/A 17340-2023 tillsynsbegäran.docx", "A 17340-2023")</f>
        <v/>
      </c>
      <c r="Y267">
        <f>HYPERLINK("https://klasma.github.io/Logging_2303/tillsynsmail/A 17340-2023 tillsynsbegäran mail.docx", "A 17340-2023")</f>
        <v/>
      </c>
    </row>
    <row r="268" ht="15" customHeight="1">
      <c r="A268" t="inlineStr">
        <is>
          <t>A 18985-2023</t>
        </is>
      </c>
      <c r="B268" s="1" t="n">
        <v>45044</v>
      </c>
      <c r="C268" s="1" t="n">
        <v>45712</v>
      </c>
      <c r="D268" t="inlineStr">
        <is>
          <t>JÄMTLANDS LÄN</t>
        </is>
      </c>
      <c r="E268" t="inlineStr">
        <is>
          <t>RAGUNDA</t>
        </is>
      </c>
      <c r="F268" t="inlineStr">
        <is>
          <t>SCA</t>
        </is>
      </c>
      <c r="G268" t="n">
        <v>2.6</v>
      </c>
      <c r="H268" t="n">
        <v>0</v>
      </c>
      <c r="I268" t="n">
        <v>0</v>
      </c>
      <c r="J268" t="n">
        <v>1</v>
      </c>
      <c r="K268" t="n">
        <v>0</v>
      </c>
      <c r="L268" t="n">
        <v>0</v>
      </c>
      <c r="M268" t="n">
        <v>0</v>
      </c>
      <c r="N268" t="n">
        <v>0</v>
      </c>
      <c r="O268" t="n">
        <v>1</v>
      </c>
      <c r="P268" t="n">
        <v>0</v>
      </c>
      <c r="Q268" t="n">
        <v>1</v>
      </c>
      <c r="R268" s="2" t="inlineStr">
        <is>
          <t>Doftskinn</t>
        </is>
      </c>
      <c r="S268">
        <f>HYPERLINK("https://klasma.github.io/Logging_2303/artfynd/A 18985-2023 artfynd.xlsx", "A 18985-2023")</f>
        <v/>
      </c>
      <c r="T268">
        <f>HYPERLINK("https://klasma.github.io/Logging_2303/kartor/A 18985-2023 karta.png", "A 18985-2023")</f>
        <v/>
      </c>
      <c r="V268">
        <f>HYPERLINK("https://klasma.github.io/Logging_2303/klagomål/A 18985-2023 FSC-klagomål.docx", "A 18985-2023")</f>
        <v/>
      </c>
      <c r="W268">
        <f>HYPERLINK("https://klasma.github.io/Logging_2303/klagomålsmail/A 18985-2023 FSC-klagomål mail.docx", "A 18985-2023")</f>
        <v/>
      </c>
      <c r="X268">
        <f>HYPERLINK("https://klasma.github.io/Logging_2303/tillsyn/A 18985-2023 tillsynsbegäran.docx", "A 18985-2023")</f>
        <v/>
      </c>
      <c r="Y268">
        <f>HYPERLINK("https://klasma.github.io/Logging_2303/tillsynsmail/A 18985-2023 tillsynsbegäran mail.docx", "A 18985-2023")</f>
        <v/>
      </c>
    </row>
    <row r="269" ht="15" customHeight="1">
      <c r="A269" t="inlineStr">
        <is>
          <t>A 25694-2023</t>
        </is>
      </c>
      <c r="B269" s="1" t="n">
        <v>45089</v>
      </c>
      <c r="C269" s="1" t="n">
        <v>45712</v>
      </c>
      <c r="D269" t="inlineStr">
        <is>
          <t>JÄMTLANDS LÄN</t>
        </is>
      </c>
      <c r="E269" t="inlineStr">
        <is>
          <t>RAGUNDA</t>
        </is>
      </c>
      <c r="F269" t="inlineStr">
        <is>
          <t>SCA</t>
        </is>
      </c>
      <c r="G269" t="n">
        <v>1.5</v>
      </c>
      <c r="H269" t="n">
        <v>0</v>
      </c>
      <c r="I269" t="n">
        <v>0</v>
      </c>
      <c r="J269" t="n">
        <v>1</v>
      </c>
      <c r="K269" t="n">
        <v>0</v>
      </c>
      <c r="L269" t="n">
        <v>0</v>
      </c>
      <c r="M269" t="n">
        <v>0</v>
      </c>
      <c r="N269" t="n">
        <v>0</v>
      </c>
      <c r="O269" t="n">
        <v>1</v>
      </c>
      <c r="P269" t="n">
        <v>0</v>
      </c>
      <c r="Q269" t="n">
        <v>1</v>
      </c>
      <c r="R269" s="2" t="inlineStr">
        <is>
          <t>Ullticka</t>
        </is>
      </c>
      <c r="S269">
        <f>HYPERLINK("https://klasma.github.io/Logging_2303/artfynd/A 25694-2023 artfynd.xlsx", "A 25694-2023")</f>
        <v/>
      </c>
      <c r="T269">
        <f>HYPERLINK("https://klasma.github.io/Logging_2303/kartor/A 25694-2023 karta.png", "A 25694-2023")</f>
        <v/>
      </c>
      <c r="V269">
        <f>HYPERLINK("https://klasma.github.io/Logging_2303/klagomål/A 25694-2023 FSC-klagomål.docx", "A 25694-2023")</f>
        <v/>
      </c>
      <c r="W269">
        <f>HYPERLINK("https://klasma.github.io/Logging_2303/klagomålsmail/A 25694-2023 FSC-klagomål mail.docx", "A 25694-2023")</f>
        <v/>
      </c>
      <c r="X269">
        <f>HYPERLINK("https://klasma.github.io/Logging_2303/tillsyn/A 25694-2023 tillsynsbegäran.docx", "A 25694-2023")</f>
        <v/>
      </c>
      <c r="Y269">
        <f>HYPERLINK("https://klasma.github.io/Logging_2303/tillsynsmail/A 25694-2023 tillsynsbegäran mail.docx", "A 25694-2023")</f>
        <v/>
      </c>
    </row>
    <row r="270" ht="15" customHeight="1">
      <c r="A270" t="inlineStr">
        <is>
          <t>A 27683-2023</t>
        </is>
      </c>
      <c r="B270" s="1" t="n">
        <v>45097</v>
      </c>
      <c r="C270" s="1" t="n">
        <v>45712</v>
      </c>
      <c r="D270" t="inlineStr">
        <is>
          <t>JÄMTLANDS LÄN</t>
        </is>
      </c>
      <c r="E270" t="inlineStr">
        <is>
          <t>RAGUNDA</t>
        </is>
      </c>
      <c r="F270" t="inlineStr">
        <is>
          <t>SCA</t>
        </is>
      </c>
      <c r="G270" t="n">
        <v>7.3</v>
      </c>
      <c r="H270" t="n">
        <v>0</v>
      </c>
      <c r="I270" t="n">
        <v>0</v>
      </c>
      <c r="J270" t="n">
        <v>1</v>
      </c>
      <c r="K270" t="n">
        <v>0</v>
      </c>
      <c r="L270" t="n">
        <v>0</v>
      </c>
      <c r="M270" t="n">
        <v>0</v>
      </c>
      <c r="N270" t="n">
        <v>0</v>
      </c>
      <c r="O270" t="n">
        <v>1</v>
      </c>
      <c r="P270" t="n">
        <v>0</v>
      </c>
      <c r="Q270" t="n">
        <v>1</v>
      </c>
      <c r="R270" s="2" t="inlineStr">
        <is>
          <t>Dvärgbägarlav</t>
        </is>
      </c>
      <c r="S270">
        <f>HYPERLINK("https://klasma.github.io/Logging_2303/artfynd/A 27683-2023 artfynd.xlsx", "A 27683-2023")</f>
        <v/>
      </c>
      <c r="T270">
        <f>HYPERLINK("https://klasma.github.io/Logging_2303/kartor/A 27683-2023 karta.png", "A 27683-2023")</f>
        <v/>
      </c>
      <c r="V270">
        <f>HYPERLINK("https://klasma.github.io/Logging_2303/klagomål/A 27683-2023 FSC-klagomål.docx", "A 27683-2023")</f>
        <v/>
      </c>
      <c r="W270">
        <f>HYPERLINK("https://klasma.github.io/Logging_2303/klagomålsmail/A 27683-2023 FSC-klagomål mail.docx", "A 27683-2023")</f>
        <v/>
      </c>
      <c r="X270">
        <f>HYPERLINK("https://klasma.github.io/Logging_2303/tillsyn/A 27683-2023 tillsynsbegäran.docx", "A 27683-2023")</f>
        <v/>
      </c>
      <c r="Y270">
        <f>HYPERLINK("https://klasma.github.io/Logging_2303/tillsynsmail/A 27683-2023 tillsynsbegäran mail.docx", "A 27683-2023")</f>
        <v/>
      </c>
    </row>
    <row r="271" ht="15" customHeight="1">
      <c r="A271" t="inlineStr">
        <is>
          <t>A 30283-2023</t>
        </is>
      </c>
      <c r="B271" s="1" t="n">
        <v>45111</v>
      </c>
      <c r="C271" s="1" t="n">
        <v>45712</v>
      </c>
      <c r="D271" t="inlineStr">
        <is>
          <t>JÄMTLANDS LÄN</t>
        </is>
      </c>
      <c r="E271" t="inlineStr">
        <is>
          <t>RAGUNDA</t>
        </is>
      </c>
      <c r="G271" t="n">
        <v>7.4</v>
      </c>
      <c r="H271" t="n">
        <v>0</v>
      </c>
      <c r="I271" t="n">
        <v>0</v>
      </c>
      <c r="J271" t="n">
        <v>1</v>
      </c>
      <c r="K271" t="n">
        <v>0</v>
      </c>
      <c r="L271" t="n">
        <v>0</v>
      </c>
      <c r="M271" t="n">
        <v>0</v>
      </c>
      <c r="N271" t="n">
        <v>0</v>
      </c>
      <c r="O271" t="n">
        <v>1</v>
      </c>
      <c r="P271" t="n">
        <v>0</v>
      </c>
      <c r="Q271" t="n">
        <v>1</v>
      </c>
      <c r="R271" s="2" t="inlineStr">
        <is>
          <t>Garnlav</t>
        </is>
      </c>
      <c r="S271">
        <f>HYPERLINK("https://klasma.github.io/Logging_2303/artfynd/A 30283-2023 artfynd.xlsx", "A 30283-2023")</f>
        <v/>
      </c>
      <c r="T271">
        <f>HYPERLINK("https://klasma.github.io/Logging_2303/kartor/A 30283-2023 karta.png", "A 30283-2023")</f>
        <v/>
      </c>
      <c r="V271">
        <f>HYPERLINK("https://klasma.github.io/Logging_2303/klagomål/A 30283-2023 FSC-klagomål.docx", "A 30283-2023")</f>
        <v/>
      </c>
      <c r="W271">
        <f>HYPERLINK("https://klasma.github.io/Logging_2303/klagomålsmail/A 30283-2023 FSC-klagomål mail.docx", "A 30283-2023")</f>
        <v/>
      </c>
      <c r="X271">
        <f>HYPERLINK("https://klasma.github.io/Logging_2303/tillsyn/A 30283-2023 tillsynsbegäran.docx", "A 30283-2023")</f>
        <v/>
      </c>
      <c r="Y271">
        <f>HYPERLINK("https://klasma.github.io/Logging_2303/tillsynsmail/A 30283-2023 tillsynsbegäran mail.docx", "A 30283-2023")</f>
        <v/>
      </c>
    </row>
    <row r="272" ht="15" customHeight="1">
      <c r="A272" t="inlineStr">
        <is>
          <t>A 35750-2023</t>
        </is>
      </c>
      <c r="B272" s="1" t="n">
        <v>45147</v>
      </c>
      <c r="C272" s="1" t="n">
        <v>45712</v>
      </c>
      <c r="D272" t="inlineStr">
        <is>
          <t>JÄMTLANDS LÄN</t>
        </is>
      </c>
      <c r="E272" t="inlineStr">
        <is>
          <t>RAGUNDA</t>
        </is>
      </c>
      <c r="F272" t="inlineStr">
        <is>
          <t>SCA</t>
        </is>
      </c>
      <c r="G272" t="n">
        <v>4.8</v>
      </c>
      <c r="H272" t="n">
        <v>0</v>
      </c>
      <c r="I272" t="n">
        <v>0</v>
      </c>
      <c r="J272" t="n">
        <v>1</v>
      </c>
      <c r="K272" t="n">
        <v>0</v>
      </c>
      <c r="L272" t="n">
        <v>0</v>
      </c>
      <c r="M272" t="n">
        <v>0</v>
      </c>
      <c r="N272" t="n">
        <v>0</v>
      </c>
      <c r="O272" t="n">
        <v>1</v>
      </c>
      <c r="P272" t="n">
        <v>0</v>
      </c>
      <c r="Q272" t="n">
        <v>1</v>
      </c>
      <c r="R272" s="2" t="inlineStr">
        <is>
          <t>Grantaggsvamp</t>
        </is>
      </c>
      <c r="S272">
        <f>HYPERLINK("https://klasma.github.io/Logging_2303/artfynd/A 35750-2023 artfynd.xlsx", "A 35750-2023")</f>
        <v/>
      </c>
      <c r="T272">
        <f>HYPERLINK("https://klasma.github.io/Logging_2303/kartor/A 35750-2023 karta.png", "A 35750-2023")</f>
        <v/>
      </c>
      <c r="V272">
        <f>HYPERLINK("https://klasma.github.io/Logging_2303/klagomål/A 35750-2023 FSC-klagomål.docx", "A 35750-2023")</f>
        <v/>
      </c>
      <c r="W272">
        <f>HYPERLINK("https://klasma.github.io/Logging_2303/klagomålsmail/A 35750-2023 FSC-klagomål mail.docx", "A 35750-2023")</f>
        <v/>
      </c>
      <c r="X272">
        <f>HYPERLINK("https://klasma.github.io/Logging_2303/tillsyn/A 35750-2023 tillsynsbegäran.docx", "A 35750-2023")</f>
        <v/>
      </c>
      <c r="Y272">
        <f>HYPERLINK("https://klasma.github.io/Logging_2303/tillsynsmail/A 35750-2023 tillsynsbegäran mail.docx", "A 35750-2023")</f>
        <v/>
      </c>
    </row>
    <row r="273" ht="15" customHeight="1">
      <c r="A273" t="inlineStr">
        <is>
          <t>A 36224-2023</t>
        </is>
      </c>
      <c r="B273" s="1" t="n">
        <v>45149</v>
      </c>
      <c r="C273" s="1" t="n">
        <v>45712</v>
      </c>
      <c r="D273" t="inlineStr">
        <is>
          <t>JÄMTLANDS LÄN</t>
        </is>
      </c>
      <c r="E273" t="inlineStr">
        <is>
          <t>RAGUNDA</t>
        </is>
      </c>
      <c r="F273" t="inlineStr">
        <is>
          <t>SCA</t>
        </is>
      </c>
      <c r="G273" t="n">
        <v>8.1</v>
      </c>
      <c r="H273" t="n">
        <v>0</v>
      </c>
      <c r="I273" t="n">
        <v>0</v>
      </c>
      <c r="J273" t="n">
        <v>1</v>
      </c>
      <c r="K273" t="n">
        <v>0</v>
      </c>
      <c r="L273" t="n">
        <v>0</v>
      </c>
      <c r="M273" t="n">
        <v>0</v>
      </c>
      <c r="N273" t="n">
        <v>0</v>
      </c>
      <c r="O273" t="n">
        <v>1</v>
      </c>
      <c r="P273" t="n">
        <v>0</v>
      </c>
      <c r="Q273" t="n">
        <v>1</v>
      </c>
      <c r="R273" s="2" t="inlineStr">
        <is>
          <t>Garnlav</t>
        </is>
      </c>
      <c r="S273">
        <f>HYPERLINK("https://klasma.github.io/Logging_2303/artfynd/A 36224-2023 artfynd.xlsx", "A 36224-2023")</f>
        <v/>
      </c>
      <c r="T273">
        <f>HYPERLINK("https://klasma.github.io/Logging_2303/kartor/A 36224-2023 karta.png", "A 36224-2023")</f>
        <v/>
      </c>
      <c r="V273">
        <f>HYPERLINK("https://klasma.github.io/Logging_2303/klagomål/A 36224-2023 FSC-klagomål.docx", "A 36224-2023")</f>
        <v/>
      </c>
      <c r="W273">
        <f>HYPERLINK("https://klasma.github.io/Logging_2303/klagomålsmail/A 36224-2023 FSC-klagomål mail.docx", "A 36224-2023")</f>
        <v/>
      </c>
      <c r="X273">
        <f>HYPERLINK("https://klasma.github.io/Logging_2303/tillsyn/A 36224-2023 tillsynsbegäran.docx", "A 36224-2023")</f>
        <v/>
      </c>
      <c r="Y273">
        <f>HYPERLINK("https://klasma.github.io/Logging_2303/tillsynsmail/A 36224-2023 tillsynsbegäran mail.docx", "A 36224-2023")</f>
        <v/>
      </c>
    </row>
    <row r="274" ht="15" customHeight="1">
      <c r="A274" t="inlineStr">
        <is>
          <t>A 36204-2023</t>
        </is>
      </c>
      <c r="B274" s="1" t="n">
        <v>45149</v>
      </c>
      <c r="C274" s="1" t="n">
        <v>45712</v>
      </c>
      <c r="D274" t="inlineStr">
        <is>
          <t>JÄMTLANDS LÄN</t>
        </is>
      </c>
      <c r="E274" t="inlineStr">
        <is>
          <t>RAGUNDA</t>
        </is>
      </c>
      <c r="F274" t="inlineStr">
        <is>
          <t>SCA</t>
        </is>
      </c>
      <c r="G274" t="n">
        <v>5.1</v>
      </c>
      <c r="H274" t="n">
        <v>0</v>
      </c>
      <c r="I274" t="n">
        <v>0</v>
      </c>
      <c r="J274" t="n">
        <v>1</v>
      </c>
      <c r="K274" t="n">
        <v>0</v>
      </c>
      <c r="L274" t="n">
        <v>0</v>
      </c>
      <c r="M274" t="n">
        <v>0</v>
      </c>
      <c r="N274" t="n">
        <v>0</v>
      </c>
      <c r="O274" t="n">
        <v>1</v>
      </c>
      <c r="P274" t="n">
        <v>0</v>
      </c>
      <c r="Q274" t="n">
        <v>1</v>
      </c>
      <c r="R274" s="2" t="inlineStr">
        <is>
          <t>Rosenticka</t>
        </is>
      </c>
      <c r="S274">
        <f>HYPERLINK("https://klasma.github.io/Logging_2303/artfynd/A 36204-2023 artfynd.xlsx", "A 36204-2023")</f>
        <v/>
      </c>
      <c r="T274">
        <f>HYPERLINK("https://klasma.github.io/Logging_2303/kartor/A 36204-2023 karta.png", "A 36204-2023")</f>
        <v/>
      </c>
      <c r="V274">
        <f>HYPERLINK("https://klasma.github.io/Logging_2303/klagomål/A 36204-2023 FSC-klagomål.docx", "A 36204-2023")</f>
        <v/>
      </c>
      <c r="W274">
        <f>HYPERLINK("https://klasma.github.io/Logging_2303/klagomålsmail/A 36204-2023 FSC-klagomål mail.docx", "A 36204-2023")</f>
        <v/>
      </c>
      <c r="X274">
        <f>HYPERLINK("https://klasma.github.io/Logging_2303/tillsyn/A 36204-2023 tillsynsbegäran.docx", "A 36204-2023")</f>
        <v/>
      </c>
      <c r="Y274">
        <f>HYPERLINK("https://klasma.github.io/Logging_2303/tillsynsmail/A 36204-2023 tillsynsbegäran mail.docx", "A 36204-2023")</f>
        <v/>
      </c>
    </row>
    <row r="275" ht="15" customHeight="1">
      <c r="A275" t="inlineStr">
        <is>
          <t>A 36225-2023</t>
        </is>
      </c>
      <c r="B275" s="1" t="n">
        <v>45149</v>
      </c>
      <c r="C275" s="1" t="n">
        <v>45712</v>
      </c>
      <c r="D275" t="inlineStr">
        <is>
          <t>JÄMTLANDS LÄN</t>
        </is>
      </c>
      <c r="E275" t="inlineStr">
        <is>
          <t>RAGUNDA</t>
        </is>
      </c>
      <c r="F275" t="inlineStr">
        <is>
          <t>SCA</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HYPERLINK("https://klasma.github.io/Logging_2303/artfynd/A 36225-2023 artfynd.xlsx", "A 36225-2023")</f>
        <v/>
      </c>
      <c r="T275">
        <f>HYPERLINK("https://klasma.github.io/Logging_2303/kartor/A 36225-2023 karta.png", "A 36225-2023")</f>
        <v/>
      </c>
      <c r="V275">
        <f>HYPERLINK("https://klasma.github.io/Logging_2303/klagomål/A 36225-2023 FSC-klagomål.docx", "A 36225-2023")</f>
        <v/>
      </c>
      <c r="W275">
        <f>HYPERLINK("https://klasma.github.io/Logging_2303/klagomålsmail/A 36225-2023 FSC-klagomål mail.docx", "A 36225-2023")</f>
        <v/>
      </c>
      <c r="X275">
        <f>HYPERLINK("https://klasma.github.io/Logging_2303/tillsyn/A 36225-2023 tillsynsbegäran.docx", "A 36225-2023")</f>
        <v/>
      </c>
      <c r="Y275">
        <f>HYPERLINK("https://klasma.github.io/Logging_2303/tillsynsmail/A 36225-2023 tillsynsbegäran mail.docx", "A 36225-2023")</f>
        <v/>
      </c>
    </row>
    <row r="276" ht="15" customHeight="1">
      <c r="A276" t="inlineStr">
        <is>
          <t>A 36758-2023</t>
        </is>
      </c>
      <c r="B276" s="1" t="n">
        <v>45153</v>
      </c>
      <c r="C276" s="1" t="n">
        <v>45712</v>
      </c>
      <c r="D276" t="inlineStr">
        <is>
          <t>JÄMTLANDS LÄN</t>
        </is>
      </c>
      <c r="E276" t="inlineStr">
        <is>
          <t>RAGUNDA</t>
        </is>
      </c>
      <c r="G276" t="n">
        <v>6</v>
      </c>
      <c r="H276" t="n">
        <v>0</v>
      </c>
      <c r="I276" t="n">
        <v>0</v>
      </c>
      <c r="J276" t="n">
        <v>1</v>
      </c>
      <c r="K276" t="n">
        <v>0</v>
      </c>
      <c r="L276" t="n">
        <v>0</v>
      </c>
      <c r="M276" t="n">
        <v>0</v>
      </c>
      <c r="N276" t="n">
        <v>0</v>
      </c>
      <c r="O276" t="n">
        <v>1</v>
      </c>
      <c r="P276" t="n">
        <v>0</v>
      </c>
      <c r="Q276" t="n">
        <v>1</v>
      </c>
      <c r="R276" s="2" t="inlineStr">
        <is>
          <t>Lunglav</t>
        </is>
      </c>
      <c r="S276">
        <f>HYPERLINK("https://klasma.github.io/Logging_2303/artfynd/A 36758-2023 artfynd.xlsx", "A 36758-2023")</f>
        <v/>
      </c>
      <c r="T276">
        <f>HYPERLINK("https://klasma.github.io/Logging_2303/kartor/A 36758-2023 karta.png", "A 36758-2023")</f>
        <v/>
      </c>
      <c r="V276">
        <f>HYPERLINK("https://klasma.github.io/Logging_2303/klagomål/A 36758-2023 FSC-klagomål.docx", "A 36758-2023")</f>
        <v/>
      </c>
      <c r="W276">
        <f>HYPERLINK("https://klasma.github.io/Logging_2303/klagomålsmail/A 36758-2023 FSC-klagomål mail.docx", "A 36758-2023")</f>
        <v/>
      </c>
      <c r="X276">
        <f>HYPERLINK("https://klasma.github.io/Logging_2303/tillsyn/A 36758-2023 tillsynsbegäran.docx", "A 36758-2023")</f>
        <v/>
      </c>
      <c r="Y276">
        <f>HYPERLINK("https://klasma.github.io/Logging_2303/tillsynsmail/A 36758-2023 tillsynsbegäran mail.docx", "A 36758-2023")</f>
        <v/>
      </c>
    </row>
    <row r="277" ht="15" customHeight="1">
      <c r="A277" t="inlineStr">
        <is>
          <t>A 36757-2023</t>
        </is>
      </c>
      <c r="B277" s="1" t="n">
        <v>45153</v>
      </c>
      <c r="C277" s="1" t="n">
        <v>45712</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36854-2023</t>
        </is>
      </c>
      <c r="B278" s="1" t="n">
        <v>45153</v>
      </c>
      <c r="C278" s="1" t="n">
        <v>45712</v>
      </c>
      <c r="D278" t="inlineStr">
        <is>
          <t>JÄMTLANDS LÄN</t>
        </is>
      </c>
      <c r="E278" t="inlineStr">
        <is>
          <t>RAGUNDA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HYPERLINK("https://klasma.github.io/Logging_2303/artfynd/A 36854-2023 artfynd.xlsx", "A 36854-2023")</f>
        <v/>
      </c>
      <c r="T278">
        <f>HYPERLINK("https://klasma.github.io/Logging_2303/kartor/A 36854-2023 karta.png", "A 36854-2023")</f>
        <v/>
      </c>
      <c r="V278">
        <f>HYPERLINK("https://klasma.github.io/Logging_2303/klagomål/A 36854-2023 FSC-klagomål.docx", "A 36854-2023")</f>
        <v/>
      </c>
      <c r="W278">
        <f>HYPERLINK("https://klasma.github.io/Logging_2303/klagomålsmail/A 36854-2023 FSC-klagomål mail.docx", "A 36854-2023")</f>
        <v/>
      </c>
      <c r="X278">
        <f>HYPERLINK("https://klasma.github.io/Logging_2303/tillsyn/A 36854-2023 tillsynsbegäran.docx", "A 36854-2023")</f>
        <v/>
      </c>
      <c r="Y278">
        <f>HYPERLINK("https://klasma.github.io/Logging_2303/tillsynsmail/A 36854-2023 tillsynsbegäran mail.docx", "A 36854-2023")</f>
        <v/>
      </c>
      <c r="Z278">
        <f>HYPERLINK("https://klasma.github.io/Logging_2303/fåglar/A 36854-2023 prioriterade fågelarter.docx", "A 36854-2023")</f>
        <v/>
      </c>
    </row>
    <row r="279" ht="15" customHeight="1">
      <c r="A279" t="inlineStr">
        <is>
          <t>A 36975-2023</t>
        </is>
      </c>
      <c r="B279" s="1" t="n">
        <v>45154</v>
      </c>
      <c r="C279" s="1" t="n">
        <v>45712</v>
      </c>
      <c r="D279" t="inlineStr">
        <is>
          <t>JÄMTLANDS LÄN</t>
        </is>
      </c>
      <c r="E279" t="inlineStr">
        <is>
          <t>RAGUNDA</t>
        </is>
      </c>
      <c r="F279" t="inlineStr">
        <is>
          <t>SCA</t>
        </is>
      </c>
      <c r="G279" t="n">
        <v>3.8</v>
      </c>
      <c r="H279" t="n">
        <v>0</v>
      </c>
      <c r="I279" t="n">
        <v>0</v>
      </c>
      <c r="J279" t="n">
        <v>0</v>
      </c>
      <c r="K279" t="n">
        <v>1</v>
      </c>
      <c r="L279" t="n">
        <v>0</v>
      </c>
      <c r="M279" t="n">
        <v>0</v>
      </c>
      <c r="N279" t="n">
        <v>0</v>
      </c>
      <c r="O279" t="n">
        <v>1</v>
      </c>
      <c r="P279" t="n">
        <v>1</v>
      </c>
      <c r="Q279" t="n">
        <v>1</v>
      </c>
      <c r="R279" s="2" t="inlineStr">
        <is>
          <t>Gräddporing</t>
        </is>
      </c>
      <c r="S279">
        <f>HYPERLINK("https://klasma.github.io/Logging_2303/artfynd/A 36975-2023 artfynd.xlsx", "A 36975-2023")</f>
        <v/>
      </c>
      <c r="T279">
        <f>HYPERLINK("https://klasma.github.io/Logging_2303/kartor/A 36975-2023 karta.png", "A 36975-2023")</f>
        <v/>
      </c>
      <c r="V279">
        <f>HYPERLINK("https://klasma.github.io/Logging_2303/klagomål/A 36975-2023 FSC-klagomål.docx", "A 36975-2023")</f>
        <v/>
      </c>
      <c r="W279">
        <f>HYPERLINK("https://klasma.github.io/Logging_2303/klagomålsmail/A 36975-2023 FSC-klagomål mail.docx", "A 36975-2023")</f>
        <v/>
      </c>
      <c r="X279">
        <f>HYPERLINK("https://klasma.github.io/Logging_2303/tillsyn/A 36975-2023 tillsynsbegäran.docx", "A 36975-2023")</f>
        <v/>
      </c>
      <c r="Y279">
        <f>HYPERLINK("https://klasma.github.io/Logging_2303/tillsynsmail/A 36975-2023 tillsynsbegäran mail.docx", "A 36975-2023")</f>
        <v/>
      </c>
    </row>
    <row r="280" ht="15" customHeight="1">
      <c r="A280" t="inlineStr">
        <is>
          <t>A 37234-2023</t>
        </is>
      </c>
      <c r="B280" s="1" t="n">
        <v>45155</v>
      </c>
      <c r="C280" s="1" t="n">
        <v>45712</v>
      </c>
      <c r="D280" t="inlineStr">
        <is>
          <t>JÄMTLANDS LÄN</t>
        </is>
      </c>
      <c r="E280" t="inlineStr">
        <is>
          <t>RAGUNDA</t>
        </is>
      </c>
      <c r="F280" t="inlineStr">
        <is>
          <t>SCA</t>
        </is>
      </c>
      <c r="G280" t="n">
        <v>7.5</v>
      </c>
      <c r="H280" t="n">
        <v>1</v>
      </c>
      <c r="I280" t="n">
        <v>0</v>
      </c>
      <c r="J280" t="n">
        <v>0</v>
      </c>
      <c r="K280" t="n">
        <v>1</v>
      </c>
      <c r="L280" t="n">
        <v>0</v>
      </c>
      <c r="M280" t="n">
        <v>0</v>
      </c>
      <c r="N280" t="n">
        <v>0</v>
      </c>
      <c r="O280" t="n">
        <v>1</v>
      </c>
      <c r="P280" t="n">
        <v>1</v>
      </c>
      <c r="Q280" t="n">
        <v>1</v>
      </c>
      <c r="R280" s="2" t="inlineStr">
        <is>
          <t>Knärot</t>
        </is>
      </c>
      <c r="S280">
        <f>HYPERLINK("https://klasma.github.io/Logging_2303/artfynd/A 37234-2023 artfynd.xlsx", "A 37234-2023")</f>
        <v/>
      </c>
      <c r="T280">
        <f>HYPERLINK("https://klasma.github.io/Logging_2303/kartor/A 37234-2023 karta.png", "A 37234-2023")</f>
        <v/>
      </c>
      <c r="U280">
        <f>HYPERLINK("https://klasma.github.io/Logging_2303/knärot/A 37234-2023 karta knärot.png", "A 37234-2023")</f>
        <v/>
      </c>
      <c r="V280">
        <f>HYPERLINK("https://klasma.github.io/Logging_2303/klagomål/A 37234-2023 FSC-klagomål.docx", "A 37234-2023")</f>
        <v/>
      </c>
      <c r="W280">
        <f>HYPERLINK("https://klasma.github.io/Logging_2303/klagomålsmail/A 37234-2023 FSC-klagomål mail.docx", "A 37234-2023")</f>
        <v/>
      </c>
      <c r="X280">
        <f>HYPERLINK("https://klasma.github.io/Logging_2303/tillsyn/A 37234-2023 tillsynsbegäran.docx", "A 37234-2023")</f>
        <v/>
      </c>
      <c r="Y280">
        <f>HYPERLINK("https://klasma.github.io/Logging_2303/tillsynsmail/A 37234-2023 tillsynsbegäran mail.docx", "A 37234-2023")</f>
        <v/>
      </c>
    </row>
    <row r="281" ht="15" customHeight="1">
      <c r="A281" t="inlineStr">
        <is>
          <t>A 43404-2023</t>
        </is>
      </c>
      <c r="B281" s="1" t="n">
        <v>45183</v>
      </c>
      <c r="C281" s="1" t="n">
        <v>45712</v>
      </c>
      <c r="D281" t="inlineStr">
        <is>
          <t>JÄMTLANDS LÄN</t>
        </is>
      </c>
      <c r="E281" t="inlineStr">
        <is>
          <t>RAGUNDA</t>
        </is>
      </c>
      <c r="F281" t="inlineStr">
        <is>
          <t>SCA</t>
        </is>
      </c>
      <c r="G281" t="n">
        <v>0.9</v>
      </c>
      <c r="H281" t="n">
        <v>0</v>
      </c>
      <c r="I281" t="n">
        <v>1</v>
      </c>
      <c r="J281" t="n">
        <v>0</v>
      </c>
      <c r="K281" t="n">
        <v>0</v>
      </c>
      <c r="L281" t="n">
        <v>0</v>
      </c>
      <c r="M281" t="n">
        <v>0</v>
      </c>
      <c r="N281" t="n">
        <v>0</v>
      </c>
      <c r="O281" t="n">
        <v>0</v>
      </c>
      <c r="P281" t="n">
        <v>0</v>
      </c>
      <c r="Q281" t="n">
        <v>1</v>
      </c>
      <c r="R281" s="2" t="inlineStr">
        <is>
          <t>Kryddspindling</t>
        </is>
      </c>
      <c r="S281">
        <f>HYPERLINK("https://klasma.github.io/Logging_2303/artfynd/A 43404-2023 artfynd.xlsx", "A 43404-2023")</f>
        <v/>
      </c>
      <c r="T281">
        <f>HYPERLINK("https://klasma.github.io/Logging_2303/kartor/A 43404-2023 karta.png", "A 43404-2023")</f>
        <v/>
      </c>
      <c r="V281">
        <f>HYPERLINK("https://klasma.github.io/Logging_2303/klagomål/A 43404-2023 FSC-klagomål.docx", "A 43404-2023")</f>
        <v/>
      </c>
      <c r="W281">
        <f>HYPERLINK("https://klasma.github.io/Logging_2303/klagomålsmail/A 43404-2023 FSC-klagomål mail.docx", "A 43404-2023")</f>
        <v/>
      </c>
      <c r="X281">
        <f>HYPERLINK("https://klasma.github.io/Logging_2303/tillsyn/A 43404-2023 tillsynsbegäran.docx", "A 43404-2023")</f>
        <v/>
      </c>
      <c r="Y281">
        <f>HYPERLINK("https://klasma.github.io/Logging_2303/tillsynsmail/A 43404-2023 tillsynsbegäran mail.docx", "A 43404-2023")</f>
        <v/>
      </c>
    </row>
    <row r="282" ht="15" customHeight="1">
      <c r="A282" t="inlineStr">
        <is>
          <t>A 48429-2023</t>
        </is>
      </c>
      <c r="B282" s="1" t="n">
        <v>45205</v>
      </c>
      <c r="C282" s="1" t="n">
        <v>45712</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48429-2023 artfynd.xlsx", "A 48429-2023")</f>
        <v/>
      </c>
      <c r="T282">
        <f>HYPERLINK("https://klasma.github.io/Logging_2303/kartor/A 48429-2023 karta.png", "A 48429-2023")</f>
        <v/>
      </c>
      <c r="V282">
        <f>HYPERLINK("https://klasma.github.io/Logging_2303/klagomål/A 48429-2023 FSC-klagomål.docx", "A 48429-2023")</f>
        <v/>
      </c>
      <c r="W282">
        <f>HYPERLINK("https://klasma.github.io/Logging_2303/klagomålsmail/A 48429-2023 FSC-klagomål mail.docx", "A 48429-2023")</f>
        <v/>
      </c>
      <c r="X282">
        <f>HYPERLINK("https://klasma.github.io/Logging_2303/tillsyn/A 48429-2023 tillsynsbegäran.docx", "A 48429-2023")</f>
        <v/>
      </c>
      <c r="Y282">
        <f>HYPERLINK("https://klasma.github.io/Logging_2303/tillsynsmail/A 48429-2023 tillsynsbegäran mail.docx", "A 48429-2023")</f>
        <v/>
      </c>
    </row>
    <row r="283" ht="15" customHeight="1">
      <c r="A283" t="inlineStr">
        <is>
          <t>A 48477-2023</t>
        </is>
      </c>
      <c r="B283" s="1" t="n">
        <v>45206</v>
      </c>
      <c r="C283" s="1" t="n">
        <v>45712</v>
      </c>
      <c r="D283" t="inlineStr">
        <is>
          <t>JÄMTLANDS LÄN</t>
        </is>
      </c>
      <c r="E283" t="inlineStr">
        <is>
          <t>RAGUNDA</t>
        </is>
      </c>
      <c r="F283" t="inlineStr">
        <is>
          <t>SCA</t>
        </is>
      </c>
      <c r="G283" t="n">
        <v>1.8</v>
      </c>
      <c r="H283" t="n">
        <v>0</v>
      </c>
      <c r="I283" t="n">
        <v>1</v>
      </c>
      <c r="J283" t="n">
        <v>0</v>
      </c>
      <c r="K283" t="n">
        <v>0</v>
      </c>
      <c r="L283" t="n">
        <v>0</v>
      </c>
      <c r="M283" t="n">
        <v>0</v>
      </c>
      <c r="N283" t="n">
        <v>0</v>
      </c>
      <c r="O283" t="n">
        <v>0</v>
      </c>
      <c r="P283" t="n">
        <v>0</v>
      </c>
      <c r="Q283" t="n">
        <v>1</v>
      </c>
      <c r="R283" s="2" t="inlineStr">
        <is>
          <t>Dropptaggsvamp</t>
        </is>
      </c>
      <c r="S283">
        <f>HYPERLINK("https://klasma.github.io/Logging_2303/artfynd/A 48477-2023 artfynd.xlsx", "A 48477-2023")</f>
        <v/>
      </c>
      <c r="T283">
        <f>HYPERLINK("https://klasma.github.io/Logging_2303/kartor/A 48477-2023 karta.png", "A 48477-2023")</f>
        <v/>
      </c>
      <c r="V283">
        <f>HYPERLINK("https://klasma.github.io/Logging_2303/klagomål/A 48477-2023 FSC-klagomål.docx", "A 48477-2023")</f>
        <v/>
      </c>
      <c r="W283">
        <f>HYPERLINK("https://klasma.github.io/Logging_2303/klagomålsmail/A 48477-2023 FSC-klagomål mail.docx", "A 48477-2023")</f>
        <v/>
      </c>
      <c r="X283">
        <f>HYPERLINK("https://klasma.github.io/Logging_2303/tillsyn/A 48477-2023 tillsynsbegäran.docx", "A 48477-2023")</f>
        <v/>
      </c>
      <c r="Y283">
        <f>HYPERLINK("https://klasma.github.io/Logging_2303/tillsynsmail/A 48477-2023 tillsynsbegäran mail.docx", "A 48477-2023")</f>
        <v/>
      </c>
    </row>
    <row r="284" ht="15" customHeight="1">
      <c r="A284" t="inlineStr">
        <is>
          <t>A 50164-2023</t>
        </is>
      </c>
      <c r="B284" s="1" t="n">
        <v>45208</v>
      </c>
      <c r="C284" s="1" t="n">
        <v>45712</v>
      </c>
      <c r="D284" t="inlineStr">
        <is>
          <t>JÄMTLANDS LÄN</t>
        </is>
      </c>
      <c r="E284" t="inlineStr">
        <is>
          <t>RAGUNDA</t>
        </is>
      </c>
      <c r="G284" t="n">
        <v>2.9</v>
      </c>
      <c r="H284" t="n">
        <v>0</v>
      </c>
      <c r="I284" t="n">
        <v>0</v>
      </c>
      <c r="J284" t="n">
        <v>0</v>
      </c>
      <c r="K284" t="n">
        <v>1</v>
      </c>
      <c r="L284" t="n">
        <v>0</v>
      </c>
      <c r="M284" t="n">
        <v>0</v>
      </c>
      <c r="N284" t="n">
        <v>0</v>
      </c>
      <c r="O284" t="n">
        <v>1</v>
      </c>
      <c r="P284" t="n">
        <v>1</v>
      </c>
      <c r="Q284" t="n">
        <v>1</v>
      </c>
      <c r="R284" s="2" t="inlineStr">
        <is>
          <t>Mindre barkplattbagge</t>
        </is>
      </c>
      <c r="S284">
        <f>HYPERLINK("https://klasma.github.io/Logging_2303/artfynd/A 50164-2023 artfynd.xlsx", "A 50164-2023")</f>
        <v/>
      </c>
      <c r="T284">
        <f>HYPERLINK("https://klasma.github.io/Logging_2303/kartor/A 50164-2023 karta.png", "A 50164-2023")</f>
        <v/>
      </c>
      <c r="V284">
        <f>HYPERLINK("https://klasma.github.io/Logging_2303/klagomål/A 50164-2023 FSC-klagomål.docx", "A 50164-2023")</f>
        <v/>
      </c>
      <c r="W284">
        <f>HYPERLINK("https://klasma.github.io/Logging_2303/klagomålsmail/A 50164-2023 FSC-klagomål mail.docx", "A 50164-2023")</f>
        <v/>
      </c>
      <c r="X284">
        <f>HYPERLINK("https://klasma.github.io/Logging_2303/tillsyn/A 50164-2023 tillsynsbegäran.docx", "A 50164-2023")</f>
        <v/>
      </c>
      <c r="Y284">
        <f>HYPERLINK("https://klasma.github.io/Logging_2303/tillsynsmail/A 50164-2023 tillsynsbegäran mail.docx", "A 50164-2023")</f>
        <v/>
      </c>
    </row>
    <row r="285" ht="15" customHeight="1">
      <c r="A285" t="inlineStr">
        <is>
          <t>A 53947-2023</t>
        </is>
      </c>
      <c r="B285" s="1" t="n">
        <v>45225</v>
      </c>
      <c r="C285" s="1" t="n">
        <v>45712</v>
      </c>
      <c r="D285" t="inlineStr">
        <is>
          <t>JÄMTLANDS LÄN</t>
        </is>
      </c>
      <c r="E285" t="inlineStr">
        <is>
          <t>RAGUNDA</t>
        </is>
      </c>
      <c r="G285" t="n">
        <v>4.4</v>
      </c>
      <c r="H285" t="n">
        <v>1</v>
      </c>
      <c r="I285" t="n">
        <v>0</v>
      </c>
      <c r="J285" t="n">
        <v>0</v>
      </c>
      <c r="K285" t="n">
        <v>0</v>
      </c>
      <c r="L285" t="n">
        <v>0</v>
      </c>
      <c r="M285" t="n">
        <v>0</v>
      </c>
      <c r="N285" t="n">
        <v>0</v>
      </c>
      <c r="O285" t="n">
        <v>0</v>
      </c>
      <c r="P285" t="n">
        <v>0</v>
      </c>
      <c r="Q285" t="n">
        <v>1</v>
      </c>
      <c r="R285" s="2" t="inlineStr">
        <is>
          <t>Nattviol</t>
        </is>
      </c>
      <c r="S285">
        <f>HYPERLINK("https://klasma.github.io/Logging_2303/artfynd/A 53947-2023 artfynd.xlsx", "A 53947-2023")</f>
        <v/>
      </c>
      <c r="T285">
        <f>HYPERLINK("https://klasma.github.io/Logging_2303/kartor/A 53947-2023 karta.png", "A 53947-2023")</f>
        <v/>
      </c>
      <c r="V285">
        <f>HYPERLINK("https://klasma.github.io/Logging_2303/klagomål/A 53947-2023 FSC-klagomål.docx", "A 53947-2023")</f>
        <v/>
      </c>
      <c r="W285">
        <f>HYPERLINK("https://klasma.github.io/Logging_2303/klagomålsmail/A 53947-2023 FSC-klagomål mail.docx", "A 53947-2023")</f>
        <v/>
      </c>
      <c r="X285">
        <f>HYPERLINK("https://klasma.github.io/Logging_2303/tillsyn/A 53947-2023 tillsynsbegäran.docx", "A 53947-2023")</f>
        <v/>
      </c>
      <c r="Y285">
        <f>HYPERLINK("https://klasma.github.io/Logging_2303/tillsynsmail/A 53947-2023 tillsynsbegäran mail.docx", "A 53947-2023")</f>
        <v/>
      </c>
    </row>
    <row r="286" ht="15" customHeight="1">
      <c r="A286" t="inlineStr">
        <is>
          <t>A 56283-2023</t>
        </is>
      </c>
      <c r="B286" s="1" t="n">
        <v>45241</v>
      </c>
      <c r="C286" s="1" t="n">
        <v>45712</v>
      </c>
      <c r="D286" t="inlineStr">
        <is>
          <t>JÄMTLANDS LÄN</t>
        </is>
      </c>
      <c r="E286" t="inlineStr">
        <is>
          <t>RAGUNDA</t>
        </is>
      </c>
      <c r="F286" t="inlineStr">
        <is>
          <t>SCA</t>
        </is>
      </c>
      <c r="G286" t="n">
        <v>7.4</v>
      </c>
      <c r="H286" t="n">
        <v>1</v>
      </c>
      <c r="I286" t="n">
        <v>0</v>
      </c>
      <c r="J286" t="n">
        <v>0</v>
      </c>
      <c r="K286" t="n">
        <v>1</v>
      </c>
      <c r="L286" t="n">
        <v>0</v>
      </c>
      <c r="M286" t="n">
        <v>0</v>
      </c>
      <c r="N286" t="n">
        <v>0</v>
      </c>
      <c r="O286" t="n">
        <v>1</v>
      </c>
      <c r="P286" t="n">
        <v>1</v>
      </c>
      <c r="Q286" t="n">
        <v>1</v>
      </c>
      <c r="R286" s="2" t="inlineStr">
        <is>
          <t>Doftticka</t>
        </is>
      </c>
      <c r="S286">
        <f>HYPERLINK("https://klasma.github.io/Logging_2303/artfynd/A 56283-2023 artfynd.xlsx", "A 56283-2023")</f>
        <v/>
      </c>
      <c r="T286">
        <f>HYPERLINK("https://klasma.github.io/Logging_2303/kartor/A 56283-2023 karta.png", "A 56283-2023")</f>
        <v/>
      </c>
      <c r="V286">
        <f>HYPERLINK("https://klasma.github.io/Logging_2303/klagomål/A 56283-2023 FSC-klagomål.docx", "A 56283-2023")</f>
        <v/>
      </c>
      <c r="W286">
        <f>HYPERLINK("https://klasma.github.io/Logging_2303/klagomålsmail/A 56283-2023 FSC-klagomål mail.docx", "A 56283-2023")</f>
        <v/>
      </c>
      <c r="X286">
        <f>HYPERLINK("https://klasma.github.io/Logging_2303/tillsyn/A 56283-2023 tillsynsbegäran.docx", "A 56283-2023")</f>
        <v/>
      </c>
      <c r="Y286">
        <f>HYPERLINK("https://klasma.github.io/Logging_2303/tillsynsmail/A 56283-2023 tillsynsbegäran mail.docx", "A 56283-2023")</f>
        <v/>
      </c>
    </row>
    <row r="287" ht="15" customHeight="1">
      <c r="A287" t="inlineStr">
        <is>
          <t>A 59104-2023</t>
        </is>
      </c>
      <c r="B287" s="1" t="n">
        <v>45253</v>
      </c>
      <c r="C287" s="1" t="n">
        <v>45712</v>
      </c>
      <c r="D287" t="inlineStr">
        <is>
          <t>JÄMTLANDS LÄN</t>
        </is>
      </c>
      <c r="E287" t="inlineStr">
        <is>
          <t>RAGUNDA</t>
        </is>
      </c>
      <c r="F287" t="inlineStr">
        <is>
          <t>SCA</t>
        </is>
      </c>
      <c r="G287" t="n">
        <v>4.2</v>
      </c>
      <c r="H287" t="n">
        <v>0</v>
      </c>
      <c r="I287" t="n">
        <v>0</v>
      </c>
      <c r="J287" t="n">
        <v>1</v>
      </c>
      <c r="K287" t="n">
        <v>0</v>
      </c>
      <c r="L287" t="n">
        <v>0</v>
      </c>
      <c r="M287" t="n">
        <v>0</v>
      </c>
      <c r="N287" t="n">
        <v>0</v>
      </c>
      <c r="O287" t="n">
        <v>1</v>
      </c>
      <c r="P287" t="n">
        <v>0</v>
      </c>
      <c r="Q287" t="n">
        <v>1</v>
      </c>
      <c r="R287" s="2" t="inlineStr">
        <is>
          <t>Ullticka</t>
        </is>
      </c>
      <c r="S287">
        <f>HYPERLINK("https://klasma.github.io/Logging_2303/artfynd/A 59104-2023 artfynd.xlsx", "A 59104-2023")</f>
        <v/>
      </c>
      <c r="T287">
        <f>HYPERLINK("https://klasma.github.io/Logging_2303/kartor/A 59104-2023 karta.png", "A 59104-2023")</f>
        <v/>
      </c>
      <c r="V287">
        <f>HYPERLINK("https://klasma.github.io/Logging_2303/klagomål/A 59104-2023 FSC-klagomål.docx", "A 59104-2023")</f>
        <v/>
      </c>
      <c r="W287">
        <f>HYPERLINK("https://klasma.github.io/Logging_2303/klagomålsmail/A 59104-2023 FSC-klagomål mail.docx", "A 59104-2023")</f>
        <v/>
      </c>
      <c r="X287">
        <f>HYPERLINK("https://klasma.github.io/Logging_2303/tillsyn/A 59104-2023 tillsynsbegäran.docx", "A 59104-2023")</f>
        <v/>
      </c>
      <c r="Y287">
        <f>HYPERLINK("https://klasma.github.io/Logging_2303/tillsynsmail/A 59104-2023 tillsynsbegäran mail.docx", "A 59104-2023")</f>
        <v/>
      </c>
    </row>
    <row r="288" ht="15" customHeight="1">
      <c r="A288" t="inlineStr">
        <is>
          <t>A 61505-2023</t>
        </is>
      </c>
      <c r="B288" s="1" t="n">
        <v>45264</v>
      </c>
      <c r="C288" s="1" t="n">
        <v>45712</v>
      </c>
      <c r="D288" t="inlineStr">
        <is>
          <t>JÄMTLANDS LÄN</t>
        </is>
      </c>
      <c r="E288" t="inlineStr">
        <is>
          <t>RAGUNDA</t>
        </is>
      </c>
      <c r="F288" t="inlineStr">
        <is>
          <t>SCA</t>
        </is>
      </c>
      <c r="G288" t="n">
        <v>38.3</v>
      </c>
      <c r="H288" t="n">
        <v>1</v>
      </c>
      <c r="I288" t="n">
        <v>0</v>
      </c>
      <c r="J288" t="n">
        <v>1</v>
      </c>
      <c r="K288" t="n">
        <v>0</v>
      </c>
      <c r="L288" t="n">
        <v>0</v>
      </c>
      <c r="M288" t="n">
        <v>0</v>
      </c>
      <c r="N288" t="n">
        <v>0</v>
      </c>
      <c r="O288" t="n">
        <v>1</v>
      </c>
      <c r="P288" t="n">
        <v>0</v>
      </c>
      <c r="Q288" t="n">
        <v>1</v>
      </c>
      <c r="R288" s="2" t="inlineStr">
        <is>
          <t>Järpe</t>
        </is>
      </c>
      <c r="S288">
        <f>HYPERLINK("https://klasma.github.io/Logging_2303/artfynd/A 61505-2023 artfynd.xlsx", "A 61505-2023")</f>
        <v/>
      </c>
      <c r="T288">
        <f>HYPERLINK("https://klasma.github.io/Logging_2303/kartor/A 61505-2023 karta.png", "A 61505-2023")</f>
        <v/>
      </c>
      <c r="V288">
        <f>HYPERLINK("https://klasma.github.io/Logging_2303/klagomål/A 61505-2023 FSC-klagomål.docx", "A 61505-2023")</f>
        <v/>
      </c>
      <c r="W288">
        <f>HYPERLINK("https://klasma.github.io/Logging_2303/klagomålsmail/A 61505-2023 FSC-klagomål mail.docx", "A 61505-2023")</f>
        <v/>
      </c>
      <c r="X288">
        <f>HYPERLINK("https://klasma.github.io/Logging_2303/tillsyn/A 61505-2023 tillsynsbegäran.docx", "A 61505-2023")</f>
        <v/>
      </c>
      <c r="Y288">
        <f>HYPERLINK("https://klasma.github.io/Logging_2303/tillsynsmail/A 61505-2023 tillsynsbegäran mail.docx", "A 61505-2023")</f>
        <v/>
      </c>
      <c r="Z288">
        <f>HYPERLINK("https://klasma.github.io/Logging_2303/fåglar/A 61505-2023 prioriterade fågelarter.docx", "A 61505-2023")</f>
        <v/>
      </c>
    </row>
    <row r="289" ht="15" customHeight="1">
      <c r="A289" t="inlineStr">
        <is>
          <t>A 62072-2023</t>
        </is>
      </c>
      <c r="B289" s="1" t="n">
        <v>45266</v>
      </c>
      <c r="C289" s="1" t="n">
        <v>45712</v>
      </c>
      <c r="D289" t="inlineStr">
        <is>
          <t>JÄMTLANDS LÄN</t>
        </is>
      </c>
      <c r="E289" t="inlineStr">
        <is>
          <t>RAGUNDA</t>
        </is>
      </c>
      <c r="G289" t="n">
        <v>4.5</v>
      </c>
      <c r="H289" t="n">
        <v>1</v>
      </c>
      <c r="I289" t="n">
        <v>0</v>
      </c>
      <c r="J289" t="n">
        <v>0</v>
      </c>
      <c r="K289" t="n">
        <v>1</v>
      </c>
      <c r="L289" t="n">
        <v>0</v>
      </c>
      <c r="M289" t="n">
        <v>0</v>
      </c>
      <c r="N289" t="n">
        <v>0</v>
      </c>
      <c r="O289" t="n">
        <v>1</v>
      </c>
      <c r="P289" t="n">
        <v>1</v>
      </c>
      <c r="Q289" t="n">
        <v>1</v>
      </c>
      <c r="R289" s="2" t="inlineStr">
        <is>
          <t>Lappuggla</t>
        </is>
      </c>
      <c r="S289">
        <f>HYPERLINK("https://klasma.github.io/Logging_2303/artfynd/A 62072-2023 artfynd.xlsx", "A 62072-2023")</f>
        <v/>
      </c>
      <c r="T289">
        <f>HYPERLINK("https://klasma.github.io/Logging_2303/kartor/A 62072-2023 karta.png", "A 62072-2023")</f>
        <v/>
      </c>
      <c r="V289">
        <f>HYPERLINK("https://klasma.github.io/Logging_2303/klagomål/A 62072-2023 FSC-klagomål.docx", "A 62072-2023")</f>
        <v/>
      </c>
      <c r="W289">
        <f>HYPERLINK("https://klasma.github.io/Logging_2303/klagomålsmail/A 62072-2023 FSC-klagomål mail.docx", "A 62072-2023")</f>
        <v/>
      </c>
      <c r="X289">
        <f>HYPERLINK("https://klasma.github.io/Logging_2303/tillsyn/A 62072-2023 tillsynsbegäran.docx", "A 62072-2023")</f>
        <v/>
      </c>
      <c r="Y289">
        <f>HYPERLINK("https://klasma.github.io/Logging_2303/tillsynsmail/A 62072-2023 tillsynsbegäran mail.docx", "A 62072-2023")</f>
        <v/>
      </c>
      <c r="Z289">
        <f>HYPERLINK("https://klasma.github.io/Logging_2303/fåglar/A 62072-2023 prioriterade fågelarter.docx", "A 62072-2023")</f>
        <v/>
      </c>
    </row>
    <row r="290" ht="15" customHeight="1">
      <c r="A290" t="inlineStr">
        <is>
          <t>A 978-2024</t>
        </is>
      </c>
      <c r="B290" s="1" t="n">
        <v>45301</v>
      </c>
      <c r="C290" s="1" t="n">
        <v>45712</v>
      </c>
      <c r="D290" t="inlineStr">
        <is>
          <t>JÄMTLANDS LÄN</t>
        </is>
      </c>
      <c r="E290" t="inlineStr">
        <is>
          <t>RAGUNDA</t>
        </is>
      </c>
      <c r="G290" t="n">
        <v>3.1</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978-2024 artfynd.xlsx", "A 978-2024")</f>
        <v/>
      </c>
      <c r="T290">
        <f>HYPERLINK("https://klasma.github.io/Logging_2303/kartor/A 978-2024 karta.png", "A 978-2024")</f>
        <v/>
      </c>
      <c r="V290">
        <f>HYPERLINK("https://klasma.github.io/Logging_2303/klagomål/A 978-2024 FSC-klagomål.docx", "A 978-2024")</f>
        <v/>
      </c>
      <c r="W290">
        <f>HYPERLINK("https://klasma.github.io/Logging_2303/klagomålsmail/A 978-2024 FSC-klagomål mail.docx", "A 978-2024")</f>
        <v/>
      </c>
      <c r="X290">
        <f>HYPERLINK("https://klasma.github.io/Logging_2303/tillsyn/A 978-2024 tillsynsbegäran.docx", "A 978-2024")</f>
        <v/>
      </c>
      <c r="Y290">
        <f>HYPERLINK("https://klasma.github.io/Logging_2303/tillsynsmail/A 978-2024 tillsynsbegäran mail.docx", "A 978-2024")</f>
        <v/>
      </c>
      <c r="Z290">
        <f>HYPERLINK("https://klasma.github.io/Logging_2303/fåglar/A 978-2024 prioriterade fågelarter.docx", "A 978-2024")</f>
        <v/>
      </c>
    </row>
    <row r="291" ht="15" customHeight="1">
      <c r="A291" t="inlineStr">
        <is>
          <t>A 1057-2024</t>
        </is>
      </c>
      <c r="B291" s="1" t="n">
        <v>45301</v>
      </c>
      <c r="C291" s="1" t="n">
        <v>45712</v>
      </c>
      <c r="D291" t="inlineStr">
        <is>
          <t>JÄMTLANDS LÄN</t>
        </is>
      </c>
      <c r="E291" t="inlineStr">
        <is>
          <t>RAGUNDA</t>
        </is>
      </c>
      <c r="F291" t="inlineStr">
        <is>
          <t>SCA</t>
        </is>
      </c>
      <c r="G291" t="n">
        <v>6.8</v>
      </c>
      <c r="H291" t="n">
        <v>0</v>
      </c>
      <c r="I291" t="n">
        <v>1</v>
      </c>
      <c r="J291" t="n">
        <v>0</v>
      </c>
      <c r="K291" t="n">
        <v>0</v>
      </c>
      <c r="L291" t="n">
        <v>0</v>
      </c>
      <c r="M291" t="n">
        <v>0</v>
      </c>
      <c r="N291" t="n">
        <v>0</v>
      </c>
      <c r="O291" t="n">
        <v>0</v>
      </c>
      <c r="P291" t="n">
        <v>0</v>
      </c>
      <c r="Q291" t="n">
        <v>1</v>
      </c>
      <c r="R291" s="2" t="inlineStr">
        <is>
          <t>Stor aspticka</t>
        </is>
      </c>
      <c r="S291">
        <f>HYPERLINK("https://klasma.github.io/Logging_2303/artfynd/A 1057-2024 artfynd.xlsx", "A 1057-2024")</f>
        <v/>
      </c>
      <c r="T291">
        <f>HYPERLINK("https://klasma.github.io/Logging_2303/kartor/A 1057-2024 karta.png", "A 1057-2024")</f>
        <v/>
      </c>
      <c r="V291">
        <f>HYPERLINK("https://klasma.github.io/Logging_2303/klagomål/A 1057-2024 FSC-klagomål.docx", "A 1057-2024")</f>
        <v/>
      </c>
      <c r="W291">
        <f>HYPERLINK("https://klasma.github.io/Logging_2303/klagomålsmail/A 1057-2024 FSC-klagomål mail.docx", "A 1057-2024")</f>
        <v/>
      </c>
      <c r="X291">
        <f>HYPERLINK("https://klasma.github.io/Logging_2303/tillsyn/A 1057-2024 tillsynsbegäran.docx", "A 1057-2024")</f>
        <v/>
      </c>
      <c r="Y291">
        <f>HYPERLINK("https://klasma.github.io/Logging_2303/tillsynsmail/A 1057-2024 tillsynsbegäran mail.docx", "A 1057-2024")</f>
        <v/>
      </c>
    </row>
    <row r="292" ht="15" customHeight="1">
      <c r="A292" t="inlineStr">
        <is>
          <t>A 2929-2024</t>
        </is>
      </c>
      <c r="B292" s="1" t="n">
        <v>45315</v>
      </c>
      <c r="C292" s="1" t="n">
        <v>45712</v>
      </c>
      <c r="D292" t="inlineStr">
        <is>
          <t>JÄMTLANDS LÄN</t>
        </is>
      </c>
      <c r="E292" t="inlineStr">
        <is>
          <t>RAGUNDA</t>
        </is>
      </c>
      <c r="G292" t="n">
        <v>1</v>
      </c>
      <c r="H292" t="n">
        <v>0</v>
      </c>
      <c r="I292" t="n">
        <v>0</v>
      </c>
      <c r="J292" t="n">
        <v>1</v>
      </c>
      <c r="K292" t="n">
        <v>0</v>
      </c>
      <c r="L292" t="n">
        <v>0</v>
      </c>
      <c r="M292" t="n">
        <v>0</v>
      </c>
      <c r="N292" t="n">
        <v>0</v>
      </c>
      <c r="O292" t="n">
        <v>1</v>
      </c>
      <c r="P292" t="n">
        <v>0</v>
      </c>
      <c r="Q292" t="n">
        <v>1</v>
      </c>
      <c r="R292" s="2" t="inlineStr">
        <is>
          <t>Klådris</t>
        </is>
      </c>
      <c r="S292">
        <f>HYPERLINK("https://klasma.github.io/Logging_2303/artfynd/A 2929-2024 artfynd.xlsx", "A 2929-2024")</f>
        <v/>
      </c>
      <c r="T292">
        <f>HYPERLINK("https://klasma.github.io/Logging_2303/kartor/A 2929-2024 karta.png", "A 2929-2024")</f>
        <v/>
      </c>
      <c r="V292">
        <f>HYPERLINK("https://klasma.github.io/Logging_2303/klagomål/A 2929-2024 FSC-klagomål.docx", "A 2929-2024")</f>
        <v/>
      </c>
      <c r="W292">
        <f>HYPERLINK("https://klasma.github.io/Logging_2303/klagomålsmail/A 2929-2024 FSC-klagomål mail.docx", "A 2929-2024")</f>
        <v/>
      </c>
      <c r="X292">
        <f>HYPERLINK("https://klasma.github.io/Logging_2303/tillsyn/A 2929-2024 tillsynsbegäran.docx", "A 2929-2024")</f>
        <v/>
      </c>
      <c r="Y292">
        <f>HYPERLINK("https://klasma.github.io/Logging_2303/tillsynsmail/A 2929-2024 tillsynsbegäran mail.docx", "A 2929-2024")</f>
        <v/>
      </c>
    </row>
    <row r="293" ht="15" customHeight="1">
      <c r="A293" t="inlineStr">
        <is>
          <t>A 6703-2024</t>
        </is>
      </c>
      <c r="B293" s="1" t="n">
        <v>45341</v>
      </c>
      <c r="C293" s="1" t="n">
        <v>45712</v>
      </c>
      <c r="D293" t="inlineStr">
        <is>
          <t>JÄMTLANDS LÄN</t>
        </is>
      </c>
      <c r="E293" t="inlineStr">
        <is>
          <t>RAGUNDA</t>
        </is>
      </c>
      <c r="F293" t="inlineStr">
        <is>
          <t>SCA</t>
        </is>
      </c>
      <c r="G293" t="n">
        <v>2.4</v>
      </c>
      <c r="H293" t="n">
        <v>0</v>
      </c>
      <c r="I293" t="n">
        <v>0</v>
      </c>
      <c r="J293" t="n">
        <v>1</v>
      </c>
      <c r="K293" t="n">
        <v>0</v>
      </c>
      <c r="L293" t="n">
        <v>0</v>
      </c>
      <c r="M293" t="n">
        <v>0</v>
      </c>
      <c r="N293" t="n">
        <v>0</v>
      </c>
      <c r="O293" t="n">
        <v>1</v>
      </c>
      <c r="P293" t="n">
        <v>0</v>
      </c>
      <c r="Q293" t="n">
        <v>1</v>
      </c>
      <c r="R293" s="2" t="inlineStr">
        <is>
          <t>Vitgrynig nållav</t>
        </is>
      </c>
      <c r="S293">
        <f>HYPERLINK("https://klasma.github.io/Logging_2303/artfynd/A 6703-2024 artfynd.xlsx", "A 6703-2024")</f>
        <v/>
      </c>
      <c r="T293">
        <f>HYPERLINK("https://klasma.github.io/Logging_2303/kartor/A 6703-2024 karta.png", "A 6703-2024")</f>
        <v/>
      </c>
      <c r="V293">
        <f>HYPERLINK("https://klasma.github.io/Logging_2303/klagomål/A 6703-2024 FSC-klagomål.docx", "A 6703-2024")</f>
        <v/>
      </c>
      <c r="W293">
        <f>HYPERLINK("https://klasma.github.io/Logging_2303/klagomålsmail/A 6703-2024 FSC-klagomål mail.docx", "A 6703-2024")</f>
        <v/>
      </c>
      <c r="X293">
        <f>HYPERLINK("https://klasma.github.io/Logging_2303/tillsyn/A 6703-2024 tillsynsbegäran.docx", "A 6703-2024")</f>
        <v/>
      </c>
      <c r="Y293">
        <f>HYPERLINK("https://klasma.github.io/Logging_2303/tillsynsmail/A 6703-2024 tillsynsbegäran mail.docx", "A 6703-2024")</f>
        <v/>
      </c>
    </row>
    <row r="294" ht="15" customHeight="1">
      <c r="A294" t="inlineStr">
        <is>
          <t>A 12584-2024</t>
        </is>
      </c>
      <c r="B294" s="1" t="n">
        <v>45379</v>
      </c>
      <c r="C294" s="1" t="n">
        <v>45712</v>
      </c>
      <c r="D294" t="inlineStr">
        <is>
          <t>JÄMTLANDS LÄN</t>
        </is>
      </c>
      <c r="E294" t="inlineStr">
        <is>
          <t>RAGUNDA</t>
        </is>
      </c>
      <c r="F294" t="inlineStr">
        <is>
          <t>SCA</t>
        </is>
      </c>
      <c r="G294" t="n">
        <v>1.3</v>
      </c>
      <c r="H294" t="n">
        <v>0</v>
      </c>
      <c r="I294" t="n">
        <v>0</v>
      </c>
      <c r="J294" t="n">
        <v>0</v>
      </c>
      <c r="K294" t="n">
        <v>1</v>
      </c>
      <c r="L294" t="n">
        <v>0</v>
      </c>
      <c r="M294" t="n">
        <v>0</v>
      </c>
      <c r="N294" t="n">
        <v>0</v>
      </c>
      <c r="O294" t="n">
        <v>1</v>
      </c>
      <c r="P294" t="n">
        <v>1</v>
      </c>
      <c r="Q294" t="n">
        <v>1</v>
      </c>
      <c r="R294" s="2" t="inlineStr">
        <is>
          <t>Rynkskinn</t>
        </is>
      </c>
      <c r="S294">
        <f>HYPERLINK("https://klasma.github.io/Logging_2303/artfynd/A 12584-2024 artfynd.xlsx", "A 12584-2024")</f>
        <v/>
      </c>
      <c r="T294">
        <f>HYPERLINK("https://klasma.github.io/Logging_2303/kartor/A 12584-2024 karta.png", "A 12584-2024")</f>
        <v/>
      </c>
      <c r="V294">
        <f>HYPERLINK("https://klasma.github.io/Logging_2303/klagomål/A 12584-2024 FSC-klagomål.docx", "A 12584-2024")</f>
        <v/>
      </c>
      <c r="W294">
        <f>HYPERLINK("https://klasma.github.io/Logging_2303/klagomålsmail/A 12584-2024 FSC-klagomål mail.docx", "A 12584-2024")</f>
        <v/>
      </c>
      <c r="X294">
        <f>HYPERLINK("https://klasma.github.io/Logging_2303/tillsyn/A 12584-2024 tillsynsbegäran.docx", "A 12584-2024")</f>
        <v/>
      </c>
      <c r="Y294">
        <f>HYPERLINK("https://klasma.github.io/Logging_2303/tillsynsmail/A 12584-2024 tillsynsbegäran mail.docx", "A 12584-2024")</f>
        <v/>
      </c>
    </row>
    <row r="295" ht="15" customHeight="1">
      <c r="A295" t="inlineStr">
        <is>
          <t>A 18609-2024</t>
        </is>
      </c>
      <c r="B295" s="1" t="n">
        <v>45426</v>
      </c>
      <c r="C295" s="1" t="n">
        <v>45712</v>
      </c>
      <c r="D295" t="inlineStr">
        <is>
          <t>JÄMTLANDS LÄN</t>
        </is>
      </c>
      <c r="E295" t="inlineStr">
        <is>
          <t>RAGUNDA</t>
        </is>
      </c>
      <c r="F295" t="inlineStr">
        <is>
          <t>SCA</t>
        </is>
      </c>
      <c r="G295" t="n">
        <v>1.2</v>
      </c>
      <c r="H295" t="n">
        <v>0</v>
      </c>
      <c r="I295" t="n">
        <v>0</v>
      </c>
      <c r="J295" t="n">
        <v>1</v>
      </c>
      <c r="K295" t="n">
        <v>0</v>
      </c>
      <c r="L295" t="n">
        <v>0</v>
      </c>
      <c r="M295" t="n">
        <v>0</v>
      </c>
      <c r="N295" t="n">
        <v>0</v>
      </c>
      <c r="O295" t="n">
        <v>1</v>
      </c>
      <c r="P295" t="n">
        <v>0</v>
      </c>
      <c r="Q295" t="n">
        <v>1</v>
      </c>
      <c r="R295" s="2" t="inlineStr">
        <is>
          <t>Ullticka</t>
        </is>
      </c>
      <c r="S295">
        <f>HYPERLINK("https://klasma.github.io/Logging_2303/artfynd/A 18609-2024 artfynd.xlsx", "A 18609-2024")</f>
        <v/>
      </c>
      <c r="T295">
        <f>HYPERLINK("https://klasma.github.io/Logging_2303/kartor/A 18609-2024 karta.png", "A 18609-2024")</f>
        <v/>
      </c>
      <c r="V295">
        <f>HYPERLINK("https://klasma.github.io/Logging_2303/klagomål/A 18609-2024 FSC-klagomål.docx", "A 18609-2024")</f>
        <v/>
      </c>
      <c r="W295">
        <f>HYPERLINK("https://klasma.github.io/Logging_2303/klagomålsmail/A 18609-2024 FSC-klagomål mail.docx", "A 18609-2024")</f>
        <v/>
      </c>
      <c r="X295">
        <f>HYPERLINK("https://klasma.github.io/Logging_2303/tillsyn/A 18609-2024 tillsynsbegäran.docx", "A 18609-2024")</f>
        <v/>
      </c>
      <c r="Y295">
        <f>HYPERLINK("https://klasma.github.io/Logging_2303/tillsynsmail/A 18609-2024 tillsynsbegäran mail.docx", "A 18609-2024")</f>
        <v/>
      </c>
    </row>
    <row r="296" ht="15" customHeight="1">
      <c r="A296" t="inlineStr">
        <is>
          <t>A 18774-2024</t>
        </is>
      </c>
      <c r="B296" s="1" t="n">
        <v>45426</v>
      </c>
      <c r="C296" s="1" t="n">
        <v>45712</v>
      </c>
      <c r="D296" t="inlineStr">
        <is>
          <t>JÄMTLANDS LÄN</t>
        </is>
      </c>
      <c r="E296" t="inlineStr">
        <is>
          <t>RAGUNDA</t>
        </is>
      </c>
      <c r="G296" t="n">
        <v>20.2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18774-2024 artfynd.xlsx", "A 18774-2024")</f>
        <v/>
      </c>
      <c r="T296">
        <f>HYPERLINK("https://klasma.github.io/Logging_2303/kartor/A 18774-2024 karta.png", "A 18774-2024")</f>
        <v/>
      </c>
      <c r="V296">
        <f>HYPERLINK("https://klasma.github.io/Logging_2303/klagomål/A 18774-2024 FSC-klagomål.docx", "A 18774-2024")</f>
        <v/>
      </c>
      <c r="W296">
        <f>HYPERLINK("https://klasma.github.io/Logging_2303/klagomålsmail/A 18774-2024 FSC-klagomål mail.docx", "A 18774-2024")</f>
        <v/>
      </c>
      <c r="X296">
        <f>HYPERLINK("https://klasma.github.io/Logging_2303/tillsyn/A 18774-2024 tillsynsbegäran.docx", "A 18774-2024")</f>
        <v/>
      </c>
      <c r="Y296">
        <f>HYPERLINK("https://klasma.github.io/Logging_2303/tillsynsmail/A 18774-2024 tillsynsbegäran mail.docx", "A 18774-2024")</f>
        <v/>
      </c>
    </row>
    <row r="297" ht="15" customHeight="1">
      <c r="A297" t="inlineStr">
        <is>
          <t>A 20553-2024</t>
        </is>
      </c>
      <c r="B297" s="1" t="n">
        <v>45436</v>
      </c>
      <c r="C297" s="1" t="n">
        <v>45712</v>
      </c>
      <c r="D297" t="inlineStr">
        <is>
          <t>JÄMTLANDS LÄN</t>
        </is>
      </c>
      <c r="E297" t="inlineStr">
        <is>
          <t>RAGUNDA</t>
        </is>
      </c>
      <c r="G297" t="n">
        <v>11.1</v>
      </c>
      <c r="H297" t="n">
        <v>0</v>
      </c>
      <c r="I297" t="n">
        <v>0</v>
      </c>
      <c r="J297" t="n">
        <v>1</v>
      </c>
      <c r="K297" t="n">
        <v>0</v>
      </c>
      <c r="L297" t="n">
        <v>0</v>
      </c>
      <c r="M297" t="n">
        <v>0</v>
      </c>
      <c r="N297" t="n">
        <v>0</v>
      </c>
      <c r="O297" t="n">
        <v>1</v>
      </c>
      <c r="P297" t="n">
        <v>0</v>
      </c>
      <c r="Q297" t="n">
        <v>1</v>
      </c>
      <c r="R297" s="2" t="inlineStr">
        <is>
          <t>Rosenticka</t>
        </is>
      </c>
      <c r="S297">
        <f>HYPERLINK("https://klasma.github.io/Logging_2303/artfynd/A 20553-2024 artfynd.xlsx", "A 20553-2024")</f>
        <v/>
      </c>
      <c r="T297">
        <f>HYPERLINK("https://klasma.github.io/Logging_2303/kartor/A 20553-2024 karta.png", "A 20553-2024")</f>
        <v/>
      </c>
      <c r="U297">
        <f>HYPERLINK("https://klasma.github.io/Logging_2303/knärot/A 20553-2024 karta knärot.png", "A 20553-2024")</f>
        <v/>
      </c>
      <c r="V297">
        <f>HYPERLINK("https://klasma.github.io/Logging_2303/klagomål/A 20553-2024 FSC-klagomål.docx", "A 20553-2024")</f>
        <v/>
      </c>
      <c r="W297">
        <f>HYPERLINK("https://klasma.github.io/Logging_2303/klagomålsmail/A 20553-2024 FSC-klagomål mail.docx", "A 20553-2024")</f>
        <v/>
      </c>
      <c r="X297">
        <f>HYPERLINK("https://klasma.github.io/Logging_2303/tillsyn/A 20553-2024 tillsynsbegäran.docx", "A 20553-2024")</f>
        <v/>
      </c>
      <c r="Y297">
        <f>HYPERLINK("https://klasma.github.io/Logging_2303/tillsynsmail/A 20553-2024 tillsynsbegäran mail.docx", "A 20553-2024")</f>
        <v/>
      </c>
    </row>
    <row r="298" ht="15" customHeight="1">
      <c r="A298" t="inlineStr">
        <is>
          <t>A 20774-2024</t>
        </is>
      </c>
      <c r="B298" s="1" t="n">
        <v>45437</v>
      </c>
      <c r="C298" s="1" t="n">
        <v>45712</v>
      </c>
      <c r="D298" t="inlineStr">
        <is>
          <t>JÄMTLANDS LÄN</t>
        </is>
      </c>
      <c r="E298" t="inlineStr">
        <is>
          <t>RAGUNDA</t>
        </is>
      </c>
      <c r="F298" t="inlineStr">
        <is>
          <t>SCA</t>
        </is>
      </c>
      <c r="G298" t="n">
        <v>2.3</v>
      </c>
      <c r="H298" t="n">
        <v>0</v>
      </c>
      <c r="I298" t="n">
        <v>1</v>
      </c>
      <c r="J298" t="n">
        <v>0</v>
      </c>
      <c r="K298" t="n">
        <v>0</v>
      </c>
      <c r="L298" t="n">
        <v>0</v>
      </c>
      <c r="M298" t="n">
        <v>0</v>
      </c>
      <c r="N298" t="n">
        <v>0</v>
      </c>
      <c r="O298" t="n">
        <v>0</v>
      </c>
      <c r="P298" t="n">
        <v>0</v>
      </c>
      <c r="Q298" t="n">
        <v>1</v>
      </c>
      <c r="R298" s="2" t="inlineStr">
        <is>
          <t>Fjällig taggsvamp s.str.</t>
        </is>
      </c>
      <c r="S298">
        <f>HYPERLINK("https://klasma.github.io/Logging_2303/artfynd/A 20774-2024 artfynd.xlsx", "A 20774-2024")</f>
        <v/>
      </c>
      <c r="T298">
        <f>HYPERLINK("https://klasma.github.io/Logging_2303/kartor/A 20774-2024 karta.png", "A 20774-2024")</f>
        <v/>
      </c>
      <c r="V298">
        <f>HYPERLINK("https://klasma.github.io/Logging_2303/klagomål/A 20774-2024 FSC-klagomål.docx", "A 20774-2024")</f>
        <v/>
      </c>
      <c r="W298">
        <f>HYPERLINK("https://klasma.github.io/Logging_2303/klagomålsmail/A 20774-2024 FSC-klagomål mail.docx", "A 20774-2024")</f>
        <v/>
      </c>
      <c r="X298">
        <f>HYPERLINK("https://klasma.github.io/Logging_2303/tillsyn/A 20774-2024 tillsynsbegäran.docx", "A 20774-2024")</f>
        <v/>
      </c>
      <c r="Y298">
        <f>HYPERLINK("https://klasma.github.io/Logging_2303/tillsynsmail/A 20774-2024 tillsynsbegäran mail.docx", "A 20774-2024")</f>
        <v/>
      </c>
    </row>
    <row r="299" ht="15" customHeight="1">
      <c r="A299" t="inlineStr">
        <is>
          <t>A 23930-2024</t>
        </is>
      </c>
      <c r="B299" s="1" t="n">
        <v>45456</v>
      </c>
      <c r="C299" s="1" t="n">
        <v>45712</v>
      </c>
      <c r="D299" t="inlineStr">
        <is>
          <t>JÄMTLANDS LÄN</t>
        </is>
      </c>
      <c r="E299" t="inlineStr">
        <is>
          <t>RAGUNDA</t>
        </is>
      </c>
      <c r="F299" t="inlineStr">
        <is>
          <t>SCA</t>
        </is>
      </c>
      <c r="G299" t="n">
        <v>4.2</v>
      </c>
      <c r="H299" t="n">
        <v>1</v>
      </c>
      <c r="I299" t="n">
        <v>1</v>
      </c>
      <c r="J299" t="n">
        <v>0</v>
      </c>
      <c r="K299" t="n">
        <v>0</v>
      </c>
      <c r="L299" t="n">
        <v>0</v>
      </c>
      <c r="M299" t="n">
        <v>0</v>
      </c>
      <c r="N299" t="n">
        <v>0</v>
      </c>
      <c r="O299" t="n">
        <v>0</v>
      </c>
      <c r="P299" t="n">
        <v>0</v>
      </c>
      <c r="Q299" t="n">
        <v>1</v>
      </c>
      <c r="R299" s="2" t="inlineStr">
        <is>
          <t>Guckusko</t>
        </is>
      </c>
      <c r="S299">
        <f>HYPERLINK("https://klasma.github.io/Logging_2303/artfynd/A 23930-2024 artfynd.xlsx", "A 23930-2024")</f>
        <v/>
      </c>
      <c r="T299">
        <f>HYPERLINK("https://klasma.github.io/Logging_2303/kartor/A 23930-2024 karta.png", "A 23930-2024")</f>
        <v/>
      </c>
      <c r="V299">
        <f>HYPERLINK("https://klasma.github.io/Logging_2303/klagomål/A 23930-2024 FSC-klagomål.docx", "A 23930-2024")</f>
        <v/>
      </c>
      <c r="W299">
        <f>HYPERLINK("https://klasma.github.io/Logging_2303/klagomålsmail/A 23930-2024 FSC-klagomål mail.docx", "A 23930-2024")</f>
        <v/>
      </c>
      <c r="X299">
        <f>HYPERLINK("https://klasma.github.io/Logging_2303/tillsyn/A 23930-2024 tillsynsbegäran.docx", "A 23930-2024")</f>
        <v/>
      </c>
      <c r="Y299">
        <f>HYPERLINK("https://klasma.github.io/Logging_2303/tillsynsmail/A 23930-2024 tillsynsbegäran mail.docx", "A 23930-2024")</f>
        <v/>
      </c>
    </row>
    <row r="300" ht="15" customHeight="1">
      <c r="A300" t="inlineStr">
        <is>
          <t>A 24443-2024</t>
        </is>
      </c>
      <c r="B300" s="1" t="n">
        <v>45458</v>
      </c>
      <c r="C300" s="1" t="n">
        <v>45712</v>
      </c>
      <c r="D300" t="inlineStr">
        <is>
          <t>JÄMTLANDS LÄN</t>
        </is>
      </c>
      <c r="E300" t="inlineStr">
        <is>
          <t>RAGUNDA</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HYPERLINK("https://klasma.github.io/Logging_2303/artfynd/A 24443-2024 artfynd.xlsx", "A 24443-2024")</f>
        <v/>
      </c>
      <c r="T300">
        <f>HYPERLINK("https://klasma.github.io/Logging_2303/kartor/A 24443-2024 karta.png", "A 24443-2024")</f>
        <v/>
      </c>
      <c r="U300">
        <f>HYPERLINK("https://klasma.github.io/Logging_2303/knärot/A 24443-2024 karta knärot.png", "A 24443-2024")</f>
        <v/>
      </c>
      <c r="V300">
        <f>HYPERLINK("https://klasma.github.io/Logging_2303/klagomål/A 24443-2024 FSC-klagomål.docx", "A 24443-2024")</f>
        <v/>
      </c>
      <c r="W300">
        <f>HYPERLINK("https://klasma.github.io/Logging_2303/klagomålsmail/A 24443-2024 FSC-klagomål mail.docx", "A 24443-2024")</f>
        <v/>
      </c>
      <c r="X300">
        <f>HYPERLINK("https://klasma.github.io/Logging_2303/tillsyn/A 24443-2024 tillsynsbegäran.docx", "A 24443-2024")</f>
        <v/>
      </c>
      <c r="Y300">
        <f>HYPERLINK("https://klasma.github.io/Logging_2303/tillsynsmail/A 24443-2024 tillsynsbegäran mail.docx", "A 24443-2024")</f>
        <v/>
      </c>
    </row>
    <row r="301" ht="15" customHeight="1">
      <c r="A301" t="inlineStr">
        <is>
          <t>A 26317-2024</t>
        </is>
      </c>
      <c r="B301" s="1" t="n">
        <v>45468</v>
      </c>
      <c r="C301" s="1" t="n">
        <v>45712</v>
      </c>
      <c r="D301" t="inlineStr">
        <is>
          <t>JÄMTLANDS LÄN</t>
        </is>
      </c>
      <c r="E301" t="inlineStr">
        <is>
          <t>RAGUNDA</t>
        </is>
      </c>
      <c r="F301" t="inlineStr">
        <is>
          <t>SCA</t>
        </is>
      </c>
      <c r="G301" t="n">
        <v>3.8</v>
      </c>
      <c r="H301" t="n">
        <v>0</v>
      </c>
      <c r="I301" t="n">
        <v>0</v>
      </c>
      <c r="J301" t="n">
        <v>1</v>
      </c>
      <c r="K301" t="n">
        <v>0</v>
      </c>
      <c r="L301" t="n">
        <v>0</v>
      </c>
      <c r="M301" t="n">
        <v>0</v>
      </c>
      <c r="N301" t="n">
        <v>0</v>
      </c>
      <c r="O301" t="n">
        <v>1</v>
      </c>
      <c r="P301" t="n">
        <v>0</v>
      </c>
      <c r="Q301" t="n">
        <v>1</v>
      </c>
      <c r="R301" s="2" t="inlineStr">
        <is>
          <t>Kortskaftad ärgspik</t>
        </is>
      </c>
      <c r="S301">
        <f>HYPERLINK("https://klasma.github.io/Logging_2303/artfynd/A 26317-2024 artfynd.xlsx", "A 26317-2024")</f>
        <v/>
      </c>
      <c r="T301">
        <f>HYPERLINK("https://klasma.github.io/Logging_2303/kartor/A 26317-2024 karta.png", "A 26317-2024")</f>
        <v/>
      </c>
      <c r="V301">
        <f>HYPERLINK("https://klasma.github.io/Logging_2303/klagomål/A 26317-2024 FSC-klagomål.docx", "A 26317-2024")</f>
        <v/>
      </c>
      <c r="W301">
        <f>HYPERLINK("https://klasma.github.io/Logging_2303/klagomålsmail/A 26317-2024 FSC-klagomål mail.docx", "A 26317-2024")</f>
        <v/>
      </c>
      <c r="X301">
        <f>HYPERLINK("https://klasma.github.io/Logging_2303/tillsyn/A 26317-2024 tillsynsbegäran.docx", "A 26317-2024")</f>
        <v/>
      </c>
      <c r="Y301">
        <f>HYPERLINK("https://klasma.github.io/Logging_2303/tillsynsmail/A 26317-2024 tillsynsbegäran mail.docx", "A 26317-2024")</f>
        <v/>
      </c>
    </row>
    <row r="302" ht="15" customHeight="1">
      <c r="A302" t="inlineStr">
        <is>
          <t>A 26322-2024</t>
        </is>
      </c>
      <c r="B302" s="1" t="n">
        <v>45469</v>
      </c>
      <c r="C302" s="1" t="n">
        <v>45712</v>
      </c>
      <c r="D302" t="inlineStr">
        <is>
          <t>JÄMTLANDS LÄN</t>
        </is>
      </c>
      <c r="E302" t="inlineStr">
        <is>
          <t>RAGUNDA</t>
        </is>
      </c>
      <c r="F302" t="inlineStr">
        <is>
          <t>SCA</t>
        </is>
      </c>
      <c r="G302" t="n">
        <v>9.6</v>
      </c>
      <c r="H302" t="n">
        <v>0</v>
      </c>
      <c r="I302" t="n">
        <v>0</v>
      </c>
      <c r="J302" t="n">
        <v>1</v>
      </c>
      <c r="K302" t="n">
        <v>0</v>
      </c>
      <c r="L302" t="n">
        <v>0</v>
      </c>
      <c r="M302" t="n">
        <v>0</v>
      </c>
      <c r="N302" t="n">
        <v>0</v>
      </c>
      <c r="O302" t="n">
        <v>1</v>
      </c>
      <c r="P302" t="n">
        <v>0</v>
      </c>
      <c r="Q302" t="n">
        <v>1</v>
      </c>
      <c r="R302" s="2" t="inlineStr">
        <is>
          <t>Rosenticka</t>
        </is>
      </c>
      <c r="S302">
        <f>HYPERLINK("https://klasma.github.io/Logging_2303/artfynd/A 26322-2024 artfynd.xlsx", "A 26322-2024")</f>
        <v/>
      </c>
      <c r="T302">
        <f>HYPERLINK("https://klasma.github.io/Logging_2303/kartor/A 26322-2024 karta.png", "A 26322-2024")</f>
        <v/>
      </c>
      <c r="U302">
        <f>HYPERLINK("https://klasma.github.io/Logging_2303/knärot/A 26322-2024 karta knärot.png", "A 26322-2024")</f>
        <v/>
      </c>
      <c r="V302">
        <f>HYPERLINK("https://klasma.github.io/Logging_2303/klagomål/A 26322-2024 FSC-klagomål.docx", "A 26322-2024")</f>
        <v/>
      </c>
      <c r="W302">
        <f>HYPERLINK("https://klasma.github.io/Logging_2303/klagomålsmail/A 26322-2024 FSC-klagomål mail.docx", "A 26322-2024")</f>
        <v/>
      </c>
      <c r="X302">
        <f>HYPERLINK("https://klasma.github.io/Logging_2303/tillsyn/A 26322-2024 tillsynsbegäran.docx", "A 26322-2024")</f>
        <v/>
      </c>
      <c r="Y302">
        <f>HYPERLINK("https://klasma.github.io/Logging_2303/tillsynsmail/A 26322-2024 tillsynsbegäran mail.docx", "A 26322-2024")</f>
        <v/>
      </c>
    </row>
    <row r="303" ht="15" customHeight="1">
      <c r="A303" t="inlineStr">
        <is>
          <t>A 28071-2024</t>
        </is>
      </c>
      <c r="B303" s="1" t="n">
        <v>45476</v>
      </c>
      <c r="C303" s="1" t="n">
        <v>45712</v>
      </c>
      <c r="D303" t="inlineStr">
        <is>
          <t>JÄMTLANDS LÄN</t>
        </is>
      </c>
      <c r="E303" t="inlineStr">
        <is>
          <t>RAGUNDA</t>
        </is>
      </c>
      <c r="G303" t="n">
        <v>14.6</v>
      </c>
      <c r="H303" t="n">
        <v>1</v>
      </c>
      <c r="I303" t="n">
        <v>1</v>
      </c>
      <c r="J303" t="n">
        <v>0</v>
      </c>
      <c r="K303" t="n">
        <v>0</v>
      </c>
      <c r="L303" t="n">
        <v>0</v>
      </c>
      <c r="M303" t="n">
        <v>0</v>
      </c>
      <c r="N303" t="n">
        <v>0</v>
      </c>
      <c r="O303" t="n">
        <v>0</v>
      </c>
      <c r="P303" t="n">
        <v>0</v>
      </c>
      <c r="Q303" t="n">
        <v>1</v>
      </c>
      <c r="R303" s="2" t="inlineStr">
        <is>
          <t>Guckusko</t>
        </is>
      </c>
      <c r="S303">
        <f>HYPERLINK("https://klasma.github.io/Logging_2303/artfynd/A 28071-2024 artfynd.xlsx", "A 28071-2024")</f>
        <v/>
      </c>
      <c r="T303">
        <f>HYPERLINK("https://klasma.github.io/Logging_2303/kartor/A 28071-2024 karta.png", "A 28071-2024")</f>
        <v/>
      </c>
      <c r="V303">
        <f>HYPERLINK("https://klasma.github.io/Logging_2303/klagomål/A 28071-2024 FSC-klagomål.docx", "A 28071-2024")</f>
        <v/>
      </c>
      <c r="W303">
        <f>HYPERLINK("https://klasma.github.io/Logging_2303/klagomålsmail/A 28071-2024 FSC-klagomål mail.docx", "A 28071-2024")</f>
        <v/>
      </c>
      <c r="X303">
        <f>HYPERLINK("https://klasma.github.io/Logging_2303/tillsyn/A 28071-2024 tillsynsbegäran.docx", "A 28071-2024")</f>
        <v/>
      </c>
      <c r="Y303">
        <f>HYPERLINK("https://klasma.github.io/Logging_2303/tillsynsmail/A 28071-2024 tillsynsbegäran mail.docx", "A 28071-2024")</f>
        <v/>
      </c>
    </row>
    <row r="304" ht="15" customHeight="1">
      <c r="A304" t="inlineStr">
        <is>
          <t>A 29245-2024</t>
        </is>
      </c>
      <c r="B304" s="1" t="n">
        <v>45483</v>
      </c>
      <c r="C304" s="1" t="n">
        <v>45712</v>
      </c>
      <c r="D304" t="inlineStr">
        <is>
          <t>JÄMTLANDS LÄN</t>
        </is>
      </c>
      <c r="E304" t="inlineStr">
        <is>
          <t>RAGUNDA</t>
        </is>
      </c>
      <c r="F304" t="inlineStr">
        <is>
          <t>SCA</t>
        </is>
      </c>
      <c r="G304" t="n">
        <v>2.9</v>
      </c>
      <c r="H304" t="n">
        <v>1</v>
      </c>
      <c r="I304" t="n">
        <v>0</v>
      </c>
      <c r="J304" t="n">
        <v>0</v>
      </c>
      <c r="K304" t="n">
        <v>1</v>
      </c>
      <c r="L304" t="n">
        <v>0</v>
      </c>
      <c r="M304" t="n">
        <v>0</v>
      </c>
      <c r="N304" t="n">
        <v>0</v>
      </c>
      <c r="O304" t="n">
        <v>1</v>
      </c>
      <c r="P304" t="n">
        <v>1</v>
      </c>
      <c r="Q304" t="n">
        <v>1</v>
      </c>
      <c r="R304" s="2" t="inlineStr">
        <is>
          <t>Doftticka</t>
        </is>
      </c>
      <c r="S304">
        <f>HYPERLINK("https://klasma.github.io/Logging_2303/artfynd/A 29245-2024 artfynd.xlsx", "A 29245-2024")</f>
        <v/>
      </c>
      <c r="T304">
        <f>HYPERLINK("https://klasma.github.io/Logging_2303/kartor/A 29245-2024 karta.png", "A 29245-2024")</f>
        <v/>
      </c>
      <c r="V304">
        <f>HYPERLINK("https://klasma.github.io/Logging_2303/klagomål/A 29245-2024 FSC-klagomål.docx", "A 29245-2024")</f>
        <v/>
      </c>
      <c r="W304">
        <f>HYPERLINK("https://klasma.github.io/Logging_2303/klagomålsmail/A 29245-2024 FSC-klagomål mail.docx", "A 29245-2024")</f>
        <v/>
      </c>
      <c r="X304">
        <f>HYPERLINK("https://klasma.github.io/Logging_2303/tillsyn/A 29245-2024 tillsynsbegäran.docx", "A 29245-2024")</f>
        <v/>
      </c>
      <c r="Y304">
        <f>HYPERLINK("https://klasma.github.io/Logging_2303/tillsynsmail/A 29245-2024 tillsynsbegäran mail.docx", "A 29245-2024")</f>
        <v/>
      </c>
    </row>
    <row r="305" ht="15" customHeight="1">
      <c r="A305" t="inlineStr">
        <is>
          <t>A 29256-2024</t>
        </is>
      </c>
      <c r="B305" s="1" t="n">
        <v>45483</v>
      </c>
      <c r="C305" s="1" t="n">
        <v>45712</v>
      </c>
      <c r="D305" t="inlineStr">
        <is>
          <t>JÄMTLANDS LÄN</t>
        </is>
      </c>
      <c r="E305" t="inlineStr">
        <is>
          <t>RAGUNDA</t>
        </is>
      </c>
      <c r="F305" t="inlineStr">
        <is>
          <t>SCA</t>
        </is>
      </c>
      <c r="G305" t="n">
        <v>3</v>
      </c>
      <c r="H305" t="n">
        <v>0</v>
      </c>
      <c r="I305" t="n">
        <v>0</v>
      </c>
      <c r="J305" t="n">
        <v>1</v>
      </c>
      <c r="K305" t="n">
        <v>0</v>
      </c>
      <c r="L305" t="n">
        <v>0</v>
      </c>
      <c r="M305" t="n">
        <v>0</v>
      </c>
      <c r="N305" t="n">
        <v>0</v>
      </c>
      <c r="O305" t="n">
        <v>1</v>
      </c>
      <c r="P305" t="n">
        <v>0</v>
      </c>
      <c r="Q305" t="n">
        <v>1</v>
      </c>
      <c r="R305" s="2" t="inlineStr">
        <is>
          <t>Garnlav</t>
        </is>
      </c>
      <c r="S305">
        <f>HYPERLINK("https://klasma.github.io/Logging_2303/artfynd/A 29256-2024 artfynd.xlsx", "A 29256-2024")</f>
        <v/>
      </c>
      <c r="T305">
        <f>HYPERLINK("https://klasma.github.io/Logging_2303/kartor/A 29256-2024 karta.png", "A 29256-2024")</f>
        <v/>
      </c>
      <c r="V305">
        <f>HYPERLINK("https://klasma.github.io/Logging_2303/klagomål/A 29256-2024 FSC-klagomål.docx", "A 29256-2024")</f>
        <v/>
      </c>
      <c r="W305">
        <f>HYPERLINK("https://klasma.github.io/Logging_2303/klagomålsmail/A 29256-2024 FSC-klagomål mail.docx", "A 29256-2024")</f>
        <v/>
      </c>
      <c r="X305">
        <f>HYPERLINK("https://klasma.github.io/Logging_2303/tillsyn/A 29256-2024 tillsynsbegäran.docx", "A 29256-2024")</f>
        <v/>
      </c>
      <c r="Y305">
        <f>HYPERLINK("https://klasma.github.io/Logging_2303/tillsynsmail/A 29256-2024 tillsynsbegäran mail.docx", "A 29256-2024")</f>
        <v/>
      </c>
    </row>
    <row r="306" ht="15" customHeight="1">
      <c r="A306" t="inlineStr">
        <is>
          <t>A 29921-2024</t>
        </is>
      </c>
      <c r="B306" s="1" t="n">
        <v>45488</v>
      </c>
      <c r="C306" s="1" t="n">
        <v>45712</v>
      </c>
      <c r="D306" t="inlineStr">
        <is>
          <t>JÄMTLANDS LÄN</t>
        </is>
      </c>
      <c r="E306" t="inlineStr">
        <is>
          <t>RAGUNDA</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HYPERLINK("https://klasma.github.io/Logging_2303/artfynd/A 29921-2024 artfynd.xlsx", "A 29921-2024")</f>
        <v/>
      </c>
      <c r="T306">
        <f>HYPERLINK("https://klasma.github.io/Logging_2303/kartor/A 29921-2024 karta.png", "A 29921-2024")</f>
        <v/>
      </c>
      <c r="U306">
        <f>HYPERLINK("https://klasma.github.io/Logging_2303/knärot/A 29921-2024 karta knärot.png", "A 29921-2024")</f>
        <v/>
      </c>
      <c r="V306">
        <f>HYPERLINK("https://klasma.github.io/Logging_2303/klagomål/A 29921-2024 FSC-klagomål.docx", "A 29921-2024")</f>
        <v/>
      </c>
      <c r="W306">
        <f>HYPERLINK("https://klasma.github.io/Logging_2303/klagomålsmail/A 29921-2024 FSC-klagomål mail.docx", "A 29921-2024")</f>
        <v/>
      </c>
      <c r="X306">
        <f>HYPERLINK("https://klasma.github.io/Logging_2303/tillsyn/A 29921-2024 tillsynsbegäran.docx", "A 29921-2024")</f>
        <v/>
      </c>
      <c r="Y306">
        <f>HYPERLINK("https://klasma.github.io/Logging_2303/tillsynsmail/A 29921-2024 tillsynsbegäran mail.docx", "A 29921-2024")</f>
        <v/>
      </c>
    </row>
    <row r="307" ht="15" customHeight="1">
      <c r="A307" t="inlineStr">
        <is>
          <t>A 30485-2024</t>
        </is>
      </c>
      <c r="B307" s="1" t="n">
        <v>45492</v>
      </c>
      <c r="C307" s="1" t="n">
        <v>45712</v>
      </c>
      <c r="D307" t="inlineStr">
        <is>
          <t>JÄMTLANDS LÄN</t>
        </is>
      </c>
      <c r="E307" t="inlineStr">
        <is>
          <t>RAGUNDA</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HYPERLINK("https://klasma.github.io/Logging_2303/artfynd/A 30485-2024 artfynd.xlsx", "A 30485-2024")</f>
        <v/>
      </c>
      <c r="T307">
        <f>HYPERLINK("https://klasma.github.io/Logging_2303/kartor/A 30485-2024 karta.png", "A 30485-2024")</f>
        <v/>
      </c>
      <c r="V307">
        <f>HYPERLINK("https://klasma.github.io/Logging_2303/klagomål/A 30485-2024 FSC-klagomål.docx", "A 30485-2024")</f>
        <v/>
      </c>
      <c r="W307">
        <f>HYPERLINK("https://klasma.github.io/Logging_2303/klagomålsmail/A 30485-2024 FSC-klagomål mail.docx", "A 30485-2024")</f>
        <v/>
      </c>
      <c r="X307">
        <f>HYPERLINK("https://klasma.github.io/Logging_2303/tillsyn/A 30485-2024 tillsynsbegäran.docx", "A 30485-2024")</f>
        <v/>
      </c>
      <c r="Y307">
        <f>HYPERLINK("https://klasma.github.io/Logging_2303/tillsynsmail/A 30485-2024 tillsynsbegäran mail.docx", "A 30485-2024")</f>
        <v/>
      </c>
    </row>
    <row r="308" ht="15" customHeight="1">
      <c r="A308" t="inlineStr">
        <is>
          <t>A 32069-2024</t>
        </is>
      </c>
      <c r="B308" s="1" t="n">
        <v>45510</v>
      </c>
      <c r="C308" s="1" t="n">
        <v>45712</v>
      </c>
      <c r="D308" t="inlineStr">
        <is>
          <t>JÄMTLANDS LÄN</t>
        </is>
      </c>
      <c r="E308" t="inlineStr">
        <is>
          <t>RAGUNDA</t>
        </is>
      </c>
      <c r="F308" t="inlineStr">
        <is>
          <t>SCA</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HYPERLINK("https://klasma.github.io/Logging_2303/artfynd/A 32069-2024 artfynd.xlsx", "A 32069-2024")</f>
        <v/>
      </c>
      <c r="T308">
        <f>HYPERLINK("https://klasma.github.io/Logging_2303/kartor/A 32069-2024 karta.png", "A 32069-2024")</f>
        <v/>
      </c>
      <c r="V308">
        <f>HYPERLINK("https://klasma.github.io/Logging_2303/klagomål/A 32069-2024 FSC-klagomål.docx", "A 32069-2024")</f>
        <v/>
      </c>
      <c r="W308">
        <f>HYPERLINK("https://klasma.github.io/Logging_2303/klagomålsmail/A 32069-2024 FSC-klagomål mail.docx", "A 32069-2024")</f>
        <v/>
      </c>
      <c r="X308">
        <f>HYPERLINK("https://klasma.github.io/Logging_2303/tillsyn/A 32069-2024 tillsynsbegäran.docx", "A 32069-2024")</f>
        <v/>
      </c>
      <c r="Y308">
        <f>HYPERLINK("https://klasma.github.io/Logging_2303/tillsynsmail/A 32069-2024 tillsynsbegäran mail.docx", "A 32069-2024")</f>
        <v/>
      </c>
    </row>
    <row r="309" ht="15" customHeight="1">
      <c r="A309" t="inlineStr">
        <is>
          <t>A 49770-2024</t>
        </is>
      </c>
      <c r="B309" s="1" t="n">
        <v>45597</v>
      </c>
      <c r="C309" s="1" t="n">
        <v>45712</v>
      </c>
      <c r="D309" t="inlineStr">
        <is>
          <t>JÄMTLANDS LÄN</t>
        </is>
      </c>
      <c r="E309" t="inlineStr">
        <is>
          <t>RAGUNDA</t>
        </is>
      </c>
      <c r="F309" t="inlineStr">
        <is>
          <t>Naturvårdsverket</t>
        </is>
      </c>
      <c r="G309" t="n">
        <v>8.9</v>
      </c>
      <c r="H309" t="n">
        <v>1</v>
      </c>
      <c r="I309" t="n">
        <v>0</v>
      </c>
      <c r="J309" t="n">
        <v>0</v>
      </c>
      <c r="K309" t="n">
        <v>1</v>
      </c>
      <c r="L309" t="n">
        <v>0</v>
      </c>
      <c r="M309" t="n">
        <v>0</v>
      </c>
      <c r="N309" t="n">
        <v>0</v>
      </c>
      <c r="O309" t="n">
        <v>1</v>
      </c>
      <c r="P309" t="n">
        <v>1</v>
      </c>
      <c r="Q309" t="n">
        <v>1</v>
      </c>
      <c r="R309" s="2" t="inlineStr">
        <is>
          <t>Doftticka</t>
        </is>
      </c>
      <c r="S309">
        <f>HYPERLINK("https://klasma.github.io/Logging_2303/artfynd/A 49770-2024 artfynd.xlsx", "A 49770-2024")</f>
        <v/>
      </c>
      <c r="T309">
        <f>HYPERLINK("https://klasma.github.io/Logging_2303/kartor/A 49770-2024 karta.png", "A 49770-2024")</f>
        <v/>
      </c>
      <c r="V309">
        <f>HYPERLINK("https://klasma.github.io/Logging_2303/klagomål/A 49770-2024 FSC-klagomål.docx", "A 49770-2024")</f>
        <v/>
      </c>
      <c r="W309">
        <f>HYPERLINK("https://klasma.github.io/Logging_2303/klagomålsmail/A 49770-2024 FSC-klagomål mail.docx", "A 49770-2024")</f>
        <v/>
      </c>
      <c r="X309">
        <f>HYPERLINK("https://klasma.github.io/Logging_2303/tillsyn/A 49770-2024 tillsynsbegäran.docx", "A 49770-2024")</f>
        <v/>
      </c>
      <c r="Y309">
        <f>HYPERLINK("https://klasma.github.io/Logging_2303/tillsynsmail/A 49770-2024 tillsynsbegäran mail.docx", "A 49770-2024")</f>
        <v/>
      </c>
    </row>
    <row r="310" ht="15" customHeight="1">
      <c r="A310" t="inlineStr">
        <is>
          <t>A 50233-2024</t>
        </is>
      </c>
      <c r="B310" s="1" t="n">
        <v>45600</v>
      </c>
      <c r="C310" s="1" t="n">
        <v>45712</v>
      </c>
      <c r="D310" t="inlineStr">
        <is>
          <t>JÄMTLANDS LÄN</t>
        </is>
      </c>
      <c r="E310" t="inlineStr">
        <is>
          <t>RAGUNDA</t>
        </is>
      </c>
      <c r="F310" t="inlineStr">
        <is>
          <t>SCA</t>
        </is>
      </c>
      <c r="G310" t="n">
        <v>5.6</v>
      </c>
      <c r="H310" t="n">
        <v>0</v>
      </c>
      <c r="I310" t="n">
        <v>0</v>
      </c>
      <c r="J310" t="n">
        <v>1</v>
      </c>
      <c r="K310" t="n">
        <v>0</v>
      </c>
      <c r="L310" t="n">
        <v>0</v>
      </c>
      <c r="M310" t="n">
        <v>0</v>
      </c>
      <c r="N310" t="n">
        <v>0</v>
      </c>
      <c r="O310" t="n">
        <v>1</v>
      </c>
      <c r="P310" t="n">
        <v>0</v>
      </c>
      <c r="Q310" t="n">
        <v>1</v>
      </c>
      <c r="R310" s="2" t="inlineStr">
        <is>
          <t>Granticka</t>
        </is>
      </c>
      <c r="S310">
        <f>HYPERLINK("https://klasma.github.io/Logging_2303/artfynd/A 50233-2024 artfynd.xlsx", "A 50233-2024")</f>
        <v/>
      </c>
      <c r="T310">
        <f>HYPERLINK("https://klasma.github.io/Logging_2303/kartor/A 50233-2024 karta.png", "A 50233-2024")</f>
        <v/>
      </c>
      <c r="V310">
        <f>HYPERLINK("https://klasma.github.io/Logging_2303/klagomål/A 50233-2024 FSC-klagomål.docx", "A 50233-2024")</f>
        <v/>
      </c>
      <c r="W310">
        <f>HYPERLINK("https://klasma.github.io/Logging_2303/klagomålsmail/A 50233-2024 FSC-klagomål mail.docx", "A 50233-2024")</f>
        <v/>
      </c>
      <c r="X310">
        <f>HYPERLINK("https://klasma.github.io/Logging_2303/tillsyn/A 50233-2024 tillsynsbegäran.docx", "A 50233-2024")</f>
        <v/>
      </c>
      <c r="Y310">
        <f>HYPERLINK("https://klasma.github.io/Logging_2303/tillsynsmail/A 50233-2024 tillsynsbegäran mail.docx", "A 50233-2024")</f>
        <v/>
      </c>
    </row>
    <row r="311" ht="15" customHeight="1">
      <c r="A311" t="inlineStr">
        <is>
          <t>A 52484-2024</t>
        </is>
      </c>
      <c r="B311" s="1" t="n">
        <v>45609</v>
      </c>
      <c r="C311" s="1" t="n">
        <v>45712</v>
      </c>
      <c r="D311" t="inlineStr">
        <is>
          <t>JÄMTLANDS LÄN</t>
        </is>
      </c>
      <c r="E311" t="inlineStr">
        <is>
          <t>RAGUNDA</t>
        </is>
      </c>
      <c r="F311" t="inlineStr">
        <is>
          <t>SCA</t>
        </is>
      </c>
      <c r="G311" t="n">
        <v>30.5</v>
      </c>
      <c r="H311" t="n">
        <v>1</v>
      </c>
      <c r="I311" t="n">
        <v>0</v>
      </c>
      <c r="J311" t="n">
        <v>0</v>
      </c>
      <c r="K311" t="n">
        <v>0</v>
      </c>
      <c r="L311" t="n">
        <v>0</v>
      </c>
      <c r="M311" t="n">
        <v>0</v>
      </c>
      <c r="N311" t="n">
        <v>0</v>
      </c>
      <c r="O311" t="n">
        <v>0</v>
      </c>
      <c r="P311" t="n">
        <v>0</v>
      </c>
      <c r="Q311" t="n">
        <v>1</v>
      </c>
      <c r="R311" s="2" t="inlineStr">
        <is>
          <t>Blåsippa</t>
        </is>
      </c>
      <c r="S311">
        <f>HYPERLINK("https://klasma.github.io/Logging_2303/artfynd/A 52484-2024 artfynd.xlsx", "A 52484-2024")</f>
        <v/>
      </c>
      <c r="T311">
        <f>HYPERLINK("https://klasma.github.io/Logging_2303/kartor/A 52484-2024 karta.png", "A 52484-2024")</f>
        <v/>
      </c>
      <c r="V311">
        <f>HYPERLINK("https://klasma.github.io/Logging_2303/klagomål/A 52484-2024 FSC-klagomål.docx", "A 52484-2024")</f>
        <v/>
      </c>
      <c r="W311">
        <f>HYPERLINK("https://klasma.github.io/Logging_2303/klagomålsmail/A 52484-2024 FSC-klagomål mail.docx", "A 52484-2024")</f>
        <v/>
      </c>
      <c r="X311">
        <f>HYPERLINK("https://klasma.github.io/Logging_2303/tillsyn/A 52484-2024 tillsynsbegäran.docx", "A 52484-2024")</f>
        <v/>
      </c>
      <c r="Y311">
        <f>HYPERLINK("https://klasma.github.io/Logging_2303/tillsynsmail/A 52484-2024 tillsynsbegäran mail.docx", "A 52484-2024")</f>
        <v/>
      </c>
    </row>
    <row r="312" ht="15" customHeight="1">
      <c r="A312" t="inlineStr">
        <is>
          <t>A 55431-2024</t>
        </is>
      </c>
      <c r="B312" s="1" t="n">
        <v>45622</v>
      </c>
      <c r="C312" s="1" t="n">
        <v>45712</v>
      </c>
      <c r="D312" t="inlineStr">
        <is>
          <t>JÄMTLANDS LÄN</t>
        </is>
      </c>
      <c r="E312" t="inlineStr">
        <is>
          <t>RAGUNDA</t>
        </is>
      </c>
      <c r="G312" t="n">
        <v>6.8</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55431-2024 artfynd.xlsx", "A 55431-2024")</f>
        <v/>
      </c>
      <c r="T312">
        <f>HYPERLINK("https://klasma.github.io/Logging_2303/kartor/A 55431-2024 karta.png", "A 55431-2024")</f>
        <v/>
      </c>
      <c r="V312">
        <f>HYPERLINK("https://klasma.github.io/Logging_2303/klagomål/A 55431-2024 FSC-klagomål.docx", "A 55431-2024")</f>
        <v/>
      </c>
      <c r="W312">
        <f>HYPERLINK("https://klasma.github.io/Logging_2303/klagomålsmail/A 55431-2024 FSC-klagomål mail.docx", "A 55431-2024")</f>
        <v/>
      </c>
      <c r="X312">
        <f>HYPERLINK("https://klasma.github.io/Logging_2303/tillsyn/A 55431-2024 tillsynsbegäran.docx", "A 55431-2024")</f>
        <v/>
      </c>
      <c r="Y312">
        <f>HYPERLINK("https://klasma.github.io/Logging_2303/tillsynsmail/A 55431-2024 tillsynsbegäran mail.docx", "A 55431-2024")</f>
        <v/>
      </c>
      <c r="Z312">
        <f>HYPERLINK("https://klasma.github.io/Logging_2303/fåglar/A 55431-2024 prioriterade fågelarter.docx", "A 55431-2024")</f>
        <v/>
      </c>
    </row>
    <row r="313" ht="15" customHeight="1">
      <c r="A313" t="inlineStr">
        <is>
          <t>A 55395-2024</t>
        </is>
      </c>
      <c r="B313" s="1" t="n">
        <v>45622</v>
      </c>
      <c r="C313" s="1" t="n">
        <v>45712</v>
      </c>
      <c r="D313" t="inlineStr">
        <is>
          <t>JÄMTLANDS LÄN</t>
        </is>
      </c>
      <c r="E313" t="inlineStr">
        <is>
          <t>RAGUNDA</t>
        </is>
      </c>
      <c r="G313" t="n">
        <v>3.2</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55395-2024 artfynd.xlsx", "A 55395-2024")</f>
        <v/>
      </c>
      <c r="T313">
        <f>HYPERLINK("https://klasma.github.io/Logging_2303/kartor/A 55395-2024 karta.png", "A 55395-2024")</f>
        <v/>
      </c>
      <c r="V313">
        <f>HYPERLINK("https://klasma.github.io/Logging_2303/klagomål/A 55395-2024 FSC-klagomål.docx", "A 55395-2024")</f>
        <v/>
      </c>
      <c r="W313">
        <f>HYPERLINK("https://klasma.github.io/Logging_2303/klagomålsmail/A 55395-2024 FSC-klagomål mail.docx", "A 55395-2024")</f>
        <v/>
      </c>
      <c r="X313">
        <f>HYPERLINK("https://klasma.github.io/Logging_2303/tillsyn/A 55395-2024 tillsynsbegäran.docx", "A 55395-2024")</f>
        <v/>
      </c>
      <c r="Y313">
        <f>HYPERLINK("https://klasma.github.io/Logging_2303/tillsynsmail/A 55395-2024 tillsynsbegäran mail.docx", "A 55395-2024")</f>
        <v/>
      </c>
      <c r="Z313">
        <f>HYPERLINK("https://klasma.github.io/Logging_2303/fåglar/A 55395-2024 prioriterade fågelarter.docx", "A 55395-2024")</f>
        <v/>
      </c>
    </row>
    <row r="314" ht="15" customHeight="1">
      <c r="A314" t="inlineStr">
        <is>
          <t>A 56090-2024</t>
        </is>
      </c>
      <c r="B314" s="1" t="n">
        <v>45624</v>
      </c>
      <c r="C314" s="1" t="n">
        <v>45712</v>
      </c>
      <c r="D314" t="inlineStr">
        <is>
          <t>JÄMTLANDS LÄN</t>
        </is>
      </c>
      <c r="E314" t="inlineStr">
        <is>
          <t>RAGUNDA</t>
        </is>
      </c>
      <c r="F314" t="inlineStr">
        <is>
          <t>SCA</t>
        </is>
      </c>
      <c r="G314" t="n">
        <v>15.2</v>
      </c>
      <c r="H314" t="n">
        <v>0</v>
      </c>
      <c r="I314" t="n">
        <v>0</v>
      </c>
      <c r="J314" t="n">
        <v>1</v>
      </c>
      <c r="K314" t="n">
        <v>0</v>
      </c>
      <c r="L314" t="n">
        <v>0</v>
      </c>
      <c r="M314" t="n">
        <v>0</v>
      </c>
      <c r="N314" t="n">
        <v>0</v>
      </c>
      <c r="O314" t="n">
        <v>1</v>
      </c>
      <c r="P314" t="n">
        <v>0</v>
      </c>
      <c r="Q314" t="n">
        <v>1</v>
      </c>
      <c r="R314" s="2" t="inlineStr">
        <is>
          <t>Blanksvart spiklav</t>
        </is>
      </c>
      <c r="S314">
        <f>HYPERLINK("https://klasma.github.io/Logging_2303/artfynd/A 56090-2024 artfynd.xlsx", "A 56090-2024")</f>
        <v/>
      </c>
      <c r="T314">
        <f>HYPERLINK("https://klasma.github.io/Logging_2303/kartor/A 56090-2024 karta.png", "A 56090-2024")</f>
        <v/>
      </c>
      <c r="V314">
        <f>HYPERLINK("https://klasma.github.io/Logging_2303/klagomål/A 56090-2024 FSC-klagomål.docx", "A 56090-2024")</f>
        <v/>
      </c>
      <c r="W314">
        <f>HYPERLINK("https://klasma.github.io/Logging_2303/klagomålsmail/A 56090-2024 FSC-klagomål mail.docx", "A 56090-2024")</f>
        <v/>
      </c>
      <c r="X314">
        <f>HYPERLINK("https://klasma.github.io/Logging_2303/tillsyn/A 56090-2024 tillsynsbegäran.docx", "A 56090-2024")</f>
        <v/>
      </c>
      <c r="Y314">
        <f>HYPERLINK("https://klasma.github.io/Logging_2303/tillsynsmail/A 56090-2024 tillsynsbegäran mail.docx", "A 56090-2024")</f>
        <v/>
      </c>
    </row>
    <row r="315" ht="15" customHeight="1">
      <c r="A315" t="inlineStr">
        <is>
          <t>A 58846-2024</t>
        </is>
      </c>
      <c r="B315" s="1" t="n">
        <v>45636</v>
      </c>
      <c r="C315" s="1" t="n">
        <v>45712</v>
      </c>
      <c r="D315" t="inlineStr">
        <is>
          <t>JÄMTLANDS LÄN</t>
        </is>
      </c>
      <c r="E315" t="inlineStr">
        <is>
          <t>RAGUNDA</t>
        </is>
      </c>
      <c r="F315" t="inlineStr">
        <is>
          <t>SCA</t>
        </is>
      </c>
      <c r="G315" t="n">
        <v>1.5</v>
      </c>
      <c r="H315" t="n">
        <v>0</v>
      </c>
      <c r="I315" t="n">
        <v>0</v>
      </c>
      <c r="J315" t="n">
        <v>0</v>
      </c>
      <c r="K315" t="n">
        <v>1</v>
      </c>
      <c r="L315" t="n">
        <v>0</v>
      </c>
      <c r="M315" t="n">
        <v>0</v>
      </c>
      <c r="N315" t="n">
        <v>0</v>
      </c>
      <c r="O315" t="n">
        <v>1</v>
      </c>
      <c r="P315" t="n">
        <v>1</v>
      </c>
      <c r="Q315" t="n">
        <v>1</v>
      </c>
      <c r="R315" s="2" t="inlineStr">
        <is>
          <t>Rynkskinn</t>
        </is>
      </c>
      <c r="S315">
        <f>HYPERLINK("https://klasma.github.io/Logging_2303/artfynd/A 58846-2024 artfynd.xlsx", "A 58846-2024")</f>
        <v/>
      </c>
      <c r="T315">
        <f>HYPERLINK("https://klasma.github.io/Logging_2303/kartor/A 58846-2024 karta.png", "A 58846-2024")</f>
        <v/>
      </c>
      <c r="V315">
        <f>HYPERLINK("https://klasma.github.io/Logging_2303/klagomål/A 58846-2024 FSC-klagomål.docx", "A 58846-2024")</f>
        <v/>
      </c>
      <c r="W315">
        <f>HYPERLINK("https://klasma.github.io/Logging_2303/klagomålsmail/A 58846-2024 FSC-klagomål mail.docx", "A 58846-2024")</f>
        <v/>
      </c>
      <c r="X315">
        <f>HYPERLINK("https://klasma.github.io/Logging_2303/tillsyn/A 58846-2024 tillsynsbegäran.docx", "A 58846-2024")</f>
        <v/>
      </c>
      <c r="Y315">
        <f>HYPERLINK("https://klasma.github.io/Logging_2303/tillsynsmail/A 58846-2024 tillsynsbegäran mail.docx", "A 58846-2024")</f>
        <v/>
      </c>
    </row>
    <row r="316" ht="15" customHeight="1">
      <c r="A316" t="inlineStr">
        <is>
          <t>A 2757-2025</t>
        </is>
      </c>
      <c r="B316" s="1" t="n">
        <v>45677</v>
      </c>
      <c r="C316" s="1" t="n">
        <v>45712</v>
      </c>
      <c r="D316" t="inlineStr">
        <is>
          <t>JÄMTLANDS LÄN</t>
        </is>
      </c>
      <c r="E316" t="inlineStr">
        <is>
          <t>RAGUNDA</t>
        </is>
      </c>
      <c r="G316" t="n">
        <v>4</v>
      </c>
      <c r="H316" t="n">
        <v>0</v>
      </c>
      <c r="I316" t="n">
        <v>0</v>
      </c>
      <c r="J316" t="n">
        <v>1</v>
      </c>
      <c r="K316" t="n">
        <v>0</v>
      </c>
      <c r="L316" t="n">
        <v>0</v>
      </c>
      <c r="M316" t="n">
        <v>0</v>
      </c>
      <c r="N316" t="n">
        <v>0</v>
      </c>
      <c r="O316" t="n">
        <v>1</v>
      </c>
      <c r="P316" t="n">
        <v>0</v>
      </c>
      <c r="Q316" t="n">
        <v>1</v>
      </c>
      <c r="R316" s="2" t="inlineStr">
        <is>
          <t>Lunglav</t>
        </is>
      </c>
      <c r="S316">
        <f>HYPERLINK("https://klasma.github.io/Logging_2303/artfynd/A 2757-2025 artfynd.xlsx", "A 2757-2025")</f>
        <v/>
      </c>
      <c r="T316">
        <f>HYPERLINK("https://klasma.github.io/Logging_2303/kartor/A 2757-2025 karta.png", "A 2757-2025")</f>
        <v/>
      </c>
      <c r="V316">
        <f>HYPERLINK("https://klasma.github.io/Logging_2303/klagomål/A 2757-2025 FSC-klagomål.docx", "A 2757-2025")</f>
        <v/>
      </c>
      <c r="W316">
        <f>HYPERLINK("https://klasma.github.io/Logging_2303/klagomålsmail/A 2757-2025 FSC-klagomål mail.docx", "A 2757-2025")</f>
        <v/>
      </c>
      <c r="X316">
        <f>HYPERLINK("https://klasma.github.io/Logging_2303/tillsyn/A 2757-2025 tillsynsbegäran.docx", "A 2757-2025")</f>
        <v/>
      </c>
      <c r="Y316">
        <f>HYPERLINK("https://klasma.github.io/Logging_2303/tillsynsmail/A 2757-2025 tillsynsbegäran mail.docx", "A 2757-2025")</f>
        <v/>
      </c>
    </row>
    <row r="317" ht="15" customHeight="1">
      <c r="A317" t="inlineStr">
        <is>
          <t>A 19077-2019</t>
        </is>
      </c>
      <c r="B317" s="1" t="n">
        <v>43563</v>
      </c>
      <c r="C317" s="1" t="n">
        <v>45712</v>
      </c>
      <c r="D317" t="inlineStr">
        <is>
          <t>JÄMTLANDS LÄN</t>
        </is>
      </c>
      <c r="E317" t="inlineStr">
        <is>
          <t>RAGUNDA</t>
        </is>
      </c>
      <c r="G317" t="n">
        <v>11.5</v>
      </c>
      <c r="H317" t="n">
        <v>0</v>
      </c>
      <c r="I317" t="n">
        <v>0</v>
      </c>
      <c r="J317" t="n">
        <v>0</v>
      </c>
      <c r="K317" t="n">
        <v>0</v>
      </c>
      <c r="L317" t="n">
        <v>0</v>
      </c>
      <c r="M317" t="n">
        <v>0</v>
      </c>
      <c r="N317" t="n">
        <v>0</v>
      </c>
      <c r="O317" t="n">
        <v>0</v>
      </c>
      <c r="P317" t="n">
        <v>0</v>
      </c>
      <c r="Q317" t="n">
        <v>0</v>
      </c>
      <c r="R317" s="2" t="inlineStr"/>
    </row>
    <row r="318" ht="15" customHeight="1">
      <c r="A318" t="inlineStr">
        <is>
          <t>A 19543-2019</t>
        </is>
      </c>
      <c r="B318" s="1" t="n">
        <v>43565</v>
      </c>
      <c r="C318" s="1" t="n">
        <v>45712</v>
      </c>
      <c r="D318" t="inlineStr">
        <is>
          <t>JÄMTLANDS LÄN</t>
        </is>
      </c>
      <c r="E318" t="inlineStr">
        <is>
          <t>RAGUNDA</t>
        </is>
      </c>
      <c r="G318" t="n">
        <v>2.3</v>
      </c>
      <c r="H318" t="n">
        <v>0</v>
      </c>
      <c r="I318" t="n">
        <v>0</v>
      </c>
      <c r="J318" t="n">
        <v>0</v>
      </c>
      <c r="K318" t="n">
        <v>0</v>
      </c>
      <c r="L318" t="n">
        <v>0</v>
      </c>
      <c r="M318" t="n">
        <v>0</v>
      </c>
      <c r="N318" t="n">
        <v>0</v>
      </c>
      <c r="O318" t="n">
        <v>0</v>
      </c>
      <c r="P318" t="n">
        <v>0</v>
      </c>
      <c r="Q318" t="n">
        <v>0</v>
      </c>
      <c r="R318" s="2" t="inlineStr"/>
    </row>
    <row r="319" ht="15" customHeight="1">
      <c r="A319" t="inlineStr">
        <is>
          <t>A 21122-2019</t>
        </is>
      </c>
      <c r="B319" s="1" t="n">
        <v>43578</v>
      </c>
      <c r="C319" s="1" t="n">
        <v>45712</v>
      </c>
      <c r="D319" t="inlineStr">
        <is>
          <t>JÄMTLANDS LÄN</t>
        </is>
      </c>
      <c r="E319" t="inlineStr">
        <is>
          <t>RAGUNDA</t>
        </is>
      </c>
      <c r="F319" t="inlineStr">
        <is>
          <t>SCA</t>
        </is>
      </c>
      <c r="G319" t="n">
        <v>72.09999999999999</v>
      </c>
      <c r="H319" t="n">
        <v>0</v>
      </c>
      <c r="I319" t="n">
        <v>0</v>
      </c>
      <c r="J319" t="n">
        <v>0</v>
      </c>
      <c r="K319" t="n">
        <v>0</v>
      </c>
      <c r="L319" t="n">
        <v>0</v>
      </c>
      <c r="M319" t="n">
        <v>0</v>
      </c>
      <c r="N319" t="n">
        <v>0</v>
      </c>
      <c r="O319" t="n">
        <v>0</v>
      </c>
      <c r="P319" t="n">
        <v>0</v>
      </c>
      <c r="Q319" t="n">
        <v>0</v>
      </c>
      <c r="R319" s="2" t="inlineStr"/>
    </row>
    <row r="320" ht="15" customHeight="1">
      <c r="A320" t="inlineStr">
        <is>
          <t>A 21914-2019</t>
        </is>
      </c>
      <c r="B320" s="1" t="n">
        <v>43584</v>
      </c>
      <c r="C320" s="1" t="n">
        <v>45712</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22799-2019</t>
        </is>
      </c>
      <c r="B321" s="1" t="n">
        <v>43589</v>
      </c>
      <c r="C321" s="1" t="n">
        <v>45712</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23740-2019</t>
        </is>
      </c>
      <c r="B322" s="1" t="n">
        <v>43594</v>
      </c>
      <c r="C322" s="1" t="n">
        <v>45712</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23821-2019</t>
        </is>
      </c>
      <c r="B323" s="1" t="n">
        <v>43594</v>
      </c>
      <c r="C323" s="1" t="n">
        <v>45712</v>
      </c>
      <c r="D323" t="inlineStr">
        <is>
          <t>JÄMTLANDS LÄN</t>
        </is>
      </c>
      <c r="E323" t="inlineStr">
        <is>
          <t>RAGUNDA</t>
        </is>
      </c>
      <c r="G323" t="n">
        <v>0.9</v>
      </c>
      <c r="H323" t="n">
        <v>0</v>
      </c>
      <c r="I323" t="n">
        <v>0</v>
      </c>
      <c r="J323" t="n">
        <v>0</v>
      </c>
      <c r="K323" t="n">
        <v>0</v>
      </c>
      <c r="L323" t="n">
        <v>0</v>
      </c>
      <c r="M323" t="n">
        <v>0</v>
      </c>
      <c r="N323" t="n">
        <v>0</v>
      </c>
      <c r="O323" t="n">
        <v>0</v>
      </c>
      <c r="P323" t="n">
        <v>0</v>
      </c>
      <c r="Q323" t="n">
        <v>0</v>
      </c>
      <c r="R323" s="2" t="inlineStr"/>
    </row>
    <row r="324" ht="15" customHeight="1">
      <c r="A324" t="inlineStr">
        <is>
          <t>A 28251-2019</t>
        </is>
      </c>
      <c r="B324" s="1" t="n">
        <v>43622</v>
      </c>
      <c r="C324" s="1" t="n">
        <v>45712</v>
      </c>
      <c r="D324" t="inlineStr">
        <is>
          <t>JÄMTLANDS LÄN</t>
        </is>
      </c>
      <c r="E324" t="inlineStr">
        <is>
          <t>RAGUNDA</t>
        </is>
      </c>
      <c r="F324" t="inlineStr">
        <is>
          <t>SCA</t>
        </is>
      </c>
      <c r="G324" t="n">
        <v>25.7</v>
      </c>
      <c r="H324" t="n">
        <v>0</v>
      </c>
      <c r="I324" t="n">
        <v>0</v>
      </c>
      <c r="J324" t="n">
        <v>0</v>
      </c>
      <c r="K324" t="n">
        <v>0</v>
      </c>
      <c r="L324" t="n">
        <v>0</v>
      </c>
      <c r="M324" t="n">
        <v>0</v>
      </c>
      <c r="N324" t="n">
        <v>0</v>
      </c>
      <c r="O324" t="n">
        <v>0</v>
      </c>
      <c r="P324" t="n">
        <v>0</v>
      </c>
      <c r="Q324" t="n">
        <v>0</v>
      </c>
      <c r="R324" s="2" t="inlineStr"/>
    </row>
    <row r="325" ht="15" customHeight="1">
      <c r="A325" t="inlineStr">
        <is>
          <t>A 30030-2019</t>
        </is>
      </c>
      <c r="B325" s="1" t="n">
        <v>43633</v>
      </c>
      <c r="C325" s="1" t="n">
        <v>45712</v>
      </c>
      <c r="D325" t="inlineStr">
        <is>
          <t>JÄMTLANDS LÄN</t>
        </is>
      </c>
      <c r="E325" t="inlineStr">
        <is>
          <t>RAGUNDA</t>
        </is>
      </c>
      <c r="G325" t="n">
        <v>10.6</v>
      </c>
      <c r="H325" t="n">
        <v>0</v>
      </c>
      <c r="I325" t="n">
        <v>0</v>
      </c>
      <c r="J325" t="n">
        <v>0</v>
      </c>
      <c r="K325" t="n">
        <v>0</v>
      </c>
      <c r="L325" t="n">
        <v>0</v>
      </c>
      <c r="M325" t="n">
        <v>0</v>
      </c>
      <c r="N325" t="n">
        <v>0</v>
      </c>
      <c r="O325" t="n">
        <v>0</v>
      </c>
      <c r="P325" t="n">
        <v>0</v>
      </c>
      <c r="Q325" t="n">
        <v>0</v>
      </c>
      <c r="R325" s="2" t="inlineStr"/>
    </row>
    <row r="326" ht="15" customHeight="1">
      <c r="A326" t="inlineStr">
        <is>
          <t>A 30034-2019</t>
        </is>
      </c>
      <c r="B326" s="1" t="n">
        <v>43633</v>
      </c>
      <c r="C326" s="1" t="n">
        <v>45712</v>
      </c>
      <c r="D326" t="inlineStr">
        <is>
          <t>JÄMTLANDS LÄN</t>
        </is>
      </c>
      <c r="E326" t="inlineStr">
        <is>
          <t>RAGUNDA</t>
        </is>
      </c>
      <c r="G326" t="n">
        <v>5.6</v>
      </c>
      <c r="H326" t="n">
        <v>0</v>
      </c>
      <c r="I326" t="n">
        <v>0</v>
      </c>
      <c r="J326" t="n">
        <v>0</v>
      </c>
      <c r="K326" t="n">
        <v>0</v>
      </c>
      <c r="L326" t="n">
        <v>0</v>
      </c>
      <c r="M326" t="n">
        <v>0</v>
      </c>
      <c r="N326" t="n">
        <v>0</v>
      </c>
      <c r="O326" t="n">
        <v>0</v>
      </c>
      <c r="P326" t="n">
        <v>0</v>
      </c>
      <c r="Q326" t="n">
        <v>0</v>
      </c>
      <c r="R326" s="2" t="inlineStr"/>
    </row>
    <row r="327" ht="15" customHeight="1">
      <c r="A327" t="inlineStr">
        <is>
          <t>A 31299-2019</t>
        </is>
      </c>
      <c r="B327" s="1" t="n">
        <v>43640</v>
      </c>
      <c r="C327" s="1" t="n">
        <v>45712</v>
      </c>
      <c r="D327" t="inlineStr">
        <is>
          <t>JÄMTLANDS LÄN</t>
        </is>
      </c>
      <c r="E327" t="inlineStr">
        <is>
          <t>RAGUNDA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31562-2019</t>
        </is>
      </c>
      <c r="B328" s="1" t="n">
        <v>43641</v>
      </c>
      <c r="C328" s="1" t="n">
        <v>45712</v>
      </c>
      <c r="D328" t="inlineStr">
        <is>
          <t>JÄMTLANDS LÄN</t>
        </is>
      </c>
      <c r="E328" t="inlineStr">
        <is>
          <t>RAGUNDA</t>
        </is>
      </c>
      <c r="F328" t="inlineStr">
        <is>
          <t>SCA</t>
        </is>
      </c>
      <c r="G328" t="n">
        <v>10.1</v>
      </c>
      <c r="H328" t="n">
        <v>0</v>
      </c>
      <c r="I328" t="n">
        <v>0</v>
      </c>
      <c r="J328" t="n">
        <v>0</v>
      </c>
      <c r="K328" t="n">
        <v>0</v>
      </c>
      <c r="L328" t="n">
        <v>0</v>
      </c>
      <c r="M328" t="n">
        <v>0</v>
      </c>
      <c r="N328" t="n">
        <v>0</v>
      </c>
      <c r="O328" t="n">
        <v>0</v>
      </c>
      <c r="P328" t="n">
        <v>0</v>
      </c>
      <c r="Q328" t="n">
        <v>0</v>
      </c>
      <c r="R328" s="2" t="inlineStr"/>
    </row>
    <row r="329" ht="15" customHeight="1">
      <c r="A329" t="inlineStr">
        <is>
          <t>A 31563-2019</t>
        </is>
      </c>
      <c r="B329" s="1" t="n">
        <v>43641</v>
      </c>
      <c r="C329" s="1" t="n">
        <v>45712</v>
      </c>
      <c r="D329" t="inlineStr">
        <is>
          <t>JÄMTLANDS LÄN</t>
        </is>
      </c>
      <c r="E329" t="inlineStr">
        <is>
          <t>RAGUNDA</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32211-2019</t>
        </is>
      </c>
      <c r="B330" s="1" t="n">
        <v>43643</v>
      </c>
      <c r="C330" s="1" t="n">
        <v>45712</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33341-2019</t>
        </is>
      </c>
      <c r="B331" s="1" t="n">
        <v>43650</v>
      </c>
      <c r="C331" s="1" t="n">
        <v>45712</v>
      </c>
      <c r="D331" t="inlineStr">
        <is>
          <t>JÄMTLANDS LÄN</t>
        </is>
      </c>
      <c r="E331" t="inlineStr">
        <is>
          <t>RAGUNDA</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35466-2019</t>
        </is>
      </c>
      <c r="B332" s="1" t="n">
        <v>43651</v>
      </c>
      <c r="C332" s="1" t="n">
        <v>45712</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34119-2019</t>
        </is>
      </c>
      <c r="B333" s="1" t="n">
        <v>43654</v>
      </c>
      <c r="C333" s="1" t="n">
        <v>45712</v>
      </c>
      <c r="D333" t="inlineStr">
        <is>
          <t>JÄMTLANDS LÄN</t>
        </is>
      </c>
      <c r="E333" t="inlineStr">
        <is>
          <t>RAGUNDA</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34121-2019</t>
        </is>
      </c>
      <c r="B334" s="1" t="n">
        <v>43654</v>
      </c>
      <c r="C334" s="1" t="n">
        <v>45712</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34490-2019</t>
        </is>
      </c>
      <c r="B335" s="1" t="n">
        <v>43656</v>
      </c>
      <c r="C335" s="1" t="n">
        <v>45712</v>
      </c>
      <c r="D335" t="inlineStr">
        <is>
          <t>JÄMTLANDS LÄN</t>
        </is>
      </c>
      <c r="E335" t="inlineStr">
        <is>
          <t>RAGUNDA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36230-2019</t>
        </is>
      </c>
      <c r="B336" s="1" t="n">
        <v>43669</v>
      </c>
      <c r="C336" s="1" t="n">
        <v>45712</v>
      </c>
      <c r="D336" t="inlineStr">
        <is>
          <t>JÄMTLANDS LÄN</t>
        </is>
      </c>
      <c r="E336" t="inlineStr">
        <is>
          <t>RAGUNDA</t>
        </is>
      </c>
      <c r="G336" t="n">
        <v>4.4</v>
      </c>
      <c r="H336" t="n">
        <v>0</v>
      </c>
      <c r="I336" t="n">
        <v>0</v>
      </c>
      <c r="J336" t="n">
        <v>0</v>
      </c>
      <c r="K336" t="n">
        <v>0</v>
      </c>
      <c r="L336" t="n">
        <v>0</v>
      </c>
      <c r="M336" t="n">
        <v>0</v>
      </c>
      <c r="N336" t="n">
        <v>0</v>
      </c>
      <c r="O336" t="n">
        <v>0</v>
      </c>
      <c r="P336" t="n">
        <v>0</v>
      </c>
      <c r="Q336" t="n">
        <v>0</v>
      </c>
      <c r="R336" s="2" t="inlineStr"/>
    </row>
    <row r="337" ht="15" customHeight="1">
      <c r="A337" t="inlineStr">
        <is>
          <t>A 37086-2019</t>
        </is>
      </c>
      <c r="B337" s="1" t="n">
        <v>43676</v>
      </c>
      <c r="C337" s="1" t="n">
        <v>45712</v>
      </c>
      <c r="D337" t="inlineStr">
        <is>
          <t>JÄMTLANDS LÄN</t>
        </is>
      </c>
      <c r="E337" t="inlineStr">
        <is>
          <t>RAGUNDA</t>
        </is>
      </c>
      <c r="G337" t="n">
        <v>2.5</v>
      </c>
      <c r="H337" t="n">
        <v>0</v>
      </c>
      <c r="I337" t="n">
        <v>0</v>
      </c>
      <c r="J337" t="n">
        <v>0</v>
      </c>
      <c r="K337" t="n">
        <v>0</v>
      </c>
      <c r="L337" t="n">
        <v>0</v>
      </c>
      <c r="M337" t="n">
        <v>0</v>
      </c>
      <c r="N337" t="n">
        <v>0</v>
      </c>
      <c r="O337" t="n">
        <v>0</v>
      </c>
      <c r="P337" t="n">
        <v>0</v>
      </c>
      <c r="Q337" t="n">
        <v>0</v>
      </c>
      <c r="R337" s="2" t="inlineStr"/>
    </row>
    <row r="338" ht="15" customHeight="1">
      <c r="A338" t="inlineStr">
        <is>
          <t>A 37441-2019</t>
        </is>
      </c>
      <c r="B338" s="1" t="n">
        <v>43678</v>
      </c>
      <c r="C338" s="1" t="n">
        <v>45712</v>
      </c>
      <c r="D338" t="inlineStr">
        <is>
          <t>JÄMTLANDS LÄN</t>
        </is>
      </c>
      <c r="E338" t="inlineStr">
        <is>
          <t>RAGUNDA</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38757-2019</t>
        </is>
      </c>
      <c r="B339" s="1" t="n">
        <v>43686</v>
      </c>
      <c r="C339" s="1" t="n">
        <v>45712</v>
      </c>
      <c r="D339" t="inlineStr">
        <is>
          <t>JÄMTLANDS LÄN</t>
        </is>
      </c>
      <c r="E339" t="inlineStr">
        <is>
          <t>RAGUNDA</t>
        </is>
      </c>
      <c r="G339" t="n">
        <v>10.2</v>
      </c>
      <c r="H339" t="n">
        <v>0</v>
      </c>
      <c r="I339" t="n">
        <v>0</v>
      </c>
      <c r="J339" t="n">
        <v>0</v>
      </c>
      <c r="K339" t="n">
        <v>0</v>
      </c>
      <c r="L339" t="n">
        <v>0</v>
      </c>
      <c r="M339" t="n">
        <v>0</v>
      </c>
      <c r="N339" t="n">
        <v>0</v>
      </c>
      <c r="O339" t="n">
        <v>0</v>
      </c>
      <c r="P339" t="n">
        <v>0</v>
      </c>
      <c r="Q339" t="n">
        <v>0</v>
      </c>
      <c r="R339" s="2" t="inlineStr"/>
    </row>
    <row r="340" ht="15" customHeight="1">
      <c r="A340" t="inlineStr">
        <is>
          <t>A 42786-2019</t>
        </is>
      </c>
      <c r="B340" s="1" t="n">
        <v>43704</v>
      </c>
      <c r="C340" s="1" t="n">
        <v>45712</v>
      </c>
      <c r="D340" t="inlineStr">
        <is>
          <t>JÄMTLANDS LÄN</t>
        </is>
      </c>
      <c r="E340" t="inlineStr">
        <is>
          <t>RAGUNDA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42788-2019</t>
        </is>
      </c>
      <c r="B341" s="1" t="n">
        <v>43704</v>
      </c>
      <c r="C341" s="1" t="n">
        <v>45712</v>
      </c>
      <c r="D341" t="inlineStr">
        <is>
          <t>JÄMTLANDS LÄN</t>
        </is>
      </c>
      <c r="E341" t="inlineStr">
        <is>
          <t>RAGUNDA</t>
        </is>
      </c>
      <c r="F341" t="inlineStr">
        <is>
          <t>SCA</t>
        </is>
      </c>
      <c r="G341" t="n">
        <v>20.3</v>
      </c>
      <c r="H341" t="n">
        <v>0</v>
      </c>
      <c r="I341" t="n">
        <v>0</v>
      </c>
      <c r="J341" t="n">
        <v>0</v>
      </c>
      <c r="K341" t="n">
        <v>0</v>
      </c>
      <c r="L341" t="n">
        <v>0</v>
      </c>
      <c r="M341" t="n">
        <v>0</v>
      </c>
      <c r="N341" t="n">
        <v>0</v>
      </c>
      <c r="O341" t="n">
        <v>0</v>
      </c>
      <c r="P341" t="n">
        <v>0</v>
      </c>
      <c r="Q341" t="n">
        <v>0</v>
      </c>
      <c r="R341" s="2" t="inlineStr"/>
    </row>
    <row r="342" ht="15" customHeight="1">
      <c r="A342" t="inlineStr">
        <is>
          <t>A 42785-2019</t>
        </is>
      </c>
      <c r="B342" s="1" t="n">
        <v>43704</v>
      </c>
      <c r="C342" s="1" t="n">
        <v>45712</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43412-2019</t>
        </is>
      </c>
      <c r="B343" s="1" t="n">
        <v>43706</v>
      </c>
      <c r="C343" s="1" t="n">
        <v>45712</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45075-2019</t>
        </is>
      </c>
      <c r="B344" s="1" t="n">
        <v>43713</v>
      </c>
      <c r="C344" s="1" t="n">
        <v>45712</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45061-2019</t>
        </is>
      </c>
      <c r="B345" s="1" t="n">
        <v>43713</v>
      </c>
      <c r="C345" s="1" t="n">
        <v>45712</v>
      </c>
      <c r="D345" t="inlineStr">
        <is>
          <t>JÄMTLANDS LÄN</t>
        </is>
      </c>
      <c r="E345" t="inlineStr">
        <is>
          <t>RAGUNDA</t>
        </is>
      </c>
      <c r="G345" t="n">
        <v>3.3</v>
      </c>
      <c r="H345" t="n">
        <v>0</v>
      </c>
      <c r="I345" t="n">
        <v>0</v>
      </c>
      <c r="J345" t="n">
        <v>0</v>
      </c>
      <c r="K345" t="n">
        <v>0</v>
      </c>
      <c r="L345" t="n">
        <v>0</v>
      </c>
      <c r="M345" t="n">
        <v>0</v>
      </c>
      <c r="N345" t="n">
        <v>0</v>
      </c>
      <c r="O345" t="n">
        <v>0</v>
      </c>
      <c r="P345" t="n">
        <v>0</v>
      </c>
      <c r="Q345" t="n">
        <v>0</v>
      </c>
      <c r="R345" s="2" t="inlineStr"/>
    </row>
    <row r="346" ht="15" customHeight="1">
      <c r="A346" t="inlineStr">
        <is>
          <t>A 48961-2019</t>
        </is>
      </c>
      <c r="B346" s="1" t="n">
        <v>43728</v>
      </c>
      <c r="C346" s="1" t="n">
        <v>45712</v>
      </c>
      <c r="D346" t="inlineStr">
        <is>
          <t>JÄMTLANDS LÄN</t>
        </is>
      </c>
      <c r="E346" t="inlineStr">
        <is>
          <t>RAGUNDA</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49875-2019</t>
        </is>
      </c>
      <c r="B347" s="1" t="n">
        <v>43733</v>
      </c>
      <c r="C347" s="1" t="n">
        <v>45712</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49945-2019</t>
        </is>
      </c>
      <c r="B348" s="1" t="n">
        <v>43733</v>
      </c>
      <c r="C348" s="1" t="n">
        <v>45712</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52098-2019</t>
        </is>
      </c>
      <c r="B349" s="1" t="n">
        <v>43735</v>
      </c>
      <c r="C349" s="1" t="n">
        <v>45712</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51661-2019</t>
        </is>
      </c>
      <c r="B350" s="1" t="n">
        <v>43740</v>
      </c>
      <c r="C350" s="1" t="n">
        <v>45712</v>
      </c>
      <c r="D350" t="inlineStr">
        <is>
          <t>JÄMTLANDS LÄN</t>
        </is>
      </c>
      <c r="E350" t="inlineStr">
        <is>
          <t>RAGUNDA</t>
        </is>
      </c>
      <c r="G350" t="n">
        <v>1.4</v>
      </c>
      <c r="H350" t="n">
        <v>0</v>
      </c>
      <c r="I350" t="n">
        <v>0</v>
      </c>
      <c r="J350" t="n">
        <v>0</v>
      </c>
      <c r="K350" t="n">
        <v>0</v>
      </c>
      <c r="L350" t="n">
        <v>0</v>
      </c>
      <c r="M350" t="n">
        <v>0</v>
      </c>
      <c r="N350" t="n">
        <v>0</v>
      </c>
      <c r="O350" t="n">
        <v>0</v>
      </c>
      <c r="P350" t="n">
        <v>0</v>
      </c>
      <c r="Q350" t="n">
        <v>0</v>
      </c>
      <c r="R350" s="2" t="inlineStr"/>
    </row>
    <row r="351" ht="15" customHeight="1">
      <c r="A351" t="inlineStr">
        <is>
          <t>A 53849-2019</t>
        </is>
      </c>
      <c r="B351" s="1" t="n">
        <v>43742</v>
      </c>
      <c r="C351" s="1" t="n">
        <v>45712</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52728-2019</t>
        </is>
      </c>
      <c r="B352" s="1" t="n">
        <v>43746</v>
      </c>
      <c r="C352" s="1" t="n">
        <v>45712</v>
      </c>
      <c r="D352" t="inlineStr">
        <is>
          <t>JÄMTLANDS LÄN</t>
        </is>
      </c>
      <c r="E352" t="inlineStr">
        <is>
          <t>RAGUNDA</t>
        </is>
      </c>
      <c r="G352" t="n">
        <v>1.6</v>
      </c>
      <c r="H352" t="n">
        <v>0</v>
      </c>
      <c r="I352" t="n">
        <v>0</v>
      </c>
      <c r="J352" t="n">
        <v>0</v>
      </c>
      <c r="K352" t="n">
        <v>0</v>
      </c>
      <c r="L352" t="n">
        <v>0</v>
      </c>
      <c r="M352" t="n">
        <v>0</v>
      </c>
      <c r="N352" t="n">
        <v>0</v>
      </c>
      <c r="O352" t="n">
        <v>0</v>
      </c>
      <c r="P352" t="n">
        <v>0</v>
      </c>
      <c r="Q352" t="n">
        <v>0</v>
      </c>
      <c r="R352" s="2" t="inlineStr"/>
    </row>
    <row r="353" ht="15" customHeight="1">
      <c r="A353" t="inlineStr">
        <is>
          <t>A 55353-2019</t>
        </is>
      </c>
      <c r="B353" s="1" t="n">
        <v>43756</v>
      </c>
      <c r="C353" s="1" t="n">
        <v>45712</v>
      </c>
      <c r="D353" t="inlineStr">
        <is>
          <t>JÄMTLANDS LÄN</t>
        </is>
      </c>
      <c r="E353" t="inlineStr">
        <is>
          <t>RAGUNDA</t>
        </is>
      </c>
      <c r="G353" t="n">
        <v>2.1</v>
      </c>
      <c r="H353" t="n">
        <v>0</v>
      </c>
      <c r="I353" t="n">
        <v>0</v>
      </c>
      <c r="J353" t="n">
        <v>0</v>
      </c>
      <c r="K353" t="n">
        <v>0</v>
      </c>
      <c r="L353" t="n">
        <v>0</v>
      </c>
      <c r="M353" t="n">
        <v>0</v>
      </c>
      <c r="N353" t="n">
        <v>0</v>
      </c>
      <c r="O353" t="n">
        <v>0</v>
      </c>
      <c r="P353" t="n">
        <v>0</v>
      </c>
      <c r="Q353" t="n">
        <v>0</v>
      </c>
      <c r="R353" s="2" t="inlineStr"/>
    </row>
    <row r="354" ht="15" customHeight="1">
      <c r="A354" t="inlineStr">
        <is>
          <t>A 55875-2019</t>
        </is>
      </c>
      <c r="B354" s="1" t="n">
        <v>43759</v>
      </c>
      <c r="C354" s="1" t="n">
        <v>45712</v>
      </c>
      <c r="D354" t="inlineStr">
        <is>
          <t>JÄMTLANDS LÄN</t>
        </is>
      </c>
      <c r="E354" t="inlineStr">
        <is>
          <t>RAGUNDA</t>
        </is>
      </c>
      <c r="G354" t="n">
        <v>2.8</v>
      </c>
      <c r="H354" t="n">
        <v>0</v>
      </c>
      <c r="I354" t="n">
        <v>0</v>
      </c>
      <c r="J354" t="n">
        <v>0</v>
      </c>
      <c r="K354" t="n">
        <v>0</v>
      </c>
      <c r="L354" t="n">
        <v>0</v>
      </c>
      <c r="M354" t="n">
        <v>0</v>
      </c>
      <c r="N354" t="n">
        <v>0</v>
      </c>
      <c r="O354" t="n">
        <v>0</v>
      </c>
      <c r="P354" t="n">
        <v>0</v>
      </c>
      <c r="Q354" t="n">
        <v>0</v>
      </c>
      <c r="R354" s="2" t="inlineStr"/>
    </row>
    <row r="355" ht="15" customHeight="1">
      <c r="A355" t="inlineStr">
        <is>
          <t>A 55653-2019</t>
        </is>
      </c>
      <c r="B355" s="1" t="n">
        <v>43760</v>
      </c>
      <c r="C355" s="1" t="n">
        <v>45712</v>
      </c>
      <c r="D355" t="inlineStr">
        <is>
          <t>JÄMTLANDS LÄN</t>
        </is>
      </c>
      <c r="E355" t="inlineStr">
        <is>
          <t>RAGUNDA</t>
        </is>
      </c>
      <c r="G355" t="n">
        <v>4.2</v>
      </c>
      <c r="H355" t="n">
        <v>0</v>
      </c>
      <c r="I355" t="n">
        <v>0</v>
      </c>
      <c r="J355" t="n">
        <v>0</v>
      </c>
      <c r="K355" t="n">
        <v>0</v>
      </c>
      <c r="L355" t="n">
        <v>0</v>
      </c>
      <c r="M355" t="n">
        <v>0</v>
      </c>
      <c r="N355" t="n">
        <v>0</v>
      </c>
      <c r="O355" t="n">
        <v>0</v>
      </c>
      <c r="P355" t="n">
        <v>0</v>
      </c>
      <c r="Q355" t="n">
        <v>0</v>
      </c>
      <c r="R355" s="2" t="inlineStr"/>
    </row>
    <row r="356" ht="15" customHeight="1">
      <c r="A356" t="inlineStr">
        <is>
          <t>A 57860-2019</t>
        </is>
      </c>
      <c r="B356" s="1" t="n">
        <v>43768</v>
      </c>
      <c r="C356" s="1" t="n">
        <v>45712</v>
      </c>
      <c r="D356" t="inlineStr">
        <is>
          <t>JÄMTLANDS LÄN</t>
        </is>
      </c>
      <c r="E356" t="inlineStr">
        <is>
          <t>RAGUNDA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57783-2019</t>
        </is>
      </c>
      <c r="B357" s="1" t="n">
        <v>43768</v>
      </c>
      <c r="C357" s="1" t="n">
        <v>45712</v>
      </c>
      <c r="D357" t="inlineStr">
        <is>
          <t>JÄMTLANDS LÄN</t>
        </is>
      </c>
      <c r="E357" t="inlineStr">
        <is>
          <t>RAGUNDA</t>
        </is>
      </c>
      <c r="G357" t="n">
        <v>2.9</v>
      </c>
      <c r="H357" t="n">
        <v>0</v>
      </c>
      <c r="I357" t="n">
        <v>0</v>
      </c>
      <c r="J357" t="n">
        <v>0</v>
      </c>
      <c r="K357" t="n">
        <v>0</v>
      </c>
      <c r="L357" t="n">
        <v>0</v>
      </c>
      <c r="M357" t="n">
        <v>0</v>
      </c>
      <c r="N357" t="n">
        <v>0</v>
      </c>
      <c r="O357" t="n">
        <v>0</v>
      </c>
      <c r="P357" t="n">
        <v>0</v>
      </c>
      <c r="Q357" t="n">
        <v>0</v>
      </c>
      <c r="R357" s="2" t="inlineStr"/>
    </row>
    <row r="358" ht="15" customHeight="1">
      <c r="A358" t="inlineStr">
        <is>
          <t>A 58348-2019</t>
        </is>
      </c>
      <c r="B358" s="1" t="n">
        <v>43770</v>
      </c>
      <c r="C358" s="1" t="n">
        <v>45712</v>
      </c>
      <c r="D358" t="inlineStr">
        <is>
          <t>JÄMTLANDS LÄN</t>
        </is>
      </c>
      <c r="E358" t="inlineStr">
        <is>
          <t>RAGUNDA</t>
        </is>
      </c>
      <c r="F358" t="inlineStr">
        <is>
          <t>SCA</t>
        </is>
      </c>
      <c r="G358" t="n">
        <v>5.8</v>
      </c>
      <c r="H358" t="n">
        <v>0</v>
      </c>
      <c r="I358" t="n">
        <v>0</v>
      </c>
      <c r="J358" t="n">
        <v>0</v>
      </c>
      <c r="K358" t="n">
        <v>0</v>
      </c>
      <c r="L358" t="n">
        <v>0</v>
      </c>
      <c r="M358" t="n">
        <v>0</v>
      </c>
      <c r="N358" t="n">
        <v>0</v>
      </c>
      <c r="O358" t="n">
        <v>0</v>
      </c>
      <c r="P358" t="n">
        <v>0</v>
      </c>
      <c r="Q358" t="n">
        <v>0</v>
      </c>
      <c r="R358" s="2" t="inlineStr"/>
    </row>
    <row r="359" ht="15" customHeight="1">
      <c r="A359" t="inlineStr">
        <is>
          <t>A 58355-2019</t>
        </is>
      </c>
      <c r="B359" s="1" t="n">
        <v>43770</v>
      </c>
      <c r="C359" s="1" t="n">
        <v>45712</v>
      </c>
      <c r="D359" t="inlineStr">
        <is>
          <t>JÄMTLANDS LÄN</t>
        </is>
      </c>
      <c r="E359" t="inlineStr">
        <is>
          <t>RAGUNDA</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59484-2019</t>
        </is>
      </c>
      <c r="B360" s="1" t="n">
        <v>43773</v>
      </c>
      <c r="C360" s="1" t="n">
        <v>45712</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58795-2019</t>
        </is>
      </c>
      <c r="B361" s="1" t="n">
        <v>43773</v>
      </c>
      <c r="C361" s="1" t="n">
        <v>45712</v>
      </c>
      <c r="D361" t="inlineStr">
        <is>
          <t>JÄMTLANDS LÄN</t>
        </is>
      </c>
      <c r="E361" t="inlineStr">
        <is>
          <t>RAGUNDA</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59501-2019</t>
        </is>
      </c>
      <c r="B362" s="1" t="n">
        <v>43773</v>
      </c>
      <c r="C362" s="1" t="n">
        <v>45712</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59194-2019</t>
        </is>
      </c>
      <c r="B363" s="1" t="n">
        <v>43775</v>
      </c>
      <c r="C363" s="1" t="n">
        <v>45712</v>
      </c>
      <c r="D363" t="inlineStr">
        <is>
          <t>JÄMTLANDS LÄN</t>
        </is>
      </c>
      <c r="E363" t="inlineStr">
        <is>
          <t>RAGUNDA</t>
        </is>
      </c>
      <c r="G363" t="n">
        <v>2.7</v>
      </c>
      <c r="H363" t="n">
        <v>0</v>
      </c>
      <c r="I363" t="n">
        <v>0</v>
      </c>
      <c r="J363" t="n">
        <v>0</v>
      </c>
      <c r="K363" t="n">
        <v>0</v>
      </c>
      <c r="L363" t="n">
        <v>0</v>
      </c>
      <c r="M363" t="n">
        <v>0</v>
      </c>
      <c r="N363" t="n">
        <v>0</v>
      </c>
      <c r="O363" t="n">
        <v>0</v>
      </c>
      <c r="P363" t="n">
        <v>0</v>
      </c>
      <c r="Q363" t="n">
        <v>0</v>
      </c>
      <c r="R363" s="2" t="inlineStr"/>
    </row>
    <row r="364" ht="15" customHeight="1">
      <c r="A364" t="inlineStr">
        <is>
          <t>A 60119-2019</t>
        </is>
      </c>
      <c r="B364" s="1" t="n">
        <v>43777</v>
      </c>
      <c r="C364" s="1" t="n">
        <v>45712</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62340-2019</t>
        </is>
      </c>
      <c r="B365" s="1" t="n">
        <v>43782</v>
      </c>
      <c r="C365" s="1" t="n">
        <v>45712</v>
      </c>
      <c r="D365" t="inlineStr">
        <is>
          <t>JÄMTLANDS LÄN</t>
        </is>
      </c>
      <c r="E365" t="inlineStr">
        <is>
          <t>RAGUNDA</t>
        </is>
      </c>
      <c r="G365" t="n">
        <v>2.5</v>
      </c>
      <c r="H365" t="n">
        <v>0</v>
      </c>
      <c r="I365" t="n">
        <v>0</v>
      </c>
      <c r="J365" t="n">
        <v>0</v>
      </c>
      <c r="K365" t="n">
        <v>0</v>
      </c>
      <c r="L365" t="n">
        <v>0</v>
      </c>
      <c r="M365" t="n">
        <v>0</v>
      </c>
      <c r="N365" t="n">
        <v>0</v>
      </c>
      <c r="O365" t="n">
        <v>0</v>
      </c>
      <c r="P365" t="n">
        <v>0</v>
      </c>
      <c r="Q365" t="n">
        <v>0</v>
      </c>
      <c r="R365" s="2" t="inlineStr"/>
    </row>
    <row r="366" ht="15" customHeight="1">
      <c r="A366" t="inlineStr">
        <is>
          <t>A 61514-2019</t>
        </is>
      </c>
      <c r="B366" s="1" t="n">
        <v>43783</v>
      </c>
      <c r="C366" s="1" t="n">
        <v>45712</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62129-2019</t>
        </is>
      </c>
      <c r="B367" s="1" t="n">
        <v>43787</v>
      </c>
      <c r="C367" s="1" t="n">
        <v>45712</v>
      </c>
      <c r="D367" t="inlineStr">
        <is>
          <t>JÄMTLANDS LÄN</t>
        </is>
      </c>
      <c r="E367" t="inlineStr">
        <is>
          <t>RAGUNDA</t>
        </is>
      </c>
      <c r="G367" t="n">
        <v>1.1</v>
      </c>
      <c r="H367" t="n">
        <v>0</v>
      </c>
      <c r="I367" t="n">
        <v>0</v>
      </c>
      <c r="J367" t="n">
        <v>0</v>
      </c>
      <c r="K367" t="n">
        <v>0</v>
      </c>
      <c r="L367" t="n">
        <v>0</v>
      </c>
      <c r="M367" t="n">
        <v>0</v>
      </c>
      <c r="N367" t="n">
        <v>0</v>
      </c>
      <c r="O367" t="n">
        <v>0</v>
      </c>
      <c r="P367" t="n">
        <v>0</v>
      </c>
      <c r="Q367" t="n">
        <v>0</v>
      </c>
      <c r="R367" s="2" t="inlineStr"/>
    </row>
    <row r="368" ht="15" customHeight="1">
      <c r="A368" t="inlineStr">
        <is>
          <t>A 62484-2019</t>
        </is>
      </c>
      <c r="B368" s="1" t="n">
        <v>43788</v>
      </c>
      <c r="C368" s="1" t="n">
        <v>45712</v>
      </c>
      <c r="D368" t="inlineStr">
        <is>
          <t>JÄMTLANDS LÄN</t>
        </is>
      </c>
      <c r="E368" t="inlineStr">
        <is>
          <t>RAGUNDA</t>
        </is>
      </c>
      <c r="G368" t="n">
        <v>11.9</v>
      </c>
      <c r="H368" t="n">
        <v>0</v>
      </c>
      <c r="I368" t="n">
        <v>0</v>
      </c>
      <c r="J368" t="n">
        <v>0</v>
      </c>
      <c r="K368" t="n">
        <v>0</v>
      </c>
      <c r="L368" t="n">
        <v>0</v>
      </c>
      <c r="M368" t="n">
        <v>0</v>
      </c>
      <c r="N368" t="n">
        <v>0</v>
      </c>
      <c r="O368" t="n">
        <v>0</v>
      </c>
      <c r="P368" t="n">
        <v>0</v>
      </c>
      <c r="Q368" t="n">
        <v>0</v>
      </c>
      <c r="R368" s="2" t="inlineStr"/>
      <c r="U368">
        <f>HYPERLINK("https://klasma.github.io/Logging_2303/knärot/A 62484-2019 karta knärot.png", "A 62484-2019")</f>
        <v/>
      </c>
      <c r="V368">
        <f>HYPERLINK("https://klasma.github.io/Logging_2303/klagomål/A 62484-2019 FSC-klagomål.docx", "A 62484-2019")</f>
        <v/>
      </c>
      <c r="W368">
        <f>HYPERLINK("https://klasma.github.io/Logging_2303/klagomålsmail/A 62484-2019 FSC-klagomål mail.docx", "A 62484-2019")</f>
        <v/>
      </c>
      <c r="X368">
        <f>HYPERLINK("https://klasma.github.io/Logging_2303/tillsyn/A 62484-2019 tillsynsbegäran.docx", "A 62484-2019")</f>
        <v/>
      </c>
      <c r="Y368">
        <f>HYPERLINK("https://klasma.github.io/Logging_2303/tillsynsmail/A 62484-2019 tillsynsbegäran mail.docx", "A 62484-2019")</f>
        <v/>
      </c>
    </row>
    <row r="369" ht="15" customHeight="1">
      <c r="A369" t="inlineStr">
        <is>
          <t>A 64097-2019</t>
        </is>
      </c>
      <c r="B369" s="1" t="n">
        <v>43791</v>
      </c>
      <c r="C369" s="1" t="n">
        <v>45712</v>
      </c>
      <c r="D369" t="inlineStr">
        <is>
          <t>JÄMTLANDS LÄN</t>
        </is>
      </c>
      <c r="E369" t="inlineStr">
        <is>
          <t>RAGUNDA</t>
        </is>
      </c>
      <c r="G369" t="n">
        <v>1.3</v>
      </c>
      <c r="H369" t="n">
        <v>0</v>
      </c>
      <c r="I369" t="n">
        <v>0</v>
      </c>
      <c r="J369" t="n">
        <v>0</v>
      </c>
      <c r="K369" t="n">
        <v>0</v>
      </c>
      <c r="L369" t="n">
        <v>0</v>
      </c>
      <c r="M369" t="n">
        <v>0</v>
      </c>
      <c r="N369" t="n">
        <v>0</v>
      </c>
      <c r="O369" t="n">
        <v>0</v>
      </c>
      <c r="P369" t="n">
        <v>0</v>
      </c>
      <c r="Q369" t="n">
        <v>0</v>
      </c>
      <c r="R369" s="2" t="inlineStr"/>
    </row>
    <row r="370" ht="15" customHeight="1">
      <c r="A370" t="inlineStr">
        <is>
          <t>A 63841-2019</t>
        </is>
      </c>
      <c r="B370" s="1" t="n">
        <v>43795</v>
      </c>
      <c r="C370" s="1" t="n">
        <v>45712</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64316-2019</t>
        </is>
      </c>
      <c r="B371" s="1" t="n">
        <v>43797</v>
      </c>
      <c r="C371" s="1" t="n">
        <v>45712</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64432-2019</t>
        </is>
      </c>
      <c r="B372" s="1" t="n">
        <v>43797</v>
      </c>
      <c r="C372" s="1" t="n">
        <v>45712</v>
      </c>
      <c r="D372" t="inlineStr">
        <is>
          <t>JÄMTLANDS LÄN</t>
        </is>
      </c>
      <c r="E372" t="inlineStr">
        <is>
          <t>RAGUNDA</t>
        </is>
      </c>
      <c r="G372" t="n">
        <v>3.1</v>
      </c>
      <c r="H372" t="n">
        <v>0</v>
      </c>
      <c r="I372" t="n">
        <v>0</v>
      </c>
      <c r="J372" t="n">
        <v>0</v>
      </c>
      <c r="K372" t="n">
        <v>0</v>
      </c>
      <c r="L372" t="n">
        <v>0</v>
      </c>
      <c r="M372" t="n">
        <v>0</v>
      </c>
      <c r="N372" t="n">
        <v>0</v>
      </c>
      <c r="O372" t="n">
        <v>0</v>
      </c>
      <c r="P372" t="n">
        <v>0</v>
      </c>
      <c r="Q372" t="n">
        <v>0</v>
      </c>
      <c r="R372" s="2" t="inlineStr"/>
    </row>
    <row r="373" ht="15" customHeight="1">
      <c r="A373" t="inlineStr">
        <is>
          <t>A 66475-2019</t>
        </is>
      </c>
      <c r="B373" s="1" t="n">
        <v>43803</v>
      </c>
      <c r="C373" s="1" t="n">
        <v>45712</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67122-2019</t>
        </is>
      </c>
      <c r="B374" s="1" t="n">
        <v>43805</v>
      </c>
      <c r="C374" s="1" t="n">
        <v>45712</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67285-2019</t>
        </is>
      </c>
      <c r="B375" s="1" t="n">
        <v>43812</v>
      </c>
      <c r="C375" s="1" t="n">
        <v>45712</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68600-2019</t>
        </is>
      </c>
      <c r="B376" s="1" t="n">
        <v>43818</v>
      </c>
      <c r="C376" s="1" t="n">
        <v>45712</v>
      </c>
      <c r="D376" t="inlineStr">
        <is>
          <t>JÄMTLANDS LÄN</t>
        </is>
      </c>
      <c r="E376" t="inlineStr">
        <is>
          <t>RAGUNDA</t>
        </is>
      </c>
      <c r="G376" t="n">
        <v>0.2</v>
      </c>
      <c r="H376" t="n">
        <v>0</v>
      </c>
      <c r="I376" t="n">
        <v>0</v>
      </c>
      <c r="J376" t="n">
        <v>0</v>
      </c>
      <c r="K376" t="n">
        <v>0</v>
      </c>
      <c r="L376" t="n">
        <v>0</v>
      </c>
      <c r="M376" t="n">
        <v>0</v>
      </c>
      <c r="N376" t="n">
        <v>0</v>
      </c>
      <c r="O376" t="n">
        <v>0</v>
      </c>
      <c r="P376" t="n">
        <v>0</v>
      </c>
      <c r="Q376" t="n">
        <v>0</v>
      </c>
      <c r="R376" s="2" t="inlineStr"/>
    </row>
    <row r="377" ht="15" customHeight="1">
      <c r="A377" t="inlineStr">
        <is>
          <t>A 68601-2019</t>
        </is>
      </c>
      <c r="B377" s="1" t="n">
        <v>43818</v>
      </c>
      <c r="C377" s="1" t="n">
        <v>45712</v>
      </c>
      <c r="D377" t="inlineStr">
        <is>
          <t>JÄMTLANDS LÄN</t>
        </is>
      </c>
      <c r="E377" t="inlineStr">
        <is>
          <t>RAGUNDA</t>
        </is>
      </c>
      <c r="G377" t="n">
        <v>1.9</v>
      </c>
      <c r="H377" t="n">
        <v>0</v>
      </c>
      <c r="I377" t="n">
        <v>0</v>
      </c>
      <c r="J377" t="n">
        <v>0</v>
      </c>
      <c r="K377" t="n">
        <v>0</v>
      </c>
      <c r="L377" t="n">
        <v>0</v>
      </c>
      <c r="M377" t="n">
        <v>0</v>
      </c>
      <c r="N377" t="n">
        <v>0</v>
      </c>
      <c r="O377" t="n">
        <v>0</v>
      </c>
      <c r="P377" t="n">
        <v>0</v>
      </c>
      <c r="Q377" t="n">
        <v>0</v>
      </c>
      <c r="R377" s="2" t="inlineStr"/>
    </row>
    <row r="378" ht="15" customHeight="1">
      <c r="A378" t="inlineStr">
        <is>
          <t>A 68840-2019</t>
        </is>
      </c>
      <c r="B378" s="1" t="n">
        <v>43819</v>
      </c>
      <c r="C378" s="1" t="n">
        <v>45712</v>
      </c>
      <c r="D378" t="inlineStr">
        <is>
          <t>JÄMTLANDS LÄN</t>
        </is>
      </c>
      <c r="E378" t="inlineStr">
        <is>
          <t>RAGUNDA</t>
        </is>
      </c>
      <c r="G378" t="n">
        <v>2.2</v>
      </c>
      <c r="H378" t="n">
        <v>0</v>
      </c>
      <c r="I378" t="n">
        <v>0</v>
      </c>
      <c r="J378" t="n">
        <v>0</v>
      </c>
      <c r="K378" t="n">
        <v>0</v>
      </c>
      <c r="L378" t="n">
        <v>0</v>
      </c>
      <c r="M378" t="n">
        <v>0</v>
      </c>
      <c r="N378" t="n">
        <v>0</v>
      </c>
      <c r="O378" t="n">
        <v>0</v>
      </c>
      <c r="P378" t="n">
        <v>0</v>
      </c>
      <c r="Q378" t="n">
        <v>0</v>
      </c>
      <c r="R378" s="2" t="inlineStr"/>
    </row>
    <row r="379" ht="15" customHeight="1">
      <c r="A379" t="inlineStr">
        <is>
          <t>A 1784-2020</t>
        </is>
      </c>
      <c r="B379" s="1" t="n">
        <v>43833</v>
      </c>
      <c r="C379" s="1" t="n">
        <v>45712</v>
      </c>
      <c r="D379" t="inlineStr">
        <is>
          <t>JÄMTLANDS LÄN</t>
        </is>
      </c>
      <c r="E379" t="inlineStr">
        <is>
          <t>RAGUNDA</t>
        </is>
      </c>
      <c r="G379" t="n">
        <v>15.5</v>
      </c>
      <c r="H379" t="n">
        <v>0</v>
      </c>
      <c r="I379" t="n">
        <v>0</v>
      </c>
      <c r="J379" t="n">
        <v>0</v>
      </c>
      <c r="K379" t="n">
        <v>0</v>
      </c>
      <c r="L379" t="n">
        <v>0</v>
      </c>
      <c r="M379" t="n">
        <v>0</v>
      </c>
      <c r="N379" t="n">
        <v>0</v>
      </c>
      <c r="O379" t="n">
        <v>0</v>
      </c>
      <c r="P379" t="n">
        <v>0</v>
      </c>
      <c r="Q379" t="n">
        <v>0</v>
      </c>
      <c r="R379" s="2" t="inlineStr"/>
    </row>
    <row r="380" ht="15" customHeight="1">
      <c r="A380" t="inlineStr">
        <is>
          <t>A 2636-2020</t>
        </is>
      </c>
      <c r="B380" s="1" t="n">
        <v>43847</v>
      </c>
      <c r="C380" s="1" t="n">
        <v>45712</v>
      </c>
      <c r="D380" t="inlineStr">
        <is>
          <t>JÄMTLANDS LÄN</t>
        </is>
      </c>
      <c r="E380" t="inlineStr">
        <is>
          <t>RAGUNDA</t>
        </is>
      </c>
      <c r="G380" t="n">
        <v>2.9</v>
      </c>
      <c r="H380" t="n">
        <v>0</v>
      </c>
      <c r="I380" t="n">
        <v>0</v>
      </c>
      <c r="J380" t="n">
        <v>0</v>
      </c>
      <c r="K380" t="n">
        <v>0</v>
      </c>
      <c r="L380" t="n">
        <v>0</v>
      </c>
      <c r="M380" t="n">
        <v>0</v>
      </c>
      <c r="N380" t="n">
        <v>0</v>
      </c>
      <c r="O380" t="n">
        <v>0</v>
      </c>
      <c r="P380" t="n">
        <v>0</v>
      </c>
      <c r="Q380" t="n">
        <v>0</v>
      </c>
      <c r="R380" s="2" t="inlineStr"/>
    </row>
    <row r="381" ht="15" customHeight="1">
      <c r="A381" t="inlineStr">
        <is>
          <t>A 2791-2020</t>
        </is>
      </c>
      <c r="B381" s="1" t="n">
        <v>43850</v>
      </c>
      <c r="C381" s="1" t="n">
        <v>45712</v>
      </c>
      <c r="D381" t="inlineStr">
        <is>
          <t>JÄMTLANDS LÄN</t>
        </is>
      </c>
      <c r="E381" t="inlineStr">
        <is>
          <t>RAGUNDA</t>
        </is>
      </c>
      <c r="G381" t="n">
        <v>1.1</v>
      </c>
      <c r="H381" t="n">
        <v>0</v>
      </c>
      <c r="I381" t="n">
        <v>0</v>
      </c>
      <c r="J381" t="n">
        <v>0</v>
      </c>
      <c r="K381" t="n">
        <v>0</v>
      </c>
      <c r="L381" t="n">
        <v>0</v>
      </c>
      <c r="M381" t="n">
        <v>0</v>
      </c>
      <c r="N381" t="n">
        <v>0</v>
      </c>
      <c r="O381" t="n">
        <v>0</v>
      </c>
      <c r="P381" t="n">
        <v>0</v>
      </c>
      <c r="Q381" t="n">
        <v>0</v>
      </c>
      <c r="R381" s="2" t="inlineStr"/>
    </row>
    <row r="382" ht="15" customHeight="1">
      <c r="A382" t="inlineStr">
        <is>
          <t>A 6051-2020</t>
        </is>
      </c>
      <c r="B382" s="1" t="n">
        <v>43861</v>
      </c>
      <c r="C382" s="1" t="n">
        <v>45712</v>
      </c>
      <c r="D382" t="inlineStr">
        <is>
          <t>JÄMTLANDS LÄN</t>
        </is>
      </c>
      <c r="E382" t="inlineStr">
        <is>
          <t>RAGUNDA</t>
        </is>
      </c>
      <c r="G382" t="n">
        <v>3.4</v>
      </c>
      <c r="H382" t="n">
        <v>0</v>
      </c>
      <c r="I382" t="n">
        <v>0</v>
      </c>
      <c r="J382" t="n">
        <v>0</v>
      </c>
      <c r="K382" t="n">
        <v>0</v>
      </c>
      <c r="L382" t="n">
        <v>0</v>
      </c>
      <c r="M382" t="n">
        <v>0</v>
      </c>
      <c r="N382" t="n">
        <v>0</v>
      </c>
      <c r="O382" t="n">
        <v>0</v>
      </c>
      <c r="P382" t="n">
        <v>0</v>
      </c>
      <c r="Q382" t="n">
        <v>0</v>
      </c>
      <c r="R382" s="2" t="inlineStr"/>
    </row>
    <row r="383" ht="15" customHeight="1">
      <c r="A383" t="inlineStr">
        <is>
          <t>A 7071-2020</t>
        </is>
      </c>
      <c r="B383" s="1" t="n">
        <v>43868</v>
      </c>
      <c r="C383" s="1" t="n">
        <v>45712</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7720-2020</t>
        </is>
      </c>
      <c r="B384" s="1" t="n">
        <v>43872</v>
      </c>
      <c r="C384" s="1" t="n">
        <v>45712</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8040-2020</t>
        </is>
      </c>
      <c r="B385" s="1" t="n">
        <v>43873</v>
      </c>
      <c r="C385" s="1" t="n">
        <v>45712</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9527-2020</t>
        </is>
      </c>
      <c r="B386" s="1" t="n">
        <v>43880</v>
      </c>
      <c r="C386" s="1" t="n">
        <v>45712</v>
      </c>
      <c r="D386" t="inlineStr">
        <is>
          <t>JÄMTLANDS LÄN</t>
        </is>
      </c>
      <c r="E386" t="inlineStr">
        <is>
          <t>RAGUNDA</t>
        </is>
      </c>
      <c r="G386" t="n">
        <v>4.7</v>
      </c>
      <c r="H386" t="n">
        <v>0</v>
      </c>
      <c r="I386" t="n">
        <v>0</v>
      </c>
      <c r="J386" t="n">
        <v>0</v>
      </c>
      <c r="K386" t="n">
        <v>0</v>
      </c>
      <c r="L386" t="n">
        <v>0</v>
      </c>
      <c r="M386" t="n">
        <v>0</v>
      </c>
      <c r="N386" t="n">
        <v>0</v>
      </c>
      <c r="O386" t="n">
        <v>0</v>
      </c>
      <c r="P386" t="n">
        <v>0</v>
      </c>
      <c r="Q386" t="n">
        <v>0</v>
      </c>
      <c r="R386" s="2" t="inlineStr"/>
    </row>
    <row r="387" ht="15" customHeight="1">
      <c r="A387" t="inlineStr">
        <is>
          <t>A 9823-2020</t>
        </is>
      </c>
      <c r="B387" s="1" t="n">
        <v>43881</v>
      </c>
      <c r="C387" s="1" t="n">
        <v>45712</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9962-2020</t>
        </is>
      </c>
      <c r="B388" s="1" t="n">
        <v>43882</v>
      </c>
      <c r="C388" s="1" t="n">
        <v>45712</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10642-2020</t>
        </is>
      </c>
      <c r="B389" s="1" t="n">
        <v>43887</v>
      </c>
      <c r="C389" s="1" t="n">
        <v>45712</v>
      </c>
      <c r="D389" t="inlineStr">
        <is>
          <t>JÄMTLANDS LÄN</t>
        </is>
      </c>
      <c r="E389" t="inlineStr">
        <is>
          <t>RAGUNDA</t>
        </is>
      </c>
      <c r="G389" t="n">
        <v>4.6</v>
      </c>
      <c r="H389" t="n">
        <v>0</v>
      </c>
      <c r="I389" t="n">
        <v>0</v>
      </c>
      <c r="J389" t="n">
        <v>0</v>
      </c>
      <c r="K389" t="n">
        <v>0</v>
      </c>
      <c r="L389" t="n">
        <v>0</v>
      </c>
      <c r="M389" t="n">
        <v>0</v>
      </c>
      <c r="N389" t="n">
        <v>0</v>
      </c>
      <c r="O389" t="n">
        <v>0</v>
      </c>
      <c r="P389" t="n">
        <v>0</v>
      </c>
      <c r="Q389" t="n">
        <v>0</v>
      </c>
      <c r="R389" s="2" t="inlineStr"/>
    </row>
    <row r="390" ht="15" customHeight="1">
      <c r="A390" t="inlineStr">
        <is>
          <t>A 13057-2020</t>
        </is>
      </c>
      <c r="B390" s="1" t="n">
        <v>43900</v>
      </c>
      <c r="C390" s="1" t="n">
        <v>45712</v>
      </c>
      <c r="D390" t="inlineStr">
        <is>
          <t>JÄMTLANDS LÄN</t>
        </is>
      </c>
      <c r="E390" t="inlineStr">
        <is>
          <t>RAGUNDA</t>
        </is>
      </c>
      <c r="G390" t="n">
        <v>10.8</v>
      </c>
      <c r="H390" t="n">
        <v>0</v>
      </c>
      <c r="I390" t="n">
        <v>0</v>
      </c>
      <c r="J390" t="n">
        <v>0</v>
      </c>
      <c r="K390" t="n">
        <v>0</v>
      </c>
      <c r="L390" t="n">
        <v>0</v>
      </c>
      <c r="M390" t="n">
        <v>0</v>
      </c>
      <c r="N390" t="n">
        <v>0</v>
      </c>
      <c r="O390" t="n">
        <v>0</v>
      </c>
      <c r="P390" t="n">
        <v>0</v>
      </c>
      <c r="Q390" t="n">
        <v>0</v>
      </c>
      <c r="R390" s="2" t="inlineStr"/>
    </row>
    <row r="391" ht="15" customHeight="1">
      <c r="A391" t="inlineStr">
        <is>
          <t>A 13202-2020</t>
        </is>
      </c>
      <c r="B391" s="1" t="n">
        <v>43901</v>
      </c>
      <c r="C391" s="1" t="n">
        <v>45712</v>
      </c>
      <c r="D391" t="inlineStr">
        <is>
          <t>JÄMTLANDS LÄN</t>
        </is>
      </c>
      <c r="E391" t="inlineStr">
        <is>
          <t>RAGUNDA</t>
        </is>
      </c>
      <c r="G391" t="n">
        <v>6.9</v>
      </c>
      <c r="H391" t="n">
        <v>0</v>
      </c>
      <c r="I391" t="n">
        <v>0</v>
      </c>
      <c r="J391" t="n">
        <v>0</v>
      </c>
      <c r="K391" t="n">
        <v>0</v>
      </c>
      <c r="L391" t="n">
        <v>0</v>
      </c>
      <c r="M391" t="n">
        <v>0</v>
      </c>
      <c r="N391" t="n">
        <v>0</v>
      </c>
      <c r="O391" t="n">
        <v>0</v>
      </c>
      <c r="P391" t="n">
        <v>0</v>
      </c>
      <c r="Q391" t="n">
        <v>0</v>
      </c>
      <c r="R391" s="2" t="inlineStr"/>
    </row>
    <row r="392" ht="15" customHeight="1">
      <c r="A392" t="inlineStr">
        <is>
          <t>A 13563-2020</t>
        </is>
      </c>
      <c r="B392" s="1" t="n">
        <v>43902</v>
      </c>
      <c r="C392" s="1" t="n">
        <v>45712</v>
      </c>
      <c r="D392" t="inlineStr">
        <is>
          <t>JÄMTLANDS LÄN</t>
        </is>
      </c>
      <c r="E392" t="inlineStr">
        <is>
          <t>RAGUNDA</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14293-2020</t>
        </is>
      </c>
      <c r="B393" s="1" t="n">
        <v>43907</v>
      </c>
      <c r="C393" s="1" t="n">
        <v>45712</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15117-2020</t>
        </is>
      </c>
      <c r="B394" s="1" t="n">
        <v>43910</v>
      </c>
      <c r="C394" s="1" t="n">
        <v>45712</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15118-2020</t>
        </is>
      </c>
      <c r="B395" s="1" t="n">
        <v>43910</v>
      </c>
      <c r="C395" s="1" t="n">
        <v>45712</v>
      </c>
      <c r="D395" t="inlineStr">
        <is>
          <t>JÄMTLANDS LÄN</t>
        </is>
      </c>
      <c r="E395" t="inlineStr">
        <is>
          <t>RAGUNDA</t>
        </is>
      </c>
      <c r="G395" t="n">
        <v>2.7</v>
      </c>
      <c r="H395" t="n">
        <v>0</v>
      </c>
      <c r="I395" t="n">
        <v>0</v>
      </c>
      <c r="J395" t="n">
        <v>0</v>
      </c>
      <c r="K395" t="n">
        <v>0</v>
      </c>
      <c r="L395" t="n">
        <v>0</v>
      </c>
      <c r="M395" t="n">
        <v>0</v>
      </c>
      <c r="N395" t="n">
        <v>0</v>
      </c>
      <c r="O395" t="n">
        <v>0</v>
      </c>
      <c r="P395" t="n">
        <v>0</v>
      </c>
      <c r="Q395" t="n">
        <v>0</v>
      </c>
      <c r="R395" s="2" t="inlineStr"/>
    </row>
    <row r="396" ht="15" customHeight="1">
      <c r="A396" t="inlineStr">
        <is>
          <t>A 15345-2020</t>
        </is>
      </c>
      <c r="B396" s="1" t="n">
        <v>43913</v>
      </c>
      <c r="C396" s="1" t="n">
        <v>45712</v>
      </c>
      <c r="D396" t="inlineStr">
        <is>
          <t>JÄMTLANDS LÄN</t>
        </is>
      </c>
      <c r="E396" t="inlineStr">
        <is>
          <t>RAGUNDA</t>
        </is>
      </c>
      <c r="G396" t="n">
        <v>1.9</v>
      </c>
      <c r="H396" t="n">
        <v>0</v>
      </c>
      <c r="I396" t="n">
        <v>0</v>
      </c>
      <c r="J396" t="n">
        <v>0</v>
      </c>
      <c r="K396" t="n">
        <v>0</v>
      </c>
      <c r="L396" t="n">
        <v>0</v>
      </c>
      <c r="M396" t="n">
        <v>0</v>
      </c>
      <c r="N396" t="n">
        <v>0</v>
      </c>
      <c r="O396" t="n">
        <v>0</v>
      </c>
      <c r="P396" t="n">
        <v>0</v>
      </c>
      <c r="Q396" t="n">
        <v>0</v>
      </c>
      <c r="R396" s="2" t="inlineStr"/>
    </row>
    <row r="397" ht="15" customHeight="1">
      <c r="A397" t="inlineStr">
        <is>
          <t>A 17845-2020</t>
        </is>
      </c>
      <c r="B397" s="1" t="n">
        <v>43923</v>
      </c>
      <c r="C397" s="1" t="n">
        <v>45712</v>
      </c>
      <c r="D397" t="inlineStr">
        <is>
          <t>JÄMTLANDS LÄN</t>
        </is>
      </c>
      <c r="E397" t="inlineStr">
        <is>
          <t>RAGUNDA</t>
        </is>
      </c>
      <c r="G397" t="n">
        <v>12.1</v>
      </c>
      <c r="H397" t="n">
        <v>0</v>
      </c>
      <c r="I397" t="n">
        <v>0</v>
      </c>
      <c r="J397" t="n">
        <v>0</v>
      </c>
      <c r="K397" t="n">
        <v>0</v>
      </c>
      <c r="L397" t="n">
        <v>0</v>
      </c>
      <c r="M397" t="n">
        <v>0</v>
      </c>
      <c r="N397" t="n">
        <v>0</v>
      </c>
      <c r="O397" t="n">
        <v>0</v>
      </c>
      <c r="P397" t="n">
        <v>0</v>
      </c>
      <c r="Q397" t="n">
        <v>0</v>
      </c>
      <c r="R397" s="2" t="inlineStr"/>
    </row>
    <row r="398" ht="15" customHeight="1">
      <c r="A398" t="inlineStr">
        <is>
          <t>A 19918-2020</t>
        </is>
      </c>
      <c r="B398" s="1" t="n">
        <v>43943</v>
      </c>
      <c r="C398" s="1" t="n">
        <v>45712</v>
      </c>
      <c r="D398" t="inlineStr">
        <is>
          <t>JÄMTLANDS LÄN</t>
        </is>
      </c>
      <c r="E398" t="inlineStr">
        <is>
          <t>RAGUNDA</t>
        </is>
      </c>
      <c r="G398" t="n">
        <v>6.2</v>
      </c>
      <c r="H398" t="n">
        <v>0</v>
      </c>
      <c r="I398" t="n">
        <v>0</v>
      </c>
      <c r="J398" t="n">
        <v>0</v>
      </c>
      <c r="K398" t="n">
        <v>0</v>
      </c>
      <c r="L398" t="n">
        <v>0</v>
      </c>
      <c r="M398" t="n">
        <v>0</v>
      </c>
      <c r="N398" t="n">
        <v>0</v>
      </c>
      <c r="O398" t="n">
        <v>0</v>
      </c>
      <c r="P398" t="n">
        <v>0</v>
      </c>
      <c r="Q398" t="n">
        <v>0</v>
      </c>
      <c r="R398" s="2" t="inlineStr"/>
    </row>
    <row r="399" ht="15" customHeight="1">
      <c r="A399" t="inlineStr">
        <is>
          <t>A 20616-2020</t>
        </is>
      </c>
      <c r="B399" s="1" t="n">
        <v>43948</v>
      </c>
      <c r="C399" s="1" t="n">
        <v>45712</v>
      </c>
      <c r="D399" t="inlineStr">
        <is>
          <t>JÄMTLANDS LÄN</t>
        </is>
      </c>
      <c r="E399" t="inlineStr">
        <is>
          <t>RAGUNDA</t>
        </is>
      </c>
      <c r="G399" t="n">
        <v>4.1</v>
      </c>
      <c r="H399" t="n">
        <v>0</v>
      </c>
      <c r="I399" t="n">
        <v>0</v>
      </c>
      <c r="J399" t="n">
        <v>0</v>
      </c>
      <c r="K399" t="n">
        <v>0</v>
      </c>
      <c r="L399" t="n">
        <v>0</v>
      </c>
      <c r="M399" t="n">
        <v>0</v>
      </c>
      <c r="N399" t="n">
        <v>0</v>
      </c>
      <c r="O399" t="n">
        <v>0</v>
      </c>
      <c r="P399" t="n">
        <v>0</v>
      </c>
      <c r="Q399" t="n">
        <v>0</v>
      </c>
      <c r="R399" s="2" t="inlineStr"/>
    </row>
    <row r="400" ht="15" customHeight="1">
      <c r="A400" t="inlineStr">
        <is>
          <t>A 20815-2020</t>
        </is>
      </c>
      <c r="B400" s="1" t="n">
        <v>43949</v>
      </c>
      <c r="C400" s="1" t="n">
        <v>45712</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21172-2020</t>
        </is>
      </c>
      <c r="B401" s="1" t="n">
        <v>43951</v>
      </c>
      <c r="C401" s="1" t="n">
        <v>45712</v>
      </c>
      <c r="D401" t="inlineStr">
        <is>
          <t>JÄMTLANDS LÄN</t>
        </is>
      </c>
      <c r="E401" t="inlineStr">
        <is>
          <t>RAGUNDA</t>
        </is>
      </c>
      <c r="G401" t="n">
        <v>3.6</v>
      </c>
      <c r="H401" t="n">
        <v>0</v>
      </c>
      <c r="I401" t="n">
        <v>0</v>
      </c>
      <c r="J401" t="n">
        <v>0</v>
      </c>
      <c r="K401" t="n">
        <v>0</v>
      </c>
      <c r="L401" t="n">
        <v>0</v>
      </c>
      <c r="M401" t="n">
        <v>0</v>
      </c>
      <c r="N401" t="n">
        <v>0</v>
      </c>
      <c r="O401" t="n">
        <v>0</v>
      </c>
      <c r="P401" t="n">
        <v>0</v>
      </c>
      <c r="Q401" t="n">
        <v>0</v>
      </c>
      <c r="R401" s="2" t="inlineStr"/>
    </row>
    <row r="402" ht="15" customHeight="1">
      <c r="A402" t="inlineStr">
        <is>
          <t>A 21419-2020</t>
        </is>
      </c>
      <c r="B402" s="1" t="n">
        <v>43955</v>
      </c>
      <c r="C402" s="1" t="n">
        <v>45712</v>
      </c>
      <c r="D402" t="inlineStr">
        <is>
          <t>JÄMTLANDS LÄN</t>
        </is>
      </c>
      <c r="E402" t="inlineStr">
        <is>
          <t>RAGUNDA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21418-2020</t>
        </is>
      </c>
      <c r="B403" s="1" t="n">
        <v>43955</v>
      </c>
      <c r="C403" s="1" t="n">
        <v>45712</v>
      </c>
      <c r="D403" t="inlineStr">
        <is>
          <t>JÄMTLANDS LÄN</t>
        </is>
      </c>
      <c r="E403" t="inlineStr">
        <is>
          <t>RAGUNDA</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21420-2020</t>
        </is>
      </c>
      <c r="B404" s="1" t="n">
        <v>43955</v>
      </c>
      <c r="C404" s="1" t="n">
        <v>45712</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21416-2020</t>
        </is>
      </c>
      <c r="B405" s="1" t="n">
        <v>43955</v>
      </c>
      <c r="C405" s="1" t="n">
        <v>45712</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21593-2020</t>
        </is>
      </c>
      <c r="B406" s="1" t="n">
        <v>43956</v>
      </c>
      <c r="C406" s="1" t="n">
        <v>45712</v>
      </c>
      <c r="D406" t="inlineStr">
        <is>
          <t>JÄMTLANDS LÄN</t>
        </is>
      </c>
      <c r="E406" t="inlineStr">
        <is>
          <t>RAGUNDA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21681-2020</t>
        </is>
      </c>
      <c r="B407" s="1" t="n">
        <v>43957</v>
      </c>
      <c r="C407" s="1" t="n">
        <v>45712</v>
      </c>
      <c r="D407" t="inlineStr">
        <is>
          <t>JÄMTLANDS LÄN</t>
        </is>
      </c>
      <c r="E407" t="inlineStr">
        <is>
          <t>RAGUNDA</t>
        </is>
      </c>
      <c r="G407" t="n">
        <v>0.8</v>
      </c>
      <c r="H407" t="n">
        <v>0</v>
      </c>
      <c r="I407" t="n">
        <v>0</v>
      </c>
      <c r="J407" t="n">
        <v>0</v>
      </c>
      <c r="K407" t="n">
        <v>0</v>
      </c>
      <c r="L407" t="n">
        <v>0</v>
      </c>
      <c r="M407" t="n">
        <v>0</v>
      </c>
      <c r="N407" t="n">
        <v>0</v>
      </c>
      <c r="O407" t="n">
        <v>0</v>
      </c>
      <c r="P407" t="n">
        <v>0</v>
      </c>
      <c r="Q407" t="n">
        <v>0</v>
      </c>
      <c r="R407" s="2" t="inlineStr"/>
    </row>
    <row r="408" ht="15" customHeight="1">
      <c r="A408" t="inlineStr">
        <is>
          <t>A 22108-2020</t>
        </is>
      </c>
      <c r="B408" s="1" t="n">
        <v>43960</v>
      </c>
      <c r="C408" s="1" t="n">
        <v>45712</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22115-2020</t>
        </is>
      </c>
      <c r="B409" s="1" t="n">
        <v>43960</v>
      </c>
      <c r="C409" s="1" t="n">
        <v>45712</v>
      </c>
      <c r="D409" t="inlineStr">
        <is>
          <t>JÄMTLANDS LÄN</t>
        </is>
      </c>
      <c r="E409" t="inlineStr">
        <is>
          <t>RAGUNDA</t>
        </is>
      </c>
      <c r="F409" t="inlineStr">
        <is>
          <t>SCA</t>
        </is>
      </c>
      <c r="G409" t="n">
        <v>8.6</v>
      </c>
      <c r="H409" t="n">
        <v>0</v>
      </c>
      <c r="I409" t="n">
        <v>0</v>
      </c>
      <c r="J409" t="n">
        <v>0</v>
      </c>
      <c r="K409" t="n">
        <v>0</v>
      </c>
      <c r="L409" t="n">
        <v>0</v>
      </c>
      <c r="M409" t="n">
        <v>0</v>
      </c>
      <c r="N409" t="n">
        <v>0</v>
      </c>
      <c r="O409" t="n">
        <v>0</v>
      </c>
      <c r="P409" t="n">
        <v>0</v>
      </c>
      <c r="Q409" t="n">
        <v>0</v>
      </c>
      <c r="R409" s="2" t="inlineStr"/>
    </row>
    <row r="410" ht="15" customHeight="1">
      <c r="A410" t="inlineStr">
        <is>
          <t>A 22948-2020</t>
        </is>
      </c>
      <c r="B410" s="1" t="n">
        <v>43965</v>
      </c>
      <c r="C410" s="1" t="n">
        <v>45712</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23633-2020</t>
        </is>
      </c>
      <c r="B411" s="1" t="n">
        <v>43969</v>
      </c>
      <c r="C411" s="1" t="n">
        <v>45712</v>
      </c>
      <c r="D411" t="inlineStr">
        <is>
          <t>JÄMTLANDS LÄN</t>
        </is>
      </c>
      <c r="E411" t="inlineStr">
        <is>
          <t>RAGUNDA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24033-2020</t>
        </is>
      </c>
      <c r="B412" s="1" t="n">
        <v>43971</v>
      </c>
      <c r="C412" s="1" t="n">
        <v>45712</v>
      </c>
      <c r="D412" t="inlineStr">
        <is>
          <t>JÄMTLANDS LÄN</t>
        </is>
      </c>
      <c r="E412" t="inlineStr">
        <is>
          <t>RAGUNDA</t>
        </is>
      </c>
      <c r="G412" t="n">
        <v>3.9</v>
      </c>
      <c r="H412" t="n">
        <v>0</v>
      </c>
      <c r="I412" t="n">
        <v>0</v>
      </c>
      <c r="J412" t="n">
        <v>0</v>
      </c>
      <c r="K412" t="n">
        <v>0</v>
      </c>
      <c r="L412" t="n">
        <v>0</v>
      </c>
      <c r="M412" t="n">
        <v>0</v>
      </c>
      <c r="N412" t="n">
        <v>0</v>
      </c>
      <c r="O412" t="n">
        <v>0</v>
      </c>
      <c r="P412" t="n">
        <v>0</v>
      </c>
      <c r="Q412" t="n">
        <v>0</v>
      </c>
      <c r="R412" s="2" t="inlineStr"/>
    </row>
    <row r="413" ht="15" customHeight="1">
      <c r="A413" t="inlineStr">
        <is>
          <t>A 24032-2020</t>
        </is>
      </c>
      <c r="B413" s="1" t="n">
        <v>43971</v>
      </c>
      <c r="C413" s="1" t="n">
        <v>45712</v>
      </c>
      <c r="D413" t="inlineStr">
        <is>
          <t>JÄMTLANDS LÄN</t>
        </is>
      </c>
      <c r="E413" t="inlineStr">
        <is>
          <t>RAGUNDA</t>
        </is>
      </c>
      <c r="G413" t="n">
        <v>6.9</v>
      </c>
      <c r="H413" t="n">
        <v>0</v>
      </c>
      <c r="I413" t="n">
        <v>0</v>
      </c>
      <c r="J413" t="n">
        <v>0</v>
      </c>
      <c r="K413" t="n">
        <v>0</v>
      </c>
      <c r="L413" t="n">
        <v>0</v>
      </c>
      <c r="M413" t="n">
        <v>0</v>
      </c>
      <c r="N413" t="n">
        <v>0</v>
      </c>
      <c r="O413" t="n">
        <v>0</v>
      </c>
      <c r="P413" t="n">
        <v>0</v>
      </c>
      <c r="Q413" t="n">
        <v>0</v>
      </c>
      <c r="R413" s="2" t="inlineStr"/>
    </row>
    <row r="414" ht="15" customHeight="1">
      <c r="A414" t="inlineStr">
        <is>
          <t>A 24640-2020</t>
        </is>
      </c>
      <c r="B414" s="1" t="n">
        <v>43977</v>
      </c>
      <c r="C414" s="1" t="n">
        <v>45712</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25115-2020</t>
        </is>
      </c>
      <c r="B415" s="1" t="n">
        <v>43979</v>
      </c>
      <c r="C415" s="1" t="n">
        <v>45712</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25927-2020</t>
        </is>
      </c>
      <c r="B416" s="1" t="n">
        <v>43984</v>
      </c>
      <c r="C416" s="1" t="n">
        <v>45712</v>
      </c>
      <c r="D416" t="inlineStr">
        <is>
          <t>JÄMTLANDS LÄN</t>
        </is>
      </c>
      <c r="E416" t="inlineStr">
        <is>
          <t>RAGUNDA</t>
        </is>
      </c>
      <c r="F416" t="inlineStr">
        <is>
          <t>SCA</t>
        </is>
      </c>
      <c r="G416" t="n">
        <v>0.3</v>
      </c>
      <c r="H416" t="n">
        <v>0</v>
      </c>
      <c r="I416" t="n">
        <v>0</v>
      </c>
      <c r="J416" t="n">
        <v>0</v>
      </c>
      <c r="K416" t="n">
        <v>0</v>
      </c>
      <c r="L416" t="n">
        <v>0</v>
      </c>
      <c r="M416" t="n">
        <v>0</v>
      </c>
      <c r="N416" t="n">
        <v>0</v>
      </c>
      <c r="O416" t="n">
        <v>0</v>
      </c>
      <c r="P416" t="n">
        <v>0</v>
      </c>
      <c r="Q416" t="n">
        <v>0</v>
      </c>
      <c r="R416" s="2" t="inlineStr"/>
    </row>
    <row r="417" ht="15" customHeight="1">
      <c r="A417" t="inlineStr">
        <is>
          <t>A 25934-2020</t>
        </is>
      </c>
      <c r="B417" s="1" t="n">
        <v>43984</v>
      </c>
      <c r="C417" s="1" t="n">
        <v>45712</v>
      </c>
      <c r="D417" t="inlineStr">
        <is>
          <t>JÄMTLANDS LÄN</t>
        </is>
      </c>
      <c r="E417" t="inlineStr">
        <is>
          <t>RAGUNDA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26264-2020</t>
        </is>
      </c>
      <c r="B418" s="1" t="n">
        <v>43986</v>
      </c>
      <c r="C418" s="1" t="n">
        <v>45712</v>
      </c>
      <c r="D418" t="inlineStr">
        <is>
          <t>JÄMTLANDS LÄN</t>
        </is>
      </c>
      <c r="E418" t="inlineStr">
        <is>
          <t>RAGUNDA</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26262-2020</t>
        </is>
      </c>
      <c r="B419" s="1" t="n">
        <v>43986</v>
      </c>
      <c r="C419" s="1" t="n">
        <v>45712</v>
      </c>
      <c r="D419" t="inlineStr">
        <is>
          <t>JÄMTLANDS LÄN</t>
        </is>
      </c>
      <c r="E419" t="inlineStr">
        <is>
          <t>RAGUNDA</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26966-2020</t>
        </is>
      </c>
      <c r="B420" s="1" t="n">
        <v>43990</v>
      </c>
      <c r="C420" s="1" t="n">
        <v>45712</v>
      </c>
      <c r="D420" t="inlineStr">
        <is>
          <t>JÄMTLANDS LÄN</t>
        </is>
      </c>
      <c r="E420" t="inlineStr">
        <is>
          <t>RAGUNDA</t>
        </is>
      </c>
      <c r="F420" t="inlineStr">
        <is>
          <t>SCA</t>
        </is>
      </c>
      <c r="G420" t="n">
        <v>7</v>
      </c>
      <c r="H420" t="n">
        <v>0</v>
      </c>
      <c r="I420" t="n">
        <v>0</v>
      </c>
      <c r="J420" t="n">
        <v>0</v>
      </c>
      <c r="K420" t="n">
        <v>0</v>
      </c>
      <c r="L420" t="n">
        <v>0</v>
      </c>
      <c r="M420" t="n">
        <v>0</v>
      </c>
      <c r="N420" t="n">
        <v>0</v>
      </c>
      <c r="O420" t="n">
        <v>0</v>
      </c>
      <c r="P420" t="n">
        <v>0</v>
      </c>
      <c r="Q420" t="n">
        <v>0</v>
      </c>
      <c r="R420" s="2" t="inlineStr"/>
    </row>
    <row r="421" ht="15" customHeight="1">
      <c r="A421" t="inlineStr">
        <is>
          <t>A 27366-2020</t>
        </is>
      </c>
      <c r="B421" s="1" t="n">
        <v>43992</v>
      </c>
      <c r="C421" s="1" t="n">
        <v>45712</v>
      </c>
      <c r="D421" t="inlineStr">
        <is>
          <t>JÄMTLANDS LÄN</t>
        </is>
      </c>
      <c r="E421" t="inlineStr">
        <is>
          <t>RAGUNDA</t>
        </is>
      </c>
      <c r="G421" t="n">
        <v>2.5</v>
      </c>
      <c r="H421" t="n">
        <v>0</v>
      </c>
      <c r="I421" t="n">
        <v>0</v>
      </c>
      <c r="J421" t="n">
        <v>0</v>
      </c>
      <c r="K421" t="n">
        <v>0</v>
      </c>
      <c r="L421" t="n">
        <v>0</v>
      </c>
      <c r="M421" t="n">
        <v>0</v>
      </c>
      <c r="N421" t="n">
        <v>0</v>
      </c>
      <c r="O421" t="n">
        <v>0</v>
      </c>
      <c r="P421" t="n">
        <v>0</v>
      </c>
      <c r="Q421" t="n">
        <v>0</v>
      </c>
      <c r="R421" s="2" t="inlineStr"/>
    </row>
    <row r="422" ht="15" customHeight="1">
      <c r="A422" t="inlineStr">
        <is>
          <t>A 28776-2020</t>
        </is>
      </c>
      <c r="B422" s="1" t="n">
        <v>43999</v>
      </c>
      <c r="C422" s="1" t="n">
        <v>45712</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29382-2020</t>
        </is>
      </c>
      <c r="B423" s="1" t="n">
        <v>44000</v>
      </c>
      <c r="C423" s="1" t="n">
        <v>45712</v>
      </c>
      <c r="D423" t="inlineStr">
        <is>
          <t>JÄMTLANDS LÄN</t>
        </is>
      </c>
      <c r="E423" t="inlineStr">
        <is>
          <t>RAGUNDA</t>
        </is>
      </c>
      <c r="G423" t="n">
        <v>46.1</v>
      </c>
      <c r="H423" t="n">
        <v>0</v>
      </c>
      <c r="I423" t="n">
        <v>0</v>
      </c>
      <c r="J423" t="n">
        <v>0</v>
      </c>
      <c r="K423" t="n">
        <v>0</v>
      </c>
      <c r="L423" t="n">
        <v>0</v>
      </c>
      <c r="M423" t="n">
        <v>0</v>
      </c>
      <c r="N423" t="n">
        <v>0</v>
      </c>
      <c r="O423" t="n">
        <v>0</v>
      </c>
      <c r="P423" t="n">
        <v>0</v>
      </c>
      <c r="Q423" t="n">
        <v>0</v>
      </c>
      <c r="R423" s="2" t="inlineStr"/>
    </row>
    <row r="424" ht="15" customHeight="1">
      <c r="A424" t="inlineStr">
        <is>
          <t>A 29499-2020</t>
        </is>
      </c>
      <c r="B424" s="1" t="n">
        <v>44004</v>
      </c>
      <c r="C424" s="1" t="n">
        <v>45712</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30110-2020</t>
        </is>
      </c>
      <c r="B425" s="1" t="n">
        <v>44006</v>
      </c>
      <c r="C425" s="1" t="n">
        <v>45712</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31043-2020</t>
        </is>
      </c>
      <c r="B426" s="1" t="n">
        <v>44011</v>
      </c>
      <c r="C426" s="1" t="n">
        <v>45712</v>
      </c>
      <c r="D426" t="inlineStr">
        <is>
          <t>JÄMTLANDS LÄN</t>
        </is>
      </c>
      <c r="E426" t="inlineStr">
        <is>
          <t>RAGUNDA</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31649-2020</t>
        </is>
      </c>
      <c r="B427" s="1" t="n">
        <v>44013</v>
      </c>
      <c r="C427" s="1" t="n">
        <v>45712</v>
      </c>
      <c r="D427" t="inlineStr">
        <is>
          <t>JÄMTLANDS LÄN</t>
        </is>
      </c>
      <c r="E427" t="inlineStr">
        <is>
          <t>RAGUNDA</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31651-2020</t>
        </is>
      </c>
      <c r="B428" s="1" t="n">
        <v>44013</v>
      </c>
      <c r="C428" s="1" t="n">
        <v>45712</v>
      </c>
      <c r="D428" t="inlineStr">
        <is>
          <t>JÄMTLANDS LÄN</t>
        </is>
      </c>
      <c r="E428" t="inlineStr">
        <is>
          <t>RAGUNDA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31652-2020</t>
        </is>
      </c>
      <c r="B429" s="1" t="n">
        <v>44013</v>
      </c>
      <c r="C429" s="1" t="n">
        <v>45712</v>
      </c>
      <c r="D429" t="inlineStr">
        <is>
          <t>JÄMTLANDS LÄN</t>
        </is>
      </c>
      <c r="E429" t="inlineStr">
        <is>
          <t>RAGUNDA</t>
        </is>
      </c>
      <c r="F429" t="inlineStr">
        <is>
          <t>SCA</t>
        </is>
      </c>
      <c r="G429" t="n">
        <v>22.1</v>
      </c>
      <c r="H429" t="n">
        <v>0</v>
      </c>
      <c r="I429" t="n">
        <v>0</v>
      </c>
      <c r="J429" t="n">
        <v>0</v>
      </c>
      <c r="K429" t="n">
        <v>0</v>
      </c>
      <c r="L429" t="n">
        <v>0</v>
      </c>
      <c r="M429" t="n">
        <v>0</v>
      </c>
      <c r="N429" t="n">
        <v>0</v>
      </c>
      <c r="O429" t="n">
        <v>0</v>
      </c>
      <c r="P429" t="n">
        <v>0</v>
      </c>
      <c r="Q429" t="n">
        <v>0</v>
      </c>
      <c r="R429" s="2" t="inlineStr"/>
    </row>
    <row r="430" ht="15" customHeight="1">
      <c r="A430" t="inlineStr">
        <is>
          <t>A 32780-2020</t>
        </is>
      </c>
      <c r="B430" s="1" t="n">
        <v>44019</v>
      </c>
      <c r="C430" s="1" t="n">
        <v>45712</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33644-2020</t>
        </is>
      </c>
      <c r="B431" s="1" t="n">
        <v>44026</v>
      </c>
      <c r="C431" s="1" t="n">
        <v>45712</v>
      </c>
      <c r="D431" t="inlineStr">
        <is>
          <t>JÄMTLANDS LÄN</t>
        </is>
      </c>
      <c r="E431" t="inlineStr">
        <is>
          <t>RAGUNDA</t>
        </is>
      </c>
      <c r="G431" t="n">
        <v>4.8</v>
      </c>
      <c r="H431" t="n">
        <v>0</v>
      </c>
      <c r="I431" t="n">
        <v>0</v>
      </c>
      <c r="J431" t="n">
        <v>0</v>
      </c>
      <c r="K431" t="n">
        <v>0</v>
      </c>
      <c r="L431" t="n">
        <v>0</v>
      </c>
      <c r="M431" t="n">
        <v>0</v>
      </c>
      <c r="N431" t="n">
        <v>0</v>
      </c>
      <c r="O431" t="n">
        <v>0</v>
      </c>
      <c r="P431" t="n">
        <v>0</v>
      </c>
      <c r="Q431" t="n">
        <v>0</v>
      </c>
      <c r="R431" s="2" t="inlineStr"/>
    </row>
    <row r="432" ht="15" customHeight="1">
      <c r="A432" t="inlineStr">
        <is>
          <t>A 33932-2020</t>
        </is>
      </c>
      <c r="B432" s="1" t="n">
        <v>44027</v>
      </c>
      <c r="C432" s="1" t="n">
        <v>45712</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34204-2020</t>
        </is>
      </c>
      <c r="B433" s="1" t="n">
        <v>44029</v>
      </c>
      <c r="C433" s="1" t="n">
        <v>45712</v>
      </c>
      <c r="D433" t="inlineStr">
        <is>
          <t>JÄMTLANDS LÄN</t>
        </is>
      </c>
      <c r="E433" t="inlineStr">
        <is>
          <t>RAGUNDA</t>
        </is>
      </c>
      <c r="G433" t="n">
        <v>22.5</v>
      </c>
      <c r="H433" t="n">
        <v>0</v>
      </c>
      <c r="I433" t="n">
        <v>0</v>
      </c>
      <c r="J433" t="n">
        <v>0</v>
      </c>
      <c r="K433" t="n">
        <v>0</v>
      </c>
      <c r="L433" t="n">
        <v>0</v>
      </c>
      <c r="M433" t="n">
        <v>0</v>
      </c>
      <c r="N433" t="n">
        <v>0</v>
      </c>
      <c r="O433" t="n">
        <v>0</v>
      </c>
      <c r="P433" t="n">
        <v>0</v>
      </c>
      <c r="Q433" t="n">
        <v>0</v>
      </c>
      <c r="R433" s="2" t="inlineStr"/>
    </row>
    <row r="434" ht="15" customHeight="1">
      <c r="A434" t="inlineStr">
        <is>
          <t>A 34251-2020</t>
        </is>
      </c>
      <c r="B434" s="1" t="n">
        <v>44029</v>
      </c>
      <c r="C434" s="1" t="n">
        <v>45712</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35193-2020</t>
        </is>
      </c>
      <c r="B435" s="1" t="n">
        <v>44040</v>
      </c>
      <c r="C435" s="1" t="n">
        <v>45712</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35365-2020</t>
        </is>
      </c>
      <c r="B436" s="1" t="n">
        <v>44041</v>
      </c>
      <c r="C436" s="1" t="n">
        <v>45712</v>
      </c>
      <c r="D436" t="inlineStr">
        <is>
          <t>JÄMTLANDS LÄN</t>
        </is>
      </c>
      <c r="E436" t="inlineStr">
        <is>
          <t>RAGUNDA</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36674-2020</t>
        </is>
      </c>
      <c r="B437" s="1" t="n">
        <v>44051</v>
      </c>
      <c r="C437" s="1" t="n">
        <v>45712</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36676-2020</t>
        </is>
      </c>
      <c r="B438" s="1" t="n">
        <v>44051</v>
      </c>
      <c r="C438" s="1" t="n">
        <v>45712</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37498-2020</t>
        </is>
      </c>
      <c r="B439" s="1" t="n">
        <v>44055</v>
      </c>
      <c r="C439" s="1" t="n">
        <v>45712</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39474-2020</t>
        </is>
      </c>
      <c r="B440" s="1" t="n">
        <v>44056</v>
      </c>
      <c r="C440" s="1" t="n">
        <v>45712</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38106-2020</t>
        </is>
      </c>
      <c r="B441" s="1" t="n">
        <v>44057</v>
      </c>
      <c r="C441" s="1" t="n">
        <v>45712</v>
      </c>
      <c r="D441" t="inlineStr">
        <is>
          <t>JÄMTLANDS LÄN</t>
        </is>
      </c>
      <c r="E441" t="inlineStr">
        <is>
          <t>RAGUNDA</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38098-2020</t>
        </is>
      </c>
      <c r="B442" s="1" t="n">
        <v>44057</v>
      </c>
      <c r="C442" s="1" t="n">
        <v>45712</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39040-2020</t>
        </is>
      </c>
      <c r="B443" s="1" t="n">
        <v>44062</v>
      </c>
      <c r="C443" s="1" t="n">
        <v>45712</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39340-2020</t>
        </is>
      </c>
      <c r="B444" s="1" t="n">
        <v>44063</v>
      </c>
      <c r="C444" s="1" t="n">
        <v>45712</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40051-2020</t>
        </is>
      </c>
      <c r="B445" s="1" t="n">
        <v>44067</v>
      </c>
      <c r="C445" s="1" t="n">
        <v>45712</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40316-2020</t>
        </is>
      </c>
      <c r="B446" s="1" t="n">
        <v>44068</v>
      </c>
      <c r="C446" s="1" t="n">
        <v>45712</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40742-2020</t>
        </is>
      </c>
      <c r="B447" s="1" t="n">
        <v>44069</v>
      </c>
      <c r="C447" s="1" t="n">
        <v>45712</v>
      </c>
      <c r="D447" t="inlineStr">
        <is>
          <t>JÄMTLANDS LÄN</t>
        </is>
      </c>
      <c r="E447" t="inlineStr">
        <is>
          <t>RAGUNDA</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41346-2020</t>
        </is>
      </c>
      <c r="B448" s="1" t="n">
        <v>44071</v>
      </c>
      <c r="C448" s="1" t="n">
        <v>45712</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41889-2020</t>
        </is>
      </c>
      <c r="B449" s="1" t="n">
        <v>44075</v>
      </c>
      <c r="C449" s="1" t="n">
        <v>45712</v>
      </c>
      <c r="D449" t="inlineStr">
        <is>
          <t>JÄMTLANDS LÄN</t>
        </is>
      </c>
      <c r="E449" t="inlineStr">
        <is>
          <t>RAGUNDA</t>
        </is>
      </c>
      <c r="F449" t="inlineStr">
        <is>
          <t>SCA</t>
        </is>
      </c>
      <c r="G449" t="n">
        <v>11.4</v>
      </c>
      <c r="H449" t="n">
        <v>0</v>
      </c>
      <c r="I449" t="n">
        <v>0</v>
      </c>
      <c r="J449" t="n">
        <v>0</v>
      </c>
      <c r="K449" t="n">
        <v>0</v>
      </c>
      <c r="L449" t="n">
        <v>0</v>
      </c>
      <c r="M449" t="n">
        <v>0</v>
      </c>
      <c r="N449" t="n">
        <v>0</v>
      </c>
      <c r="O449" t="n">
        <v>0</v>
      </c>
      <c r="P449" t="n">
        <v>0</v>
      </c>
      <c r="Q449" t="n">
        <v>0</v>
      </c>
      <c r="R449" s="2" t="inlineStr"/>
    </row>
    <row r="450" ht="15" customHeight="1">
      <c r="A450" t="inlineStr">
        <is>
          <t>A 41875-2020</t>
        </is>
      </c>
      <c r="B450" s="1" t="n">
        <v>44074</v>
      </c>
      <c r="C450" s="1" t="n">
        <v>45712</v>
      </c>
      <c r="D450" t="inlineStr">
        <is>
          <t>JÄMTLANDS LÄN</t>
        </is>
      </c>
      <c r="E450" t="inlineStr">
        <is>
          <t>RAGUNDA</t>
        </is>
      </c>
      <c r="F450" t="inlineStr">
        <is>
          <t>Naturvårdsverket</t>
        </is>
      </c>
      <c r="G450" t="n">
        <v>3.3</v>
      </c>
      <c r="H450" t="n">
        <v>0</v>
      </c>
      <c r="I450" t="n">
        <v>0</v>
      </c>
      <c r="J450" t="n">
        <v>0</v>
      </c>
      <c r="K450" t="n">
        <v>0</v>
      </c>
      <c r="L450" t="n">
        <v>0</v>
      </c>
      <c r="M450" t="n">
        <v>0</v>
      </c>
      <c r="N450" t="n">
        <v>0</v>
      </c>
      <c r="O450" t="n">
        <v>0</v>
      </c>
      <c r="P450" t="n">
        <v>0</v>
      </c>
      <c r="Q450" t="n">
        <v>0</v>
      </c>
      <c r="R450" s="2" t="inlineStr"/>
    </row>
    <row r="451" ht="15" customHeight="1">
      <c r="A451" t="inlineStr">
        <is>
          <t>A 41887-2020</t>
        </is>
      </c>
      <c r="B451" s="1" t="n">
        <v>44074</v>
      </c>
      <c r="C451" s="1" t="n">
        <v>45712</v>
      </c>
      <c r="D451" t="inlineStr">
        <is>
          <t>JÄMTLANDS LÄN</t>
        </is>
      </c>
      <c r="E451" t="inlineStr">
        <is>
          <t>RAGUNDA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41885-2020</t>
        </is>
      </c>
      <c r="B452" s="1" t="n">
        <v>44074</v>
      </c>
      <c r="C452" s="1" t="n">
        <v>45712</v>
      </c>
      <c r="D452" t="inlineStr">
        <is>
          <t>JÄMTLANDS LÄN</t>
        </is>
      </c>
      <c r="E452" t="inlineStr">
        <is>
          <t>RAGUNDA</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42208-2020</t>
        </is>
      </c>
      <c r="B453" s="1" t="n">
        <v>44075</v>
      </c>
      <c r="C453" s="1" t="n">
        <v>45712</v>
      </c>
      <c r="D453" t="inlineStr">
        <is>
          <t>JÄMTLANDS LÄN</t>
        </is>
      </c>
      <c r="E453" t="inlineStr">
        <is>
          <t>RAGUNDA</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42899-2020</t>
        </is>
      </c>
      <c r="B454" s="1" t="n">
        <v>44078</v>
      </c>
      <c r="C454" s="1" t="n">
        <v>45712</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43828-2020</t>
        </is>
      </c>
      <c r="B455" s="1" t="n">
        <v>44082</v>
      </c>
      <c r="C455" s="1" t="n">
        <v>45712</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44511-2020</t>
        </is>
      </c>
      <c r="B456" s="1" t="n">
        <v>44084</v>
      </c>
      <c r="C456" s="1" t="n">
        <v>45712</v>
      </c>
      <c r="D456" t="inlineStr">
        <is>
          <t>JÄMTLANDS LÄN</t>
        </is>
      </c>
      <c r="E456" t="inlineStr">
        <is>
          <t>RAGUNDA</t>
        </is>
      </c>
      <c r="G456" t="n">
        <v>0.6</v>
      </c>
      <c r="H456" t="n">
        <v>0</v>
      </c>
      <c r="I456" t="n">
        <v>0</v>
      </c>
      <c r="J456" t="n">
        <v>0</v>
      </c>
      <c r="K456" t="n">
        <v>0</v>
      </c>
      <c r="L456" t="n">
        <v>0</v>
      </c>
      <c r="M456" t="n">
        <v>0</v>
      </c>
      <c r="N456" t="n">
        <v>0</v>
      </c>
      <c r="O456" t="n">
        <v>0</v>
      </c>
      <c r="P456" t="n">
        <v>0</v>
      </c>
      <c r="Q456" t="n">
        <v>0</v>
      </c>
      <c r="R456" s="2" t="inlineStr"/>
    </row>
    <row r="457" ht="15" customHeight="1">
      <c r="A457" t="inlineStr">
        <is>
          <t>A 44498-2020</t>
        </is>
      </c>
      <c r="B457" s="1" t="n">
        <v>44084</v>
      </c>
      <c r="C457" s="1" t="n">
        <v>45712</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45272-2020</t>
        </is>
      </c>
      <c r="B458" s="1" t="n">
        <v>44084</v>
      </c>
      <c r="C458" s="1" t="n">
        <v>45712</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46920-2020</t>
        </is>
      </c>
      <c r="B459" s="1" t="n">
        <v>44090</v>
      </c>
      <c r="C459" s="1" t="n">
        <v>45712</v>
      </c>
      <c r="D459" t="inlineStr">
        <is>
          <t>JÄMTLANDS LÄN</t>
        </is>
      </c>
      <c r="E459" t="inlineStr">
        <is>
          <t>RAGUNDA</t>
        </is>
      </c>
      <c r="G459" t="n">
        <v>4</v>
      </c>
      <c r="H459" t="n">
        <v>0</v>
      </c>
      <c r="I459" t="n">
        <v>0</v>
      </c>
      <c r="J459" t="n">
        <v>0</v>
      </c>
      <c r="K459" t="n">
        <v>0</v>
      </c>
      <c r="L459" t="n">
        <v>0</v>
      </c>
      <c r="M459" t="n">
        <v>0</v>
      </c>
      <c r="N459" t="n">
        <v>0</v>
      </c>
      <c r="O459" t="n">
        <v>0</v>
      </c>
      <c r="P459" t="n">
        <v>0</v>
      </c>
      <c r="Q459" t="n">
        <v>0</v>
      </c>
      <c r="R459" s="2" t="inlineStr"/>
    </row>
    <row r="460" ht="15" customHeight="1">
      <c r="A460" t="inlineStr">
        <is>
          <t>A 46496-2020</t>
        </is>
      </c>
      <c r="B460" s="1" t="n">
        <v>44095</v>
      </c>
      <c r="C460" s="1" t="n">
        <v>45712</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47122-2020</t>
        </is>
      </c>
      <c r="B461" s="1" t="n">
        <v>44096</v>
      </c>
      <c r="C461" s="1" t="n">
        <v>45712</v>
      </c>
      <c r="D461" t="inlineStr">
        <is>
          <t>JÄMTLANDS LÄN</t>
        </is>
      </c>
      <c r="E461" t="inlineStr">
        <is>
          <t>RAGUNDA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47131-2020</t>
        </is>
      </c>
      <c r="B462" s="1" t="n">
        <v>44096</v>
      </c>
      <c r="C462" s="1" t="n">
        <v>45712</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47825-2020</t>
        </is>
      </c>
      <c r="B463" s="1" t="n">
        <v>44098</v>
      </c>
      <c r="C463" s="1" t="n">
        <v>45712</v>
      </c>
      <c r="D463" t="inlineStr">
        <is>
          <t>JÄMTLANDS LÄN</t>
        </is>
      </c>
      <c r="E463" t="inlineStr">
        <is>
          <t>RAGUNDA</t>
        </is>
      </c>
      <c r="G463" t="n">
        <v>1.1</v>
      </c>
      <c r="H463" t="n">
        <v>0</v>
      </c>
      <c r="I463" t="n">
        <v>0</v>
      </c>
      <c r="J463" t="n">
        <v>0</v>
      </c>
      <c r="K463" t="n">
        <v>0</v>
      </c>
      <c r="L463" t="n">
        <v>0</v>
      </c>
      <c r="M463" t="n">
        <v>0</v>
      </c>
      <c r="N463" t="n">
        <v>0</v>
      </c>
      <c r="O463" t="n">
        <v>0</v>
      </c>
      <c r="P463" t="n">
        <v>0</v>
      </c>
      <c r="Q463" t="n">
        <v>0</v>
      </c>
      <c r="R463" s="2" t="inlineStr"/>
    </row>
    <row r="464" ht="15" customHeight="1">
      <c r="A464" t="inlineStr">
        <is>
          <t>A 48056-2020</t>
        </is>
      </c>
      <c r="B464" s="1" t="n">
        <v>44099</v>
      </c>
      <c r="C464" s="1" t="n">
        <v>45712</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48806-2020</t>
        </is>
      </c>
      <c r="B465" s="1" t="n">
        <v>44103</v>
      </c>
      <c r="C465" s="1" t="n">
        <v>45712</v>
      </c>
      <c r="D465" t="inlineStr">
        <is>
          <t>JÄMTLANDS LÄN</t>
        </is>
      </c>
      <c r="E465" t="inlineStr">
        <is>
          <t>RAGUNDA</t>
        </is>
      </c>
      <c r="F465" t="inlineStr">
        <is>
          <t>Naturvårdsverket</t>
        </is>
      </c>
      <c r="G465" t="n">
        <v>3</v>
      </c>
      <c r="H465" t="n">
        <v>0</v>
      </c>
      <c r="I465" t="n">
        <v>0</v>
      </c>
      <c r="J465" t="n">
        <v>0</v>
      </c>
      <c r="K465" t="n">
        <v>0</v>
      </c>
      <c r="L465" t="n">
        <v>0</v>
      </c>
      <c r="M465" t="n">
        <v>0</v>
      </c>
      <c r="N465" t="n">
        <v>0</v>
      </c>
      <c r="O465" t="n">
        <v>0</v>
      </c>
      <c r="P465" t="n">
        <v>0</v>
      </c>
      <c r="Q465" t="n">
        <v>0</v>
      </c>
      <c r="R465" s="2" t="inlineStr"/>
    </row>
    <row r="466" ht="15" customHeight="1">
      <c r="A466" t="inlineStr">
        <is>
          <t>A 51481-2020</t>
        </is>
      </c>
      <c r="B466" s="1" t="n">
        <v>44106</v>
      </c>
      <c r="C466" s="1" t="n">
        <v>45712</v>
      </c>
      <c r="D466" t="inlineStr">
        <is>
          <t>JÄMTLANDS LÄN</t>
        </is>
      </c>
      <c r="E466" t="inlineStr">
        <is>
          <t>RAGUNDA</t>
        </is>
      </c>
      <c r="G466" t="n">
        <v>4</v>
      </c>
      <c r="H466" t="n">
        <v>0</v>
      </c>
      <c r="I466" t="n">
        <v>0</v>
      </c>
      <c r="J466" t="n">
        <v>0</v>
      </c>
      <c r="K466" t="n">
        <v>0</v>
      </c>
      <c r="L466" t="n">
        <v>0</v>
      </c>
      <c r="M466" t="n">
        <v>0</v>
      </c>
      <c r="N466" t="n">
        <v>0</v>
      </c>
      <c r="O466" t="n">
        <v>0</v>
      </c>
      <c r="P466" t="n">
        <v>0</v>
      </c>
      <c r="Q466" t="n">
        <v>0</v>
      </c>
      <c r="R466" s="2" t="inlineStr"/>
    </row>
    <row r="467" ht="15" customHeight="1">
      <c r="A467" t="inlineStr">
        <is>
          <t>A 50988-2020</t>
        </is>
      </c>
      <c r="B467" s="1" t="n">
        <v>44111</v>
      </c>
      <c r="C467" s="1" t="n">
        <v>45712</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51016-2020</t>
        </is>
      </c>
      <c r="B468" s="1" t="n">
        <v>44111</v>
      </c>
      <c r="C468" s="1" t="n">
        <v>45712</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51004-2020</t>
        </is>
      </c>
      <c r="B469" s="1" t="n">
        <v>44111</v>
      </c>
      <c r="C469" s="1" t="n">
        <v>45712</v>
      </c>
      <c r="D469" t="inlineStr">
        <is>
          <t>JÄMTLANDS LÄN</t>
        </is>
      </c>
      <c r="E469" t="inlineStr">
        <is>
          <t>RAGUNDA</t>
        </is>
      </c>
      <c r="G469" t="n">
        <v>2.8</v>
      </c>
      <c r="H469" t="n">
        <v>0</v>
      </c>
      <c r="I469" t="n">
        <v>0</v>
      </c>
      <c r="J469" t="n">
        <v>0</v>
      </c>
      <c r="K469" t="n">
        <v>0</v>
      </c>
      <c r="L469" t="n">
        <v>0</v>
      </c>
      <c r="M469" t="n">
        <v>0</v>
      </c>
      <c r="N469" t="n">
        <v>0</v>
      </c>
      <c r="O469" t="n">
        <v>0</v>
      </c>
      <c r="P469" t="n">
        <v>0</v>
      </c>
      <c r="Q469" t="n">
        <v>0</v>
      </c>
      <c r="R469" s="2" t="inlineStr"/>
    </row>
    <row r="470" ht="15" customHeight="1">
      <c r="A470" t="inlineStr">
        <is>
          <t>A 51685-2020</t>
        </is>
      </c>
      <c r="B470" s="1" t="n">
        <v>44113</v>
      </c>
      <c r="C470" s="1" t="n">
        <v>45712</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53522-2020</t>
        </is>
      </c>
      <c r="B471" s="1" t="n">
        <v>44124</v>
      </c>
      <c r="C471" s="1" t="n">
        <v>45712</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54199-2020</t>
        </is>
      </c>
      <c r="B472" s="1" t="n">
        <v>44126</v>
      </c>
      <c r="C472" s="1" t="n">
        <v>45712</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54580-2020</t>
        </is>
      </c>
      <c r="B473" s="1" t="n">
        <v>44126</v>
      </c>
      <c r="C473" s="1" t="n">
        <v>45712</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55309-2020</t>
        </is>
      </c>
      <c r="B474" s="1" t="n">
        <v>44130</v>
      </c>
      <c r="C474" s="1" t="n">
        <v>45712</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55926-2020</t>
        </is>
      </c>
      <c r="B475" s="1" t="n">
        <v>44132</v>
      </c>
      <c r="C475" s="1" t="n">
        <v>45712</v>
      </c>
      <c r="D475" t="inlineStr">
        <is>
          <t>JÄMTLANDS LÄN</t>
        </is>
      </c>
      <c r="E475" t="inlineStr">
        <is>
          <t>RAGUNDA</t>
        </is>
      </c>
      <c r="F475" t="inlineStr">
        <is>
          <t>SCA</t>
        </is>
      </c>
      <c r="G475" t="n">
        <v>11.5</v>
      </c>
      <c r="H475" t="n">
        <v>0</v>
      </c>
      <c r="I475" t="n">
        <v>0</v>
      </c>
      <c r="J475" t="n">
        <v>0</v>
      </c>
      <c r="K475" t="n">
        <v>0</v>
      </c>
      <c r="L475" t="n">
        <v>0</v>
      </c>
      <c r="M475" t="n">
        <v>0</v>
      </c>
      <c r="N475" t="n">
        <v>0</v>
      </c>
      <c r="O475" t="n">
        <v>0</v>
      </c>
      <c r="P475" t="n">
        <v>0</v>
      </c>
      <c r="Q475" t="n">
        <v>0</v>
      </c>
      <c r="R475" s="2" t="inlineStr"/>
    </row>
    <row r="476" ht="15" customHeight="1">
      <c r="A476" t="inlineStr">
        <is>
          <t>A 56339-2020</t>
        </is>
      </c>
      <c r="B476" s="1" t="n">
        <v>44134</v>
      </c>
      <c r="C476" s="1" t="n">
        <v>45712</v>
      </c>
      <c r="D476" t="inlineStr">
        <is>
          <t>JÄMTLANDS LÄN</t>
        </is>
      </c>
      <c r="E476" t="inlineStr">
        <is>
          <t>RAGUNDA</t>
        </is>
      </c>
      <c r="G476" t="n">
        <v>2.9</v>
      </c>
      <c r="H476" t="n">
        <v>0</v>
      </c>
      <c r="I476" t="n">
        <v>0</v>
      </c>
      <c r="J476" t="n">
        <v>0</v>
      </c>
      <c r="K476" t="n">
        <v>0</v>
      </c>
      <c r="L476" t="n">
        <v>0</v>
      </c>
      <c r="M476" t="n">
        <v>0</v>
      </c>
      <c r="N476" t="n">
        <v>0</v>
      </c>
      <c r="O476" t="n">
        <v>0</v>
      </c>
      <c r="P476" t="n">
        <v>0</v>
      </c>
      <c r="Q476" t="n">
        <v>0</v>
      </c>
      <c r="R476" s="2" t="inlineStr"/>
    </row>
    <row r="477" ht="15" customHeight="1">
      <c r="A477" t="inlineStr">
        <is>
          <t>A 56760-2020</t>
        </is>
      </c>
      <c r="B477" s="1" t="n">
        <v>44137</v>
      </c>
      <c r="C477" s="1" t="n">
        <v>45712</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57246-2020</t>
        </is>
      </c>
      <c r="B478" s="1" t="n">
        <v>44138</v>
      </c>
      <c r="C478" s="1" t="n">
        <v>45712</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57731-2020</t>
        </is>
      </c>
      <c r="B479" s="1" t="n">
        <v>44140</v>
      </c>
      <c r="C479" s="1" t="n">
        <v>45712</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57717-2020</t>
        </is>
      </c>
      <c r="B480" s="1" t="n">
        <v>44140</v>
      </c>
      <c r="C480" s="1" t="n">
        <v>45712</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57730-2020</t>
        </is>
      </c>
      <c r="B481" s="1" t="n">
        <v>44140</v>
      </c>
      <c r="C481" s="1" t="n">
        <v>45712</v>
      </c>
      <c r="D481" t="inlineStr">
        <is>
          <t>JÄMTLANDS LÄN</t>
        </is>
      </c>
      <c r="E481" t="inlineStr">
        <is>
          <t>RAGUNDA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57713-2020</t>
        </is>
      </c>
      <c r="B482" s="1" t="n">
        <v>44140</v>
      </c>
      <c r="C482" s="1" t="n">
        <v>45712</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57941-2020</t>
        </is>
      </c>
      <c r="B483" s="1" t="n">
        <v>44141</v>
      </c>
      <c r="C483" s="1" t="n">
        <v>45712</v>
      </c>
      <c r="D483" t="inlineStr">
        <is>
          <t>JÄMTLANDS LÄN</t>
        </is>
      </c>
      <c r="E483" t="inlineStr">
        <is>
          <t>RAGUNDA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60744-2020</t>
        </is>
      </c>
      <c r="B484" s="1" t="n">
        <v>44153</v>
      </c>
      <c r="C484" s="1" t="n">
        <v>45712</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61088-2020</t>
        </is>
      </c>
      <c r="B485" s="1" t="n">
        <v>44153</v>
      </c>
      <c r="C485" s="1" t="n">
        <v>45712</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61395-2020</t>
        </is>
      </c>
      <c r="B486" s="1" t="n">
        <v>44155</v>
      </c>
      <c r="C486" s="1" t="n">
        <v>45712</v>
      </c>
      <c r="D486" t="inlineStr">
        <is>
          <t>JÄMTLANDS LÄN</t>
        </is>
      </c>
      <c r="E486" t="inlineStr">
        <is>
          <t>RAGUNDA</t>
        </is>
      </c>
      <c r="G486" t="n">
        <v>4.7</v>
      </c>
      <c r="H486" t="n">
        <v>0</v>
      </c>
      <c r="I486" t="n">
        <v>0</v>
      </c>
      <c r="J486" t="n">
        <v>0</v>
      </c>
      <c r="K486" t="n">
        <v>0</v>
      </c>
      <c r="L486" t="n">
        <v>0</v>
      </c>
      <c r="M486" t="n">
        <v>0</v>
      </c>
      <c r="N486" t="n">
        <v>0</v>
      </c>
      <c r="O486" t="n">
        <v>0</v>
      </c>
      <c r="P486" t="n">
        <v>0</v>
      </c>
      <c r="Q486" t="n">
        <v>0</v>
      </c>
      <c r="R486" s="2" t="inlineStr"/>
    </row>
    <row r="487" ht="15" customHeight="1">
      <c r="A487" t="inlineStr">
        <is>
          <t>A 61441-2020</t>
        </is>
      </c>
      <c r="B487" s="1" t="n">
        <v>44157</v>
      </c>
      <c r="C487" s="1" t="n">
        <v>45712</v>
      </c>
      <c r="D487" t="inlineStr">
        <is>
          <t>JÄMTLANDS LÄN</t>
        </is>
      </c>
      <c r="E487" t="inlineStr">
        <is>
          <t>RAGUNDA</t>
        </is>
      </c>
      <c r="G487" t="n">
        <v>0.4</v>
      </c>
      <c r="H487" t="n">
        <v>0</v>
      </c>
      <c r="I487" t="n">
        <v>0</v>
      </c>
      <c r="J487" t="n">
        <v>0</v>
      </c>
      <c r="K487" t="n">
        <v>0</v>
      </c>
      <c r="L487" t="n">
        <v>0</v>
      </c>
      <c r="M487" t="n">
        <v>0</v>
      </c>
      <c r="N487" t="n">
        <v>0</v>
      </c>
      <c r="O487" t="n">
        <v>0</v>
      </c>
      <c r="P487" t="n">
        <v>0</v>
      </c>
      <c r="Q487" t="n">
        <v>0</v>
      </c>
      <c r="R487" s="2" t="inlineStr"/>
    </row>
    <row r="488" ht="15" customHeight="1">
      <c r="A488" t="inlineStr">
        <is>
          <t>A 62228-2020</t>
        </is>
      </c>
      <c r="B488" s="1" t="n">
        <v>44159</v>
      </c>
      <c r="C488" s="1" t="n">
        <v>45712</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63606-2020</t>
        </is>
      </c>
      <c r="B489" s="1" t="n">
        <v>44165</v>
      </c>
      <c r="C489" s="1" t="n">
        <v>45712</v>
      </c>
      <c r="D489" t="inlineStr">
        <is>
          <t>JÄMTLANDS LÄN</t>
        </is>
      </c>
      <c r="E489" t="inlineStr">
        <is>
          <t>RAGUNDA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63597-2020</t>
        </is>
      </c>
      <c r="B490" s="1" t="n">
        <v>44165</v>
      </c>
      <c r="C490" s="1" t="n">
        <v>45712</v>
      </c>
      <c r="D490" t="inlineStr">
        <is>
          <t>JÄMTLANDS LÄN</t>
        </is>
      </c>
      <c r="E490" t="inlineStr">
        <is>
          <t>RAGUNDA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64187-2020</t>
        </is>
      </c>
      <c r="B491" s="1" t="n">
        <v>44167</v>
      </c>
      <c r="C491" s="1" t="n">
        <v>45712</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64386-2020</t>
        </is>
      </c>
      <c r="B492" s="1" t="n">
        <v>44168</v>
      </c>
      <c r="C492" s="1" t="n">
        <v>45712</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65260-2020</t>
        </is>
      </c>
      <c r="B493" s="1" t="n">
        <v>44172</v>
      </c>
      <c r="C493" s="1" t="n">
        <v>45712</v>
      </c>
      <c r="D493" t="inlineStr">
        <is>
          <t>JÄMTLANDS LÄN</t>
        </is>
      </c>
      <c r="E493" t="inlineStr">
        <is>
          <t>RAGUNDA</t>
        </is>
      </c>
      <c r="F493" t="inlineStr">
        <is>
          <t>SCA</t>
        </is>
      </c>
      <c r="G493" t="n">
        <v>7.8</v>
      </c>
      <c r="H493" t="n">
        <v>0</v>
      </c>
      <c r="I493" t="n">
        <v>0</v>
      </c>
      <c r="J493" t="n">
        <v>0</v>
      </c>
      <c r="K493" t="n">
        <v>0</v>
      </c>
      <c r="L493" t="n">
        <v>0</v>
      </c>
      <c r="M493" t="n">
        <v>0</v>
      </c>
      <c r="N493" t="n">
        <v>0</v>
      </c>
      <c r="O493" t="n">
        <v>0</v>
      </c>
      <c r="P493" t="n">
        <v>0</v>
      </c>
      <c r="Q493" t="n">
        <v>0</v>
      </c>
      <c r="R493" s="2" t="inlineStr"/>
    </row>
    <row r="494" ht="15" customHeight="1">
      <c r="A494" t="inlineStr">
        <is>
          <t>A 65341-2020</t>
        </is>
      </c>
      <c r="B494" s="1" t="n">
        <v>44173</v>
      </c>
      <c r="C494" s="1" t="n">
        <v>45712</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65898-2020</t>
        </is>
      </c>
      <c r="B495" s="1" t="n">
        <v>44174</v>
      </c>
      <c r="C495" s="1" t="n">
        <v>45712</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66248-2020</t>
        </is>
      </c>
      <c r="B496" s="1" t="n">
        <v>44175</v>
      </c>
      <c r="C496" s="1" t="n">
        <v>45712</v>
      </c>
      <c r="D496" t="inlineStr">
        <is>
          <t>JÄMTLANDS LÄN</t>
        </is>
      </c>
      <c r="E496" t="inlineStr">
        <is>
          <t>RAGUNDA</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69174-2020</t>
        </is>
      </c>
      <c r="B497" s="1" t="n">
        <v>44188</v>
      </c>
      <c r="C497" s="1" t="n">
        <v>45712</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69481-2020</t>
        </is>
      </c>
      <c r="B498" s="1" t="n">
        <v>44194</v>
      </c>
      <c r="C498" s="1" t="n">
        <v>45712</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69618-2020</t>
        </is>
      </c>
      <c r="B499" s="1" t="n">
        <v>44195</v>
      </c>
      <c r="C499" s="1" t="n">
        <v>45712</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1990-2021</t>
        </is>
      </c>
      <c r="B500" s="1" t="n">
        <v>44210</v>
      </c>
      <c r="C500" s="1" t="n">
        <v>45712</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2469-2021</t>
        </is>
      </c>
      <c r="B501" s="1" t="n">
        <v>44214</v>
      </c>
      <c r="C501" s="1" t="n">
        <v>45712</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3571-2021</t>
        </is>
      </c>
      <c r="B502" s="1" t="n">
        <v>44218</v>
      </c>
      <c r="C502" s="1" t="n">
        <v>45712</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4826-2021</t>
        </is>
      </c>
      <c r="B503" s="1" t="n">
        <v>44225</v>
      </c>
      <c r="C503" s="1" t="n">
        <v>45712</v>
      </c>
      <c r="D503" t="inlineStr">
        <is>
          <t>JÄMTLANDS LÄN</t>
        </is>
      </c>
      <c r="E503" t="inlineStr">
        <is>
          <t>RAGUNDA</t>
        </is>
      </c>
      <c r="G503" t="n">
        <v>2.2</v>
      </c>
      <c r="H503" t="n">
        <v>0</v>
      </c>
      <c r="I503" t="n">
        <v>0</v>
      </c>
      <c r="J503" t="n">
        <v>0</v>
      </c>
      <c r="K503" t="n">
        <v>0</v>
      </c>
      <c r="L503" t="n">
        <v>0</v>
      </c>
      <c r="M503" t="n">
        <v>0</v>
      </c>
      <c r="N503" t="n">
        <v>0</v>
      </c>
      <c r="O503" t="n">
        <v>0</v>
      </c>
      <c r="P503" t="n">
        <v>0</v>
      </c>
      <c r="Q503" t="n">
        <v>0</v>
      </c>
      <c r="R503" s="2" t="inlineStr"/>
    </row>
    <row r="504" ht="15" customHeight="1">
      <c r="A504" t="inlineStr">
        <is>
          <t>A 5130-2021</t>
        </is>
      </c>
      <c r="B504" s="1" t="n">
        <v>44228</v>
      </c>
      <c r="C504" s="1" t="n">
        <v>45712</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5462-2021</t>
        </is>
      </c>
      <c r="B505" s="1" t="n">
        <v>44229</v>
      </c>
      <c r="C505" s="1" t="n">
        <v>45712</v>
      </c>
      <c r="D505" t="inlineStr">
        <is>
          <t>JÄMTLANDS LÄN</t>
        </is>
      </c>
      <c r="E505" t="inlineStr">
        <is>
          <t>RAGUNDA</t>
        </is>
      </c>
      <c r="G505" t="n">
        <v>1.8</v>
      </c>
      <c r="H505" t="n">
        <v>0</v>
      </c>
      <c r="I505" t="n">
        <v>0</v>
      </c>
      <c r="J505" t="n">
        <v>0</v>
      </c>
      <c r="K505" t="n">
        <v>0</v>
      </c>
      <c r="L505" t="n">
        <v>0</v>
      </c>
      <c r="M505" t="n">
        <v>0</v>
      </c>
      <c r="N505" t="n">
        <v>0</v>
      </c>
      <c r="O505" t="n">
        <v>0</v>
      </c>
      <c r="P505" t="n">
        <v>0</v>
      </c>
      <c r="Q505" t="n">
        <v>0</v>
      </c>
      <c r="R505" s="2" t="inlineStr"/>
    </row>
    <row r="506" ht="15" customHeight="1">
      <c r="A506" t="inlineStr">
        <is>
          <t>A 5803-2021</t>
        </is>
      </c>
      <c r="B506" s="1" t="n">
        <v>44230</v>
      </c>
      <c r="C506" s="1" t="n">
        <v>45712</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5967-2021</t>
        </is>
      </c>
      <c r="B507" s="1" t="n">
        <v>44231</v>
      </c>
      <c r="C507" s="1" t="n">
        <v>45712</v>
      </c>
      <c r="D507" t="inlineStr">
        <is>
          <t>JÄMTLANDS LÄN</t>
        </is>
      </c>
      <c r="E507" t="inlineStr">
        <is>
          <t>RAGUNDA</t>
        </is>
      </c>
      <c r="G507" t="n">
        <v>3.6</v>
      </c>
      <c r="H507" t="n">
        <v>0</v>
      </c>
      <c r="I507" t="n">
        <v>0</v>
      </c>
      <c r="J507" t="n">
        <v>0</v>
      </c>
      <c r="K507" t="n">
        <v>0</v>
      </c>
      <c r="L507" t="n">
        <v>0</v>
      </c>
      <c r="M507" t="n">
        <v>0</v>
      </c>
      <c r="N507" t="n">
        <v>0</v>
      </c>
      <c r="O507" t="n">
        <v>0</v>
      </c>
      <c r="P507" t="n">
        <v>0</v>
      </c>
      <c r="Q507" t="n">
        <v>0</v>
      </c>
      <c r="R507" s="2" t="inlineStr"/>
    </row>
    <row r="508" ht="15" customHeight="1">
      <c r="A508" t="inlineStr">
        <is>
          <t>A 5958-2021</t>
        </is>
      </c>
      <c r="B508" s="1" t="n">
        <v>44231</v>
      </c>
      <c r="C508" s="1" t="n">
        <v>45712</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6802-2021</t>
        </is>
      </c>
      <c r="B509" s="1" t="n">
        <v>44236</v>
      </c>
      <c r="C509" s="1" t="n">
        <v>45712</v>
      </c>
      <c r="D509" t="inlineStr">
        <is>
          <t>JÄMTLANDS LÄN</t>
        </is>
      </c>
      <c r="E509" t="inlineStr">
        <is>
          <t>RAGUNDA</t>
        </is>
      </c>
      <c r="G509" t="n">
        <v>11.2</v>
      </c>
      <c r="H509" t="n">
        <v>0</v>
      </c>
      <c r="I509" t="n">
        <v>0</v>
      </c>
      <c r="J509" t="n">
        <v>0</v>
      </c>
      <c r="K509" t="n">
        <v>0</v>
      </c>
      <c r="L509" t="n">
        <v>0</v>
      </c>
      <c r="M509" t="n">
        <v>0</v>
      </c>
      <c r="N509" t="n">
        <v>0</v>
      </c>
      <c r="O509" t="n">
        <v>0</v>
      </c>
      <c r="P509" t="n">
        <v>0</v>
      </c>
      <c r="Q509" t="n">
        <v>0</v>
      </c>
      <c r="R509" s="2" t="inlineStr"/>
    </row>
    <row r="510" ht="15" customHeight="1">
      <c r="A510" t="inlineStr">
        <is>
          <t>A 7575-2021</t>
        </is>
      </c>
      <c r="B510" s="1" t="n">
        <v>44239</v>
      </c>
      <c r="C510" s="1" t="n">
        <v>45712</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7886-2021</t>
        </is>
      </c>
      <c r="B511" s="1" t="n">
        <v>44242</v>
      </c>
      <c r="C511" s="1" t="n">
        <v>45712</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8033-2021</t>
        </is>
      </c>
      <c r="B512" s="1" t="n">
        <v>44243</v>
      </c>
      <c r="C512" s="1" t="n">
        <v>45712</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8626-2021</t>
        </is>
      </c>
      <c r="B513" s="1" t="n">
        <v>44245</v>
      </c>
      <c r="C513" s="1" t="n">
        <v>45712</v>
      </c>
      <c r="D513" t="inlineStr">
        <is>
          <t>JÄMTLANDS LÄN</t>
        </is>
      </c>
      <c r="E513" t="inlineStr">
        <is>
          <t>RAGUNDA</t>
        </is>
      </c>
      <c r="G513" t="n">
        <v>3.3</v>
      </c>
      <c r="H513" t="n">
        <v>0</v>
      </c>
      <c r="I513" t="n">
        <v>0</v>
      </c>
      <c r="J513" t="n">
        <v>0</v>
      </c>
      <c r="K513" t="n">
        <v>0</v>
      </c>
      <c r="L513" t="n">
        <v>0</v>
      </c>
      <c r="M513" t="n">
        <v>0</v>
      </c>
      <c r="N513" t="n">
        <v>0</v>
      </c>
      <c r="O513" t="n">
        <v>0</v>
      </c>
      <c r="P513" t="n">
        <v>0</v>
      </c>
      <c r="Q513" t="n">
        <v>0</v>
      </c>
      <c r="R513" s="2" t="inlineStr"/>
    </row>
    <row r="514" ht="15" customHeight="1">
      <c r="A514" t="inlineStr">
        <is>
          <t>A 10938-2021</t>
        </is>
      </c>
      <c r="B514" s="1" t="n">
        <v>44259</v>
      </c>
      <c r="C514" s="1" t="n">
        <v>45712</v>
      </c>
      <c r="D514" t="inlineStr">
        <is>
          <t>JÄMTLANDS LÄN</t>
        </is>
      </c>
      <c r="E514" t="inlineStr">
        <is>
          <t>RAGUNDA</t>
        </is>
      </c>
      <c r="G514" t="n">
        <v>10.4</v>
      </c>
      <c r="H514" t="n">
        <v>0</v>
      </c>
      <c r="I514" t="n">
        <v>0</v>
      </c>
      <c r="J514" t="n">
        <v>0</v>
      </c>
      <c r="K514" t="n">
        <v>0</v>
      </c>
      <c r="L514" t="n">
        <v>0</v>
      </c>
      <c r="M514" t="n">
        <v>0</v>
      </c>
      <c r="N514" t="n">
        <v>0</v>
      </c>
      <c r="O514" t="n">
        <v>0</v>
      </c>
      <c r="P514" t="n">
        <v>0</v>
      </c>
      <c r="Q514" t="n">
        <v>0</v>
      </c>
      <c r="R514" s="2" t="inlineStr"/>
    </row>
    <row r="515" ht="15" customHeight="1">
      <c r="A515" t="inlineStr">
        <is>
          <t>A 10937-2021</t>
        </is>
      </c>
      <c r="B515" s="1" t="n">
        <v>44259</v>
      </c>
      <c r="C515" s="1" t="n">
        <v>45712</v>
      </c>
      <c r="D515" t="inlineStr">
        <is>
          <t>JÄMTLANDS LÄN</t>
        </is>
      </c>
      <c r="E515" t="inlineStr">
        <is>
          <t>RAGUNDA</t>
        </is>
      </c>
      <c r="G515" t="n">
        <v>10.8</v>
      </c>
      <c r="H515" t="n">
        <v>0</v>
      </c>
      <c r="I515" t="n">
        <v>0</v>
      </c>
      <c r="J515" t="n">
        <v>0</v>
      </c>
      <c r="K515" t="n">
        <v>0</v>
      </c>
      <c r="L515" t="n">
        <v>0</v>
      </c>
      <c r="M515" t="n">
        <v>0</v>
      </c>
      <c r="N515" t="n">
        <v>0</v>
      </c>
      <c r="O515" t="n">
        <v>0</v>
      </c>
      <c r="P515" t="n">
        <v>0</v>
      </c>
      <c r="Q515" t="n">
        <v>0</v>
      </c>
      <c r="R515" s="2" t="inlineStr"/>
    </row>
    <row r="516" ht="15" customHeight="1">
      <c r="A516" t="inlineStr">
        <is>
          <t>A 13571-2021</t>
        </is>
      </c>
      <c r="B516" s="1" t="n">
        <v>44273</v>
      </c>
      <c r="C516" s="1" t="n">
        <v>45712</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13570-2021</t>
        </is>
      </c>
      <c r="B517" s="1" t="n">
        <v>44273</v>
      </c>
      <c r="C517" s="1" t="n">
        <v>45712</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13569-2021</t>
        </is>
      </c>
      <c r="B518" s="1" t="n">
        <v>44273</v>
      </c>
      <c r="C518" s="1" t="n">
        <v>45712</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14790-2021</t>
        </is>
      </c>
      <c r="B519" s="1" t="n">
        <v>44280</v>
      </c>
      <c r="C519" s="1" t="n">
        <v>45712</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14776-2021</t>
        </is>
      </c>
      <c r="B520" s="1" t="n">
        <v>44280</v>
      </c>
      <c r="C520" s="1" t="n">
        <v>45712</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15102-2021</t>
        </is>
      </c>
      <c r="B521" s="1" t="n">
        <v>44281</v>
      </c>
      <c r="C521" s="1" t="n">
        <v>45712</v>
      </c>
      <c r="D521" t="inlineStr">
        <is>
          <t>JÄMTLANDS LÄN</t>
        </is>
      </c>
      <c r="E521" t="inlineStr">
        <is>
          <t>RAGUNDA</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15720-2021</t>
        </is>
      </c>
      <c r="B522" s="1" t="n">
        <v>44286</v>
      </c>
      <c r="C522" s="1" t="n">
        <v>45712</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15672-2021</t>
        </is>
      </c>
      <c r="B523" s="1" t="n">
        <v>44286</v>
      </c>
      <c r="C523" s="1" t="n">
        <v>45712</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16002-2021</t>
        </is>
      </c>
      <c r="B524" s="1" t="n">
        <v>44287</v>
      </c>
      <c r="C524" s="1" t="n">
        <v>45712</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16379-2021</t>
        </is>
      </c>
      <c r="B525" s="1" t="n">
        <v>44292</v>
      </c>
      <c r="C525" s="1" t="n">
        <v>45712</v>
      </c>
      <c r="D525" t="inlineStr">
        <is>
          <t>JÄMTLANDS LÄN</t>
        </is>
      </c>
      <c r="E525" t="inlineStr">
        <is>
          <t>RAGUNDA</t>
        </is>
      </c>
      <c r="G525" t="n">
        <v>2</v>
      </c>
      <c r="H525" t="n">
        <v>0</v>
      </c>
      <c r="I525" t="n">
        <v>0</v>
      </c>
      <c r="J525" t="n">
        <v>0</v>
      </c>
      <c r="K525" t="n">
        <v>0</v>
      </c>
      <c r="L525" t="n">
        <v>0</v>
      </c>
      <c r="M525" t="n">
        <v>0</v>
      </c>
      <c r="N525" t="n">
        <v>0</v>
      </c>
      <c r="O525" t="n">
        <v>0</v>
      </c>
      <c r="P525" t="n">
        <v>0</v>
      </c>
      <c r="Q525" t="n">
        <v>0</v>
      </c>
      <c r="R525" s="2" t="inlineStr"/>
    </row>
    <row r="526" ht="15" customHeight="1">
      <c r="A526" t="inlineStr">
        <is>
          <t>A 17315-2021</t>
        </is>
      </c>
      <c r="B526" s="1" t="n">
        <v>44298</v>
      </c>
      <c r="C526" s="1" t="n">
        <v>45712</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17598-2021</t>
        </is>
      </c>
      <c r="B527" s="1" t="n">
        <v>44299</v>
      </c>
      <c r="C527" s="1" t="n">
        <v>45712</v>
      </c>
      <c r="D527" t="inlineStr">
        <is>
          <t>JÄMTLANDS LÄN</t>
        </is>
      </c>
      <c r="E527" t="inlineStr">
        <is>
          <t>RAGUNDA</t>
        </is>
      </c>
      <c r="G527" t="n">
        <v>4.6</v>
      </c>
      <c r="H527" t="n">
        <v>0</v>
      </c>
      <c r="I527" t="n">
        <v>0</v>
      </c>
      <c r="J527" t="n">
        <v>0</v>
      </c>
      <c r="K527" t="n">
        <v>0</v>
      </c>
      <c r="L527" t="n">
        <v>0</v>
      </c>
      <c r="M527" t="n">
        <v>0</v>
      </c>
      <c r="N527" t="n">
        <v>0</v>
      </c>
      <c r="O527" t="n">
        <v>0</v>
      </c>
      <c r="P527" t="n">
        <v>0</v>
      </c>
      <c r="Q527" t="n">
        <v>0</v>
      </c>
      <c r="R527" s="2" t="inlineStr"/>
    </row>
    <row r="528" ht="15" customHeight="1">
      <c r="A528" t="inlineStr">
        <is>
          <t>A 18454-2021</t>
        </is>
      </c>
      <c r="B528" s="1" t="n">
        <v>44306</v>
      </c>
      <c r="C528" s="1" t="n">
        <v>45712</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19615-2021</t>
        </is>
      </c>
      <c r="B529" s="1" t="n">
        <v>44308</v>
      </c>
      <c r="C529" s="1" t="n">
        <v>45712</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19612-2021</t>
        </is>
      </c>
      <c r="B530" s="1" t="n">
        <v>44308</v>
      </c>
      <c r="C530" s="1" t="n">
        <v>45712</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19600-2021</t>
        </is>
      </c>
      <c r="B531" s="1" t="n">
        <v>44308</v>
      </c>
      <c r="C531" s="1" t="n">
        <v>45712</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19595-2021</t>
        </is>
      </c>
      <c r="B532" s="1" t="n">
        <v>44308</v>
      </c>
      <c r="C532" s="1" t="n">
        <v>45712</v>
      </c>
      <c r="D532" t="inlineStr">
        <is>
          <t>JÄMTLANDS LÄN</t>
        </is>
      </c>
      <c r="E532" t="inlineStr">
        <is>
          <t>RAGUNDA</t>
        </is>
      </c>
      <c r="G532" t="n">
        <v>5.4</v>
      </c>
      <c r="H532" t="n">
        <v>0</v>
      </c>
      <c r="I532" t="n">
        <v>0</v>
      </c>
      <c r="J532" t="n">
        <v>0</v>
      </c>
      <c r="K532" t="n">
        <v>0</v>
      </c>
      <c r="L532" t="n">
        <v>0</v>
      </c>
      <c r="M532" t="n">
        <v>0</v>
      </c>
      <c r="N532" t="n">
        <v>0</v>
      </c>
      <c r="O532" t="n">
        <v>0</v>
      </c>
      <c r="P532" t="n">
        <v>0</v>
      </c>
      <c r="Q532" t="n">
        <v>0</v>
      </c>
      <c r="R532" s="2" t="inlineStr"/>
    </row>
    <row r="533" ht="15" customHeight="1">
      <c r="A533" t="inlineStr">
        <is>
          <t>A 20548-2021</t>
        </is>
      </c>
      <c r="B533" s="1" t="n">
        <v>44315</v>
      </c>
      <c r="C533" s="1" t="n">
        <v>45712</v>
      </c>
      <c r="D533" t="inlineStr">
        <is>
          <t>JÄMTLANDS LÄN</t>
        </is>
      </c>
      <c r="E533" t="inlineStr">
        <is>
          <t>RAGUNDA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22655-2021</t>
        </is>
      </c>
      <c r="B534" s="1" t="n">
        <v>44322</v>
      </c>
      <c r="C534" s="1" t="n">
        <v>45712</v>
      </c>
      <c r="D534" t="inlineStr">
        <is>
          <t>JÄMTLANDS LÄN</t>
        </is>
      </c>
      <c r="E534" t="inlineStr">
        <is>
          <t>RAGUNDA</t>
        </is>
      </c>
      <c r="G534" t="n">
        <v>5.8</v>
      </c>
      <c r="H534" t="n">
        <v>0</v>
      </c>
      <c r="I534" t="n">
        <v>0</v>
      </c>
      <c r="J534" t="n">
        <v>0</v>
      </c>
      <c r="K534" t="n">
        <v>0</v>
      </c>
      <c r="L534" t="n">
        <v>0</v>
      </c>
      <c r="M534" t="n">
        <v>0</v>
      </c>
      <c r="N534" t="n">
        <v>0</v>
      </c>
      <c r="O534" t="n">
        <v>0</v>
      </c>
      <c r="P534" t="n">
        <v>0</v>
      </c>
      <c r="Q534" t="n">
        <v>0</v>
      </c>
      <c r="R534" s="2" t="inlineStr"/>
    </row>
    <row r="535" ht="15" customHeight="1">
      <c r="A535" t="inlineStr">
        <is>
          <t>A 22131-2021</t>
        </is>
      </c>
      <c r="B535" s="1" t="n">
        <v>44323</v>
      </c>
      <c r="C535" s="1" t="n">
        <v>45712</v>
      </c>
      <c r="D535" t="inlineStr">
        <is>
          <t>JÄMTLANDS LÄN</t>
        </is>
      </c>
      <c r="E535" t="inlineStr">
        <is>
          <t>RAGUNDA</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23169-2021</t>
        </is>
      </c>
      <c r="B536" s="1" t="n">
        <v>44332</v>
      </c>
      <c r="C536" s="1" t="n">
        <v>45712</v>
      </c>
      <c r="D536" t="inlineStr">
        <is>
          <t>JÄMTLANDS LÄN</t>
        </is>
      </c>
      <c r="E536" t="inlineStr">
        <is>
          <t>RAGUNDA</t>
        </is>
      </c>
      <c r="F536" t="inlineStr">
        <is>
          <t>SCA</t>
        </is>
      </c>
      <c r="G536" t="n">
        <v>59.9</v>
      </c>
      <c r="H536" t="n">
        <v>0</v>
      </c>
      <c r="I536" t="n">
        <v>0</v>
      </c>
      <c r="J536" t="n">
        <v>0</v>
      </c>
      <c r="K536" t="n">
        <v>0</v>
      </c>
      <c r="L536" t="n">
        <v>0</v>
      </c>
      <c r="M536" t="n">
        <v>0</v>
      </c>
      <c r="N536" t="n">
        <v>0</v>
      </c>
      <c r="O536" t="n">
        <v>0</v>
      </c>
      <c r="P536" t="n">
        <v>0</v>
      </c>
      <c r="Q536" t="n">
        <v>0</v>
      </c>
      <c r="R536" s="2" t="inlineStr"/>
    </row>
    <row r="537" ht="15" customHeight="1">
      <c r="A537" t="inlineStr">
        <is>
          <t>A 24171-2021</t>
        </is>
      </c>
      <c r="B537" s="1" t="n">
        <v>44336</v>
      </c>
      <c r="C537" s="1" t="n">
        <v>45712</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24280-2021</t>
        </is>
      </c>
      <c r="B538" s="1" t="n">
        <v>44336</v>
      </c>
      <c r="C538" s="1" t="n">
        <v>45712</v>
      </c>
      <c r="D538" t="inlineStr">
        <is>
          <t>JÄMTLANDS LÄN</t>
        </is>
      </c>
      <c r="E538" t="inlineStr">
        <is>
          <t>RAGUNDA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25811-2021</t>
        </is>
      </c>
      <c r="B539" s="1" t="n">
        <v>44344</v>
      </c>
      <c r="C539" s="1" t="n">
        <v>45712</v>
      </c>
      <c r="D539" t="inlineStr">
        <is>
          <t>JÄMTLANDS LÄN</t>
        </is>
      </c>
      <c r="E539" t="inlineStr">
        <is>
          <t>RAGUNDA</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26942-2021</t>
        </is>
      </c>
      <c r="B540" s="1" t="n">
        <v>44350</v>
      </c>
      <c r="C540" s="1" t="n">
        <v>45712</v>
      </c>
      <c r="D540" t="inlineStr">
        <is>
          <t>JÄMTLANDS LÄN</t>
        </is>
      </c>
      <c r="E540" t="inlineStr">
        <is>
          <t>RAGUNDA</t>
        </is>
      </c>
      <c r="G540" t="n">
        <v>6.2</v>
      </c>
      <c r="H540" t="n">
        <v>0</v>
      </c>
      <c r="I540" t="n">
        <v>0</v>
      </c>
      <c r="J540" t="n">
        <v>0</v>
      </c>
      <c r="K540" t="n">
        <v>0</v>
      </c>
      <c r="L540" t="n">
        <v>0</v>
      </c>
      <c r="M540" t="n">
        <v>0</v>
      </c>
      <c r="N540" t="n">
        <v>0</v>
      </c>
      <c r="O540" t="n">
        <v>0</v>
      </c>
      <c r="P540" t="n">
        <v>0</v>
      </c>
      <c r="Q540" t="n">
        <v>0</v>
      </c>
      <c r="R540" s="2" t="inlineStr"/>
    </row>
    <row r="541" ht="15" customHeight="1">
      <c r="A541" t="inlineStr">
        <is>
          <t>A 26948-2021</t>
        </is>
      </c>
      <c r="B541" s="1" t="n">
        <v>44350</v>
      </c>
      <c r="C541" s="1" t="n">
        <v>45712</v>
      </c>
      <c r="D541" t="inlineStr">
        <is>
          <t>JÄMTLANDS LÄN</t>
        </is>
      </c>
      <c r="E541" t="inlineStr">
        <is>
          <t>RAGUNDA</t>
        </is>
      </c>
      <c r="G541" t="n">
        <v>2.5</v>
      </c>
      <c r="H541" t="n">
        <v>0</v>
      </c>
      <c r="I541" t="n">
        <v>0</v>
      </c>
      <c r="J541" t="n">
        <v>0</v>
      </c>
      <c r="K541" t="n">
        <v>0</v>
      </c>
      <c r="L541" t="n">
        <v>0</v>
      </c>
      <c r="M541" t="n">
        <v>0</v>
      </c>
      <c r="N541" t="n">
        <v>0</v>
      </c>
      <c r="O541" t="n">
        <v>0</v>
      </c>
      <c r="P541" t="n">
        <v>0</v>
      </c>
      <c r="Q541" t="n">
        <v>0</v>
      </c>
      <c r="R541" s="2" t="inlineStr"/>
    </row>
    <row r="542" ht="15" customHeight="1">
      <c r="A542" t="inlineStr">
        <is>
          <t>A 26945-2021</t>
        </is>
      </c>
      <c r="B542" s="1" t="n">
        <v>44350</v>
      </c>
      <c r="C542" s="1" t="n">
        <v>45712</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26946-2021</t>
        </is>
      </c>
      <c r="B543" s="1" t="n">
        <v>44349</v>
      </c>
      <c r="C543" s="1" t="n">
        <v>45712</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27399-2021</t>
        </is>
      </c>
      <c r="B544" s="1" t="n">
        <v>44351</v>
      </c>
      <c r="C544" s="1" t="n">
        <v>45712</v>
      </c>
      <c r="D544" t="inlineStr">
        <is>
          <t>JÄMTLANDS LÄN</t>
        </is>
      </c>
      <c r="E544" t="inlineStr">
        <is>
          <t>RAGUNDA</t>
        </is>
      </c>
      <c r="F544" t="inlineStr">
        <is>
          <t>Kommuner</t>
        </is>
      </c>
      <c r="G544" t="n">
        <v>3.1</v>
      </c>
      <c r="H544" t="n">
        <v>0</v>
      </c>
      <c r="I544" t="n">
        <v>0</v>
      </c>
      <c r="J544" t="n">
        <v>0</v>
      </c>
      <c r="K544" t="n">
        <v>0</v>
      </c>
      <c r="L544" t="n">
        <v>0</v>
      </c>
      <c r="M544" t="n">
        <v>0</v>
      </c>
      <c r="N544" t="n">
        <v>0</v>
      </c>
      <c r="O544" t="n">
        <v>0</v>
      </c>
      <c r="P544" t="n">
        <v>0</v>
      </c>
      <c r="Q544" t="n">
        <v>0</v>
      </c>
      <c r="R544" s="2" t="inlineStr"/>
    </row>
    <row r="545" ht="15" customHeight="1">
      <c r="A545" t="inlineStr">
        <is>
          <t>A 27371-2021</t>
        </is>
      </c>
      <c r="B545" s="1" t="n">
        <v>44351</v>
      </c>
      <c r="C545" s="1" t="n">
        <v>45712</v>
      </c>
      <c r="D545" t="inlineStr">
        <is>
          <t>JÄMTLANDS LÄN</t>
        </is>
      </c>
      <c r="E545" t="inlineStr">
        <is>
          <t>RAGUNDA</t>
        </is>
      </c>
      <c r="F545" t="inlineStr">
        <is>
          <t>Kommuner</t>
        </is>
      </c>
      <c r="G545" t="n">
        <v>2.5</v>
      </c>
      <c r="H545" t="n">
        <v>0</v>
      </c>
      <c r="I545" t="n">
        <v>0</v>
      </c>
      <c r="J545" t="n">
        <v>0</v>
      </c>
      <c r="K545" t="n">
        <v>0</v>
      </c>
      <c r="L545" t="n">
        <v>0</v>
      </c>
      <c r="M545" t="n">
        <v>0</v>
      </c>
      <c r="N545" t="n">
        <v>0</v>
      </c>
      <c r="O545" t="n">
        <v>0</v>
      </c>
      <c r="P545" t="n">
        <v>0</v>
      </c>
      <c r="Q545" t="n">
        <v>0</v>
      </c>
      <c r="R545" s="2" t="inlineStr"/>
    </row>
    <row r="546" ht="15" customHeight="1">
      <c r="A546" t="inlineStr">
        <is>
          <t>A 28596-2021</t>
        </is>
      </c>
      <c r="B546" s="1" t="n">
        <v>44356</v>
      </c>
      <c r="C546" s="1" t="n">
        <v>45712</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28597-2021</t>
        </is>
      </c>
      <c r="B547" s="1" t="n">
        <v>44357</v>
      </c>
      <c r="C547" s="1" t="n">
        <v>45712</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28887-2021</t>
        </is>
      </c>
      <c r="B548" s="1" t="n">
        <v>44357</v>
      </c>
      <c r="C548" s="1" t="n">
        <v>45712</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29409-2021</t>
        </is>
      </c>
      <c r="B549" s="1" t="n">
        <v>44361</v>
      </c>
      <c r="C549" s="1" t="n">
        <v>45712</v>
      </c>
      <c r="D549" t="inlineStr">
        <is>
          <t>JÄMTLANDS LÄN</t>
        </is>
      </c>
      <c r="E549" t="inlineStr">
        <is>
          <t>RAGUNDA</t>
        </is>
      </c>
      <c r="G549" t="n">
        <v>0.3</v>
      </c>
      <c r="H549" t="n">
        <v>0</v>
      </c>
      <c r="I549" t="n">
        <v>0</v>
      </c>
      <c r="J549" t="n">
        <v>0</v>
      </c>
      <c r="K549" t="n">
        <v>0</v>
      </c>
      <c r="L549" t="n">
        <v>0</v>
      </c>
      <c r="M549" t="n">
        <v>0</v>
      </c>
      <c r="N549" t="n">
        <v>0</v>
      </c>
      <c r="O549" t="n">
        <v>0</v>
      </c>
      <c r="P549" t="n">
        <v>0</v>
      </c>
      <c r="Q549" t="n">
        <v>0</v>
      </c>
      <c r="R549" s="2" t="inlineStr"/>
    </row>
    <row r="550" ht="15" customHeight="1">
      <c r="A550" t="inlineStr">
        <is>
          <t>A 30438-2021</t>
        </is>
      </c>
      <c r="B550" s="1" t="n">
        <v>44362</v>
      </c>
      <c r="C550" s="1" t="n">
        <v>45712</v>
      </c>
      <c r="D550" t="inlineStr">
        <is>
          <t>JÄMTLANDS LÄN</t>
        </is>
      </c>
      <c r="E550" t="inlineStr">
        <is>
          <t>RAGUNDA</t>
        </is>
      </c>
      <c r="G550" t="n">
        <v>5</v>
      </c>
      <c r="H550" t="n">
        <v>0</v>
      </c>
      <c r="I550" t="n">
        <v>0</v>
      </c>
      <c r="J550" t="n">
        <v>0</v>
      </c>
      <c r="K550" t="n">
        <v>0</v>
      </c>
      <c r="L550" t="n">
        <v>0</v>
      </c>
      <c r="M550" t="n">
        <v>0</v>
      </c>
      <c r="N550" t="n">
        <v>0</v>
      </c>
      <c r="O550" t="n">
        <v>0</v>
      </c>
      <c r="P550" t="n">
        <v>0</v>
      </c>
      <c r="Q550" t="n">
        <v>0</v>
      </c>
      <c r="R550" s="2" t="inlineStr"/>
    </row>
    <row r="551" ht="15" customHeight="1">
      <c r="A551" t="inlineStr">
        <is>
          <t>A 30459-2021</t>
        </is>
      </c>
      <c r="B551" s="1" t="n">
        <v>44362</v>
      </c>
      <c r="C551" s="1" t="n">
        <v>45712</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30581-2021</t>
        </is>
      </c>
      <c r="B552" s="1" t="n">
        <v>44365</v>
      </c>
      <c r="C552" s="1" t="n">
        <v>45712</v>
      </c>
      <c r="D552" t="inlineStr">
        <is>
          <t>JÄMTLANDS LÄN</t>
        </is>
      </c>
      <c r="E552" t="inlineStr">
        <is>
          <t>RAGUNDA</t>
        </is>
      </c>
      <c r="G552" t="n">
        <v>4.2</v>
      </c>
      <c r="H552" t="n">
        <v>0</v>
      </c>
      <c r="I552" t="n">
        <v>0</v>
      </c>
      <c r="J552" t="n">
        <v>0</v>
      </c>
      <c r="K552" t="n">
        <v>0</v>
      </c>
      <c r="L552" t="n">
        <v>0</v>
      </c>
      <c r="M552" t="n">
        <v>0</v>
      </c>
      <c r="N552" t="n">
        <v>0</v>
      </c>
      <c r="O552" t="n">
        <v>0</v>
      </c>
      <c r="P552" t="n">
        <v>0</v>
      </c>
      <c r="Q552" t="n">
        <v>0</v>
      </c>
      <c r="R552" s="2" t="inlineStr"/>
    </row>
    <row r="553" ht="15" customHeight="1">
      <c r="A553" t="inlineStr">
        <is>
          <t>A 31158-2021</t>
        </is>
      </c>
      <c r="B553" s="1" t="n">
        <v>44368</v>
      </c>
      <c r="C553" s="1" t="n">
        <v>45712</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31727-2021</t>
        </is>
      </c>
      <c r="B554" s="1" t="n">
        <v>44370</v>
      </c>
      <c r="C554" s="1" t="n">
        <v>45712</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32832-2021</t>
        </is>
      </c>
      <c r="B555" s="1" t="n">
        <v>44375</v>
      </c>
      <c r="C555" s="1" t="n">
        <v>45712</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34348-2021</t>
        </is>
      </c>
      <c r="B556" s="1" t="n">
        <v>44379</v>
      </c>
      <c r="C556" s="1" t="n">
        <v>45712</v>
      </c>
      <c r="D556" t="inlineStr">
        <is>
          <t>JÄMTLANDS LÄN</t>
        </is>
      </c>
      <c r="E556" t="inlineStr">
        <is>
          <t>RAGUNDA</t>
        </is>
      </c>
      <c r="G556" t="n">
        <v>8.1</v>
      </c>
      <c r="H556" t="n">
        <v>0</v>
      </c>
      <c r="I556" t="n">
        <v>0</v>
      </c>
      <c r="J556" t="n">
        <v>0</v>
      </c>
      <c r="K556" t="n">
        <v>0</v>
      </c>
      <c r="L556" t="n">
        <v>0</v>
      </c>
      <c r="M556" t="n">
        <v>0</v>
      </c>
      <c r="N556" t="n">
        <v>0</v>
      </c>
      <c r="O556" t="n">
        <v>0</v>
      </c>
      <c r="P556" t="n">
        <v>0</v>
      </c>
      <c r="Q556" t="n">
        <v>0</v>
      </c>
      <c r="R556" s="2" t="inlineStr"/>
    </row>
    <row r="557" ht="15" customHeight="1">
      <c r="A557" t="inlineStr">
        <is>
          <t>A 35537-2021</t>
        </is>
      </c>
      <c r="B557" s="1" t="n">
        <v>44384</v>
      </c>
      <c r="C557" s="1" t="n">
        <v>45712</v>
      </c>
      <c r="D557" t="inlineStr">
        <is>
          <t>JÄMTLANDS LÄN</t>
        </is>
      </c>
      <c r="E557" t="inlineStr">
        <is>
          <t>RAGUNDA</t>
        </is>
      </c>
      <c r="G557" t="n">
        <v>3.1</v>
      </c>
      <c r="H557" t="n">
        <v>0</v>
      </c>
      <c r="I557" t="n">
        <v>0</v>
      </c>
      <c r="J557" t="n">
        <v>0</v>
      </c>
      <c r="K557" t="n">
        <v>0</v>
      </c>
      <c r="L557" t="n">
        <v>0</v>
      </c>
      <c r="M557" t="n">
        <v>0</v>
      </c>
      <c r="N557" t="n">
        <v>0</v>
      </c>
      <c r="O557" t="n">
        <v>0</v>
      </c>
      <c r="P557" t="n">
        <v>0</v>
      </c>
      <c r="Q557" t="n">
        <v>0</v>
      </c>
      <c r="R557" s="2" t="inlineStr"/>
    </row>
    <row r="558" ht="15" customHeight="1">
      <c r="A558" t="inlineStr">
        <is>
          <t>A 35386-2021</t>
        </is>
      </c>
      <c r="B558" s="1" t="n">
        <v>44385</v>
      </c>
      <c r="C558" s="1" t="n">
        <v>45712</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35988-2021</t>
        </is>
      </c>
      <c r="B559" s="1" t="n">
        <v>44385</v>
      </c>
      <c r="C559" s="1" t="n">
        <v>45712</v>
      </c>
      <c r="D559" t="inlineStr">
        <is>
          <t>JÄMTLANDS LÄN</t>
        </is>
      </c>
      <c r="E559" t="inlineStr">
        <is>
          <t>RAGUNDA</t>
        </is>
      </c>
      <c r="G559" t="n">
        <v>4.1</v>
      </c>
      <c r="H559" t="n">
        <v>0</v>
      </c>
      <c r="I559" t="n">
        <v>0</v>
      </c>
      <c r="J559" t="n">
        <v>0</v>
      </c>
      <c r="K559" t="n">
        <v>0</v>
      </c>
      <c r="L559" t="n">
        <v>0</v>
      </c>
      <c r="M559" t="n">
        <v>0</v>
      </c>
      <c r="N559" t="n">
        <v>0</v>
      </c>
      <c r="O559" t="n">
        <v>0</v>
      </c>
      <c r="P559" t="n">
        <v>0</v>
      </c>
      <c r="Q559" t="n">
        <v>0</v>
      </c>
      <c r="R559" s="2" t="inlineStr"/>
    </row>
    <row r="560" ht="15" customHeight="1">
      <c r="A560" t="inlineStr">
        <is>
          <t>A 36227-2021</t>
        </is>
      </c>
      <c r="B560" s="1" t="n">
        <v>44390</v>
      </c>
      <c r="C560" s="1" t="n">
        <v>45712</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36228-2021</t>
        </is>
      </c>
      <c r="B561" s="1" t="n">
        <v>44390</v>
      </c>
      <c r="C561" s="1" t="n">
        <v>45712</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36230-2021</t>
        </is>
      </c>
      <c r="B562" s="1" t="n">
        <v>44390</v>
      </c>
      <c r="C562" s="1" t="n">
        <v>45712</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37227-2021</t>
        </is>
      </c>
      <c r="B563" s="1" t="n">
        <v>44396</v>
      </c>
      <c r="C563" s="1" t="n">
        <v>45712</v>
      </c>
      <c r="D563" t="inlineStr">
        <is>
          <t>JÄMTLANDS LÄN</t>
        </is>
      </c>
      <c r="E563" t="inlineStr">
        <is>
          <t>RAGUNDA</t>
        </is>
      </c>
      <c r="G563" t="n">
        <v>10.1</v>
      </c>
      <c r="H563" t="n">
        <v>0</v>
      </c>
      <c r="I563" t="n">
        <v>0</v>
      </c>
      <c r="J563" t="n">
        <v>0</v>
      </c>
      <c r="K563" t="n">
        <v>0</v>
      </c>
      <c r="L563" t="n">
        <v>0</v>
      </c>
      <c r="M563" t="n">
        <v>0</v>
      </c>
      <c r="N563" t="n">
        <v>0</v>
      </c>
      <c r="O563" t="n">
        <v>0</v>
      </c>
      <c r="P563" t="n">
        <v>0</v>
      </c>
      <c r="Q563" t="n">
        <v>0</v>
      </c>
      <c r="R563" s="2" t="inlineStr"/>
    </row>
    <row r="564" ht="15" customHeight="1">
      <c r="A564" t="inlineStr">
        <is>
          <t>A 37806-2021</t>
        </is>
      </c>
      <c r="B564" s="1" t="n">
        <v>44402</v>
      </c>
      <c r="C564" s="1" t="n">
        <v>45712</v>
      </c>
      <c r="D564" t="inlineStr">
        <is>
          <t>JÄMTLANDS LÄN</t>
        </is>
      </c>
      <c r="E564" t="inlineStr">
        <is>
          <t>RAGUNDA</t>
        </is>
      </c>
      <c r="G564" t="n">
        <v>0.3</v>
      </c>
      <c r="H564" t="n">
        <v>0</v>
      </c>
      <c r="I564" t="n">
        <v>0</v>
      </c>
      <c r="J564" t="n">
        <v>0</v>
      </c>
      <c r="K564" t="n">
        <v>0</v>
      </c>
      <c r="L564" t="n">
        <v>0</v>
      </c>
      <c r="M564" t="n">
        <v>0</v>
      </c>
      <c r="N564" t="n">
        <v>0</v>
      </c>
      <c r="O564" t="n">
        <v>0</v>
      </c>
      <c r="P564" t="n">
        <v>0</v>
      </c>
      <c r="Q564" t="n">
        <v>0</v>
      </c>
      <c r="R564" s="2" t="inlineStr"/>
    </row>
    <row r="565" ht="15" customHeight="1">
      <c r="A565" t="inlineStr">
        <is>
          <t>A 38212-2021</t>
        </is>
      </c>
      <c r="B565" s="1" t="n">
        <v>44405</v>
      </c>
      <c r="C565" s="1" t="n">
        <v>45712</v>
      </c>
      <c r="D565" t="inlineStr">
        <is>
          <t>JÄMTLANDS LÄN</t>
        </is>
      </c>
      <c r="E565" t="inlineStr">
        <is>
          <t>RAGUNDA</t>
        </is>
      </c>
      <c r="G565" t="n">
        <v>5.5</v>
      </c>
      <c r="H565" t="n">
        <v>0</v>
      </c>
      <c r="I565" t="n">
        <v>0</v>
      </c>
      <c r="J565" t="n">
        <v>0</v>
      </c>
      <c r="K565" t="n">
        <v>0</v>
      </c>
      <c r="L565" t="n">
        <v>0</v>
      </c>
      <c r="M565" t="n">
        <v>0</v>
      </c>
      <c r="N565" t="n">
        <v>0</v>
      </c>
      <c r="O565" t="n">
        <v>0</v>
      </c>
      <c r="P565" t="n">
        <v>0</v>
      </c>
      <c r="Q565" t="n">
        <v>0</v>
      </c>
      <c r="R565" s="2" t="inlineStr"/>
    </row>
    <row r="566" ht="15" customHeight="1">
      <c r="A566" t="inlineStr">
        <is>
          <t>A 38270-2021</t>
        </is>
      </c>
      <c r="B566" s="1" t="n">
        <v>44406</v>
      </c>
      <c r="C566" s="1" t="n">
        <v>45712</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38269-2021</t>
        </is>
      </c>
      <c r="B567" s="1" t="n">
        <v>44406</v>
      </c>
      <c r="C567" s="1" t="n">
        <v>45712</v>
      </c>
      <c r="D567" t="inlineStr">
        <is>
          <t>JÄMTLANDS LÄN</t>
        </is>
      </c>
      <c r="E567" t="inlineStr">
        <is>
          <t>RAGUNDA</t>
        </is>
      </c>
      <c r="G567" t="n">
        <v>2</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45712</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39258-2021</t>
        </is>
      </c>
      <c r="B569" s="1" t="n">
        <v>44413</v>
      </c>
      <c r="C569" s="1" t="n">
        <v>45712</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40213-2021</t>
        </is>
      </c>
      <c r="B570" s="1" t="n">
        <v>44419</v>
      </c>
      <c r="C570" s="1" t="n">
        <v>45712</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40770-2021</t>
        </is>
      </c>
      <c r="B571" s="1" t="n">
        <v>44421</v>
      </c>
      <c r="C571" s="1" t="n">
        <v>45712</v>
      </c>
      <c r="D571" t="inlineStr">
        <is>
          <t>JÄMTLANDS LÄN</t>
        </is>
      </c>
      <c r="E571" t="inlineStr">
        <is>
          <t>RAGUNDA</t>
        </is>
      </c>
      <c r="F571" t="inlineStr">
        <is>
          <t>SCA</t>
        </is>
      </c>
      <c r="G571" t="n">
        <v>6.8</v>
      </c>
      <c r="H571" t="n">
        <v>0</v>
      </c>
      <c r="I571" t="n">
        <v>0</v>
      </c>
      <c r="J571" t="n">
        <v>0</v>
      </c>
      <c r="K571" t="n">
        <v>0</v>
      </c>
      <c r="L571" t="n">
        <v>0</v>
      </c>
      <c r="M571" t="n">
        <v>0</v>
      </c>
      <c r="N571" t="n">
        <v>0</v>
      </c>
      <c r="O571" t="n">
        <v>0</v>
      </c>
      <c r="P571" t="n">
        <v>0</v>
      </c>
      <c r="Q571" t="n">
        <v>0</v>
      </c>
      <c r="R571" s="2" t="inlineStr"/>
    </row>
    <row r="572" ht="15" customHeight="1">
      <c r="A572" t="inlineStr">
        <is>
          <t>A 41062-2021</t>
        </is>
      </c>
      <c r="B572" s="1" t="n">
        <v>44422</v>
      </c>
      <c r="C572" s="1" t="n">
        <v>45712</v>
      </c>
      <c r="D572" t="inlineStr">
        <is>
          <t>JÄMTLANDS LÄN</t>
        </is>
      </c>
      <c r="E572" t="inlineStr">
        <is>
          <t>RAGUNDA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41262-2021</t>
        </is>
      </c>
      <c r="B573" s="1" t="n">
        <v>44424</v>
      </c>
      <c r="C573" s="1" t="n">
        <v>45712</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41613-2021</t>
        </is>
      </c>
      <c r="B574" s="1" t="n">
        <v>44425</v>
      </c>
      <c r="C574" s="1" t="n">
        <v>45712</v>
      </c>
      <c r="D574" t="inlineStr">
        <is>
          <t>JÄMTLANDS LÄN</t>
        </is>
      </c>
      <c r="E574" t="inlineStr">
        <is>
          <t>RAGUNDA</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41609-2021</t>
        </is>
      </c>
      <c r="B575" s="1" t="n">
        <v>44425</v>
      </c>
      <c r="C575" s="1" t="n">
        <v>45712</v>
      </c>
      <c r="D575" t="inlineStr">
        <is>
          <t>JÄMTLANDS LÄN</t>
        </is>
      </c>
      <c r="E575" t="inlineStr">
        <is>
          <t>RAGUNDA</t>
        </is>
      </c>
      <c r="F575" t="inlineStr">
        <is>
          <t>Kommuner</t>
        </is>
      </c>
      <c r="G575" t="n">
        <v>2.8</v>
      </c>
      <c r="H575" t="n">
        <v>0</v>
      </c>
      <c r="I575" t="n">
        <v>0</v>
      </c>
      <c r="J575" t="n">
        <v>0</v>
      </c>
      <c r="K575" t="n">
        <v>0</v>
      </c>
      <c r="L575" t="n">
        <v>0</v>
      </c>
      <c r="M575" t="n">
        <v>0</v>
      </c>
      <c r="N575" t="n">
        <v>0</v>
      </c>
      <c r="O575" t="n">
        <v>0</v>
      </c>
      <c r="P575" t="n">
        <v>0</v>
      </c>
      <c r="Q575" t="n">
        <v>0</v>
      </c>
      <c r="R575" s="2" t="inlineStr"/>
    </row>
    <row r="576" ht="15" customHeight="1">
      <c r="A576" t="inlineStr">
        <is>
          <t>A 41606-2021</t>
        </is>
      </c>
      <c r="B576" s="1" t="n">
        <v>44425</v>
      </c>
      <c r="C576" s="1" t="n">
        <v>45712</v>
      </c>
      <c r="D576" t="inlineStr">
        <is>
          <t>JÄMTLANDS LÄN</t>
        </is>
      </c>
      <c r="E576" t="inlineStr">
        <is>
          <t>RAGUNDA</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42260-2021</t>
        </is>
      </c>
      <c r="B577" s="1" t="n">
        <v>44427</v>
      </c>
      <c r="C577" s="1" t="n">
        <v>45712</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42537-2021</t>
        </is>
      </c>
      <c r="B578" s="1" t="n">
        <v>44428</v>
      </c>
      <c r="C578" s="1" t="n">
        <v>45712</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43040-2021</t>
        </is>
      </c>
      <c r="B579" s="1" t="n">
        <v>44431</v>
      </c>
      <c r="C579" s="1" t="n">
        <v>45712</v>
      </c>
      <c r="D579" t="inlineStr">
        <is>
          <t>JÄMTLANDS LÄN</t>
        </is>
      </c>
      <c r="E579" t="inlineStr">
        <is>
          <t>RAGUNDA</t>
        </is>
      </c>
      <c r="G579" t="n">
        <v>4.9</v>
      </c>
      <c r="H579" t="n">
        <v>0</v>
      </c>
      <c r="I579" t="n">
        <v>0</v>
      </c>
      <c r="J579" t="n">
        <v>0</v>
      </c>
      <c r="K579" t="n">
        <v>0</v>
      </c>
      <c r="L579" t="n">
        <v>0</v>
      </c>
      <c r="M579" t="n">
        <v>0</v>
      </c>
      <c r="N579" t="n">
        <v>0</v>
      </c>
      <c r="O579" t="n">
        <v>0</v>
      </c>
      <c r="P579" t="n">
        <v>0</v>
      </c>
      <c r="Q579" t="n">
        <v>0</v>
      </c>
      <c r="R579" s="2" t="inlineStr"/>
    </row>
    <row r="580" ht="15" customHeight="1">
      <c r="A580" t="inlineStr">
        <is>
          <t>A 44163-2021</t>
        </is>
      </c>
      <c r="B580" s="1" t="n">
        <v>44434</v>
      </c>
      <c r="C580" s="1" t="n">
        <v>45712</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44241-2021</t>
        </is>
      </c>
      <c r="B581" s="1" t="n">
        <v>44435</v>
      </c>
      <c r="C581" s="1" t="n">
        <v>45712</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44247-2021</t>
        </is>
      </c>
      <c r="B582" s="1" t="n">
        <v>44435</v>
      </c>
      <c r="C582" s="1" t="n">
        <v>45712</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46228-2021</t>
        </is>
      </c>
      <c r="B583" s="1" t="n">
        <v>44441</v>
      </c>
      <c r="C583" s="1" t="n">
        <v>45712</v>
      </c>
      <c r="D583" t="inlineStr">
        <is>
          <t>JÄMTLANDS LÄN</t>
        </is>
      </c>
      <c r="E583" t="inlineStr">
        <is>
          <t>RAGUNDA</t>
        </is>
      </c>
      <c r="G583" t="n">
        <v>0.8</v>
      </c>
      <c r="H583" t="n">
        <v>0</v>
      </c>
      <c r="I583" t="n">
        <v>0</v>
      </c>
      <c r="J583" t="n">
        <v>0</v>
      </c>
      <c r="K583" t="n">
        <v>0</v>
      </c>
      <c r="L583" t="n">
        <v>0</v>
      </c>
      <c r="M583" t="n">
        <v>0</v>
      </c>
      <c r="N583" t="n">
        <v>0</v>
      </c>
      <c r="O583" t="n">
        <v>0</v>
      </c>
      <c r="P583" t="n">
        <v>0</v>
      </c>
      <c r="Q583" t="n">
        <v>0</v>
      </c>
      <c r="R583" s="2" t="inlineStr"/>
    </row>
    <row r="584" ht="15" customHeight="1">
      <c r="A584" t="inlineStr">
        <is>
          <t>A 46368-2021</t>
        </is>
      </c>
      <c r="B584" s="1" t="n">
        <v>44443</v>
      </c>
      <c r="C584" s="1" t="n">
        <v>45712</v>
      </c>
      <c r="D584" t="inlineStr">
        <is>
          <t>JÄMTLANDS LÄN</t>
        </is>
      </c>
      <c r="E584" t="inlineStr">
        <is>
          <t>RAGUNDA</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46401-2021</t>
        </is>
      </c>
      <c r="B585" s="1" t="n">
        <v>44443</v>
      </c>
      <c r="C585" s="1" t="n">
        <v>45712</v>
      </c>
      <c r="D585" t="inlineStr">
        <is>
          <t>JÄMTLANDS LÄN</t>
        </is>
      </c>
      <c r="E585" t="inlineStr">
        <is>
          <t>RAGUNDA</t>
        </is>
      </c>
      <c r="G585" t="n">
        <v>7</v>
      </c>
      <c r="H585" t="n">
        <v>0</v>
      </c>
      <c r="I585" t="n">
        <v>0</v>
      </c>
      <c r="J585" t="n">
        <v>0</v>
      </c>
      <c r="K585" t="n">
        <v>0</v>
      </c>
      <c r="L585" t="n">
        <v>0</v>
      </c>
      <c r="M585" t="n">
        <v>0</v>
      </c>
      <c r="N585" t="n">
        <v>0</v>
      </c>
      <c r="O585" t="n">
        <v>0</v>
      </c>
      <c r="P585" t="n">
        <v>0</v>
      </c>
      <c r="Q585" t="n">
        <v>0</v>
      </c>
      <c r="R585" s="2" t="inlineStr"/>
    </row>
    <row r="586" ht="15" customHeight="1">
      <c r="A586" t="inlineStr">
        <is>
          <t>A 47548-2021</t>
        </is>
      </c>
      <c r="B586" s="1" t="n">
        <v>44448</v>
      </c>
      <c r="C586" s="1" t="n">
        <v>45712</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47546-2021</t>
        </is>
      </c>
      <c r="B587" s="1" t="n">
        <v>44448</v>
      </c>
      <c r="C587" s="1" t="n">
        <v>45712</v>
      </c>
      <c r="D587" t="inlineStr">
        <is>
          <t>JÄMTLANDS LÄN</t>
        </is>
      </c>
      <c r="E587" t="inlineStr">
        <is>
          <t>RAGUNDA</t>
        </is>
      </c>
      <c r="G587" t="n">
        <v>0.4</v>
      </c>
      <c r="H587" t="n">
        <v>0</v>
      </c>
      <c r="I587" t="n">
        <v>0</v>
      </c>
      <c r="J587" t="n">
        <v>0</v>
      </c>
      <c r="K587" t="n">
        <v>0</v>
      </c>
      <c r="L587" t="n">
        <v>0</v>
      </c>
      <c r="M587" t="n">
        <v>0</v>
      </c>
      <c r="N587" t="n">
        <v>0</v>
      </c>
      <c r="O587" t="n">
        <v>0</v>
      </c>
      <c r="P587" t="n">
        <v>0</v>
      </c>
      <c r="Q587" t="n">
        <v>0</v>
      </c>
      <c r="R587" s="2" t="inlineStr"/>
    </row>
    <row r="588" ht="15" customHeight="1">
      <c r="A588" t="inlineStr">
        <is>
          <t>A 47996-2021</t>
        </is>
      </c>
      <c r="B588" s="1" t="n">
        <v>44448</v>
      </c>
      <c r="C588" s="1" t="n">
        <v>45712</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48832-2021</t>
        </is>
      </c>
      <c r="B589" s="1" t="n">
        <v>44452</v>
      </c>
      <c r="C589" s="1" t="n">
        <v>45712</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49202-2021</t>
        </is>
      </c>
      <c r="B590" s="1" t="n">
        <v>44453</v>
      </c>
      <c r="C590" s="1" t="n">
        <v>45712</v>
      </c>
      <c r="D590" t="inlineStr">
        <is>
          <t>JÄMTLANDS LÄN</t>
        </is>
      </c>
      <c r="E590" t="inlineStr">
        <is>
          <t>RAGUNDA</t>
        </is>
      </c>
      <c r="G590" t="n">
        <v>23.4</v>
      </c>
      <c r="H590" t="n">
        <v>0</v>
      </c>
      <c r="I590" t="n">
        <v>0</v>
      </c>
      <c r="J590" t="n">
        <v>0</v>
      </c>
      <c r="K590" t="n">
        <v>0</v>
      </c>
      <c r="L590" t="n">
        <v>0</v>
      </c>
      <c r="M590" t="n">
        <v>0</v>
      </c>
      <c r="N590" t="n">
        <v>0</v>
      </c>
      <c r="O590" t="n">
        <v>0</v>
      </c>
      <c r="P590" t="n">
        <v>0</v>
      </c>
      <c r="Q590" t="n">
        <v>0</v>
      </c>
      <c r="R590" s="2" t="inlineStr"/>
    </row>
    <row r="591" ht="15" customHeight="1">
      <c r="A591" t="inlineStr">
        <is>
          <t>A 50168-2021</t>
        </is>
      </c>
      <c r="B591" s="1" t="n">
        <v>44457</v>
      </c>
      <c r="C591" s="1" t="n">
        <v>45712</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52334-2021</t>
        </is>
      </c>
      <c r="B592" s="1" t="n">
        <v>44464</v>
      </c>
      <c r="C592" s="1" t="n">
        <v>45712</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52333-2021</t>
        </is>
      </c>
      <c r="B593" s="1" t="n">
        <v>44464</v>
      </c>
      <c r="C593" s="1" t="n">
        <v>45712</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55701-2021</t>
        </is>
      </c>
      <c r="B594" s="1" t="n">
        <v>44475</v>
      </c>
      <c r="C594" s="1" t="n">
        <v>45712</v>
      </c>
      <c r="D594" t="inlineStr">
        <is>
          <t>JÄMTLANDS LÄN</t>
        </is>
      </c>
      <c r="E594" t="inlineStr">
        <is>
          <t>RAGUNDA</t>
        </is>
      </c>
      <c r="G594" t="n">
        <v>5.6</v>
      </c>
      <c r="H594" t="n">
        <v>0</v>
      </c>
      <c r="I594" t="n">
        <v>0</v>
      </c>
      <c r="J594" t="n">
        <v>0</v>
      </c>
      <c r="K594" t="n">
        <v>0</v>
      </c>
      <c r="L594" t="n">
        <v>0</v>
      </c>
      <c r="M594" t="n">
        <v>0</v>
      </c>
      <c r="N594" t="n">
        <v>0</v>
      </c>
      <c r="O594" t="n">
        <v>0</v>
      </c>
      <c r="P594" t="n">
        <v>0</v>
      </c>
      <c r="Q594" t="n">
        <v>0</v>
      </c>
      <c r="R594" s="2" t="inlineStr"/>
    </row>
    <row r="595" ht="15" customHeight="1">
      <c r="A595" t="inlineStr">
        <is>
          <t>A 55932-2021</t>
        </is>
      </c>
      <c r="B595" s="1" t="n">
        <v>44476</v>
      </c>
      <c r="C595" s="1" t="n">
        <v>45712</v>
      </c>
      <c r="D595" t="inlineStr">
        <is>
          <t>JÄMTLANDS LÄN</t>
        </is>
      </c>
      <c r="E595" t="inlineStr">
        <is>
          <t>RAGUNDA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56055-2021</t>
        </is>
      </c>
      <c r="B596" s="1" t="n">
        <v>44477</v>
      </c>
      <c r="C596" s="1" t="n">
        <v>45712</v>
      </c>
      <c r="D596" t="inlineStr">
        <is>
          <t>JÄMTLANDS LÄN</t>
        </is>
      </c>
      <c r="E596" t="inlineStr">
        <is>
          <t>RAGUNDA</t>
        </is>
      </c>
      <c r="G596" t="n">
        <v>3.9</v>
      </c>
      <c r="H596" t="n">
        <v>0</v>
      </c>
      <c r="I596" t="n">
        <v>0</v>
      </c>
      <c r="J596" t="n">
        <v>0</v>
      </c>
      <c r="K596" t="n">
        <v>0</v>
      </c>
      <c r="L596" t="n">
        <v>0</v>
      </c>
      <c r="M596" t="n">
        <v>0</v>
      </c>
      <c r="N596" t="n">
        <v>0</v>
      </c>
      <c r="O596" t="n">
        <v>0</v>
      </c>
      <c r="P596" t="n">
        <v>0</v>
      </c>
      <c r="Q596" t="n">
        <v>0</v>
      </c>
      <c r="R596" s="2" t="inlineStr"/>
    </row>
    <row r="597" ht="15" customHeight="1">
      <c r="A597" t="inlineStr">
        <is>
          <t>A 56594-2021</t>
        </is>
      </c>
      <c r="B597" s="1" t="n">
        <v>44480</v>
      </c>
      <c r="C597" s="1" t="n">
        <v>45712</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57194-2021</t>
        </is>
      </c>
      <c r="B598" s="1" t="n">
        <v>44483</v>
      </c>
      <c r="C598" s="1" t="n">
        <v>45712</v>
      </c>
      <c r="D598" t="inlineStr">
        <is>
          <t>JÄMTLANDS LÄN</t>
        </is>
      </c>
      <c r="E598" t="inlineStr">
        <is>
          <t>RAGUNDA</t>
        </is>
      </c>
      <c r="G598" t="n">
        <v>7.3</v>
      </c>
      <c r="H598" t="n">
        <v>0</v>
      </c>
      <c r="I598" t="n">
        <v>0</v>
      </c>
      <c r="J598" t="n">
        <v>0</v>
      </c>
      <c r="K598" t="n">
        <v>0</v>
      </c>
      <c r="L598" t="n">
        <v>0</v>
      </c>
      <c r="M598" t="n">
        <v>0</v>
      </c>
      <c r="N598" t="n">
        <v>0</v>
      </c>
      <c r="O598" t="n">
        <v>0</v>
      </c>
      <c r="P598" t="n">
        <v>0</v>
      </c>
      <c r="Q598" t="n">
        <v>0</v>
      </c>
      <c r="R598" s="2" t="inlineStr"/>
    </row>
    <row r="599" ht="15" customHeight="1">
      <c r="A599" t="inlineStr">
        <is>
          <t>A 58960-2021</t>
        </is>
      </c>
      <c r="B599" s="1" t="n">
        <v>44490</v>
      </c>
      <c r="C599" s="1" t="n">
        <v>45712</v>
      </c>
      <c r="D599" t="inlineStr">
        <is>
          <t>JÄMTLANDS LÄN</t>
        </is>
      </c>
      <c r="E599" t="inlineStr">
        <is>
          <t>RAGUNDA</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58984-2021</t>
        </is>
      </c>
      <c r="B600" s="1" t="n">
        <v>44490</v>
      </c>
      <c r="C600" s="1" t="n">
        <v>45712</v>
      </c>
      <c r="D600" t="inlineStr">
        <is>
          <t>JÄMTLANDS LÄN</t>
        </is>
      </c>
      <c r="E600" t="inlineStr">
        <is>
          <t>RAGUNDA</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59321-2021</t>
        </is>
      </c>
      <c r="B601" s="1" t="n">
        <v>44491</v>
      </c>
      <c r="C601" s="1" t="n">
        <v>45712</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59996-2021</t>
        </is>
      </c>
      <c r="B602" s="1" t="n">
        <v>44495</v>
      </c>
      <c r="C602" s="1" t="n">
        <v>45712</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60313-2021</t>
        </is>
      </c>
      <c r="B603" s="1" t="n">
        <v>44495</v>
      </c>
      <c r="C603" s="1" t="n">
        <v>45712</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60312-2021</t>
        </is>
      </c>
      <c r="B604" s="1" t="n">
        <v>44496</v>
      </c>
      <c r="C604" s="1" t="n">
        <v>45712</v>
      </c>
      <c r="D604" t="inlineStr">
        <is>
          <t>JÄMTLANDS LÄN</t>
        </is>
      </c>
      <c r="E604" t="inlineStr">
        <is>
          <t>RAGUNDA</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60957-2021</t>
        </is>
      </c>
      <c r="B605" s="1" t="n">
        <v>44496</v>
      </c>
      <c r="C605" s="1" t="n">
        <v>45712</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61442-2021</t>
        </is>
      </c>
      <c r="B606" s="1" t="n">
        <v>44500</v>
      </c>
      <c r="C606" s="1" t="n">
        <v>45712</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62956-2021</t>
        </is>
      </c>
      <c r="B607" s="1" t="n">
        <v>44504</v>
      </c>
      <c r="C607" s="1" t="n">
        <v>45712</v>
      </c>
      <c r="D607" t="inlineStr">
        <is>
          <t>JÄMTLANDS LÄN</t>
        </is>
      </c>
      <c r="E607" t="inlineStr">
        <is>
          <t>RAGUNDA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63169-2021</t>
        </is>
      </c>
      <c r="B608" s="1" t="n">
        <v>44505</v>
      </c>
      <c r="C608" s="1" t="n">
        <v>45712</v>
      </c>
      <c r="D608" t="inlineStr">
        <is>
          <t>JÄMTLANDS LÄN</t>
        </is>
      </c>
      <c r="E608" t="inlineStr">
        <is>
          <t>RAGUNDA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63168-2021</t>
        </is>
      </c>
      <c r="B609" s="1" t="n">
        <v>44505</v>
      </c>
      <c r="C609" s="1" t="n">
        <v>45712</v>
      </c>
      <c r="D609" t="inlineStr">
        <is>
          <t>JÄMTLANDS LÄN</t>
        </is>
      </c>
      <c r="E609" t="inlineStr">
        <is>
          <t>RAGUNDA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64511-2021</t>
        </is>
      </c>
      <c r="B610" s="1" t="n">
        <v>44511</v>
      </c>
      <c r="C610" s="1" t="n">
        <v>45712</v>
      </c>
      <c r="D610" t="inlineStr">
        <is>
          <t>JÄMTLANDS LÄN</t>
        </is>
      </c>
      <c r="E610" t="inlineStr">
        <is>
          <t>RAGUNDA</t>
        </is>
      </c>
      <c r="G610" t="n">
        <v>19.4</v>
      </c>
      <c r="H610" t="n">
        <v>0</v>
      </c>
      <c r="I610" t="n">
        <v>0</v>
      </c>
      <c r="J610" t="n">
        <v>0</v>
      </c>
      <c r="K610" t="n">
        <v>0</v>
      </c>
      <c r="L610" t="n">
        <v>0</v>
      </c>
      <c r="M610" t="n">
        <v>0</v>
      </c>
      <c r="N610" t="n">
        <v>0</v>
      </c>
      <c r="O610" t="n">
        <v>0</v>
      </c>
      <c r="P610" t="n">
        <v>0</v>
      </c>
      <c r="Q610" t="n">
        <v>0</v>
      </c>
      <c r="R610" s="2" t="inlineStr"/>
    </row>
    <row r="611" ht="15" customHeight="1">
      <c r="A611" t="inlineStr">
        <is>
          <t>A 64629-2021</t>
        </is>
      </c>
      <c r="B611" s="1" t="n">
        <v>44511</v>
      </c>
      <c r="C611" s="1" t="n">
        <v>45712</v>
      </c>
      <c r="D611" t="inlineStr">
        <is>
          <t>JÄMTLANDS LÄN</t>
        </is>
      </c>
      <c r="E611" t="inlineStr">
        <is>
          <t>RAGUNDA</t>
        </is>
      </c>
      <c r="G611" t="n">
        <v>1.6</v>
      </c>
      <c r="H611" t="n">
        <v>0</v>
      </c>
      <c r="I611" t="n">
        <v>0</v>
      </c>
      <c r="J611" t="n">
        <v>0</v>
      </c>
      <c r="K611" t="n">
        <v>0</v>
      </c>
      <c r="L611" t="n">
        <v>0</v>
      </c>
      <c r="M611" t="n">
        <v>0</v>
      </c>
      <c r="N611" t="n">
        <v>0</v>
      </c>
      <c r="O611" t="n">
        <v>0</v>
      </c>
      <c r="P611" t="n">
        <v>0</v>
      </c>
      <c r="Q611" t="n">
        <v>0</v>
      </c>
      <c r="R611" s="2" t="inlineStr"/>
    </row>
    <row r="612" ht="15" customHeight="1">
      <c r="A612" t="inlineStr">
        <is>
          <t>A 64959-2021</t>
        </is>
      </c>
      <c r="B612" s="1" t="n">
        <v>44512</v>
      </c>
      <c r="C612" s="1" t="n">
        <v>45712</v>
      </c>
      <c r="D612" t="inlineStr">
        <is>
          <t>JÄMTLANDS LÄN</t>
        </is>
      </c>
      <c r="E612" t="inlineStr">
        <is>
          <t>RAGUNDA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65017-2021</t>
        </is>
      </c>
      <c r="B613" s="1" t="n">
        <v>44512</v>
      </c>
      <c r="C613" s="1" t="n">
        <v>45712</v>
      </c>
      <c r="D613" t="inlineStr">
        <is>
          <t>JÄMTLANDS LÄN</t>
        </is>
      </c>
      <c r="E613" t="inlineStr">
        <is>
          <t>RAGUNDA</t>
        </is>
      </c>
      <c r="G613" t="n">
        <v>2.3</v>
      </c>
      <c r="H613" t="n">
        <v>0</v>
      </c>
      <c r="I613" t="n">
        <v>0</v>
      </c>
      <c r="J613" t="n">
        <v>0</v>
      </c>
      <c r="K613" t="n">
        <v>0</v>
      </c>
      <c r="L613" t="n">
        <v>0</v>
      </c>
      <c r="M613" t="n">
        <v>0</v>
      </c>
      <c r="N613" t="n">
        <v>0</v>
      </c>
      <c r="O613" t="n">
        <v>0</v>
      </c>
      <c r="P613" t="n">
        <v>0</v>
      </c>
      <c r="Q613" t="n">
        <v>0</v>
      </c>
      <c r="R613" s="2" t="inlineStr"/>
    </row>
    <row r="614" ht="15" customHeight="1">
      <c r="A614" t="inlineStr">
        <is>
          <t>A 65424-2021</t>
        </is>
      </c>
      <c r="B614" s="1" t="n">
        <v>44515</v>
      </c>
      <c r="C614" s="1" t="n">
        <v>45712</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66147-2021</t>
        </is>
      </c>
      <c r="B615" s="1" t="n">
        <v>44517</v>
      </c>
      <c r="C615" s="1" t="n">
        <v>45712</v>
      </c>
      <c r="D615" t="inlineStr">
        <is>
          <t>JÄMTLANDS LÄN</t>
        </is>
      </c>
      <c r="E615" t="inlineStr">
        <is>
          <t>RAGUNDA</t>
        </is>
      </c>
      <c r="G615" t="n">
        <v>1.2</v>
      </c>
      <c r="H615" t="n">
        <v>0</v>
      </c>
      <c r="I615" t="n">
        <v>0</v>
      </c>
      <c r="J615" t="n">
        <v>0</v>
      </c>
      <c r="K615" t="n">
        <v>0</v>
      </c>
      <c r="L615" t="n">
        <v>0</v>
      </c>
      <c r="M615" t="n">
        <v>0</v>
      </c>
      <c r="N615" t="n">
        <v>0</v>
      </c>
      <c r="O615" t="n">
        <v>0</v>
      </c>
      <c r="P615" t="n">
        <v>0</v>
      </c>
      <c r="Q615" t="n">
        <v>0</v>
      </c>
      <c r="R615" s="2" t="inlineStr"/>
    </row>
    <row r="616" ht="15" customHeight="1">
      <c r="A616" t="inlineStr">
        <is>
          <t>A 66059-2021</t>
        </is>
      </c>
      <c r="B616" s="1" t="n">
        <v>44517</v>
      </c>
      <c r="C616" s="1" t="n">
        <v>45712</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66472-2021</t>
        </is>
      </c>
      <c r="B617" s="1" t="n">
        <v>44518</v>
      </c>
      <c r="C617" s="1" t="n">
        <v>45712</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45712</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66489-2021</t>
        </is>
      </c>
      <c r="B619" s="1" t="n">
        <v>44518</v>
      </c>
      <c r="C619" s="1" t="n">
        <v>45712</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66707-2021</t>
        </is>
      </c>
      <c r="B620" s="1" t="n">
        <v>44519</v>
      </c>
      <c r="C620" s="1" t="n">
        <v>45712</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66706-2021</t>
        </is>
      </c>
      <c r="B621" s="1" t="n">
        <v>44519</v>
      </c>
      <c r="C621" s="1" t="n">
        <v>45712</v>
      </c>
      <c r="D621" t="inlineStr">
        <is>
          <t>JÄMTLANDS LÄN</t>
        </is>
      </c>
      <c r="E621" t="inlineStr">
        <is>
          <t>RAGUNDA</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66715-2021</t>
        </is>
      </c>
      <c r="B622" s="1" t="n">
        <v>44519</v>
      </c>
      <c r="C622" s="1" t="n">
        <v>45712</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69164-2021</t>
        </is>
      </c>
      <c r="B623" s="1" t="n">
        <v>44530</v>
      </c>
      <c r="C623" s="1" t="n">
        <v>45712</v>
      </c>
      <c r="D623" t="inlineStr">
        <is>
          <t>JÄMTLANDS LÄN</t>
        </is>
      </c>
      <c r="E623" t="inlineStr">
        <is>
          <t>RAGUNDA</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69316-2021</t>
        </is>
      </c>
      <c r="B624" s="1" t="n">
        <v>44530</v>
      </c>
      <c r="C624" s="1" t="n">
        <v>45712</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69153-2021</t>
        </is>
      </c>
      <c r="B625" s="1" t="n">
        <v>44530</v>
      </c>
      <c r="C625" s="1" t="n">
        <v>45712</v>
      </c>
      <c r="D625" t="inlineStr">
        <is>
          <t>JÄMTLANDS LÄN</t>
        </is>
      </c>
      <c r="E625" t="inlineStr">
        <is>
          <t>RAGUNDA</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70609-2021</t>
        </is>
      </c>
      <c r="B626" s="1" t="n">
        <v>44537</v>
      </c>
      <c r="C626" s="1" t="n">
        <v>45712</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71209-2021</t>
        </is>
      </c>
      <c r="B627" s="1" t="n">
        <v>44538</v>
      </c>
      <c r="C627" s="1" t="n">
        <v>45712</v>
      </c>
      <c r="D627" t="inlineStr">
        <is>
          <t>JÄMTLANDS LÄN</t>
        </is>
      </c>
      <c r="E627" t="inlineStr">
        <is>
          <t>RAGUNDA</t>
        </is>
      </c>
      <c r="G627" t="n">
        <v>8</v>
      </c>
      <c r="H627" t="n">
        <v>0</v>
      </c>
      <c r="I627" t="n">
        <v>0</v>
      </c>
      <c r="J627" t="n">
        <v>0</v>
      </c>
      <c r="K627" t="n">
        <v>0</v>
      </c>
      <c r="L627" t="n">
        <v>0</v>
      </c>
      <c r="M627" t="n">
        <v>0</v>
      </c>
      <c r="N627" t="n">
        <v>0</v>
      </c>
      <c r="O627" t="n">
        <v>0</v>
      </c>
      <c r="P627" t="n">
        <v>0</v>
      </c>
      <c r="Q627" t="n">
        <v>0</v>
      </c>
      <c r="R627" s="2" t="inlineStr"/>
    </row>
    <row r="628" ht="15" customHeight="1">
      <c r="A628" t="inlineStr">
        <is>
          <t>A 73278-2021</t>
        </is>
      </c>
      <c r="B628" s="1" t="n">
        <v>44550</v>
      </c>
      <c r="C628" s="1" t="n">
        <v>45712</v>
      </c>
      <c r="D628" t="inlineStr">
        <is>
          <t>JÄMTLANDS LÄN</t>
        </is>
      </c>
      <c r="E628" t="inlineStr">
        <is>
          <t>RAGUNDA</t>
        </is>
      </c>
      <c r="G628" t="n">
        <v>4.4</v>
      </c>
      <c r="H628" t="n">
        <v>0</v>
      </c>
      <c r="I628" t="n">
        <v>0</v>
      </c>
      <c r="J628" t="n">
        <v>0</v>
      </c>
      <c r="K628" t="n">
        <v>0</v>
      </c>
      <c r="L628" t="n">
        <v>0</v>
      </c>
      <c r="M628" t="n">
        <v>0</v>
      </c>
      <c r="N628" t="n">
        <v>0</v>
      </c>
      <c r="O628" t="n">
        <v>0</v>
      </c>
      <c r="P628" t="n">
        <v>0</v>
      </c>
      <c r="Q628" t="n">
        <v>0</v>
      </c>
      <c r="R628" s="2" t="inlineStr"/>
    </row>
    <row r="629" ht="15" customHeight="1">
      <c r="A629" t="inlineStr">
        <is>
          <t>A 891-2022</t>
        </is>
      </c>
      <c r="B629" s="1" t="n">
        <v>44571</v>
      </c>
      <c r="C629" s="1" t="n">
        <v>45712</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1540-2022</t>
        </is>
      </c>
      <c r="B630" s="1" t="n">
        <v>44573</v>
      </c>
      <c r="C630" s="1" t="n">
        <v>45712</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1782-2022</t>
        </is>
      </c>
      <c r="B631" s="1" t="n">
        <v>44574</v>
      </c>
      <c r="C631" s="1" t="n">
        <v>45712</v>
      </c>
      <c r="D631" t="inlineStr">
        <is>
          <t>JÄMTLANDS LÄN</t>
        </is>
      </c>
      <c r="E631" t="inlineStr">
        <is>
          <t>RAGUNDA</t>
        </is>
      </c>
      <c r="G631" t="n">
        <v>3.7</v>
      </c>
      <c r="H631" t="n">
        <v>0</v>
      </c>
      <c r="I631" t="n">
        <v>0</v>
      </c>
      <c r="J631" t="n">
        <v>0</v>
      </c>
      <c r="K631" t="n">
        <v>0</v>
      </c>
      <c r="L631" t="n">
        <v>0</v>
      </c>
      <c r="M631" t="n">
        <v>0</v>
      </c>
      <c r="N631" t="n">
        <v>0</v>
      </c>
      <c r="O631" t="n">
        <v>0</v>
      </c>
      <c r="P631" t="n">
        <v>0</v>
      </c>
      <c r="Q631" t="n">
        <v>0</v>
      </c>
      <c r="R631" s="2" t="inlineStr"/>
    </row>
    <row r="632" ht="15" customHeight="1">
      <c r="A632" t="inlineStr">
        <is>
          <t>A 1858-2022</t>
        </is>
      </c>
      <c r="B632" s="1" t="n">
        <v>44574</v>
      </c>
      <c r="C632" s="1" t="n">
        <v>45712</v>
      </c>
      <c r="D632" t="inlineStr">
        <is>
          <t>JÄMTLANDS LÄN</t>
        </is>
      </c>
      <c r="E632" t="inlineStr">
        <is>
          <t>RAGUNDA</t>
        </is>
      </c>
      <c r="G632" t="n">
        <v>5.7</v>
      </c>
      <c r="H632" t="n">
        <v>0</v>
      </c>
      <c r="I632" t="n">
        <v>0</v>
      </c>
      <c r="J632" t="n">
        <v>0</v>
      </c>
      <c r="K632" t="n">
        <v>0</v>
      </c>
      <c r="L632" t="n">
        <v>0</v>
      </c>
      <c r="M632" t="n">
        <v>0</v>
      </c>
      <c r="N632" t="n">
        <v>0</v>
      </c>
      <c r="O632" t="n">
        <v>0</v>
      </c>
      <c r="P632" t="n">
        <v>0</v>
      </c>
      <c r="Q632" t="n">
        <v>0</v>
      </c>
      <c r="R632" s="2" t="inlineStr"/>
    </row>
    <row r="633" ht="15" customHeight="1">
      <c r="A633" t="inlineStr">
        <is>
          <t>A 2336-2022</t>
        </is>
      </c>
      <c r="B633" s="1" t="n">
        <v>44578</v>
      </c>
      <c r="C633" s="1" t="n">
        <v>45712</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2337-2022</t>
        </is>
      </c>
      <c r="B634" s="1" t="n">
        <v>44578</v>
      </c>
      <c r="C634" s="1" t="n">
        <v>45712</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2338-2022</t>
        </is>
      </c>
      <c r="B635" s="1" t="n">
        <v>44578</v>
      </c>
      <c r="C635" s="1" t="n">
        <v>45712</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2494-2022</t>
        </is>
      </c>
      <c r="B636" s="1" t="n">
        <v>44579</v>
      </c>
      <c r="C636" s="1" t="n">
        <v>45712</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3796-2022</t>
        </is>
      </c>
      <c r="B637" s="1" t="n">
        <v>44586</v>
      </c>
      <c r="C637" s="1" t="n">
        <v>45712</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4014-2022</t>
        </is>
      </c>
      <c r="B638" s="1" t="n">
        <v>44587</v>
      </c>
      <c r="C638" s="1" t="n">
        <v>45712</v>
      </c>
      <c r="D638" t="inlineStr">
        <is>
          <t>JÄMTLANDS LÄN</t>
        </is>
      </c>
      <c r="E638" t="inlineStr">
        <is>
          <t>RAGUNDA</t>
        </is>
      </c>
      <c r="G638" t="n">
        <v>3.6</v>
      </c>
      <c r="H638" t="n">
        <v>0</v>
      </c>
      <c r="I638" t="n">
        <v>0</v>
      </c>
      <c r="J638" t="n">
        <v>0</v>
      </c>
      <c r="K638" t="n">
        <v>0</v>
      </c>
      <c r="L638" t="n">
        <v>0</v>
      </c>
      <c r="M638" t="n">
        <v>0</v>
      </c>
      <c r="N638" t="n">
        <v>0</v>
      </c>
      <c r="O638" t="n">
        <v>0</v>
      </c>
      <c r="P638" t="n">
        <v>0</v>
      </c>
      <c r="Q638" t="n">
        <v>0</v>
      </c>
      <c r="R638" s="2" t="inlineStr"/>
    </row>
    <row r="639" ht="15" customHeight="1">
      <c r="A639" t="inlineStr">
        <is>
          <t>A 4015-2022</t>
        </is>
      </c>
      <c r="B639" s="1" t="n">
        <v>44587</v>
      </c>
      <c r="C639" s="1" t="n">
        <v>45712</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4878-2022</t>
        </is>
      </c>
      <c r="B640" s="1" t="n">
        <v>44593</v>
      </c>
      <c r="C640" s="1" t="n">
        <v>45712</v>
      </c>
      <c r="D640" t="inlineStr">
        <is>
          <t>JÄMTLANDS LÄN</t>
        </is>
      </c>
      <c r="E640" t="inlineStr">
        <is>
          <t>RAGUNDA</t>
        </is>
      </c>
      <c r="G640" t="n">
        <v>21.7</v>
      </c>
      <c r="H640" t="n">
        <v>0</v>
      </c>
      <c r="I640" t="n">
        <v>0</v>
      </c>
      <c r="J640" t="n">
        <v>0</v>
      </c>
      <c r="K640" t="n">
        <v>0</v>
      </c>
      <c r="L640" t="n">
        <v>0</v>
      </c>
      <c r="M640" t="n">
        <v>0</v>
      </c>
      <c r="N640" t="n">
        <v>0</v>
      </c>
      <c r="O640" t="n">
        <v>0</v>
      </c>
      <c r="P640" t="n">
        <v>0</v>
      </c>
      <c r="Q640" t="n">
        <v>0</v>
      </c>
      <c r="R640" s="2" t="inlineStr"/>
    </row>
    <row r="641" ht="15" customHeight="1">
      <c r="A641" t="inlineStr">
        <is>
          <t>A 5515-2022</t>
        </is>
      </c>
      <c r="B641" s="1" t="n">
        <v>44595</v>
      </c>
      <c r="C641" s="1" t="n">
        <v>45712</v>
      </c>
      <c r="D641" t="inlineStr">
        <is>
          <t>JÄMTLANDS LÄN</t>
        </is>
      </c>
      <c r="E641" t="inlineStr">
        <is>
          <t>RAGUNDA</t>
        </is>
      </c>
      <c r="G641" t="n">
        <v>1</v>
      </c>
      <c r="H641" t="n">
        <v>0</v>
      </c>
      <c r="I641" t="n">
        <v>0</v>
      </c>
      <c r="J641" t="n">
        <v>0</v>
      </c>
      <c r="K641" t="n">
        <v>0</v>
      </c>
      <c r="L641" t="n">
        <v>0</v>
      </c>
      <c r="M641" t="n">
        <v>0</v>
      </c>
      <c r="N641" t="n">
        <v>0</v>
      </c>
      <c r="O641" t="n">
        <v>0</v>
      </c>
      <c r="P641" t="n">
        <v>0</v>
      </c>
      <c r="Q641" t="n">
        <v>0</v>
      </c>
      <c r="R641" s="2" t="inlineStr"/>
    </row>
    <row r="642" ht="15" customHeight="1">
      <c r="A642" t="inlineStr">
        <is>
          <t>A 5644-2022</t>
        </is>
      </c>
      <c r="B642" s="1" t="n">
        <v>44595</v>
      </c>
      <c r="C642" s="1" t="n">
        <v>45712</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5652-2022</t>
        </is>
      </c>
      <c r="B643" s="1" t="n">
        <v>44595</v>
      </c>
      <c r="C643" s="1" t="n">
        <v>45712</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6177-2022</t>
        </is>
      </c>
      <c r="B644" s="1" t="n">
        <v>44600</v>
      </c>
      <c r="C644" s="1" t="n">
        <v>45712</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6492-2022</t>
        </is>
      </c>
      <c r="B645" s="1" t="n">
        <v>44601</v>
      </c>
      <c r="C645" s="1" t="n">
        <v>45712</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6490-2022</t>
        </is>
      </c>
      <c r="B646" s="1" t="n">
        <v>44601</v>
      </c>
      <c r="C646" s="1" t="n">
        <v>45712</v>
      </c>
      <c r="D646" t="inlineStr">
        <is>
          <t>JÄMTLANDS LÄN</t>
        </is>
      </c>
      <c r="E646" t="inlineStr">
        <is>
          <t>RAGUNDA</t>
        </is>
      </c>
      <c r="G646" t="n">
        <v>3.8</v>
      </c>
      <c r="H646" t="n">
        <v>0</v>
      </c>
      <c r="I646" t="n">
        <v>0</v>
      </c>
      <c r="J646" t="n">
        <v>0</v>
      </c>
      <c r="K646" t="n">
        <v>0</v>
      </c>
      <c r="L646" t="n">
        <v>0</v>
      </c>
      <c r="M646" t="n">
        <v>0</v>
      </c>
      <c r="N646" t="n">
        <v>0</v>
      </c>
      <c r="O646" t="n">
        <v>0</v>
      </c>
      <c r="P646" t="n">
        <v>0</v>
      </c>
      <c r="Q646" t="n">
        <v>0</v>
      </c>
      <c r="R646" s="2" t="inlineStr"/>
    </row>
    <row r="647" ht="15" customHeight="1">
      <c r="A647" t="inlineStr">
        <is>
          <t>A 7448-2022</t>
        </is>
      </c>
      <c r="B647" s="1" t="n">
        <v>44606</v>
      </c>
      <c r="C647" s="1" t="n">
        <v>45712</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7668-2022</t>
        </is>
      </c>
      <c r="B648" s="1" t="n">
        <v>44607</v>
      </c>
      <c r="C648" s="1" t="n">
        <v>45712</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7695-2022</t>
        </is>
      </c>
      <c r="B649" s="1" t="n">
        <v>44607</v>
      </c>
      <c r="C649" s="1" t="n">
        <v>45712</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8231-2022</t>
        </is>
      </c>
      <c r="B650" s="1" t="n">
        <v>44609</v>
      </c>
      <c r="C650" s="1" t="n">
        <v>45712</v>
      </c>
      <c r="D650" t="inlineStr">
        <is>
          <t>JÄMTLANDS LÄN</t>
        </is>
      </c>
      <c r="E650" t="inlineStr">
        <is>
          <t>RAGUNDA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8237-2022</t>
        </is>
      </c>
      <c r="B651" s="1" t="n">
        <v>44609</v>
      </c>
      <c r="C651" s="1" t="n">
        <v>45712</v>
      </c>
      <c r="D651" t="inlineStr">
        <is>
          <t>JÄMTLANDS LÄN</t>
        </is>
      </c>
      <c r="E651" t="inlineStr">
        <is>
          <t>RAGUNDA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8795-2022</t>
        </is>
      </c>
      <c r="B652" s="1" t="n">
        <v>44614</v>
      </c>
      <c r="C652" s="1" t="n">
        <v>45712</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8808-2022</t>
        </is>
      </c>
      <c r="B653" s="1" t="n">
        <v>44614</v>
      </c>
      <c r="C653" s="1" t="n">
        <v>45712</v>
      </c>
      <c r="D653" t="inlineStr">
        <is>
          <t>JÄMTLANDS LÄN</t>
        </is>
      </c>
      <c r="E653" t="inlineStr">
        <is>
          <t>RAGUNDA</t>
        </is>
      </c>
      <c r="G653" t="n">
        <v>3.3</v>
      </c>
      <c r="H653" t="n">
        <v>0</v>
      </c>
      <c r="I653" t="n">
        <v>0</v>
      </c>
      <c r="J653" t="n">
        <v>0</v>
      </c>
      <c r="K653" t="n">
        <v>0</v>
      </c>
      <c r="L653" t="n">
        <v>0</v>
      </c>
      <c r="M653" t="n">
        <v>0</v>
      </c>
      <c r="N653" t="n">
        <v>0</v>
      </c>
      <c r="O653" t="n">
        <v>0</v>
      </c>
      <c r="P653" t="n">
        <v>0</v>
      </c>
      <c r="Q653" t="n">
        <v>0</v>
      </c>
      <c r="R653" s="2" t="inlineStr"/>
    </row>
    <row r="654" ht="15" customHeight="1">
      <c r="A654" t="inlineStr">
        <is>
          <t>A 8802-2022</t>
        </is>
      </c>
      <c r="B654" s="1" t="n">
        <v>44614</v>
      </c>
      <c r="C654" s="1" t="n">
        <v>45712</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8811-2022</t>
        </is>
      </c>
      <c r="B655" s="1" t="n">
        <v>44614</v>
      </c>
      <c r="C655" s="1" t="n">
        <v>45712</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8787-2022</t>
        </is>
      </c>
      <c r="B656" s="1" t="n">
        <v>44614</v>
      </c>
      <c r="C656" s="1" t="n">
        <v>45712</v>
      </c>
      <c r="D656" t="inlineStr">
        <is>
          <t>JÄMTLANDS LÄN</t>
        </is>
      </c>
      <c r="E656" t="inlineStr">
        <is>
          <t>RAGUNDA</t>
        </is>
      </c>
      <c r="G656" t="n">
        <v>6.4</v>
      </c>
      <c r="H656" t="n">
        <v>0</v>
      </c>
      <c r="I656" t="n">
        <v>0</v>
      </c>
      <c r="J656" t="n">
        <v>0</v>
      </c>
      <c r="K656" t="n">
        <v>0</v>
      </c>
      <c r="L656" t="n">
        <v>0</v>
      </c>
      <c r="M656" t="n">
        <v>0</v>
      </c>
      <c r="N656" t="n">
        <v>0</v>
      </c>
      <c r="O656" t="n">
        <v>0</v>
      </c>
      <c r="P656" t="n">
        <v>0</v>
      </c>
      <c r="Q656" t="n">
        <v>0</v>
      </c>
      <c r="R656" s="2" t="inlineStr"/>
    </row>
    <row r="657" ht="15" customHeight="1">
      <c r="A657" t="inlineStr">
        <is>
          <t>A 9187-2022</t>
        </is>
      </c>
      <c r="B657" s="1" t="n">
        <v>44615</v>
      </c>
      <c r="C657" s="1" t="n">
        <v>45712</v>
      </c>
      <c r="D657" t="inlineStr">
        <is>
          <t>JÄMTLANDS LÄN</t>
        </is>
      </c>
      <c r="E657" t="inlineStr">
        <is>
          <t>RAGUNDA</t>
        </is>
      </c>
      <c r="G657" t="n">
        <v>2</v>
      </c>
      <c r="H657" t="n">
        <v>0</v>
      </c>
      <c r="I657" t="n">
        <v>0</v>
      </c>
      <c r="J657" t="n">
        <v>0</v>
      </c>
      <c r="K657" t="n">
        <v>0</v>
      </c>
      <c r="L657" t="n">
        <v>0</v>
      </c>
      <c r="M657" t="n">
        <v>0</v>
      </c>
      <c r="N657" t="n">
        <v>0</v>
      </c>
      <c r="O657" t="n">
        <v>0</v>
      </c>
      <c r="P657" t="n">
        <v>0</v>
      </c>
      <c r="Q657" t="n">
        <v>0</v>
      </c>
      <c r="R657" s="2" t="inlineStr"/>
    </row>
    <row r="658" ht="15" customHeight="1">
      <c r="A658" t="inlineStr">
        <is>
          <t>A 9199-2022</t>
        </is>
      </c>
      <c r="B658" s="1" t="n">
        <v>44615</v>
      </c>
      <c r="C658" s="1" t="n">
        <v>45712</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9185-2022</t>
        </is>
      </c>
      <c r="B659" s="1" t="n">
        <v>44615</v>
      </c>
      <c r="C659" s="1" t="n">
        <v>45712</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10120-2022</t>
        </is>
      </c>
      <c r="B660" s="1" t="n">
        <v>44621</v>
      </c>
      <c r="C660" s="1" t="n">
        <v>45712</v>
      </c>
      <c r="D660" t="inlineStr">
        <is>
          <t>JÄMTLANDS LÄN</t>
        </is>
      </c>
      <c r="E660" t="inlineStr">
        <is>
          <t>RAGUNDA</t>
        </is>
      </c>
      <c r="G660" t="n">
        <v>0.4</v>
      </c>
      <c r="H660" t="n">
        <v>0</v>
      </c>
      <c r="I660" t="n">
        <v>0</v>
      </c>
      <c r="J660" t="n">
        <v>0</v>
      </c>
      <c r="K660" t="n">
        <v>0</v>
      </c>
      <c r="L660" t="n">
        <v>0</v>
      </c>
      <c r="M660" t="n">
        <v>0</v>
      </c>
      <c r="N660" t="n">
        <v>0</v>
      </c>
      <c r="O660" t="n">
        <v>0</v>
      </c>
      <c r="P660" t="n">
        <v>0</v>
      </c>
      <c r="Q660" t="n">
        <v>0</v>
      </c>
      <c r="R660" s="2" t="inlineStr"/>
    </row>
    <row r="661" ht="15" customHeight="1">
      <c r="A661" t="inlineStr">
        <is>
          <t>A 10905-2022</t>
        </is>
      </c>
      <c r="B661" s="1" t="n">
        <v>44627</v>
      </c>
      <c r="C661" s="1" t="n">
        <v>45712</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10972-2022</t>
        </is>
      </c>
      <c r="B662" s="1" t="n">
        <v>44628</v>
      </c>
      <c r="C662" s="1" t="n">
        <v>45712</v>
      </c>
      <c r="D662" t="inlineStr">
        <is>
          <t>JÄMTLANDS LÄN</t>
        </is>
      </c>
      <c r="E662" t="inlineStr">
        <is>
          <t>RAGUNDA</t>
        </is>
      </c>
      <c r="G662" t="n">
        <v>9.5</v>
      </c>
      <c r="H662" t="n">
        <v>0</v>
      </c>
      <c r="I662" t="n">
        <v>0</v>
      </c>
      <c r="J662" t="n">
        <v>0</v>
      </c>
      <c r="K662" t="n">
        <v>0</v>
      </c>
      <c r="L662" t="n">
        <v>0</v>
      </c>
      <c r="M662" t="n">
        <v>0</v>
      </c>
      <c r="N662" t="n">
        <v>0</v>
      </c>
      <c r="O662" t="n">
        <v>0</v>
      </c>
      <c r="P662" t="n">
        <v>0</v>
      </c>
      <c r="Q662" t="n">
        <v>0</v>
      </c>
      <c r="R662" s="2" t="inlineStr"/>
    </row>
    <row r="663" ht="15" customHeight="1">
      <c r="A663" t="inlineStr">
        <is>
          <t>A 11217-2022</t>
        </is>
      </c>
      <c r="B663" s="1" t="n">
        <v>44629</v>
      </c>
      <c r="C663" s="1" t="n">
        <v>45712</v>
      </c>
      <c r="D663" t="inlineStr">
        <is>
          <t>JÄMTLANDS LÄN</t>
        </is>
      </c>
      <c r="E663" t="inlineStr">
        <is>
          <t>RAGUNDA</t>
        </is>
      </c>
      <c r="G663" t="n">
        <v>10.2</v>
      </c>
      <c r="H663" t="n">
        <v>0</v>
      </c>
      <c r="I663" t="n">
        <v>0</v>
      </c>
      <c r="J663" t="n">
        <v>0</v>
      </c>
      <c r="K663" t="n">
        <v>0</v>
      </c>
      <c r="L663" t="n">
        <v>0</v>
      </c>
      <c r="M663" t="n">
        <v>0</v>
      </c>
      <c r="N663" t="n">
        <v>0</v>
      </c>
      <c r="O663" t="n">
        <v>0</v>
      </c>
      <c r="P663" t="n">
        <v>0</v>
      </c>
      <c r="Q663" t="n">
        <v>0</v>
      </c>
      <c r="R663" s="2" t="inlineStr"/>
    </row>
    <row r="664" ht="15" customHeight="1">
      <c r="A664" t="inlineStr">
        <is>
          <t>A 11288-2022</t>
        </is>
      </c>
      <c r="B664" s="1" t="n">
        <v>44629</v>
      </c>
      <c r="C664" s="1" t="n">
        <v>45712</v>
      </c>
      <c r="D664" t="inlineStr">
        <is>
          <t>JÄMTLANDS LÄN</t>
        </is>
      </c>
      <c r="E664" t="inlineStr">
        <is>
          <t>RAGUNDA</t>
        </is>
      </c>
      <c r="G664" t="n">
        <v>4.9</v>
      </c>
      <c r="H664" t="n">
        <v>0</v>
      </c>
      <c r="I664" t="n">
        <v>0</v>
      </c>
      <c r="J664" t="n">
        <v>0</v>
      </c>
      <c r="K664" t="n">
        <v>0</v>
      </c>
      <c r="L664" t="n">
        <v>0</v>
      </c>
      <c r="M664" t="n">
        <v>0</v>
      </c>
      <c r="N664" t="n">
        <v>0</v>
      </c>
      <c r="O664" t="n">
        <v>0</v>
      </c>
      <c r="P664" t="n">
        <v>0</v>
      </c>
      <c r="Q664" t="n">
        <v>0</v>
      </c>
      <c r="R664" s="2" t="inlineStr"/>
    </row>
    <row r="665" ht="15" customHeight="1">
      <c r="A665" t="inlineStr">
        <is>
          <t>A 11487-2022</t>
        </is>
      </c>
      <c r="B665" s="1" t="n">
        <v>44630</v>
      </c>
      <c r="C665" s="1" t="n">
        <v>45712</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12024-2022</t>
        </is>
      </c>
      <c r="B666" s="1" t="n">
        <v>44635</v>
      </c>
      <c r="C666" s="1" t="n">
        <v>45712</v>
      </c>
      <c r="D666" t="inlineStr">
        <is>
          <t>JÄMTLANDS LÄN</t>
        </is>
      </c>
      <c r="E666" t="inlineStr">
        <is>
          <t>RAGUNDA</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12559-2022</t>
        </is>
      </c>
      <c r="B667" s="1" t="n">
        <v>44638</v>
      </c>
      <c r="C667" s="1" t="n">
        <v>45712</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12773-2022</t>
        </is>
      </c>
      <c r="B668" s="1" t="n">
        <v>44641</v>
      </c>
      <c r="C668" s="1" t="n">
        <v>45712</v>
      </c>
      <c r="D668" t="inlineStr">
        <is>
          <t>JÄMTLANDS LÄN</t>
        </is>
      </c>
      <c r="E668" t="inlineStr">
        <is>
          <t>RAGUNDA</t>
        </is>
      </c>
      <c r="F668" t="inlineStr">
        <is>
          <t>SCA</t>
        </is>
      </c>
      <c r="G668" t="n">
        <v>14.7</v>
      </c>
      <c r="H668" t="n">
        <v>0</v>
      </c>
      <c r="I668" t="n">
        <v>0</v>
      </c>
      <c r="J668" t="n">
        <v>0</v>
      </c>
      <c r="K668" t="n">
        <v>0</v>
      </c>
      <c r="L668" t="n">
        <v>0</v>
      </c>
      <c r="M668" t="n">
        <v>0</v>
      </c>
      <c r="N668" t="n">
        <v>0</v>
      </c>
      <c r="O668" t="n">
        <v>0</v>
      </c>
      <c r="P668" t="n">
        <v>0</v>
      </c>
      <c r="Q668" t="n">
        <v>0</v>
      </c>
      <c r="R668" s="2" t="inlineStr"/>
    </row>
    <row r="669" ht="15" customHeight="1">
      <c r="A669" t="inlineStr">
        <is>
          <t>A 12768-2022</t>
        </is>
      </c>
      <c r="B669" s="1" t="n">
        <v>44641</v>
      </c>
      <c r="C669" s="1" t="n">
        <v>45712</v>
      </c>
      <c r="D669" t="inlineStr">
        <is>
          <t>JÄMTLANDS LÄN</t>
        </is>
      </c>
      <c r="E669" t="inlineStr">
        <is>
          <t>RAGUNDA</t>
        </is>
      </c>
      <c r="F669" t="inlineStr">
        <is>
          <t>SCA</t>
        </is>
      </c>
      <c r="G669" t="n">
        <v>8</v>
      </c>
      <c r="H669" t="n">
        <v>0</v>
      </c>
      <c r="I669" t="n">
        <v>0</v>
      </c>
      <c r="J669" t="n">
        <v>0</v>
      </c>
      <c r="K669" t="n">
        <v>0</v>
      </c>
      <c r="L669" t="n">
        <v>0</v>
      </c>
      <c r="M669" t="n">
        <v>0</v>
      </c>
      <c r="N669" t="n">
        <v>0</v>
      </c>
      <c r="O669" t="n">
        <v>0</v>
      </c>
      <c r="P669" t="n">
        <v>0</v>
      </c>
      <c r="Q669" t="n">
        <v>0</v>
      </c>
      <c r="R669" s="2" t="inlineStr"/>
    </row>
    <row r="670" ht="15" customHeight="1">
      <c r="A670" t="inlineStr">
        <is>
          <t>A 13302-2022</t>
        </is>
      </c>
      <c r="B670" s="1" t="n">
        <v>44644</v>
      </c>
      <c r="C670" s="1" t="n">
        <v>45712</v>
      </c>
      <c r="D670" t="inlineStr">
        <is>
          <t>JÄMTLANDS LÄN</t>
        </is>
      </c>
      <c r="E670" t="inlineStr">
        <is>
          <t>RAGUNDA</t>
        </is>
      </c>
      <c r="F670" t="inlineStr">
        <is>
          <t>SCA</t>
        </is>
      </c>
      <c r="G670" t="n">
        <v>35.6</v>
      </c>
      <c r="H670" t="n">
        <v>0</v>
      </c>
      <c r="I670" t="n">
        <v>0</v>
      </c>
      <c r="J670" t="n">
        <v>0</v>
      </c>
      <c r="K670" t="n">
        <v>0</v>
      </c>
      <c r="L670" t="n">
        <v>0</v>
      </c>
      <c r="M670" t="n">
        <v>0</v>
      </c>
      <c r="N670" t="n">
        <v>0</v>
      </c>
      <c r="O670" t="n">
        <v>0</v>
      </c>
      <c r="P670" t="n">
        <v>0</v>
      </c>
      <c r="Q670" t="n">
        <v>0</v>
      </c>
      <c r="R670" s="2" t="inlineStr"/>
    </row>
    <row r="671" ht="15" customHeight="1">
      <c r="A671" t="inlineStr">
        <is>
          <t>A 13303-2022</t>
        </is>
      </c>
      <c r="B671" s="1" t="n">
        <v>44644</v>
      </c>
      <c r="C671" s="1" t="n">
        <v>45712</v>
      </c>
      <c r="D671" t="inlineStr">
        <is>
          <t>JÄMTLANDS LÄN</t>
        </is>
      </c>
      <c r="E671" t="inlineStr">
        <is>
          <t>RAGUNDA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13769-2022</t>
        </is>
      </c>
      <c r="B672" s="1" t="n">
        <v>44649</v>
      </c>
      <c r="C672" s="1" t="n">
        <v>45712</v>
      </c>
      <c r="D672" t="inlineStr">
        <is>
          <t>JÄMTLANDS LÄN</t>
        </is>
      </c>
      <c r="E672" t="inlineStr">
        <is>
          <t>RAGUNDA</t>
        </is>
      </c>
      <c r="F672" t="inlineStr">
        <is>
          <t>Kommuner</t>
        </is>
      </c>
      <c r="G672" t="n">
        <v>2.5</v>
      </c>
      <c r="H672" t="n">
        <v>0</v>
      </c>
      <c r="I672" t="n">
        <v>0</v>
      </c>
      <c r="J672" t="n">
        <v>0</v>
      </c>
      <c r="K672" t="n">
        <v>0</v>
      </c>
      <c r="L672" t="n">
        <v>0</v>
      </c>
      <c r="M672" t="n">
        <v>0</v>
      </c>
      <c r="N672" t="n">
        <v>0</v>
      </c>
      <c r="O672" t="n">
        <v>0</v>
      </c>
      <c r="P672" t="n">
        <v>0</v>
      </c>
      <c r="Q672" t="n">
        <v>0</v>
      </c>
      <c r="R672" s="2" t="inlineStr"/>
    </row>
    <row r="673" ht="15" customHeight="1">
      <c r="A673" t="inlineStr">
        <is>
          <t>A 13767-2022</t>
        </is>
      </c>
      <c r="B673" s="1" t="n">
        <v>44649</v>
      </c>
      <c r="C673" s="1" t="n">
        <v>45712</v>
      </c>
      <c r="D673" t="inlineStr">
        <is>
          <t>JÄMTLANDS LÄN</t>
        </is>
      </c>
      <c r="E673" t="inlineStr">
        <is>
          <t>RAGUNDA</t>
        </is>
      </c>
      <c r="F673" t="inlineStr">
        <is>
          <t>Kommuner</t>
        </is>
      </c>
      <c r="G673" t="n">
        <v>3.1</v>
      </c>
      <c r="H673" t="n">
        <v>0</v>
      </c>
      <c r="I673" t="n">
        <v>0</v>
      </c>
      <c r="J673" t="n">
        <v>0</v>
      </c>
      <c r="K673" t="n">
        <v>0</v>
      </c>
      <c r="L673" t="n">
        <v>0</v>
      </c>
      <c r="M673" t="n">
        <v>0</v>
      </c>
      <c r="N673" t="n">
        <v>0</v>
      </c>
      <c r="O673" t="n">
        <v>0</v>
      </c>
      <c r="P673" t="n">
        <v>0</v>
      </c>
      <c r="Q673" t="n">
        <v>0</v>
      </c>
      <c r="R673" s="2" t="inlineStr"/>
    </row>
    <row r="674" ht="15" customHeight="1">
      <c r="A674" t="inlineStr">
        <is>
          <t>A 13768-2022</t>
        </is>
      </c>
      <c r="B674" s="1" t="n">
        <v>44649</v>
      </c>
      <c r="C674" s="1" t="n">
        <v>45712</v>
      </c>
      <c r="D674" t="inlineStr">
        <is>
          <t>JÄMTLANDS LÄN</t>
        </is>
      </c>
      <c r="E674" t="inlineStr">
        <is>
          <t>RAGUNDA</t>
        </is>
      </c>
      <c r="F674" t="inlineStr">
        <is>
          <t>Kommuner</t>
        </is>
      </c>
      <c r="G674" t="n">
        <v>2.6</v>
      </c>
      <c r="H674" t="n">
        <v>0</v>
      </c>
      <c r="I674" t="n">
        <v>0</v>
      </c>
      <c r="J674" t="n">
        <v>0</v>
      </c>
      <c r="K674" t="n">
        <v>0</v>
      </c>
      <c r="L674" t="n">
        <v>0</v>
      </c>
      <c r="M674" t="n">
        <v>0</v>
      </c>
      <c r="N674" t="n">
        <v>0</v>
      </c>
      <c r="O674" t="n">
        <v>0</v>
      </c>
      <c r="P674" t="n">
        <v>0</v>
      </c>
      <c r="Q674" t="n">
        <v>0</v>
      </c>
      <c r="R674" s="2" t="inlineStr"/>
    </row>
    <row r="675" ht="15" customHeight="1">
      <c r="A675" t="inlineStr">
        <is>
          <t>A 13964-2022</t>
        </is>
      </c>
      <c r="B675" s="1" t="n">
        <v>44650</v>
      </c>
      <c r="C675" s="1" t="n">
        <v>45712</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13911-2022</t>
        </is>
      </c>
      <c r="B676" s="1" t="n">
        <v>44650</v>
      </c>
      <c r="C676" s="1" t="n">
        <v>45712</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14435-2022</t>
        </is>
      </c>
      <c r="B677" s="1" t="n">
        <v>44652</v>
      </c>
      <c r="C677" s="1" t="n">
        <v>45712</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14696-2022</t>
        </is>
      </c>
      <c r="B678" s="1" t="n">
        <v>44655</v>
      </c>
      <c r="C678" s="1" t="n">
        <v>45712</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14697-2022</t>
        </is>
      </c>
      <c r="B679" s="1" t="n">
        <v>44655</v>
      </c>
      <c r="C679" s="1" t="n">
        <v>45712</v>
      </c>
      <c r="D679" t="inlineStr">
        <is>
          <t>JÄMTLANDS LÄN</t>
        </is>
      </c>
      <c r="E679" t="inlineStr">
        <is>
          <t>RAGUNDA</t>
        </is>
      </c>
      <c r="F679" t="inlineStr">
        <is>
          <t>SCA</t>
        </is>
      </c>
      <c r="G679" t="n">
        <v>6.7</v>
      </c>
      <c r="H679" t="n">
        <v>0</v>
      </c>
      <c r="I679" t="n">
        <v>0</v>
      </c>
      <c r="J679" t="n">
        <v>0</v>
      </c>
      <c r="K679" t="n">
        <v>0</v>
      </c>
      <c r="L679" t="n">
        <v>0</v>
      </c>
      <c r="M679" t="n">
        <v>0</v>
      </c>
      <c r="N679" t="n">
        <v>0</v>
      </c>
      <c r="O679" t="n">
        <v>0</v>
      </c>
      <c r="P679" t="n">
        <v>0</v>
      </c>
      <c r="Q679" t="n">
        <v>0</v>
      </c>
      <c r="R679" s="2" t="inlineStr"/>
    </row>
    <row r="680" ht="15" customHeight="1">
      <c r="A680" t="inlineStr">
        <is>
          <t>A 14898-2022</t>
        </is>
      </c>
      <c r="B680" s="1" t="n">
        <v>44656</v>
      </c>
      <c r="C680" s="1" t="n">
        <v>45712</v>
      </c>
      <c r="D680" t="inlineStr">
        <is>
          <t>JÄMTLANDS LÄN</t>
        </is>
      </c>
      <c r="E680" t="inlineStr">
        <is>
          <t>RAGUNDA</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14907-2022</t>
        </is>
      </c>
      <c r="B681" s="1" t="n">
        <v>44657</v>
      </c>
      <c r="C681" s="1" t="n">
        <v>45712</v>
      </c>
      <c r="D681" t="inlineStr">
        <is>
          <t>JÄMTLANDS LÄN</t>
        </is>
      </c>
      <c r="E681" t="inlineStr">
        <is>
          <t>RAGUNDA</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14896-2022</t>
        </is>
      </c>
      <c r="B682" s="1" t="n">
        <v>44656</v>
      </c>
      <c r="C682" s="1" t="n">
        <v>45712</v>
      </c>
      <c r="D682" t="inlineStr">
        <is>
          <t>JÄMTLANDS LÄN</t>
        </is>
      </c>
      <c r="E682" t="inlineStr">
        <is>
          <t>RAGUNDA</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14906-2022</t>
        </is>
      </c>
      <c r="B683" s="1" t="n">
        <v>44657</v>
      </c>
      <c r="C683" s="1" t="n">
        <v>45712</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14905-2022</t>
        </is>
      </c>
      <c r="B684" s="1" t="n">
        <v>44657</v>
      </c>
      <c r="C684" s="1" t="n">
        <v>45712</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15024-2022</t>
        </is>
      </c>
      <c r="B685" s="1" t="n">
        <v>44657</v>
      </c>
      <c r="C685" s="1" t="n">
        <v>45712</v>
      </c>
      <c r="D685" t="inlineStr">
        <is>
          <t>JÄMTLANDS LÄN</t>
        </is>
      </c>
      <c r="E685" t="inlineStr">
        <is>
          <t>RAGUNDA</t>
        </is>
      </c>
      <c r="G685" t="n">
        <v>1.8</v>
      </c>
      <c r="H685" t="n">
        <v>0</v>
      </c>
      <c r="I685" t="n">
        <v>0</v>
      </c>
      <c r="J685" t="n">
        <v>0</v>
      </c>
      <c r="K685" t="n">
        <v>0</v>
      </c>
      <c r="L685" t="n">
        <v>0</v>
      </c>
      <c r="M685" t="n">
        <v>0</v>
      </c>
      <c r="N685" t="n">
        <v>0</v>
      </c>
      <c r="O685" t="n">
        <v>0</v>
      </c>
      <c r="P685" t="n">
        <v>0</v>
      </c>
      <c r="Q685" t="n">
        <v>0</v>
      </c>
      <c r="R685" s="2" t="inlineStr"/>
    </row>
    <row r="686" ht="15" customHeight="1">
      <c r="A686" t="inlineStr">
        <is>
          <t>A 15664-2022</t>
        </is>
      </c>
      <c r="B686" s="1" t="n">
        <v>44662</v>
      </c>
      <c r="C686" s="1" t="n">
        <v>45712</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15808-2022</t>
        </is>
      </c>
      <c r="B687" s="1" t="n">
        <v>44663</v>
      </c>
      <c r="C687" s="1" t="n">
        <v>45712</v>
      </c>
      <c r="D687" t="inlineStr">
        <is>
          <t>JÄMTLANDS LÄN</t>
        </is>
      </c>
      <c r="E687" t="inlineStr">
        <is>
          <t>RAGUNDA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15969-2022</t>
        </is>
      </c>
      <c r="B688" s="1" t="n">
        <v>44665</v>
      </c>
      <c r="C688" s="1" t="n">
        <v>45712</v>
      </c>
      <c r="D688" t="inlineStr">
        <is>
          <t>JÄMTLANDS LÄN</t>
        </is>
      </c>
      <c r="E688" t="inlineStr">
        <is>
          <t>RAGUNDA</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16246-2022</t>
        </is>
      </c>
      <c r="B689" s="1" t="n">
        <v>44670</v>
      </c>
      <c r="C689" s="1" t="n">
        <v>45712</v>
      </c>
      <c r="D689" t="inlineStr">
        <is>
          <t>JÄMTLANDS LÄN</t>
        </is>
      </c>
      <c r="E689" t="inlineStr">
        <is>
          <t>RAGUNDA</t>
        </is>
      </c>
      <c r="G689" t="n">
        <v>4.1</v>
      </c>
      <c r="H689" t="n">
        <v>0</v>
      </c>
      <c r="I689" t="n">
        <v>0</v>
      </c>
      <c r="J689" t="n">
        <v>0</v>
      </c>
      <c r="K689" t="n">
        <v>0</v>
      </c>
      <c r="L689" t="n">
        <v>0</v>
      </c>
      <c r="M689" t="n">
        <v>0</v>
      </c>
      <c r="N689" t="n">
        <v>0</v>
      </c>
      <c r="O689" t="n">
        <v>0</v>
      </c>
      <c r="P689" t="n">
        <v>0</v>
      </c>
      <c r="Q689" t="n">
        <v>0</v>
      </c>
      <c r="R689" s="2" t="inlineStr"/>
    </row>
    <row r="690" ht="15" customHeight="1">
      <c r="A690" t="inlineStr">
        <is>
          <t>A 16250-2022</t>
        </is>
      </c>
      <c r="B690" s="1" t="n">
        <v>44670</v>
      </c>
      <c r="C690" s="1" t="n">
        <v>45712</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16361-2022</t>
        </is>
      </c>
      <c r="B691" s="1" t="n">
        <v>44670</v>
      </c>
      <c r="C691" s="1" t="n">
        <v>45712</v>
      </c>
      <c r="D691" t="inlineStr">
        <is>
          <t>JÄMTLANDS LÄN</t>
        </is>
      </c>
      <c r="E691" t="inlineStr">
        <is>
          <t>RAGUNDA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16460-2022</t>
        </is>
      </c>
      <c r="B692" s="1" t="n">
        <v>44671</v>
      </c>
      <c r="C692" s="1" t="n">
        <v>45712</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16529-2022</t>
        </is>
      </c>
      <c r="B693" s="1" t="n">
        <v>44671</v>
      </c>
      <c r="C693" s="1" t="n">
        <v>45712</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16676-2022</t>
        </is>
      </c>
      <c r="B694" s="1" t="n">
        <v>44673</v>
      </c>
      <c r="C694" s="1" t="n">
        <v>45712</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17058-2022</t>
        </is>
      </c>
      <c r="B695" s="1" t="n">
        <v>44677</v>
      </c>
      <c r="C695" s="1" t="n">
        <v>45712</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17573-2022</t>
        </is>
      </c>
      <c r="B696" s="1" t="n">
        <v>44679</v>
      </c>
      <c r="C696" s="1" t="n">
        <v>45712</v>
      </c>
      <c r="D696" t="inlineStr">
        <is>
          <t>JÄMTLANDS LÄN</t>
        </is>
      </c>
      <c r="E696" t="inlineStr">
        <is>
          <t>RAGUNDA</t>
        </is>
      </c>
      <c r="G696" t="n">
        <v>6.9</v>
      </c>
      <c r="H696" t="n">
        <v>0</v>
      </c>
      <c r="I696" t="n">
        <v>0</v>
      </c>
      <c r="J696" t="n">
        <v>0</v>
      </c>
      <c r="K696" t="n">
        <v>0</v>
      </c>
      <c r="L696" t="n">
        <v>0</v>
      </c>
      <c r="M696" t="n">
        <v>0</v>
      </c>
      <c r="N696" t="n">
        <v>0</v>
      </c>
      <c r="O696" t="n">
        <v>0</v>
      </c>
      <c r="P696" t="n">
        <v>0</v>
      </c>
      <c r="Q696" t="n">
        <v>0</v>
      </c>
      <c r="R696" s="2" t="inlineStr"/>
    </row>
    <row r="697" ht="15" customHeight="1">
      <c r="A697" t="inlineStr">
        <is>
          <t>A 17730-2022</t>
        </is>
      </c>
      <c r="B697" s="1" t="n">
        <v>44680</v>
      </c>
      <c r="C697" s="1" t="n">
        <v>45712</v>
      </c>
      <c r="D697" t="inlineStr">
        <is>
          <t>JÄMTLANDS LÄN</t>
        </is>
      </c>
      <c r="E697" t="inlineStr">
        <is>
          <t>RAGUNDA</t>
        </is>
      </c>
      <c r="G697" t="n">
        <v>3.4</v>
      </c>
      <c r="H697" t="n">
        <v>0</v>
      </c>
      <c r="I697" t="n">
        <v>0</v>
      </c>
      <c r="J697" t="n">
        <v>0</v>
      </c>
      <c r="K697" t="n">
        <v>0</v>
      </c>
      <c r="L697" t="n">
        <v>0</v>
      </c>
      <c r="M697" t="n">
        <v>0</v>
      </c>
      <c r="N697" t="n">
        <v>0</v>
      </c>
      <c r="O697" t="n">
        <v>0</v>
      </c>
      <c r="P697" t="n">
        <v>0</v>
      </c>
      <c r="Q697" t="n">
        <v>0</v>
      </c>
      <c r="R697" s="2" t="inlineStr"/>
    </row>
    <row r="698" ht="15" customHeight="1">
      <c r="A698" t="inlineStr">
        <is>
          <t>A 17742-2022</t>
        </is>
      </c>
      <c r="B698" s="1" t="n">
        <v>44681</v>
      </c>
      <c r="C698" s="1" t="n">
        <v>45712</v>
      </c>
      <c r="D698" t="inlineStr">
        <is>
          <t>JÄMTLANDS LÄN</t>
        </is>
      </c>
      <c r="E698" t="inlineStr">
        <is>
          <t>RAGUNDA</t>
        </is>
      </c>
      <c r="F698" t="inlineStr">
        <is>
          <t>SCA</t>
        </is>
      </c>
      <c r="G698" t="n">
        <v>7.2</v>
      </c>
      <c r="H698" t="n">
        <v>0</v>
      </c>
      <c r="I698" t="n">
        <v>0</v>
      </c>
      <c r="J698" t="n">
        <v>0</v>
      </c>
      <c r="K698" t="n">
        <v>0</v>
      </c>
      <c r="L698" t="n">
        <v>0</v>
      </c>
      <c r="M698" t="n">
        <v>0</v>
      </c>
      <c r="N698" t="n">
        <v>0</v>
      </c>
      <c r="O698" t="n">
        <v>0</v>
      </c>
      <c r="P698" t="n">
        <v>0</v>
      </c>
      <c r="Q698" t="n">
        <v>0</v>
      </c>
      <c r="R698" s="2" t="inlineStr"/>
    </row>
    <row r="699" ht="15" customHeight="1">
      <c r="A699" t="inlineStr">
        <is>
          <t>A 18008-2022</t>
        </is>
      </c>
      <c r="B699" s="1" t="n">
        <v>44684</v>
      </c>
      <c r="C699" s="1" t="n">
        <v>45712</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44685</v>
      </c>
      <c r="C700" s="1" t="n">
        <v>45712</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18290-2022</t>
        </is>
      </c>
      <c r="B701" s="1" t="n">
        <v>44685</v>
      </c>
      <c r="C701" s="1" t="n">
        <v>45712</v>
      </c>
      <c r="D701" t="inlineStr">
        <is>
          <t>JÄMTLANDS LÄN</t>
        </is>
      </c>
      <c r="E701" t="inlineStr">
        <is>
          <t>RAGUNDA</t>
        </is>
      </c>
      <c r="G701" t="n">
        <v>7.7</v>
      </c>
      <c r="H701" t="n">
        <v>0</v>
      </c>
      <c r="I701" t="n">
        <v>0</v>
      </c>
      <c r="J701" t="n">
        <v>0</v>
      </c>
      <c r="K701" t="n">
        <v>0</v>
      </c>
      <c r="L701" t="n">
        <v>0</v>
      </c>
      <c r="M701" t="n">
        <v>0</v>
      </c>
      <c r="N701" t="n">
        <v>0</v>
      </c>
      <c r="O701" t="n">
        <v>0</v>
      </c>
      <c r="P701" t="n">
        <v>0</v>
      </c>
      <c r="Q701" t="n">
        <v>0</v>
      </c>
      <c r="R701" s="2" t="inlineStr"/>
    </row>
    <row r="702" ht="15" customHeight="1">
      <c r="A702" t="inlineStr">
        <is>
          <t>A 18341-2022</t>
        </is>
      </c>
      <c r="B702" s="1" t="n">
        <v>44685</v>
      </c>
      <c r="C702" s="1" t="n">
        <v>45712</v>
      </c>
      <c r="D702" t="inlineStr">
        <is>
          <t>JÄMTLANDS LÄN</t>
        </is>
      </c>
      <c r="E702" t="inlineStr">
        <is>
          <t>RAGUNDA</t>
        </is>
      </c>
      <c r="G702" t="n">
        <v>0.2</v>
      </c>
      <c r="H702" t="n">
        <v>0</v>
      </c>
      <c r="I702" t="n">
        <v>0</v>
      </c>
      <c r="J702" t="n">
        <v>0</v>
      </c>
      <c r="K702" t="n">
        <v>0</v>
      </c>
      <c r="L702" t="n">
        <v>0</v>
      </c>
      <c r="M702" t="n">
        <v>0</v>
      </c>
      <c r="N702" t="n">
        <v>0</v>
      </c>
      <c r="O702" t="n">
        <v>0</v>
      </c>
      <c r="P702" t="n">
        <v>0</v>
      </c>
      <c r="Q702" t="n">
        <v>0</v>
      </c>
      <c r="R702" s="2" t="inlineStr"/>
    </row>
    <row r="703" ht="15" customHeight="1">
      <c r="A703" t="inlineStr">
        <is>
          <t>A 18375-2022</t>
        </is>
      </c>
      <c r="B703" s="1" t="n">
        <v>44685</v>
      </c>
      <c r="C703" s="1" t="n">
        <v>45712</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18548-2022</t>
        </is>
      </c>
      <c r="B704" s="1" t="n">
        <v>44687</v>
      </c>
      <c r="C704" s="1" t="n">
        <v>45712</v>
      </c>
      <c r="D704" t="inlineStr">
        <is>
          <t>JÄMTLANDS LÄN</t>
        </is>
      </c>
      <c r="E704" t="inlineStr">
        <is>
          <t>RAGUNDA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18974-2022</t>
        </is>
      </c>
      <c r="B705" s="1" t="n">
        <v>44690</v>
      </c>
      <c r="C705" s="1" t="n">
        <v>45712</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18980-2022</t>
        </is>
      </c>
      <c r="B706" s="1" t="n">
        <v>44690</v>
      </c>
      <c r="C706" s="1" t="n">
        <v>45712</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19005-2022</t>
        </is>
      </c>
      <c r="B707" s="1" t="n">
        <v>44690</v>
      </c>
      <c r="C707" s="1" t="n">
        <v>45712</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19011-2022</t>
        </is>
      </c>
      <c r="B708" s="1" t="n">
        <v>44690</v>
      </c>
      <c r="C708" s="1" t="n">
        <v>45712</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19010-2022</t>
        </is>
      </c>
      <c r="B709" s="1" t="n">
        <v>44690</v>
      </c>
      <c r="C709" s="1" t="n">
        <v>45712</v>
      </c>
      <c r="D709" t="inlineStr">
        <is>
          <t>JÄMTLANDS LÄN</t>
        </is>
      </c>
      <c r="E709" t="inlineStr">
        <is>
          <t>RAGUNDA</t>
        </is>
      </c>
      <c r="F709" t="inlineStr">
        <is>
          <t>SCA</t>
        </is>
      </c>
      <c r="G709" t="n">
        <v>19.6</v>
      </c>
      <c r="H709" t="n">
        <v>0</v>
      </c>
      <c r="I709" t="n">
        <v>0</v>
      </c>
      <c r="J709" t="n">
        <v>0</v>
      </c>
      <c r="K709" t="n">
        <v>0</v>
      </c>
      <c r="L709" t="n">
        <v>0</v>
      </c>
      <c r="M709" t="n">
        <v>0</v>
      </c>
      <c r="N709" t="n">
        <v>0</v>
      </c>
      <c r="O709" t="n">
        <v>0</v>
      </c>
      <c r="P709" t="n">
        <v>0</v>
      </c>
      <c r="Q709" t="n">
        <v>0</v>
      </c>
      <c r="R709" s="2" t="inlineStr"/>
    </row>
    <row r="710" ht="15" customHeight="1">
      <c r="A710" t="inlineStr">
        <is>
          <t>A 19006-2022</t>
        </is>
      </c>
      <c r="B710" s="1" t="n">
        <v>44690</v>
      </c>
      <c r="C710" s="1" t="n">
        <v>45712</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19596-2022</t>
        </is>
      </c>
      <c r="B711" s="1" t="n">
        <v>44694</v>
      </c>
      <c r="C711" s="1" t="n">
        <v>45712</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19801-2022</t>
        </is>
      </c>
      <c r="B712" s="1" t="n">
        <v>44695</v>
      </c>
      <c r="C712" s="1" t="n">
        <v>45712</v>
      </c>
      <c r="D712" t="inlineStr">
        <is>
          <t>JÄMTLANDS LÄN</t>
        </is>
      </c>
      <c r="E712" t="inlineStr">
        <is>
          <t>RAGUNDA</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19850-2022</t>
        </is>
      </c>
      <c r="B713" s="1" t="n">
        <v>44697</v>
      </c>
      <c r="C713" s="1" t="n">
        <v>45712</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20967-2022</t>
        </is>
      </c>
      <c r="B714" s="1" t="n">
        <v>44702</v>
      </c>
      <c r="C714" s="1" t="n">
        <v>45712</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20961-2022</t>
        </is>
      </c>
      <c r="B715" s="1" t="n">
        <v>44702</v>
      </c>
      <c r="C715" s="1" t="n">
        <v>45712</v>
      </c>
      <c r="D715" t="inlineStr">
        <is>
          <t>JÄMTLANDS LÄN</t>
        </is>
      </c>
      <c r="E715" t="inlineStr">
        <is>
          <t>RAGUNDA</t>
        </is>
      </c>
      <c r="F715" t="inlineStr">
        <is>
          <t>SCA</t>
        </is>
      </c>
      <c r="G715" t="n">
        <v>9.4</v>
      </c>
      <c r="H715" t="n">
        <v>0</v>
      </c>
      <c r="I715" t="n">
        <v>0</v>
      </c>
      <c r="J715" t="n">
        <v>0</v>
      </c>
      <c r="K715" t="n">
        <v>0</v>
      </c>
      <c r="L715" t="n">
        <v>0</v>
      </c>
      <c r="M715" t="n">
        <v>0</v>
      </c>
      <c r="N715" t="n">
        <v>0</v>
      </c>
      <c r="O715" t="n">
        <v>0</v>
      </c>
      <c r="P715" t="n">
        <v>0</v>
      </c>
      <c r="Q715" t="n">
        <v>0</v>
      </c>
      <c r="R715" s="2" t="inlineStr"/>
    </row>
    <row r="716" ht="15" customHeight="1">
      <c r="A716" t="inlineStr">
        <is>
          <t>A 21194-2022</t>
        </is>
      </c>
      <c r="B716" s="1" t="n">
        <v>44705</v>
      </c>
      <c r="C716" s="1" t="n">
        <v>45712</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21196-2022</t>
        </is>
      </c>
      <c r="B717" s="1" t="n">
        <v>44705</v>
      </c>
      <c r="C717" s="1" t="n">
        <v>45712</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21195-2022</t>
        </is>
      </c>
      <c r="B718" s="1" t="n">
        <v>44705</v>
      </c>
      <c r="C718" s="1" t="n">
        <v>45712</v>
      </c>
      <c r="D718" t="inlineStr">
        <is>
          <t>JÄMTLANDS LÄN</t>
        </is>
      </c>
      <c r="E718" t="inlineStr">
        <is>
          <t>RAGUNDA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21193-2022</t>
        </is>
      </c>
      <c r="B719" s="1" t="n">
        <v>44705</v>
      </c>
      <c r="C719" s="1" t="n">
        <v>45712</v>
      </c>
      <c r="D719" t="inlineStr">
        <is>
          <t>JÄMTLANDS LÄN</t>
        </is>
      </c>
      <c r="E719" t="inlineStr">
        <is>
          <t>RAGUNDA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21984-2022</t>
        </is>
      </c>
      <c r="B720" s="1" t="n">
        <v>44704</v>
      </c>
      <c r="C720" s="1" t="n">
        <v>45712</v>
      </c>
      <c r="D720" t="inlineStr">
        <is>
          <t>JÄMTLANDS LÄN</t>
        </is>
      </c>
      <c r="E720" t="inlineStr">
        <is>
          <t>RAGUNDA</t>
        </is>
      </c>
      <c r="G720" t="n">
        <v>0.5</v>
      </c>
      <c r="H720" t="n">
        <v>0</v>
      </c>
      <c r="I720" t="n">
        <v>0</v>
      </c>
      <c r="J720" t="n">
        <v>0</v>
      </c>
      <c r="K720" t="n">
        <v>0</v>
      </c>
      <c r="L720" t="n">
        <v>0</v>
      </c>
      <c r="M720" t="n">
        <v>0</v>
      </c>
      <c r="N720" t="n">
        <v>0</v>
      </c>
      <c r="O720" t="n">
        <v>0</v>
      </c>
      <c r="P720" t="n">
        <v>0</v>
      </c>
      <c r="Q720" t="n">
        <v>0</v>
      </c>
      <c r="R720" s="2" t="inlineStr"/>
    </row>
    <row r="721" ht="15" customHeight="1">
      <c r="A721" t="inlineStr">
        <is>
          <t>A 21413-2022</t>
        </is>
      </c>
      <c r="B721" s="1" t="n">
        <v>44705</v>
      </c>
      <c r="C721" s="1" t="n">
        <v>45712</v>
      </c>
      <c r="D721" t="inlineStr">
        <is>
          <t>JÄMTLANDS LÄN</t>
        </is>
      </c>
      <c r="E721" t="inlineStr">
        <is>
          <t>RAGUNDA</t>
        </is>
      </c>
      <c r="G721" t="n">
        <v>2.4</v>
      </c>
      <c r="H721" t="n">
        <v>0</v>
      </c>
      <c r="I721" t="n">
        <v>0</v>
      </c>
      <c r="J721" t="n">
        <v>0</v>
      </c>
      <c r="K721" t="n">
        <v>0</v>
      </c>
      <c r="L721" t="n">
        <v>0</v>
      </c>
      <c r="M721" t="n">
        <v>0</v>
      </c>
      <c r="N721" t="n">
        <v>0</v>
      </c>
      <c r="O721" t="n">
        <v>0</v>
      </c>
      <c r="P721" t="n">
        <v>0</v>
      </c>
      <c r="Q721" t="n">
        <v>0</v>
      </c>
      <c r="R721" s="2" t="inlineStr"/>
    </row>
    <row r="722" ht="15" customHeight="1">
      <c r="A722" t="inlineStr">
        <is>
          <t>A 21500-2022</t>
        </is>
      </c>
      <c r="B722" s="1" t="n">
        <v>44706</v>
      </c>
      <c r="C722" s="1" t="n">
        <v>45712</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22329-2022</t>
        </is>
      </c>
      <c r="B723" s="1" t="n">
        <v>44713</v>
      </c>
      <c r="C723" s="1" t="n">
        <v>45712</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22327-2022</t>
        </is>
      </c>
      <c r="B724" s="1" t="n">
        <v>44713</v>
      </c>
      <c r="C724" s="1" t="n">
        <v>45712</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22686-2022</t>
        </is>
      </c>
      <c r="B725" s="1" t="n">
        <v>44714</v>
      </c>
      <c r="C725" s="1" t="n">
        <v>45712</v>
      </c>
      <c r="D725" t="inlineStr">
        <is>
          <t>JÄMTLANDS LÄN</t>
        </is>
      </c>
      <c r="E725" t="inlineStr">
        <is>
          <t>RAGUNDA</t>
        </is>
      </c>
      <c r="G725" t="n">
        <v>2.8</v>
      </c>
      <c r="H725" t="n">
        <v>0</v>
      </c>
      <c r="I725" t="n">
        <v>0</v>
      </c>
      <c r="J725" t="n">
        <v>0</v>
      </c>
      <c r="K725" t="n">
        <v>0</v>
      </c>
      <c r="L725" t="n">
        <v>0</v>
      </c>
      <c r="M725" t="n">
        <v>0</v>
      </c>
      <c r="N725" t="n">
        <v>0</v>
      </c>
      <c r="O725" t="n">
        <v>0</v>
      </c>
      <c r="P725" t="n">
        <v>0</v>
      </c>
      <c r="Q725" t="n">
        <v>0</v>
      </c>
      <c r="R725" s="2" t="inlineStr"/>
    </row>
    <row r="726" ht="15" customHeight="1">
      <c r="A726" t="inlineStr">
        <is>
          <t>A 22772-2022</t>
        </is>
      </c>
      <c r="B726" s="1" t="n">
        <v>44715</v>
      </c>
      <c r="C726" s="1" t="n">
        <v>45712</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22695-2022</t>
        </is>
      </c>
      <c r="B727" s="1" t="n">
        <v>44714</v>
      </c>
      <c r="C727" s="1" t="n">
        <v>45712</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22770-2022</t>
        </is>
      </c>
      <c r="B728" s="1" t="n">
        <v>44714</v>
      </c>
      <c r="C728" s="1" t="n">
        <v>45712</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23668-2022</t>
        </is>
      </c>
      <c r="B729" s="1" t="n">
        <v>44722</v>
      </c>
      <c r="C729" s="1" t="n">
        <v>45712</v>
      </c>
      <c r="D729" t="inlineStr">
        <is>
          <t>JÄMTLANDS LÄN</t>
        </is>
      </c>
      <c r="E729" t="inlineStr">
        <is>
          <t>RAGUNDA</t>
        </is>
      </c>
      <c r="G729" t="n">
        <v>3.9</v>
      </c>
      <c r="H729" t="n">
        <v>0</v>
      </c>
      <c r="I729" t="n">
        <v>0</v>
      </c>
      <c r="J729" t="n">
        <v>0</v>
      </c>
      <c r="K729" t="n">
        <v>0</v>
      </c>
      <c r="L729" t="n">
        <v>0</v>
      </c>
      <c r="M729" t="n">
        <v>0</v>
      </c>
      <c r="N729" t="n">
        <v>0</v>
      </c>
      <c r="O729" t="n">
        <v>0</v>
      </c>
      <c r="P729" t="n">
        <v>0</v>
      </c>
      <c r="Q729" t="n">
        <v>0</v>
      </c>
      <c r="R729" s="2" t="inlineStr"/>
    </row>
    <row r="730" ht="15" customHeight="1">
      <c r="A730" t="inlineStr">
        <is>
          <t>A 24359-2022</t>
        </is>
      </c>
      <c r="B730" s="1" t="n">
        <v>44725</v>
      </c>
      <c r="C730" s="1" t="n">
        <v>45712</v>
      </c>
      <c r="D730" t="inlineStr">
        <is>
          <t>JÄMTLANDS LÄN</t>
        </is>
      </c>
      <c r="E730" t="inlineStr">
        <is>
          <t>RAGUNDA</t>
        </is>
      </c>
      <c r="G730" t="n">
        <v>11.4</v>
      </c>
      <c r="H730" t="n">
        <v>0</v>
      </c>
      <c r="I730" t="n">
        <v>0</v>
      </c>
      <c r="J730" t="n">
        <v>0</v>
      </c>
      <c r="K730" t="n">
        <v>0</v>
      </c>
      <c r="L730" t="n">
        <v>0</v>
      </c>
      <c r="M730" t="n">
        <v>0</v>
      </c>
      <c r="N730" t="n">
        <v>0</v>
      </c>
      <c r="O730" t="n">
        <v>0</v>
      </c>
      <c r="P730" t="n">
        <v>0</v>
      </c>
      <c r="Q730" t="n">
        <v>0</v>
      </c>
      <c r="R730" s="2" t="inlineStr"/>
    </row>
    <row r="731" ht="15" customHeight="1">
      <c r="A731" t="inlineStr">
        <is>
          <t>A 24720-2022</t>
        </is>
      </c>
      <c r="B731" s="1" t="n">
        <v>44728</v>
      </c>
      <c r="C731" s="1" t="n">
        <v>45712</v>
      </c>
      <c r="D731" t="inlineStr">
        <is>
          <t>JÄMTLANDS LÄN</t>
        </is>
      </c>
      <c r="E731" t="inlineStr">
        <is>
          <t>RAGUNDA</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24741-2022</t>
        </is>
      </c>
      <c r="B732" s="1" t="n">
        <v>44727</v>
      </c>
      <c r="C732" s="1" t="n">
        <v>45712</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25028-2022</t>
        </is>
      </c>
      <c r="B733" s="1" t="n">
        <v>44729</v>
      </c>
      <c r="C733" s="1" t="n">
        <v>45712</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25027-2022</t>
        </is>
      </c>
      <c r="B734" s="1" t="n">
        <v>44729</v>
      </c>
      <c r="C734" s="1" t="n">
        <v>45712</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25253-2022</t>
        </is>
      </c>
      <c r="B735" s="1" t="n">
        <v>44730</v>
      </c>
      <c r="C735" s="1" t="n">
        <v>45712</v>
      </c>
      <c r="D735" t="inlineStr">
        <is>
          <t>JÄMTLANDS LÄN</t>
        </is>
      </c>
      <c r="E735" t="inlineStr">
        <is>
          <t>RAGUNDA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25342-2022</t>
        </is>
      </c>
      <c r="B736" s="1" t="n">
        <v>44732</v>
      </c>
      <c r="C736" s="1" t="n">
        <v>45712</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25433-2022</t>
        </is>
      </c>
      <c r="B737" s="1" t="n">
        <v>44732</v>
      </c>
      <c r="C737" s="1" t="n">
        <v>45712</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25962-2022</t>
        </is>
      </c>
      <c r="B738" s="1" t="n">
        <v>44734</v>
      </c>
      <c r="C738" s="1" t="n">
        <v>45712</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26122-2022</t>
        </is>
      </c>
      <c r="B739" s="1" t="n">
        <v>44735</v>
      </c>
      <c r="C739" s="1" t="n">
        <v>45712</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26123-2022</t>
        </is>
      </c>
      <c r="B740" s="1" t="n">
        <v>44735</v>
      </c>
      <c r="C740" s="1" t="n">
        <v>45712</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27291-2022</t>
        </is>
      </c>
      <c r="B741" s="1" t="n">
        <v>44742</v>
      </c>
      <c r="C741" s="1" t="n">
        <v>45712</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27302-2022</t>
        </is>
      </c>
      <c r="B742" s="1" t="n">
        <v>44741</v>
      </c>
      <c r="C742" s="1" t="n">
        <v>45712</v>
      </c>
      <c r="D742" t="inlineStr">
        <is>
          <t>JÄMTLANDS LÄN</t>
        </is>
      </c>
      <c r="E742" t="inlineStr">
        <is>
          <t>RAGUNDA</t>
        </is>
      </c>
      <c r="G742" t="n">
        <v>1.6</v>
      </c>
      <c r="H742" t="n">
        <v>0</v>
      </c>
      <c r="I742" t="n">
        <v>0</v>
      </c>
      <c r="J742" t="n">
        <v>0</v>
      </c>
      <c r="K742" t="n">
        <v>0</v>
      </c>
      <c r="L742" t="n">
        <v>0</v>
      </c>
      <c r="M742" t="n">
        <v>0</v>
      </c>
      <c r="N742" t="n">
        <v>0</v>
      </c>
      <c r="O742" t="n">
        <v>0</v>
      </c>
      <c r="P742" t="n">
        <v>0</v>
      </c>
      <c r="Q742" t="n">
        <v>0</v>
      </c>
      <c r="R742" s="2" t="inlineStr"/>
    </row>
    <row r="743" ht="15" customHeight="1">
      <c r="A743" t="inlineStr">
        <is>
          <t>A 27292-2022</t>
        </is>
      </c>
      <c r="B743" s="1" t="n">
        <v>44742</v>
      </c>
      <c r="C743" s="1" t="n">
        <v>45712</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27777-2022</t>
        </is>
      </c>
      <c r="B744" s="1" t="n">
        <v>44743</v>
      </c>
      <c r="C744" s="1" t="n">
        <v>45712</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27939-2022</t>
        </is>
      </c>
      <c r="B745" s="1" t="n">
        <v>44744</v>
      </c>
      <c r="C745" s="1" t="n">
        <v>45712</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28081-2022</t>
        </is>
      </c>
      <c r="B746" s="1" t="n">
        <v>44746</v>
      </c>
      <c r="C746" s="1" t="n">
        <v>45712</v>
      </c>
      <c r="D746" t="inlineStr">
        <is>
          <t>JÄMTLANDS LÄN</t>
        </is>
      </c>
      <c r="E746" t="inlineStr">
        <is>
          <t>RAGUNDA</t>
        </is>
      </c>
      <c r="G746" t="n">
        <v>7</v>
      </c>
      <c r="H746" t="n">
        <v>0</v>
      </c>
      <c r="I746" t="n">
        <v>0</v>
      </c>
      <c r="J746" t="n">
        <v>0</v>
      </c>
      <c r="K746" t="n">
        <v>0</v>
      </c>
      <c r="L746" t="n">
        <v>0</v>
      </c>
      <c r="M746" t="n">
        <v>0</v>
      </c>
      <c r="N746" t="n">
        <v>0</v>
      </c>
      <c r="O746" t="n">
        <v>0</v>
      </c>
      <c r="P746" t="n">
        <v>0</v>
      </c>
      <c r="Q746" t="n">
        <v>0</v>
      </c>
      <c r="R746" s="2" t="inlineStr"/>
    </row>
    <row r="747" ht="15" customHeight="1">
      <c r="A747" t="inlineStr">
        <is>
          <t>A 28283-2022</t>
        </is>
      </c>
      <c r="B747" s="1" t="n">
        <v>44746</v>
      </c>
      <c r="C747" s="1" t="n">
        <v>45712</v>
      </c>
      <c r="D747" t="inlineStr">
        <is>
          <t>JÄMTLANDS LÄN</t>
        </is>
      </c>
      <c r="E747" t="inlineStr">
        <is>
          <t>RAGUNDA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28277-2022</t>
        </is>
      </c>
      <c r="B748" s="1" t="n">
        <v>44747</v>
      </c>
      <c r="C748" s="1" t="n">
        <v>45712</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28292-2022</t>
        </is>
      </c>
      <c r="B749" s="1" t="n">
        <v>44747</v>
      </c>
      <c r="C749" s="1" t="n">
        <v>45712</v>
      </c>
      <c r="D749" t="inlineStr">
        <is>
          <t>JÄMTLANDS LÄN</t>
        </is>
      </c>
      <c r="E749" t="inlineStr">
        <is>
          <t>RAGUNDA</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28737-2022</t>
        </is>
      </c>
      <c r="B750" s="1" t="n">
        <v>44749</v>
      </c>
      <c r="C750" s="1" t="n">
        <v>45712</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29537-2022</t>
        </is>
      </c>
      <c r="B751" s="1" t="n">
        <v>44754</v>
      </c>
      <c r="C751" s="1" t="n">
        <v>45712</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30609-2022</t>
        </is>
      </c>
      <c r="B752" s="1" t="n">
        <v>44761</v>
      </c>
      <c r="C752" s="1" t="n">
        <v>45712</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c r="U752">
        <f>HYPERLINK("https://klasma.github.io/Logging_2303/knärot/A 30609-2022 karta knärot.png", "A 30609-2022")</f>
        <v/>
      </c>
      <c r="V752">
        <f>HYPERLINK("https://klasma.github.io/Logging_2303/klagomål/A 30609-2022 FSC-klagomål.docx", "A 30609-2022")</f>
        <v/>
      </c>
      <c r="W752">
        <f>HYPERLINK("https://klasma.github.io/Logging_2303/klagomålsmail/A 30609-2022 FSC-klagomål mail.docx", "A 30609-2022")</f>
        <v/>
      </c>
      <c r="X752">
        <f>HYPERLINK("https://klasma.github.io/Logging_2303/tillsyn/A 30609-2022 tillsynsbegäran.docx", "A 30609-2022")</f>
        <v/>
      </c>
      <c r="Y752">
        <f>HYPERLINK("https://klasma.github.io/Logging_2303/tillsynsmail/A 30609-2022 tillsynsbegäran mail.docx", "A 30609-2022")</f>
        <v/>
      </c>
    </row>
    <row r="753" ht="15" customHeight="1">
      <c r="A753" t="inlineStr">
        <is>
          <t>A 30931-2022</t>
        </is>
      </c>
      <c r="B753" s="1" t="n">
        <v>44768</v>
      </c>
      <c r="C753" s="1" t="n">
        <v>45712</v>
      </c>
      <c r="D753" t="inlineStr">
        <is>
          <t>JÄMTLANDS LÄN</t>
        </is>
      </c>
      <c r="E753" t="inlineStr">
        <is>
          <t>RAGUNDA</t>
        </is>
      </c>
      <c r="G753" t="n">
        <v>6</v>
      </c>
      <c r="H753" t="n">
        <v>0</v>
      </c>
      <c r="I753" t="n">
        <v>0</v>
      </c>
      <c r="J753" t="n">
        <v>0</v>
      </c>
      <c r="K753" t="n">
        <v>0</v>
      </c>
      <c r="L753" t="n">
        <v>0</v>
      </c>
      <c r="M753" t="n">
        <v>0</v>
      </c>
      <c r="N753" t="n">
        <v>0</v>
      </c>
      <c r="O753" t="n">
        <v>0</v>
      </c>
      <c r="P753" t="n">
        <v>0</v>
      </c>
      <c r="Q753" t="n">
        <v>0</v>
      </c>
      <c r="R753" s="2" t="inlineStr"/>
    </row>
    <row r="754" ht="15" customHeight="1">
      <c r="A754" t="inlineStr">
        <is>
          <t>A 31436-2022</t>
        </is>
      </c>
      <c r="B754" s="1" t="n">
        <v>44774</v>
      </c>
      <c r="C754" s="1" t="n">
        <v>45712</v>
      </c>
      <c r="D754" t="inlineStr">
        <is>
          <t>JÄMTLANDS LÄN</t>
        </is>
      </c>
      <c r="E754" t="inlineStr">
        <is>
          <t>RAGUNDA</t>
        </is>
      </c>
      <c r="G754" t="n">
        <v>2</v>
      </c>
      <c r="H754" t="n">
        <v>0</v>
      </c>
      <c r="I754" t="n">
        <v>0</v>
      </c>
      <c r="J754" t="n">
        <v>0</v>
      </c>
      <c r="K754" t="n">
        <v>0</v>
      </c>
      <c r="L754" t="n">
        <v>0</v>
      </c>
      <c r="M754" t="n">
        <v>0</v>
      </c>
      <c r="N754" t="n">
        <v>0</v>
      </c>
      <c r="O754" t="n">
        <v>0</v>
      </c>
      <c r="P754" t="n">
        <v>0</v>
      </c>
      <c r="Q754" t="n">
        <v>0</v>
      </c>
      <c r="R754" s="2" t="inlineStr"/>
    </row>
    <row r="755" ht="15" customHeight="1">
      <c r="A755" t="inlineStr">
        <is>
          <t>A 31484-2022</t>
        </is>
      </c>
      <c r="B755" s="1" t="n">
        <v>44775</v>
      </c>
      <c r="C755" s="1" t="n">
        <v>45712</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31435-2022</t>
        </is>
      </c>
      <c r="B756" s="1" t="n">
        <v>44774</v>
      </c>
      <c r="C756" s="1" t="n">
        <v>45712</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31854-2022</t>
        </is>
      </c>
      <c r="B757" s="1" t="n">
        <v>44776</v>
      </c>
      <c r="C757" s="1" t="n">
        <v>45712</v>
      </c>
      <c r="D757" t="inlineStr">
        <is>
          <t>JÄMTLANDS LÄN</t>
        </is>
      </c>
      <c r="E757" t="inlineStr">
        <is>
          <t>RAGUNDA</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31841-2022</t>
        </is>
      </c>
      <c r="B758" s="1" t="n">
        <v>44776</v>
      </c>
      <c r="C758" s="1" t="n">
        <v>45712</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31970-2022</t>
        </is>
      </c>
      <c r="B759" s="1" t="n">
        <v>44777</v>
      </c>
      <c r="C759" s="1" t="n">
        <v>45712</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31972-2022</t>
        </is>
      </c>
      <c r="B760" s="1" t="n">
        <v>44778</v>
      </c>
      <c r="C760" s="1" t="n">
        <v>45712</v>
      </c>
      <c r="D760" t="inlineStr">
        <is>
          <t>JÄMTLANDS LÄN</t>
        </is>
      </c>
      <c r="E760" t="inlineStr">
        <is>
          <t>RAGUNDA</t>
        </is>
      </c>
      <c r="F760" t="inlineStr">
        <is>
          <t>Naturvårdsverket</t>
        </is>
      </c>
      <c r="G760" t="n">
        <v>0.8</v>
      </c>
      <c r="H760" t="n">
        <v>0</v>
      </c>
      <c r="I760" t="n">
        <v>0</v>
      </c>
      <c r="J760" t="n">
        <v>0</v>
      </c>
      <c r="K760" t="n">
        <v>0</v>
      </c>
      <c r="L760" t="n">
        <v>0</v>
      </c>
      <c r="M760" t="n">
        <v>0</v>
      </c>
      <c r="N760" t="n">
        <v>0</v>
      </c>
      <c r="O760" t="n">
        <v>0</v>
      </c>
      <c r="P760" t="n">
        <v>0</v>
      </c>
      <c r="Q760" t="n">
        <v>0</v>
      </c>
      <c r="R760" s="2" t="inlineStr"/>
    </row>
    <row r="761" ht="15" customHeight="1">
      <c r="A761" t="inlineStr">
        <is>
          <t>A 32135-2022</t>
        </is>
      </c>
      <c r="B761" s="1" t="n">
        <v>44778</v>
      </c>
      <c r="C761" s="1" t="n">
        <v>45712</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32288-2022</t>
        </is>
      </c>
      <c r="B762" s="1" t="n">
        <v>44781</v>
      </c>
      <c r="C762" s="1" t="n">
        <v>45712</v>
      </c>
      <c r="D762" t="inlineStr">
        <is>
          <t>JÄMTLANDS LÄN</t>
        </is>
      </c>
      <c r="E762" t="inlineStr">
        <is>
          <t>RAGUNDA</t>
        </is>
      </c>
      <c r="G762" t="n">
        <v>0.8</v>
      </c>
      <c r="H762" t="n">
        <v>0</v>
      </c>
      <c r="I762" t="n">
        <v>0</v>
      </c>
      <c r="J762" t="n">
        <v>0</v>
      </c>
      <c r="K762" t="n">
        <v>0</v>
      </c>
      <c r="L762" t="n">
        <v>0</v>
      </c>
      <c r="M762" t="n">
        <v>0</v>
      </c>
      <c r="N762" t="n">
        <v>0</v>
      </c>
      <c r="O762" t="n">
        <v>0</v>
      </c>
      <c r="P762" t="n">
        <v>0</v>
      </c>
      <c r="Q762" t="n">
        <v>0</v>
      </c>
      <c r="R762" s="2" t="inlineStr"/>
    </row>
    <row r="763" ht="15" customHeight="1">
      <c r="A763" t="inlineStr">
        <is>
          <t>A 32526-2022</t>
        </is>
      </c>
      <c r="B763" s="1" t="n">
        <v>44782</v>
      </c>
      <c r="C763" s="1" t="n">
        <v>45712</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32780-2022</t>
        </is>
      </c>
      <c r="B764" s="1" t="n">
        <v>44783</v>
      </c>
      <c r="C764" s="1" t="n">
        <v>45712</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32979-2022</t>
        </is>
      </c>
      <c r="B765" s="1" t="n">
        <v>44785</v>
      </c>
      <c r="C765" s="1" t="n">
        <v>45712</v>
      </c>
      <c r="D765" t="inlineStr">
        <is>
          <t>JÄMTLANDS LÄN</t>
        </is>
      </c>
      <c r="E765" t="inlineStr">
        <is>
          <t>RAGUNDA</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32986-2022</t>
        </is>
      </c>
      <c r="B766" s="1" t="n">
        <v>44785</v>
      </c>
      <c r="C766" s="1" t="n">
        <v>45712</v>
      </c>
      <c r="D766" t="inlineStr">
        <is>
          <t>JÄMTLANDS LÄN</t>
        </is>
      </c>
      <c r="E766" t="inlineStr">
        <is>
          <t>RAGUNDA</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33218-2022</t>
        </is>
      </c>
      <c r="B767" s="1" t="n">
        <v>44786</v>
      </c>
      <c r="C767" s="1" t="n">
        <v>45712</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33278-2022</t>
        </is>
      </c>
      <c r="B768" s="1" t="n">
        <v>44788</v>
      </c>
      <c r="C768" s="1" t="n">
        <v>45712</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33279-2022</t>
        </is>
      </c>
      <c r="B769" s="1" t="n">
        <v>44788</v>
      </c>
      <c r="C769" s="1" t="n">
        <v>45712</v>
      </c>
      <c r="D769" t="inlineStr">
        <is>
          <t>JÄMTLANDS LÄN</t>
        </is>
      </c>
      <c r="E769" t="inlineStr">
        <is>
          <t>RAGUNDA</t>
        </is>
      </c>
      <c r="G769" t="n">
        <v>17</v>
      </c>
      <c r="H769" t="n">
        <v>0</v>
      </c>
      <c r="I769" t="n">
        <v>0</v>
      </c>
      <c r="J769" t="n">
        <v>0</v>
      </c>
      <c r="K769" t="n">
        <v>0</v>
      </c>
      <c r="L769" t="n">
        <v>0</v>
      </c>
      <c r="M769" t="n">
        <v>0</v>
      </c>
      <c r="N769" t="n">
        <v>0</v>
      </c>
      <c r="O769" t="n">
        <v>0</v>
      </c>
      <c r="P769" t="n">
        <v>0</v>
      </c>
      <c r="Q769" t="n">
        <v>0</v>
      </c>
      <c r="R769" s="2" t="inlineStr"/>
    </row>
    <row r="770" ht="15" customHeight="1">
      <c r="A770" t="inlineStr">
        <is>
          <t>A 35018-2022</t>
        </is>
      </c>
      <c r="B770" s="1" t="n">
        <v>44797</v>
      </c>
      <c r="C770" s="1" t="n">
        <v>45712</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35235-2022</t>
        </is>
      </c>
      <c r="B771" s="1" t="n">
        <v>44797</v>
      </c>
      <c r="C771" s="1" t="n">
        <v>45712</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35495-2022</t>
        </is>
      </c>
      <c r="B772" s="1" t="n">
        <v>44798</v>
      </c>
      <c r="C772" s="1" t="n">
        <v>45712</v>
      </c>
      <c r="D772" t="inlineStr">
        <is>
          <t>JÄMTLANDS LÄN</t>
        </is>
      </c>
      <c r="E772" t="inlineStr">
        <is>
          <t>RAGUNDA</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35492-2022</t>
        </is>
      </c>
      <c r="B773" s="1" t="n">
        <v>44799</v>
      </c>
      <c r="C773" s="1" t="n">
        <v>45712</v>
      </c>
      <c r="D773" t="inlineStr">
        <is>
          <t>JÄMTLANDS LÄN</t>
        </is>
      </c>
      <c r="E773" t="inlineStr">
        <is>
          <t>RAGUNDA</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35757-2022</t>
        </is>
      </c>
      <c r="B774" s="1" t="n">
        <v>44799</v>
      </c>
      <c r="C774" s="1" t="n">
        <v>45712</v>
      </c>
      <c r="D774" t="inlineStr">
        <is>
          <t>JÄMTLANDS LÄN</t>
        </is>
      </c>
      <c r="E774" t="inlineStr">
        <is>
          <t>RAGUNDA</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35749-2022</t>
        </is>
      </c>
      <c r="B775" s="1" t="n">
        <v>44800</v>
      </c>
      <c r="C775" s="1" t="n">
        <v>45712</v>
      </c>
      <c r="D775" t="inlineStr">
        <is>
          <t>JÄMTLANDS LÄN</t>
        </is>
      </c>
      <c r="E775" t="inlineStr">
        <is>
          <t>RAGUNDA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35998-2022</t>
        </is>
      </c>
      <c r="B776" s="1" t="n">
        <v>44802</v>
      </c>
      <c r="C776" s="1" t="n">
        <v>45712</v>
      </c>
      <c r="D776" t="inlineStr">
        <is>
          <t>JÄMTLANDS LÄN</t>
        </is>
      </c>
      <c r="E776" t="inlineStr">
        <is>
          <t>RAGUNDA</t>
        </is>
      </c>
      <c r="G776" t="n">
        <v>25.4</v>
      </c>
      <c r="H776" t="n">
        <v>0</v>
      </c>
      <c r="I776" t="n">
        <v>0</v>
      </c>
      <c r="J776" t="n">
        <v>0</v>
      </c>
      <c r="K776" t="n">
        <v>0</v>
      </c>
      <c r="L776" t="n">
        <v>0</v>
      </c>
      <c r="M776" t="n">
        <v>0</v>
      </c>
      <c r="N776" t="n">
        <v>0</v>
      </c>
      <c r="O776" t="n">
        <v>0</v>
      </c>
      <c r="P776" t="n">
        <v>0</v>
      </c>
      <c r="Q776" t="n">
        <v>0</v>
      </c>
      <c r="R776" s="2" t="inlineStr"/>
    </row>
    <row r="777" ht="15" customHeight="1">
      <c r="A777" t="inlineStr">
        <is>
          <t>A 36084-2022</t>
        </is>
      </c>
      <c r="B777" s="1" t="n">
        <v>44802</v>
      </c>
      <c r="C777" s="1" t="n">
        <v>45712</v>
      </c>
      <c r="D777" t="inlineStr">
        <is>
          <t>JÄMTLANDS LÄN</t>
        </is>
      </c>
      <c r="E777" t="inlineStr">
        <is>
          <t>RAGUNDA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36106-2022</t>
        </is>
      </c>
      <c r="B778" s="1" t="n">
        <v>44803</v>
      </c>
      <c r="C778" s="1" t="n">
        <v>45712</v>
      </c>
      <c r="D778" t="inlineStr">
        <is>
          <t>JÄMTLANDS LÄN</t>
        </is>
      </c>
      <c r="E778" t="inlineStr">
        <is>
          <t>RAGUNDA</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36375-2022</t>
        </is>
      </c>
      <c r="B779" s="1" t="n">
        <v>44804</v>
      </c>
      <c r="C779" s="1" t="n">
        <v>45712</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36612-2022</t>
        </is>
      </c>
      <c r="B780" s="1" t="n">
        <v>44804</v>
      </c>
      <c r="C780" s="1" t="n">
        <v>45712</v>
      </c>
      <c r="D780" t="inlineStr">
        <is>
          <t>JÄMTLANDS LÄN</t>
        </is>
      </c>
      <c r="E780" t="inlineStr">
        <is>
          <t>RAGUNDA</t>
        </is>
      </c>
      <c r="G780" t="n">
        <v>2.1</v>
      </c>
      <c r="H780" t="n">
        <v>0</v>
      </c>
      <c r="I780" t="n">
        <v>0</v>
      </c>
      <c r="J780" t="n">
        <v>0</v>
      </c>
      <c r="K780" t="n">
        <v>0</v>
      </c>
      <c r="L780" t="n">
        <v>0</v>
      </c>
      <c r="M780" t="n">
        <v>0</v>
      </c>
      <c r="N780" t="n">
        <v>0</v>
      </c>
      <c r="O780" t="n">
        <v>0</v>
      </c>
      <c r="P780" t="n">
        <v>0</v>
      </c>
      <c r="Q780" t="n">
        <v>0</v>
      </c>
      <c r="R780" s="2" t="inlineStr"/>
    </row>
    <row r="781" ht="15" customHeight="1">
      <c r="A781" t="inlineStr">
        <is>
          <t>A 36692-2022</t>
        </is>
      </c>
      <c r="B781" s="1" t="n">
        <v>44804</v>
      </c>
      <c r="C781" s="1" t="n">
        <v>45712</v>
      </c>
      <c r="D781" t="inlineStr">
        <is>
          <t>JÄMTLANDS LÄN</t>
        </is>
      </c>
      <c r="E781" t="inlineStr">
        <is>
          <t>RAGUNDA</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36696-2022</t>
        </is>
      </c>
      <c r="B782" s="1" t="n">
        <v>44805</v>
      </c>
      <c r="C782" s="1" t="n">
        <v>45712</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36922-2022</t>
        </is>
      </c>
      <c r="B783" s="1" t="n">
        <v>44806</v>
      </c>
      <c r="C783" s="1" t="n">
        <v>45712</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36941-2022</t>
        </is>
      </c>
      <c r="B784" s="1" t="n">
        <v>44805</v>
      </c>
      <c r="C784" s="1" t="n">
        <v>45712</v>
      </c>
      <c r="D784" t="inlineStr">
        <is>
          <t>JÄMTLANDS LÄN</t>
        </is>
      </c>
      <c r="E784" t="inlineStr">
        <is>
          <t>RAGUNDA</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37324-2022</t>
        </is>
      </c>
      <c r="B785" s="1" t="n">
        <v>44806</v>
      </c>
      <c r="C785" s="1" t="n">
        <v>45712</v>
      </c>
      <c r="D785" t="inlineStr">
        <is>
          <t>JÄMTLANDS LÄN</t>
        </is>
      </c>
      <c r="E785" t="inlineStr">
        <is>
          <t>RAGUNDA</t>
        </is>
      </c>
      <c r="G785" t="n">
        <v>2.3</v>
      </c>
      <c r="H785" t="n">
        <v>0</v>
      </c>
      <c r="I785" t="n">
        <v>0</v>
      </c>
      <c r="J785" t="n">
        <v>0</v>
      </c>
      <c r="K785" t="n">
        <v>0</v>
      </c>
      <c r="L785" t="n">
        <v>0</v>
      </c>
      <c r="M785" t="n">
        <v>0</v>
      </c>
      <c r="N785" t="n">
        <v>0</v>
      </c>
      <c r="O785" t="n">
        <v>0</v>
      </c>
      <c r="P785" t="n">
        <v>0</v>
      </c>
      <c r="Q785" t="n">
        <v>0</v>
      </c>
      <c r="R785" s="2" t="inlineStr"/>
    </row>
    <row r="786" ht="15" customHeight="1">
      <c r="A786" t="inlineStr">
        <is>
          <t>A 38426-2022</t>
        </is>
      </c>
      <c r="B786" s="1" t="n">
        <v>44812</v>
      </c>
      <c r="C786" s="1" t="n">
        <v>45712</v>
      </c>
      <c r="D786" t="inlineStr">
        <is>
          <t>JÄMTLANDS LÄN</t>
        </is>
      </c>
      <c r="E786" t="inlineStr">
        <is>
          <t>RAGUNDA</t>
        </is>
      </c>
      <c r="F786" t="inlineStr">
        <is>
          <t>SCA</t>
        </is>
      </c>
      <c r="G786" t="n">
        <v>11.3</v>
      </c>
      <c r="H786" t="n">
        <v>0</v>
      </c>
      <c r="I786" t="n">
        <v>0</v>
      </c>
      <c r="J786" t="n">
        <v>0</v>
      </c>
      <c r="K786" t="n">
        <v>0</v>
      </c>
      <c r="L786" t="n">
        <v>0</v>
      </c>
      <c r="M786" t="n">
        <v>0</v>
      </c>
      <c r="N786" t="n">
        <v>0</v>
      </c>
      <c r="O786" t="n">
        <v>0</v>
      </c>
      <c r="P786" t="n">
        <v>0</v>
      </c>
      <c r="Q786" t="n">
        <v>0</v>
      </c>
      <c r="R786" s="2" t="inlineStr"/>
    </row>
    <row r="787" ht="15" customHeight="1">
      <c r="A787" t="inlineStr">
        <is>
          <t>A 38425-2022</t>
        </is>
      </c>
      <c r="B787" s="1" t="n">
        <v>44813</v>
      </c>
      <c r="C787" s="1" t="n">
        <v>45712</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38683-2022</t>
        </is>
      </c>
      <c r="B788" s="1" t="n">
        <v>44813</v>
      </c>
      <c r="C788" s="1" t="n">
        <v>45712</v>
      </c>
      <c r="D788" t="inlineStr">
        <is>
          <t>JÄMTLANDS LÄN</t>
        </is>
      </c>
      <c r="E788" t="inlineStr">
        <is>
          <t>RAGUNDA</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38664-2022</t>
        </is>
      </c>
      <c r="B789" s="1" t="n">
        <v>44813</v>
      </c>
      <c r="C789" s="1" t="n">
        <v>45712</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38733-2022</t>
        </is>
      </c>
      <c r="B790" s="1" t="n">
        <v>44815</v>
      </c>
      <c r="C790" s="1" t="n">
        <v>45712</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39003-2022</t>
        </is>
      </c>
      <c r="B791" s="1" t="n">
        <v>44817</v>
      </c>
      <c r="C791" s="1" t="n">
        <v>45712</v>
      </c>
      <c r="D791" t="inlineStr">
        <is>
          <t>JÄMTLANDS LÄN</t>
        </is>
      </c>
      <c r="E791" t="inlineStr">
        <is>
          <t>RAGUNDA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39011-2022</t>
        </is>
      </c>
      <c r="B792" s="1" t="n">
        <v>44816</v>
      </c>
      <c r="C792" s="1" t="n">
        <v>45712</v>
      </c>
      <c r="D792" t="inlineStr">
        <is>
          <t>JÄMTLANDS LÄN</t>
        </is>
      </c>
      <c r="E792" t="inlineStr">
        <is>
          <t>RAGUNDA</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39004-2022</t>
        </is>
      </c>
      <c r="B793" s="1" t="n">
        <v>44816</v>
      </c>
      <c r="C793" s="1" t="n">
        <v>45712</v>
      </c>
      <c r="D793" t="inlineStr">
        <is>
          <t>JÄMTLANDS LÄN</t>
        </is>
      </c>
      <c r="E793" t="inlineStr">
        <is>
          <t>RAGUNDA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39402-2022</t>
        </is>
      </c>
      <c r="B794" s="1" t="n">
        <v>44818</v>
      </c>
      <c r="C794" s="1" t="n">
        <v>45712</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39408-2022</t>
        </is>
      </c>
      <c r="B795" s="1" t="n">
        <v>44817</v>
      </c>
      <c r="C795" s="1" t="n">
        <v>45712</v>
      </c>
      <c r="D795" t="inlineStr">
        <is>
          <t>JÄMTLANDS LÄN</t>
        </is>
      </c>
      <c r="E795" t="inlineStr">
        <is>
          <t>RAGUNDA</t>
        </is>
      </c>
      <c r="F795" t="inlineStr">
        <is>
          <t>SCA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39693-2022</t>
        </is>
      </c>
      <c r="B796" s="1" t="n">
        <v>44819</v>
      </c>
      <c r="C796" s="1" t="n">
        <v>45712</v>
      </c>
      <c r="D796" t="inlineStr">
        <is>
          <t>JÄMTLANDS LÄN</t>
        </is>
      </c>
      <c r="E796" t="inlineStr">
        <is>
          <t>RAGUNDA</t>
        </is>
      </c>
      <c r="F796" t="inlineStr">
        <is>
          <t>SCA</t>
        </is>
      </c>
      <c r="G796" t="n">
        <v>0.3</v>
      </c>
      <c r="H796" t="n">
        <v>0</v>
      </c>
      <c r="I796" t="n">
        <v>0</v>
      </c>
      <c r="J796" t="n">
        <v>0</v>
      </c>
      <c r="K796" t="n">
        <v>0</v>
      </c>
      <c r="L796" t="n">
        <v>0</v>
      </c>
      <c r="M796" t="n">
        <v>0</v>
      </c>
      <c r="N796" t="n">
        <v>0</v>
      </c>
      <c r="O796" t="n">
        <v>0</v>
      </c>
      <c r="P796" t="n">
        <v>0</v>
      </c>
      <c r="Q796" t="n">
        <v>0</v>
      </c>
      <c r="R796" s="2" t="inlineStr"/>
    </row>
    <row r="797" ht="15" customHeight="1">
      <c r="A797" t="inlineStr">
        <is>
          <t>A 40200-2022</t>
        </is>
      </c>
      <c r="B797" s="1" t="n">
        <v>44818</v>
      </c>
      <c r="C797" s="1" t="n">
        <v>45712</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39698-2022</t>
        </is>
      </c>
      <c r="B798" s="1" t="n">
        <v>44818</v>
      </c>
      <c r="C798" s="1" t="n">
        <v>45712</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40265-2022</t>
        </is>
      </c>
      <c r="B799" s="1" t="n">
        <v>44821</v>
      </c>
      <c r="C799" s="1" t="n">
        <v>45712</v>
      </c>
      <c r="D799" t="inlineStr">
        <is>
          <t>JÄMTLANDS LÄN</t>
        </is>
      </c>
      <c r="E799" t="inlineStr">
        <is>
          <t>RAGUNDA</t>
        </is>
      </c>
      <c r="G799" t="n">
        <v>3.7</v>
      </c>
      <c r="H799" t="n">
        <v>0</v>
      </c>
      <c r="I799" t="n">
        <v>0</v>
      </c>
      <c r="J799" t="n">
        <v>0</v>
      </c>
      <c r="K799" t="n">
        <v>0</v>
      </c>
      <c r="L799" t="n">
        <v>0</v>
      </c>
      <c r="M799" t="n">
        <v>0</v>
      </c>
      <c r="N799" t="n">
        <v>0</v>
      </c>
      <c r="O799" t="n">
        <v>0</v>
      </c>
      <c r="P799" t="n">
        <v>0</v>
      </c>
      <c r="Q799" t="n">
        <v>0</v>
      </c>
      <c r="R799" s="2" t="inlineStr"/>
    </row>
    <row r="800" ht="15" customHeight="1">
      <c r="A800" t="inlineStr">
        <is>
          <t>A 40269-2022</t>
        </is>
      </c>
      <c r="B800" s="1" t="n">
        <v>44820</v>
      </c>
      <c r="C800" s="1" t="n">
        <v>45712</v>
      </c>
      <c r="D800" t="inlineStr">
        <is>
          <t>JÄMTLANDS LÄN</t>
        </is>
      </c>
      <c r="E800" t="inlineStr">
        <is>
          <t>RAGUNDA</t>
        </is>
      </c>
      <c r="F800" t="inlineStr">
        <is>
          <t>SCA</t>
        </is>
      </c>
      <c r="G800" t="n">
        <v>77.8</v>
      </c>
      <c r="H800" t="n">
        <v>0</v>
      </c>
      <c r="I800" t="n">
        <v>0</v>
      </c>
      <c r="J800" t="n">
        <v>0</v>
      </c>
      <c r="K800" t="n">
        <v>0</v>
      </c>
      <c r="L800" t="n">
        <v>0</v>
      </c>
      <c r="M800" t="n">
        <v>0</v>
      </c>
      <c r="N800" t="n">
        <v>0</v>
      </c>
      <c r="O800" t="n">
        <v>0</v>
      </c>
      <c r="P800" t="n">
        <v>0</v>
      </c>
      <c r="Q800" t="n">
        <v>0</v>
      </c>
      <c r="R800" s="2" t="inlineStr"/>
    </row>
    <row r="801" ht="15" customHeight="1">
      <c r="A801" t="inlineStr">
        <is>
          <t>A 40267-2022</t>
        </is>
      </c>
      <c r="B801" s="1" t="n">
        <v>44820</v>
      </c>
      <c r="C801" s="1" t="n">
        <v>45712</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40266-2022</t>
        </is>
      </c>
      <c r="B802" s="1" t="n">
        <v>44820</v>
      </c>
      <c r="C802" s="1" t="n">
        <v>45712</v>
      </c>
      <c r="D802" t="inlineStr">
        <is>
          <t>JÄMTLANDS LÄN</t>
        </is>
      </c>
      <c r="E802" t="inlineStr">
        <is>
          <t>RAGUNDA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40951-2022</t>
        </is>
      </c>
      <c r="B803" s="1" t="n">
        <v>44820</v>
      </c>
      <c r="C803" s="1" t="n">
        <v>45712</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40436-2022</t>
        </is>
      </c>
      <c r="B804" s="1" t="n">
        <v>44823</v>
      </c>
      <c r="C804" s="1" t="n">
        <v>45712</v>
      </c>
      <c r="D804" t="inlineStr">
        <is>
          <t>JÄMTLANDS LÄN</t>
        </is>
      </c>
      <c r="E804" t="inlineStr">
        <is>
          <t>RAGUNDA</t>
        </is>
      </c>
      <c r="G804" t="n">
        <v>3</v>
      </c>
      <c r="H804" t="n">
        <v>0</v>
      </c>
      <c r="I804" t="n">
        <v>0</v>
      </c>
      <c r="J804" t="n">
        <v>0</v>
      </c>
      <c r="K804" t="n">
        <v>0</v>
      </c>
      <c r="L804" t="n">
        <v>0</v>
      </c>
      <c r="M804" t="n">
        <v>0</v>
      </c>
      <c r="N804" t="n">
        <v>0</v>
      </c>
      <c r="O804" t="n">
        <v>0</v>
      </c>
      <c r="P804" t="n">
        <v>0</v>
      </c>
      <c r="Q804" t="n">
        <v>0</v>
      </c>
      <c r="R804" s="2" t="inlineStr"/>
    </row>
    <row r="805" ht="15" customHeight="1">
      <c r="A805" t="inlineStr">
        <is>
          <t>A 40612-2022</t>
        </is>
      </c>
      <c r="B805" s="1" t="n">
        <v>44824</v>
      </c>
      <c r="C805" s="1" t="n">
        <v>45712</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40978-2022</t>
        </is>
      </c>
      <c r="B806" s="1" t="n">
        <v>44823</v>
      </c>
      <c r="C806" s="1" t="n">
        <v>45712</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40829-2022</t>
        </is>
      </c>
      <c r="B807" s="1" t="n">
        <v>44825</v>
      </c>
      <c r="C807" s="1" t="n">
        <v>45712</v>
      </c>
      <c r="D807" t="inlineStr">
        <is>
          <t>JÄMTLANDS LÄN</t>
        </is>
      </c>
      <c r="E807" t="inlineStr">
        <is>
          <t>RAGUNDA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41180-2022</t>
        </is>
      </c>
      <c r="B808" s="1" t="n">
        <v>44825</v>
      </c>
      <c r="C808" s="1" t="n">
        <v>45712</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41179-2022</t>
        </is>
      </c>
      <c r="B809" s="1" t="n">
        <v>44825</v>
      </c>
      <c r="C809" s="1" t="n">
        <v>45712</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42267-2022</t>
        </is>
      </c>
      <c r="B810" s="1" t="n">
        <v>44830</v>
      </c>
      <c r="C810" s="1" t="n">
        <v>45712</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42266-2022</t>
        </is>
      </c>
      <c r="B811" s="1" t="n">
        <v>44831</v>
      </c>
      <c r="C811" s="1" t="n">
        <v>45712</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42652-2022</t>
        </is>
      </c>
      <c r="B812" s="1" t="n">
        <v>44832</v>
      </c>
      <c r="C812" s="1" t="n">
        <v>45712</v>
      </c>
      <c r="D812" t="inlineStr">
        <is>
          <t>JÄMTLANDS LÄN</t>
        </is>
      </c>
      <c r="E812" t="inlineStr">
        <is>
          <t>RAGUNDA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42644-2022</t>
        </is>
      </c>
      <c r="B813" s="1" t="n">
        <v>44831</v>
      </c>
      <c r="C813" s="1" t="n">
        <v>45712</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42655-2022</t>
        </is>
      </c>
      <c r="B814" s="1" t="n">
        <v>44831</v>
      </c>
      <c r="C814" s="1" t="n">
        <v>45712</v>
      </c>
      <c r="D814" t="inlineStr">
        <is>
          <t>JÄMTLANDS LÄN</t>
        </is>
      </c>
      <c r="E814" t="inlineStr">
        <is>
          <t>RAGUNDA</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42653-2022</t>
        </is>
      </c>
      <c r="B815" s="1" t="n">
        <v>44832</v>
      </c>
      <c r="C815" s="1" t="n">
        <v>45712</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42882-2022</t>
        </is>
      </c>
      <c r="B816" s="1" t="n">
        <v>44833</v>
      </c>
      <c r="C816" s="1" t="n">
        <v>45712</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42892-2022</t>
        </is>
      </c>
      <c r="B817" s="1" t="n">
        <v>44832</v>
      </c>
      <c r="C817" s="1" t="n">
        <v>45712</v>
      </c>
      <c r="D817" t="inlineStr">
        <is>
          <t>JÄMTLANDS LÄN</t>
        </is>
      </c>
      <c r="E817" t="inlineStr">
        <is>
          <t>RAGUNDA</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42893-2022</t>
        </is>
      </c>
      <c r="B818" s="1" t="n">
        <v>44832</v>
      </c>
      <c r="C818" s="1" t="n">
        <v>45712</v>
      </c>
      <c r="D818" t="inlineStr">
        <is>
          <t>JÄMTLANDS LÄN</t>
        </is>
      </c>
      <c r="E818" t="inlineStr">
        <is>
          <t>RAGUNDA</t>
        </is>
      </c>
      <c r="F818" t="inlineStr">
        <is>
          <t>SCA</t>
        </is>
      </c>
      <c r="G818" t="n">
        <v>28.4</v>
      </c>
      <c r="H818" t="n">
        <v>0</v>
      </c>
      <c r="I818" t="n">
        <v>0</v>
      </c>
      <c r="J818" t="n">
        <v>0</v>
      </c>
      <c r="K818" t="n">
        <v>0</v>
      </c>
      <c r="L818" t="n">
        <v>0</v>
      </c>
      <c r="M818" t="n">
        <v>0</v>
      </c>
      <c r="N818" t="n">
        <v>0</v>
      </c>
      <c r="O818" t="n">
        <v>0</v>
      </c>
      <c r="P818" t="n">
        <v>0</v>
      </c>
      <c r="Q818" t="n">
        <v>0</v>
      </c>
      <c r="R818" s="2" t="inlineStr"/>
    </row>
    <row r="819" ht="15" customHeight="1">
      <c r="A819" t="inlineStr">
        <is>
          <t>A 42900-2022</t>
        </is>
      </c>
      <c r="B819" s="1" t="n">
        <v>44833</v>
      </c>
      <c r="C819" s="1" t="n">
        <v>45712</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42901-2022</t>
        </is>
      </c>
      <c r="B820" s="1" t="n">
        <v>44832</v>
      </c>
      <c r="C820" s="1" t="n">
        <v>45712</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43147-2022</t>
        </is>
      </c>
      <c r="B821" s="1" t="n">
        <v>44834</v>
      </c>
      <c r="C821" s="1" t="n">
        <v>45712</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43163-2022</t>
        </is>
      </c>
      <c r="B822" s="1" t="n">
        <v>44834</v>
      </c>
      <c r="C822" s="1" t="n">
        <v>45712</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43478-2022</t>
        </is>
      </c>
      <c r="B823" s="1" t="n">
        <v>44837</v>
      </c>
      <c r="C823" s="1" t="n">
        <v>45712</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43793-2022</t>
        </is>
      </c>
      <c r="B824" s="1" t="n">
        <v>44837</v>
      </c>
      <c r="C824" s="1" t="n">
        <v>45712</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43794-2022</t>
        </is>
      </c>
      <c r="B825" s="1" t="n">
        <v>44837</v>
      </c>
      <c r="C825" s="1" t="n">
        <v>45712</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44050-2022</t>
        </is>
      </c>
      <c r="B826" s="1" t="n">
        <v>44838</v>
      </c>
      <c r="C826" s="1" t="n">
        <v>45712</v>
      </c>
      <c r="D826" t="inlineStr">
        <is>
          <t>JÄMTLANDS LÄN</t>
        </is>
      </c>
      <c r="E826" t="inlineStr">
        <is>
          <t>RAGUNDA</t>
        </is>
      </c>
      <c r="F826" t="inlineStr">
        <is>
          <t>SCA</t>
        </is>
      </c>
      <c r="G826" t="n">
        <v>9.6</v>
      </c>
      <c r="H826" t="n">
        <v>0</v>
      </c>
      <c r="I826" t="n">
        <v>0</v>
      </c>
      <c r="J826" t="n">
        <v>0</v>
      </c>
      <c r="K826" t="n">
        <v>0</v>
      </c>
      <c r="L826" t="n">
        <v>0</v>
      </c>
      <c r="M826" t="n">
        <v>0</v>
      </c>
      <c r="N826" t="n">
        <v>0</v>
      </c>
      <c r="O826" t="n">
        <v>0</v>
      </c>
      <c r="P826" t="n">
        <v>0</v>
      </c>
      <c r="Q826" t="n">
        <v>0</v>
      </c>
      <c r="R826" s="2" t="inlineStr"/>
    </row>
    <row r="827" ht="15" customHeight="1">
      <c r="A827" t="inlineStr">
        <is>
          <t>A 44536-2022</t>
        </is>
      </c>
      <c r="B827" s="1" t="n">
        <v>44839</v>
      </c>
      <c r="C827" s="1" t="n">
        <v>45712</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44600-2022</t>
        </is>
      </c>
      <c r="B828" s="1" t="n">
        <v>44839</v>
      </c>
      <c r="C828" s="1" t="n">
        <v>45712</v>
      </c>
      <c r="D828" t="inlineStr">
        <is>
          <t>JÄMTLANDS LÄN</t>
        </is>
      </c>
      <c r="E828" t="inlineStr">
        <is>
          <t>RAGUNDA</t>
        </is>
      </c>
      <c r="G828" t="n">
        <v>1.6</v>
      </c>
      <c r="H828" t="n">
        <v>0</v>
      </c>
      <c r="I828" t="n">
        <v>0</v>
      </c>
      <c r="J828" t="n">
        <v>0</v>
      </c>
      <c r="K828" t="n">
        <v>0</v>
      </c>
      <c r="L828" t="n">
        <v>0</v>
      </c>
      <c r="M828" t="n">
        <v>0</v>
      </c>
      <c r="N828" t="n">
        <v>0</v>
      </c>
      <c r="O828" t="n">
        <v>0</v>
      </c>
      <c r="P828" t="n">
        <v>0</v>
      </c>
      <c r="Q828" t="n">
        <v>0</v>
      </c>
      <c r="R828" s="2" t="inlineStr"/>
    </row>
    <row r="829" ht="15" customHeight="1">
      <c r="A829" t="inlineStr">
        <is>
          <t>A 44767-2022</t>
        </is>
      </c>
      <c r="B829" s="1" t="n">
        <v>44840</v>
      </c>
      <c r="C829" s="1" t="n">
        <v>45712</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44766-2022</t>
        </is>
      </c>
      <c r="B830" s="1" t="n">
        <v>44841</v>
      </c>
      <c r="C830" s="1" t="n">
        <v>45712</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45437-2022</t>
        </is>
      </c>
      <c r="B831" s="1" t="n">
        <v>44844</v>
      </c>
      <c r="C831" s="1" t="n">
        <v>45712</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45438-2022</t>
        </is>
      </c>
      <c r="B832" s="1" t="n">
        <v>44845</v>
      </c>
      <c r="C832" s="1" t="n">
        <v>45712</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45708-2022</t>
        </is>
      </c>
      <c r="B833" s="1" t="n">
        <v>44846</v>
      </c>
      <c r="C833" s="1" t="n">
        <v>45712</v>
      </c>
      <c r="D833" t="inlineStr">
        <is>
          <t>JÄMTLANDS LÄN</t>
        </is>
      </c>
      <c r="E833" t="inlineStr">
        <is>
          <t>RAGUNDA</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45712-2022</t>
        </is>
      </c>
      <c r="B834" s="1" t="n">
        <v>44845</v>
      </c>
      <c r="C834" s="1" t="n">
        <v>45712</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45710-2022</t>
        </is>
      </c>
      <c r="B835" s="1" t="n">
        <v>44845</v>
      </c>
      <c r="C835" s="1" t="n">
        <v>45712</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45718-2022</t>
        </is>
      </c>
      <c r="B836" s="1" t="n">
        <v>44845</v>
      </c>
      <c r="C836" s="1" t="n">
        <v>45712</v>
      </c>
      <c r="D836" t="inlineStr">
        <is>
          <t>JÄMTLANDS LÄN</t>
        </is>
      </c>
      <c r="E836" t="inlineStr">
        <is>
          <t>RAGUNDA</t>
        </is>
      </c>
      <c r="F836" t="inlineStr">
        <is>
          <t>SCA</t>
        </is>
      </c>
      <c r="G836" t="n">
        <v>19.3</v>
      </c>
      <c r="H836" t="n">
        <v>0</v>
      </c>
      <c r="I836" t="n">
        <v>0</v>
      </c>
      <c r="J836" t="n">
        <v>0</v>
      </c>
      <c r="K836" t="n">
        <v>0</v>
      </c>
      <c r="L836" t="n">
        <v>0</v>
      </c>
      <c r="M836" t="n">
        <v>0</v>
      </c>
      <c r="N836" t="n">
        <v>0</v>
      </c>
      <c r="O836" t="n">
        <v>0</v>
      </c>
      <c r="P836" t="n">
        <v>0</v>
      </c>
      <c r="Q836" t="n">
        <v>0</v>
      </c>
      <c r="R836" s="2" t="inlineStr"/>
    </row>
    <row r="837" ht="15" customHeight="1">
      <c r="A837" t="inlineStr">
        <is>
          <t>A 45715-2022</t>
        </is>
      </c>
      <c r="B837" s="1" t="n">
        <v>44845</v>
      </c>
      <c r="C837" s="1" t="n">
        <v>45712</v>
      </c>
      <c r="D837" t="inlineStr">
        <is>
          <t>JÄMTLANDS LÄN</t>
        </is>
      </c>
      <c r="E837" t="inlineStr">
        <is>
          <t>RAGUNDA</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46047-2022</t>
        </is>
      </c>
      <c r="B838" s="1" t="n">
        <v>44847</v>
      </c>
      <c r="C838" s="1" t="n">
        <v>45712</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46040-2022</t>
        </is>
      </c>
      <c r="B839" s="1" t="n">
        <v>44847</v>
      </c>
      <c r="C839" s="1" t="n">
        <v>45712</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46050-2022</t>
        </is>
      </c>
      <c r="B840" s="1" t="n">
        <v>44846</v>
      </c>
      <c r="C840" s="1" t="n">
        <v>45712</v>
      </c>
      <c r="D840" t="inlineStr">
        <is>
          <t>JÄMTLANDS LÄN</t>
        </is>
      </c>
      <c r="E840" t="inlineStr">
        <is>
          <t>RAGUNDA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46049-2022</t>
        </is>
      </c>
      <c r="B841" s="1" t="n">
        <v>44847</v>
      </c>
      <c r="C841" s="1" t="n">
        <v>45712</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46048-2022</t>
        </is>
      </c>
      <c r="B842" s="1" t="n">
        <v>44846</v>
      </c>
      <c r="C842" s="1" t="n">
        <v>45712</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46991-2022</t>
        </is>
      </c>
      <c r="B843" s="1" t="n">
        <v>44852</v>
      </c>
      <c r="C843" s="1" t="n">
        <v>45712</v>
      </c>
      <c r="D843" t="inlineStr">
        <is>
          <t>JÄMTLANDS LÄN</t>
        </is>
      </c>
      <c r="E843" t="inlineStr">
        <is>
          <t>RAGUNDA</t>
        </is>
      </c>
      <c r="F843" t="inlineStr">
        <is>
          <t>SCA</t>
        </is>
      </c>
      <c r="G843" t="n">
        <v>17.3</v>
      </c>
      <c r="H843" t="n">
        <v>0</v>
      </c>
      <c r="I843" t="n">
        <v>0</v>
      </c>
      <c r="J843" t="n">
        <v>0</v>
      </c>
      <c r="K843" t="n">
        <v>0</v>
      </c>
      <c r="L843" t="n">
        <v>0</v>
      </c>
      <c r="M843" t="n">
        <v>0</v>
      </c>
      <c r="N843" t="n">
        <v>0</v>
      </c>
      <c r="O843" t="n">
        <v>0</v>
      </c>
      <c r="P843" t="n">
        <v>0</v>
      </c>
      <c r="Q843" t="n">
        <v>0</v>
      </c>
      <c r="R843" s="2" t="inlineStr"/>
    </row>
    <row r="844" ht="15" customHeight="1">
      <c r="A844" t="inlineStr">
        <is>
          <t>A 46992-2022</t>
        </is>
      </c>
      <c r="B844" s="1" t="n">
        <v>44852</v>
      </c>
      <c r="C844" s="1" t="n">
        <v>45712</v>
      </c>
      <c r="D844" t="inlineStr">
        <is>
          <t>JÄMTLANDS LÄN</t>
        </is>
      </c>
      <c r="E844" t="inlineStr">
        <is>
          <t>RAGUNDA</t>
        </is>
      </c>
      <c r="F844" t="inlineStr">
        <is>
          <t>SCA</t>
        </is>
      </c>
      <c r="G844" t="n">
        <v>26.4</v>
      </c>
      <c r="H844" t="n">
        <v>0</v>
      </c>
      <c r="I844" t="n">
        <v>0</v>
      </c>
      <c r="J844" t="n">
        <v>0</v>
      </c>
      <c r="K844" t="n">
        <v>0</v>
      </c>
      <c r="L844" t="n">
        <v>0</v>
      </c>
      <c r="M844" t="n">
        <v>0</v>
      </c>
      <c r="N844" t="n">
        <v>0</v>
      </c>
      <c r="O844" t="n">
        <v>0</v>
      </c>
      <c r="P844" t="n">
        <v>0</v>
      </c>
      <c r="Q844" t="n">
        <v>0</v>
      </c>
      <c r="R844" s="2" t="inlineStr"/>
    </row>
    <row r="845" ht="15" customHeight="1">
      <c r="A845" t="inlineStr">
        <is>
          <t>A 47262-2022</t>
        </is>
      </c>
      <c r="B845" s="1" t="n">
        <v>44852</v>
      </c>
      <c r="C845" s="1" t="n">
        <v>45712</v>
      </c>
      <c r="D845" t="inlineStr">
        <is>
          <t>JÄMTLANDS LÄN</t>
        </is>
      </c>
      <c r="E845" t="inlineStr">
        <is>
          <t>RAGUNDA</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47280-2022</t>
        </is>
      </c>
      <c r="B846" s="1" t="n">
        <v>44852</v>
      </c>
      <c r="C846" s="1" t="n">
        <v>45712</v>
      </c>
      <c r="D846" t="inlineStr">
        <is>
          <t>JÄMTLANDS LÄN</t>
        </is>
      </c>
      <c r="E846" t="inlineStr">
        <is>
          <t>RAGUNDA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47278-2022</t>
        </is>
      </c>
      <c r="B847" s="1" t="n">
        <v>44852</v>
      </c>
      <c r="C847" s="1" t="n">
        <v>45712</v>
      </c>
      <c r="D847" t="inlineStr">
        <is>
          <t>JÄMTLANDS LÄN</t>
        </is>
      </c>
      <c r="E847" t="inlineStr">
        <is>
          <t>RAGUNDA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47567-2022</t>
        </is>
      </c>
      <c r="B848" s="1" t="n">
        <v>44853</v>
      </c>
      <c r="C848" s="1" t="n">
        <v>45712</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47568-2022</t>
        </is>
      </c>
      <c r="B849" s="1" t="n">
        <v>44854</v>
      </c>
      <c r="C849" s="1" t="n">
        <v>45712</v>
      </c>
      <c r="D849" t="inlineStr">
        <is>
          <t>JÄMTLANDS LÄN</t>
        </is>
      </c>
      <c r="E849" t="inlineStr">
        <is>
          <t>RAGUNDA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47801-2022</t>
        </is>
      </c>
      <c r="B850" s="1" t="n">
        <v>44854</v>
      </c>
      <c r="C850" s="1" t="n">
        <v>45712</v>
      </c>
      <c r="D850" t="inlineStr">
        <is>
          <t>JÄMTLANDS LÄN</t>
        </is>
      </c>
      <c r="E850" t="inlineStr">
        <is>
          <t>RAGUNDA</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47803-2022</t>
        </is>
      </c>
      <c r="B851" s="1" t="n">
        <v>44855</v>
      </c>
      <c r="C851" s="1" t="n">
        <v>45712</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48060-2022</t>
        </is>
      </c>
      <c r="B852" s="1" t="n">
        <v>44856</v>
      </c>
      <c r="C852" s="1" t="n">
        <v>45712</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48055-2022</t>
        </is>
      </c>
      <c r="B853" s="1" t="n">
        <v>44856</v>
      </c>
      <c r="C853" s="1" t="n">
        <v>45712</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48058-2022</t>
        </is>
      </c>
      <c r="B854" s="1" t="n">
        <v>44856</v>
      </c>
      <c r="C854" s="1" t="n">
        <v>45712</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48066-2022</t>
        </is>
      </c>
      <c r="B855" s="1" t="n">
        <v>44855</v>
      </c>
      <c r="C855" s="1" t="n">
        <v>45712</v>
      </c>
      <c r="D855" t="inlineStr">
        <is>
          <t>JÄMTLANDS LÄN</t>
        </is>
      </c>
      <c r="E855" t="inlineStr">
        <is>
          <t>RAGUNDA</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48076-2022</t>
        </is>
      </c>
      <c r="B856" s="1" t="n">
        <v>44856</v>
      </c>
      <c r="C856" s="1" t="n">
        <v>45712</v>
      </c>
      <c r="D856" t="inlineStr">
        <is>
          <t>JÄMTLANDS LÄN</t>
        </is>
      </c>
      <c r="E856" t="inlineStr">
        <is>
          <t>RAGUNDA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48053-2022</t>
        </is>
      </c>
      <c r="B857" s="1" t="n">
        <v>44856</v>
      </c>
      <c r="C857" s="1" t="n">
        <v>45712</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48075-2022</t>
        </is>
      </c>
      <c r="B858" s="1" t="n">
        <v>44855</v>
      </c>
      <c r="C858" s="1" t="n">
        <v>45712</v>
      </c>
      <c r="D858" t="inlineStr">
        <is>
          <t>JÄMTLANDS LÄN</t>
        </is>
      </c>
      <c r="E858" t="inlineStr">
        <is>
          <t>RAGUNDA</t>
        </is>
      </c>
      <c r="F858" t="inlineStr">
        <is>
          <t>SCA</t>
        </is>
      </c>
      <c r="G858" t="n">
        <v>7.5</v>
      </c>
      <c r="H858" t="n">
        <v>0</v>
      </c>
      <c r="I858" t="n">
        <v>0</v>
      </c>
      <c r="J858" t="n">
        <v>0</v>
      </c>
      <c r="K858" t="n">
        <v>0</v>
      </c>
      <c r="L858" t="n">
        <v>0</v>
      </c>
      <c r="M858" t="n">
        <v>0</v>
      </c>
      <c r="N858" t="n">
        <v>0</v>
      </c>
      <c r="O858" t="n">
        <v>0</v>
      </c>
      <c r="P858" t="n">
        <v>0</v>
      </c>
      <c r="Q858" t="n">
        <v>0</v>
      </c>
      <c r="R858" s="2" t="inlineStr"/>
    </row>
    <row r="859" ht="15" customHeight="1">
      <c r="A859" t="inlineStr">
        <is>
          <t>A 48086-2022</t>
        </is>
      </c>
      <c r="B859" s="1" t="n">
        <v>44856</v>
      </c>
      <c r="C859" s="1" t="n">
        <v>45712</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48085-2022</t>
        </is>
      </c>
      <c r="B860" s="1" t="n">
        <v>44855</v>
      </c>
      <c r="C860" s="1" t="n">
        <v>45712</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48536-2022</t>
        </is>
      </c>
      <c r="B861" s="1" t="n">
        <v>44858</v>
      </c>
      <c r="C861" s="1" t="n">
        <v>45712</v>
      </c>
      <c r="D861" t="inlineStr">
        <is>
          <t>JÄMTLANDS LÄN</t>
        </is>
      </c>
      <c r="E861" t="inlineStr">
        <is>
          <t>RAGUNDA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48538-2022</t>
        </is>
      </c>
      <c r="B862" s="1" t="n">
        <v>44858</v>
      </c>
      <c r="C862" s="1" t="n">
        <v>45712</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48522-2022</t>
        </is>
      </c>
      <c r="B863" s="1" t="n">
        <v>44859</v>
      </c>
      <c r="C863" s="1" t="n">
        <v>45712</v>
      </c>
      <c r="D863" t="inlineStr">
        <is>
          <t>JÄMTLANDS LÄN</t>
        </is>
      </c>
      <c r="E863" t="inlineStr">
        <is>
          <t>RAGUNDA</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48534-2022</t>
        </is>
      </c>
      <c r="B864" s="1" t="n">
        <v>44859</v>
      </c>
      <c r="C864" s="1" t="n">
        <v>45712</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48938-2022</t>
        </is>
      </c>
      <c r="B865" s="1" t="n">
        <v>44860</v>
      </c>
      <c r="C865" s="1" t="n">
        <v>45712</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49183-2022</t>
        </is>
      </c>
      <c r="B866" s="1" t="n">
        <v>44860</v>
      </c>
      <c r="C866" s="1" t="n">
        <v>45712</v>
      </c>
      <c r="D866" t="inlineStr">
        <is>
          <t>JÄMTLANDS LÄN</t>
        </is>
      </c>
      <c r="E866" t="inlineStr">
        <is>
          <t>RAGUNDA</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49182-2022</t>
        </is>
      </c>
      <c r="B867" s="1" t="n">
        <v>44861</v>
      </c>
      <c r="C867" s="1" t="n">
        <v>45712</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49197-2022</t>
        </is>
      </c>
      <c r="B868" s="1" t="n">
        <v>44860</v>
      </c>
      <c r="C868" s="1" t="n">
        <v>45712</v>
      </c>
      <c r="D868" t="inlineStr">
        <is>
          <t>JÄMTLANDS LÄN</t>
        </is>
      </c>
      <c r="E868" t="inlineStr">
        <is>
          <t>RAGUNDA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49531-2022</t>
        </is>
      </c>
      <c r="B869" s="1" t="n">
        <v>44861</v>
      </c>
      <c r="C869" s="1" t="n">
        <v>45712</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49530-2022</t>
        </is>
      </c>
      <c r="B870" s="1" t="n">
        <v>44861</v>
      </c>
      <c r="C870" s="1" t="n">
        <v>45712</v>
      </c>
      <c r="D870" t="inlineStr">
        <is>
          <t>JÄMTLANDS LÄN</t>
        </is>
      </c>
      <c r="E870" t="inlineStr">
        <is>
          <t>RAGUNDA</t>
        </is>
      </c>
      <c r="F870" t="inlineStr">
        <is>
          <t>SCA</t>
        </is>
      </c>
      <c r="G870" t="n">
        <v>13.4</v>
      </c>
      <c r="H870" t="n">
        <v>0</v>
      </c>
      <c r="I870" t="n">
        <v>0</v>
      </c>
      <c r="J870" t="n">
        <v>0</v>
      </c>
      <c r="K870" t="n">
        <v>0</v>
      </c>
      <c r="L870" t="n">
        <v>0</v>
      </c>
      <c r="M870" t="n">
        <v>0</v>
      </c>
      <c r="N870" t="n">
        <v>0</v>
      </c>
      <c r="O870" t="n">
        <v>0</v>
      </c>
      <c r="P870" t="n">
        <v>0</v>
      </c>
      <c r="Q870" t="n">
        <v>0</v>
      </c>
      <c r="R870" s="2" t="inlineStr"/>
    </row>
    <row r="871" ht="15" customHeight="1">
      <c r="A871" t="inlineStr">
        <is>
          <t>A 49544-2022</t>
        </is>
      </c>
      <c r="B871" s="1" t="n">
        <v>44862</v>
      </c>
      <c r="C871" s="1" t="n">
        <v>45712</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49543-2022</t>
        </is>
      </c>
      <c r="B872" s="1" t="n">
        <v>44862</v>
      </c>
      <c r="C872" s="1" t="n">
        <v>45712</v>
      </c>
      <c r="D872" t="inlineStr">
        <is>
          <t>JÄMTLANDS LÄN</t>
        </is>
      </c>
      <c r="E872" t="inlineStr">
        <is>
          <t>RAGUNDA</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49844-2022</t>
        </is>
      </c>
      <c r="B873" s="1" t="n">
        <v>44863</v>
      </c>
      <c r="C873" s="1" t="n">
        <v>45712</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49904-2022</t>
        </is>
      </c>
      <c r="B874" s="1" t="n">
        <v>44864</v>
      </c>
      <c r="C874" s="1" t="n">
        <v>45712</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50087-2022</t>
        </is>
      </c>
      <c r="B875" s="1" t="n">
        <v>44865</v>
      </c>
      <c r="C875" s="1" t="n">
        <v>45712</v>
      </c>
      <c r="D875" t="inlineStr">
        <is>
          <t>JÄMTLANDS LÄN</t>
        </is>
      </c>
      <c r="E875" t="inlineStr">
        <is>
          <t>RAGUNDA</t>
        </is>
      </c>
      <c r="G875" t="n">
        <v>2</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45712</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50682-2022</t>
        </is>
      </c>
      <c r="B877" s="1" t="n">
        <v>44866</v>
      </c>
      <c r="C877" s="1" t="n">
        <v>45712</v>
      </c>
      <c r="D877" t="inlineStr">
        <is>
          <t>JÄMTLANDS LÄN</t>
        </is>
      </c>
      <c r="E877" t="inlineStr">
        <is>
          <t>RAGUNDA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51012-2022</t>
        </is>
      </c>
      <c r="B878" s="1" t="n">
        <v>44867</v>
      </c>
      <c r="C878" s="1" t="n">
        <v>45712</v>
      </c>
      <c r="D878" t="inlineStr">
        <is>
          <t>JÄMTLANDS LÄN</t>
        </is>
      </c>
      <c r="E878" t="inlineStr">
        <is>
          <t>RAGUNDA</t>
        </is>
      </c>
      <c r="F878" t="inlineStr">
        <is>
          <t>Sveaskog</t>
        </is>
      </c>
      <c r="G878" t="n">
        <v>8.4</v>
      </c>
      <c r="H878" t="n">
        <v>0</v>
      </c>
      <c r="I878" t="n">
        <v>0</v>
      </c>
      <c r="J878" t="n">
        <v>0</v>
      </c>
      <c r="K878" t="n">
        <v>0</v>
      </c>
      <c r="L878" t="n">
        <v>0</v>
      </c>
      <c r="M878" t="n">
        <v>0</v>
      </c>
      <c r="N878" t="n">
        <v>0</v>
      </c>
      <c r="O878" t="n">
        <v>0</v>
      </c>
      <c r="P878" t="n">
        <v>0</v>
      </c>
      <c r="Q878" t="n">
        <v>0</v>
      </c>
      <c r="R878" s="2" t="inlineStr"/>
    </row>
    <row r="879" ht="15" customHeight="1">
      <c r="A879" t="inlineStr">
        <is>
          <t>A 51540-2022</t>
        </is>
      </c>
      <c r="B879" s="1" t="n">
        <v>44869</v>
      </c>
      <c r="C879" s="1" t="n">
        <v>45712</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51538-2022</t>
        </is>
      </c>
      <c r="B880" s="1" t="n">
        <v>44869</v>
      </c>
      <c r="C880" s="1" t="n">
        <v>45712</v>
      </c>
      <c r="D880" t="inlineStr">
        <is>
          <t>JÄMTLANDS LÄN</t>
        </is>
      </c>
      <c r="E880" t="inlineStr">
        <is>
          <t>RAGUNDA</t>
        </is>
      </c>
      <c r="G880" t="n">
        <v>6.8</v>
      </c>
      <c r="H880" t="n">
        <v>0</v>
      </c>
      <c r="I880" t="n">
        <v>0</v>
      </c>
      <c r="J880" t="n">
        <v>0</v>
      </c>
      <c r="K880" t="n">
        <v>0</v>
      </c>
      <c r="L880" t="n">
        <v>0</v>
      </c>
      <c r="M880" t="n">
        <v>0</v>
      </c>
      <c r="N880" t="n">
        <v>0</v>
      </c>
      <c r="O880" t="n">
        <v>0</v>
      </c>
      <c r="P880" t="n">
        <v>0</v>
      </c>
      <c r="Q880" t="n">
        <v>0</v>
      </c>
      <c r="R880" s="2" t="inlineStr"/>
    </row>
    <row r="881" ht="15" customHeight="1">
      <c r="A881" t="inlineStr">
        <is>
          <t>A 51537-2022</t>
        </is>
      </c>
      <c r="B881" s="1" t="n">
        <v>44869</v>
      </c>
      <c r="C881" s="1" t="n">
        <v>45712</v>
      </c>
      <c r="D881" t="inlineStr">
        <is>
          <t>JÄMTLANDS LÄN</t>
        </is>
      </c>
      <c r="E881" t="inlineStr">
        <is>
          <t>RAGUNDA</t>
        </is>
      </c>
      <c r="G881" t="n">
        <v>1.8</v>
      </c>
      <c r="H881" t="n">
        <v>0</v>
      </c>
      <c r="I881" t="n">
        <v>0</v>
      </c>
      <c r="J881" t="n">
        <v>0</v>
      </c>
      <c r="K881" t="n">
        <v>0</v>
      </c>
      <c r="L881" t="n">
        <v>0</v>
      </c>
      <c r="M881" t="n">
        <v>0</v>
      </c>
      <c r="N881" t="n">
        <v>0</v>
      </c>
      <c r="O881" t="n">
        <v>0</v>
      </c>
      <c r="P881" t="n">
        <v>0</v>
      </c>
      <c r="Q881" t="n">
        <v>0</v>
      </c>
      <c r="R881" s="2" t="inlineStr"/>
    </row>
    <row r="882" ht="15" customHeight="1">
      <c r="A882" t="inlineStr">
        <is>
          <t>A 52697-2022</t>
        </is>
      </c>
      <c r="B882" s="1" t="n">
        <v>44874</v>
      </c>
      <c r="C882" s="1" t="n">
        <v>45712</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52720-2022</t>
        </is>
      </c>
      <c r="B883" s="1" t="n">
        <v>44874</v>
      </c>
      <c r="C883" s="1" t="n">
        <v>45712</v>
      </c>
      <c r="D883" t="inlineStr">
        <is>
          <t>JÄMTLANDS LÄN</t>
        </is>
      </c>
      <c r="E883" t="inlineStr">
        <is>
          <t>RAGUNDA</t>
        </is>
      </c>
      <c r="F883" t="inlineStr">
        <is>
          <t>SCA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53287-2022</t>
        </is>
      </c>
      <c r="B884" s="1" t="n">
        <v>44876</v>
      </c>
      <c r="C884" s="1" t="n">
        <v>45712</v>
      </c>
      <c r="D884" t="inlineStr">
        <is>
          <t>JÄMTLANDS LÄN</t>
        </is>
      </c>
      <c r="E884" t="inlineStr">
        <is>
          <t>RAGUNDA</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53288-2022</t>
        </is>
      </c>
      <c r="B885" s="1" t="n">
        <v>44876</v>
      </c>
      <c r="C885" s="1" t="n">
        <v>45712</v>
      </c>
      <c r="D885" t="inlineStr">
        <is>
          <t>JÄMTLANDS LÄN</t>
        </is>
      </c>
      <c r="E885" t="inlineStr">
        <is>
          <t>RAGUNDA</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53676-2022</t>
        </is>
      </c>
      <c r="B886" s="1" t="n">
        <v>44879</v>
      </c>
      <c r="C886" s="1" t="n">
        <v>45712</v>
      </c>
      <c r="D886" t="inlineStr">
        <is>
          <t>JÄMTLANDS LÄN</t>
        </is>
      </c>
      <c r="E886" t="inlineStr">
        <is>
          <t>RAGUNDA</t>
        </is>
      </c>
      <c r="F886" t="inlineStr">
        <is>
          <t>Sveaskog</t>
        </is>
      </c>
      <c r="G886" t="n">
        <v>2.5</v>
      </c>
      <c r="H886" t="n">
        <v>0</v>
      </c>
      <c r="I886" t="n">
        <v>0</v>
      </c>
      <c r="J886" t="n">
        <v>0</v>
      </c>
      <c r="K886" t="n">
        <v>0</v>
      </c>
      <c r="L886" t="n">
        <v>0</v>
      </c>
      <c r="M886" t="n">
        <v>0</v>
      </c>
      <c r="N886" t="n">
        <v>0</v>
      </c>
      <c r="O886" t="n">
        <v>0</v>
      </c>
      <c r="P886" t="n">
        <v>0</v>
      </c>
      <c r="Q886" t="n">
        <v>0</v>
      </c>
      <c r="R886" s="2" t="inlineStr"/>
    </row>
    <row r="887" ht="15" customHeight="1">
      <c r="A887" t="inlineStr">
        <is>
          <t>A 53678-2022</t>
        </is>
      </c>
      <c r="B887" s="1" t="n">
        <v>44879</v>
      </c>
      <c r="C887" s="1" t="n">
        <v>45712</v>
      </c>
      <c r="D887" t="inlineStr">
        <is>
          <t>JÄMTLANDS LÄN</t>
        </is>
      </c>
      <c r="E887" t="inlineStr">
        <is>
          <t>RAGUNDA</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53677-2022</t>
        </is>
      </c>
      <c r="B888" s="1" t="n">
        <v>44879</v>
      </c>
      <c r="C888" s="1" t="n">
        <v>45712</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53674-2022</t>
        </is>
      </c>
      <c r="B889" s="1" t="n">
        <v>44879</v>
      </c>
      <c r="C889" s="1" t="n">
        <v>45712</v>
      </c>
      <c r="D889" t="inlineStr">
        <is>
          <t>JÄMTLANDS LÄN</t>
        </is>
      </c>
      <c r="E889" t="inlineStr">
        <is>
          <t>RAGUNDA</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53935-2022</t>
        </is>
      </c>
      <c r="B890" s="1" t="n">
        <v>44880</v>
      </c>
      <c r="C890" s="1" t="n">
        <v>45712</v>
      </c>
      <c r="D890" t="inlineStr">
        <is>
          <t>JÄMTLANDS LÄN</t>
        </is>
      </c>
      <c r="E890" t="inlineStr">
        <is>
          <t>RAGUNDA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53954-2022</t>
        </is>
      </c>
      <c r="B891" s="1" t="n">
        <v>44880</v>
      </c>
      <c r="C891" s="1" t="n">
        <v>45712</v>
      </c>
      <c r="D891" t="inlineStr">
        <is>
          <t>JÄMTLANDS LÄN</t>
        </is>
      </c>
      <c r="E891" t="inlineStr">
        <is>
          <t>RAGUNDA</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53951-2022</t>
        </is>
      </c>
      <c r="B892" s="1" t="n">
        <v>44880</v>
      </c>
      <c r="C892" s="1" t="n">
        <v>45712</v>
      </c>
      <c r="D892" t="inlineStr">
        <is>
          <t>JÄMTLANDS LÄN</t>
        </is>
      </c>
      <c r="E892" t="inlineStr">
        <is>
          <t>RAGUNDA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53952-2022</t>
        </is>
      </c>
      <c r="B893" s="1" t="n">
        <v>44880</v>
      </c>
      <c r="C893" s="1" t="n">
        <v>45712</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53958-2022</t>
        </is>
      </c>
      <c r="B894" s="1" t="n">
        <v>44880</v>
      </c>
      <c r="C894" s="1" t="n">
        <v>45712</v>
      </c>
      <c r="D894" t="inlineStr">
        <is>
          <t>JÄMTLANDS LÄN</t>
        </is>
      </c>
      <c r="E894" t="inlineStr">
        <is>
          <t>RAGUNDA</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53937-2022</t>
        </is>
      </c>
      <c r="B895" s="1" t="n">
        <v>44880</v>
      </c>
      <c r="C895" s="1" t="n">
        <v>45712</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53955-2022</t>
        </is>
      </c>
      <c r="B896" s="1" t="n">
        <v>44880</v>
      </c>
      <c r="C896" s="1" t="n">
        <v>45712</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54244-2022</t>
        </is>
      </c>
      <c r="B897" s="1" t="n">
        <v>44881</v>
      </c>
      <c r="C897" s="1" t="n">
        <v>45712</v>
      </c>
      <c r="D897" t="inlineStr">
        <is>
          <t>JÄMTLANDS LÄN</t>
        </is>
      </c>
      <c r="E897" t="inlineStr">
        <is>
          <t>RAGUNDA</t>
        </is>
      </c>
      <c r="G897" t="n">
        <v>2.8</v>
      </c>
      <c r="H897" t="n">
        <v>0</v>
      </c>
      <c r="I897" t="n">
        <v>0</v>
      </c>
      <c r="J897" t="n">
        <v>0</v>
      </c>
      <c r="K897" t="n">
        <v>0</v>
      </c>
      <c r="L897" t="n">
        <v>0</v>
      </c>
      <c r="M897" t="n">
        <v>0</v>
      </c>
      <c r="N897" t="n">
        <v>0</v>
      </c>
      <c r="O897" t="n">
        <v>0</v>
      </c>
      <c r="P897" t="n">
        <v>0</v>
      </c>
      <c r="Q897" t="n">
        <v>0</v>
      </c>
      <c r="R897" s="2" t="inlineStr"/>
    </row>
    <row r="898" ht="15" customHeight="1">
      <c r="A898" t="inlineStr">
        <is>
          <t>A 54570-2022</t>
        </is>
      </c>
      <c r="B898" s="1" t="n">
        <v>44882</v>
      </c>
      <c r="C898" s="1" t="n">
        <v>45712</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54572-2022</t>
        </is>
      </c>
      <c r="B899" s="1" t="n">
        <v>44882</v>
      </c>
      <c r="C899" s="1" t="n">
        <v>45712</v>
      </c>
      <c r="D899" t="inlineStr">
        <is>
          <t>JÄMTLANDS LÄN</t>
        </is>
      </c>
      <c r="E899" t="inlineStr">
        <is>
          <t>RAGUNDA</t>
        </is>
      </c>
      <c r="G899" t="n">
        <v>10.1</v>
      </c>
      <c r="H899" t="n">
        <v>0</v>
      </c>
      <c r="I899" t="n">
        <v>0</v>
      </c>
      <c r="J899" t="n">
        <v>0</v>
      </c>
      <c r="K899" t="n">
        <v>0</v>
      </c>
      <c r="L899" t="n">
        <v>0</v>
      </c>
      <c r="M899" t="n">
        <v>0</v>
      </c>
      <c r="N899" t="n">
        <v>0</v>
      </c>
      <c r="O899" t="n">
        <v>0</v>
      </c>
      <c r="P899" t="n">
        <v>0</v>
      </c>
      <c r="Q899" t="n">
        <v>0</v>
      </c>
      <c r="R899" s="2" t="inlineStr"/>
    </row>
    <row r="900" ht="15" customHeight="1">
      <c r="A900" t="inlineStr">
        <is>
          <t>A 54836-2022</t>
        </is>
      </c>
      <c r="B900" s="1" t="n">
        <v>44883</v>
      </c>
      <c r="C900" s="1" t="n">
        <v>45712</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54835-2022</t>
        </is>
      </c>
      <c r="B901" s="1" t="n">
        <v>44883</v>
      </c>
      <c r="C901" s="1" t="n">
        <v>45712</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54830-2022</t>
        </is>
      </c>
      <c r="B902" s="1" t="n">
        <v>44883</v>
      </c>
      <c r="C902" s="1" t="n">
        <v>45712</v>
      </c>
      <c r="D902" t="inlineStr">
        <is>
          <t>JÄMTLANDS LÄN</t>
        </is>
      </c>
      <c r="E902" t="inlineStr">
        <is>
          <t>RAGUNDA</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54837-2022</t>
        </is>
      </c>
      <c r="B903" s="1" t="n">
        <v>44883</v>
      </c>
      <c r="C903" s="1" t="n">
        <v>45712</v>
      </c>
      <c r="D903" t="inlineStr">
        <is>
          <t>JÄMTLANDS LÄN</t>
        </is>
      </c>
      <c r="E903" t="inlineStr">
        <is>
          <t>RAGUNDA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54827-2022</t>
        </is>
      </c>
      <c r="B904" s="1" t="n">
        <v>44883</v>
      </c>
      <c r="C904" s="1" t="n">
        <v>45712</v>
      </c>
      <c r="D904" t="inlineStr">
        <is>
          <t>JÄMTLANDS LÄN</t>
        </is>
      </c>
      <c r="E904" t="inlineStr">
        <is>
          <t>RAGUNDA</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55214-2022</t>
        </is>
      </c>
      <c r="B905" s="1" t="n">
        <v>44886</v>
      </c>
      <c r="C905" s="1" t="n">
        <v>45712</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55904-2022</t>
        </is>
      </c>
      <c r="B906" s="1" t="n">
        <v>44888</v>
      </c>
      <c r="C906" s="1" t="n">
        <v>45712</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56191-2022</t>
        </is>
      </c>
      <c r="B907" s="1" t="n">
        <v>44889</v>
      </c>
      <c r="C907" s="1" t="n">
        <v>45712</v>
      </c>
      <c r="D907" t="inlineStr">
        <is>
          <t>JÄMTLANDS LÄN</t>
        </is>
      </c>
      <c r="E907" t="inlineStr">
        <is>
          <t>RAGUNDA</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56186-2022</t>
        </is>
      </c>
      <c r="B908" s="1" t="n">
        <v>44889</v>
      </c>
      <c r="C908" s="1" t="n">
        <v>45712</v>
      </c>
      <c r="D908" t="inlineStr">
        <is>
          <t>JÄMTLANDS LÄN</t>
        </is>
      </c>
      <c r="E908" t="inlineStr">
        <is>
          <t>RAGUNDA</t>
        </is>
      </c>
      <c r="F908" t="inlineStr">
        <is>
          <t>Sveaskog</t>
        </is>
      </c>
      <c r="G908" t="n">
        <v>6</v>
      </c>
      <c r="H908" t="n">
        <v>0</v>
      </c>
      <c r="I908" t="n">
        <v>0</v>
      </c>
      <c r="J908" t="n">
        <v>0</v>
      </c>
      <c r="K908" t="n">
        <v>0</v>
      </c>
      <c r="L908" t="n">
        <v>0</v>
      </c>
      <c r="M908" t="n">
        <v>0</v>
      </c>
      <c r="N908" t="n">
        <v>0</v>
      </c>
      <c r="O908" t="n">
        <v>0</v>
      </c>
      <c r="P908" t="n">
        <v>0</v>
      </c>
      <c r="Q908" t="n">
        <v>0</v>
      </c>
      <c r="R908" s="2" t="inlineStr"/>
    </row>
    <row r="909" ht="15" customHeight="1">
      <c r="A909" t="inlineStr">
        <is>
          <t>A 56192-2022</t>
        </is>
      </c>
      <c r="B909" s="1" t="n">
        <v>44889</v>
      </c>
      <c r="C909" s="1" t="n">
        <v>45712</v>
      </c>
      <c r="D909" t="inlineStr">
        <is>
          <t>JÄMTLANDS LÄN</t>
        </is>
      </c>
      <c r="E909" t="inlineStr">
        <is>
          <t>RAGUNDA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56193-2022</t>
        </is>
      </c>
      <c r="B910" s="1" t="n">
        <v>44889</v>
      </c>
      <c r="C910" s="1" t="n">
        <v>45712</v>
      </c>
      <c r="D910" t="inlineStr">
        <is>
          <t>JÄMTLANDS LÄN</t>
        </is>
      </c>
      <c r="E910" t="inlineStr">
        <is>
          <t>RAGUNDA</t>
        </is>
      </c>
      <c r="F910" t="inlineStr">
        <is>
          <t>Sveaskog</t>
        </is>
      </c>
      <c r="G910" t="n">
        <v>4.2</v>
      </c>
      <c r="H910" t="n">
        <v>0</v>
      </c>
      <c r="I910" t="n">
        <v>0</v>
      </c>
      <c r="J910" t="n">
        <v>0</v>
      </c>
      <c r="K910" t="n">
        <v>0</v>
      </c>
      <c r="L910" t="n">
        <v>0</v>
      </c>
      <c r="M910" t="n">
        <v>0</v>
      </c>
      <c r="N910" t="n">
        <v>0</v>
      </c>
      <c r="O910" t="n">
        <v>0</v>
      </c>
      <c r="P910" t="n">
        <v>0</v>
      </c>
      <c r="Q910" t="n">
        <v>0</v>
      </c>
      <c r="R910" s="2" t="inlineStr"/>
    </row>
    <row r="911" ht="15" customHeight="1">
      <c r="A911" t="inlineStr">
        <is>
          <t>A 57237-2022</t>
        </is>
      </c>
      <c r="B911" s="1" t="n">
        <v>44889</v>
      </c>
      <c r="C911" s="1" t="n">
        <v>45712</v>
      </c>
      <c r="D911" t="inlineStr">
        <is>
          <t>JÄMTLANDS LÄN</t>
        </is>
      </c>
      <c r="E911" t="inlineStr">
        <is>
          <t>RAGUNDA</t>
        </is>
      </c>
      <c r="G911" t="n">
        <v>2.2</v>
      </c>
      <c r="H911" t="n">
        <v>0</v>
      </c>
      <c r="I911" t="n">
        <v>0</v>
      </c>
      <c r="J911" t="n">
        <v>0</v>
      </c>
      <c r="K911" t="n">
        <v>0</v>
      </c>
      <c r="L911" t="n">
        <v>0</v>
      </c>
      <c r="M911" t="n">
        <v>0</v>
      </c>
      <c r="N911" t="n">
        <v>0</v>
      </c>
      <c r="O911" t="n">
        <v>0</v>
      </c>
      <c r="P911" t="n">
        <v>0</v>
      </c>
      <c r="Q911" t="n">
        <v>0</v>
      </c>
      <c r="R911" s="2" t="inlineStr"/>
    </row>
    <row r="912" ht="15" customHeight="1">
      <c r="A912" t="inlineStr">
        <is>
          <t>A 56630-2022</t>
        </is>
      </c>
      <c r="B912" s="1" t="n">
        <v>44893</v>
      </c>
      <c r="C912" s="1" t="n">
        <v>45712</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56984-2022</t>
        </is>
      </c>
      <c r="B913" s="1" t="n">
        <v>44894</v>
      </c>
      <c r="C913" s="1" t="n">
        <v>45712</v>
      </c>
      <c r="D913" t="inlineStr">
        <is>
          <t>JÄMTLANDS LÄN</t>
        </is>
      </c>
      <c r="E913" t="inlineStr">
        <is>
          <t>RAGUNDA</t>
        </is>
      </c>
      <c r="G913" t="n">
        <v>1.4</v>
      </c>
      <c r="H913" t="n">
        <v>0</v>
      </c>
      <c r="I913" t="n">
        <v>0</v>
      </c>
      <c r="J913" t="n">
        <v>0</v>
      </c>
      <c r="K913" t="n">
        <v>0</v>
      </c>
      <c r="L913" t="n">
        <v>0</v>
      </c>
      <c r="M913" t="n">
        <v>0</v>
      </c>
      <c r="N913" t="n">
        <v>0</v>
      </c>
      <c r="O913" t="n">
        <v>0</v>
      </c>
      <c r="P913" t="n">
        <v>0</v>
      </c>
      <c r="Q913" t="n">
        <v>0</v>
      </c>
      <c r="R913" s="2" t="inlineStr"/>
    </row>
    <row r="914" ht="15" customHeight="1">
      <c r="A914" t="inlineStr">
        <is>
          <t>A 58537-2022</t>
        </is>
      </c>
      <c r="B914" s="1" t="n">
        <v>44894</v>
      </c>
      <c r="C914" s="1" t="n">
        <v>45712</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57298-2022</t>
        </is>
      </c>
      <c r="B915" s="1" t="n">
        <v>44895</v>
      </c>
      <c r="C915" s="1" t="n">
        <v>45712</v>
      </c>
      <c r="D915" t="inlineStr">
        <is>
          <t>JÄMTLANDS LÄN</t>
        </is>
      </c>
      <c r="E915" t="inlineStr">
        <is>
          <t>RAGUNDA</t>
        </is>
      </c>
      <c r="F915" t="inlineStr">
        <is>
          <t>SCA</t>
        </is>
      </c>
      <c r="G915" t="n">
        <v>27.4</v>
      </c>
      <c r="H915" t="n">
        <v>0</v>
      </c>
      <c r="I915" t="n">
        <v>0</v>
      </c>
      <c r="J915" t="n">
        <v>0</v>
      </c>
      <c r="K915" t="n">
        <v>0</v>
      </c>
      <c r="L915" t="n">
        <v>0</v>
      </c>
      <c r="M915" t="n">
        <v>0</v>
      </c>
      <c r="N915" t="n">
        <v>0</v>
      </c>
      <c r="O915" t="n">
        <v>0</v>
      </c>
      <c r="P915" t="n">
        <v>0</v>
      </c>
      <c r="Q915" t="n">
        <v>0</v>
      </c>
      <c r="R915" s="2" t="inlineStr"/>
    </row>
    <row r="916" ht="15" customHeight="1">
      <c r="A916" t="inlineStr">
        <is>
          <t>A 59242-2022</t>
        </is>
      </c>
      <c r="B916" s="1" t="n">
        <v>44896</v>
      </c>
      <c r="C916" s="1" t="n">
        <v>45712</v>
      </c>
      <c r="D916" t="inlineStr">
        <is>
          <t>JÄMTLANDS LÄN</t>
        </is>
      </c>
      <c r="E916" t="inlineStr">
        <is>
          <t>RAGUNDA</t>
        </is>
      </c>
      <c r="G916" t="n">
        <v>4</v>
      </c>
      <c r="H916" t="n">
        <v>0</v>
      </c>
      <c r="I916" t="n">
        <v>0</v>
      </c>
      <c r="J916" t="n">
        <v>0</v>
      </c>
      <c r="K916" t="n">
        <v>0</v>
      </c>
      <c r="L916" t="n">
        <v>0</v>
      </c>
      <c r="M916" t="n">
        <v>0</v>
      </c>
      <c r="N916" t="n">
        <v>0</v>
      </c>
      <c r="O916" t="n">
        <v>0</v>
      </c>
      <c r="P916" t="n">
        <v>0</v>
      </c>
      <c r="Q916" t="n">
        <v>0</v>
      </c>
      <c r="R916" s="2" t="inlineStr"/>
    </row>
    <row r="917" ht="15" customHeight="1">
      <c r="A917" t="inlineStr">
        <is>
          <t>A 57599-2022</t>
        </is>
      </c>
      <c r="B917" s="1" t="n">
        <v>44897</v>
      </c>
      <c r="C917" s="1" t="n">
        <v>45712</v>
      </c>
      <c r="D917" t="inlineStr">
        <is>
          <t>JÄMTLANDS LÄN</t>
        </is>
      </c>
      <c r="E917" t="inlineStr">
        <is>
          <t>RAGUNDA</t>
        </is>
      </c>
      <c r="F917" t="inlineStr">
        <is>
          <t>SCA</t>
        </is>
      </c>
      <c r="G917" t="n">
        <v>16.8</v>
      </c>
      <c r="H917" t="n">
        <v>0</v>
      </c>
      <c r="I917" t="n">
        <v>0</v>
      </c>
      <c r="J917" t="n">
        <v>0</v>
      </c>
      <c r="K917" t="n">
        <v>0</v>
      </c>
      <c r="L917" t="n">
        <v>0</v>
      </c>
      <c r="M917" t="n">
        <v>0</v>
      </c>
      <c r="N917" t="n">
        <v>0</v>
      </c>
      <c r="O917" t="n">
        <v>0</v>
      </c>
      <c r="P917" t="n">
        <v>0</v>
      </c>
      <c r="Q917" t="n">
        <v>0</v>
      </c>
      <c r="R917" s="2" t="inlineStr"/>
    </row>
    <row r="918" ht="15" customHeight="1">
      <c r="A918" t="inlineStr">
        <is>
          <t>A 57839-2022</t>
        </is>
      </c>
      <c r="B918" s="1" t="n">
        <v>44897</v>
      </c>
      <c r="C918" s="1" t="n">
        <v>45712</v>
      </c>
      <c r="D918" t="inlineStr">
        <is>
          <t>JÄMTLANDS LÄN</t>
        </is>
      </c>
      <c r="E918" t="inlineStr">
        <is>
          <t>RAGUNDA</t>
        </is>
      </c>
      <c r="F918" t="inlineStr">
        <is>
          <t>SCA</t>
        </is>
      </c>
      <c r="G918" t="n">
        <v>8.5</v>
      </c>
      <c r="H918" t="n">
        <v>0</v>
      </c>
      <c r="I918" t="n">
        <v>0</v>
      </c>
      <c r="J918" t="n">
        <v>0</v>
      </c>
      <c r="K918" t="n">
        <v>0</v>
      </c>
      <c r="L918" t="n">
        <v>0</v>
      </c>
      <c r="M918" t="n">
        <v>0</v>
      </c>
      <c r="N918" t="n">
        <v>0</v>
      </c>
      <c r="O918" t="n">
        <v>0</v>
      </c>
      <c r="P918" t="n">
        <v>0</v>
      </c>
      <c r="Q918" t="n">
        <v>0</v>
      </c>
      <c r="R918" s="2" t="inlineStr"/>
    </row>
    <row r="919" ht="15" customHeight="1">
      <c r="A919" t="inlineStr">
        <is>
          <t>A 58194-2022</t>
        </is>
      </c>
      <c r="B919" s="1" t="n">
        <v>44900</v>
      </c>
      <c r="C919" s="1" t="n">
        <v>45712</v>
      </c>
      <c r="D919" t="inlineStr">
        <is>
          <t>JÄMTLANDS LÄN</t>
        </is>
      </c>
      <c r="E919" t="inlineStr">
        <is>
          <t>RAGUNDA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58193-2022</t>
        </is>
      </c>
      <c r="B920" s="1" t="n">
        <v>44900</v>
      </c>
      <c r="C920" s="1" t="n">
        <v>45712</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58442-2022</t>
        </is>
      </c>
      <c r="B921" s="1" t="n">
        <v>44901</v>
      </c>
      <c r="C921" s="1" t="n">
        <v>45712</v>
      </c>
      <c r="D921" t="inlineStr">
        <is>
          <t>JÄMTLANDS LÄN</t>
        </is>
      </c>
      <c r="E921" t="inlineStr">
        <is>
          <t>RAGUNDA</t>
        </is>
      </c>
      <c r="F921" t="inlineStr">
        <is>
          <t>SCA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58438-2022</t>
        </is>
      </c>
      <c r="B922" s="1" t="n">
        <v>44901</v>
      </c>
      <c r="C922" s="1" t="n">
        <v>45712</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58443-2022</t>
        </is>
      </c>
      <c r="B923" s="1" t="n">
        <v>44901</v>
      </c>
      <c r="C923" s="1" t="n">
        <v>45712</v>
      </c>
      <c r="D923" t="inlineStr">
        <is>
          <t>JÄMTLANDS LÄN</t>
        </is>
      </c>
      <c r="E923" t="inlineStr">
        <is>
          <t>RAGUNDA</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60225-2022</t>
        </is>
      </c>
      <c r="B924" s="1" t="n">
        <v>44903</v>
      </c>
      <c r="C924" s="1" t="n">
        <v>45712</v>
      </c>
      <c r="D924" t="inlineStr">
        <is>
          <t>JÄMTLANDS LÄN</t>
        </is>
      </c>
      <c r="E924" t="inlineStr">
        <is>
          <t>RAGUNDA</t>
        </is>
      </c>
      <c r="G924" t="n">
        <v>1</v>
      </c>
      <c r="H924" t="n">
        <v>0</v>
      </c>
      <c r="I924" t="n">
        <v>0</v>
      </c>
      <c r="J924" t="n">
        <v>0</v>
      </c>
      <c r="K924" t="n">
        <v>0</v>
      </c>
      <c r="L924" t="n">
        <v>0</v>
      </c>
      <c r="M924" t="n">
        <v>0</v>
      </c>
      <c r="N924" t="n">
        <v>0</v>
      </c>
      <c r="O924" t="n">
        <v>0</v>
      </c>
      <c r="P924" t="n">
        <v>0</v>
      </c>
      <c r="Q924" t="n">
        <v>0</v>
      </c>
      <c r="R924" s="2" t="inlineStr"/>
    </row>
    <row r="925" ht="15" customHeight="1">
      <c r="A925" t="inlineStr">
        <is>
          <t>A 59044-2022</t>
        </is>
      </c>
      <c r="B925" s="1" t="n">
        <v>44903</v>
      </c>
      <c r="C925" s="1" t="n">
        <v>45712</v>
      </c>
      <c r="D925" t="inlineStr">
        <is>
          <t>JÄMTLANDS LÄN</t>
        </is>
      </c>
      <c r="E925" t="inlineStr">
        <is>
          <t>RAGUNDA</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59368-2022</t>
        </is>
      </c>
      <c r="B926" s="1" t="n">
        <v>44904</v>
      </c>
      <c r="C926" s="1" t="n">
        <v>45712</v>
      </c>
      <c r="D926" t="inlineStr">
        <is>
          <t>JÄMTLANDS LÄN</t>
        </is>
      </c>
      <c r="E926" t="inlineStr">
        <is>
          <t>RAGUNDA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59911-2022</t>
        </is>
      </c>
      <c r="B927" s="1" t="n">
        <v>44909</v>
      </c>
      <c r="C927" s="1" t="n">
        <v>45712</v>
      </c>
      <c r="D927" t="inlineStr">
        <is>
          <t>JÄMTLANDS LÄN</t>
        </is>
      </c>
      <c r="E927" t="inlineStr">
        <is>
          <t>RAGUNDA</t>
        </is>
      </c>
      <c r="F927" t="inlineStr">
        <is>
          <t>SCA</t>
        </is>
      </c>
      <c r="G927" t="n">
        <v>17.1</v>
      </c>
      <c r="H927" t="n">
        <v>0</v>
      </c>
      <c r="I927" t="n">
        <v>0</v>
      </c>
      <c r="J927" t="n">
        <v>0</v>
      </c>
      <c r="K927" t="n">
        <v>0</v>
      </c>
      <c r="L927" t="n">
        <v>0</v>
      </c>
      <c r="M927" t="n">
        <v>0</v>
      </c>
      <c r="N927" t="n">
        <v>0</v>
      </c>
      <c r="O927" t="n">
        <v>0</v>
      </c>
      <c r="P927" t="n">
        <v>0</v>
      </c>
      <c r="Q927" t="n">
        <v>0</v>
      </c>
      <c r="R927" s="2" t="inlineStr"/>
    </row>
    <row r="928" ht="15" customHeight="1">
      <c r="A928" t="inlineStr">
        <is>
          <t>A 60177-2022</t>
        </is>
      </c>
      <c r="B928" s="1" t="n">
        <v>44909</v>
      </c>
      <c r="C928" s="1" t="n">
        <v>45712</v>
      </c>
      <c r="D928" t="inlineStr">
        <is>
          <t>JÄMTLANDS LÄN</t>
        </is>
      </c>
      <c r="E928" t="inlineStr">
        <is>
          <t>RAGUNDA</t>
        </is>
      </c>
      <c r="F928" t="inlineStr">
        <is>
          <t>SCA</t>
        </is>
      </c>
      <c r="G928" t="n">
        <v>17.9</v>
      </c>
      <c r="H928" t="n">
        <v>0</v>
      </c>
      <c r="I928" t="n">
        <v>0</v>
      </c>
      <c r="J928" t="n">
        <v>0</v>
      </c>
      <c r="K928" t="n">
        <v>0</v>
      </c>
      <c r="L928" t="n">
        <v>0</v>
      </c>
      <c r="M928" t="n">
        <v>0</v>
      </c>
      <c r="N928" t="n">
        <v>0</v>
      </c>
      <c r="O928" t="n">
        <v>0</v>
      </c>
      <c r="P928" t="n">
        <v>0</v>
      </c>
      <c r="Q928" t="n">
        <v>0</v>
      </c>
      <c r="R928" s="2" t="inlineStr"/>
    </row>
    <row r="929" ht="15" customHeight="1">
      <c r="A929" t="inlineStr">
        <is>
          <t>A 60660-2022</t>
        </is>
      </c>
      <c r="B929" s="1" t="n">
        <v>44911</v>
      </c>
      <c r="C929" s="1" t="n">
        <v>45712</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60659-2022</t>
        </is>
      </c>
      <c r="B930" s="1" t="n">
        <v>44911</v>
      </c>
      <c r="C930" s="1" t="n">
        <v>45712</v>
      </c>
      <c r="D930" t="inlineStr">
        <is>
          <t>JÄMTLANDS LÄN</t>
        </is>
      </c>
      <c r="E930" t="inlineStr">
        <is>
          <t>RAGUNDA</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60673-2022</t>
        </is>
      </c>
      <c r="B931" s="1" t="n">
        <v>44911</v>
      </c>
      <c r="C931" s="1" t="n">
        <v>45712</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60663-2022</t>
        </is>
      </c>
      <c r="B932" s="1" t="n">
        <v>44911</v>
      </c>
      <c r="C932" s="1" t="n">
        <v>45712</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60699-2022</t>
        </is>
      </c>
      <c r="B933" s="1" t="n">
        <v>44911</v>
      </c>
      <c r="C933" s="1" t="n">
        <v>45712</v>
      </c>
      <c r="D933" t="inlineStr">
        <is>
          <t>JÄMTLANDS LÄN</t>
        </is>
      </c>
      <c r="E933" t="inlineStr">
        <is>
          <t>RAGUNDA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60739-2022</t>
        </is>
      </c>
      <c r="B934" s="1" t="n">
        <v>44913</v>
      </c>
      <c r="C934" s="1" t="n">
        <v>45712</v>
      </c>
      <c r="D934" t="inlineStr">
        <is>
          <t>JÄMTLANDS LÄN</t>
        </is>
      </c>
      <c r="E934" t="inlineStr">
        <is>
          <t>RAGUNDA</t>
        </is>
      </c>
      <c r="F934" t="inlineStr">
        <is>
          <t>Naturvårdsverket</t>
        </is>
      </c>
      <c r="G934" t="n">
        <v>6.6</v>
      </c>
      <c r="H934" t="n">
        <v>0</v>
      </c>
      <c r="I934" t="n">
        <v>0</v>
      </c>
      <c r="J934" t="n">
        <v>0</v>
      </c>
      <c r="K934" t="n">
        <v>0</v>
      </c>
      <c r="L934" t="n">
        <v>0</v>
      </c>
      <c r="M934" t="n">
        <v>0</v>
      </c>
      <c r="N934" t="n">
        <v>0</v>
      </c>
      <c r="O934" t="n">
        <v>0</v>
      </c>
      <c r="P934" t="n">
        <v>0</v>
      </c>
      <c r="Q934" t="n">
        <v>0</v>
      </c>
      <c r="R934" s="2" t="inlineStr"/>
    </row>
    <row r="935" ht="15" customHeight="1">
      <c r="A935" t="inlineStr">
        <is>
          <t>A 62011-2022</t>
        </is>
      </c>
      <c r="B935" s="1" t="n">
        <v>44914</v>
      </c>
      <c r="C935" s="1" t="n">
        <v>45712</v>
      </c>
      <c r="D935" t="inlineStr">
        <is>
          <t>JÄMTLANDS LÄN</t>
        </is>
      </c>
      <c r="E935" t="inlineStr">
        <is>
          <t>RAGUNDA</t>
        </is>
      </c>
      <c r="G935" t="n">
        <v>0.3</v>
      </c>
      <c r="H935" t="n">
        <v>0</v>
      </c>
      <c r="I935" t="n">
        <v>0</v>
      </c>
      <c r="J935" t="n">
        <v>0</v>
      </c>
      <c r="K935" t="n">
        <v>0</v>
      </c>
      <c r="L935" t="n">
        <v>0</v>
      </c>
      <c r="M935" t="n">
        <v>0</v>
      </c>
      <c r="N935" t="n">
        <v>0</v>
      </c>
      <c r="O935" t="n">
        <v>0</v>
      </c>
      <c r="P935" t="n">
        <v>0</v>
      </c>
      <c r="Q935" t="n">
        <v>0</v>
      </c>
      <c r="R935" s="2" t="inlineStr"/>
    </row>
    <row r="936" ht="15" customHeight="1">
      <c r="A936" t="inlineStr">
        <is>
          <t>A 61045-2022</t>
        </is>
      </c>
      <c r="B936" s="1" t="n">
        <v>44914</v>
      </c>
      <c r="C936" s="1" t="n">
        <v>45712</v>
      </c>
      <c r="D936" t="inlineStr">
        <is>
          <t>JÄMTLANDS LÄN</t>
        </is>
      </c>
      <c r="E936" t="inlineStr">
        <is>
          <t>RAGUNDA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61080-2022</t>
        </is>
      </c>
      <c r="B937" s="1" t="n">
        <v>44915</v>
      </c>
      <c r="C937" s="1" t="n">
        <v>45712</v>
      </c>
      <c r="D937" t="inlineStr">
        <is>
          <t>JÄMTLANDS LÄN</t>
        </is>
      </c>
      <c r="E937" t="inlineStr">
        <is>
          <t>RAGUNDA</t>
        </is>
      </c>
      <c r="G937" t="n">
        <v>3.4</v>
      </c>
      <c r="H937" t="n">
        <v>0</v>
      </c>
      <c r="I937" t="n">
        <v>0</v>
      </c>
      <c r="J937" t="n">
        <v>0</v>
      </c>
      <c r="K937" t="n">
        <v>0</v>
      </c>
      <c r="L937" t="n">
        <v>0</v>
      </c>
      <c r="M937" t="n">
        <v>0</v>
      </c>
      <c r="N937" t="n">
        <v>0</v>
      </c>
      <c r="O937" t="n">
        <v>0</v>
      </c>
      <c r="P937" t="n">
        <v>0</v>
      </c>
      <c r="Q937" t="n">
        <v>0</v>
      </c>
      <c r="R937" s="2" t="inlineStr"/>
    </row>
    <row r="938" ht="15" customHeight="1">
      <c r="A938" t="inlineStr">
        <is>
          <t>A 61400-2022</t>
        </is>
      </c>
      <c r="B938" s="1" t="n">
        <v>44915</v>
      </c>
      <c r="C938" s="1" t="n">
        <v>45712</v>
      </c>
      <c r="D938" t="inlineStr">
        <is>
          <t>JÄMTLANDS LÄN</t>
        </is>
      </c>
      <c r="E938" t="inlineStr">
        <is>
          <t>RAGUNDA</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61401-2022</t>
        </is>
      </c>
      <c r="B939" s="1" t="n">
        <v>44915</v>
      </c>
      <c r="C939" s="1" t="n">
        <v>45712</v>
      </c>
      <c r="D939" t="inlineStr">
        <is>
          <t>JÄMTLANDS LÄN</t>
        </is>
      </c>
      <c r="E939" t="inlineStr">
        <is>
          <t>RAGUNDA</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62541-2022</t>
        </is>
      </c>
      <c r="B940" s="1" t="n">
        <v>44917</v>
      </c>
      <c r="C940" s="1" t="n">
        <v>45712</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61934-2022</t>
        </is>
      </c>
      <c r="B941" s="1" t="n">
        <v>44917</v>
      </c>
      <c r="C941" s="1" t="n">
        <v>45712</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45712</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182-2023</t>
        </is>
      </c>
      <c r="B943" s="1" t="n">
        <v>44922</v>
      </c>
      <c r="C943" s="1" t="n">
        <v>45712</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62407-2022</t>
        </is>
      </c>
      <c r="B944" s="1" t="n">
        <v>44923</v>
      </c>
      <c r="C944" s="1" t="n">
        <v>45712</v>
      </c>
      <c r="D944" t="inlineStr">
        <is>
          <t>JÄMTLANDS LÄN</t>
        </is>
      </c>
      <c r="E944" t="inlineStr">
        <is>
          <t>RAGUNDA</t>
        </is>
      </c>
      <c r="F944" t="inlineStr">
        <is>
          <t>SCA</t>
        </is>
      </c>
      <c r="G944" t="n">
        <v>53.6</v>
      </c>
      <c r="H944" t="n">
        <v>0</v>
      </c>
      <c r="I944" t="n">
        <v>0</v>
      </c>
      <c r="J944" t="n">
        <v>0</v>
      </c>
      <c r="K944" t="n">
        <v>0</v>
      </c>
      <c r="L944" t="n">
        <v>0</v>
      </c>
      <c r="M944" t="n">
        <v>0</v>
      </c>
      <c r="N944" t="n">
        <v>0</v>
      </c>
      <c r="O944" t="n">
        <v>0</v>
      </c>
      <c r="P944" t="n">
        <v>0</v>
      </c>
      <c r="Q944" t="n">
        <v>0</v>
      </c>
      <c r="R944" s="2" t="inlineStr"/>
    </row>
    <row r="945" ht="15" customHeight="1">
      <c r="A945" t="inlineStr">
        <is>
          <t>A 17-2023</t>
        </is>
      </c>
      <c r="B945" s="1" t="n">
        <v>44927</v>
      </c>
      <c r="C945" s="1" t="n">
        <v>45712</v>
      </c>
      <c r="D945" t="inlineStr">
        <is>
          <t>JÄMTLANDS LÄN</t>
        </is>
      </c>
      <c r="E945" t="inlineStr">
        <is>
          <t>RAGUNDA</t>
        </is>
      </c>
      <c r="F945" t="inlineStr">
        <is>
          <t>SCA</t>
        </is>
      </c>
      <c r="G945" t="n">
        <v>49.6</v>
      </c>
      <c r="H945" t="n">
        <v>0</v>
      </c>
      <c r="I945" t="n">
        <v>0</v>
      </c>
      <c r="J945" t="n">
        <v>0</v>
      </c>
      <c r="K945" t="n">
        <v>0</v>
      </c>
      <c r="L945" t="n">
        <v>0</v>
      </c>
      <c r="M945" t="n">
        <v>0</v>
      </c>
      <c r="N945" t="n">
        <v>0</v>
      </c>
      <c r="O945" t="n">
        <v>0</v>
      </c>
      <c r="P945" t="n">
        <v>0</v>
      </c>
      <c r="Q945" t="n">
        <v>0</v>
      </c>
      <c r="R945" s="2" t="inlineStr"/>
    </row>
    <row r="946" ht="15" customHeight="1">
      <c r="A946" t="inlineStr">
        <is>
          <t>A 462-2023</t>
        </is>
      </c>
      <c r="B946" s="1" t="n">
        <v>44929</v>
      </c>
      <c r="C946" s="1" t="n">
        <v>45712</v>
      </c>
      <c r="D946" t="inlineStr">
        <is>
          <t>JÄMTLANDS LÄN</t>
        </is>
      </c>
      <c r="E946" t="inlineStr">
        <is>
          <t>RAGUNDA</t>
        </is>
      </c>
      <c r="G946" t="n">
        <v>4.5</v>
      </c>
      <c r="H946" t="n">
        <v>0</v>
      </c>
      <c r="I946" t="n">
        <v>0</v>
      </c>
      <c r="J946" t="n">
        <v>0</v>
      </c>
      <c r="K946" t="n">
        <v>0</v>
      </c>
      <c r="L946" t="n">
        <v>0</v>
      </c>
      <c r="M946" t="n">
        <v>0</v>
      </c>
      <c r="N946" t="n">
        <v>0</v>
      </c>
      <c r="O946" t="n">
        <v>0</v>
      </c>
      <c r="P946" t="n">
        <v>0</v>
      </c>
      <c r="Q946" t="n">
        <v>0</v>
      </c>
      <c r="R946" s="2" t="inlineStr"/>
    </row>
    <row r="947" ht="15" customHeight="1">
      <c r="A947" t="inlineStr">
        <is>
          <t>A 467-2023</t>
        </is>
      </c>
      <c r="B947" s="1" t="n">
        <v>44929</v>
      </c>
      <c r="C947" s="1" t="n">
        <v>45712</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465-2023</t>
        </is>
      </c>
      <c r="B948" s="1" t="n">
        <v>44929</v>
      </c>
      <c r="C948" s="1" t="n">
        <v>45712</v>
      </c>
      <c r="D948" t="inlineStr">
        <is>
          <t>JÄMTLANDS LÄN</t>
        </is>
      </c>
      <c r="E948" t="inlineStr">
        <is>
          <t>RAGUNDA</t>
        </is>
      </c>
      <c r="G948" t="n">
        <v>0.8</v>
      </c>
      <c r="H948" t="n">
        <v>0</v>
      </c>
      <c r="I948" t="n">
        <v>0</v>
      </c>
      <c r="J948" t="n">
        <v>0</v>
      </c>
      <c r="K948" t="n">
        <v>0</v>
      </c>
      <c r="L948" t="n">
        <v>0</v>
      </c>
      <c r="M948" t="n">
        <v>0</v>
      </c>
      <c r="N948" t="n">
        <v>0</v>
      </c>
      <c r="O948" t="n">
        <v>0</v>
      </c>
      <c r="P948" t="n">
        <v>0</v>
      </c>
      <c r="Q948" t="n">
        <v>0</v>
      </c>
      <c r="R948" s="2" t="inlineStr"/>
    </row>
    <row r="949" ht="15" customHeight="1">
      <c r="A949" t="inlineStr">
        <is>
          <t>A 464-2023</t>
        </is>
      </c>
      <c r="B949" s="1" t="n">
        <v>44929</v>
      </c>
      <c r="C949" s="1" t="n">
        <v>45712</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719-2023</t>
        </is>
      </c>
      <c r="B950" s="1" t="n">
        <v>44930</v>
      </c>
      <c r="C950" s="1" t="n">
        <v>45712</v>
      </c>
      <c r="D950" t="inlineStr">
        <is>
          <t>JÄMTLANDS LÄN</t>
        </is>
      </c>
      <c r="E950" t="inlineStr">
        <is>
          <t>RAGUNDA</t>
        </is>
      </c>
      <c r="F950" t="inlineStr">
        <is>
          <t>SCA</t>
        </is>
      </c>
      <c r="G950" t="n">
        <v>10.7</v>
      </c>
      <c r="H950" t="n">
        <v>0</v>
      </c>
      <c r="I950" t="n">
        <v>0</v>
      </c>
      <c r="J950" t="n">
        <v>0</v>
      </c>
      <c r="K950" t="n">
        <v>0</v>
      </c>
      <c r="L950" t="n">
        <v>0</v>
      </c>
      <c r="M950" t="n">
        <v>0</v>
      </c>
      <c r="N950" t="n">
        <v>0</v>
      </c>
      <c r="O950" t="n">
        <v>0</v>
      </c>
      <c r="P950" t="n">
        <v>0</v>
      </c>
      <c r="Q950" t="n">
        <v>0</v>
      </c>
      <c r="R950" s="2" t="inlineStr"/>
    </row>
    <row r="951" ht="15" customHeight="1">
      <c r="A951" t="inlineStr">
        <is>
          <t>A 718-2023</t>
        </is>
      </c>
      <c r="B951" s="1" t="n">
        <v>44930</v>
      </c>
      <c r="C951" s="1" t="n">
        <v>45712</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934-2023</t>
        </is>
      </c>
      <c r="B952" s="1" t="n">
        <v>44932</v>
      </c>
      <c r="C952" s="1" t="n">
        <v>45712</v>
      </c>
      <c r="D952" t="inlineStr">
        <is>
          <t>JÄMTLANDS LÄN</t>
        </is>
      </c>
      <c r="E952" t="inlineStr">
        <is>
          <t>RAGUNDA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1876-2023</t>
        </is>
      </c>
      <c r="B953" s="1" t="n">
        <v>44938</v>
      </c>
      <c r="C953" s="1" t="n">
        <v>45712</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1870-2023</t>
        </is>
      </c>
      <c r="B954" s="1" t="n">
        <v>44938</v>
      </c>
      <c r="C954" s="1" t="n">
        <v>45712</v>
      </c>
      <c r="D954" t="inlineStr">
        <is>
          <t>JÄMTLANDS LÄN</t>
        </is>
      </c>
      <c r="E954" t="inlineStr">
        <is>
          <t>RAGUNDA</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1871-2023</t>
        </is>
      </c>
      <c r="B955" s="1" t="n">
        <v>44938</v>
      </c>
      <c r="C955" s="1" t="n">
        <v>45712</v>
      </c>
      <c r="D955" t="inlineStr">
        <is>
          <t>JÄMTLANDS LÄN</t>
        </is>
      </c>
      <c r="E955" t="inlineStr">
        <is>
          <t>RAGUNDA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1875-2023</t>
        </is>
      </c>
      <c r="B956" s="1" t="n">
        <v>44938</v>
      </c>
      <c r="C956" s="1" t="n">
        <v>45712</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2117-2023</t>
        </is>
      </c>
      <c r="B957" s="1" t="n">
        <v>44939</v>
      </c>
      <c r="C957" s="1" t="n">
        <v>45712</v>
      </c>
      <c r="D957" t="inlineStr">
        <is>
          <t>JÄMTLANDS LÄN</t>
        </is>
      </c>
      <c r="E957" t="inlineStr">
        <is>
          <t>RAGUNDA</t>
        </is>
      </c>
      <c r="F957" t="inlineStr">
        <is>
          <t>SCA</t>
        </is>
      </c>
      <c r="G957" t="n">
        <v>7.3</v>
      </c>
      <c r="H957" t="n">
        <v>0</v>
      </c>
      <c r="I957" t="n">
        <v>0</v>
      </c>
      <c r="J957" t="n">
        <v>0</v>
      </c>
      <c r="K957" t="n">
        <v>0</v>
      </c>
      <c r="L957" t="n">
        <v>0</v>
      </c>
      <c r="M957" t="n">
        <v>0</v>
      </c>
      <c r="N957" t="n">
        <v>0</v>
      </c>
      <c r="O957" t="n">
        <v>0</v>
      </c>
      <c r="P957" t="n">
        <v>0</v>
      </c>
      <c r="Q957" t="n">
        <v>0</v>
      </c>
      <c r="R957" s="2" t="inlineStr"/>
    </row>
    <row r="958" ht="15" customHeight="1">
      <c r="A958" t="inlineStr">
        <is>
          <t>A 2130-2023</t>
        </is>
      </c>
      <c r="B958" s="1" t="n">
        <v>44939</v>
      </c>
      <c r="C958" s="1" t="n">
        <v>45712</v>
      </c>
      <c r="D958" t="inlineStr">
        <is>
          <t>JÄMTLANDS LÄN</t>
        </is>
      </c>
      <c r="E958" t="inlineStr">
        <is>
          <t>RAGUNDA</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2127-2023</t>
        </is>
      </c>
      <c r="B959" s="1" t="n">
        <v>44939</v>
      </c>
      <c r="C959" s="1" t="n">
        <v>45712</v>
      </c>
      <c r="D959" t="inlineStr">
        <is>
          <t>JÄMTLANDS LÄN</t>
        </is>
      </c>
      <c r="E959" t="inlineStr">
        <is>
          <t>RAGUNDA</t>
        </is>
      </c>
      <c r="F959" t="inlineStr">
        <is>
          <t>SCA</t>
        </is>
      </c>
      <c r="G959" t="n">
        <v>6.6</v>
      </c>
      <c r="H959" t="n">
        <v>0</v>
      </c>
      <c r="I959" t="n">
        <v>0</v>
      </c>
      <c r="J959" t="n">
        <v>0</v>
      </c>
      <c r="K959" t="n">
        <v>0</v>
      </c>
      <c r="L959" t="n">
        <v>0</v>
      </c>
      <c r="M959" t="n">
        <v>0</v>
      </c>
      <c r="N959" t="n">
        <v>0</v>
      </c>
      <c r="O959" t="n">
        <v>0</v>
      </c>
      <c r="P959" t="n">
        <v>0</v>
      </c>
      <c r="Q959" t="n">
        <v>0</v>
      </c>
      <c r="R959" s="2" t="inlineStr"/>
    </row>
    <row r="960" ht="15" customHeight="1">
      <c r="A960" t="inlineStr">
        <is>
          <t>A 2133-2023</t>
        </is>
      </c>
      <c r="B960" s="1" t="n">
        <v>44939</v>
      </c>
      <c r="C960" s="1" t="n">
        <v>45712</v>
      </c>
      <c r="D960" t="inlineStr">
        <is>
          <t>JÄMTLANDS LÄN</t>
        </is>
      </c>
      <c r="E960" t="inlineStr">
        <is>
          <t>RAGUNDA</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2401-2023</t>
        </is>
      </c>
      <c r="B961" s="1" t="n">
        <v>44942</v>
      </c>
      <c r="C961" s="1" t="n">
        <v>45712</v>
      </c>
      <c r="D961" t="inlineStr">
        <is>
          <t>JÄMTLANDS LÄN</t>
        </is>
      </c>
      <c r="E961" t="inlineStr">
        <is>
          <t>RAGUNDA</t>
        </is>
      </c>
      <c r="G961" t="n">
        <v>6.3</v>
      </c>
      <c r="H961" t="n">
        <v>0</v>
      </c>
      <c r="I961" t="n">
        <v>0</v>
      </c>
      <c r="J961" t="n">
        <v>0</v>
      </c>
      <c r="K961" t="n">
        <v>0</v>
      </c>
      <c r="L961" t="n">
        <v>0</v>
      </c>
      <c r="M961" t="n">
        <v>0</v>
      </c>
      <c r="N961" t="n">
        <v>0</v>
      </c>
      <c r="O961" t="n">
        <v>0</v>
      </c>
      <c r="P961" t="n">
        <v>0</v>
      </c>
      <c r="Q961" t="n">
        <v>0</v>
      </c>
      <c r="R961" s="2" t="inlineStr"/>
    </row>
    <row r="962" ht="15" customHeight="1">
      <c r="A962" t="inlineStr">
        <is>
          <t>A 2411-2023</t>
        </is>
      </c>
      <c r="B962" s="1" t="n">
        <v>44942</v>
      </c>
      <c r="C962" s="1" t="n">
        <v>45712</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2402-2023</t>
        </is>
      </c>
      <c r="B963" s="1" t="n">
        <v>44942</v>
      </c>
      <c r="C963" s="1" t="n">
        <v>45712</v>
      </c>
      <c r="D963" t="inlineStr">
        <is>
          <t>JÄMTLANDS LÄN</t>
        </is>
      </c>
      <c r="E963" t="inlineStr">
        <is>
          <t>RAGUNDA</t>
        </is>
      </c>
      <c r="G963" t="n">
        <v>7.8</v>
      </c>
      <c r="H963" t="n">
        <v>0</v>
      </c>
      <c r="I963" t="n">
        <v>0</v>
      </c>
      <c r="J963" t="n">
        <v>0</v>
      </c>
      <c r="K963" t="n">
        <v>0</v>
      </c>
      <c r="L963" t="n">
        <v>0</v>
      </c>
      <c r="M963" t="n">
        <v>0</v>
      </c>
      <c r="N963" t="n">
        <v>0</v>
      </c>
      <c r="O963" t="n">
        <v>0</v>
      </c>
      <c r="P963" t="n">
        <v>0</v>
      </c>
      <c r="Q963" t="n">
        <v>0</v>
      </c>
      <c r="R963" s="2" t="inlineStr"/>
    </row>
    <row r="964" ht="15" customHeight="1">
      <c r="A964" t="inlineStr">
        <is>
          <t>A 2414-2023</t>
        </is>
      </c>
      <c r="B964" s="1" t="n">
        <v>44942</v>
      </c>
      <c r="C964" s="1" t="n">
        <v>45712</v>
      </c>
      <c r="D964" t="inlineStr">
        <is>
          <t>JÄMTLANDS LÄN</t>
        </is>
      </c>
      <c r="E964" t="inlineStr">
        <is>
          <t>RAGUNDA</t>
        </is>
      </c>
      <c r="F964" t="inlineStr">
        <is>
          <t>SCA</t>
        </is>
      </c>
      <c r="G964" t="n">
        <v>28.4</v>
      </c>
      <c r="H964" t="n">
        <v>0</v>
      </c>
      <c r="I964" t="n">
        <v>0</v>
      </c>
      <c r="J964" t="n">
        <v>0</v>
      </c>
      <c r="K964" t="n">
        <v>0</v>
      </c>
      <c r="L964" t="n">
        <v>0</v>
      </c>
      <c r="M964" t="n">
        <v>0</v>
      </c>
      <c r="N964" t="n">
        <v>0</v>
      </c>
      <c r="O964" t="n">
        <v>0</v>
      </c>
      <c r="P964" t="n">
        <v>0</v>
      </c>
      <c r="Q964" t="n">
        <v>0</v>
      </c>
      <c r="R964" s="2" t="inlineStr"/>
    </row>
    <row r="965" ht="15" customHeight="1">
      <c r="A965" t="inlineStr">
        <is>
          <t>A 2599-2023</t>
        </is>
      </c>
      <c r="B965" s="1" t="n">
        <v>44943</v>
      </c>
      <c r="C965" s="1" t="n">
        <v>45712</v>
      </c>
      <c r="D965" t="inlineStr">
        <is>
          <t>JÄMTLANDS LÄN</t>
        </is>
      </c>
      <c r="E965" t="inlineStr">
        <is>
          <t>RAGUNDA</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2600-2023</t>
        </is>
      </c>
      <c r="B966" s="1" t="n">
        <v>44943</v>
      </c>
      <c r="C966" s="1" t="n">
        <v>45712</v>
      </c>
      <c r="D966" t="inlineStr">
        <is>
          <t>JÄMTLANDS LÄN</t>
        </is>
      </c>
      <c r="E966" t="inlineStr">
        <is>
          <t>RAGUNDA</t>
        </is>
      </c>
      <c r="F966" t="inlineStr">
        <is>
          <t>SCA</t>
        </is>
      </c>
      <c r="G966" t="n">
        <v>8.5</v>
      </c>
      <c r="H966" t="n">
        <v>0</v>
      </c>
      <c r="I966" t="n">
        <v>0</v>
      </c>
      <c r="J966" t="n">
        <v>0</v>
      </c>
      <c r="K966" t="n">
        <v>0</v>
      </c>
      <c r="L966" t="n">
        <v>0</v>
      </c>
      <c r="M966" t="n">
        <v>0</v>
      </c>
      <c r="N966" t="n">
        <v>0</v>
      </c>
      <c r="O966" t="n">
        <v>0</v>
      </c>
      <c r="P966" t="n">
        <v>0</v>
      </c>
      <c r="Q966" t="n">
        <v>0</v>
      </c>
      <c r="R966" s="2" t="inlineStr"/>
    </row>
    <row r="967" ht="15" customHeight="1">
      <c r="A967" t="inlineStr">
        <is>
          <t>A 2819-2023</t>
        </is>
      </c>
      <c r="B967" s="1" t="n">
        <v>44944</v>
      </c>
      <c r="C967" s="1" t="n">
        <v>45712</v>
      </c>
      <c r="D967" t="inlineStr">
        <is>
          <t>JÄMTLANDS LÄN</t>
        </is>
      </c>
      <c r="E967" t="inlineStr">
        <is>
          <t>RAGUNDA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3034-2023</t>
        </is>
      </c>
      <c r="B968" s="1" t="n">
        <v>44945</v>
      </c>
      <c r="C968" s="1" t="n">
        <v>45712</v>
      </c>
      <c r="D968" t="inlineStr">
        <is>
          <t>JÄMTLANDS LÄN</t>
        </is>
      </c>
      <c r="E968" t="inlineStr">
        <is>
          <t>RAGUNDA</t>
        </is>
      </c>
      <c r="F968" t="inlineStr">
        <is>
          <t>SCA</t>
        </is>
      </c>
      <c r="G968" t="n">
        <v>19.1</v>
      </c>
      <c r="H968" t="n">
        <v>0</v>
      </c>
      <c r="I968" t="n">
        <v>0</v>
      </c>
      <c r="J968" t="n">
        <v>0</v>
      </c>
      <c r="K968" t="n">
        <v>0</v>
      </c>
      <c r="L968" t="n">
        <v>0</v>
      </c>
      <c r="M968" t="n">
        <v>0</v>
      </c>
      <c r="N968" t="n">
        <v>0</v>
      </c>
      <c r="O968" t="n">
        <v>0</v>
      </c>
      <c r="P968" t="n">
        <v>0</v>
      </c>
      <c r="Q968" t="n">
        <v>0</v>
      </c>
      <c r="R968" s="2" t="inlineStr"/>
    </row>
    <row r="969" ht="15" customHeight="1">
      <c r="A969" t="inlineStr">
        <is>
          <t>A 3242-2023</t>
        </is>
      </c>
      <c r="B969" s="1" t="n">
        <v>44946</v>
      </c>
      <c r="C969" s="1" t="n">
        <v>45712</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3243-2023</t>
        </is>
      </c>
      <c r="B970" s="1" t="n">
        <v>44946</v>
      </c>
      <c r="C970" s="1" t="n">
        <v>45712</v>
      </c>
      <c r="D970" t="inlineStr">
        <is>
          <t>JÄMTLANDS LÄN</t>
        </is>
      </c>
      <c r="E970" t="inlineStr">
        <is>
          <t>RAGUNDA</t>
        </is>
      </c>
      <c r="F970" t="inlineStr">
        <is>
          <t>SCA</t>
        </is>
      </c>
      <c r="G970" t="n">
        <v>11.2</v>
      </c>
      <c r="H970" t="n">
        <v>0</v>
      </c>
      <c r="I970" t="n">
        <v>0</v>
      </c>
      <c r="J970" t="n">
        <v>0</v>
      </c>
      <c r="K970" t="n">
        <v>0</v>
      </c>
      <c r="L970" t="n">
        <v>0</v>
      </c>
      <c r="M970" t="n">
        <v>0</v>
      </c>
      <c r="N970" t="n">
        <v>0</v>
      </c>
      <c r="O970" t="n">
        <v>0</v>
      </c>
      <c r="P970" t="n">
        <v>0</v>
      </c>
      <c r="Q970" t="n">
        <v>0</v>
      </c>
      <c r="R970" s="2" t="inlineStr"/>
    </row>
    <row r="971" ht="15" customHeight="1">
      <c r="A971" t="inlineStr">
        <is>
          <t>A 4348-2023</t>
        </is>
      </c>
      <c r="B971" s="1" t="n">
        <v>44953</v>
      </c>
      <c r="C971" s="1" t="n">
        <v>45712</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4346-2023</t>
        </is>
      </c>
      <c r="B972" s="1" t="n">
        <v>44954</v>
      </c>
      <c r="C972" s="1" t="n">
        <v>45712</v>
      </c>
      <c r="D972" t="inlineStr">
        <is>
          <t>JÄMTLANDS LÄN</t>
        </is>
      </c>
      <c r="E972" t="inlineStr">
        <is>
          <t>RAGUNDA</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4350-2023</t>
        </is>
      </c>
      <c r="B973" s="1" t="n">
        <v>44953</v>
      </c>
      <c r="C973" s="1" t="n">
        <v>45712</v>
      </c>
      <c r="D973" t="inlineStr">
        <is>
          <t>JÄMTLANDS LÄN</t>
        </is>
      </c>
      <c r="E973" t="inlineStr">
        <is>
          <t>RAGUNDA</t>
        </is>
      </c>
      <c r="F973" t="inlineStr">
        <is>
          <t>Naturvårdsverket</t>
        </is>
      </c>
      <c r="G973" t="n">
        <v>10.4</v>
      </c>
      <c r="H973" t="n">
        <v>0</v>
      </c>
      <c r="I973" t="n">
        <v>0</v>
      </c>
      <c r="J973" t="n">
        <v>0</v>
      </c>
      <c r="K973" t="n">
        <v>0</v>
      </c>
      <c r="L973" t="n">
        <v>0</v>
      </c>
      <c r="M973" t="n">
        <v>0</v>
      </c>
      <c r="N973" t="n">
        <v>0</v>
      </c>
      <c r="O973" t="n">
        <v>0</v>
      </c>
      <c r="P973" t="n">
        <v>0</v>
      </c>
      <c r="Q973" t="n">
        <v>0</v>
      </c>
      <c r="R973" s="2" t="inlineStr"/>
    </row>
    <row r="974" ht="15" customHeight="1">
      <c r="A974" t="inlineStr">
        <is>
          <t>A 4349-2023</t>
        </is>
      </c>
      <c r="B974" s="1" t="n">
        <v>44954</v>
      </c>
      <c r="C974" s="1" t="n">
        <v>45712</v>
      </c>
      <c r="D974" t="inlineStr">
        <is>
          <t>JÄMTLANDS LÄN</t>
        </is>
      </c>
      <c r="E974" t="inlineStr">
        <is>
          <t>RAGUNDA</t>
        </is>
      </c>
      <c r="F974" t="inlineStr">
        <is>
          <t>SCA</t>
        </is>
      </c>
      <c r="G974" t="n">
        <v>7.5</v>
      </c>
      <c r="H974" t="n">
        <v>0</v>
      </c>
      <c r="I974" t="n">
        <v>0</v>
      </c>
      <c r="J974" t="n">
        <v>0</v>
      </c>
      <c r="K974" t="n">
        <v>0</v>
      </c>
      <c r="L974" t="n">
        <v>0</v>
      </c>
      <c r="M974" t="n">
        <v>0</v>
      </c>
      <c r="N974" t="n">
        <v>0</v>
      </c>
      <c r="O974" t="n">
        <v>0</v>
      </c>
      <c r="P974" t="n">
        <v>0</v>
      </c>
      <c r="Q974" t="n">
        <v>0</v>
      </c>
      <c r="R974" s="2" t="inlineStr"/>
    </row>
    <row r="975" ht="15" customHeight="1">
      <c r="A975" t="inlineStr">
        <is>
          <t>A 4622-2023</t>
        </is>
      </c>
      <c r="B975" s="1" t="n">
        <v>44956</v>
      </c>
      <c r="C975" s="1" t="n">
        <v>45712</v>
      </c>
      <c r="D975" t="inlineStr">
        <is>
          <t>JÄMTLANDS LÄN</t>
        </is>
      </c>
      <c r="E975" t="inlineStr">
        <is>
          <t>RAGUNDA</t>
        </is>
      </c>
      <c r="F975" t="inlineStr">
        <is>
          <t>Sveaskog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4620-2023</t>
        </is>
      </c>
      <c r="B976" s="1" t="n">
        <v>44956</v>
      </c>
      <c r="C976" s="1" t="n">
        <v>45712</v>
      </c>
      <c r="D976" t="inlineStr">
        <is>
          <t>JÄMTLANDS LÄN</t>
        </is>
      </c>
      <c r="E976" t="inlineStr">
        <is>
          <t>RAGUNDA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4615-2023</t>
        </is>
      </c>
      <c r="B977" s="1" t="n">
        <v>44956</v>
      </c>
      <c r="C977" s="1" t="n">
        <v>45712</v>
      </c>
      <c r="D977" t="inlineStr">
        <is>
          <t>JÄMTLANDS LÄN</t>
        </is>
      </c>
      <c r="E977" t="inlineStr">
        <is>
          <t>RAGUNDA</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4882-2023</t>
        </is>
      </c>
      <c r="B978" s="1" t="n">
        <v>44957</v>
      </c>
      <c r="C978" s="1" t="n">
        <v>45712</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4874-2023</t>
        </is>
      </c>
      <c r="B979" s="1" t="n">
        <v>44957</v>
      </c>
      <c r="C979" s="1" t="n">
        <v>45712</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4879-2023</t>
        </is>
      </c>
      <c r="B980" s="1" t="n">
        <v>44957</v>
      </c>
      <c r="C980" s="1" t="n">
        <v>45712</v>
      </c>
      <c r="D980" t="inlineStr">
        <is>
          <t>JÄMTLANDS LÄN</t>
        </is>
      </c>
      <c r="E980" t="inlineStr">
        <is>
          <t>RAGUNDA</t>
        </is>
      </c>
      <c r="F980" t="inlineStr">
        <is>
          <t>SCA</t>
        </is>
      </c>
      <c r="G980" t="n">
        <v>17.4</v>
      </c>
      <c r="H980" t="n">
        <v>0</v>
      </c>
      <c r="I980" t="n">
        <v>0</v>
      </c>
      <c r="J980" t="n">
        <v>0</v>
      </c>
      <c r="K980" t="n">
        <v>0</v>
      </c>
      <c r="L980" t="n">
        <v>0</v>
      </c>
      <c r="M980" t="n">
        <v>0</v>
      </c>
      <c r="N980" t="n">
        <v>0</v>
      </c>
      <c r="O980" t="n">
        <v>0</v>
      </c>
      <c r="P980" t="n">
        <v>0</v>
      </c>
      <c r="Q980" t="n">
        <v>0</v>
      </c>
      <c r="R980" s="2" t="inlineStr"/>
    </row>
    <row r="981" ht="15" customHeight="1">
      <c r="A981" t="inlineStr">
        <is>
          <t>A 5163-2023</t>
        </is>
      </c>
      <c r="B981" s="1" t="n">
        <v>44958</v>
      </c>
      <c r="C981" s="1" t="n">
        <v>45712</v>
      </c>
      <c r="D981" t="inlineStr">
        <is>
          <t>JÄMTLANDS LÄN</t>
        </is>
      </c>
      <c r="E981" t="inlineStr">
        <is>
          <t>RAGUNDA</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5815-2023</t>
        </is>
      </c>
      <c r="B982" s="1" t="n">
        <v>44958</v>
      </c>
      <c r="C982" s="1" t="n">
        <v>45712</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5148-2023</t>
        </is>
      </c>
      <c r="B983" s="1" t="n">
        <v>44958</v>
      </c>
      <c r="C983" s="1" t="n">
        <v>45712</v>
      </c>
      <c r="D983" t="inlineStr">
        <is>
          <t>JÄMTLANDS LÄN</t>
        </is>
      </c>
      <c r="E983" t="inlineStr">
        <is>
          <t>RAGUNDA</t>
        </is>
      </c>
      <c r="G983" t="n">
        <v>2.9</v>
      </c>
      <c r="H983" t="n">
        <v>0</v>
      </c>
      <c r="I983" t="n">
        <v>0</v>
      </c>
      <c r="J983" t="n">
        <v>0</v>
      </c>
      <c r="K983" t="n">
        <v>0</v>
      </c>
      <c r="L983" t="n">
        <v>0</v>
      </c>
      <c r="M983" t="n">
        <v>0</v>
      </c>
      <c r="N983" t="n">
        <v>0</v>
      </c>
      <c r="O983" t="n">
        <v>0</v>
      </c>
      <c r="P983" t="n">
        <v>0</v>
      </c>
      <c r="Q983" t="n">
        <v>0</v>
      </c>
      <c r="R983" s="2" t="inlineStr"/>
    </row>
    <row r="984" ht="15" customHeight="1">
      <c r="A984" t="inlineStr">
        <is>
          <t>A 5164-2023</t>
        </is>
      </c>
      <c r="B984" s="1" t="n">
        <v>44958</v>
      </c>
      <c r="C984" s="1" t="n">
        <v>45712</v>
      </c>
      <c r="D984" t="inlineStr">
        <is>
          <t>JÄMTLANDS LÄN</t>
        </is>
      </c>
      <c r="E984" t="inlineStr">
        <is>
          <t>RAGUNDA</t>
        </is>
      </c>
      <c r="F984" t="inlineStr">
        <is>
          <t>SCA</t>
        </is>
      </c>
      <c r="G984" t="n">
        <v>9.5</v>
      </c>
      <c r="H984" t="n">
        <v>0</v>
      </c>
      <c r="I984" t="n">
        <v>0</v>
      </c>
      <c r="J984" t="n">
        <v>0</v>
      </c>
      <c r="K984" t="n">
        <v>0</v>
      </c>
      <c r="L984" t="n">
        <v>0</v>
      </c>
      <c r="M984" t="n">
        <v>0</v>
      </c>
      <c r="N984" t="n">
        <v>0</v>
      </c>
      <c r="O984" t="n">
        <v>0</v>
      </c>
      <c r="P984" t="n">
        <v>0</v>
      </c>
      <c r="Q984" t="n">
        <v>0</v>
      </c>
      <c r="R984" s="2" t="inlineStr"/>
    </row>
    <row r="985" ht="15" customHeight="1">
      <c r="A985" t="inlineStr">
        <is>
          <t>A 5175-2023</t>
        </is>
      </c>
      <c r="B985" s="1" t="n">
        <v>44958</v>
      </c>
      <c r="C985" s="1" t="n">
        <v>45712</v>
      </c>
      <c r="D985" t="inlineStr">
        <is>
          <t>JÄMTLANDS LÄN</t>
        </is>
      </c>
      <c r="E985" t="inlineStr">
        <is>
          <t>RAGUNDA</t>
        </is>
      </c>
      <c r="F985" t="inlineStr">
        <is>
          <t>SCA</t>
        </is>
      </c>
      <c r="G985" t="n">
        <v>17.9</v>
      </c>
      <c r="H985" t="n">
        <v>0</v>
      </c>
      <c r="I985" t="n">
        <v>0</v>
      </c>
      <c r="J985" t="n">
        <v>0</v>
      </c>
      <c r="K985" t="n">
        <v>0</v>
      </c>
      <c r="L985" t="n">
        <v>0</v>
      </c>
      <c r="M985" t="n">
        <v>0</v>
      </c>
      <c r="N985" t="n">
        <v>0</v>
      </c>
      <c r="O985" t="n">
        <v>0</v>
      </c>
      <c r="P985" t="n">
        <v>0</v>
      </c>
      <c r="Q985" t="n">
        <v>0</v>
      </c>
      <c r="R985" s="2" t="inlineStr"/>
    </row>
    <row r="986" ht="15" customHeight="1">
      <c r="A986" t="inlineStr">
        <is>
          <t>A 5439-2023</t>
        </is>
      </c>
      <c r="B986" s="1" t="n">
        <v>44959</v>
      </c>
      <c r="C986" s="1" t="n">
        <v>45712</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5711-2023</t>
        </is>
      </c>
      <c r="B987" s="1" t="n">
        <v>44960</v>
      </c>
      <c r="C987" s="1" t="n">
        <v>45712</v>
      </c>
      <c r="D987" t="inlineStr">
        <is>
          <t>JÄMTLANDS LÄN</t>
        </is>
      </c>
      <c r="E987" t="inlineStr">
        <is>
          <t>RAGUNDA</t>
        </is>
      </c>
      <c r="F987" t="inlineStr">
        <is>
          <t>SCA</t>
        </is>
      </c>
      <c r="G987" t="n">
        <v>15.4</v>
      </c>
      <c r="H987" t="n">
        <v>0</v>
      </c>
      <c r="I987" t="n">
        <v>0</v>
      </c>
      <c r="J987" t="n">
        <v>0</v>
      </c>
      <c r="K987" t="n">
        <v>0</v>
      </c>
      <c r="L987" t="n">
        <v>0</v>
      </c>
      <c r="M987" t="n">
        <v>0</v>
      </c>
      <c r="N987" t="n">
        <v>0</v>
      </c>
      <c r="O987" t="n">
        <v>0</v>
      </c>
      <c r="P987" t="n">
        <v>0</v>
      </c>
      <c r="Q987" t="n">
        <v>0</v>
      </c>
      <c r="R987" s="2" t="inlineStr"/>
    </row>
    <row r="988" ht="15" customHeight="1">
      <c r="A988" t="inlineStr">
        <is>
          <t>A 5958-2023</t>
        </is>
      </c>
      <c r="B988" s="1" t="n">
        <v>44963</v>
      </c>
      <c r="C988" s="1" t="n">
        <v>45712</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6586-2023</t>
        </is>
      </c>
      <c r="B989" s="1" t="n">
        <v>44963</v>
      </c>
      <c r="C989" s="1" t="n">
        <v>45712</v>
      </c>
      <c r="D989" t="inlineStr">
        <is>
          <t>JÄMTLANDS LÄN</t>
        </is>
      </c>
      <c r="E989" t="inlineStr">
        <is>
          <t>RAGUNDA</t>
        </is>
      </c>
      <c r="G989" t="n">
        <v>6.9</v>
      </c>
      <c r="H989" t="n">
        <v>0</v>
      </c>
      <c r="I989" t="n">
        <v>0</v>
      </c>
      <c r="J989" t="n">
        <v>0</v>
      </c>
      <c r="K989" t="n">
        <v>0</v>
      </c>
      <c r="L989" t="n">
        <v>0</v>
      </c>
      <c r="M989" t="n">
        <v>0</v>
      </c>
      <c r="N989" t="n">
        <v>0</v>
      </c>
      <c r="O989" t="n">
        <v>0</v>
      </c>
      <c r="P989" t="n">
        <v>0</v>
      </c>
      <c r="Q989" t="n">
        <v>0</v>
      </c>
      <c r="R989" s="2" t="inlineStr"/>
    </row>
    <row r="990" ht="15" customHeight="1">
      <c r="A990" t="inlineStr">
        <is>
          <t>A 6467-2023</t>
        </is>
      </c>
      <c r="B990" s="1" t="n">
        <v>44965</v>
      </c>
      <c r="C990" s="1" t="n">
        <v>45712</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6470-2023</t>
        </is>
      </c>
      <c r="B991" s="1" t="n">
        <v>44965</v>
      </c>
      <c r="C991" s="1" t="n">
        <v>45712</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6801-2023</t>
        </is>
      </c>
      <c r="B992" s="1" t="n">
        <v>44966</v>
      </c>
      <c r="C992" s="1" t="n">
        <v>45712</v>
      </c>
      <c r="D992" t="inlineStr">
        <is>
          <t>JÄMTLANDS LÄN</t>
        </is>
      </c>
      <c r="E992" t="inlineStr">
        <is>
          <t>RAGUNDA</t>
        </is>
      </c>
      <c r="F992" t="inlineStr">
        <is>
          <t>SCA</t>
        </is>
      </c>
      <c r="G992" t="n">
        <v>10.6</v>
      </c>
      <c r="H992" t="n">
        <v>0</v>
      </c>
      <c r="I992" t="n">
        <v>0</v>
      </c>
      <c r="J992" t="n">
        <v>0</v>
      </c>
      <c r="K992" t="n">
        <v>0</v>
      </c>
      <c r="L992" t="n">
        <v>0</v>
      </c>
      <c r="M992" t="n">
        <v>0</v>
      </c>
      <c r="N992" t="n">
        <v>0</v>
      </c>
      <c r="O992" t="n">
        <v>0</v>
      </c>
      <c r="P992" t="n">
        <v>0</v>
      </c>
      <c r="Q992" t="n">
        <v>0</v>
      </c>
      <c r="R992" s="2" t="inlineStr"/>
    </row>
    <row r="993" ht="15" customHeight="1">
      <c r="A993" t="inlineStr">
        <is>
          <t>A 6802-2023</t>
        </is>
      </c>
      <c r="B993" s="1" t="n">
        <v>44966</v>
      </c>
      <c r="C993" s="1" t="n">
        <v>45712</v>
      </c>
      <c r="D993" t="inlineStr">
        <is>
          <t>JÄMTLANDS LÄN</t>
        </is>
      </c>
      <c r="E993" t="inlineStr">
        <is>
          <t>RAGUNDA</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6800-2023</t>
        </is>
      </c>
      <c r="B994" s="1" t="n">
        <v>44966</v>
      </c>
      <c r="C994" s="1" t="n">
        <v>45712</v>
      </c>
      <c r="D994" t="inlineStr">
        <is>
          <t>JÄMTLANDS LÄN</t>
        </is>
      </c>
      <c r="E994" t="inlineStr">
        <is>
          <t>RAGUNDA</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7019-2023</t>
        </is>
      </c>
      <c r="B995" s="1" t="n">
        <v>44968</v>
      </c>
      <c r="C995" s="1" t="n">
        <v>45712</v>
      </c>
      <c r="D995" t="inlineStr">
        <is>
          <t>JÄMTLANDS LÄN</t>
        </is>
      </c>
      <c r="E995" t="inlineStr">
        <is>
          <t>RAGUNDA</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7021-2023</t>
        </is>
      </c>
      <c r="B996" s="1" t="n">
        <v>44967</v>
      </c>
      <c r="C996" s="1" t="n">
        <v>45712</v>
      </c>
      <c r="D996" t="inlineStr">
        <is>
          <t>JÄMTLANDS LÄN</t>
        </is>
      </c>
      <c r="E996" t="inlineStr">
        <is>
          <t>RAGUNDA</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7520-2023</t>
        </is>
      </c>
      <c r="B997" s="1" t="n">
        <v>44971</v>
      </c>
      <c r="C997" s="1" t="n">
        <v>45712</v>
      </c>
      <c r="D997" t="inlineStr">
        <is>
          <t>JÄMTLANDS LÄN</t>
        </is>
      </c>
      <c r="E997" t="inlineStr">
        <is>
          <t>RAGUNDA</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7521-2023</t>
        </is>
      </c>
      <c r="B998" s="1" t="n">
        <v>44972</v>
      </c>
      <c r="C998" s="1" t="n">
        <v>45712</v>
      </c>
      <c r="D998" t="inlineStr">
        <is>
          <t>JÄMTLANDS LÄN</t>
        </is>
      </c>
      <c r="E998" t="inlineStr">
        <is>
          <t>RAGUNDA</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7722-2023</t>
        </is>
      </c>
      <c r="B999" s="1" t="n">
        <v>44972</v>
      </c>
      <c r="C999" s="1" t="n">
        <v>45712</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8416-2023</t>
        </is>
      </c>
      <c r="B1000" s="1" t="n">
        <v>44977</v>
      </c>
      <c r="C1000" s="1" t="n">
        <v>45712</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8403-2023</t>
        </is>
      </c>
      <c r="B1001" s="1" t="n">
        <v>44977</v>
      </c>
      <c r="C1001" s="1" t="n">
        <v>45712</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8678-2023</t>
        </is>
      </c>
      <c r="B1002" s="1" t="n">
        <v>44978</v>
      </c>
      <c r="C1002" s="1" t="n">
        <v>45712</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8679-2023</t>
        </is>
      </c>
      <c r="B1003" s="1" t="n">
        <v>44978</v>
      </c>
      <c r="C1003" s="1" t="n">
        <v>45712</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8877-2023</t>
        </is>
      </c>
      <c r="B1004" s="1" t="n">
        <v>44978</v>
      </c>
      <c r="C1004" s="1" t="n">
        <v>45712</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8878-2023</t>
        </is>
      </c>
      <c r="B1005" s="1" t="n">
        <v>44978</v>
      </c>
      <c r="C1005" s="1" t="n">
        <v>45712</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8876-2023</t>
        </is>
      </c>
      <c r="B1006" s="1" t="n">
        <v>44978</v>
      </c>
      <c r="C1006" s="1" t="n">
        <v>45712</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45712</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9082-2023</t>
        </is>
      </c>
      <c r="B1008" s="1" t="n">
        <v>44979</v>
      </c>
      <c r="C1008" s="1" t="n">
        <v>45712</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9100-2023</t>
        </is>
      </c>
      <c r="B1009" s="1" t="n">
        <v>44979</v>
      </c>
      <c r="C1009" s="1" t="n">
        <v>45712</v>
      </c>
      <c r="D1009" t="inlineStr">
        <is>
          <t>JÄMTLANDS LÄN</t>
        </is>
      </c>
      <c r="E1009" t="inlineStr">
        <is>
          <t>RAGUNDA</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9094-2023</t>
        </is>
      </c>
      <c r="B1010" s="1" t="n">
        <v>44979</v>
      </c>
      <c r="C1010" s="1" t="n">
        <v>45712</v>
      </c>
      <c r="D1010" t="inlineStr">
        <is>
          <t>JÄMTLANDS LÄN</t>
        </is>
      </c>
      <c r="E1010" t="inlineStr">
        <is>
          <t>RAGUNDA</t>
        </is>
      </c>
      <c r="F1010" t="inlineStr">
        <is>
          <t>SCA</t>
        </is>
      </c>
      <c r="G1010" t="n">
        <v>28.2</v>
      </c>
      <c r="H1010" t="n">
        <v>0</v>
      </c>
      <c r="I1010" t="n">
        <v>0</v>
      </c>
      <c r="J1010" t="n">
        <v>0</v>
      </c>
      <c r="K1010" t="n">
        <v>0</v>
      </c>
      <c r="L1010" t="n">
        <v>0</v>
      </c>
      <c r="M1010" t="n">
        <v>0</v>
      </c>
      <c r="N1010" t="n">
        <v>0</v>
      </c>
      <c r="O1010" t="n">
        <v>0</v>
      </c>
      <c r="P1010" t="n">
        <v>0</v>
      </c>
      <c r="Q1010" t="n">
        <v>0</v>
      </c>
      <c r="R1010" s="2" t="inlineStr"/>
    </row>
    <row r="1011" ht="15" customHeight="1">
      <c r="A1011" t="inlineStr">
        <is>
          <t>A 9346-2023</t>
        </is>
      </c>
      <c r="B1011" s="1" t="n">
        <v>44980</v>
      </c>
      <c r="C1011" s="1" t="n">
        <v>45712</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9360-2023</t>
        </is>
      </c>
      <c r="B1012" s="1" t="n">
        <v>44980</v>
      </c>
      <c r="C1012" s="1" t="n">
        <v>45712</v>
      </c>
      <c r="D1012" t="inlineStr">
        <is>
          <t>JÄMTLANDS LÄN</t>
        </is>
      </c>
      <c r="E1012" t="inlineStr">
        <is>
          <t>RAGUNDA</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9339-2023</t>
        </is>
      </c>
      <c r="B1013" s="1" t="n">
        <v>44980</v>
      </c>
      <c r="C1013" s="1" t="n">
        <v>45712</v>
      </c>
      <c r="D1013" t="inlineStr">
        <is>
          <t>JÄMTLANDS LÄN</t>
        </is>
      </c>
      <c r="E1013" t="inlineStr">
        <is>
          <t>RAGUNDA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10706-2023</t>
        </is>
      </c>
      <c r="B1014" s="1" t="n">
        <v>44984</v>
      </c>
      <c r="C1014" s="1" t="n">
        <v>45712</v>
      </c>
      <c r="D1014" t="inlineStr">
        <is>
          <t>JÄMTLANDS LÄN</t>
        </is>
      </c>
      <c r="E1014" t="inlineStr">
        <is>
          <t>RAGUNDA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10092-2023</t>
        </is>
      </c>
      <c r="B1015" s="1" t="n">
        <v>44985</v>
      </c>
      <c r="C1015" s="1" t="n">
        <v>45712</v>
      </c>
      <c r="D1015" t="inlineStr">
        <is>
          <t>JÄMTLANDS LÄN</t>
        </is>
      </c>
      <c r="E1015" t="inlineStr">
        <is>
          <t>RAGUNDA</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11093-2023</t>
        </is>
      </c>
      <c r="B1016" s="1" t="n">
        <v>44986</v>
      </c>
      <c r="C1016" s="1" t="n">
        <v>45712</v>
      </c>
      <c r="D1016" t="inlineStr">
        <is>
          <t>JÄMTLANDS LÄN</t>
        </is>
      </c>
      <c r="E1016" t="inlineStr">
        <is>
          <t>RAGUNDA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10550-2023</t>
        </is>
      </c>
      <c r="B1017" s="1" t="n">
        <v>44987</v>
      </c>
      <c r="C1017" s="1" t="n">
        <v>45712</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11048-2023</t>
        </is>
      </c>
      <c r="B1018" s="1" t="n">
        <v>44991</v>
      </c>
      <c r="C1018" s="1" t="n">
        <v>45712</v>
      </c>
      <c r="D1018" t="inlineStr">
        <is>
          <t>JÄMTLANDS LÄN</t>
        </is>
      </c>
      <c r="E1018" t="inlineStr">
        <is>
          <t>RAGUNDA</t>
        </is>
      </c>
      <c r="F1018" t="inlineStr">
        <is>
          <t>SCA</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11063-2023</t>
        </is>
      </c>
      <c r="B1019" s="1" t="n">
        <v>44991</v>
      </c>
      <c r="C1019" s="1" t="n">
        <v>45712</v>
      </c>
      <c r="D1019" t="inlineStr">
        <is>
          <t>JÄMTLANDS LÄN</t>
        </is>
      </c>
      <c r="E1019" t="inlineStr">
        <is>
          <t>RAGUNDA</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11062-2023</t>
        </is>
      </c>
      <c r="B1020" s="1" t="n">
        <v>44991</v>
      </c>
      <c r="C1020" s="1" t="n">
        <v>45712</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11603-2023</t>
        </is>
      </c>
      <c r="B1021" s="1" t="n">
        <v>44992</v>
      </c>
      <c r="C1021" s="1" t="n">
        <v>45712</v>
      </c>
      <c r="D1021" t="inlineStr">
        <is>
          <t>JÄMTLANDS LÄN</t>
        </is>
      </c>
      <c r="E1021" t="inlineStr">
        <is>
          <t>RAGUNDA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11556-2023</t>
        </is>
      </c>
      <c r="B1022" s="1" t="n">
        <v>44993</v>
      </c>
      <c r="C1022" s="1" t="n">
        <v>45712</v>
      </c>
      <c r="D1022" t="inlineStr">
        <is>
          <t>JÄMTLANDS LÄN</t>
        </is>
      </c>
      <c r="E1022" t="inlineStr">
        <is>
          <t>RAGUNDA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11322-2023</t>
        </is>
      </c>
      <c r="B1023" s="1" t="n">
        <v>44993</v>
      </c>
      <c r="C1023" s="1" t="n">
        <v>45712</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11558-2023</t>
        </is>
      </c>
      <c r="B1024" s="1" t="n">
        <v>44993</v>
      </c>
      <c r="C1024" s="1" t="n">
        <v>45712</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11553-2023</t>
        </is>
      </c>
      <c r="B1025" s="1" t="n">
        <v>44993</v>
      </c>
      <c r="C1025" s="1" t="n">
        <v>45712</v>
      </c>
      <c r="D1025" t="inlineStr">
        <is>
          <t>JÄMTLANDS LÄN</t>
        </is>
      </c>
      <c r="E1025" t="inlineStr">
        <is>
          <t>RAGUNDA</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11557-2023</t>
        </is>
      </c>
      <c r="B1026" s="1" t="n">
        <v>44993</v>
      </c>
      <c r="C1026" s="1" t="n">
        <v>45712</v>
      </c>
      <c r="D1026" t="inlineStr">
        <is>
          <t>JÄMTLANDS LÄN</t>
        </is>
      </c>
      <c r="E1026" t="inlineStr">
        <is>
          <t>RAGUNDA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11562-2023</t>
        </is>
      </c>
      <c r="B1027" s="1" t="n">
        <v>44993</v>
      </c>
      <c r="C1027" s="1" t="n">
        <v>45712</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11834-2023</t>
        </is>
      </c>
      <c r="B1028" s="1" t="n">
        <v>44994</v>
      </c>
      <c r="C1028" s="1" t="n">
        <v>45712</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12055-2023</t>
        </is>
      </c>
      <c r="B1029" s="1" t="n">
        <v>44995</v>
      </c>
      <c r="C1029" s="1" t="n">
        <v>45712</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12051-2023</t>
        </is>
      </c>
      <c r="B1030" s="1" t="n">
        <v>44995</v>
      </c>
      <c r="C1030" s="1" t="n">
        <v>45712</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12040-2023</t>
        </is>
      </c>
      <c r="B1031" s="1" t="n">
        <v>44996</v>
      </c>
      <c r="C1031" s="1" t="n">
        <v>45712</v>
      </c>
      <c r="D1031" t="inlineStr">
        <is>
          <t>JÄMTLANDS LÄN</t>
        </is>
      </c>
      <c r="E1031" t="inlineStr">
        <is>
          <t>RAGUNDA</t>
        </is>
      </c>
      <c r="F1031" t="inlineStr">
        <is>
          <t>SCA</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12050-2023</t>
        </is>
      </c>
      <c r="B1032" s="1" t="n">
        <v>44996</v>
      </c>
      <c r="C1032" s="1" t="n">
        <v>45712</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12039-2023</t>
        </is>
      </c>
      <c r="B1033" s="1" t="n">
        <v>44996</v>
      </c>
      <c r="C1033" s="1" t="n">
        <v>45712</v>
      </c>
      <c r="D1033" t="inlineStr">
        <is>
          <t>JÄMTLANDS LÄN</t>
        </is>
      </c>
      <c r="E1033" t="inlineStr">
        <is>
          <t>RAGUNDA</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12523-2023</t>
        </is>
      </c>
      <c r="B1034" s="1" t="n">
        <v>45000</v>
      </c>
      <c r="C1034" s="1" t="n">
        <v>45712</v>
      </c>
      <c r="D1034" t="inlineStr">
        <is>
          <t>JÄMTLANDS LÄN</t>
        </is>
      </c>
      <c r="E1034" t="inlineStr">
        <is>
          <t>RAGUNDA</t>
        </is>
      </c>
      <c r="F1034" t="inlineStr">
        <is>
          <t>SCA</t>
        </is>
      </c>
      <c r="G1034" t="n">
        <v>14.3</v>
      </c>
      <c r="H1034" t="n">
        <v>0</v>
      </c>
      <c r="I1034" t="n">
        <v>0</v>
      </c>
      <c r="J1034" t="n">
        <v>0</v>
      </c>
      <c r="K1034" t="n">
        <v>0</v>
      </c>
      <c r="L1034" t="n">
        <v>0</v>
      </c>
      <c r="M1034" t="n">
        <v>0</v>
      </c>
      <c r="N1034" t="n">
        <v>0</v>
      </c>
      <c r="O1034" t="n">
        <v>0</v>
      </c>
      <c r="P1034" t="n">
        <v>0</v>
      </c>
      <c r="Q1034" t="n">
        <v>0</v>
      </c>
      <c r="R1034" s="2" t="inlineStr"/>
    </row>
    <row r="1035" ht="15" customHeight="1">
      <c r="A1035" t="inlineStr">
        <is>
          <t>A 12522-2023</t>
        </is>
      </c>
      <c r="B1035" s="1" t="n">
        <v>45000</v>
      </c>
      <c r="C1035" s="1" t="n">
        <v>45712</v>
      </c>
      <c r="D1035" t="inlineStr">
        <is>
          <t>JÄMTLANDS LÄN</t>
        </is>
      </c>
      <c r="E1035" t="inlineStr">
        <is>
          <t>RAGUNDA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12521-2023</t>
        </is>
      </c>
      <c r="B1036" s="1" t="n">
        <v>45000</v>
      </c>
      <c r="C1036" s="1" t="n">
        <v>45712</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12783-2023</t>
        </is>
      </c>
      <c r="B1037" s="1" t="n">
        <v>45000</v>
      </c>
      <c r="C1037" s="1" t="n">
        <v>45712</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12750-2023</t>
        </is>
      </c>
      <c r="B1038" s="1" t="n">
        <v>45000</v>
      </c>
      <c r="C1038" s="1" t="n">
        <v>45712</v>
      </c>
      <c r="D1038" t="inlineStr">
        <is>
          <t>JÄMTLANDS LÄN</t>
        </is>
      </c>
      <c r="E1038" t="inlineStr">
        <is>
          <t>RAGUNDA</t>
        </is>
      </c>
      <c r="F1038" t="inlineStr">
        <is>
          <t>Naturvårdsverket</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12995-2023</t>
        </is>
      </c>
      <c r="B1039" s="1" t="n">
        <v>45002</v>
      </c>
      <c r="C1039" s="1" t="n">
        <v>45712</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13246-2023</t>
        </is>
      </c>
      <c r="B1040" s="1" t="n">
        <v>45002</v>
      </c>
      <c r="C1040" s="1" t="n">
        <v>45712</v>
      </c>
      <c r="D1040" t="inlineStr">
        <is>
          <t>JÄMTLANDS LÄN</t>
        </is>
      </c>
      <c r="E1040" t="inlineStr">
        <is>
          <t>RAGUNDA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13700-2023</t>
        </is>
      </c>
      <c r="B1041" s="1" t="n">
        <v>45006</v>
      </c>
      <c r="C1041" s="1" t="n">
        <v>45712</v>
      </c>
      <c r="D1041" t="inlineStr">
        <is>
          <t>JÄMTLANDS LÄN</t>
        </is>
      </c>
      <c r="E1041" t="inlineStr">
        <is>
          <t>RAGUNDA</t>
        </is>
      </c>
      <c r="F1041" t="inlineStr">
        <is>
          <t>SCA</t>
        </is>
      </c>
      <c r="G1041" t="n">
        <v>50.3</v>
      </c>
      <c r="H1041" t="n">
        <v>0</v>
      </c>
      <c r="I1041" t="n">
        <v>0</v>
      </c>
      <c r="J1041" t="n">
        <v>0</v>
      </c>
      <c r="K1041" t="n">
        <v>0</v>
      </c>
      <c r="L1041" t="n">
        <v>0</v>
      </c>
      <c r="M1041" t="n">
        <v>0</v>
      </c>
      <c r="N1041" t="n">
        <v>0</v>
      </c>
      <c r="O1041" t="n">
        <v>0</v>
      </c>
      <c r="P1041" t="n">
        <v>0</v>
      </c>
      <c r="Q1041" t="n">
        <v>0</v>
      </c>
      <c r="R1041" s="2" t="inlineStr"/>
    </row>
    <row r="1042" ht="15" customHeight="1">
      <c r="A1042" t="inlineStr">
        <is>
          <t>A 13917-2023</t>
        </is>
      </c>
      <c r="B1042" s="1" t="n">
        <v>45007</v>
      </c>
      <c r="C1042" s="1" t="n">
        <v>45712</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13900-2023</t>
        </is>
      </c>
      <c r="B1043" s="1" t="n">
        <v>45008</v>
      </c>
      <c r="C1043" s="1" t="n">
        <v>45712</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13898-2023</t>
        </is>
      </c>
      <c r="B1044" s="1" t="n">
        <v>45008</v>
      </c>
      <c r="C1044" s="1" t="n">
        <v>45712</v>
      </c>
      <c r="D1044" t="inlineStr">
        <is>
          <t>JÄMTLANDS LÄN</t>
        </is>
      </c>
      <c r="E1044" t="inlineStr">
        <is>
          <t>RAGUNDA</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14179-2023</t>
        </is>
      </c>
      <c r="B1045" s="1" t="n">
        <v>45009</v>
      </c>
      <c r="C1045" s="1" t="n">
        <v>45712</v>
      </c>
      <c r="D1045" t="inlineStr">
        <is>
          <t>JÄMTLANDS LÄN</t>
        </is>
      </c>
      <c r="E1045" t="inlineStr">
        <is>
          <t>RAGUNDA</t>
        </is>
      </c>
      <c r="G1045" t="n">
        <v>33.8</v>
      </c>
      <c r="H1045" t="n">
        <v>0</v>
      </c>
      <c r="I1045" t="n">
        <v>0</v>
      </c>
      <c r="J1045" t="n">
        <v>0</v>
      </c>
      <c r="K1045" t="n">
        <v>0</v>
      </c>
      <c r="L1045" t="n">
        <v>0</v>
      </c>
      <c r="M1045" t="n">
        <v>0</v>
      </c>
      <c r="N1045" t="n">
        <v>0</v>
      </c>
      <c r="O1045" t="n">
        <v>0</v>
      </c>
      <c r="P1045" t="n">
        <v>0</v>
      </c>
      <c r="Q1045" t="n">
        <v>0</v>
      </c>
      <c r="R1045" s="2" t="inlineStr"/>
    </row>
    <row r="1046" ht="15" customHeight="1">
      <c r="A1046" t="inlineStr">
        <is>
          <t>A 14074-2023</t>
        </is>
      </c>
      <c r="B1046" s="1" t="n">
        <v>45009</v>
      </c>
      <c r="C1046" s="1" t="n">
        <v>45712</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45712</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14076-2023</t>
        </is>
      </c>
      <c r="B1048" s="1" t="n">
        <v>45009</v>
      </c>
      <c r="C1048" s="1" t="n">
        <v>45712</v>
      </c>
      <c r="D1048" t="inlineStr">
        <is>
          <t>JÄMTLANDS LÄN</t>
        </is>
      </c>
      <c r="E1048" t="inlineStr">
        <is>
          <t>RAGUNDA</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14081-2023</t>
        </is>
      </c>
      <c r="B1049" s="1" t="n">
        <v>45009</v>
      </c>
      <c r="C1049" s="1" t="n">
        <v>45712</v>
      </c>
      <c r="D1049" t="inlineStr">
        <is>
          <t>JÄMTLANDS LÄN</t>
        </is>
      </c>
      <c r="E1049" t="inlineStr">
        <is>
          <t>RAGUNDA</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14080-2023</t>
        </is>
      </c>
      <c r="B1050" s="1" t="n">
        <v>45009</v>
      </c>
      <c r="C1050" s="1" t="n">
        <v>45712</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14531-2023</t>
        </is>
      </c>
      <c r="B1051" s="1" t="n">
        <v>45013</v>
      </c>
      <c r="C1051" s="1" t="n">
        <v>45712</v>
      </c>
      <c r="D1051" t="inlineStr">
        <is>
          <t>JÄMTLANDS LÄN</t>
        </is>
      </c>
      <c r="E1051" t="inlineStr">
        <is>
          <t>RAGUNDA</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14869-2023</t>
        </is>
      </c>
      <c r="B1052" s="1" t="n">
        <v>45015</v>
      </c>
      <c r="C1052" s="1" t="n">
        <v>45712</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14868-2023</t>
        </is>
      </c>
      <c r="B1053" s="1" t="n">
        <v>45015</v>
      </c>
      <c r="C1053" s="1" t="n">
        <v>45712</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15078-2023</t>
        </is>
      </c>
      <c r="B1054" s="1" t="n">
        <v>45015</v>
      </c>
      <c r="C1054" s="1" t="n">
        <v>45712</v>
      </c>
      <c r="D1054" t="inlineStr">
        <is>
          <t>JÄMTLANDS LÄN</t>
        </is>
      </c>
      <c r="E1054" t="inlineStr">
        <is>
          <t>RAGUNDA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15077-2023</t>
        </is>
      </c>
      <c r="B1055" s="1" t="n">
        <v>45015</v>
      </c>
      <c r="C1055" s="1" t="n">
        <v>45712</v>
      </c>
      <c r="D1055" t="inlineStr">
        <is>
          <t>JÄMTLANDS LÄN</t>
        </is>
      </c>
      <c r="E1055" t="inlineStr">
        <is>
          <t>RAGUNDA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16364-2023</t>
        </is>
      </c>
      <c r="B1056" s="1" t="n">
        <v>45028</v>
      </c>
      <c r="C1056" s="1" t="n">
        <v>45712</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17248-2023</t>
        </is>
      </c>
      <c r="B1057" s="1" t="n">
        <v>45033</v>
      </c>
      <c r="C1057" s="1" t="n">
        <v>45712</v>
      </c>
      <c r="D1057" t="inlineStr">
        <is>
          <t>JÄMTLANDS LÄN</t>
        </is>
      </c>
      <c r="E1057" t="inlineStr">
        <is>
          <t>RAGUNDA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17207-2023</t>
        </is>
      </c>
      <c r="B1058" s="1" t="n">
        <v>45035</v>
      </c>
      <c r="C1058" s="1" t="n">
        <v>45712</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17206-2023</t>
        </is>
      </c>
      <c r="B1059" s="1" t="n">
        <v>45035</v>
      </c>
      <c r="C1059" s="1" t="n">
        <v>45712</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17559-2023</t>
        </is>
      </c>
      <c r="B1060" s="1" t="n">
        <v>45034</v>
      </c>
      <c r="C1060" s="1" t="n">
        <v>45712</v>
      </c>
      <c r="D1060" t="inlineStr">
        <is>
          <t>JÄMTLANDS LÄN</t>
        </is>
      </c>
      <c r="E1060" t="inlineStr">
        <is>
          <t>RAGUNDA</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17864-2023</t>
        </is>
      </c>
      <c r="B1061" s="1" t="n">
        <v>45038</v>
      </c>
      <c r="C1061" s="1" t="n">
        <v>45712</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17863-2023</t>
        </is>
      </c>
      <c r="B1062" s="1" t="n">
        <v>45038</v>
      </c>
      <c r="C1062" s="1" t="n">
        <v>45712</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18159-2023</t>
        </is>
      </c>
      <c r="B1063" s="1" t="n">
        <v>45041</v>
      </c>
      <c r="C1063" s="1" t="n">
        <v>45712</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18145-2023</t>
        </is>
      </c>
      <c r="B1064" s="1" t="n">
        <v>45041</v>
      </c>
      <c r="C1064" s="1" t="n">
        <v>45712</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18248-2023</t>
        </is>
      </c>
      <c r="B1065" s="1" t="n">
        <v>45040</v>
      </c>
      <c r="C1065" s="1" t="n">
        <v>45712</v>
      </c>
      <c r="D1065" t="inlineStr">
        <is>
          <t>JÄMTLANDS LÄN</t>
        </is>
      </c>
      <c r="E1065" t="inlineStr">
        <is>
          <t>RAGUNDA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18557-2023</t>
        </is>
      </c>
      <c r="B1066" s="1" t="n">
        <v>45043</v>
      </c>
      <c r="C1066" s="1" t="n">
        <v>45712</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18556-2023</t>
        </is>
      </c>
      <c r="B1067" s="1" t="n">
        <v>45043</v>
      </c>
      <c r="C1067" s="1" t="n">
        <v>45712</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18820-2023</t>
        </is>
      </c>
      <c r="B1068" s="1" t="n">
        <v>45042</v>
      </c>
      <c r="C1068" s="1" t="n">
        <v>45712</v>
      </c>
      <c r="D1068" t="inlineStr">
        <is>
          <t>JÄMTLANDS LÄN</t>
        </is>
      </c>
      <c r="E1068" t="inlineStr">
        <is>
          <t>RAGUNDA</t>
        </is>
      </c>
      <c r="G1068" t="n">
        <v>18.8</v>
      </c>
      <c r="H1068" t="n">
        <v>0</v>
      </c>
      <c r="I1068" t="n">
        <v>0</v>
      </c>
      <c r="J1068" t="n">
        <v>0</v>
      </c>
      <c r="K1068" t="n">
        <v>0</v>
      </c>
      <c r="L1068" t="n">
        <v>0</v>
      </c>
      <c r="M1068" t="n">
        <v>0</v>
      </c>
      <c r="N1068" t="n">
        <v>0</v>
      </c>
      <c r="O1068" t="n">
        <v>0</v>
      </c>
      <c r="P1068" t="n">
        <v>0</v>
      </c>
      <c r="Q1068" t="n">
        <v>0</v>
      </c>
      <c r="R1068" s="2" t="inlineStr"/>
    </row>
    <row r="1069" ht="15" customHeight="1">
      <c r="A1069" t="inlineStr">
        <is>
          <t>A 18984-2023</t>
        </is>
      </c>
      <c r="B1069" s="1" t="n">
        <v>45044</v>
      </c>
      <c r="C1069" s="1" t="n">
        <v>45712</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18995-2023</t>
        </is>
      </c>
      <c r="B1070" s="1" t="n">
        <v>45045</v>
      </c>
      <c r="C1070" s="1" t="n">
        <v>45712</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18996-2023</t>
        </is>
      </c>
      <c r="B1071" s="1" t="n">
        <v>45045</v>
      </c>
      <c r="C1071" s="1" t="n">
        <v>45712</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19242-2023</t>
        </is>
      </c>
      <c r="B1072" s="1" t="n">
        <v>45048</v>
      </c>
      <c r="C1072" s="1" t="n">
        <v>45712</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19246-2023</t>
        </is>
      </c>
      <c r="B1073" s="1" t="n">
        <v>45049</v>
      </c>
      <c r="C1073" s="1" t="n">
        <v>45712</v>
      </c>
      <c r="D1073" t="inlineStr">
        <is>
          <t>JÄMTLANDS LÄN</t>
        </is>
      </c>
      <c r="E1073" t="inlineStr">
        <is>
          <t>RAGUNDA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19438-2023</t>
        </is>
      </c>
      <c r="B1074" s="1" t="n">
        <v>45049</v>
      </c>
      <c r="C1074" s="1" t="n">
        <v>45712</v>
      </c>
      <c r="D1074" t="inlineStr">
        <is>
          <t>JÄMTLANDS LÄN</t>
        </is>
      </c>
      <c r="E1074" t="inlineStr">
        <is>
          <t>RAGUNDA</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19613-2023</t>
        </is>
      </c>
      <c r="B1075" s="1" t="n">
        <v>45051</v>
      </c>
      <c r="C1075" s="1" t="n">
        <v>45712</v>
      </c>
      <c r="D1075" t="inlineStr">
        <is>
          <t>JÄMTLANDS LÄN</t>
        </is>
      </c>
      <c r="E1075" t="inlineStr">
        <is>
          <t>RAGUNDA</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19612-2023</t>
        </is>
      </c>
      <c r="B1076" s="1" t="n">
        <v>45051</v>
      </c>
      <c r="C1076" s="1" t="n">
        <v>45712</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19620-2023</t>
        </is>
      </c>
      <c r="B1077" s="1" t="n">
        <v>45050</v>
      </c>
      <c r="C1077" s="1" t="n">
        <v>45712</v>
      </c>
      <c r="D1077" t="inlineStr">
        <is>
          <t>JÄMTLANDS LÄN</t>
        </is>
      </c>
      <c r="E1077" t="inlineStr">
        <is>
          <t>RAGUNDA</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19865-2023</t>
        </is>
      </c>
      <c r="B1078" s="1" t="n">
        <v>45054</v>
      </c>
      <c r="C1078" s="1" t="n">
        <v>45712</v>
      </c>
      <c r="D1078" t="inlineStr">
        <is>
          <t>JÄMTLANDS LÄN</t>
        </is>
      </c>
      <c r="E1078" t="inlineStr">
        <is>
          <t>RAGUNDA</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19866-2023</t>
        </is>
      </c>
      <c r="B1079" s="1" t="n">
        <v>45054</v>
      </c>
      <c r="C1079" s="1" t="n">
        <v>45712</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20079-2023</t>
        </is>
      </c>
      <c r="B1080" s="1" t="n">
        <v>45055</v>
      </c>
      <c r="C1080" s="1" t="n">
        <v>45712</v>
      </c>
      <c r="D1080" t="inlineStr">
        <is>
          <t>JÄMTLANDS LÄN</t>
        </is>
      </c>
      <c r="E1080" t="inlineStr">
        <is>
          <t>RAGUNDA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20088-2023</t>
        </is>
      </c>
      <c r="B1081" s="1" t="n">
        <v>45054</v>
      </c>
      <c r="C1081" s="1" t="n">
        <v>45712</v>
      </c>
      <c r="D1081" t="inlineStr">
        <is>
          <t>JÄMTLANDS LÄN</t>
        </is>
      </c>
      <c r="E1081" t="inlineStr">
        <is>
          <t>RAGUNDA</t>
        </is>
      </c>
      <c r="F1081" t="inlineStr">
        <is>
          <t>SCA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20987-2023</t>
        </is>
      </c>
      <c r="B1082" s="1" t="n">
        <v>45056</v>
      </c>
      <c r="C1082" s="1" t="n">
        <v>45712</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20994-2023</t>
        </is>
      </c>
      <c r="B1083" s="1" t="n">
        <v>45056</v>
      </c>
      <c r="C1083" s="1" t="n">
        <v>45712</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20901-2023</t>
        </is>
      </c>
      <c r="B1084" s="1" t="n">
        <v>45060</v>
      </c>
      <c r="C1084" s="1" t="n">
        <v>45712</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21102-2023</t>
        </is>
      </c>
      <c r="B1085" s="1" t="n">
        <v>45062</v>
      </c>
      <c r="C1085" s="1" t="n">
        <v>45712</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21661-2023</t>
        </is>
      </c>
      <c r="B1086" s="1" t="n">
        <v>45063</v>
      </c>
      <c r="C1086" s="1" t="n">
        <v>45712</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21662-2023</t>
        </is>
      </c>
      <c r="B1087" s="1" t="n">
        <v>45063</v>
      </c>
      <c r="C1087" s="1" t="n">
        <v>45712</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21726-2023</t>
        </is>
      </c>
      <c r="B1088" s="1" t="n">
        <v>45065</v>
      </c>
      <c r="C1088" s="1" t="n">
        <v>45712</v>
      </c>
      <c r="D1088" t="inlineStr">
        <is>
          <t>JÄMTLANDS LÄN</t>
        </is>
      </c>
      <c r="E1088" t="inlineStr">
        <is>
          <t>RAGUNDA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22011-2023</t>
        </is>
      </c>
      <c r="B1089" s="1" t="n">
        <v>45068</v>
      </c>
      <c r="C1089" s="1" t="n">
        <v>45712</v>
      </c>
      <c r="D1089" t="inlineStr">
        <is>
          <t>JÄMTLANDS LÄN</t>
        </is>
      </c>
      <c r="E1089" t="inlineStr">
        <is>
          <t>RAGUNDA</t>
        </is>
      </c>
      <c r="F1089" t="inlineStr">
        <is>
          <t>SCA</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22569-2023</t>
        </is>
      </c>
      <c r="B1090" s="1" t="n">
        <v>45069</v>
      </c>
      <c r="C1090" s="1" t="n">
        <v>45712</v>
      </c>
      <c r="D1090" t="inlineStr">
        <is>
          <t>JÄMTLANDS LÄN</t>
        </is>
      </c>
      <c r="E1090" t="inlineStr">
        <is>
          <t>RAGUNDA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22479-2023</t>
        </is>
      </c>
      <c r="B1091" s="1" t="n">
        <v>45070</v>
      </c>
      <c r="C1091" s="1" t="n">
        <v>45712</v>
      </c>
      <c r="D1091" t="inlineStr">
        <is>
          <t>JÄMTLANDS LÄN</t>
        </is>
      </c>
      <c r="E1091" t="inlineStr">
        <is>
          <t>RAGUNDA</t>
        </is>
      </c>
      <c r="F1091" t="inlineStr">
        <is>
          <t>SCA</t>
        </is>
      </c>
      <c r="G1091" t="n">
        <v>31.8</v>
      </c>
      <c r="H1091" t="n">
        <v>0</v>
      </c>
      <c r="I1091" t="n">
        <v>0</v>
      </c>
      <c r="J1091" t="n">
        <v>0</v>
      </c>
      <c r="K1091" t="n">
        <v>0</v>
      </c>
      <c r="L1091" t="n">
        <v>0</v>
      </c>
      <c r="M1091" t="n">
        <v>0</v>
      </c>
      <c r="N1091" t="n">
        <v>0</v>
      </c>
      <c r="O1091" t="n">
        <v>0</v>
      </c>
      <c r="P1091" t="n">
        <v>0</v>
      </c>
      <c r="Q1091" t="n">
        <v>0</v>
      </c>
      <c r="R1091" s="2" t="inlineStr"/>
    </row>
    <row r="1092" ht="15" customHeight="1">
      <c r="A1092" t="inlineStr">
        <is>
          <t>A 23074-2023</t>
        </is>
      </c>
      <c r="B1092" s="1" t="n">
        <v>45070</v>
      </c>
      <c r="C1092" s="1" t="n">
        <v>45712</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23140-2023</t>
        </is>
      </c>
      <c r="B1093" s="1" t="n">
        <v>45070</v>
      </c>
      <c r="C1093" s="1" t="n">
        <v>45712</v>
      </c>
      <c r="D1093" t="inlineStr">
        <is>
          <t>JÄMTLANDS LÄN</t>
        </is>
      </c>
      <c r="E1093" t="inlineStr">
        <is>
          <t>RAGUNDA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22731-2023</t>
        </is>
      </c>
      <c r="B1094" s="1" t="n">
        <v>45071</v>
      </c>
      <c r="C1094" s="1" t="n">
        <v>45712</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22981-2023</t>
        </is>
      </c>
      <c r="B1095" s="1" t="n">
        <v>45073</v>
      </c>
      <c r="C1095" s="1" t="n">
        <v>45712</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23299-2023</t>
        </is>
      </c>
      <c r="B1096" s="1" t="n">
        <v>45076</v>
      </c>
      <c r="C1096" s="1" t="n">
        <v>45712</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23304-2023</t>
        </is>
      </c>
      <c r="B1097" s="1" t="n">
        <v>45076</v>
      </c>
      <c r="C1097" s="1" t="n">
        <v>45712</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23305-2023</t>
        </is>
      </c>
      <c r="B1098" s="1" t="n">
        <v>45076</v>
      </c>
      <c r="C1098" s="1" t="n">
        <v>45712</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23298-2023</t>
        </is>
      </c>
      <c r="B1099" s="1" t="n">
        <v>45076</v>
      </c>
      <c r="C1099" s="1" t="n">
        <v>45712</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24861-2023</t>
        </is>
      </c>
      <c r="B1100" s="1" t="n">
        <v>45078</v>
      </c>
      <c r="C1100" s="1" t="n">
        <v>45712</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25086-2023</t>
        </is>
      </c>
      <c r="B1101" s="1" t="n">
        <v>45078</v>
      </c>
      <c r="C1101" s="1" t="n">
        <v>45712</v>
      </c>
      <c r="D1101" t="inlineStr">
        <is>
          <t>JÄMTLANDS LÄN</t>
        </is>
      </c>
      <c r="E1101" t="inlineStr">
        <is>
          <t>RAGUNDA</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25416-2023</t>
        </is>
      </c>
      <c r="B1102" s="1" t="n">
        <v>45078</v>
      </c>
      <c r="C1102" s="1" t="n">
        <v>45712</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24300-2023</t>
        </is>
      </c>
      <c r="B1103" s="1" t="n">
        <v>45079</v>
      </c>
      <c r="C1103" s="1" t="n">
        <v>45712</v>
      </c>
      <c r="D1103" t="inlineStr">
        <is>
          <t>JÄMTLANDS LÄN</t>
        </is>
      </c>
      <c r="E1103" t="inlineStr">
        <is>
          <t>RAGUNDA</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24821-2023</t>
        </is>
      </c>
      <c r="B1104" s="1" t="n">
        <v>45085</v>
      </c>
      <c r="C1104" s="1" t="n">
        <v>45712</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24822-2023</t>
        </is>
      </c>
      <c r="B1105" s="1" t="n">
        <v>45085</v>
      </c>
      <c r="C1105" s="1" t="n">
        <v>45712</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24820-2023</t>
        </is>
      </c>
      <c r="B1106" s="1" t="n">
        <v>45084</v>
      </c>
      <c r="C1106" s="1" t="n">
        <v>45712</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25892-2023</t>
        </is>
      </c>
      <c r="B1107" s="1" t="n">
        <v>45085</v>
      </c>
      <c r="C1107" s="1" t="n">
        <v>45712</v>
      </c>
      <c r="D1107" t="inlineStr">
        <is>
          <t>JÄMTLANDS LÄN</t>
        </is>
      </c>
      <c r="E1107" t="inlineStr">
        <is>
          <t>RAGUNDA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25332-2023</t>
        </is>
      </c>
      <c r="B1108" s="1" t="n">
        <v>45087</v>
      </c>
      <c r="C1108" s="1" t="n">
        <v>45712</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25304-2023</t>
        </is>
      </c>
      <c r="B1109" s="1" t="n">
        <v>45086</v>
      </c>
      <c r="C1109" s="1" t="n">
        <v>45712</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25430-2023</t>
        </is>
      </c>
      <c r="B1110" s="1" t="n">
        <v>45089</v>
      </c>
      <c r="C1110" s="1" t="n">
        <v>45712</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25669-2023</t>
        </is>
      </c>
      <c r="B1111" s="1" t="n">
        <v>45089</v>
      </c>
      <c r="C1111" s="1" t="n">
        <v>45712</v>
      </c>
      <c r="D1111" t="inlineStr">
        <is>
          <t>JÄMTLANDS LÄN</t>
        </is>
      </c>
      <c r="E1111" t="inlineStr">
        <is>
          <t>RAGUNDA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25666-2023</t>
        </is>
      </c>
      <c r="B1112" s="1" t="n">
        <v>45089</v>
      </c>
      <c r="C1112" s="1" t="n">
        <v>45712</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25670-2023</t>
        </is>
      </c>
      <c r="B1113" s="1" t="n">
        <v>45090</v>
      </c>
      <c r="C1113" s="1" t="n">
        <v>45712</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25708-2023</t>
        </is>
      </c>
      <c r="B1114" s="1" t="n">
        <v>45090</v>
      </c>
      <c r="C1114" s="1" t="n">
        <v>45712</v>
      </c>
      <c r="D1114" t="inlineStr">
        <is>
          <t>JÄMTLANDS LÄN</t>
        </is>
      </c>
      <c r="E1114" t="inlineStr">
        <is>
          <t>RAGUNDA</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26002-2023</t>
        </is>
      </c>
      <c r="B1115" s="1" t="n">
        <v>45091</v>
      </c>
      <c r="C1115" s="1" t="n">
        <v>45712</v>
      </c>
      <c r="D1115" t="inlineStr">
        <is>
          <t>JÄMTLANDS LÄN</t>
        </is>
      </c>
      <c r="E1115" t="inlineStr">
        <is>
          <t>RAGUNDA</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26347-2023</t>
        </is>
      </c>
      <c r="B1116" s="1" t="n">
        <v>45091</v>
      </c>
      <c r="C1116" s="1" t="n">
        <v>45712</v>
      </c>
      <c r="D1116" t="inlineStr">
        <is>
          <t>JÄMTLANDS LÄN</t>
        </is>
      </c>
      <c r="E1116" t="inlineStr">
        <is>
          <t>RAGUNDA</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45712</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26644-2023</t>
        </is>
      </c>
      <c r="B1118" s="1" t="n">
        <v>45093</v>
      </c>
      <c r="C1118" s="1" t="n">
        <v>45712</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26646-2023</t>
        </is>
      </c>
      <c r="B1119" s="1" t="n">
        <v>45092</v>
      </c>
      <c r="C1119" s="1" t="n">
        <v>45712</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27091-2023</t>
        </is>
      </c>
      <c r="B1120" s="1" t="n">
        <v>45092</v>
      </c>
      <c r="C1120" s="1" t="n">
        <v>45712</v>
      </c>
      <c r="D1120" t="inlineStr">
        <is>
          <t>JÄMTLANDS LÄN</t>
        </is>
      </c>
      <c r="E1120" t="inlineStr">
        <is>
          <t>RAGUNDA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27085-2023</t>
        </is>
      </c>
      <c r="B1121" s="1" t="n">
        <v>45092</v>
      </c>
      <c r="C1121" s="1" t="n">
        <v>45712</v>
      </c>
      <c r="D1121" t="inlineStr">
        <is>
          <t>JÄMTLANDS LÄN</t>
        </is>
      </c>
      <c r="E1121" t="inlineStr">
        <is>
          <t>RAGUNDA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26991-2023</t>
        </is>
      </c>
      <c r="B1122" s="1" t="n">
        <v>45094</v>
      </c>
      <c r="C1122" s="1" t="n">
        <v>45712</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26995-2023</t>
        </is>
      </c>
      <c r="B1123" s="1" t="n">
        <v>45093</v>
      </c>
      <c r="C1123" s="1" t="n">
        <v>45712</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26993-2023</t>
        </is>
      </c>
      <c r="B1124" s="1" t="n">
        <v>45093</v>
      </c>
      <c r="C1124" s="1" t="n">
        <v>45712</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26994-2023</t>
        </is>
      </c>
      <c r="B1125" s="1" t="n">
        <v>45094</v>
      </c>
      <c r="C1125" s="1" t="n">
        <v>45712</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26992-2023</t>
        </is>
      </c>
      <c r="B1126" s="1" t="n">
        <v>45094</v>
      </c>
      <c r="C1126" s="1" t="n">
        <v>45712</v>
      </c>
      <c r="D1126" t="inlineStr">
        <is>
          <t>JÄMTLANDS LÄN</t>
        </is>
      </c>
      <c r="E1126" t="inlineStr">
        <is>
          <t>RAGUNDA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27373-2023</t>
        </is>
      </c>
      <c r="B1127" s="1" t="n">
        <v>45097</v>
      </c>
      <c r="C1127" s="1" t="n">
        <v>45712</v>
      </c>
      <c r="D1127" t="inlineStr">
        <is>
          <t>JÄMTLANDS LÄN</t>
        </is>
      </c>
      <c r="E1127" t="inlineStr">
        <is>
          <t>RAGUNDA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27379-2023</t>
        </is>
      </c>
      <c r="B1128" s="1" t="n">
        <v>45097</v>
      </c>
      <c r="C1128" s="1" t="n">
        <v>45712</v>
      </c>
      <c r="D1128" t="inlineStr">
        <is>
          <t>JÄMTLANDS LÄN</t>
        </is>
      </c>
      <c r="E1128" t="inlineStr">
        <is>
          <t>RAGUNDA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28685-2023</t>
        </is>
      </c>
      <c r="B1129" s="1" t="n">
        <v>45096</v>
      </c>
      <c r="C1129" s="1" t="n">
        <v>45712</v>
      </c>
      <c r="D1129" t="inlineStr">
        <is>
          <t>JÄMTLANDS LÄN</t>
        </is>
      </c>
      <c r="E1129" t="inlineStr">
        <is>
          <t>RAGUNDA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28806-2023</t>
        </is>
      </c>
      <c r="B1130" s="1" t="n">
        <v>45096</v>
      </c>
      <c r="C1130" s="1" t="n">
        <v>45712</v>
      </c>
      <c r="D1130" t="inlineStr">
        <is>
          <t>JÄMTLANDS LÄN</t>
        </is>
      </c>
      <c r="E1130" t="inlineStr">
        <is>
          <t>RAGUNDA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29775-2023</t>
        </is>
      </c>
      <c r="B1131" s="1" t="n">
        <v>45098</v>
      </c>
      <c r="C1131" s="1" t="n">
        <v>45712</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29766-2023</t>
        </is>
      </c>
      <c r="B1132" s="1" t="n">
        <v>45098</v>
      </c>
      <c r="C1132" s="1" t="n">
        <v>45712</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28352-2023</t>
        </is>
      </c>
      <c r="B1133" s="1" t="n">
        <v>45100</v>
      </c>
      <c r="C1133" s="1" t="n">
        <v>45712</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28351-2023</t>
        </is>
      </c>
      <c r="B1134" s="1" t="n">
        <v>45100</v>
      </c>
      <c r="C1134" s="1" t="n">
        <v>45712</v>
      </c>
      <c r="D1134" t="inlineStr">
        <is>
          <t>JÄMTLANDS LÄN</t>
        </is>
      </c>
      <c r="E1134" t="inlineStr">
        <is>
          <t>RAGUNDA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28742-2023</t>
        </is>
      </c>
      <c r="B1135" s="1" t="n">
        <v>45103</v>
      </c>
      <c r="C1135" s="1" t="n">
        <v>45712</v>
      </c>
      <c r="D1135" t="inlineStr">
        <is>
          <t>JÄMTLANDS LÄN</t>
        </is>
      </c>
      <c r="E1135" t="inlineStr">
        <is>
          <t>RAGUNDA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45712</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29053-2023</t>
        </is>
      </c>
      <c r="B1137" s="1" t="n">
        <v>45104</v>
      </c>
      <c r="C1137" s="1" t="n">
        <v>45712</v>
      </c>
      <c r="D1137" t="inlineStr">
        <is>
          <t>JÄMTLANDS LÄN</t>
        </is>
      </c>
      <c r="E1137" t="inlineStr">
        <is>
          <t>RAGUNDA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29319-2023</t>
        </is>
      </c>
      <c r="B1138" s="1" t="n">
        <v>45105</v>
      </c>
      <c r="C1138" s="1" t="n">
        <v>45712</v>
      </c>
      <c r="D1138" t="inlineStr">
        <is>
          <t>JÄMTLANDS LÄN</t>
        </is>
      </c>
      <c r="E1138" t="inlineStr">
        <is>
          <t>RAGUNDA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29940-2023</t>
        </is>
      </c>
      <c r="B1139" s="1" t="n">
        <v>45107</v>
      </c>
      <c r="C1139" s="1" t="n">
        <v>45712</v>
      </c>
      <c r="D1139" t="inlineStr">
        <is>
          <t>JÄMTLANDS LÄN</t>
        </is>
      </c>
      <c r="E1139" t="inlineStr">
        <is>
          <t>RAGUNDA</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29939-2023</t>
        </is>
      </c>
      <c r="B1140" s="1" t="n">
        <v>45107</v>
      </c>
      <c r="C1140" s="1" t="n">
        <v>45712</v>
      </c>
      <c r="D1140" t="inlineStr">
        <is>
          <t>JÄMTLANDS LÄN</t>
        </is>
      </c>
      <c r="E1140" t="inlineStr">
        <is>
          <t>RAGUNDA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30563-2023</t>
        </is>
      </c>
      <c r="B1141" s="1" t="n">
        <v>45112</v>
      </c>
      <c r="C1141" s="1" t="n">
        <v>45712</v>
      </c>
      <c r="D1141" t="inlineStr">
        <is>
          <t>JÄMTLANDS LÄN</t>
        </is>
      </c>
      <c r="E1141" t="inlineStr">
        <is>
          <t>RAGUNDA</t>
        </is>
      </c>
      <c r="F1141" t="inlineStr">
        <is>
          <t>Övriga Aktiebolag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32592-2023</t>
        </is>
      </c>
      <c r="B1142" s="1" t="n">
        <v>45111</v>
      </c>
      <c r="C1142" s="1" t="n">
        <v>45712</v>
      </c>
      <c r="D1142" t="inlineStr">
        <is>
          <t>JÄMTLANDS LÄN</t>
        </is>
      </c>
      <c r="E1142" t="inlineStr">
        <is>
          <t>RAGUNDA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30826-2023</t>
        </is>
      </c>
      <c r="B1143" s="1" t="n">
        <v>45112</v>
      </c>
      <c r="C1143" s="1" t="n">
        <v>45712</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30825-2023</t>
        </is>
      </c>
      <c r="B1144" s="1" t="n">
        <v>45113</v>
      </c>
      <c r="C1144" s="1" t="n">
        <v>45712</v>
      </c>
      <c r="D1144" t="inlineStr">
        <is>
          <t>JÄMTLANDS LÄN</t>
        </is>
      </c>
      <c r="E1144" t="inlineStr">
        <is>
          <t>RAGUNDA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30823-2023</t>
        </is>
      </c>
      <c r="B1145" s="1" t="n">
        <v>45112</v>
      </c>
      <c r="C1145" s="1" t="n">
        <v>45712</v>
      </c>
      <c r="D1145" t="inlineStr">
        <is>
          <t>JÄMTLANDS LÄN</t>
        </is>
      </c>
      <c r="E1145" t="inlineStr">
        <is>
          <t>RAGUNDA</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30824-2023</t>
        </is>
      </c>
      <c r="B1146" s="1" t="n">
        <v>45113</v>
      </c>
      <c r="C1146" s="1" t="n">
        <v>45712</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31200-2023</t>
        </is>
      </c>
      <c r="B1147" s="1" t="n">
        <v>45114</v>
      </c>
      <c r="C1147" s="1" t="n">
        <v>45712</v>
      </c>
      <c r="D1147" t="inlineStr">
        <is>
          <t>JÄMTLANDS LÄN</t>
        </is>
      </c>
      <c r="E1147" t="inlineStr">
        <is>
          <t>RAGUNDA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31926-2023</t>
        </is>
      </c>
      <c r="B1148" s="1" t="n">
        <v>45119</v>
      </c>
      <c r="C1148" s="1" t="n">
        <v>45712</v>
      </c>
      <c r="D1148" t="inlineStr">
        <is>
          <t>JÄMTLANDS LÄN</t>
        </is>
      </c>
      <c r="E1148" t="inlineStr">
        <is>
          <t>RAGUNDA</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32207-2023</t>
        </is>
      </c>
      <c r="B1149" s="1" t="n">
        <v>45120</v>
      </c>
      <c r="C1149" s="1" t="n">
        <v>45712</v>
      </c>
      <c r="D1149" t="inlineStr">
        <is>
          <t>JÄMTLANDS LÄN</t>
        </is>
      </c>
      <c r="E1149" t="inlineStr">
        <is>
          <t>RAGUNDA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33615-2023</t>
        </is>
      </c>
      <c r="B1150" s="1" t="n">
        <v>45119</v>
      </c>
      <c r="C1150" s="1" t="n">
        <v>45712</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33621-2023</t>
        </is>
      </c>
      <c r="B1151" s="1" t="n">
        <v>45119</v>
      </c>
      <c r="C1151" s="1" t="n">
        <v>45712</v>
      </c>
      <c r="D1151" t="inlineStr">
        <is>
          <t>JÄMTLANDS LÄN</t>
        </is>
      </c>
      <c r="E1151" t="inlineStr">
        <is>
          <t>RAGUNDA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33035-2023</t>
        </is>
      </c>
      <c r="B1152" s="1" t="n">
        <v>45126</v>
      </c>
      <c r="C1152" s="1" t="n">
        <v>45712</v>
      </c>
      <c r="D1152" t="inlineStr">
        <is>
          <t>JÄMTLANDS LÄN</t>
        </is>
      </c>
      <c r="E1152" t="inlineStr">
        <is>
          <t>RAGUNDA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33047-2023</t>
        </is>
      </c>
      <c r="B1153" s="1" t="n">
        <v>45126</v>
      </c>
      <c r="C1153" s="1" t="n">
        <v>45712</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33038-2023</t>
        </is>
      </c>
      <c r="B1154" s="1" t="n">
        <v>45126</v>
      </c>
      <c r="C1154" s="1" t="n">
        <v>45712</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33046-2023</t>
        </is>
      </c>
      <c r="B1155" s="1" t="n">
        <v>45126</v>
      </c>
      <c r="C1155" s="1" t="n">
        <v>45712</v>
      </c>
      <c r="D1155" t="inlineStr">
        <is>
          <t>JÄMTLANDS LÄN</t>
        </is>
      </c>
      <c r="E1155" t="inlineStr">
        <is>
          <t>RAGUNDA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33432-2023</t>
        </is>
      </c>
      <c r="B1156" s="1" t="n">
        <v>45128</v>
      </c>
      <c r="C1156" s="1" t="n">
        <v>45712</v>
      </c>
      <c r="D1156" t="inlineStr">
        <is>
          <t>JÄMTLANDS LÄN</t>
        </is>
      </c>
      <c r="E1156" t="inlineStr">
        <is>
          <t>RAGUNDA</t>
        </is>
      </c>
      <c r="F1156" t="inlineStr">
        <is>
          <t>SCA</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33589-2023</t>
        </is>
      </c>
      <c r="B1157" s="1" t="n">
        <v>45132</v>
      </c>
      <c r="C1157" s="1" t="n">
        <v>45712</v>
      </c>
      <c r="D1157" t="inlineStr">
        <is>
          <t>JÄMTLANDS LÄN</t>
        </is>
      </c>
      <c r="E1157" t="inlineStr">
        <is>
          <t>RAGUNDA</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33588-2023</t>
        </is>
      </c>
      <c r="B1158" s="1" t="n">
        <v>45131</v>
      </c>
      <c r="C1158" s="1" t="n">
        <v>45712</v>
      </c>
      <c r="D1158" t="inlineStr">
        <is>
          <t>JÄMTLANDS LÄN</t>
        </is>
      </c>
      <c r="E1158" t="inlineStr">
        <is>
          <t>RAGUNDA</t>
        </is>
      </c>
      <c r="F1158" t="inlineStr">
        <is>
          <t>SCA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33717-2023</t>
        </is>
      </c>
      <c r="B1159" s="1" t="n">
        <v>45132</v>
      </c>
      <c r="C1159" s="1" t="n">
        <v>45712</v>
      </c>
      <c r="D1159" t="inlineStr">
        <is>
          <t>JÄMTLANDS LÄN</t>
        </is>
      </c>
      <c r="E1159" t="inlineStr">
        <is>
          <t>RAGUNDA</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33877-2023</t>
        </is>
      </c>
      <c r="B1160" s="1" t="n">
        <v>45133</v>
      </c>
      <c r="C1160" s="1" t="n">
        <v>45712</v>
      </c>
      <c r="D1160" t="inlineStr">
        <is>
          <t>JÄMTLANDS LÄN</t>
        </is>
      </c>
      <c r="E1160" t="inlineStr">
        <is>
          <t>RAGUNDA</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34322-2023</t>
        </is>
      </c>
      <c r="B1161" s="1" t="n">
        <v>45139</v>
      </c>
      <c r="C1161" s="1" t="n">
        <v>45712</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34321-2023</t>
        </is>
      </c>
      <c r="B1162" s="1" t="n">
        <v>45138</v>
      </c>
      <c r="C1162" s="1" t="n">
        <v>45712</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34323-2023</t>
        </is>
      </c>
      <c r="B1163" s="1" t="n">
        <v>45139</v>
      </c>
      <c r="C1163" s="1" t="n">
        <v>45712</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34483-2023</t>
        </is>
      </c>
      <c r="B1164" s="1" t="n">
        <v>45140</v>
      </c>
      <c r="C1164" s="1" t="n">
        <v>45712</v>
      </c>
      <c r="D1164" t="inlineStr">
        <is>
          <t>JÄMTLANDS LÄN</t>
        </is>
      </c>
      <c r="E1164" t="inlineStr">
        <is>
          <t>RAGUNDA</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34689-2023</t>
        </is>
      </c>
      <c r="B1165" s="1" t="n">
        <v>45141</v>
      </c>
      <c r="C1165" s="1" t="n">
        <v>45712</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34691-2023</t>
        </is>
      </c>
      <c r="B1166" s="1" t="n">
        <v>45141</v>
      </c>
      <c r="C1166" s="1" t="n">
        <v>45712</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35009-2023</t>
        </is>
      </c>
      <c r="B1167" s="1" t="n">
        <v>45142</v>
      </c>
      <c r="C1167" s="1" t="n">
        <v>45712</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35272-2023</t>
        </is>
      </c>
      <c r="B1168" s="1" t="n">
        <v>45146</v>
      </c>
      <c r="C1168" s="1" t="n">
        <v>45712</v>
      </c>
      <c r="D1168" t="inlineStr">
        <is>
          <t>JÄMTLANDS LÄN</t>
        </is>
      </c>
      <c r="E1168" t="inlineStr">
        <is>
          <t>RAGUNDA</t>
        </is>
      </c>
      <c r="F1168" t="inlineStr">
        <is>
          <t>SCA</t>
        </is>
      </c>
      <c r="G1168" t="n">
        <v>15.5</v>
      </c>
      <c r="H1168" t="n">
        <v>0</v>
      </c>
      <c r="I1168" t="n">
        <v>0</v>
      </c>
      <c r="J1168" t="n">
        <v>0</v>
      </c>
      <c r="K1168" t="n">
        <v>0</v>
      </c>
      <c r="L1168" t="n">
        <v>0</v>
      </c>
      <c r="M1168" t="n">
        <v>0</v>
      </c>
      <c r="N1168" t="n">
        <v>0</v>
      </c>
      <c r="O1168" t="n">
        <v>0</v>
      </c>
      <c r="P1168" t="n">
        <v>0</v>
      </c>
      <c r="Q1168" t="n">
        <v>0</v>
      </c>
      <c r="R1168" s="2" t="inlineStr"/>
    </row>
    <row r="1169" ht="15" customHeight="1">
      <c r="A1169" t="inlineStr">
        <is>
          <t>A 35265-2023</t>
        </is>
      </c>
      <c r="B1169" s="1" t="n">
        <v>45146</v>
      </c>
      <c r="C1169" s="1" t="n">
        <v>45712</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35273-2023</t>
        </is>
      </c>
      <c r="B1170" s="1" t="n">
        <v>45146</v>
      </c>
      <c r="C1170" s="1" t="n">
        <v>45712</v>
      </c>
      <c r="D1170" t="inlineStr">
        <is>
          <t>JÄMTLANDS LÄN</t>
        </is>
      </c>
      <c r="E1170" t="inlineStr">
        <is>
          <t>RAGUNDA</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35274-2023</t>
        </is>
      </c>
      <c r="B1171" s="1" t="n">
        <v>45145</v>
      </c>
      <c r="C1171" s="1" t="n">
        <v>45712</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35565-2023</t>
        </is>
      </c>
      <c r="B1172" s="1" t="n">
        <v>45146</v>
      </c>
      <c r="C1172" s="1" t="n">
        <v>45712</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35912-2023</t>
        </is>
      </c>
      <c r="B1173" s="1" t="n">
        <v>45148</v>
      </c>
      <c r="C1173" s="1" t="n">
        <v>45712</v>
      </c>
      <c r="D1173" t="inlineStr">
        <is>
          <t>JÄMTLANDS LÄN</t>
        </is>
      </c>
      <c r="E1173" t="inlineStr">
        <is>
          <t>RAGUNDA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36046-2023</t>
        </is>
      </c>
      <c r="B1174" s="1" t="n">
        <v>45148</v>
      </c>
      <c r="C1174" s="1" t="n">
        <v>45712</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36206-2023</t>
        </is>
      </c>
      <c r="B1175" s="1" t="n">
        <v>45150</v>
      </c>
      <c r="C1175" s="1" t="n">
        <v>45712</v>
      </c>
      <c r="D1175" t="inlineStr">
        <is>
          <t>JÄMTLANDS LÄN</t>
        </is>
      </c>
      <c r="E1175" t="inlineStr">
        <is>
          <t>RAGUNDA</t>
        </is>
      </c>
      <c r="F1175" t="inlineStr">
        <is>
          <t>SCA</t>
        </is>
      </c>
      <c r="G1175" t="n">
        <v>20.4</v>
      </c>
      <c r="H1175" t="n">
        <v>0</v>
      </c>
      <c r="I1175" t="n">
        <v>0</v>
      </c>
      <c r="J1175" t="n">
        <v>0</v>
      </c>
      <c r="K1175" t="n">
        <v>0</v>
      </c>
      <c r="L1175" t="n">
        <v>0</v>
      </c>
      <c r="M1175" t="n">
        <v>0</v>
      </c>
      <c r="N1175" t="n">
        <v>0</v>
      </c>
      <c r="O1175" t="n">
        <v>0</v>
      </c>
      <c r="P1175" t="n">
        <v>0</v>
      </c>
      <c r="Q1175" t="n">
        <v>0</v>
      </c>
      <c r="R1175" s="2" t="inlineStr"/>
    </row>
    <row r="1176" ht="15" customHeight="1">
      <c r="A1176" t="inlineStr">
        <is>
          <t>A 36227-2023</t>
        </is>
      </c>
      <c r="B1176" s="1" t="n">
        <v>45150</v>
      </c>
      <c r="C1176" s="1" t="n">
        <v>45712</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45150</v>
      </c>
      <c r="C1177" s="1" t="n">
        <v>45712</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36213-2023</t>
        </is>
      </c>
      <c r="B1178" s="1" t="n">
        <v>45150</v>
      </c>
      <c r="C1178" s="1" t="n">
        <v>45712</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36226-2023</t>
        </is>
      </c>
      <c r="B1179" s="1" t="n">
        <v>45150</v>
      </c>
      <c r="C1179" s="1" t="n">
        <v>45712</v>
      </c>
      <c r="D1179" t="inlineStr">
        <is>
          <t>JÄMTLANDS LÄN</t>
        </is>
      </c>
      <c r="E1179" t="inlineStr">
        <is>
          <t>RAGUNDA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36371-2023</t>
        </is>
      </c>
      <c r="B1180" s="1" t="n">
        <v>45149</v>
      </c>
      <c r="C1180" s="1" t="n">
        <v>45712</v>
      </c>
      <c r="D1180" t="inlineStr">
        <is>
          <t>JÄMTLANDS LÄN</t>
        </is>
      </c>
      <c r="E1180" t="inlineStr">
        <is>
          <t>RAGUNDA</t>
        </is>
      </c>
      <c r="G1180" t="n">
        <v>25.7</v>
      </c>
      <c r="H1180" t="n">
        <v>0</v>
      </c>
      <c r="I1180" t="n">
        <v>0</v>
      </c>
      <c r="J1180" t="n">
        <v>0</v>
      </c>
      <c r="K1180" t="n">
        <v>0</v>
      </c>
      <c r="L1180" t="n">
        <v>0</v>
      </c>
      <c r="M1180" t="n">
        <v>0</v>
      </c>
      <c r="N1180" t="n">
        <v>0</v>
      </c>
      <c r="O1180" t="n">
        <v>0</v>
      </c>
      <c r="P1180" t="n">
        <v>0</v>
      </c>
      <c r="Q1180" t="n">
        <v>0</v>
      </c>
      <c r="R1180" s="2" t="inlineStr"/>
    </row>
    <row r="1181" ht="15" customHeight="1">
      <c r="A1181" t="inlineStr">
        <is>
          <t>A 36506-2023</t>
        </is>
      </c>
      <c r="B1181" s="1" t="n">
        <v>45153</v>
      </c>
      <c r="C1181" s="1" t="n">
        <v>45712</v>
      </c>
      <c r="D1181" t="inlineStr">
        <is>
          <t>JÄMTLANDS LÄN</t>
        </is>
      </c>
      <c r="E1181" t="inlineStr">
        <is>
          <t>RAGUNDA</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36755-2023</t>
        </is>
      </c>
      <c r="B1182" s="1" t="n">
        <v>45153</v>
      </c>
      <c r="C1182" s="1" t="n">
        <v>45712</v>
      </c>
      <c r="D1182" t="inlineStr">
        <is>
          <t>JÄMTLANDS LÄN</t>
        </is>
      </c>
      <c r="E1182" t="inlineStr">
        <is>
          <t>RAGUNDA</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36859-2023</t>
        </is>
      </c>
      <c r="B1183" s="1" t="n">
        <v>45153</v>
      </c>
      <c r="C1183" s="1" t="n">
        <v>45712</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36985-2023</t>
        </is>
      </c>
      <c r="B1184" s="1" t="n">
        <v>45155</v>
      </c>
      <c r="C1184" s="1" t="n">
        <v>45712</v>
      </c>
      <c r="D1184" t="inlineStr">
        <is>
          <t>JÄMTLANDS LÄN</t>
        </is>
      </c>
      <c r="E1184" t="inlineStr">
        <is>
          <t>RAGUNDA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36986-2023</t>
        </is>
      </c>
      <c r="B1185" s="1" t="n">
        <v>45155</v>
      </c>
      <c r="C1185" s="1" t="n">
        <v>45712</v>
      </c>
      <c r="D1185" t="inlineStr">
        <is>
          <t>JÄMTLANDS LÄN</t>
        </is>
      </c>
      <c r="E1185" t="inlineStr">
        <is>
          <t>RAGUNDA</t>
        </is>
      </c>
      <c r="F1185" t="inlineStr">
        <is>
          <t>SCA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37251-2023</t>
        </is>
      </c>
      <c r="B1186" s="1" t="n">
        <v>45156</v>
      </c>
      <c r="C1186" s="1" t="n">
        <v>45712</v>
      </c>
      <c r="D1186" t="inlineStr">
        <is>
          <t>JÄMTLANDS LÄN</t>
        </is>
      </c>
      <c r="E1186" t="inlineStr">
        <is>
          <t>RAGUNDA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37480-2023</t>
        </is>
      </c>
      <c r="B1187" s="1" t="n">
        <v>45156</v>
      </c>
      <c r="C1187" s="1" t="n">
        <v>45712</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37479-2023</t>
        </is>
      </c>
      <c r="B1188" s="1" t="n">
        <v>45156</v>
      </c>
      <c r="C1188" s="1" t="n">
        <v>45712</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37536-2023</t>
        </is>
      </c>
      <c r="B1189" s="1" t="n">
        <v>45159</v>
      </c>
      <c r="C1189" s="1" t="n">
        <v>45712</v>
      </c>
      <c r="D1189" t="inlineStr">
        <is>
          <t>JÄMTLANDS LÄN</t>
        </is>
      </c>
      <c r="E1189" t="inlineStr">
        <is>
          <t>RAGUNDA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37544-2023</t>
        </is>
      </c>
      <c r="B1190" s="1" t="n">
        <v>45159</v>
      </c>
      <c r="C1190" s="1" t="n">
        <v>45712</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37543-2023</t>
        </is>
      </c>
      <c r="B1191" s="1" t="n">
        <v>45159</v>
      </c>
      <c r="C1191" s="1" t="n">
        <v>45712</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37795-2023</t>
        </is>
      </c>
      <c r="B1192" s="1" t="n">
        <v>45160</v>
      </c>
      <c r="C1192" s="1" t="n">
        <v>45712</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37805-2023</t>
        </is>
      </c>
      <c r="B1193" s="1" t="n">
        <v>45160</v>
      </c>
      <c r="C1193" s="1" t="n">
        <v>45712</v>
      </c>
      <c r="D1193" t="inlineStr">
        <is>
          <t>JÄMTLANDS LÄN</t>
        </is>
      </c>
      <c r="E1193" t="inlineStr">
        <is>
          <t>RAGUNDA</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37804-2023</t>
        </is>
      </c>
      <c r="B1194" s="1" t="n">
        <v>45160</v>
      </c>
      <c r="C1194" s="1" t="n">
        <v>45712</v>
      </c>
      <c r="D1194" t="inlineStr">
        <is>
          <t>JÄMTLANDS LÄN</t>
        </is>
      </c>
      <c r="E1194" t="inlineStr">
        <is>
          <t>RAGUNDA</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39070-2023</t>
        </is>
      </c>
      <c r="B1195" s="1" t="n">
        <v>45164</v>
      </c>
      <c r="C1195" s="1" t="n">
        <v>45712</v>
      </c>
      <c r="D1195" t="inlineStr">
        <is>
          <t>JÄMTLANDS LÄN</t>
        </is>
      </c>
      <c r="E1195" t="inlineStr">
        <is>
          <t>RAGUNDA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39076-2023</t>
        </is>
      </c>
      <c r="B1196" s="1" t="n">
        <v>45163</v>
      </c>
      <c r="C1196" s="1" t="n">
        <v>45712</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39478-2023</t>
        </is>
      </c>
      <c r="B1197" s="1" t="n">
        <v>45166</v>
      </c>
      <c r="C1197" s="1" t="n">
        <v>45712</v>
      </c>
      <c r="D1197" t="inlineStr">
        <is>
          <t>JÄMTLANDS LÄN</t>
        </is>
      </c>
      <c r="E1197" t="inlineStr">
        <is>
          <t>RAGUNDA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39482-2023</t>
        </is>
      </c>
      <c r="B1198" s="1" t="n">
        <v>45167</v>
      </c>
      <c r="C1198" s="1" t="n">
        <v>45712</v>
      </c>
      <c r="D1198" t="inlineStr">
        <is>
          <t>JÄMTLANDS LÄN</t>
        </is>
      </c>
      <c r="E1198" t="inlineStr">
        <is>
          <t>RAGUNDA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39487-2023</t>
        </is>
      </c>
      <c r="B1199" s="1" t="n">
        <v>45167</v>
      </c>
      <c r="C1199" s="1" t="n">
        <v>45712</v>
      </c>
      <c r="D1199" t="inlineStr">
        <is>
          <t>JÄMTLANDS LÄN</t>
        </is>
      </c>
      <c r="E1199" t="inlineStr">
        <is>
          <t>RAGUNDA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39489-2023</t>
        </is>
      </c>
      <c r="B1200" s="1" t="n">
        <v>45166</v>
      </c>
      <c r="C1200" s="1" t="n">
        <v>45712</v>
      </c>
      <c r="D1200" t="inlineStr">
        <is>
          <t>JÄMTLANDS LÄN</t>
        </is>
      </c>
      <c r="E1200" t="inlineStr">
        <is>
          <t>RAGUNDA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39488-2023</t>
        </is>
      </c>
      <c r="B1201" s="1" t="n">
        <v>45166</v>
      </c>
      <c r="C1201" s="1" t="n">
        <v>45712</v>
      </c>
      <c r="D1201" t="inlineStr">
        <is>
          <t>JÄMTLANDS LÄN</t>
        </is>
      </c>
      <c r="E1201" t="inlineStr">
        <is>
          <t>RAGUNDA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39481-2023</t>
        </is>
      </c>
      <c r="B1202" s="1" t="n">
        <v>45167</v>
      </c>
      <c r="C1202" s="1" t="n">
        <v>45712</v>
      </c>
      <c r="D1202" t="inlineStr">
        <is>
          <t>JÄMTLANDS LÄN</t>
        </is>
      </c>
      <c r="E1202" t="inlineStr">
        <is>
          <t>RAGUNDA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39820-2023</t>
        </is>
      </c>
      <c r="B1203" s="1" t="n">
        <v>45167</v>
      </c>
      <c r="C1203" s="1" t="n">
        <v>45712</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40801-2023</t>
        </is>
      </c>
      <c r="B1204" s="1" t="n">
        <v>45170</v>
      </c>
      <c r="C1204" s="1" t="n">
        <v>45712</v>
      </c>
      <c r="D1204" t="inlineStr">
        <is>
          <t>JÄMTLANDS LÄN</t>
        </is>
      </c>
      <c r="E1204" t="inlineStr">
        <is>
          <t>RAGUNDA</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40800-2023</t>
        </is>
      </c>
      <c r="B1205" s="1" t="n">
        <v>45171</v>
      </c>
      <c r="C1205" s="1" t="n">
        <v>45712</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41413-2023</t>
        </is>
      </c>
      <c r="B1206" s="1" t="n">
        <v>45175</v>
      </c>
      <c r="C1206" s="1" t="n">
        <v>45712</v>
      </c>
      <c r="D1206" t="inlineStr">
        <is>
          <t>JÄMTLANDS LÄN</t>
        </is>
      </c>
      <c r="E1206" t="inlineStr">
        <is>
          <t>RAGUNDA</t>
        </is>
      </c>
      <c r="F1206" t="inlineStr">
        <is>
          <t>SCA</t>
        </is>
      </c>
      <c r="G1206" t="n">
        <v>40.6</v>
      </c>
      <c r="H1206" t="n">
        <v>0</v>
      </c>
      <c r="I1206" t="n">
        <v>0</v>
      </c>
      <c r="J1206" t="n">
        <v>0</v>
      </c>
      <c r="K1206" t="n">
        <v>0</v>
      </c>
      <c r="L1206" t="n">
        <v>0</v>
      </c>
      <c r="M1206" t="n">
        <v>0</v>
      </c>
      <c r="N1206" t="n">
        <v>0</v>
      </c>
      <c r="O1206" t="n">
        <v>0</v>
      </c>
      <c r="P1206" t="n">
        <v>0</v>
      </c>
      <c r="Q1206" t="n">
        <v>0</v>
      </c>
      <c r="R1206" s="2" t="inlineStr"/>
    </row>
    <row r="1207" ht="15" customHeight="1">
      <c r="A1207" t="inlineStr">
        <is>
          <t>A 41402-2023</t>
        </is>
      </c>
      <c r="B1207" s="1" t="n">
        <v>45175</v>
      </c>
      <c r="C1207" s="1" t="n">
        <v>45712</v>
      </c>
      <c r="D1207" t="inlineStr">
        <is>
          <t>JÄMTLANDS LÄN</t>
        </is>
      </c>
      <c r="E1207" t="inlineStr">
        <is>
          <t>RAGUNDA</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42295-2023</t>
        </is>
      </c>
      <c r="B1208" s="1" t="n">
        <v>45175</v>
      </c>
      <c r="C1208" s="1" t="n">
        <v>45712</v>
      </c>
      <c r="D1208" t="inlineStr">
        <is>
          <t>JÄMTLANDS LÄN</t>
        </is>
      </c>
      <c r="E1208" t="inlineStr">
        <is>
          <t>RAGUNDA</t>
        </is>
      </c>
      <c r="F1208" t="inlineStr">
        <is>
          <t>Kommuner</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41656-2023</t>
        </is>
      </c>
      <c r="B1209" s="1" t="n">
        <v>45175</v>
      </c>
      <c r="C1209" s="1" t="n">
        <v>45712</v>
      </c>
      <c r="D1209" t="inlineStr">
        <is>
          <t>JÄMTLANDS LÄN</t>
        </is>
      </c>
      <c r="E1209" t="inlineStr">
        <is>
          <t>RAGUNDA</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41693-2023</t>
        </is>
      </c>
      <c r="B1210" s="1" t="n">
        <v>45176</v>
      </c>
      <c r="C1210" s="1" t="n">
        <v>45712</v>
      </c>
      <c r="D1210" t="inlineStr">
        <is>
          <t>JÄMTLANDS LÄN</t>
        </is>
      </c>
      <c r="E1210" t="inlineStr">
        <is>
          <t>RAGUNDA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41766-2023</t>
        </is>
      </c>
      <c r="B1211" s="1" t="n">
        <v>45176</v>
      </c>
      <c r="C1211" s="1" t="n">
        <v>45712</v>
      </c>
      <c r="D1211" t="inlineStr">
        <is>
          <t>JÄMTLANDS LÄN</t>
        </is>
      </c>
      <c r="E1211" t="inlineStr">
        <is>
          <t>RAGUNDA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41905-2023</t>
        </is>
      </c>
      <c r="B1212" s="1" t="n">
        <v>45176</v>
      </c>
      <c r="C1212" s="1" t="n">
        <v>45712</v>
      </c>
      <c r="D1212" t="inlineStr">
        <is>
          <t>JÄMTLANDS LÄN</t>
        </is>
      </c>
      <c r="E1212" t="inlineStr">
        <is>
          <t>RAGUNDA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42149-2023</t>
        </is>
      </c>
      <c r="B1213" s="1" t="n">
        <v>45177</v>
      </c>
      <c r="C1213" s="1" t="n">
        <v>45712</v>
      </c>
      <c r="D1213" t="inlineStr">
        <is>
          <t>JÄMTLANDS LÄN</t>
        </is>
      </c>
      <c r="E1213" t="inlineStr">
        <is>
          <t>RAGUNDA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42510-2023</t>
        </is>
      </c>
      <c r="B1214" s="1" t="n">
        <v>45181</v>
      </c>
      <c r="C1214" s="1" t="n">
        <v>45712</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42509-2023</t>
        </is>
      </c>
      <c r="B1215" s="1" t="n">
        <v>45180</v>
      </c>
      <c r="C1215" s="1" t="n">
        <v>45712</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42508-2023</t>
        </is>
      </c>
      <c r="B1216" s="1" t="n">
        <v>45181</v>
      </c>
      <c r="C1216" s="1" t="n">
        <v>45712</v>
      </c>
      <c r="D1216" t="inlineStr">
        <is>
          <t>JÄMTLANDS LÄN</t>
        </is>
      </c>
      <c r="E1216" t="inlineStr">
        <is>
          <t>RAGUNDA</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43607-2023</t>
        </is>
      </c>
      <c r="B1217" s="1" t="n">
        <v>45181</v>
      </c>
      <c r="C1217" s="1" t="n">
        <v>45712</v>
      </c>
      <c r="D1217" t="inlineStr">
        <is>
          <t>JÄMTLANDS LÄN</t>
        </is>
      </c>
      <c r="E1217" t="inlineStr">
        <is>
          <t>RAGUNDA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43102-2023</t>
        </is>
      </c>
      <c r="B1218" s="1" t="n">
        <v>45182</v>
      </c>
      <c r="C1218" s="1" t="n">
        <v>45712</v>
      </c>
      <c r="D1218" t="inlineStr">
        <is>
          <t>JÄMTLANDS LÄN</t>
        </is>
      </c>
      <c r="E1218" t="inlineStr">
        <is>
          <t>RAGUNDA</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43122-2023</t>
        </is>
      </c>
      <c r="B1219" s="1" t="n">
        <v>45183</v>
      </c>
      <c r="C1219" s="1" t="n">
        <v>45712</v>
      </c>
      <c r="D1219" t="inlineStr">
        <is>
          <t>JÄMTLANDS LÄN</t>
        </is>
      </c>
      <c r="E1219" t="inlineStr">
        <is>
          <t>RAGUNDA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43132-2023</t>
        </is>
      </c>
      <c r="B1220" s="1" t="n">
        <v>45182</v>
      </c>
      <c r="C1220" s="1" t="n">
        <v>45712</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43926-2023</t>
        </is>
      </c>
      <c r="B1221" s="1" t="n">
        <v>45182</v>
      </c>
      <c r="C1221" s="1" t="n">
        <v>45712</v>
      </c>
      <c r="D1221" t="inlineStr">
        <is>
          <t>JÄMTLANDS LÄN</t>
        </is>
      </c>
      <c r="E1221" t="inlineStr">
        <is>
          <t>RAGUNDA</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43405-2023</t>
        </is>
      </c>
      <c r="B1222" s="1" t="n">
        <v>45184</v>
      </c>
      <c r="C1222" s="1" t="n">
        <v>45712</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43409-2023</t>
        </is>
      </c>
      <c r="B1223" s="1" t="n">
        <v>45184</v>
      </c>
      <c r="C1223" s="1" t="n">
        <v>45712</v>
      </c>
      <c r="D1223" t="inlineStr">
        <is>
          <t>JÄMTLANDS LÄN</t>
        </is>
      </c>
      <c r="E1223" t="inlineStr">
        <is>
          <t>RAGUNDA</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44630-2023</t>
        </is>
      </c>
      <c r="B1224" s="1" t="n">
        <v>45184</v>
      </c>
      <c r="C1224" s="1" t="n">
        <v>45712</v>
      </c>
      <c r="D1224" t="inlineStr">
        <is>
          <t>JÄMTLANDS LÄN</t>
        </is>
      </c>
      <c r="E1224" t="inlineStr">
        <is>
          <t>RAGUNDA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44881-2023</t>
        </is>
      </c>
      <c r="B1225" s="1" t="n">
        <v>45187</v>
      </c>
      <c r="C1225" s="1" t="n">
        <v>45712</v>
      </c>
      <c r="D1225" t="inlineStr">
        <is>
          <t>JÄMTLANDS LÄN</t>
        </is>
      </c>
      <c r="E1225" t="inlineStr">
        <is>
          <t>RAGUNDA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45257-2023</t>
        </is>
      </c>
      <c r="B1226" s="1" t="n">
        <v>45187</v>
      </c>
      <c r="C1226" s="1" t="n">
        <v>45712</v>
      </c>
      <c r="D1226" t="inlineStr">
        <is>
          <t>JÄMTLANDS LÄN</t>
        </is>
      </c>
      <c r="E1226" t="inlineStr">
        <is>
          <t>RAGUNDA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45253-2023</t>
        </is>
      </c>
      <c r="B1227" s="1" t="n">
        <v>45187</v>
      </c>
      <c r="C1227" s="1" t="n">
        <v>45712</v>
      </c>
      <c r="D1227" t="inlineStr">
        <is>
          <t>JÄMTLANDS LÄN</t>
        </is>
      </c>
      <c r="E1227" t="inlineStr">
        <is>
          <t>RAGUNDA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44987-2023</t>
        </is>
      </c>
      <c r="B1228" s="1" t="n">
        <v>45191</v>
      </c>
      <c r="C1228" s="1" t="n">
        <v>45712</v>
      </c>
      <c r="D1228" t="inlineStr">
        <is>
          <t>JÄMTLANDS LÄN</t>
        </is>
      </c>
      <c r="E1228" t="inlineStr">
        <is>
          <t>RAGUNDA</t>
        </is>
      </c>
      <c r="F1228" t="inlineStr">
        <is>
          <t>SCA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44999-2023</t>
        </is>
      </c>
      <c r="B1229" s="1" t="n">
        <v>45191</v>
      </c>
      <c r="C1229" s="1" t="n">
        <v>45712</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44980-2023</t>
        </is>
      </c>
      <c r="B1230" s="1" t="n">
        <v>45190</v>
      </c>
      <c r="C1230" s="1" t="n">
        <v>45712</v>
      </c>
      <c r="D1230" t="inlineStr">
        <is>
          <t>JÄMTLANDS LÄN</t>
        </is>
      </c>
      <c r="E1230" t="inlineStr">
        <is>
          <t>RAGUNDA</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44988-2023</t>
        </is>
      </c>
      <c r="B1231" s="1" t="n">
        <v>45190</v>
      </c>
      <c r="C1231" s="1" t="n">
        <v>45712</v>
      </c>
      <c r="D1231" t="inlineStr">
        <is>
          <t>JÄMTLANDS LÄN</t>
        </is>
      </c>
      <c r="E1231" t="inlineStr">
        <is>
          <t>RAGUNDA</t>
        </is>
      </c>
      <c r="F1231" t="inlineStr">
        <is>
          <t>SCA</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44996-2023</t>
        </is>
      </c>
      <c r="B1232" s="1" t="n">
        <v>45191</v>
      </c>
      <c r="C1232" s="1" t="n">
        <v>45712</v>
      </c>
      <c r="D1232" t="inlineStr">
        <is>
          <t>JÄMTLANDS LÄN</t>
        </is>
      </c>
      <c r="E1232" t="inlineStr">
        <is>
          <t>RAGUNDA</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45020-2023</t>
        </is>
      </c>
      <c r="B1233" s="1" t="n">
        <v>45191</v>
      </c>
      <c r="C1233" s="1" t="n">
        <v>45712</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44997-2023</t>
        </is>
      </c>
      <c r="B1234" s="1" t="n">
        <v>45191</v>
      </c>
      <c r="C1234" s="1" t="n">
        <v>45712</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45336-2023</t>
        </is>
      </c>
      <c r="B1235" s="1" t="n">
        <v>45192</v>
      </c>
      <c r="C1235" s="1" t="n">
        <v>45712</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45335-2023</t>
        </is>
      </c>
      <c r="B1236" s="1" t="n">
        <v>45191</v>
      </c>
      <c r="C1236" s="1" t="n">
        <v>45712</v>
      </c>
      <c r="D1236" t="inlineStr">
        <is>
          <t>JÄMTLANDS LÄN</t>
        </is>
      </c>
      <c r="E1236" t="inlineStr">
        <is>
          <t>RAGUNDA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45338-2023</t>
        </is>
      </c>
      <c r="B1237" s="1" t="n">
        <v>45192</v>
      </c>
      <c r="C1237" s="1" t="n">
        <v>45712</v>
      </c>
      <c r="D1237" t="inlineStr">
        <is>
          <t>JÄMTLANDS LÄN</t>
        </is>
      </c>
      <c r="E1237" t="inlineStr">
        <is>
          <t>RAGUNDA</t>
        </is>
      </c>
      <c r="F1237" t="inlineStr">
        <is>
          <t>SCA</t>
        </is>
      </c>
      <c r="G1237" t="n">
        <v>23.4</v>
      </c>
      <c r="H1237" t="n">
        <v>0</v>
      </c>
      <c r="I1237" t="n">
        <v>0</v>
      </c>
      <c r="J1237" t="n">
        <v>0</v>
      </c>
      <c r="K1237" t="n">
        <v>0</v>
      </c>
      <c r="L1237" t="n">
        <v>0</v>
      </c>
      <c r="M1237" t="n">
        <v>0</v>
      </c>
      <c r="N1237" t="n">
        <v>0</v>
      </c>
      <c r="O1237" t="n">
        <v>0</v>
      </c>
      <c r="P1237" t="n">
        <v>0</v>
      </c>
      <c r="Q1237" t="n">
        <v>0</v>
      </c>
      <c r="R1237" s="2" t="inlineStr"/>
    </row>
    <row r="1238" ht="15" customHeight="1">
      <c r="A1238" t="inlineStr">
        <is>
          <t>A 45953-2023</t>
        </is>
      </c>
      <c r="B1238" s="1" t="n">
        <v>45196</v>
      </c>
      <c r="C1238" s="1" t="n">
        <v>45712</v>
      </c>
      <c r="D1238" t="inlineStr">
        <is>
          <t>JÄMTLANDS LÄN</t>
        </is>
      </c>
      <c r="E1238" t="inlineStr">
        <is>
          <t>RAGUNDA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45974-2023</t>
        </is>
      </c>
      <c r="B1239" s="1" t="n">
        <v>45196</v>
      </c>
      <c r="C1239" s="1" t="n">
        <v>45712</v>
      </c>
      <c r="D1239" t="inlineStr">
        <is>
          <t>JÄMTLANDS LÄN</t>
        </is>
      </c>
      <c r="E1239" t="inlineStr">
        <is>
          <t>RAGUNDA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45954-2023</t>
        </is>
      </c>
      <c r="B1240" s="1" t="n">
        <v>45196</v>
      </c>
      <c r="C1240" s="1" t="n">
        <v>45712</v>
      </c>
      <c r="D1240" t="inlineStr">
        <is>
          <t>JÄMTLANDS LÄN</t>
        </is>
      </c>
      <c r="E1240" t="inlineStr">
        <is>
          <t>RAGUNDA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45952-2023</t>
        </is>
      </c>
      <c r="B1241" s="1" t="n">
        <v>45195</v>
      </c>
      <c r="C1241" s="1" t="n">
        <v>45712</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45955-2023</t>
        </is>
      </c>
      <c r="B1242" s="1" t="n">
        <v>45196</v>
      </c>
      <c r="C1242" s="1" t="n">
        <v>45712</v>
      </c>
      <c r="D1242" t="inlineStr">
        <is>
          <t>JÄMTLANDS LÄN</t>
        </is>
      </c>
      <c r="E1242" t="inlineStr">
        <is>
          <t>RAGUNDA</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47319-2023</t>
        </is>
      </c>
      <c r="B1243" s="1" t="n">
        <v>45196</v>
      </c>
      <c r="C1243" s="1" t="n">
        <v>45712</v>
      </c>
      <c r="D1243" t="inlineStr">
        <is>
          <t>JÄMTLANDS LÄN</t>
        </is>
      </c>
      <c r="E1243" t="inlineStr">
        <is>
          <t>RAGUNDA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46536-2023</t>
        </is>
      </c>
      <c r="B1244" s="1" t="n">
        <v>45198</v>
      </c>
      <c r="C1244" s="1" t="n">
        <v>45712</v>
      </c>
      <c r="D1244" t="inlineStr">
        <is>
          <t>JÄMTLANDS LÄN</t>
        </is>
      </c>
      <c r="E1244" t="inlineStr">
        <is>
          <t>RAGUNDA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46549-2023</t>
        </is>
      </c>
      <c r="B1245" s="1" t="n">
        <v>45198</v>
      </c>
      <c r="C1245" s="1" t="n">
        <v>45712</v>
      </c>
      <c r="D1245" t="inlineStr">
        <is>
          <t>JÄMTLANDS LÄN</t>
        </is>
      </c>
      <c r="E1245" t="inlineStr">
        <is>
          <t>RAGUNDA</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46537-2023</t>
        </is>
      </c>
      <c r="B1246" s="1" t="n">
        <v>45197</v>
      </c>
      <c r="C1246" s="1" t="n">
        <v>45712</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46546-2023</t>
        </is>
      </c>
      <c r="B1247" s="1" t="n">
        <v>45198</v>
      </c>
      <c r="C1247" s="1" t="n">
        <v>45712</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47444-2023</t>
        </is>
      </c>
      <c r="B1248" s="1" t="n">
        <v>45197</v>
      </c>
      <c r="C1248" s="1" t="n">
        <v>45712</v>
      </c>
      <c r="D1248" t="inlineStr">
        <is>
          <t>JÄMTLANDS LÄN</t>
        </is>
      </c>
      <c r="E1248" t="inlineStr">
        <is>
          <t>RAGUNDA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46817-2023</t>
        </is>
      </c>
      <c r="B1249" s="1" t="n">
        <v>45199</v>
      </c>
      <c r="C1249" s="1" t="n">
        <v>45712</v>
      </c>
      <c r="D1249" t="inlineStr">
        <is>
          <t>JÄMTLANDS LÄN</t>
        </is>
      </c>
      <c r="E1249" t="inlineStr">
        <is>
          <t>RAGUNDA</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46806-2023</t>
        </is>
      </c>
      <c r="B1250" s="1" t="n">
        <v>45199</v>
      </c>
      <c r="C1250" s="1" t="n">
        <v>45712</v>
      </c>
      <c r="D1250" t="inlineStr">
        <is>
          <t>JÄMTLANDS LÄN</t>
        </is>
      </c>
      <c r="E1250" t="inlineStr">
        <is>
          <t>RAGUNDA</t>
        </is>
      </c>
      <c r="F1250" t="inlineStr">
        <is>
          <t>SCA</t>
        </is>
      </c>
      <c r="G1250" t="n">
        <v>39.8</v>
      </c>
      <c r="H1250" t="n">
        <v>0</v>
      </c>
      <c r="I1250" t="n">
        <v>0</v>
      </c>
      <c r="J1250" t="n">
        <v>0</v>
      </c>
      <c r="K1250" t="n">
        <v>0</v>
      </c>
      <c r="L1250" t="n">
        <v>0</v>
      </c>
      <c r="M1250" t="n">
        <v>0</v>
      </c>
      <c r="N1250" t="n">
        <v>0</v>
      </c>
      <c r="O1250" t="n">
        <v>0</v>
      </c>
      <c r="P1250" t="n">
        <v>0</v>
      </c>
      <c r="Q1250" t="n">
        <v>0</v>
      </c>
      <c r="R1250" s="2" t="inlineStr"/>
    </row>
    <row r="1251" ht="15" customHeight="1">
      <c r="A1251" t="inlineStr">
        <is>
          <t>A 47168-2023</t>
        </is>
      </c>
      <c r="B1251" s="1" t="n">
        <v>45201</v>
      </c>
      <c r="C1251" s="1" t="n">
        <v>45712</v>
      </c>
      <c r="D1251" t="inlineStr">
        <is>
          <t>JÄMTLANDS LÄN</t>
        </is>
      </c>
      <c r="E1251" t="inlineStr">
        <is>
          <t>RAGUNDA</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47173-2023</t>
        </is>
      </c>
      <c r="B1252" s="1" t="n">
        <v>45202</v>
      </c>
      <c r="C1252" s="1" t="n">
        <v>45712</v>
      </c>
      <c r="D1252" t="inlineStr">
        <is>
          <t>JÄMTLANDS LÄN</t>
        </is>
      </c>
      <c r="E1252" t="inlineStr">
        <is>
          <t>RAGUNDA</t>
        </is>
      </c>
      <c r="F1252" t="inlineStr">
        <is>
          <t>SCA</t>
        </is>
      </c>
      <c r="G1252" t="n">
        <v>21.5</v>
      </c>
      <c r="H1252" t="n">
        <v>0</v>
      </c>
      <c r="I1252" t="n">
        <v>0</v>
      </c>
      <c r="J1252" t="n">
        <v>0</v>
      </c>
      <c r="K1252" t="n">
        <v>0</v>
      </c>
      <c r="L1252" t="n">
        <v>0</v>
      </c>
      <c r="M1252" t="n">
        <v>0</v>
      </c>
      <c r="N1252" t="n">
        <v>0</v>
      </c>
      <c r="O1252" t="n">
        <v>0</v>
      </c>
      <c r="P1252" t="n">
        <v>0</v>
      </c>
      <c r="Q1252" t="n">
        <v>0</v>
      </c>
      <c r="R1252" s="2" t="inlineStr"/>
    </row>
    <row r="1253" ht="15" customHeight="1">
      <c r="A1253" t="inlineStr">
        <is>
          <t>A 48065-2023</t>
        </is>
      </c>
      <c r="B1253" s="1" t="n">
        <v>45205</v>
      </c>
      <c r="C1253" s="1" t="n">
        <v>45712</v>
      </c>
      <c r="D1253" t="inlineStr">
        <is>
          <t>JÄMTLANDS LÄN</t>
        </is>
      </c>
      <c r="E1253" t="inlineStr">
        <is>
          <t>RAGUNDA</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48066-2023</t>
        </is>
      </c>
      <c r="B1254" s="1" t="n">
        <v>45205</v>
      </c>
      <c r="C1254" s="1" t="n">
        <v>45712</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48421-2023</t>
        </is>
      </c>
      <c r="B1255" s="1" t="n">
        <v>45205</v>
      </c>
      <c r="C1255" s="1" t="n">
        <v>45712</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48469-2023</t>
        </is>
      </c>
      <c r="B1256" s="1" t="n">
        <v>45207</v>
      </c>
      <c r="C1256" s="1" t="n">
        <v>45712</v>
      </c>
      <c r="D1256" t="inlineStr">
        <is>
          <t>JÄMTLANDS LÄN</t>
        </is>
      </c>
      <c r="E1256" t="inlineStr">
        <is>
          <t>RAGUNDA</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50160-2023</t>
        </is>
      </c>
      <c r="B1257" s="1" t="n">
        <v>45208</v>
      </c>
      <c r="C1257" s="1" t="n">
        <v>45712</v>
      </c>
      <c r="D1257" t="inlineStr">
        <is>
          <t>JÄMTLANDS LÄN</t>
        </is>
      </c>
      <c r="E1257" t="inlineStr">
        <is>
          <t>RAGUNDA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50157-2023</t>
        </is>
      </c>
      <c r="B1258" s="1" t="n">
        <v>45208</v>
      </c>
      <c r="C1258" s="1" t="n">
        <v>45712</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50658-2023</t>
        </is>
      </c>
      <c r="B1259" s="1" t="n">
        <v>45210</v>
      </c>
      <c r="C1259" s="1" t="n">
        <v>45712</v>
      </c>
      <c r="D1259" t="inlineStr">
        <is>
          <t>JÄMTLANDS LÄN</t>
        </is>
      </c>
      <c r="E1259" t="inlineStr">
        <is>
          <t>RAGUNDA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50650-2023</t>
        </is>
      </c>
      <c r="B1260" s="1" t="n">
        <v>45210</v>
      </c>
      <c r="C1260" s="1" t="n">
        <v>45712</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49650-2023</t>
        </is>
      </c>
      <c r="B1261" s="1" t="n">
        <v>45212</v>
      </c>
      <c r="C1261" s="1" t="n">
        <v>45712</v>
      </c>
      <c r="D1261" t="inlineStr">
        <is>
          <t>JÄMTLANDS LÄN</t>
        </is>
      </c>
      <c r="E1261" t="inlineStr">
        <is>
          <t>RAGUNDA</t>
        </is>
      </c>
      <c r="F1261" t="inlineStr">
        <is>
          <t>SCA</t>
        </is>
      </c>
      <c r="G1261" t="n">
        <v>19.8</v>
      </c>
      <c r="H1261" t="n">
        <v>0</v>
      </c>
      <c r="I1261" t="n">
        <v>0</v>
      </c>
      <c r="J1261" t="n">
        <v>0</v>
      </c>
      <c r="K1261" t="n">
        <v>0</v>
      </c>
      <c r="L1261" t="n">
        <v>0</v>
      </c>
      <c r="M1261" t="n">
        <v>0</v>
      </c>
      <c r="N1261" t="n">
        <v>0</v>
      </c>
      <c r="O1261" t="n">
        <v>0</v>
      </c>
      <c r="P1261" t="n">
        <v>0</v>
      </c>
      <c r="Q1261" t="n">
        <v>0</v>
      </c>
      <c r="R1261" s="2" t="inlineStr"/>
    </row>
    <row r="1262" ht="15" customHeight="1">
      <c r="A1262" t="inlineStr">
        <is>
          <t>A 49648-2023</t>
        </is>
      </c>
      <c r="B1262" s="1" t="n">
        <v>45212</v>
      </c>
      <c r="C1262" s="1" t="n">
        <v>45712</v>
      </c>
      <c r="D1262" t="inlineStr">
        <is>
          <t>JÄMTLANDS LÄN</t>
        </is>
      </c>
      <c r="E1262" t="inlineStr">
        <is>
          <t>RAGUNDA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49659-2023</t>
        </is>
      </c>
      <c r="B1263" s="1" t="n">
        <v>45212</v>
      </c>
      <c r="C1263" s="1" t="n">
        <v>45712</v>
      </c>
      <c r="D1263" t="inlineStr">
        <is>
          <t>JÄMTLANDS LÄN</t>
        </is>
      </c>
      <c r="E1263" t="inlineStr">
        <is>
          <t>RAGUNDA</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50211-2023</t>
        </is>
      </c>
      <c r="B1264" s="1" t="n">
        <v>45216</v>
      </c>
      <c r="C1264" s="1" t="n">
        <v>45712</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51503-2023</t>
        </is>
      </c>
      <c r="B1265" s="1" t="n">
        <v>45215</v>
      </c>
      <c r="C1265" s="1" t="n">
        <v>45712</v>
      </c>
      <c r="D1265" t="inlineStr">
        <is>
          <t>JÄMTLANDS LÄN</t>
        </is>
      </c>
      <c r="E1265" t="inlineStr">
        <is>
          <t>RAGUNDA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51646-2023</t>
        </is>
      </c>
      <c r="B1266" s="1" t="n">
        <v>45215</v>
      </c>
      <c r="C1266" s="1" t="n">
        <v>45712</v>
      </c>
      <c r="D1266" t="inlineStr">
        <is>
          <t>JÄMTLANDS LÄN</t>
        </is>
      </c>
      <c r="E1266" t="inlineStr">
        <is>
          <t>RAGUNDA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50486-2023</t>
        </is>
      </c>
      <c r="B1267" s="1" t="n">
        <v>45217</v>
      </c>
      <c r="C1267" s="1" t="n">
        <v>45712</v>
      </c>
      <c r="D1267" t="inlineStr">
        <is>
          <t>JÄMTLANDS LÄN</t>
        </is>
      </c>
      <c r="E1267" t="inlineStr">
        <is>
          <t>RAGUNDA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50485-2023</t>
        </is>
      </c>
      <c r="B1268" s="1" t="n">
        <v>45217</v>
      </c>
      <c r="C1268" s="1" t="n">
        <v>45712</v>
      </c>
      <c r="D1268" t="inlineStr">
        <is>
          <t>JÄMTLANDS LÄN</t>
        </is>
      </c>
      <c r="E1268" t="inlineStr">
        <is>
          <t>RAGUNDA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50487-2023</t>
        </is>
      </c>
      <c r="B1269" s="1" t="n">
        <v>45217</v>
      </c>
      <c r="C1269" s="1" t="n">
        <v>45712</v>
      </c>
      <c r="D1269" t="inlineStr">
        <is>
          <t>JÄMTLANDS LÄN</t>
        </is>
      </c>
      <c r="E1269" t="inlineStr">
        <is>
          <t>RAGUNDA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50483-2023</t>
        </is>
      </c>
      <c r="B1270" s="1" t="n">
        <v>45217</v>
      </c>
      <c r="C1270" s="1" t="n">
        <v>45712</v>
      </c>
      <c r="D1270" t="inlineStr">
        <is>
          <t>JÄMTLANDS LÄN</t>
        </is>
      </c>
      <c r="E1270" t="inlineStr">
        <is>
          <t>RAGUNDA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50484-2023</t>
        </is>
      </c>
      <c r="B1271" s="1" t="n">
        <v>45217</v>
      </c>
      <c r="C1271" s="1" t="n">
        <v>45712</v>
      </c>
      <c r="D1271" t="inlineStr">
        <is>
          <t>JÄMTLANDS LÄN</t>
        </is>
      </c>
      <c r="E1271" t="inlineStr">
        <is>
          <t>RAGUNDA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50831-2023</t>
        </is>
      </c>
      <c r="B1272" s="1" t="n">
        <v>45217</v>
      </c>
      <c r="C1272" s="1" t="n">
        <v>45712</v>
      </c>
      <c r="D1272" t="inlineStr">
        <is>
          <t>JÄMTLANDS LÄN</t>
        </is>
      </c>
      <c r="E1272" t="inlineStr">
        <is>
          <t>RAGUNDA</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50832-2023</t>
        </is>
      </c>
      <c r="B1273" s="1" t="n">
        <v>45218</v>
      </c>
      <c r="C1273" s="1" t="n">
        <v>45712</v>
      </c>
      <c r="D1273" t="inlineStr">
        <is>
          <t>JÄMTLANDS LÄN</t>
        </is>
      </c>
      <c r="E1273" t="inlineStr">
        <is>
          <t>RAGUNDA</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50848-2023</t>
        </is>
      </c>
      <c r="B1274" s="1" t="n">
        <v>45217</v>
      </c>
      <c r="C1274" s="1" t="n">
        <v>45712</v>
      </c>
      <c r="D1274" t="inlineStr">
        <is>
          <t>JÄMTLANDS LÄN</t>
        </is>
      </c>
      <c r="E1274" t="inlineStr">
        <is>
          <t>RAGUNDA</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52195-2023</t>
        </is>
      </c>
      <c r="B1275" s="1" t="n">
        <v>45217</v>
      </c>
      <c r="C1275" s="1" t="n">
        <v>45712</v>
      </c>
      <c r="D1275" t="inlineStr">
        <is>
          <t>JÄMTLANDS LÄN</t>
        </is>
      </c>
      <c r="E1275" t="inlineStr">
        <is>
          <t>RAGUNDA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50847-2023</t>
        </is>
      </c>
      <c r="B1276" s="1" t="n">
        <v>45217</v>
      </c>
      <c r="C1276" s="1" t="n">
        <v>45712</v>
      </c>
      <c r="D1276" t="inlineStr">
        <is>
          <t>JÄMTLANDS LÄN</t>
        </is>
      </c>
      <c r="E1276" t="inlineStr">
        <is>
          <t>RAGUNDA</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52550-2023</t>
        </is>
      </c>
      <c r="B1277" s="1" t="n">
        <v>45218</v>
      </c>
      <c r="C1277" s="1" t="n">
        <v>45712</v>
      </c>
      <c r="D1277" t="inlineStr">
        <is>
          <t>JÄMTLANDS LÄN</t>
        </is>
      </c>
      <c r="E1277" t="inlineStr">
        <is>
          <t>RAGUNDA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52544-2023</t>
        </is>
      </c>
      <c r="B1278" s="1" t="n">
        <v>45218</v>
      </c>
      <c r="C1278" s="1" t="n">
        <v>45712</v>
      </c>
      <c r="D1278" t="inlineStr">
        <is>
          <t>JÄMTLANDS LÄN</t>
        </is>
      </c>
      <c r="E1278" t="inlineStr">
        <is>
          <t>RAGUNDA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52631-2023</t>
        </is>
      </c>
      <c r="B1279" s="1" t="n">
        <v>45219</v>
      </c>
      <c r="C1279" s="1" t="n">
        <v>45712</v>
      </c>
      <c r="D1279" t="inlineStr">
        <is>
          <t>JÄMTLANDS LÄN</t>
        </is>
      </c>
      <c r="E1279" t="inlineStr">
        <is>
          <t>RAGUNDA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52622-2023</t>
        </is>
      </c>
      <c r="B1280" s="1" t="n">
        <v>45219</v>
      </c>
      <c r="C1280" s="1" t="n">
        <v>45712</v>
      </c>
      <c r="D1280" t="inlineStr">
        <is>
          <t>JÄMTLANDS LÄN</t>
        </is>
      </c>
      <c r="E1280" t="inlineStr">
        <is>
          <t>RAGUNDA</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51435-2023</t>
        </is>
      </c>
      <c r="B1281" s="1" t="n">
        <v>45220</v>
      </c>
      <c r="C1281" s="1" t="n">
        <v>45712</v>
      </c>
      <c r="D1281" t="inlineStr">
        <is>
          <t>JÄMTLANDS LÄN</t>
        </is>
      </c>
      <c r="E1281" t="inlineStr">
        <is>
          <t>RAGUNDA</t>
        </is>
      </c>
      <c r="F1281" t="inlineStr">
        <is>
          <t>SCA</t>
        </is>
      </c>
      <c r="G1281" t="n">
        <v>39.6</v>
      </c>
      <c r="H1281" t="n">
        <v>0</v>
      </c>
      <c r="I1281" t="n">
        <v>0</v>
      </c>
      <c r="J1281" t="n">
        <v>0</v>
      </c>
      <c r="K1281" t="n">
        <v>0</v>
      </c>
      <c r="L1281" t="n">
        <v>0</v>
      </c>
      <c r="M1281" t="n">
        <v>0</v>
      </c>
      <c r="N1281" t="n">
        <v>0</v>
      </c>
      <c r="O1281" t="n">
        <v>0</v>
      </c>
      <c r="P1281" t="n">
        <v>0</v>
      </c>
      <c r="Q1281" t="n">
        <v>0</v>
      </c>
      <c r="R1281" s="2" t="inlineStr"/>
    </row>
    <row r="1282" ht="15" customHeight="1">
      <c r="A1282" t="inlineStr">
        <is>
          <t>A 51209-2023</t>
        </is>
      </c>
      <c r="B1282" s="1" t="n">
        <v>45219</v>
      </c>
      <c r="C1282" s="1" t="n">
        <v>45712</v>
      </c>
      <c r="D1282" t="inlineStr">
        <is>
          <t>JÄMTLANDS LÄN</t>
        </is>
      </c>
      <c r="E1282" t="inlineStr">
        <is>
          <t>RAGUNDA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51807-2023</t>
        </is>
      </c>
      <c r="B1283" s="1" t="n">
        <v>45223</v>
      </c>
      <c r="C1283" s="1" t="n">
        <v>45712</v>
      </c>
      <c r="D1283" t="inlineStr">
        <is>
          <t>JÄMTLANDS LÄN</t>
        </is>
      </c>
      <c r="E1283" t="inlineStr">
        <is>
          <t>RAGUNDA</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52878-2023</t>
        </is>
      </c>
      <c r="B1284" s="1" t="n">
        <v>45222</v>
      </c>
      <c r="C1284" s="1" t="n">
        <v>45712</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53019-2023</t>
        </is>
      </c>
      <c r="B1285" s="1" t="n">
        <v>45222</v>
      </c>
      <c r="C1285" s="1" t="n">
        <v>45712</v>
      </c>
      <c r="D1285" t="inlineStr">
        <is>
          <t>JÄMTLANDS LÄN</t>
        </is>
      </c>
      <c r="E1285" t="inlineStr">
        <is>
          <t>RAGUNDA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53347-2023</t>
        </is>
      </c>
      <c r="B1286" s="1" t="n">
        <v>45223</v>
      </c>
      <c r="C1286" s="1" t="n">
        <v>45712</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53860-2023</t>
        </is>
      </c>
      <c r="B1287" s="1" t="n">
        <v>45224</v>
      </c>
      <c r="C1287" s="1" t="n">
        <v>45712</v>
      </c>
      <c r="D1287" t="inlineStr">
        <is>
          <t>JÄMTLANDS LÄN</t>
        </is>
      </c>
      <c r="E1287" t="inlineStr">
        <is>
          <t>RAGUNDA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53847-2023</t>
        </is>
      </c>
      <c r="B1288" s="1" t="n">
        <v>45224</v>
      </c>
      <c r="C1288" s="1" t="n">
        <v>45712</v>
      </c>
      <c r="D1288" t="inlineStr">
        <is>
          <t>JÄMTLANDS LÄN</t>
        </is>
      </c>
      <c r="E1288" t="inlineStr">
        <is>
          <t>RAGUNDA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53455-2023</t>
        </is>
      </c>
      <c r="B1289" s="1" t="n">
        <v>45230</v>
      </c>
      <c r="C1289" s="1" t="n">
        <v>45712</v>
      </c>
      <c r="D1289" t="inlineStr">
        <is>
          <t>JÄMTLANDS LÄN</t>
        </is>
      </c>
      <c r="E1289" t="inlineStr">
        <is>
          <t>RAGUNDA</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53762-2023</t>
        </is>
      </c>
      <c r="B1290" s="1" t="n">
        <v>45231</v>
      </c>
      <c r="C1290" s="1" t="n">
        <v>45712</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53766-2023</t>
        </is>
      </c>
      <c r="B1291" s="1" t="n">
        <v>45231</v>
      </c>
      <c r="C1291" s="1" t="n">
        <v>45712</v>
      </c>
      <c r="D1291" t="inlineStr">
        <is>
          <t>JÄMTLANDS LÄN</t>
        </is>
      </c>
      <c r="E1291" t="inlineStr">
        <is>
          <t>RAGUNDA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53769-2023</t>
        </is>
      </c>
      <c r="B1292" s="1" t="n">
        <v>45230</v>
      </c>
      <c r="C1292" s="1" t="n">
        <v>45712</v>
      </c>
      <c r="D1292" t="inlineStr">
        <is>
          <t>JÄMTLANDS LÄN</t>
        </is>
      </c>
      <c r="E1292" t="inlineStr">
        <is>
          <t>RAGUNDA</t>
        </is>
      </c>
      <c r="F1292" t="inlineStr">
        <is>
          <t>SCA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55250-2023</t>
        </is>
      </c>
      <c r="B1293" s="1" t="n">
        <v>45231</v>
      </c>
      <c r="C1293" s="1" t="n">
        <v>45712</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54322-2023</t>
        </is>
      </c>
      <c r="B1294" s="1" t="n">
        <v>45232</v>
      </c>
      <c r="C1294" s="1" t="n">
        <v>45712</v>
      </c>
      <c r="D1294" t="inlineStr">
        <is>
          <t>JÄMTLANDS LÄN</t>
        </is>
      </c>
      <c r="E1294" t="inlineStr">
        <is>
          <t>RAGUNDA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54321-2023</t>
        </is>
      </c>
      <c r="B1295" s="1" t="n">
        <v>45232</v>
      </c>
      <c r="C1295" s="1" t="n">
        <v>45712</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54599-2023</t>
        </is>
      </c>
      <c r="B1296" s="1" t="n">
        <v>45233</v>
      </c>
      <c r="C1296" s="1" t="n">
        <v>45712</v>
      </c>
      <c r="D1296" t="inlineStr">
        <is>
          <t>JÄMTLANDS LÄN</t>
        </is>
      </c>
      <c r="E1296" t="inlineStr">
        <is>
          <t>RAGUNDA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56338-2023</t>
        </is>
      </c>
      <c r="B1297" s="1" t="n">
        <v>45236</v>
      </c>
      <c r="C1297" s="1" t="n">
        <v>45712</v>
      </c>
      <c r="D1297" t="inlineStr">
        <is>
          <t>JÄMTLANDS LÄN</t>
        </is>
      </c>
      <c r="E1297" t="inlineStr">
        <is>
          <t>RAGUNDA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56331-2023</t>
        </is>
      </c>
      <c r="B1298" s="1" t="n">
        <v>45236</v>
      </c>
      <c r="C1298" s="1" t="n">
        <v>45712</v>
      </c>
      <c r="D1298" t="inlineStr">
        <is>
          <t>JÄMTLANDS LÄN</t>
        </is>
      </c>
      <c r="E1298" t="inlineStr">
        <is>
          <t>RAGUNDA</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56343-2023</t>
        </is>
      </c>
      <c r="B1299" s="1" t="n">
        <v>45236</v>
      </c>
      <c r="C1299" s="1" t="n">
        <v>45712</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56351-2023</t>
        </is>
      </c>
      <c r="B1300" s="1" t="n">
        <v>45236</v>
      </c>
      <c r="C1300" s="1" t="n">
        <v>45712</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55649-2023</t>
        </is>
      </c>
      <c r="B1301" s="1" t="n">
        <v>45238</v>
      </c>
      <c r="C1301" s="1" t="n">
        <v>45712</v>
      </c>
      <c r="D1301" t="inlineStr">
        <is>
          <t>JÄMTLANDS LÄN</t>
        </is>
      </c>
      <c r="E1301" t="inlineStr">
        <is>
          <t>RAGUNDA</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55669-2023</t>
        </is>
      </c>
      <c r="B1302" s="1" t="n">
        <v>45239</v>
      </c>
      <c r="C1302" s="1" t="n">
        <v>45712</v>
      </c>
      <c r="D1302" t="inlineStr">
        <is>
          <t>JÄMTLANDS LÄN</t>
        </is>
      </c>
      <c r="E1302" t="inlineStr">
        <is>
          <t>RAGUNDA</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56618-2023</t>
        </is>
      </c>
      <c r="B1303" s="1" t="n">
        <v>45238</v>
      </c>
      <c r="C1303" s="1" t="n">
        <v>45712</v>
      </c>
      <c r="D1303" t="inlineStr">
        <is>
          <t>JÄMTLANDS LÄN</t>
        </is>
      </c>
      <c r="E1303" t="inlineStr">
        <is>
          <t>RAGUNDA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55487-2023</t>
        </is>
      </c>
      <c r="B1304" s="1" t="n">
        <v>45238</v>
      </c>
      <c r="C1304" s="1" t="n">
        <v>45712</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57433-2023</t>
        </is>
      </c>
      <c r="B1305" s="1" t="n">
        <v>45240</v>
      </c>
      <c r="C1305" s="1" t="n">
        <v>45712</v>
      </c>
      <c r="D1305" t="inlineStr">
        <is>
          <t>JÄMTLANDS LÄN</t>
        </is>
      </c>
      <c r="E1305" t="inlineStr">
        <is>
          <t>RAGUNDA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57425-2023</t>
        </is>
      </c>
      <c r="B1306" s="1" t="n">
        <v>45240</v>
      </c>
      <c r="C1306" s="1" t="n">
        <v>45712</v>
      </c>
      <c r="D1306" t="inlineStr">
        <is>
          <t>JÄMTLANDS LÄN</t>
        </is>
      </c>
      <c r="E1306" t="inlineStr">
        <is>
          <t>RAGUNDA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56284-2023</t>
        </is>
      </c>
      <c r="B1307" s="1" t="n">
        <v>45241</v>
      </c>
      <c r="C1307" s="1" t="n">
        <v>45712</v>
      </c>
      <c r="D1307" t="inlineStr">
        <is>
          <t>JÄMTLANDS LÄN</t>
        </is>
      </c>
      <c r="E1307" t="inlineStr">
        <is>
          <t>RAGUNDA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56287-2023</t>
        </is>
      </c>
      <c r="B1308" s="1" t="n">
        <v>45241</v>
      </c>
      <c r="C1308" s="1" t="n">
        <v>45712</v>
      </c>
      <c r="D1308" t="inlineStr">
        <is>
          <t>JÄMTLANDS LÄN</t>
        </is>
      </c>
      <c r="E1308" t="inlineStr">
        <is>
          <t>RAGUNDA</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56286-2023</t>
        </is>
      </c>
      <c r="B1309" s="1" t="n">
        <v>45241</v>
      </c>
      <c r="C1309" s="1" t="n">
        <v>45712</v>
      </c>
      <c r="D1309" t="inlineStr">
        <is>
          <t>JÄMTLANDS LÄN</t>
        </is>
      </c>
      <c r="E1309" t="inlineStr">
        <is>
          <t>RAGUNDA</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56658-2023</t>
        </is>
      </c>
      <c r="B1310" s="1" t="n">
        <v>45243</v>
      </c>
      <c r="C1310" s="1" t="n">
        <v>45712</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56702-2023</t>
        </is>
      </c>
      <c r="B1311" s="1" t="n">
        <v>45244</v>
      </c>
      <c r="C1311" s="1" t="n">
        <v>45712</v>
      </c>
      <c r="D1311" t="inlineStr">
        <is>
          <t>JÄMTLANDS LÄN</t>
        </is>
      </c>
      <c r="E1311" t="inlineStr">
        <is>
          <t>RAGUNDA</t>
        </is>
      </c>
      <c r="F1311" t="inlineStr">
        <is>
          <t>SCA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57078-2023</t>
        </is>
      </c>
      <c r="B1312" s="1" t="n">
        <v>45245</v>
      </c>
      <c r="C1312" s="1" t="n">
        <v>45712</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57925-2023</t>
        </is>
      </c>
      <c r="B1313" s="1" t="n">
        <v>45244</v>
      </c>
      <c r="C1313" s="1" t="n">
        <v>45712</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57778-2023</t>
        </is>
      </c>
      <c r="B1314" s="1" t="n">
        <v>45246</v>
      </c>
      <c r="C1314" s="1" t="n">
        <v>45712</v>
      </c>
      <c r="D1314" t="inlineStr">
        <is>
          <t>JÄMTLANDS LÄN</t>
        </is>
      </c>
      <c r="E1314" t="inlineStr">
        <is>
          <t>RAGUNDA</t>
        </is>
      </c>
      <c r="F1314" t="inlineStr">
        <is>
          <t>SCA</t>
        </is>
      </c>
      <c r="G1314" t="n">
        <v>37.8</v>
      </c>
      <c r="H1314" t="n">
        <v>0</v>
      </c>
      <c r="I1314" t="n">
        <v>0</v>
      </c>
      <c r="J1314" t="n">
        <v>0</v>
      </c>
      <c r="K1314" t="n">
        <v>0</v>
      </c>
      <c r="L1314" t="n">
        <v>0</v>
      </c>
      <c r="M1314" t="n">
        <v>0</v>
      </c>
      <c r="N1314" t="n">
        <v>0</v>
      </c>
      <c r="O1314" t="n">
        <v>0</v>
      </c>
      <c r="P1314" t="n">
        <v>0</v>
      </c>
      <c r="Q1314" t="n">
        <v>0</v>
      </c>
      <c r="R1314" s="2" t="inlineStr"/>
    </row>
    <row r="1315" ht="15" customHeight="1">
      <c r="A1315" t="inlineStr">
        <is>
          <t>A 58084-2023</t>
        </is>
      </c>
      <c r="B1315" s="1" t="n">
        <v>45248</v>
      </c>
      <c r="C1315" s="1" t="n">
        <v>45712</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58992-2023</t>
        </is>
      </c>
      <c r="B1316" s="1" t="n">
        <v>45250</v>
      </c>
      <c r="C1316" s="1" t="n">
        <v>45712</v>
      </c>
      <c r="D1316" t="inlineStr">
        <is>
          <t>JÄMTLANDS LÄN</t>
        </is>
      </c>
      <c r="E1316" t="inlineStr">
        <is>
          <t>RAGUNDA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58863-2023</t>
        </is>
      </c>
      <c r="B1317" s="1" t="n">
        <v>45250</v>
      </c>
      <c r="C1317" s="1" t="n">
        <v>45712</v>
      </c>
      <c r="D1317" t="inlineStr">
        <is>
          <t>JÄMTLANDS LÄN</t>
        </is>
      </c>
      <c r="E1317" t="inlineStr">
        <is>
          <t>RAGUNDA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58921-2023</t>
        </is>
      </c>
      <c r="B1318" s="1" t="n">
        <v>45250</v>
      </c>
      <c r="C1318" s="1" t="n">
        <v>45712</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59136-2023</t>
        </is>
      </c>
      <c r="B1319" s="1" t="n">
        <v>45251</v>
      </c>
      <c r="C1319" s="1" t="n">
        <v>45712</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59286-2023</t>
        </is>
      </c>
      <c r="B1320" s="1" t="n">
        <v>45253</v>
      </c>
      <c r="C1320" s="1" t="n">
        <v>45712</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59557-2023</t>
        </is>
      </c>
      <c r="B1321" s="1" t="n">
        <v>45253</v>
      </c>
      <c r="C1321" s="1" t="n">
        <v>45712</v>
      </c>
      <c r="D1321" t="inlineStr">
        <is>
          <t>JÄMTLANDS LÄN</t>
        </is>
      </c>
      <c r="E1321" t="inlineStr">
        <is>
          <t>RAGUNDA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59658-2023</t>
        </is>
      </c>
      <c r="B1322" s="1" t="n">
        <v>45255</v>
      </c>
      <c r="C1322" s="1" t="n">
        <v>45712</v>
      </c>
      <c r="D1322" t="inlineStr">
        <is>
          <t>JÄMTLANDS LÄN</t>
        </is>
      </c>
      <c r="E1322" t="inlineStr">
        <is>
          <t>RAGUNDA</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59670-2023</t>
        </is>
      </c>
      <c r="B1323" s="1" t="n">
        <v>45255</v>
      </c>
      <c r="C1323" s="1" t="n">
        <v>45712</v>
      </c>
      <c r="D1323" t="inlineStr">
        <is>
          <t>JÄMTLANDS LÄN</t>
        </is>
      </c>
      <c r="E1323" t="inlineStr">
        <is>
          <t>RAGUNDA</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59669-2023</t>
        </is>
      </c>
      <c r="B1324" s="1" t="n">
        <v>45255</v>
      </c>
      <c r="C1324" s="1" t="n">
        <v>45712</v>
      </c>
      <c r="D1324" t="inlineStr">
        <is>
          <t>JÄMTLANDS LÄN</t>
        </is>
      </c>
      <c r="E1324" t="inlineStr">
        <is>
          <t>RAGUNDA</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59996-2023</t>
        </is>
      </c>
      <c r="B1325" s="1" t="n">
        <v>45257</v>
      </c>
      <c r="C1325" s="1" t="n">
        <v>45712</v>
      </c>
      <c r="D1325" t="inlineStr">
        <is>
          <t>JÄMTLANDS LÄN</t>
        </is>
      </c>
      <c r="E1325" t="inlineStr">
        <is>
          <t>RAGUNDA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60185-2023</t>
        </is>
      </c>
      <c r="B1326" s="1" t="n">
        <v>45257</v>
      </c>
      <c r="C1326" s="1" t="n">
        <v>45712</v>
      </c>
      <c r="D1326" t="inlineStr">
        <is>
          <t>JÄMTLANDS LÄN</t>
        </is>
      </c>
      <c r="E1326" t="inlineStr">
        <is>
          <t>RAGUNDA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60012-2023</t>
        </is>
      </c>
      <c r="B1327" s="1" t="n">
        <v>45257</v>
      </c>
      <c r="C1327" s="1" t="n">
        <v>45712</v>
      </c>
      <c r="D1327" t="inlineStr">
        <is>
          <t>JÄMTLANDS LÄN</t>
        </is>
      </c>
      <c r="E1327" t="inlineStr">
        <is>
          <t>RAGUNDA</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60222-2023</t>
        </is>
      </c>
      <c r="B1328" s="1" t="n">
        <v>45257</v>
      </c>
      <c r="C1328" s="1" t="n">
        <v>45712</v>
      </c>
      <c r="D1328" t="inlineStr">
        <is>
          <t>JÄMTLANDS LÄN</t>
        </is>
      </c>
      <c r="E1328" t="inlineStr">
        <is>
          <t>RAGUNDA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60235-2023</t>
        </is>
      </c>
      <c r="B1329" s="1" t="n">
        <v>45257</v>
      </c>
      <c r="C1329" s="1" t="n">
        <v>45712</v>
      </c>
      <c r="D1329" t="inlineStr">
        <is>
          <t>JÄMTLANDS LÄN</t>
        </is>
      </c>
      <c r="E1329" t="inlineStr">
        <is>
          <t>RAGUNDA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60228-2023</t>
        </is>
      </c>
      <c r="B1330" s="1" t="n">
        <v>45257</v>
      </c>
      <c r="C1330" s="1" t="n">
        <v>45712</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60199-2023</t>
        </is>
      </c>
      <c r="B1331" s="1" t="n">
        <v>45257</v>
      </c>
      <c r="C1331" s="1" t="n">
        <v>45712</v>
      </c>
      <c r="D1331" t="inlineStr">
        <is>
          <t>JÄMTLANDS LÄN</t>
        </is>
      </c>
      <c r="E1331" t="inlineStr">
        <is>
          <t>RAGUNDA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60195-2023</t>
        </is>
      </c>
      <c r="B1332" s="1" t="n">
        <v>45257</v>
      </c>
      <c r="C1332" s="1" t="n">
        <v>45712</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60330-2023</t>
        </is>
      </c>
      <c r="B1333" s="1" t="n">
        <v>45258</v>
      </c>
      <c r="C1333" s="1" t="n">
        <v>45712</v>
      </c>
      <c r="D1333" t="inlineStr">
        <is>
          <t>JÄMTLANDS LÄN</t>
        </is>
      </c>
      <c r="E1333" t="inlineStr">
        <is>
          <t>RAGUNDA</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60456-2023</t>
        </is>
      </c>
      <c r="B1334" s="1" t="n">
        <v>45258</v>
      </c>
      <c r="C1334" s="1" t="n">
        <v>45712</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60413-2023</t>
        </is>
      </c>
      <c r="B1335" s="1" t="n">
        <v>45258</v>
      </c>
      <c r="C1335" s="1" t="n">
        <v>45712</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60450-2023</t>
        </is>
      </c>
      <c r="B1336" s="1" t="n">
        <v>45258</v>
      </c>
      <c r="C1336" s="1" t="n">
        <v>45712</v>
      </c>
      <c r="D1336" t="inlineStr">
        <is>
          <t>JÄMTLANDS LÄN</t>
        </is>
      </c>
      <c r="E1336" t="inlineStr">
        <is>
          <t>RAGUNDA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60443-2023</t>
        </is>
      </c>
      <c r="B1337" s="1" t="n">
        <v>45258</v>
      </c>
      <c r="C1337" s="1" t="n">
        <v>45712</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60629-2023</t>
        </is>
      </c>
      <c r="B1338" s="1" t="n">
        <v>45259</v>
      </c>
      <c r="C1338" s="1" t="n">
        <v>45712</v>
      </c>
      <c r="D1338" t="inlineStr">
        <is>
          <t>JÄMTLANDS LÄN</t>
        </is>
      </c>
      <c r="E1338" t="inlineStr">
        <is>
          <t>RAGUNDA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60643-2023</t>
        </is>
      </c>
      <c r="B1339" s="1" t="n">
        <v>45259</v>
      </c>
      <c r="C1339" s="1" t="n">
        <v>45712</v>
      </c>
      <c r="D1339" t="inlineStr">
        <is>
          <t>JÄMTLANDS LÄN</t>
        </is>
      </c>
      <c r="E1339" t="inlineStr">
        <is>
          <t>RAGUNDA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60836-2023</t>
        </is>
      </c>
      <c r="B1340" s="1" t="n">
        <v>45260</v>
      </c>
      <c r="C1340" s="1" t="n">
        <v>45712</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60860-2023</t>
        </is>
      </c>
      <c r="B1341" s="1" t="n">
        <v>45260</v>
      </c>
      <c r="C1341" s="1" t="n">
        <v>45712</v>
      </c>
      <c r="D1341" t="inlineStr">
        <is>
          <t>JÄMTLANDS LÄN</t>
        </is>
      </c>
      <c r="E1341" t="inlineStr">
        <is>
          <t>RAGUNDA</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60838-2023</t>
        </is>
      </c>
      <c r="B1342" s="1" t="n">
        <v>45260</v>
      </c>
      <c r="C1342" s="1" t="n">
        <v>45712</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61197-2023</t>
        </is>
      </c>
      <c r="B1343" s="1" t="n">
        <v>45260</v>
      </c>
      <c r="C1343" s="1" t="n">
        <v>45712</v>
      </c>
      <c r="D1343" t="inlineStr">
        <is>
          <t>JÄMTLANDS LÄN</t>
        </is>
      </c>
      <c r="E1343" t="inlineStr">
        <is>
          <t>RAGUNDA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61191-2023</t>
        </is>
      </c>
      <c r="B1344" s="1" t="n">
        <v>45260</v>
      </c>
      <c r="C1344" s="1" t="n">
        <v>45712</v>
      </c>
      <c r="D1344" t="inlineStr">
        <is>
          <t>JÄMTLANDS LÄN</t>
        </is>
      </c>
      <c r="E1344" t="inlineStr">
        <is>
          <t>RAGUNDA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62106-2023</t>
        </is>
      </c>
      <c r="B1345" s="1" t="n">
        <v>45266</v>
      </c>
      <c r="C1345" s="1" t="n">
        <v>45712</v>
      </c>
      <c r="D1345" t="inlineStr">
        <is>
          <t>JÄMTLANDS LÄN</t>
        </is>
      </c>
      <c r="E1345" t="inlineStr">
        <is>
          <t>RAGUNDA</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62107-2023</t>
        </is>
      </c>
      <c r="B1346" s="1" t="n">
        <v>45266</v>
      </c>
      <c r="C1346" s="1" t="n">
        <v>45712</v>
      </c>
      <c r="D1346" t="inlineStr">
        <is>
          <t>JÄMTLANDS LÄN</t>
        </is>
      </c>
      <c r="E1346" t="inlineStr">
        <is>
          <t>RAGUNDA</t>
        </is>
      </c>
      <c r="F1346" t="inlineStr">
        <is>
          <t>SCA</t>
        </is>
      </c>
      <c r="G1346" t="n">
        <v>38.4</v>
      </c>
      <c r="H1346" t="n">
        <v>0</v>
      </c>
      <c r="I1346" t="n">
        <v>0</v>
      </c>
      <c r="J1346" t="n">
        <v>0</v>
      </c>
      <c r="K1346" t="n">
        <v>0</v>
      </c>
      <c r="L1346" t="n">
        <v>0</v>
      </c>
      <c r="M1346" t="n">
        <v>0</v>
      </c>
      <c r="N1346" t="n">
        <v>0</v>
      </c>
      <c r="O1346" t="n">
        <v>0</v>
      </c>
      <c r="P1346" t="n">
        <v>0</v>
      </c>
      <c r="Q1346" t="n">
        <v>0</v>
      </c>
      <c r="R1346" s="2" t="inlineStr"/>
    </row>
    <row r="1347" ht="15" customHeight="1">
      <c r="A1347" t="inlineStr">
        <is>
          <t>A 62397-2023</t>
        </is>
      </c>
      <c r="B1347" s="1" t="n">
        <v>45266</v>
      </c>
      <c r="C1347" s="1" t="n">
        <v>45712</v>
      </c>
      <c r="D1347" t="inlineStr">
        <is>
          <t>JÄMTLANDS LÄN</t>
        </is>
      </c>
      <c r="E1347" t="inlineStr">
        <is>
          <t>RAGUNDA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62405-2023</t>
        </is>
      </c>
      <c r="B1348" s="1" t="n">
        <v>45266</v>
      </c>
      <c r="C1348" s="1" t="n">
        <v>45712</v>
      </c>
      <c r="D1348" t="inlineStr">
        <is>
          <t>JÄMTLANDS LÄN</t>
        </is>
      </c>
      <c r="E1348" t="inlineStr">
        <is>
          <t>RAGUNDA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62407-2023</t>
        </is>
      </c>
      <c r="B1349" s="1" t="n">
        <v>45266</v>
      </c>
      <c r="C1349" s="1" t="n">
        <v>45712</v>
      </c>
      <c r="D1349" t="inlineStr">
        <is>
          <t>JÄMTLANDS LÄN</t>
        </is>
      </c>
      <c r="E1349" t="inlineStr">
        <is>
          <t>RAGUNDA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62358-2023</t>
        </is>
      </c>
      <c r="B1350" s="1" t="n">
        <v>45267</v>
      </c>
      <c r="C1350" s="1" t="n">
        <v>45712</v>
      </c>
      <c r="D1350" t="inlineStr">
        <is>
          <t>JÄMTLANDS LÄN</t>
        </is>
      </c>
      <c r="E1350" t="inlineStr">
        <is>
          <t>RAGUNDA</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62526-2023</t>
        </is>
      </c>
      <c r="B1351" s="1" t="n">
        <v>45267</v>
      </c>
      <c r="C1351" s="1" t="n">
        <v>45712</v>
      </c>
      <c r="D1351" t="inlineStr">
        <is>
          <t>JÄMTLANDS LÄN</t>
        </is>
      </c>
      <c r="E1351" t="inlineStr">
        <is>
          <t>RAGUNDA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62839-2023</t>
        </is>
      </c>
      <c r="B1352" s="1" t="n">
        <v>45271</v>
      </c>
      <c r="C1352" s="1" t="n">
        <v>45712</v>
      </c>
      <c r="D1352" t="inlineStr">
        <is>
          <t>JÄMTLANDS LÄN</t>
        </is>
      </c>
      <c r="E1352" t="inlineStr">
        <is>
          <t>RAGUNDA</t>
        </is>
      </c>
      <c r="F1352" t="inlineStr">
        <is>
          <t>SCA</t>
        </is>
      </c>
      <c r="G1352" t="n">
        <v>26.7</v>
      </c>
      <c r="H1352" t="n">
        <v>0</v>
      </c>
      <c r="I1352" t="n">
        <v>0</v>
      </c>
      <c r="J1352" t="n">
        <v>0</v>
      </c>
      <c r="K1352" t="n">
        <v>0</v>
      </c>
      <c r="L1352" t="n">
        <v>0</v>
      </c>
      <c r="M1352" t="n">
        <v>0</v>
      </c>
      <c r="N1352" t="n">
        <v>0</v>
      </c>
      <c r="O1352" t="n">
        <v>0</v>
      </c>
      <c r="P1352" t="n">
        <v>0</v>
      </c>
      <c r="Q1352" t="n">
        <v>0</v>
      </c>
      <c r="R1352" s="2" t="inlineStr"/>
    </row>
    <row r="1353" ht="15" customHeight="1">
      <c r="A1353" t="inlineStr">
        <is>
          <t>A 63708-2023</t>
        </is>
      </c>
      <c r="B1353" s="1" t="n">
        <v>45275</v>
      </c>
      <c r="C1353" s="1" t="n">
        <v>45712</v>
      </c>
      <c r="D1353" t="inlineStr">
        <is>
          <t>JÄMTLANDS LÄN</t>
        </is>
      </c>
      <c r="E1353" t="inlineStr">
        <is>
          <t>RAGUNDA</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64017-2023</t>
        </is>
      </c>
      <c r="B1354" s="1" t="n">
        <v>45278</v>
      </c>
      <c r="C1354" s="1" t="n">
        <v>45712</v>
      </c>
      <c r="D1354" t="inlineStr">
        <is>
          <t>JÄMTLANDS LÄN</t>
        </is>
      </c>
      <c r="E1354" t="inlineStr">
        <is>
          <t>RAGUNDA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64039-2023</t>
        </is>
      </c>
      <c r="B1355" s="1" t="n">
        <v>45278</v>
      </c>
      <c r="C1355" s="1" t="n">
        <v>45712</v>
      </c>
      <c r="D1355" t="inlineStr">
        <is>
          <t>JÄMTLANDS LÄN</t>
        </is>
      </c>
      <c r="E1355" t="inlineStr">
        <is>
          <t>RAGUNDA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64265-2023</t>
        </is>
      </c>
      <c r="B1356" s="1" t="n">
        <v>45279</v>
      </c>
      <c r="C1356" s="1" t="n">
        <v>45712</v>
      </c>
      <c r="D1356" t="inlineStr">
        <is>
          <t>JÄMTLANDS LÄN</t>
        </is>
      </c>
      <c r="E1356" t="inlineStr">
        <is>
          <t>RAGUNDA</t>
        </is>
      </c>
      <c r="F1356" t="inlineStr">
        <is>
          <t>SCA</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64264-2023</t>
        </is>
      </c>
      <c r="B1357" s="1" t="n">
        <v>45279</v>
      </c>
      <c r="C1357" s="1" t="n">
        <v>45712</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64415-2023</t>
        </is>
      </c>
      <c r="B1358" s="1" t="n">
        <v>45280</v>
      </c>
      <c r="C1358" s="1" t="n">
        <v>45712</v>
      </c>
      <c r="D1358" t="inlineStr">
        <is>
          <t>JÄMTLANDS LÄN</t>
        </is>
      </c>
      <c r="E1358" t="inlineStr">
        <is>
          <t>RAGUNDA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64492-2023</t>
        </is>
      </c>
      <c r="B1359" s="1" t="n">
        <v>45280</v>
      </c>
      <c r="C1359" s="1" t="n">
        <v>45712</v>
      </c>
      <c r="D1359" t="inlineStr">
        <is>
          <t>JÄMTLANDS LÄN</t>
        </is>
      </c>
      <c r="E1359" t="inlineStr">
        <is>
          <t>RAGUNDA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65083-2023</t>
        </is>
      </c>
      <c r="B1360" s="1" t="n">
        <v>45287</v>
      </c>
      <c r="C1360" s="1" t="n">
        <v>45712</v>
      </c>
      <c r="D1360" t="inlineStr">
        <is>
          <t>JÄMTLANDS LÄN</t>
        </is>
      </c>
      <c r="E1360" t="inlineStr">
        <is>
          <t>RAGUNDA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65216-2023</t>
        </is>
      </c>
      <c r="B1361" s="1" t="n">
        <v>45289</v>
      </c>
      <c r="C1361" s="1" t="n">
        <v>45712</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65242-2023</t>
        </is>
      </c>
      <c r="B1362" s="1" t="n">
        <v>45289</v>
      </c>
      <c r="C1362" s="1" t="n">
        <v>45712</v>
      </c>
      <c r="D1362" t="inlineStr">
        <is>
          <t>JÄMTLANDS LÄN</t>
        </is>
      </c>
      <c r="E1362" t="inlineStr">
        <is>
          <t>RAGUNDA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1130-2024</t>
        </is>
      </c>
      <c r="B1363" s="1" t="n">
        <v>45302</v>
      </c>
      <c r="C1363" s="1" t="n">
        <v>45712</v>
      </c>
      <c r="D1363" t="inlineStr">
        <is>
          <t>JÄMTLANDS LÄN</t>
        </is>
      </c>
      <c r="E1363" t="inlineStr">
        <is>
          <t>RAGUNDA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1123-2024</t>
        </is>
      </c>
      <c r="B1364" s="1" t="n">
        <v>45302</v>
      </c>
      <c r="C1364" s="1" t="n">
        <v>45712</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1465-2024</t>
        </is>
      </c>
      <c r="B1365" s="1" t="n">
        <v>45304</v>
      </c>
      <c r="C1365" s="1" t="n">
        <v>45712</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1466-2024</t>
        </is>
      </c>
      <c r="B1366" s="1" t="n">
        <v>45304</v>
      </c>
      <c r="C1366" s="1" t="n">
        <v>45712</v>
      </c>
      <c r="D1366" t="inlineStr">
        <is>
          <t>JÄMTLANDS LÄN</t>
        </is>
      </c>
      <c r="E1366" t="inlineStr">
        <is>
          <t>RAGUNDA</t>
        </is>
      </c>
      <c r="F1366" t="inlineStr">
        <is>
          <t>SCA</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1523-2024</t>
        </is>
      </c>
      <c r="B1367" s="1" t="n">
        <v>45306</v>
      </c>
      <c r="C1367" s="1" t="n">
        <v>45712</v>
      </c>
      <c r="D1367" t="inlineStr">
        <is>
          <t>JÄMTLANDS LÄN</t>
        </is>
      </c>
      <c r="E1367" t="inlineStr">
        <is>
          <t>RAGUNDA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1554-2024</t>
        </is>
      </c>
      <c r="B1368" s="1" t="n">
        <v>45306</v>
      </c>
      <c r="C1368" s="1" t="n">
        <v>45712</v>
      </c>
      <c r="D1368" t="inlineStr">
        <is>
          <t>JÄMTLANDS LÄN</t>
        </is>
      </c>
      <c r="E1368" t="inlineStr">
        <is>
          <t>RAGUNDA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1537-2024</t>
        </is>
      </c>
      <c r="B1369" s="1" t="n">
        <v>45306</v>
      </c>
      <c r="C1369" s="1" t="n">
        <v>45712</v>
      </c>
      <c r="D1369" t="inlineStr">
        <is>
          <t>JÄMTLANDS LÄN</t>
        </is>
      </c>
      <c r="E1369" t="inlineStr">
        <is>
          <t>RAGUNDA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1884-2024</t>
        </is>
      </c>
      <c r="B1370" s="1" t="n">
        <v>45307</v>
      </c>
      <c r="C1370" s="1" t="n">
        <v>45712</v>
      </c>
      <c r="D1370" t="inlineStr">
        <is>
          <t>JÄMTLANDS LÄN</t>
        </is>
      </c>
      <c r="E1370" t="inlineStr">
        <is>
          <t>RAGUNDA</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1888-2024</t>
        </is>
      </c>
      <c r="B1371" s="1" t="n">
        <v>45308</v>
      </c>
      <c r="C1371" s="1" t="n">
        <v>45712</v>
      </c>
      <c r="D1371" t="inlineStr">
        <is>
          <t>JÄMTLANDS LÄN</t>
        </is>
      </c>
      <c r="E1371" t="inlineStr">
        <is>
          <t>RAGUNDA</t>
        </is>
      </c>
      <c r="F1371" t="inlineStr">
        <is>
          <t>SCA</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1887-2024</t>
        </is>
      </c>
      <c r="B1372" s="1" t="n">
        <v>45308</v>
      </c>
      <c r="C1372" s="1" t="n">
        <v>45712</v>
      </c>
      <c r="D1372" t="inlineStr">
        <is>
          <t>JÄMTLANDS LÄN</t>
        </is>
      </c>
      <c r="E1372" t="inlineStr">
        <is>
          <t>RAGUNDA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1889-2024</t>
        </is>
      </c>
      <c r="B1373" s="1" t="n">
        <v>45308</v>
      </c>
      <c r="C1373" s="1" t="n">
        <v>45712</v>
      </c>
      <c r="D1373" t="inlineStr">
        <is>
          <t>JÄMTLANDS LÄN</t>
        </is>
      </c>
      <c r="E1373" t="inlineStr">
        <is>
          <t>RAGUNDA</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2143-2024</t>
        </is>
      </c>
      <c r="B1374" s="1" t="n">
        <v>45309</v>
      </c>
      <c r="C1374" s="1" t="n">
        <v>45712</v>
      </c>
      <c r="D1374" t="inlineStr">
        <is>
          <t>JÄMTLANDS LÄN</t>
        </is>
      </c>
      <c r="E1374" t="inlineStr">
        <is>
          <t>RAGUNDA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2224-2024</t>
        </is>
      </c>
      <c r="B1375" s="1" t="n">
        <v>45309</v>
      </c>
      <c r="C1375" s="1" t="n">
        <v>45712</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2241-2024</t>
        </is>
      </c>
      <c r="B1376" s="1" t="n">
        <v>45309</v>
      </c>
      <c r="C1376" s="1" t="n">
        <v>45712</v>
      </c>
      <c r="D1376" t="inlineStr">
        <is>
          <t>JÄMTLANDS LÄN</t>
        </is>
      </c>
      <c r="E1376" t="inlineStr">
        <is>
          <t>RAGUNDA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2245-2024</t>
        </is>
      </c>
      <c r="B1377" s="1" t="n">
        <v>45309</v>
      </c>
      <c r="C1377" s="1" t="n">
        <v>45712</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2242-2024</t>
        </is>
      </c>
      <c r="B1378" s="1" t="n">
        <v>45309</v>
      </c>
      <c r="C1378" s="1" t="n">
        <v>45712</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2248-2024</t>
        </is>
      </c>
      <c r="B1379" s="1" t="n">
        <v>45309</v>
      </c>
      <c r="C1379" s="1" t="n">
        <v>45712</v>
      </c>
      <c r="D1379" t="inlineStr">
        <is>
          <t>JÄMTLANDS LÄN</t>
        </is>
      </c>
      <c r="E1379" t="inlineStr">
        <is>
          <t>RAGUNDA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2240-2024</t>
        </is>
      </c>
      <c r="B1380" s="1" t="n">
        <v>45309</v>
      </c>
      <c r="C1380" s="1" t="n">
        <v>45712</v>
      </c>
      <c r="D1380" t="inlineStr">
        <is>
          <t>JÄMTLANDS LÄN</t>
        </is>
      </c>
      <c r="E1380" t="inlineStr">
        <is>
          <t>RAGUNDA</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2244-2024</t>
        </is>
      </c>
      <c r="B1381" s="1" t="n">
        <v>45309</v>
      </c>
      <c r="C1381" s="1" t="n">
        <v>45712</v>
      </c>
      <c r="D1381" t="inlineStr">
        <is>
          <t>JÄMTLANDS LÄN</t>
        </is>
      </c>
      <c r="E1381" t="inlineStr">
        <is>
          <t>RAGUNDA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2243-2024</t>
        </is>
      </c>
      <c r="B1382" s="1" t="n">
        <v>45309</v>
      </c>
      <c r="C1382" s="1" t="n">
        <v>45712</v>
      </c>
      <c r="D1382" t="inlineStr">
        <is>
          <t>JÄMTLANDS LÄN</t>
        </is>
      </c>
      <c r="E1382" t="inlineStr">
        <is>
          <t>RAGUNDA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2424-2024</t>
        </is>
      </c>
      <c r="B1383" s="1" t="n">
        <v>45310</v>
      </c>
      <c r="C1383" s="1" t="n">
        <v>45712</v>
      </c>
      <c r="D1383" t="inlineStr">
        <is>
          <t>JÄMTLANDS LÄN</t>
        </is>
      </c>
      <c r="E1383" t="inlineStr">
        <is>
          <t>RAGUNDA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2629-2024</t>
        </is>
      </c>
      <c r="B1384" s="1" t="n">
        <v>45313</v>
      </c>
      <c r="C1384" s="1" t="n">
        <v>45712</v>
      </c>
      <c r="D1384" t="inlineStr">
        <is>
          <t>JÄMTLANDS LÄN</t>
        </is>
      </c>
      <c r="E1384" t="inlineStr">
        <is>
          <t>RAGUNDA</t>
        </is>
      </c>
      <c r="F1384" t="inlineStr">
        <is>
          <t>SCA</t>
        </is>
      </c>
      <c r="G1384" t="n">
        <v>40.9</v>
      </c>
      <c r="H1384" t="n">
        <v>0</v>
      </c>
      <c r="I1384" t="n">
        <v>0</v>
      </c>
      <c r="J1384" t="n">
        <v>0</v>
      </c>
      <c r="K1384" t="n">
        <v>0</v>
      </c>
      <c r="L1384" t="n">
        <v>0</v>
      </c>
      <c r="M1384" t="n">
        <v>0</v>
      </c>
      <c r="N1384" t="n">
        <v>0</v>
      </c>
      <c r="O1384" t="n">
        <v>0</v>
      </c>
      <c r="P1384" t="n">
        <v>0</v>
      </c>
      <c r="Q1384" t="n">
        <v>0</v>
      </c>
      <c r="R1384" s="2" t="inlineStr"/>
    </row>
    <row r="1385" ht="15" customHeight="1">
      <c r="A1385" t="inlineStr">
        <is>
          <t>A 2630-2024</t>
        </is>
      </c>
      <c r="B1385" s="1" t="n">
        <v>45313</v>
      </c>
      <c r="C1385" s="1" t="n">
        <v>45712</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2673-2024</t>
        </is>
      </c>
      <c r="B1386" s="1" t="n">
        <v>45314</v>
      </c>
      <c r="C1386" s="1" t="n">
        <v>45712</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2751-2024</t>
        </is>
      </c>
      <c r="B1387" s="1" t="n">
        <v>45314</v>
      </c>
      <c r="C1387" s="1" t="n">
        <v>45712</v>
      </c>
      <c r="D1387" t="inlineStr">
        <is>
          <t>JÄMTLANDS LÄN</t>
        </is>
      </c>
      <c r="E1387" t="inlineStr">
        <is>
          <t>RAGUNDA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2678-2024</t>
        </is>
      </c>
      <c r="B1388" s="1" t="n">
        <v>45314</v>
      </c>
      <c r="C1388" s="1" t="n">
        <v>45712</v>
      </c>
      <c r="D1388" t="inlineStr">
        <is>
          <t>JÄMTLANDS LÄN</t>
        </is>
      </c>
      <c r="E1388" t="inlineStr">
        <is>
          <t>RAGUNDA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2834-2024</t>
        </is>
      </c>
      <c r="B1389" s="1" t="n">
        <v>45314</v>
      </c>
      <c r="C1389" s="1" t="n">
        <v>45712</v>
      </c>
      <c r="D1389" t="inlineStr">
        <is>
          <t>JÄMTLANDS LÄN</t>
        </is>
      </c>
      <c r="E1389" t="inlineStr">
        <is>
          <t>RAGUNDA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2831-2024</t>
        </is>
      </c>
      <c r="B1390" s="1" t="n">
        <v>45314</v>
      </c>
      <c r="C1390" s="1" t="n">
        <v>45712</v>
      </c>
      <c r="D1390" t="inlineStr">
        <is>
          <t>JÄMTLANDS LÄN</t>
        </is>
      </c>
      <c r="E1390" t="inlineStr">
        <is>
          <t>RAGUNDA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3016-2024</t>
        </is>
      </c>
      <c r="B1391" s="1" t="n">
        <v>45315</v>
      </c>
      <c r="C1391" s="1" t="n">
        <v>45712</v>
      </c>
      <c r="D1391" t="inlineStr">
        <is>
          <t>JÄMTLANDS LÄN</t>
        </is>
      </c>
      <c r="E1391" t="inlineStr">
        <is>
          <t>RAGUNDA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3018-2024</t>
        </is>
      </c>
      <c r="B1392" s="1" t="n">
        <v>45315</v>
      </c>
      <c r="C1392" s="1" t="n">
        <v>45712</v>
      </c>
      <c r="D1392" t="inlineStr">
        <is>
          <t>JÄMTLANDS LÄN</t>
        </is>
      </c>
      <c r="E1392" t="inlineStr">
        <is>
          <t>RAGUNDA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3240-2024</t>
        </is>
      </c>
      <c r="B1393" s="1" t="n">
        <v>45316</v>
      </c>
      <c r="C1393" s="1" t="n">
        <v>45712</v>
      </c>
      <c r="D1393" t="inlineStr">
        <is>
          <t>JÄMTLANDS LÄN</t>
        </is>
      </c>
      <c r="E1393" t="inlineStr">
        <is>
          <t>RAGUNDA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3635-2024</t>
        </is>
      </c>
      <c r="B1394" s="1" t="n">
        <v>45320</v>
      </c>
      <c r="C1394" s="1" t="n">
        <v>45712</v>
      </c>
      <c r="D1394" t="inlineStr">
        <is>
          <t>JÄMTLANDS LÄN</t>
        </is>
      </c>
      <c r="E1394" t="inlineStr">
        <is>
          <t>RAGUNDA</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3938-2024</t>
        </is>
      </c>
      <c r="B1395" s="1" t="n">
        <v>45322</v>
      </c>
      <c r="C1395" s="1" t="n">
        <v>45712</v>
      </c>
      <c r="D1395" t="inlineStr">
        <is>
          <t>JÄMTLANDS LÄN</t>
        </is>
      </c>
      <c r="E1395" t="inlineStr">
        <is>
          <t>RAGUNDA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3992-2024</t>
        </is>
      </c>
      <c r="B1396" s="1" t="n">
        <v>45322</v>
      </c>
      <c r="C1396" s="1" t="n">
        <v>45712</v>
      </c>
      <c r="D1396" t="inlineStr">
        <is>
          <t>JÄMTLANDS LÄN</t>
        </is>
      </c>
      <c r="E1396" t="inlineStr">
        <is>
          <t>RAGUNDA</t>
        </is>
      </c>
      <c r="F1396" t="inlineStr">
        <is>
          <t>SCA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4125-2024</t>
        </is>
      </c>
      <c r="B1397" s="1" t="n">
        <v>45323</v>
      </c>
      <c r="C1397" s="1" t="n">
        <v>45712</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4212-2024</t>
        </is>
      </c>
      <c r="B1398" s="1" t="n">
        <v>45324</v>
      </c>
      <c r="C1398" s="1" t="n">
        <v>45712</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4249-2024</t>
        </is>
      </c>
      <c r="B1399" s="1" t="n">
        <v>45324</v>
      </c>
      <c r="C1399" s="1" t="n">
        <v>45712</v>
      </c>
      <c r="D1399" t="inlineStr">
        <is>
          <t>JÄMTLANDS LÄN</t>
        </is>
      </c>
      <c r="E1399" t="inlineStr">
        <is>
          <t>RAGUNDA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4594-2024</t>
        </is>
      </c>
      <c r="B1400" s="1" t="n">
        <v>45327</v>
      </c>
      <c r="C1400" s="1" t="n">
        <v>45712</v>
      </c>
      <c r="D1400" t="inlineStr">
        <is>
          <t>JÄMTLANDS LÄN</t>
        </is>
      </c>
      <c r="E1400" t="inlineStr">
        <is>
          <t>RAGUNDA</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4592-2024</t>
        </is>
      </c>
      <c r="B1401" s="1" t="n">
        <v>45327</v>
      </c>
      <c r="C1401" s="1" t="n">
        <v>45712</v>
      </c>
      <c r="D1401" t="inlineStr">
        <is>
          <t>JÄMTLANDS LÄN</t>
        </is>
      </c>
      <c r="E1401" t="inlineStr">
        <is>
          <t>RAGUNDA</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4591-2024</t>
        </is>
      </c>
      <c r="B1402" s="1" t="n">
        <v>45327</v>
      </c>
      <c r="C1402" s="1" t="n">
        <v>45712</v>
      </c>
      <c r="D1402" t="inlineStr">
        <is>
          <t>JÄMTLANDS LÄN</t>
        </is>
      </c>
      <c r="E1402" t="inlineStr">
        <is>
          <t>RAGUNDA</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4820-2024</t>
        </is>
      </c>
      <c r="B1403" s="1" t="n">
        <v>45328</v>
      </c>
      <c r="C1403" s="1" t="n">
        <v>45712</v>
      </c>
      <c r="D1403" t="inlineStr">
        <is>
          <t>JÄMTLANDS LÄN</t>
        </is>
      </c>
      <c r="E1403" t="inlineStr">
        <is>
          <t>RAGUNDA</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4822-2024</t>
        </is>
      </c>
      <c r="B1404" s="1" t="n">
        <v>45328</v>
      </c>
      <c r="C1404" s="1" t="n">
        <v>45712</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4811-2024</t>
        </is>
      </c>
      <c r="B1405" s="1" t="n">
        <v>45328</v>
      </c>
      <c r="C1405" s="1" t="n">
        <v>45712</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4936-2024</t>
        </is>
      </c>
      <c r="B1406" s="1" t="n">
        <v>45329</v>
      </c>
      <c r="C1406" s="1" t="n">
        <v>45712</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5067-2024</t>
        </is>
      </c>
      <c r="B1407" s="1" t="n">
        <v>45329</v>
      </c>
      <c r="C1407" s="1" t="n">
        <v>45712</v>
      </c>
      <c r="D1407" t="inlineStr">
        <is>
          <t>JÄMTLANDS LÄN</t>
        </is>
      </c>
      <c r="E1407" t="inlineStr">
        <is>
          <t>RAGUNDA</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5250-2024</t>
        </is>
      </c>
      <c r="B1408" s="1" t="n">
        <v>45330</v>
      </c>
      <c r="C1408" s="1" t="n">
        <v>45712</v>
      </c>
      <c r="D1408" t="inlineStr">
        <is>
          <t>JÄMTLANDS LÄN</t>
        </is>
      </c>
      <c r="E1408" t="inlineStr">
        <is>
          <t>RAGUNDA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5263-2024</t>
        </is>
      </c>
      <c r="B1409" s="1" t="n">
        <v>45331</v>
      </c>
      <c r="C1409" s="1" t="n">
        <v>45712</v>
      </c>
      <c r="D1409" t="inlineStr">
        <is>
          <t>JÄMTLANDS LÄN</t>
        </is>
      </c>
      <c r="E1409" t="inlineStr">
        <is>
          <t>RAGUNDA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5429-2024</t>
        </is>
      </c>
      <c r="B1410" s="1" t="n">
        <v>45331</v>
      </c>
      <c r="C1410" s="1" t="n">
        <v>45712</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6267-2024</t>
        </is>
      </c>
      <c r="B1411" s="1" t="n">
        <v>45337</v>
      </c>
      <c r="C1411" s="1" t="n">
        <v>45712</v>
      </c>
      <c r="D1411" t="inlineStr">
        <is>
          <t>JÄMTLANDS LÄN</t>
        </is>
      </c>
      <c r="E1411" t="inlineStr">
        <is>
          <t>RAGUNDA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6477-2024</t>
        </is>
      </c>
      <c r="B1412" s="1" t="n">
        <v>45338</v>
      </c>
      <c r="C1412" s="1" t="n">
        <v>45712</v>
      </c>
      <c r="D1412" t="inlineStr">
        <is>
          <t>JÄMTLANDS LÄN</t>
        </is>
      </c>
      <c r="E1412" t="inlineStr">
        <is>
          <t>RAGUNDA</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6687-2024</t>
        </is>
      </c>
      <c r="B1413" s="1" t="n">
        <v>45341</v>
      </c>
      <c r="C1413" s="1" t="n">
        <v>45712</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6694-2024</t>
        </is>
      </c>
      <c r="B1414" s="1" t="n">
        <v>45341</v>
      </c>
      <c r="C1414" s="1" t="n">
        <v>45712</v>
      </c>
      <c r="D1414" t="inlineStr">
        <is>
          <t>JÄMTLANDS LÄN</t>
        </is>
      </c>
      <c r="E1414" t="inlineStr">
        <is>
          <t>RAGUNDA</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6688-2024</t>
        </is>
      </c>
      <c r="B1415" s="1" t="n">
        <v>45341</v>
      </c>
      <c r="C1415" s="1" t="n">
        <v>45712</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6736-2024</t>
        </is>
      </c>
      <c r="B1416" s="1" t="n">
        <v>45342</v>
      </c>
      <c r="C1416" s="1" t="n">
        <v>45712</v>
      </c>
      <c r="D1416" t="inlineStr">
        <is>
          <t>JÄMTLANDS LÄN</t>
        </is>
      </c>
      <c r="E1416" t="inlineStr">
        <is>
          <t>RAGUNDA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6902-2024</t>
        </is>
      </c>
      <c r="B1417" s="1" t="n">
        <v>45342</v>
      </c>
      <c r="C1417" s="1" t="n">
        <v>45712</v>
      </c>
      <c r="D1417" t="inlineStr">
        <is>
          <t>JÄMTLANDS LÄN</t>
        </is>
      </c>
      <c r="E1417" t="inlineStr">
        <is>
          <t>RAGUNDA</t>
        </is>
      </c>
      <c r="F1417" t="inlineStr">
        <is>
          <t>SCA</t>
        </is>
      </c>
      <c r="G1417" t="n">
        <v>18.7</v>
      </c>
      <c r="H1417" t="n">
        <v>0</v>
      </c>
      <c r="I1417" t="n">
        <v>0</v>
      </c>
      <c r="J1417" t="n">
        <v>0</v>
      </c>
      <c r="K1417" t="n">
        <v>0</v>
      </c>
      <c r="L1417" t="n">
        <v>0</v>
      </c>
      <c r="M1417" t="n">
        <v>0</v>
      </c>
      <c r="N1417" t="n">
        <v>0</v>
      </c>
      <c r="O1417" t="n">
        <v>0</v>
      </c>
      <c r="P1417" t="n">
        <v>0</v>
      </c>
      <c r="Q1417" t="n">
        <v>0</v>
      </c>
      <c r="R1417" s="2" t="inlineStr"/>
    </row>
    <row r="1418" ht="15" customHeight="1">
      <c r="A1418" t="inlineStr">
        <is>
          <t>A 6905-2024</t>
        </is>
      </c>
      <c r="B1418" s="1" t="n">
        <v>45342</v>
      </c>
      <c r="C1418" s="1" t="n">
        <v>45712</v>
      </c>
      <c r="D1418" t="inlineStr">
        <is>
          <t>JÄMTLANDS LÄN</t>
        </is>
      </c>
      <c r="E1418" t="inlineStr">
        <is>
          <t>RAGUNDA</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6929-2024</t>
        </is>
      </c>
      <c r="B1419" s="1" t="n">
        <v>45343</v>
      </c>
      <c r="C1419" s="1" t="n">
        <v>45712</v>
      </c>
      <c r="D1419" t="inlineStr">
        <is>
          <t>JÄMTLANDS LÄN</t>
        </is>
      </c>
      <c r="E1419" t="inlineStr">
        <is>
          <t>RAGUNDA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7279-2024</t>
        </is>
      </c>
      <c r="B1420" s="1" t="n">
        <v>45344</v>
      </c>
      <c r="C1420" s="1" t="n">
        <v>45712</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7281-2024</t>
        </is>
      </c>
      <c r="B1421" s="1" t="n">
        <v>45344</v>
      </c>
      <c r="C1421" s="1" t="n">
        <v>45712</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7285-2024</t>
        </is>
      </c>
      <c r="B1422" s="1" t="n">
        <v>45344</v>
      </c>
      <c r="C1422" s="1" t="n">
        <v>45712</v>
      </c>
      <c r="D1422" t="inlineStr">
        <is>
          <t>JÄMTLANDS LÄN</t>
        </is>
      </c>
      <c r="E1422" t="inlineStr">
        <is>
          <t>RAGUNDA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7280-2024</t>
        </is>
      </c>
      <c r="B1423" s="1" t="n">
        <v>45344</v>
      </c>
      <c r="C1423" s="1" t="n">
        <v>45712</v>
      </c>
      <c r="D1423" t="inlineStr">
        <is>
          <t>JÄMTLANDS LÄN</t>
        </is>
      </c>
      <c r="E1423" t="inlineStr">
        <is>
          <t>RAGUNDA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7284-2024</t>
        </is>
      </c>
      <c r="B1424" s="1" t="n">
        <v>45344</v>
      </c>
      <c r="C1424" s="1" t="n">
        <v>45712</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7850-2024</t>
        </is>
      </c>
      <c r="B1425" s="1" t="n">
        <v>45350</v>
      </c>
      <c r="C1425" s="1" t="n">
        <v>45712</v>
      </c>
      <c r="D1425" t="inlineStr">
        <is>
          <t>JÄMTLANDS LÄN</t>
        </is>
      </c>
      <c r="E1425" t="inlineStr">
        <is>
          <t>RAGUNDA</t>
        </is>
      </c>
      <c r="F1425" t="inlineStr">
        <is>
          <t>SCA</t>
        </is>
      </c>
      <c r="G1425" t="n">
        <v>27.8</v>
      </c>
      <c r="H1425" t="n">
        <v>0</v>
      </c>
      <c r="I1425" t="n">
        <v>0</v>
      </c>
      <c r="J1425" t="n">
        <v>0</v>
      </c>
      <c r="K1425" t="n">
        <v>0</v>
      </c>
      <c r="L1425" t="n">
        <v>0</v>
      </c>
      <c r="M1425" t="n">
        <v>0</v>
      </c>
      <c r="N1425" t="n">
        <v>0</v>
      </c>
      <c r="O1425" t="n">
        <v>0</v>
      </c>
      <c r="P1425" t="n">
        <v>0</v>
      </c>
      <c r="Q1425" t="n">
        <v>0</v>
      </c>
      <c r="R1425" s="2" t="inlineStr"/>
    </row>
    <row r="1426" ht="15" customHeight="1">
      <c r="A1426" t="inlineStr">
        <is>
          <t>A 7855-2024</t>
        </is>
      </c>
      <c r="B1426" s="1" t="n">
        <v>45350</v>
      </c>
      <c r="C1426" s="1" t="n">
        <v>45712</v>
      </c>
      <c r="D1426" t="inlineStr">
        <is>
          <t>JÄMTLANDS LÄN</t>
        </is>
      </c>
      <c r="E1426" t="inlineStr">
        <is>
          <t>RAGUNDA</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8241-2024</t>
        </is>
      </c>
      <c r="B1427" s="1" t="n">
        <v>45352</v>
      </c>
      <c r="C1427" s="1" t="n">
        <v>45712</v>
      </c>
      <c r="D1427" t="inlineStr">
        <is>
          <t>JÄMTLANDS LÄN</t>
        </is>
      </c>
      <c r="E1427" t="inlineStr">
        <is>
          <t>RAGUNDA</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8243-2024</t>
        </is>
      </c>
      <c r="B1428" s="1" t="n">
        <v>45352</v>
      </c>
      <c r="C1428" s="1" t="n">
        <v>45712</v>
      </c>
      <c r="D1428" t="inlineStr">
        <is>
          <t>JÄMTLANDS LÄN</t>
        </is>
      </c>
      <c r="E1428" t="inlineStr">
        <is>
          <t>RAGUNDA</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8639-2024</t>
        </is>
      </c>
      <c r="B1429" s="1" t="n">
        <v>45356</v>
      </c>
      <c r="C1429" s="1" t="n">
        <v>45712</v>
      </c>
      <c r="D1429" t="inlineStr">
        <is>
          <t>JÄMTLANDS LÄN</t>
        </is>
      </c>
      <c r="E1429" t="inlineStr">
        <is>
          <t>RAGUNDA</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8643-2024</t>
        </is>
      </c>
      <c r="B1430" s="1" t="n">
        <v>45356</v>
      </c>
      <c r="C1430" s="1" t="n">
        <v>45712</v>
      </c>
      <c r="D1430" t="inlineStr">
        <is>
          <t>JÄMTLANDS LÄN</t>
        </is>
      </c>
      <c r="E1430" t="inlineStr">
        <is>
          <t>RAGUNDA</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8644-2024</t>
        </is>
      </c>
      <c r="B1431" s="1" t="n">
        <v>45356</v>
      </c>
      <c r="C1431" s="1" t="n">
        <v>45712</v>
      </c>
      <c r="D1431" t="inlineStr">
        <is>
          <t>JÄMTLANDS LÄN</t>
        </is>
      </c>
      <c r="E1431" t="inlineStr">
        <is>
          <t>RAGUNDA</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8642-2024</t>
        </is>
      </c>
      <c r="B1432" s="1" t="n">
        <v>45356</v>
      </c>
      <c r="C1432" s="1" t="n">
        <v>45712</v>
      </c>
      <c r="D1432" t="inlineStr">
        <is>
          <t>JÄMTLANDS LÄN</t>
        </is>
      </c>
      <c r="E1432" t="inlineStr">
        <is>
          <t>RAGUNDA</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8654-2024</t>
        </is>
      </c>
      <c r="B1433" s="1" t="n">
        <v>45356</v>
      </c>
      <c r="C1433" s="1" t="n">
        <v>45712</v>
      </c>
      <c r="D1433" t="inlineStr">
        <is>
          <t>JÄMTLANDS LÄN</t>
        </is>
      </c>
      <c r="E1433" t="inlineStr">
        <is>
          <t>RAGUNDA</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8886-2024</t>
        </is>
      </c>
      <c r="B1434" s="1" t="n">
        <v>45357</v>
      </c>
      <c r="C1434" s="1" t="n">
        <v>45712</v>
      </c>
      <c r="D1434" t="inlineStr">
        <is>
          <t>JÄMTLANDS LÄN</t>
        </is>
      </c>
      <c r="E1434" t="inlineStr">
        <is>
          <t>RAGUNDA</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9326-2024</t>
        </is>
      </c>
      <c r="B1435" s="1" t="n">
        <v>45358</v>
      </c>
      <c r="C1435" s="1" t="n">
        <v>45712</v>
      </c>
      <c r="D1435" t="inlineStr">
        <is>
          <t>JÄMTLANDS LÄN</t>
        </is>
      </c>
      <c r="E1435" t="inlineStr">
        <is>
          <t>RAGUNDA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9325-2024</t>
        </is>
      </c>
      <c r="B1436" s="1" t="n">
        <v>45358</v>
      </c>
      <c r="C1436" s="1" t="n">
        <v>45712</v>
      </c>
      <c r="D1436" t="inlineStr">
        <is>
          <t>JÄMTLANDS LÄN</t>
        </is>
      </c>
      <c r="E1436" t="inlineStr">
        <is>
          <t>RAGUNDA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9560-2024</t>
        </is>
      </c>
      <c r="B1437" s="1" t="n">
        <v>45360</v>
      </c>
      <c r="C1437" s="1" t="n">
        <v>45712</v>
      </c>
      <c r="D1437" t="inlineStr">
        <is>
          <t>JÄMTLANDS LÄN</t>
        </is>
      </c>
      <c r="E1437" t="inlineStr">
        <is>
          <t>RAGUNDA</t>
        </is>
      </c>
      <c r="F1437" t="inlineStr">
        <is>
          <t>SCA</t>
        </is>
      </c>
      <c r="G1437" t="n">
        <v>21.7</v>
      </c>
      <c r="H1437" t="n">
        <v>0</v>
      </c>
      <c r="I1437" t="n">
        <v>0</v>
      </c>
      <c r="J1437" t="n">
        <v>0</v>
      </c>
      <c r="K1437" t="n">
        <v>0</v>
      </c>
      <c r="L1437" t="n">
        <v>0</v>
      </c>
      <c r="M1437" t="n">
        <v>0</v>
      </c>
      <c r="N1437" t="n">
        <v>0</v>
      </c>
      <c r="O1437" t="n">
        <v>0</v>
      </c>
      <c r="P1437" t="n">
        <v>0</v>
      </c>
      <c r="Q1437" t="n">
        <v>0</v>
      </c>
      <c r="R1437" s="2" t="inlineStr"/>
    </row>
    <row r="1438" ht="15" customHeight="1">
      <c r="A1438" t="inlineStr">
        <is>
          <t>A 10196-2024</t>
        </is>
      </c>
      <c r="B1438" s="1" t="n">
        <v>45364</v>
      </c>
      <c r="C1438" s="1" t="n">
        <v>45712</v>
      </c>
      <c r="D1438" t="inlineStr">
        <is>
          <t>JÄMTLANDS LÄN</t>
        </is>
      </c>
      <c r="E1438" t="inlineStr">
        <is>
          <t>RAGUNDA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10197-2024</t>
        </is>
      </c>
      <c r="B1439" s="1" t="n">
        <v>45364</v>
      </c>
      <c r="C1439" s="1" t="n">
        <v>45712</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10205-2024</t>
        </is>
      </c>
      <c r="B1440" s="1" t="n">
        <v>45364</v>
      </c>
      <c r="C1440" s="1" t="n">
        <v>45712</v>
      </c>
      <c r="D1440" t="inlineStr">
        <is>
          <t>JÄMTLANDS LÄN</t>
        </is>
      </c>
      <c r="E1440" t="inlineStr">
        <is>
          <t>RAGUNDA</t>
        </is>
      </c>
      <c r="G1440" t="n">
        <v>25.3</v>
      </c>
      <c r="H1440" t="n">
        <v>0</v>
      </c>
      <c r="I1440" t="n">
        <v>0</v>
      </c>
      <c r="J1440" t="n">
        <v>0</v>
      </c>
      <c r="K1440" t="n">
        <v>0</v>
      </c>
      <c r="L1440" t="n">
        <v>0</v>
      </c>
      <c r="M1440" t="n">
        <v>0</v>
      </c>
      <c r="N1440" t="n">
        <v>0</v>
      </c>
      <c r="O1440" t="n">
        <v>0</v>
      </c>
      <c r="P1440" t="n">
        <v>0</v>
      </c>
      <c r="Q1440" t="n">
        <v>0</v>
      </c>
      <c r="R1440" s="2" t="inlineStr"/>
    </row>
    <row r="1441" ht="15" customHeight="1">
      <c r="A1441" t="inlineStr">
        <is>
          <t>A 10194-2024</t>
        </is>
      </c>
      <c r="B1441" s="1" t="n">
        <v>45364</v>
      </c>
      <c r="C1441" s="1" t="n">
        <v>45712</v>
      </c>
      <c r="D1441" t="inlineStr">
        <is>
          <t>JÄMTLANDS LÄN</t>
        </is>
      </c>
      <c r="E1441" t="inlineStr">
        <is>
          <t>RAGUNDA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10217-2024</t>
        </is>
      </c>
      <c r="B1442" s="1" t="n">
        <v>45364</v>
      </c>
      <c r="C1442" s="1" t="n">
        <v>45712</v>
      </c>
      <c r="D1442" t="inlineStr">
        <is>
          <t>JÄMTLANDS LÄN</t>
        </is>
      </c>
      <c r="E1442" t="inlineStr">
        <is>
          <t>RAGUNDA</t>
        </is>
      </c>
      <c r="F1442" t="inlineStr">
        <is>
          <t>SCA</t>
        </is>
      </c>
      <c r="G1442" t="n">
        <v>4.6</v>
      </c>
      <c r="H1442" t="n">
        <v>0</v>
      </c>
      <c r="I1442" t="n">
        <v>0</v>
      </c>
      <c r="J1442" t="n">
        <v>0</v>
      </c>
      <c r="K1442" t="n">
        <v>0</v>
      </c>
      <c r="L1442" t="n">
        <v>0</v>
      </c>
      <c r="M1442" t="n">
        <v>0</v>
      </c>
      <c r="N1442" t="n">
        <v>0</v>
      </c>
      <c r="O1442" t="n">
        <v>0</v>
      </c>
      <c r="P1442" t="n">
        <v>0</v>
      </c>
      <c r="Q1442" t="n">
        <v>0</v>
      </c>
      <c r="R1442" s="2" t="inlineStr"/>
      <c r="U1442">
        <f>HYPERLINK("https://klasma.github.io/Logging_2303/knärot/A 10217-2024 karta knärot.png", "A 10217-2024")</f>
        <v/>
      </c>
      <c r="V1442">
        <f>HYPERLINK("https://klasma.github.io/Logging_2303/klagomål/A 10217-2024 FSC-klagomål.docx", "A 10217-2024")</f>
        <v/>
      </c>
      <c r="W1442">
        <f>HYPERLINK("https://klasma.github.io/Logging_2303/klagomålsmail/A 10217-2024 FSC-klagomål mail.docx", "A 10217-2024")</f>
        <v/>
      </c>
      <c r="X1442">
        <f>HYPERLINK("https://klasma.github.io/Logging_2303/tillsyn/A 10217-2024 tillsynsbegäran.docx", "A 10217-2024")</f>
        <v/>
      </c>
      <c r="Y1442">
        <f>HYPERLINK("https://klasma.github.io/Logging_2303/tillsynsmail/A 10217-2024 tillsynsbegäran mail.docx", "A 10217-2024")</f>
        <v/>
      </c>
    </row>
    <row r="1443" ht="15" customHeight="1">
      <c r="A1443" t="inlineStr">
        <is>
          <t>A 10644-2024</t>
        </is>
      </c>
      <c r="B1443" s="1" t="n">
        <v>45367</v>
      </c>
      <c r="C1443" s="1" t="n">
        <v>45712</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10639-2024</t>
        </is>
      </c>
      <c r="B1444" s="1" t="n">
        <v>45367</v>
      </c>
      <c r="C1444" s="1" t="n">
        <v>45712</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10610-2024</t>
        </is>
      </c>
      <c r="B1445" s="1" t="n">
        <v>45367</v>
      </c>
      <c r="C1445" s="1" t="n">
        <v>45712</v>
      </c>
      <c r="D1445" t="inlineStr">
        <is>
          <t>JÄMTLANDS LÄN</t>
        </is>
      </c>
      <c r="E1445" t="inlineStr">
        <is>
          <t>RAGUNDA</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10614-2024</t>
        </is>
      </c>
      <c r="B1446" s="1" t="n">
        <v>45367</v>
      </c>
      <c r="C1446" s="1" t="n">
        <v>45712</v>
      </c>
      <c r="D1446" t="inlineStr">
        <is>
          <t>JÄMTLANDS LÄN</t>
        </is>
      </c>
      <c r="E1446" t="inlineStr">
        <is>
          <t>RAGUNDA</t>
        </is>
      </c>
      <c r="F1446" t="inlineStr">
        <is>
          <t>SCA</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10609-2024</t>
        </is>
      </c>
      <c r="B1447" s="1" t="n">
        <v>45367</v>
      </c>
      <c r="C1447" s="1" t="n">
        <v>45712</v>
      </c>
      <c r="D1447" t="inlineStr">
        <is>
          <t>JÄMTLANDS LÄN</t>
        </is>
      </c>
      <c r="E1447" t="inlineStr">
        <is>
          <t>RAGUNDA</t>
        </is>
      </c>
      <c r="F1447" t="inlineStr">
        <is>
          <t>SCA</t>
        </is>
      </c>
      <c r="G1447" t="n">
        <v>20.3</v>
      </c>
      <c r="H1447" t="n">
        <v>0</v>
      </c>
      <c r="I1447" t="n">
        <v>0</v>
      </c>
      <c r="J1447" t="n">
        <v>0</v>
      </c>
      <c r="K1447" t="n">
        <v>0</v>
      </c>
      <c r="L1447" t="n">
        <v>0</v>
      </c>
      <c r="M1447" t="n">
        <v>0</v>
      </c>
      <c r="N1447" t="n">
        <v>0</v>
      </c>
      <c r="O1447" t="n">
        <v>0</v>
      </c>
      <c r="P1447" t="n">
        <v>0</v>
      </c>
      <c r="Q1447" t="n">
        <v>0</v>
      </c>
      <c r="R1447" s="2" t="inlineStr"/>
    </row>
    <row r="1448" ht="15" customHeight="1">
      <c r="A1448" t="inlineStr">
        <is>
          <t>A 10613-2024</t>
        </is>
      </c>
      <c r="B1448" s="1" t="n">
        <v>45367</v>
      </c>
      <c r="C1448" s="1" t="n">
        <v>45712</v>
      </c>
      <c r="D1448" t="inlineStr">
        <is>
          <t>JÄMTLANDS LÄN</t>
        </is>
      </c>
      <c r="E1448" t="inlineStr">
        <is>
          <t>RAGUNDA</t>
        </is>
      </c>
      <c r="F1448" t="inlineStr">
        <is>
          <t>SCA</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10641-2024</t>
        </is>
      </c>
      <c r="B1449" s="1" t="n">
        <v>45367</v>
      </c>
      <c r="C1449" s="1" t="n">
        <v>45712</v>
      </c>
      <c r="D1449" t="inlineStr">
        <is>
          <t>JÄMTLANDS LÄN</t>
        </is>
      </c>
      <c r="E1449" t="inlineStr">
        <is>
          <t>RAGUNDA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10867-2024</t>
        </is>
      </c>
      <c r="B1450" s="1" t="n">
        <v>45370</v>
      </c>
      <c r="C1450" s="1" t="n">
        <v>45712</v>
      </c>
      <c r="D1450" t="inlineStr">
        <is>
          <t>JÄMTLANDS LÄN</t>
        </is>
      </c>
      <c r="E1450" t="inlineStr">
        <is>
          <t>RAGUNDA</t>
        </is>
      </c>
      <c r="F1450" t="inlineStr">
        <is>
          <t>SCA</t>
        </is>
      </c>
      <c r="G1450" t="n">
        <v>20.8</v>
      </c>
      <c r="H1450" t="n">
        <v>0</v>
      </c>
      <c r="I1450" t="n">
        <v>0</v>
      </c>
      <c r="J1450" t="n">
        <v>0</v>
      </c>
      <c r="K1450" t="n">
        <v>0</v>
      </c>
      <c r="L1450" t="n">
        <v>0</v>
      </c>
      <c r="M1450" t="n">
        <v>0</v>
      </c>
      <c r="N1450" t="n">
        <v>0</v>
      </c>
      <c r="O1450" t="n">
        <v>0</v>
      </c>
      <c r="P1450" t="n">
        <v>0</v>
      </c>
      <c r="Q1450" t="n">
        <v>0</v>
      </c>
      <c r="R1450" s="2" t="inlineStr"/>
    </row>
    <row r="1451" ht="15" customHeight="1">
      <c r="A1451" t="inlineStr">
        <is>
          <t>A 10920-2024</t>
        </is>
      </c>
      <c r="B1451" s="1" t="n">
        <v>45370</v>
      </c>
      <c r="C1451" s="1" t="n">
        <v>45712</v>
      </c>
      <c r="D1451" t="inlineStr">
        <is>
          <t>JÄMTLANDS LÄN</t>
        </is>
      </c>
      <c r="E1451" t="inlineStr">
        <is>
          <t>RAGUNDA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11547-2024</t>
        </is>
      </c>
      <c r="B1452" s="1" t="n">
        <v>45372</v>
      </c>
      <c r="C1452" s="1" t="n">
        <v>45712</v>
      </c>
      <c r="D1452" t="inlineStr">
        <is>
          <t>JÄMTLANDS LÄN</t>
        </is>
      </c>
      <c r="E1452" t="inlineStr">
        <is>
          <t>RAGUNDA</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11551-2024</t>
        </is>
      </c>
      <c r="B1453" s="1" t="n">
        <v>45372</v>
      </c>
      <c r="C1453" s="1" t="n">
        <v>45712</v>
      </c>
      <c r="D1453" t="inlineStr">
        <is>
          <t>JÄMTLANDS LÄN</t>
        </is>
      </c>
      <c r="E1453" t="inlineStr">
        <is>
          <t>RAGUNDA</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11550-2024</t>
        </is>
      </c>
      <c r="B1454" s="1" t="n">
        <v>45372</v>
      </c>
      <c r="C1454" s="1" t="n">
        <v>45712</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11541-2024</t>
        </is>
      </c>
      <c r="B1455" s="1" t="n">
        <v>45372</v>
      </c>
      <c r="C1455" s="1" t="n">
        <v>45712</v>
      </c>
      <c r="D1455" t="inlineStr">
        <is>
          <t>JÄMTLANDS LÄN</t>
        </is>
      </c>
      <c r="E1455" t="inlineStr">
        <is>
          <t>RAGUNDA</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11780-2024</t>
        </is>
      </c>
      <c r="B1456" s="1" t="n">
        <v>45374</v>
      </c>
      <c r="C1456" s="1" t="n">
        <v>45712</v>
      </c>
      <c r="D1456" t="inlineStr">
        <is>
          <t>JÄMTLANDS LÄN</t>
        </is>
      </c>
      <c r="E1456" t="inlineStr">
        <is>
          <t>RAGUNDA</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11990-2024</t>
        </is>
      </c>
      <c r="B1457" s="1" t="n">
        <v>45376</v>
      </c>
      <c r="C1457" s="1" t="n">
        <v>45712</v>
      </c>
      <c r="D1457" t="inlineStr">
        <is>
          <t>JÄMTLANDS LÄN</t>
        </is>
      </c>
      <c r="E1457" t="inlineStr">
        <is>
          <t>RAGUNDA</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12201-2024</t>
        </is>
      </c>
      <c r="B1458" s="1" t="n">
        <v>45377</v>
      </c>
      <c r="C1458" s="1" t="n">
        <v>45712</v>
      </c>
      <c r="D1458" t="inlineStr">
        <is>
          <t>JÄMTLANDS LÄN</t>
        </is>
      </c>
      <c r="E1458" t="inlineStr">
        <is>
          <t>RAGUNDA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12362-2024</t>
        </is>
      </c>
      <c r="B1459" s="1" t="n">
        <v>45378</v>
      </c>
      <c r="C1459" s="1" t="n">
        <v>45712</v>
      </c>
      <c r="D1459" t="inlineStr">
        <is>
          <t>JÄMTLANDS LÄN</t>
        </is>
      </c>
      <c r="E1459" t="inlineStr">
        <is>
          <t>RAGUNDA</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12585-2024</t>
        </is>
      </c>
      <c r="B1460" s="1" t="n">
        <v>45379</v>
      </c>
      <c r="C1460" s="1" t="n">
        <v>45712</v>
      </c>
      <c r="D1460" t="inlineStr">
        <is>
          <t>JÄMTLANDS LÄN</t>
        </is>
      </c>
      <c r="E1460" t="inlineStr">
        <is>
          <t>RAGUNDA</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12653-2024</t>
        </is>
      </c>
      <c r="B1461" s="1" t="n">
        <v>45384</v>
      </c>
      <c r="C1461" s="1" t="n">
        <v>45712</v>
      </c>
      <c r="D1461" t="inlineStr">
        <is>
          <t>JÄMTLANDS LÄN</t>
        </is>
      </c>
      <c r="E1461" t="inlineStr">
        <is>
          <t>RAGUNDA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12660-2024</t>
        </is>
      </c>
      <c r="B1462" s="1" t="n">
        <v>45384</v>
      </c>
      <c r="C1462" s="1" t="n">
        <v>45712</v>
      </c>
      <c r="D1462" t="inlineStr">
        <is>
          <t>JÄMTLANDS LÄN</t>
        </is>
      </c>
      <c r="E1462" t="inlineStr">
        <is>
          <t>RAGUNDA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12867-2024</t>
        </is>
      </c>
      <c r="B1463" s="1" t="n">
        <v>45385</v>
      </c>
      <c r="C1463" s="1" t="n">
        <v>45712</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12868-2024</t>
        </is>
      </c>
      <c r="B1464" s="1" t="n">
        <v>45385</v>
      </c>
      <c r="C1464" s="1" t="n">
        <v>45712</v>
      </c>
      <c r="D1464" t="inlineStr">
        <is>
          <t>JÄMTLANDS LÄN</t>
        </is>
      </c>
      <c r="E1464" t="inlineStr">
        <is>
          <t>RAGUNDA</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13299-2024</t>
        </is>
      </c>
      <c r="B1465" s="1" t="n">
        <v>45386</v>
      </c>
      <c r="C1465" s="1" t="n">
        <v>45712</v>
      </c>
      <c r="D1465" t="inlineStr">
        <is>
          <t>JÄMTLANDS LÄN</t>
        </is>
      </c>
      <c r="E1465" t="inlineStr">
        <is>
          <t>RAGUNDA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13335-2024</t>
        </is>
      </c>
      <c r="B1466" s="1" t="n">
        <v>45387</v>
      </c>
      <c r="C1466" s="1" t="n">
        <v>45712</v>
      </c>
      <c r="D1466" t="inlineStr">
        <is>
          <t>JÄMTLANDS LÄN</t>
        </is>
      </c>
      <c r="E1466" t="inlineStr">
        <is>
          <t>RAGUNDA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13336-2024</t>
        </is>
      </c>
      <c r="B1467" s="1" t="n">
        <v>45387</v>
      </c>
      <c r="C1467" s="1" t="n">
        <v>45712</v>
      </c>
      <c r="D1467" t="inlineStr">
        <is>
          <t>JÄMTLANDS LÄN</t>
        </is>
      </c>
      <c r="E1467" t="inlineStr">
        <is>
          <t>RAGUNDA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13322-2024</t>
        </is>
      </c>
      <c r="B1468" s="1" t="n">
        <v>45386</v>
      </c>
      <c r="C1468" s="1" t="n">
        <v>45712</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13334-2024</t>
        </is>
      </c>
      <c r="B1469" s="1" t="n">
        <v>45386</v>
      </c>
      <c r="C1469" s="1" t="n">
        <v>45712</v>
      </c>
      <c r="D1469" t="inlineStr">
        <is>
          <t>JÄMTLANDS LÄN</t>
        </is>
      </c>
      <c r="E1469" t="inlineStr">
        <is>
          <t>RAGUNDA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13547-2024</t>
        </is>
      </c>
      <c r="B1470" s="1" t="n">
        <v>45388</v>
      </c>
      <c r="C1470" s="1" t="n">
        <v>45712</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13628-2024</t>
        </is>
      </c>
      <c r="B1471" s="1" t="n">
        <v>45387</v>
      </c>
      <c r="C1471" s="1" t="n">
        <v>45712</v>
      </c>
      <c r="D1471" t="inlineStr">
        <is>
          <t>JÄMTLANDS LÄN</t>
        </is>
      </c>
      <c r="E1471" t="inlineStr">
        <is>
          <t>RAGUNDA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13767-2024</t>
        </is>
      </c>
      <c r="B1472" s="1" t="n">
        <v>45390</v>
      </c>
      <c r="C1472" s="1" t="n">
        <v>45712</v>
      </c>
      <c r="D1472" t="inlineStr">
        <is>
          <t>JÄMTLANDS LÄN</t>
        </is>
      </c>
      <c r="E1472" t="inlineStr">
        <is>
          <t>RAGUNDA</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13935-2024</t>
        </is>
      </c>
      <c r="B1473" s="1" t="n">
        <v>45392</v>
      </c>
      <c r="C1473" s="1" t="n">
        <v>45712</v>
      </c>
      <c r="D1473" t="inlineStr">
        <is>
          <t>JÄMTLANDS LÄN</t>
        </is>
      </c>
      <c r="E1473" t="inlineStr">
        <is>
          <t>RAGUNDA</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14156-2024</t>
        </is>
      </c>
      <c r="B1474" s="1" t="n">
        <v>45392</v>
      </c>
      <c r="C1474" s="1" t="n">
        <v>45712</v>
      </c>
      <c r="D1474" t="inlineStr">
        <is>
          <t>JÄMTLANDS LÄN</t>
        </is>
      </c>
      <c r="E1474" t="inlineStr">
        <is>
          <t>RAGUNDA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14016-2024</t>
        </is>
      </c>
      <c r="B1475" s="1" t="n">
        <v>45392</v>
      </c>
      <c r="C1475" s="1" t="n">
        <v>45712</v>
      </c>
      <c r="D1475" t="inlineStr">
        <is>
          <t>JÄMTLANDS LÄN</t>
        </is>
      </c>
      <c r="E1475" t="inlineStr">
        <is>
          <t>RAGUNDA</t>
        </is>
      </c>
      <c r="F1475" t="inlineStr">
        <is>
          <t>Kyrkan</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14151-2024</t>
        </is>
      </c>
      <c r="B1476" s="1" t="n">
        <v>45393</v>
      </c>
      <c r="C1476" s="1" t="n">
        <v>45712</v>
      </c>
      <c r="D1476" t="inlineStr">
        <is>
          <t>JÄMTLANDS LÄN</t>
        </is>
      </c>
      <c r="E1476" t="inlineStr">
        <is>
          <t>RAGUNDA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14158-2024</t>
        </is>
      </c>
      <c r="B1477" s="1" t="n">
        <v>45392</v>
      </c>
      <c r="C1477" s="1" t="n">
        <v>45712</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14157-2024</t>
        </is>
      </c>
      <c r="B1478" s="1" t="n">
        <v>45393</v>
      </c>
      <c r="C1478" s="1" t="n">
        <v>45712</v>
      </c>
      <c r="D1478" t="inlineStr">
        <is>
          <t>JÄMTLANDS LÄN</t>
        </is>
      </c>
      <c r="E1478" t="inlineStr">
        <is>
          <t>RAGUNDA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14368-2024</t>
        </is>
      </c>
      <c r="B1479" s="1" t="n">
        <v>45394</v>
      </c>
      <c r="C1479" s="1" t="n">
        <v>45712</v>
      </c>
      <c r="D1479" t="inlineStr">
        <is>
          <t>JÄMTLANDS LÄN</t>
        </is>
      </c>
      <c r="E1479" t="inlineStr">
        <is>
          <t>RAGUNDA</t>
        </is>
      </c>
      <c r="F1479" t="inlineStr">
        <is>
          <t>Naturvårdsverket</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14369-2024</t>
        </is>
      </c>
      <c r="B1480" s="1" t="n">
        <v>45394</v>
      </c>
      <c r="C1480" s="1" t="n">
        <v>45712</v>
      </c>
      <c r="D1480" t="inlineStr">
        <is>
          <t>JÄMTLANDS LÄN</t>
        </is>
      </c>
      <c r="E1480" t="inlineStr">
        <is>
          <t>RAGUNDA</t>
        </is>
      </c>
      <c r="F1480" t="inlineStr">
        <is>
          <t>Naturvårdsverket</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14566-2024</t>
        </is>
      </c>
      <c r="B1481" s="1" t="n">
        <v>45395</v>
      </c>
      <c r="C1481" s="1" t="n">
        <v>45712</v>
      </c>
      <c r="D1481" t="inlineStr">
        <is>
          <t>JÄMTLANDS LÄN</t>
        </is>
      </c>
      <c r="E1481" t="inlineStr">
        <is>
          <t>RAGUNDA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14540-2024</t>
        </is>
      </c>
      <c r="B1482" s="1" t="n">
        <v>45394</v>
      </c>
      <c r="C1482" s="1" t="n">
        <v>45712</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14813-2024</t>
        </is>
      </c>
      <c r="B1483" s="1" t="n">
        <v>45398</v>
      </c>
      <c r="C1483" s="1" t="n">
        <v>45712</v>
      </c>
      <c r="D1483" t="inlineStr">
        <is>
          <t>JÄMTLANDS LÄN</t>
        </is>
      </c>
      <c r="E1483" t="inlineStr">
        <is>
          <t>RAGUNDA</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15583-2024</t>
        </is>
      </c>
      <c r="B1484" s="1" t="n">
        <v>45401</v>
      </c>
      <c r="C1484" s="1" t="n">
        <v>45712</v>
      </c>
      <c r="D1484" t="inlineStr">
        <is>
          <t>JÄMTLANDS LÄN</t>
        </is>
      </c>
      <c r="E1484" t="inlineStr">
        <is>
          <t>RAGUNDA</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15611-2024</t>
        </is>
      </c>
      <c r="B1485" s="1" t="n">
        <v>45401</v>
      </c>
      <c r="C1485" s="1" t="n">
        <v>45712</v>
      </c>
      <c r="D1485" t="inlineStr">
        <is>
          <t>JÄMTLANDS LÄN</t>
        </is>
      </c>
      <c r="E1485" t="inlineStr">
        <is>
          <t>RAGUNDA</t>
        </is>
      </c>
      <c r="F1485" t="inlineStr">
        <is>
          <t>SCA</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15581-2024</t>
        </is>
      </c>
      <c r="B1486" s="1" t="n">
        <v>45401</v>
      </c>
      <c r="C1486" s="1" t="n">
        <v>45712</v>
      </c>
      <c r="D1486" t="inlineStr">
        <is>
          <t>JÄMTLANDS LÄN</t>
        </is>
      </c>
      <c r="E1486" t="inlineStr">
        <is>
          <t>RAGUNDA</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15585-2024</t>
        </is>
      </c>
      <c r="B1487" s="1" t="n">
        <v>45401</v>
      </c>
      <c r="C1487" s="1" t="n">
        <v>45712</v>
      </c>
      <c r="D1487" t="inlineStr">
        <is>
          <t>JÄMTLANDS LÄN</t>
        </is>
      </c>
      <c r="E1487" t="inlineStr">
        <is>
          <t>RAGUNDA</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15864-2024</t>
        </is>
      </c>
      <c r="B1488" s="1" t="n">
        <v>45405</v>
      </c>
      <c r="C1488" s="1" t="n">
        <v>45712</v>
      </c>
      <c r="D1488" t="inlineStr">
        <is>
          <t>JÄMTLANDS LÄN</t>
        </is>
      </c>
      <c r="E1488" t="inlineStr">
        <is>
          <t>RAGUNDA</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15842-2024</t>
        </is>
      </c>
      <c r="B1489" s="1" t="n">
        <v>45405</v>
      </c>
      <c r="C1489" s="1" t="n">
        <v>45712</v>
      </c>
      <c r="D1489" t="inlineStr">
        <is>
          <t>JÄMTLANDS LÄN</t>
        </is>
      </c>
      <c r="E1489" t="inlineStr">
        <is>
          <t>RAGUNDA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16698-2024</t>
        </is>
      </c>
      <c r="B1490" s="1" t="n">
        <v>45409</v>
      </c>
      <c r="C1490" s="1" t="n">
        <v>45712</v>
      </c>
      <c r="D1490" t="inlineStr">
        <is>
          <t>JÄMTLANDS LÄN</t>
        </is>
      </c>
      <c r="E1490" t="inlineStr">
        <is>
          <t>RAGUNDA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16982-2024</t>
        </is>
      </c>
      <c r="B1491" s="1" t="n">
        <v>45412</v>
      </c>
      <c r="C1491" s="1" t="n">
        <v>45712</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17208-2024</t>
        </is>
      </c>
      <c r="B1492" s="1" t="n">
        <v>45414</v>
      </c>
      <c r="C1492" s="1" t="n">
        <v>45712</v>
      </c>
      <c r="D1492" t="inlineStr">
        <is>
          <t>JÄMTLANDS LÄN</t>
        </is>
      </c>
      <c r="E1492" t="inlineStr">
        <is>
          <t>RAGUNDA</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17443-2024</t>
        </is>
      </c>
      <c r="B1493" s="1" t="n">
        <v>45415</v>
      </c>
      <c r="C1493" s="1" t="n">
        <v>45712</v>
      </c>
      <c r="D1493" t="inlineStr">
        <is>
          <t>JÄMTLANDS LÄN</t>
        </is>
      </c>
      <c r="E1493" t="inlineStr">
        <is>
          <t>RAGUNDA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17521-2024</t>
        </is>
      </c>
      <c r="B1494" s="1" t="n">
        <v>45415</v>
      </c>
      <c r="C1494" s="1" t="n">
        <v>45712</v>
      </c>
      <c r="D1494" t="inlineStr">
        <is>
          <t>JÄMTLANDS LÄN</t>
        </is>
      </c>
      <c r="E1494" t="inlineStr">
        <is>
          <t>RAGUNDA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17595-2024</t>
        </is>
      </c>
      <c r="B1495" s="1" t="n">
        <v>45416</v>
      </c>
      <c r="C1495" s="1" t="n">
        <v>45712</v>
      </c>
      <c r="D1495" t="inlineStr">
        <is>
          <t>JÄMTLANDS LÄN</t>
        </is>
      </c>
      <c r="E1495" t="inlineStr">
        <is>
          <t>RAGUNDA</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18225-2024</t>
        </is>
      </c>
      <c r="B1496" s="1" t="n">
        <v>45420</v>
      </c>
      <c r="C1496" s="1" t="n">
        <v>45712</v>
      </c>
      <c r="D1496" t="inlineStr">
        <is>
          <t>JÄMTLANDS LÄN</t>
        </is>
      </c>
      <c r="E1496" t="inlineStr">
        <is>
          <t>RAGUNDA</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18615-2024</t>
        </is>
      </c>
      <c r="B1497" s="1" t="n">
        <v>45426</v>
      </c>
      <c r="C1497" s="1" t="n">
        <v>45712</v>
      </c>
      <c r="D1497" t="inlineStr">
        <is>
          <t>JÄMTLANDS LÄN</t>
        </is>
      </c>
      <c r="E1497" t="inlineStr">
        <is>
          <t>RAGUNDA</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18631-2024</t>
        </is>
      </c>
      <c r="B1498" s="1" t="n">
        <v>45426</v>
      </c>
      <c r="C1498" s="1" t="n">
        <v>45712</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18635-2024</t>
        </is>
      </c>
      <c r="B1499" s="1" t="n">
        <v>45426</v>
      </c>
      <c r="C1499" s="1" t="n">
        <v>45712</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18612-2024</t>
        </is>
      </c>
      <c r="B1500" s="1" t="n">
        <v>45426</v>
      </c>
      <c r="C1500" s="1" t="n">
        <v>45712</v>
      </c>
      <c r="D1500" t="inlineStr">
        <is>
          <t>JÄMTLANDS LÄN</t>
        </is>
      </c>
      <c r="E1500" t="inlineStr">
        <is>
          <t>RAGUNDA</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18636-2024</t>
        </is>
      </c>
      <c r="B1501" s="1" t="n">
        <v>45426</v>
      </c>
      <c r="C1501" s="1" t="n">
        <v>45712</v>
      </c>
      <c r="D1501" t="inlineStr">
        <is>
          <t>JÄMTLANDS LÄN</t>
        </is>
      </c>
      <c r="E1501" t="inlineStr">
        <is>
          <t>RAGUNDA</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18610-2024</t>
        </is>
      </c>
      <c r="B1502" s="1" t="n">
        <v>45426</v>
      </c>
      <c r="C1502" s="1" t="n">
        <v>45712</v>
      </c>
      <c r="D1502" t="inlineStr">
        <is>
          <t>JÄMTLANDS LÄN</t>
        </is>
      </c>
      <c r="E1502" t="inlineStr">
        <is>
          <t>RAGUNDA</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18614-2024</t>
        </is>
      </c>
      <c r="B1503" s="1" t="n">
        <v>45426</v>
      </c>
      <c r="C1503" s="1" t="n">
        <v>45712</v>
      </c>
      <c r="D1503" t="inlineStr">
        <is>
          <t>JÄMTLANDS LÄN</t>
        </is>
      </c>
      <c r="E1503" t="inlineStr">
        <is>
          <t>RAGUNDA</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18782-2024</t>
        </is>
      </c>
      <c r="B1504" s="1" t="n">
        <v>45426</v>
      </c>
      <c r="C1504" s="1" t="n">
        <v>45712</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18777-2024</t>
        </is>
      </c>
      <c r="B1505" s="1" t="n">
        <v>45426</v>
      </c>
      <c r="C1505" s="1" t="n">
        <v>45712</v>
      </c>
      <c r="D1505" t="inlineStr">
        <is>
          <t>JÄMTLANDS LÄN</t>
        </is>
      </c>
      <c r="E1505" t="inlineStr">
        <is>
          <t>RAGUNDA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18781-2024</t>
        </is>
      </c>
      <c r="B1506" s="1" t="n">
        <v>45426</v>
      </c>
      <c r="C1506" s="1" t="n">
        <v>45712</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18778-2024</t>
        </is>
      </c>
      <c r="B1507" s="1" t="n">
        <v>45426</v>
      </c>
      <c r="C1507" s="1" t="n">
        <v>45712</v>
      </c>
      <c r="D1507" t="inlineStr">
        <is>
          <t>JÄMTLANDS LÄN</t>
        </is>
      </c>
      <c r="E1507" t="inlineStr">
        <is>
          <t>RAGUNDA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19089-2024</t>
        </is>
      </c>
      <c r="B1508" s="1" t="n">
        <v>45428</v>
      </c>
      <c r="C1508" s="1" t="n">
        <v>45712</v>
      </c>
      <c r="D1508" t="inlineStr">
        <is>
          <t>JÄMTLANDS LÄN</t>
        </is>
      </c>
      <c r="E1508" t="inlineStr">
        <is>
          <t>RAGUNDA</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19329-2024</t>
        </is>
      </c>
      <c r="B1509" s="1" t="n">
        <v>45429</v>
      </c>
      <c r="C1509" s="1" t="n">
        <v>45712</v>
      </c>
      <c r="D1509" t="inlineStr">
        <is>
          <t>JÄMTLANDS LÄN</t>
        </is>
      </c>
      <c r="E1509" t="inlineStr">
        <is>
          <t>RAGUNDA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19335-2024</t>
        </is>
      </c>
      <c r="B1510" s="1" t="n">
        <v>45429</v>
      </c>
      <c r="C1510" s="1" t="n">
        <v>45712</v>
      </c>
      <c r="D1510" t="inlineStr">
        <is>
          <t>JÄMTLANDS LÄN</t>
        </is>
      </c>
      <c r="E1510" t="inlineStr">
        <is>
          <t>RAGUNDA</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19419-2024</t>
        </is>
      </c>
      <c r="B1511" s="1" t="n">
        <v>45429</v>
      </c>
      <c r="C1511" s="1" t="n">
        <v>45712</v>
      </c>
      <c r="D1511" t="inlineStr">
        <is>
          <t>JÄMTLANDS LÄN</t>
        </is>
      </c>
      <c r="E1511" t="inlineStr">
        <is>
          <t>RAGUNDA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19486-2024</t>
        </is>
      </c>
      <c r="B1512" s="1" t="n">
        <v>45429</v>
      </c>
      <c r="C1512" s="1" t="n">
        <v>45712</v>
      </c>
      <c r="D1512" t="inlineStr">
        <is>
          <t>JÄMTLANDS LÄN</t>
        </is>
      </c>
      <c r="E1512" t="inlineStr">
        <is>
          <t>RAGUNDA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19850-2024</t>
        </is>
      </c>
      <c r="B1513" s="1" t="n">
        <v>45433</v>
      </c>
      <c r="C1513" s="1" t="n">
        <v>45712</v>
      </c>
      <c r="D1513" t="inlineStr">
        <is>
          <t>JÄMTLANDS LÄN</t>
        </is>
      </c>
      <c r="E1513" t="inlineStr">
        <is>
          <t>RAGUNDA</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19897-2024</t>
        </is>
      </c>
      <c r="B1514" s="1" t="n">
        <v>45433</v>
      </c>
      <c r="C1514" s="1" t="n">
        <v>45712</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19997-2024</t>
        </is>
      </c>
      <c r="B1515" s="1" t="n">
        <v>45434</v>
      </c>
      <c r="C1515" s="1" t="n">
        <v>45712</v>
      </c>
      <c r="D1515" t="inlineStr">
        <is>
          <t>JÄMTLANDS LÄN</t>
        </is>
      </c>
      <c r="E1515" t="inlineStr">
        <is>
          <t>RAGUNDA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20426-2024</t>
        </is>
      </c>
      <c r="B1516" s="1" t="n">
        <v>45435</v>
      </c>
      <c r="C1516" s="1" t="n">
        <v>45712</v>
      </c>
      <c r="D1516" t="inlineStr">
        <is>
          <t>JÄMTLANDS LÄN</t>
        </is>
      </c>
      <c r="E1516" t="inlineStr">
        <is>
          <t>RAGUNDA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20363-2024</t>
        </is>
      </c>
      <c r="B1517" s="1" t="n">
        <v>45435</v>
      </c>
      <c r="C1517" s="1" t="n">
        <v>45712</v>
      </c>
      <c r="D1517" t="inlineStr">
        <is>
          <t>JÄMTLANDS LÄN</t>
        </is>
      </c>
      <c r="E1517" t="inlineStr">
        <is>
          <t>RAGUNDA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20770-2024</t>
        </is>
      </c>
      <c r="B1518" s="1" t="n">
        <v>45437</v>
      </c>
      <c r="C1518" s="1" t="n">
        <v>45712</v>
      </c>
      <c r="D1518" t="inlineStr">
        <is>
          <t>JÄMTLANDS LÄN</t>
        </is>
      </c>
      <c r="E1518" t="inlineStr">
        <is>
          <t>RAGUNDA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20773-2024</t>
        </is>
      </c>
      <c r="B1519" s="1" t="n">
        <v>45437</v>
      </c>
      <c r="C1519" s="1" t="n">
        <v>45712</v>
      </c>
      <c r="D1519" t="inlineStr">
        <is>
          <t>JÄMTLANDS LÄN</t>
        </is>
      </c>
      <c r="E1519" t="inlineStr">
        <is>
          <t>RAGUNDA</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20772-2024</t>
        </is>
      </c>
      <c r="B1520" s="1" t="n">
        <v>45437</v>
      </c>
      <c r="C1520" s="1" t="n">
        <v>45712</v>
      </c>
      <c r="D1520" t="inlineStr">
        <is>
          <t>JÄMTLANDS LÄN</t>
        </is>
      </c>
      <c r="E1520" t="inlineStr">
        <is>
          <t>RAGUNDA</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21082-2024</t>
        </is>
      </c>
      <c r="B1521" s="1" t="n">
        <v>45440</v>
      </c>
      <c r="C1521" s="1" t="n">
        <v>45712</v>
      </c>
      <c r="D1521" t="inlineStr">
        <is>
          <t>JÄMTLANDS LÄN</t>
        </is>
      </c>
      <c r="E1521" t="inlineStr">
        <is>
          <t>RAGUNDA</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21083-2024</t>
        </is>
      </c>
      <c r="B1522" s="1" t="n">
        <v>45440</v>
      </c>
      <c r="C1522" s="1" t="n">
        <v>45712</v>
      </c>
      <c r="D1522" t="inlineStr">
        <is>
          <t>JÄMTLANDS LÄN</t>
        </is>
      </c>
      <c r="E1522" t="inlineStr">
        <is>
          <t>RAGUNDA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21105-2024</t>
        </is>
      </c>
      <c r="B1523" s="1" t="n">
        <v>45440</v>
      </c>
      <c r="C1523" s="1" t="n">
        <v>45712</v>
      </c>
      <c r="D1523" t="inlineStr">
        <is>
          <t>JÄMTLANDS LÄN</t>
        </is>
      </c>
      <c r="E1523" t="inlineStr">
        <is>
          <t>RAGUNDA</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21401-2024</t>
        </is>
      </c>
      <c r="B1524" s="1" t="n">
        <v>45441</v>
      </c>
      <c r="C1524" s="1" t="n">
        <v>45712</v>
      </c>
      <c r="D1524" t="inlineStr">
        <is>
          <t>JÄMTLANDS LÄN</t>
        </is>
      </c>
      <c r="E1524" t="inlineStr">
        <is>
          <t>RAGUNDA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21524-2024</t>
        </is>
      </c>
      <c r="B1525" s="1" t="n">
        <v>45441</v>
      </c>
      <c r="C1525" s="1" t="n">
        <v>45712</v>
      </c>
      <c r="D1525" t="inlineStr">
        <is>
          <t>JÄMTLANDS LÄN</t>
        </is>
      </c>
      <c r="E1525" t="inlineStr">
        <is>
          <t>RAGUNDA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21853-2024</t>
        </is>
      </c>
      <c r="B1526" s="1" t="n">
        <v>45443</v>
      </c>
      <c r="C1526" s="1" t="n">
        <v>45712</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22412-2024</t>
        </is>
      </c>
      <c r="B1527" s="1" t="n">
        <v>45446</v>
      </c>
      <c r="C1527" s="1" t="n">
        <v>45712</v>
      </c>
      <c r="D1527" t="inlineStr">
        <is>
          <t>JÄMTLANDS LÄN</t>
        </is>
      </c>
      <c r="E1527" t="inlineStr">
        <is>
          <t>RAGUNDA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22482-2024</t>
        </is>
      </c>
      <c r="B1528" s="1" t="n">
        <v>45447</v>
      </c>
      <c r="C1528" s="1" t="n">
        <v>45712</v>
      </c>
      <c r="D1528" t="inlineStr">
        <is>
          <t>JÄMTLANDS LÄN</t>
        </is>
      </c>
      <c r="E1528" t="inlineStr">
        <is>
          <t>RAGUNDA</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22311-2024</t>
        </is>
      </c>
      <c r="B1529" s="1" t="n">
        <v>45446</v>
      </c>
      <c r="C1529" s="1" t="n">
        <v>45712</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22948-2024</t>
        </is>
      </c>
      <c r="B1530" s="1" t="n">
        <v>45449</v>
      </c>
      <c r="C1530" s="1" t="n">
        <v>45712</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22941-2024</t>
        </is>
      </c>
      <c r="B1531" s="1" t="n">
        <v>45449</v>
      </c>
      <c r="C1531" s="1" t="n">
        <v>45712</v>
      </c>
      <c r="D1531" t="inlineStr">
        <is>
          <t>JÄMTLANDS LÄN</t>
        </is>
      </c>
      <c r="E1531" t="inlineStr">
        <is>
          <t>RAGUNDA</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22951-2024</t>
        </is>
      </c>
      <c r="B1532" s="1" t="n">
        <v>45449</v>
      </c>
      <c r="C1532" s="1" t="n">
        <v>45712</v>
      </c>
      <c r="D1532" t="inlineStr">
        <is>
          <t>JÄMTLANDS LÄN</t>
        </is>
      </c>
      <c r="E1532" t="inlineStr">
        <is>
          <t>RAGUNDA</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23223-2024</t>
        </is>
      </c>
      <c r="B1533" s="1" t="n">
        <v>45453</v>
      </c>
      <c r="C1533" s="1" t="n">
        <v>45712</v>
      </c>
      <c r="D1533" t="inlineStr">
        <is>
          <t>JÄMTLANDS LÄN</t>
        </is>
      </c>
      <c r="E1533" t="inlineStr">
        <is>
          <t>RAGUNDA</t>
        </is>
      </c>
      <c r="F1533" t="inlineStr">
        <is>
          <t>SCA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23287-2024</t>
        </is>
      </c>
      <c r="B1534" s="1" t="n">
        <v>45453</v>
      </c>
      <c r="C1534" s="1" t="n">
        <v>45712</v>
      </c>
      <c r="D1534" t="inlineStr">
        <is>
          <t>JÄMTLANDS LÄN</t>
        </is>
      </c>
      <c r="E1534" t="inlineStr">
        <is>
          <t>RAGUNDA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23303-2024</t>
        </is>
      </c>
      <c r="B1535" s="1" t="n">
        <v>45453</v>
      </c>
      <c r="C1535" s="1" t="n">
        <v>45712</v>
      </c>
      <c r="D1535" t="inlineStr">
        <is>
          <t>JÄMTLANDS LÄN</t>
        </is>
      </c>
      <c r="E1535" t="inlineStr">
        <is>
          <t>RAGUNDA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23312-2024</t>
        </is>
      </c>
      <c r="B1536" s="1" t="n">
        <v>45453</v>
      </c>
      <c r="C1536" s="1" t="n">
        <v>45712</v>
      </c>
      <c r="D1536" t="inlineStr">
        <is>
          <t>JÄMTLANDS LÄN</t>
        </is>
      </c>
      <c r="E1536" t="inlineStr">
        <is>
          <t>RAGUNDA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23528-2024</t>
        </is>
      </c>
      <c r="B1537" s="1" t="n">
        <v>45454</v>
      </c>
      <c r="C1537" s="1" t="n">
        <v>45712</v>
      </c>
      <c r="D1537" t="inlineStr">
        <is>
          <t>JÄMTLANDS LÄN</t>
        </is>
      </c>
      <c r="E1537" t="inlineStr">
        <is>
          <t>RAGUNDA</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23535-2024</t>
        </is>
      </c>
      <c r="B1538" s="1" t="n">
        <v>45454</v>
      </c>
      <c r="C1538" s="1" t="n">
        <v>45712</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23567-2024</t>
        </is>
      </c>
      <c r="B1539" s="1" t="n">
        <v>45454</v>
      </c>
      <c r="C1539" s="1" t="n">
        <v>45712</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23727-2024</t>
        </is>
      </c>
      <c r="B1540" s="1" t="n">
        <v>45455</v>
      </c>
      <c r="C1540" s="1" t="n">
        <v>45712</v>
      </c>
      <c r="D1540" t="inlineStr">
        <is>
          <t>JÄMTLANDS LÄN</t>
        </is>
      </c>
      <c r="E1540" t="inlineStr">
        <is>
          <t>RAGUNDA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23734-2024</t>
        </is>
      </c>
      <c r="B1541" s="1" t="n">
        <v>45455</v>
      </c>
      <c r="C1541" s="1" t="n">
        <v>45712</v>
      </c>
      <c r="D1541" t="inlineStr">
        <is>
          <t>JÄMTLANDS LÄN</t>
        </is>
      </c>
      <c r="E1541" t="inlineStr">
        <is>
          <t>RAGUNDA</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23726-2024</t>
        </is>
      </c>
      <c r="B1542" s="1" t="n">
        <v>45455</v>
      </c>
      <c r="C1542" s="1" t="n">
        <v>45712</v>
      </c>
      <c r="D1542" t="inlineStr">
        <is>
          <t>JÄMTLANDS LÄN</t>
        </is>
      </c>
      <c r="E1542" t="inlineStr">
        <is>
          <t>RAGUNDA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24207-2024</t>
        </is>
      </c>
      <c r="B1543" s="1" t="n">
        <v>45457</v>
      </c>
      <c r="C1543" s="1" t="n">
        <v>45712</v>
      </c>
      <c r="D1543" t="inlineStr">
        <is>
          <t>JÄMTLANDS LÄN</t>
        </is>
      </c>
      <c r="E1543" t="inlineStr">
        <is>
          <t>RAGUNDA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24197-2024</t>
        </is>
      </c>
      <c r="B1544" s="1" t="n">
        <v>45457</v>
      </c>
      <c r="C1544" s="1" t="n">
        <v>45712</v>
      </c>
      <c r="D1544" t="inlineStr">
        <is>
          <t>JÄMTLANDS LÄN</t>
        </is>
      </c>
      <c r="E1544" t="inlineStr">
        <is>
          <t>RAGUNDA</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24196-2024</t>
        </is>
      </c>
      <c r="B1545" s="1" t="n">
        <v>45457</v>
      </c>
      <c r="C1545" s="1" t="n">
        <v>45712</v>
      </c>
      <c r="D1545" t="inlineStr">
        <is>
          <t>JÄMTLANDS LÄN</t>
        </is>
      </c>
      <c r="E1545" t="inlineStr">
        <is>
          <t>RAGUNDA</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24224-2024</t>
        </is>
      </c>
      <c r="B1546" s="1" t="n">
        <v>45457</v>
      </c>
      <c r="C1546" s="1" t="n">
        <v>45712</v>
      </c>
      <c r="D1546" t="inlineStr">
        <is>
          <t>JÄMTLANDS LÄN</t>
        </is>
      </c>
      <c r="E1546" t="inlineStr">
        <is>
          <t>RAGUNDA</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24441-2024</t>
        </is>
      </c>
      <c r="B1547" s="1" t="n">
        <v>45458</v>
      </c>
      <c r="C1547" s="1" t="n">
        <v>45712</v>
      </c>
      <c r="D1547" t="inlineStr">
        <is>
          <t>JÄMTLANDS LÄN</t>
        </is>
      </c>
      <c r="E1547" t="inlineStr">
        <is>
          <t>RAGUNDA</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25366-2024</t>
        </is>
      </c>
      <c r="B1548" s="1" t="n">
        <v>45463</v>
      </c>
      <c r="C1548" s="1" t="n">
        <v>45712</v>
      </c>
      <c r="D1548" t="inlineStr">
        <is>
          <t>JÄMTLANDS LÄN</t>
        </is>
      </c>
      <c r="E1548" t="inlineStr">
        <is>
          <t>RAGUNDA</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25193-2024</t>
        </is>
      </c>
      <c r="B1549" s="1" t="n">
        <v>45462</v>
      </c>
      <c r="C1549" s="1" t="n">
        <v>45712</v>
      </c>
      <c r="D1549" t="inlineStr">
        <is>
          <t>JÄMTLANDS LÄN</t>
        </is>
      </c>
      <c r="E1549" t="inlineStr">
        <is>
          <t>RAGUNDA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25353-2024</t>
        </is>
      </c>
      <c r="B1550" s="1" t="n">
        <v>45463</v>
      </c>
      <c r="C1550" s="1" t="n">
        <v>45712</v>
      </c>
      <c r="D1550" t="inlineStr">
        <is>
          <t>JÄMTLANDS LÄN</t>
        </is>
      </c>
      <c r="E1550" t="inlineStr">
        <is>
          <t>RAGUNDA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25683-2024</t>
        </is>
      </c>
      <c r="B1551" s="1" t="n">
        <v>45464</v>
      </c>
      <c r="C1551" s="1" t="n">
        <v>45712</v>
      </c>
      <c r="D1551" t="inlineStr">
        <is>
          <t>JÄMTLANDS LÄN</t>
        </is>
      </c>
      <c r="E1551" t="inlineStr">
        <is>
          <t>RAGUNDA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25684-2024</t>
        </is>
      </c>
      <c r="B1552" s="1" t="n">
        <v>45464</v>
      </c>
      <c r="C1552" s="1" t="n">
        <v>45712</v>
      </c>
      <c r="D1552" t="inlineStr">
        <is>
          <t>JÄMTLANDS LÄN</t>
        </is>
      </c>
      <c r="E1552" t="inlineStr">
        <is>
          <t>RAGUNDA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25720-2024</t>
        </is>
      </c>
      <c r="B1553" s="1" t="n">
        <v>45464</v>
      </c>
      <c r="C1553" s="1" t="n">
        <v>45712</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25685-2024</t>
        </is>
      </c>
      <c r="B1554" s="1" t="n">
        <v>45464</v>
      </c>
      <c r="C1554" s="1" t="n">
        <v>45712</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26026-2024</t>
        </is>
      </c>
      <c r="B1555" s="1" t="n">
        <v>45468</v>
      </c>
      <c r="C1555" s="1" t="n">
        <v>45712</v>
      </c>
      <c r="D1555" t="inlineStr">
        <is>
          <t>JÄMTLANDS LÄN</t>
        </is>
      </c>
      <c r="E1555" t="inlineStr">
        <is>
          <t>RAGUNDA</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26282-2024</t>
        </is>
      </c>
      <c r="B1556" s="1" t="n">
        <v>45468</v>
      </c>
      <c r="C1556" s="1" t="n">
        <v>45712</v>
      </c>
      <c r="D1556" t="inlineStr">
        <is>
          <t>JÄMTLANDS LÄN</t>
        </is>
      </c>
      <c r="E1556" t="inlineStr">
        <is>
          <t>RAGUNDA</t>
        </is>
      </c>
      <c r="F1556" t="inlineStr">
        <is>
          <t>Kommuner</t>
        </is>
      </c>
      <c r="G1556" t="n">
        <v>20</v>
      </c>
      <c r="H1556" t="n">
        <v>0</v>
      </c>
      <c r="I1556" t="n">
        <v>0</v>
      </c>
      <c r="J1556" t="n">
        <v>0</v>
      </c>
      <c r="K1556" t="n">
        <v>0</v>
      </c>
      <c r="L1556" t="n">
        <v>0</v>
      </c>
      <c r="M1556" t="n">
        <v>0</v>
      </c>
      <c r="N1556" t="n">
        <v>0</v>
      </c>
      <c r="O1556" t="n">
        <v>0</v>
      </c>
      <c r="P1556" t="n">
        <v>0</v>
      </c>
      <c r="Q1556" t="n">
        <v>0</v>
      </c>
      <c r="R1556" s="2" t="inlineStr"/>
    </row>
    <row r="1557" ht="15" customHeight="1">
      <c r="A1557" t="inlineStr">
        <is>
          <t>A 26300-2024</t>
        </is>
      </c>
      <c r="B1557" s="1" t="n">
        <v>45469</v>
      </c>
      <c r="C1557" s="1" t="n">
        <v>45712</v>
      </c>
      <c r="D1557" t="inlineStr">
        <is>
          <t>JÄMTLANDS LÄN</t>
        </is>
      </c>
      <c r="E1557" t="inlineStr">
        <is>
          <t>RAGUNDA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26651-2024</t>
        </is>
      </c>
      <c r="B1558" s="1" t="n">
        <v>45470</v>
      </c>
      <c r="C1558" s="1" t="n">
        <v>45712</v>
      </c>
      <c r="D1558" t="inlineStr">
        <is>
          <t>JÄMTLANDS LÄN</t>
        </is>
      </c>
      <c r="E1558" t="inlineStr">
        <is>
          <t>RAGUNDA</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26645-2024</t>
        </is>
      </c>
      <c r="B1559" s="1" t="n">
        <v>45470</v>
      </c>
      <c r="C1559" s="1" t="n">
        <v>45712</v>
      </c>
      <c r="D1559" t="inlineStr">
        <is>
          <t>JÄMTLANDS LÄN</t>
        </is>
      </c>
      <c r="E1559" t="inlineStr">
        <is>
          <t>RAGUNDA</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26652-2024</t>
        </is>
      </c>
      <c r="B1560" s="1" t="n">
        <v>45470</v>
      </c>
      <c r="C1560" s="1" t="n">
        <v>45712</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26768-2024</t>
        </is>
      </c>
      <c r="B1561" s="1" t="n">
        <v>45470</v>
      </c>
      <c r="C1561" s="1" t="n">
        <v>45712</v>
      </c>
      <c r="D1561" t="inlineStr">
        <is>
          <t>JÄMTLANDS LÄN</t>
        </is>
      </c>
      <c r="E1561" t="inlineStr">
        <is>
          <t>RAGUNDA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27307-2024</t>
        </is>
      </c>
      <c r="B1562" s="1" t="n">
        <v>45472</v>
      </c>
      <c r="C1562" s="1" t="n">
        <v>45712</v>
      </c>
      <c r="D1562" t="inlineStr">
        <is>
          <t>JÄMTLANDS LÄN</t>
        </is>
      </c>
      <c r="E1562" t="inlineStr">
        <is>
          <t>RAGUNDA</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27499-2024</t>
        </is>
      </c>
      <c r="B1563" s="1" t="n">
        <v>45474</v>
      </c>
      <c r="C1563" s="1" t="n">
        <v>45712</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27647-2024</t>
        </is>
      </c>
      <c r="B1564" s="1" t="n">
        <v>45475</v>
      </c>
      <c r="C1564" s="1" t="n">
        <v>45712</v>
      </c>
      <c r="D1564" t="inlineStr">
        <is>
          <t>JÄMTLANDS LÄN</t>
        </is>
      </c>
      <c r="E1564" t="inlineStr">
        <is>
          <t>RAGUNDA</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27632-2024</t>
        </is>
      </c>
      <c r="B1565" s="1" t="n">
        <v>45475</v>
      </c>
      <c r="C1565" s="1" t="n">
        <v>45712</v>
      </c>
      <c r="D1565" t="inlineStr">
        <is>
          <t>JÄMTLANDS LÄN</t>
        </is>
      </c>
      <c r="E1565" t="inlineStr">
        <is>
          <t>RAGUNDA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27934-2024</t>
        </is>
      </c>
      <c r="B1566" s="1" t="n">
        <v>45476</v>
      </c>
      <c r="C1566" s="1" t="n">
        <v>45712</v>
      </c>
      <c r="D1566" t="inlineStr">
        <is>
          <t>JÄMTLANDS LÄN</t>
        </is>
      </c>
      <c r="E1566" t="inlineStr">
        <is>
          <t>RAGUNDA</t>
        </is>
      </c>
      <c r="F1566" t="inlineStr">
        <is>
          <t>SCA</t>
        </is>
      </c>
      <c r="G1566" t="n">
        <v>16.8</v>
      </c>
      <c r="H1566" t="n">
        <v>0</v>
      </c>
      <c r="I1566" t="n">
        <v>0</v>
      </c>
      <c r="J1566" t="n">
        <v>0</v>
      </c>
      <c r="K1566" t="n">
        <v>0</v>
      </c>
      <c r="L1566" t="n">
        <v>0</v>
      </c>
      <c r="M1566" t="n">
        <v>0</v>
      </c>
      <c r="N1566" t="n">
        <v>0</v>
      </c>
      <c r="O1566" t="n">
        <v>0</v>
      </c>
      <c r="P1566" t="n">
        <v>0</v>
      </c>
      <c r="Q1566" t="n">
        <v>0</v>
      </c>
      <c r="R1566" s="2" t="inlineStr"/>
    </row>
    <row r="1567" ht="15" customHeight="1">
      <c r="A1567" t="inlineStr">
        <is>
          <t>A 27899-2024</t>
        </is>
      </c>
      <c r="B1567" s="1" t="n">
        <v>45476</v>
      </c>
      <c r="C1567" s="1" t="n">
        <v>45712</v>
      </c>
      <c r="D1567" t="inlineStr">
        <is>
          <t>JÄMTLANDS LÄN</t>
        </is>
      </c>
      <c r="E1567" t="inlineStr">
        <is>
          <t>RAGUNDA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28173-2024</t>
        </is>
      </c>
      <c r="B1568" s="1" t="n">
        <v>45477</v>
      </c>
      <c r="C1568" s="1" t="n">
        <v>45712</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28500-2024</t>
        </is>
      </c>
      <c r="B1569" s="1" t="n">
        <v>45478</v>
      </c>
      <c r="C1569" s="1" t="n">
        <v>45712</v>
      </c>
      <c r="D1569" t="inlineStr">
        <is>
          <t>JÄMTLANDS LÄN</t>
        </is>
      </c>
      <c r="E1569" t="inlineStr">
        <is>
          <t>RAGUNDA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28292-2024</t>
        </is>
      </c>
      <c r="B1570" s="1" t="n">
        <v>45477</v>
      </c>
      <c r="C1570" s="1" t="n">
        <v>45712</v>
      </c>
      <c r="D1570" t="inlineStr">
        <is>
          <t>JÄMTLANDS LÄN</t>
        </is>
      </c>
      <c r="E1570" t="inlineStr">
        <is>
          <t>RAGUNDA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28639-2024</t>
        </is>
      </c>
      <c r="B1571" s="1" t="n">
        <v>45478</v>
      </c>
      <c r="C1571" s="1" t="n">
        <v>45712</v>
      </c>
      <c r="D1571" t="inlineStr">
        <is>
          <t>JÄMTLANDS LÄN</t>
        </is>
      </c>
      <c r="E1571" t="inlineStr">
        <is>
          <t>RAGUNDA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28829-2024</t>
        </is>
      </c>
      <c r="B1572" s="1" t="n">
        <v>45478</v>
      </c>
      <c r="C1572" s="1" t="n">
        <v>45712</v>
      </c>
      <c r="D1572" t="inlineStr">
        <is>
          <t>JÄMTLANDS LÄN</t>
        </is>
      </c>
      <c r="E1572" t="inlineStr">
        <is>
          <t>RAGUNDA</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28636-2024</t>
        </is>
      </c>
      <c r="B1573" s="1" t="n">
        <v>45478</v>
      </c>
      <c r="C1573" s="1" t="n">
        <v>45712</v>
      </c>
      <c r="D1573" t="inlineStr">
        <is>
          <t>JÄMTLANDS LÄN</t>
        </is>
      </c>
      <c r="E1573" t="inlineStr">
        <is>
          <t>RAGUNDA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28641-2024</t>
        </is>
      </c>
      <c r="B1574" s="1" t="n">
        <v>45478</v>
      </c>
      <c r="C1574" s="1" t="n">
        <v>45712</v>
      </c>
      <c r="D1574" t="inlineStr">
        <is>
          <t>JÄMTLANDS LÄN</t>
        </is>
      </c>
      <c r="E1574" t="inlineStr">
        <is>
          <t>RAGUNDA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29257-2024</t>
        </is>
      </c>
      <c r="B1575" s="1" t="n">
        <v>45483</v>
      </c>
      <c r="C1575" s="1" t="n">
        <v>45712</v>
      </c>
      <c r="D1575" t="inlineStr">
        <is>
          <t>JÄMTLANDS LÄN</t>
        </is>
      </c>
      <c r="E1575" t="inlineStr">
        <is>
          <t>RAGUNDA</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29265-2024</t>
        </is>
      </c>
      <c r="B1576" s="1" t="n">
        <v>45483</v>
      </c>
      <c r="C1576" s="1" t="n">
        <v>45712</v>
      </c>
      <c r="D1576" t="inlineStr">
        <is>
          <t>JÄMTLANDS LÄN</t>
        </is>
      </c>
      <c r="E1576" t="inlineStr">
        <is>
          <t>RAGUNDA</t>
        </is>
      </c>
      <c r="F1576" t="inlineStr">
        <is>
          <t>SCA</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29263-2024</t>
        </is>
      </c>
      <c r="B1577" s="1" t="n">
        <v>45483</v>
      </c>
      <c r="C1577" s="1" t="n">
        <v>45712</v>
      </c>
      <c r="D1577" t="inlineStr">
        <is>
          <t>JÄMTLANDS LÄN</t>
        </is>
      </c>
      <c r="E1577" t="inlineStr">
        <is>
          <t>RAGUNDA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29261-2024</t>
        </is>
      </c>
      <c r="B1578" s="1" t="n">
        <v>45483</v>
      </c>
      <c r="C1578" s="1" t="n">
        <v>45712</v>
      </c>
      <c r="D1578" t="inlineStr">
        <is>
          <t>JÄMTLANDS LÄN</t>
        </is>
      </c>
      <c r="E1578" t="inlineStr">
        <is>
          <t>RAGUNDA</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29311-2024</t>
        </is>
      </c>
      <c r="B1579" s="1" t="n">
        <v>45483</v>
      </c>
      <c r="C1579" s="1" t="n">
        <v>45712</v>
      </c>
      <c r="D1579" t="inlineStr">
        <is>
          <t>JÄMTLANDS LÄN</t>
        </is>
      </c>
      <c r="E1579" t="inlineStr">
        <is>
          <t>RAGUNDA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29920-2024</t>
        </is>
      </c>
      <c r="B1580" s="1" t="n">
        <v>45488</v>
      </c>
      <c r="C1580" s="1" t="n">
        <v>45712</v>
      </c>
      <c r="D1580" t="inlineStr">
        <is>
          <t>JÄMTLANDS LÄN</t>
        </is>
      </c>
      <c r="E1580" t="inlineStr">
        <is>
          <t>RAGUNDA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30053-2024</t>
        </is>
      </c>
      <c r="B1581" s="1" t="n">
        <v>45489</v>
      </c>
      <c r="C1581" s="1" t="n">
        <v>45712</v>
      </c>
      <c r="D1581" t="inlineStr">
        <is>
          <t>JÄMTLANDS LÄN</t>
        </is>
      </c>
      <c r="E1581" t="inlineStr">
        <is>
          <t>RAGUNDA</t>
        </is>
      </c>
      <c r="F1581" t="inlineStr">
        <is>
          <t>SCA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30472-2024</t>
        </is>
      </c>
      <c r="B1582" s="1" t="n">
        <v>45492</v>
      </c>
      <c r="C1582" s="1" t="n">
        <v>45712</v>
      </c>
      <c r="D1582" t="inlineStr">
        <is>
          <t>JÄMTLANDS LÄN</t>
        </is>
      </c>
      <c r="E1582" t="inlineStr">
        <is>
          <t>RAGUNDA</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30484-2024</t>
        </is>
      </c>
      <c r="B1583" s="1" t="n">
        <v>45491</v>
      </c>
      <c r="C1583" s="1" t="n">
        <v>45712</v>
      </c>
      <c r="D1583" t="inlineStr">
        <is>
          <t>JÄMTLANDS LÄN</t>
        </is>
      </c>
      <c r="E1583" t="inlineStr">
        <is>
          <t>RAGUNDA</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30637-2024</t>
        </is>
      </c>
      <c r="B1584" s="1" t="n">
        <v>45495</v>
      </c>
      <c r="C1584" s="1" t="n">
        <v>45712</v>
      </c>
      <c r="D1584" t="inlineStr">
        <is>
          <t>JÄMTLANDS LÄN</t>
        </is>
      </c>
      <c r="E1584" t="inlineStr">
        <is>
          <t>RAGUNDA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30642-2024</t>
        </is>
      </c>
      <c r="B1585" s="1" t="n">
        <v>45495</v>
      </c>
      <c r="C1585" s="1" t="n">
        <v>45712</v>
      </c>
      <c r="D1585" t="inlineStr">
        <is>
          <t>JÄMTLANDS LÄN</t>
        </is>
      </c>
      <c r="E1585" t="inlineStr">
        <is>
          <t>RAGUNDA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30771-2024</t>
        </is>
      </c>
      <c r="B1586" s="1" t="n">
        <v>45497</v>
      </c>
      <c r="C1586" s="1" t="n">
        <v>45712</v>
      </c>
      <c r="D1586" t="inlineStr">
        <is>
          <t>JÄMTLANDS LÄN</t>
        </is>
      </c>
      <c r="E1586" t="inlineStr">
        <is>
          <t>RAGUNDA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31111-2024</t>
        </is>
      </c>
      <c r="B1587" s="1" t="n">
        <v>45502</v>
      </c>
      <c r="C1587" s="1" t="n">
        <v>45712</v>
      </c>
      <c r="D1587" t="inlineStr">
        <is>
          <t>JÄMTLANDS LÄN</t>
        </is>
      </c>
      <c r="E1587" t="inlineStr">
        <is>
          <t>RAGUNDA</t>
        </is>
      </c>
      <c r="G1587" t="n">
        <v>17.8</v>
      </c>
      <c r="H1587" t="n">
        <v>0</v>
      </c>
      <c r="I1587" t="n">
        <v>0</v>
      </c>
      <c r="J1587" t="n">
        <v>0</v>
      </c>
      <c r="K1587" t="n">
        <v>0</v>
      </c>
      <c r="L1587" t="n">
        <v>0</v>
      </c>
      <c r="M1587" t="n">
        <v>0</v>
      </c>
      <c r="N1587" t="n">
        <v>0</v>
      </c>
      <c r="O1587" t="n">
        <v>0</v>
      </c>
      <c r="P1587" t="n">
        <v>0</v>
      </c>
      <c r="Q1587" t="n">
        <v>0</v>
      </c>
      <c r="R1587" s="2" t="inlineStr"/>
    </row>
    <row r="1588" ht="15" customHeight="1">
      <c r="A1588" t="inlineStr">
        <is>
          <t>A 31506-2024</t>
        </is>
      </c>
      <c r="B1588" s="1" t="n">
        <v>45505</v>
      </c>
      <c r="C1588" s="1" t="n">
        <v>45712</v>
      </c>
      <c r="D1588" t="inlineStr">
        <is>
          <t>JÄMTLANDS LÄN</t>
        </is>
      </c>
      <c r="E1588" t="inlineStr">
        <is>
          <t>RAGUNDA</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31463-2024</t>
        </is>
      </c>
      <c r="B1589" s="1" t="n">
        <v>45505</v>
      </c>
      <c r="C1589" s="1" t="n">
        <v>45712</v>
      </c>
      <c r="D1589" t="inlineStr">
        <is>
          <t>JÄMTLANDS LÄN</t>
        </is>
      </c>
      <c r="E1589" t="inlineStr">
        <is>
          <t>RAGUNDA</t>
        </is>
      </c>
      <c r="F1589" t="inlineStr">
        <is>
          <t>SCA</t>
        </is>
      </c>
      <c r="G1589" t="n">
        <v>20.3</v>
      </c>
      <c r="H1589" t="n">
        <v>0</v>
      </c>
      <c r="I1589" t="n">
        <v>0</v>
      </c>
      <c r="J1589" t="n">
        <v>0</v>
      </c>
      <c r="K1589" t="n">
        <v>0</v>
      </c>
      <c r="L1589" t="n">
        <v>0</v>
      </c>
      <c r="M1589" t="n">
        <v>0</v>
      </c>
      <c r="N1589" t="n">
        <v>0</v>
      </c>
      <c r="O1589" t="n">
        <v>0</v>
      </c>
      <c r="P1589" t="n">
        <v>0</v>
      </c>
      <c r="Q1589" t="n">
        <v>0</v>
      </c>
      <c r="R1589" s="2" t="inlineStr"/>
    </row>
    <row r="1590" ht="15" customHeight="1">
      <c r="A1590" t="inlineStr">
        <is>
          <t>A 31636-2024</t>
        </is>
      </c>
      <c r="B1590" s="1" t="n">
        <v>45506</v>
      </c>
      <c r="C1590" s="1" t="n">
        <v>45712</v>
      </c>
      <c r="D1590" t="inlineStr">
        <is>
          <t>JÄMTLANDS LÄN</t>
        </is>
      </c>
      <c r="E1590" t="inlineStr">
        <is>
          <t>RAGUNDA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31879-2024</t>
        </is>
      </c>
      <c r="B1591" s="1" t="n">
        <v>45510</v>
      </c>
      <c r="C1591" s="1" t="n">
        <v>45712</v>
      </c>
      <c r="D1591" t="inlineStr">
        <is>
          <t>JÄMTLANDS LÄN</t>
        </is>
      </c>
      <c r="E1591" t="inlineStr">
        <is>
          <t>RAGUNDA</t>
        </is>
      </c>
      <c r="F1591" t="inlineStr">
        <is>
          <t>SCA</t>
        </is>
      </c>
      <c r="G1591" t="n">
        <v>24.9</v>
      </c>
      <c r="H1591" t="n">
        <v>0</v>
      </c>
      <c r="I1591" t="n">
        <v>0</v>
      </c>
      <c r="J1591" t="n">
        <v>0</v>
      </c>
      <c r="K1591" t="n">
        <v>0</v>
      </c>
      <c r="L1591" t="n">
        <v>0</v>
      </c>
      <c r="M1591" t="n">
        <v>0</v>
      </c>
      <c r="N1591" t="n">
        <v>0</v>
      </c>
      <c r="O1591" t="n">
        <v>0</v>
      </c>
      <c r="P1591" t="n">
        <v>0</v>
      </c>
      <c r="Q1591" t="n">
        <v>0</v>
      </c>
      <c r="R1591" s="2" t="inlineStr"/>
    </row>
    <row r="1592" ht="15" customHeight="1">
      <c r="A1592" t="inlineStr">
        <is>
          <t>A 32063-2024</t>
        </is>
      </c>
      <c r="B1592" s="1" t="n">
        <v>45510</v>
      </c>
      <c r="C1592" s="1" t="n">
        <v>45712</v>
      </c>
      <c r="D1592" t="inlineStr">
        <is>
          <t>JÄMTLANDS LÄN</t>
        </is>
      </c>
      <c r="E1592" t="inlineStr">
        <is>
          <t>RAGUNDA</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32258-2024</t>
        </is>
      </c>
      <c r="B1593" s="1" t="n">
        <v>45511</v>
      </c>
      <c r="C1593" s="1" t="n">
        <v>45712</v>
      </c>
      <c r="D1593" t="inlineStr">
        <is>
          <t>JÄMTLANDS LÄN</t>
        </is>
      </c>
      <c r="E1593" t="inlineStr">
        <is>
          <t>RAGUNDA</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32259-2024</t>
        </is>
      </c>
      <c r="B1594" s="1" t="n">
        <v>45511</v>
      </c>
      <c r="C1594" s="1" t="n">
        <v>45712</v>
      </c>
      <c r="D1594" t="inlineStr">
        <is>
          <t>JÄMTLANDS LÄN</t>
        </is>
      </c>
      <c r="E1594" t="inlineStr">
        <is>
          <t>RAGUNDA</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32441-2024</t>
        </is>
      </c>
      <c r="B1595" s="1" t="n">
        <v>45513</v>
      </c>
      <c r="C1595" s="1" t="n">
        <v>45712</v>
      </c>
      <c r="D1595" t="inlineStr">
        <is>
          <t>JÄMTLANDS LÄN</t>
        </is>
      </c>
      <c r="E1595" t="inlineStr">
        <is>
          <t>RAGUNDA</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32638-2024</t>
        </is>
      </c>
      <c r="B1596" s="1" t="n">
        <v>45514</v>
      </c>
      <c r="C1596" s="1" t="n">
        <v>45712</v>
      </c>
      <c r="D1596" t="inlineStr">
        <is>
          <t>JÄMTLANDS LÄN</t>
        </is>
      </c>
      <c r="E1596" t="inlineStr">
        <is>
          <t>RAGUNDA</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32910-2024</t>
        </is>
      </c>
      <c r="B1597" s="1" t="n">
        <v>45517</v>
      </c>
      <c r="C1597" s="1" t="n">
        <v>45712</v>
      </c>
      <c r="D1597" t="inlineStr">
        <is>
          <t>JÄMTLANDS LÄN</t>
        </is>
      </c>
      <c r="E1597" t="inlineStr">
        <is>
          <t>RAGUNDA</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32904-2024</t>
        </is>
      </c>
      <c r="B1598" s="1" t="n">
        <v>45517</v>
      </c>
      <c r="C1598" s="1" t="n">
        <v>45712</v>
      </c>
      <c r="D1598" t="inlineStr">
        <is>
          <t>JÄMTLANDS LÄN</t>
        </is>
      </c>
      <c r="E1598" t="inlineStr">
        <is>
          <t>RAGUNDA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35311-2024</t>
        </is>
      </c>
      <c r="B1599" s="1" t="n">
        <v>45530</v>
      </c>
      <c r="C1599" s="1" t="n">
        <v>45712</v>
      </c>
      <c r="D1599" t="inlineStr">
        <is>
          <t>JÄMTLANDS LÄN</t>
        </is>
      </c>
      <c r="E1599" t="inlineStr">
        <is>
          <t>RAGUNDA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35153-2024</t>
        </is>
      </c>
      <c r="B1600" s="1" t="n">
        <v>45530</v>
      </c>
      <c r="C1600" s="1" t="n">
        <v>45712</v>
      </c>
      <c r="D1600" t="inlineStr">
        <is>
          <t>JÄMTLANDS LÄN</t>
        </is>
      </c>
      <c r="E1600" t="inlineStr">
        <is>
          <t>RAGUNDA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35986-2024</t>
        </is>
      </c>
      <c r="B1601" s="1" t="n">
        <v>45533</v>
      </c>
      <c r="C1601" s="1" t="n">
        <v>45712</v>
      </c>
      <c r="D1601" t="inlineStr">
        <is>
          <t>JÄMTLANDS LÄN</t>
        </is>
      </c>
      <c r="E1601" t="inlineStr">
        <is>
          <t>RAGUNDA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36246-2024</t>
        </is>
      </c>
      <c r="B1602" s="1" t="n">
        <v>45534</v>
      </c>
      <c r="C1602" s="1" t="n">
        <v>45712</v>
      </c>
      <c r="D1602" t="inlineStr">
        <is>
          <t>JÄMTLANDS LÄN</t>
        </is>
      </c>
      <c r="E1602" t="inlineStr">
        <is>
          <t>RAGUNDA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36340-2024</t>
        </is>
      </c>
      <c r="B1603" s="1" t="n">
        <v>45534</v>
      </c>
      <c r="C1603" s="1" t="n">
        <v>45712</v>
      </c>
      <c r="D1603" t="inlineStr">
        <is>
          <t>JÄMTLANDS LÄN</t>
        </is>
      </c>
      <c r="E1603" t="inlineStr">
        <is>
          <t>RAGUNDA</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36317-2024</t>
        </is>
      </c>
      <c r="B1604" s="1" t="n">
        <v>45534</v>
      </c>
      <c r="C1604" s="1" t="n">
        <v>45712</v>
      </c>
      <c r="D1604" t="inlineStr">
        <is>
          <t>JÄMTLANDS LÄN</t>
        </is>
      </c>
      <c r="E1604" t="inlineStr">
        <is>
          <t>RAGUNDA</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37242-2024</t>
        </is>
      </c>
      <c r="B1605" s="1" t="n">
        <v>45540</v>
      </c>
      <c r="C1605" s="1" t="n">
        <v>45712</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37266-2024</t>
        </is>
      </c>
      <c r="B1606" s="1" t="n">
        <v>45540</v>
      </c>
      <c r="C1606" s="1" t="n">
        <v>45712</v>
      </c>
      <c r="D1606" t="inlineStr">
        <is>
          <t>JÄMTLANDS LÄN</t>
        </is>
      </c>
      <c r="E1606" t="inlineStr">
        <is>
          <t>RAGUNDA</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37265-2024</t>
        </is>
      </c>
      <c r="B1607" s="1" t="n">
        <v>45540</v>
      </c>
      <c r="C1607" s="1" t="n">
        <v>45712</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37268-2024</t>
        </is>
      </c>
      <c r="B1608" s="1" t="n">
        <v>45540</v>
      </c>
      <c r="C1608" s="1" t="n">
        <v>45712</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38027-2024</t>
        </is>
      </c>
      <c r="B1609" s="1" t="n">
        <v>45544</v>
      </c>
      <c r="C1609" s="1" t="n">
        <v>45712</v>
      </c>
      <c r="D1609" t="inlineStr">
        <is>
          <t>JÄMTLANDS LÄN</t>
        </is>
      </c>
      <c r="E1609" t="inlineStr">
        <is>
          <t>RAGUNDA</t>
        </is>
      </c>
      <c r="F1609" t="inlineStr">
        <is>
          <t>SCA</t>
        </is>
      </c>
      <c r="G1609" t="n">
        <v>28.7</v>
      </c>
      <c r="H1609" t="n">
        <v>0</v>
      </c>
      <c r="I1609" t="n">
        <v>0</v>
      </c>
      <c r="J1609" t="n">
        <v>0</v>
      </c>
      <c r="K1609" t="n">
        <v>0</v>
      </c>
      <c r="L1609" t="n">
        <v>0</v>
      </c>
      <c r="M1609" t="n">
        <v>0</v>
      </c>
      <c r="N1609" t="n">
        <v>0</v>
      </c>
      <c r="O1609" t="n">
        <v>0</v>
      </c>
      <c r="P1609" t="n">
        <v>0</v>
      </c>
      <c r="Q1609" t="n">
        <v>0</v>
      </c>
      <c r="R1609" s="2" t="inlineStr"/>
    </row>
    <row r="1610" ht="15" customHeight="1">
      <c r="A1610" t="inlineStr">
        <is>
          <t>A 38191-2024</t>
        </is>
      </c>
      <c r="B1610" s="1" t="n">
        <v>45545</v>
      </c>
      <c r="C1610" s="1" t="n">
        <v>45712</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38192-2024</t>
        </is>
      </c>
      <c r="B1611" s="1" t="n">
        <v>45545</v>
      </c>
      <c r="C1611" s="1" t="n">
        <v>45712</v>
      </c>
      <c r="D1611" t="inlineStr">
        <is>
          <t>JÄMTLANDS LÄN</t>
        </is>
      </c>
      <c r="E1611" t="inlineStr">
        <is>
          <t>RAGUNDA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38189-2024</t>
        </is>
      </c>
      <c r="B1612" s="1" t="n">
        <v>45545</v>
      </c>
      <c r="C1612" s="1" t="n">
        <v>45712</v>
      </c>
      <c r="D1612" t="inlineStr">
        <is>
          <t>JÄMTLANDS LÄN</t>
        </is>
      </c>
      <c r="E1612" t="inlineStr">
        <is>
          <t>RAGUNDA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38312-2024</t>
        </is>
      </c>
      <c r="B1613" s="1" t="n">
        <v>45545</v>
      </c>
      <c r="C1613" s="1" t="n">
        <v>45712</v>
      </c>
      <c r="D1613" t="inlineStr">
        <is>
          <t>JÄMTLANDS LÄN</t>
        </is>
      </c>
      <c r="E1613" t="inlineStr">
        <is>
          <t>RAGUNDA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38506-2024</t>
        </is>
      </c>
      <c r="B1614" s="1" t="n">
        <v>45546</v>
      </c>
      <c r="C1614" s="1" t="n">
        <v>45712</v>
      </c>
      <c r="D1614" t="inlineStr">
        <is>
          <t>JÄMTLANDS LÄN</t>
        </is>
      </c>
      <c r="E1614" t="inlineStr">
        <is>
          <t>RAGUNDA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38548-2024</t>
        </is>
      </c>
      <c r="B1615" s="1" t="n">
        <v>45546</v>
      </c>
      <c r="C1615" s="1" t="n">
        <v>45712</v>
      </c>
      <c r="D1615" t="inlineStr">
        <is>
          <t>JÄMTLANDS LÄN</t>
        </is>
      </c>
      <c r="E1615" t="inlineStr">
        <is>
          <t>RAGUNDA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38571-2024</t>
        </is>
      </c>
      <c r="B1616" s="1" t="n">
        <v>45546</v>
      </c>
      <c r="C1616" s="1" t="n">
        <v>45712</v>
      </c>
      <c r="D1616" t="inlineStr">
        <is>
          <t>JÄMTLANDS LÄN</t>
        </is>
      </c>
      <c r="E1616" t="inlineStr">
        <is>
          <t>RAGUNDA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38825-2024</t>
        </is>
      </c>
      <c r="B1617" s="1" t="n">
        <v>45547</v>
      </c>
      <c r="C1617" s="1" t="n">
        <v>45712</v>
      </c>
      <c r="D1617" t="inlineStr">
        <is>
          <t>JÄMTLANDS LÄN</t>
        </is>
      </c>
      <c r="E1617" t="inlineStr">
        <is>
          <t>RAGUNDA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39494-2024</t>
        </is>
      </c>
      <c r="B1618" s="1" t="n">
        <v>45551</v>
      </c>
      <c r="C1618" s="1" t="n">
        <v>45712</v>
      </c>
      <c r="D1618" t="inlineStr">
        <is>
          <t>JÄMTLANDS LÄN</t>
        </is>
      </c>
      <c r="E1618" t="inlineStr">
        <is>
          <t>RAGUNDA</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39608-2024</t>
        </is>
      </c>
      <c r="B1619" s="1" t="n">
        <v>45552</v>
      </c>
      <c r="C1619" s="1" t="n">
        <v>45712</v>
      </c>
      <c r="D1619" t="inlineStr">
        <is>
          <t>JÄMTLANDS LÄN</t>
        </is>
      </c>
      <c r="E1619" t="inlineStr">
        <is>
          <t>RAGUNDA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39626-2024</t>
        </is>
      </c>
      <c r="B1620" s="1" t="n">
        <v>45552</v>
      </c>
      <c r="C1620" s="1" t="n">
        <v>45712</v>
      </c>
      <c r="D1620" t="inlineStr">
        <is>
          <t>JÄMTLANDS LÄN</t>
        </is>
      </c>
      <c r="E1620" t="inlineStr">
        <is>
          <t>RAGUNDA</t>
        </is>
      </c>
      <c r="G1620" t="n">
        <v>23.5</v>
      </c>
      <c r="H1620" t="n">
        <v>0</v>
      </c>
      <c r="I1620" t="n">
        <v>0</v>
      </c>
      <c r="J1620" t="n">
        <v>0</v>
      </c>
      <c r="K1620" t="n">
        <v>0</v>
      </c>
      <c r="L1620" t="n">
        <v>0</v>
      </c>
      <c r="M1620" t="n">
        <v>0</v>
      </c>
      <c r="N1620" t="n">
        <v>0</v>
      </c>
      <c r="O1620" t="n">
        <v>0</v>
      </c>
      <c r="P1620" t="n">
        <v>0</v>
      </c>
      <c r="Q1620" t="n">
        <v>0</v>
      </c>
      <c r="R1620" s="2" t="inlineStr"/>
    </row>
    <row r="1621" ht="15" customHeight="1">
      <c r="A1621" t="inlineStr">
        <is>
          <t>A 40246-2024</t>
        </is>
      </c>
      <c r="B1621" s="1" t="n">
        <v>45554</v>
      </c>
      <c r="C1621" s="1" t="n">
        <v>45712</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40405-2024</t>
        </is>
      </c>
      <c r="B1622" s="1" t="n">
        <v>45555</v>
      </c>
      <c r="C1622" s="1" t="n">
        <v>45712</v>
      </c>
      <c r="D1622" t="inlineStr">
        <is>
          <t>JÄMTLANDS LÄN</t>
        </is>
      </c>
      <c r="E1622" t="inlineStr">
        <is>
          <t>RAGUNDA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40365-2024</t>
        </is>
      </c>
      <c r="B1623" s="1" t="n">
        <v>45555</v>
      </c>
      <c r="C1623" s="1" t="n">
        <v>45712</v>
      </c>
      <c r="D1623" t="inlineStr">
        <is>
          <t>JÄMTLANDS LÄN</t>
        </is>
      </c>
      <c r="E1623" t="inlineStr">
        <is>
          <t>RAGUNDA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40919-2024</t>
        </is>
      </c>
      <c r="B1624" s="1" t="n">
        <v>45558</v>
      </c>
      <c r="C1624" s="1" t="n">
        <v>45712</v>
      </c>
      <c r="D1624" t="inlineStr">
        <is>
          <t>JÄMTLANDS LÄN</t>
        </is>
      </c>
      <c r="E1624" t="inlineStr">
        <is>
          <t>RAGUNDA</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41344-2024</t>
        </is>
      </c>
      <c r="B1625" s="1" t="n">
        <v>45559</v>
      </c>
      <c r="C1625" s="1" t="n">
        <v>45712</v>
      </c>
      <c r="D1625" t="inlineStr">
        <is>
          <t>JÄMTLANDS LÄN</t>
        </is>
      </c>
      <c r="E1625" t="inlineStr">
        <is>
          <t>RAGUNDA</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41343-2024</t>
        </is>
      </c>
      <c r="B1626" s="1" t="n">
        <v>45559</v>
      </c>
      <c r="C1626" s="1" t="n">
        <v>45712</v>
      </c>
      <c r="D1626" t="inlineStr">
        <is>
          <t>JÄMTLANDS LÄN</t>
        </is>
      </c>
      <c r="E1626" t="inlineStr">
        <is>
          <t>RAGUNDA</t>
        </is>
      </c>
      <c r="F1626" t="inlineStr">
        <is>
          <t>SCA</t>
        </is>
      </c>
      <c r="G1626" t="n">
        <v>25.1</v>
      </c>
      <c r="H1626" t="n">
        <v>0</v>
      </c>
      <c r="I1626" t="n">
        <v>0</v>
      </c>
      <c r="J1626" t="n">
        <v>0</v>
      </c>
      <c r="K1626" t="n">
        <v>0</v>
      </c>
      <c r="L1626" t="n">
        <v>0</v>
      </c>
      <c r="M1626" t="n">
        <v>0</v>
      </c>
      <c r="N1626" t="n">
        <v>0</v>
      </c>
      <c r="O1626" t="n">
        <v>0</v>
      </c>
      <c r="P1626" t="n">
        <v>0</v>
      </c>
      <c r="Q1626" t="n">
        <v>0</v>
      </c>
      <c r="R1626" s="2" t="inlineStr"/>
    </row>
    <row r="1627" ht="15" customHeight="1">
      <c r="A1627" t="inlineStr">
        <is>
          <t>A 41378-2024</t>
        </is>
      </c>
      <c r="B1627" s="1" t="n">
        <v>45559</v>
      </c>
      <c r="C1627" s="1" t="n">
        <v>45712</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41685-2024</t>
        </is>
      </c>
      <c r="B1628" s="1" t="n">
        <v>45560</v>
      </c>
      <c r="C1628" s="1" t="n">
        <v>45712</v>
      </c>
      <c r="D1628" t="inlineStr">
        <is>
          <t>JÄMTLANDS LÄN</t>
        </is>
      </c>
      <c r="E1628" t="inlineStr">
        <is>
          <t>RAGUNDA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41531-2024</t>
        </is>
      </c>
      <c r="B1629" s="1" t="n">
        <v>45560</v>
      </c>
      <c r="C1629" s="1" t="n">
        <v>45712</v>
      </c>
      <c r="D1629" t="inlineStr">
        <is>
          <t>JÄMTLANDS LÄN</t>
        </is>
      </c>
      <c r="E1629" t="inlineStr">
        <is>
          <t>RAGUNDA</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41422-2024</t>
        </is>
      </c>
      <c r="B1630" s="1" t="n">
        <v>45560</v>
      </c>
      <c r="C1630" s="1" t="n">
        <v>45712</v>
      </c>
      <c r="D1630" t="inlineStr">
        <is>
          <t>JÄMTLANDS LÄN</t>
        </is>
      </c>
      <c r="E1630" t="inlineStr">
        <is>
          <t>RAGUNDA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41690-2024</t>
        </is>
      </c>
      <c r="B1631" s="1" t="n">
        <v>45560</v>
      </c>
      <c r="C1631" s="1" t="n">
        <v>45712</v>
      </c>
      <c r="D1631" t="inlineStr">
        <is>
          <t>JÄMTLANDS LÄN</t>
        </is>
      </c>
      <c r="E1631" t="inlineStr">
        <is>
          <t>RAGUNDA</t>
        </is>
      </c>
      <c r="F1631" t="inlineStr">
        <is>
          <t>SCA</t>
        </is>
      </c>
      <c r="G1631" t="n">
        <v>38.6</v>
      </c>
      <c r="H1631" t="n">
        <v>0</v>
      </c>
      <c r="I1631" t="n">
        <v>0</v>
      </c>
      <c r="J1631" t="n">
        <v>0</v>
      </c>
      <c r="K1631" t="n">
        <v>0</v>
      </c>
      <c r="L1631" t="n">
        <v>0</v>
      </c>
      <c r="M1631" t="n">
        <v>0</v>
      </c>
      <c r="N1631" t="n">
        <v>0</v>
      </c>
      <c r="O1631" t="n">
        <v>0</v>
      </c>
      <c r="P1631" t="n">
        <v>0</v>
      </c>
      <c r="Q1631" t="n">
        <v>0</v>
      </c>
      <c r="R1631" s="2" t="inlineStr"/>
    </row>
    <row r="1632" ht="15" customHeight="1">
      <c r="A1632" t="inlineStr">
        <is>
          <t>A 41759-2024</t>
        </is>
      </c>
      <c r="B1632" s="1" t="n">
        <v>45561</v>
      </c>
      <c r="C1632" s="1" t="n">
        <v>45712</v>
      </c>
      <c r="D1632" t="inlineStr">
        <is>
          <t>JÄMTLANDS LÄN</t>
        </is>
      </c>
      <c r="E1632" t="inlineStr">
        <is>
          <t>RAGUNDA</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41772-2024</t>
        </is>
      </c>
      <c r="B1633" s="1" t="n">
        <v>45561</v>
      </c>
      <c r="C1633" s="1" t="n">
        <v>45712</v>
      </c>
      <c r="D1633" t="inlineStr">
        <is>
          <t>JÄMTLANDS LÄN</t>
        </is>
      </c>
      <c r="E1633" t="inlineStr">
        <is>
          <t>RAGUNDA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42135-2024</t>
        </is>
      </c>
      <c r="B1634" s="1" t="n">
        <v>45562</v>
      </c>
      <c r="C1634" s="1" t="n">
        <v>45712</v>
      </c>
      <c r="D1634" t="inlineStr">
        <is>
          <t>JÄMTLANDS LÄN</t>
        </is>
      </c>
      <c r="E1634" t="inlineStr">
        <is>
          <t>RAGUNDA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42544-2024</t>
        </is>
      </c>
      <c r="B1635" s="1" t="n">
        <v>45565</v>
      </c>
      <c r="C1635" s="1" t="n">
        <v>45712</v>
      </c>
      <c r="D1635" t="inlineStr">
        <is>
          <t>JÄMTLANDS LÄN</t>
        </is>
      </c>
      <c r="E1635" t="inlineStr">
        <is>
          <t>RAGUNDA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42875-2024</t>
        </is>
      </c>
      <c r="B1636" s="1" t="n">
        <v>45566</v>
      </c>
      <c r="C1636" s="1" t="n">
        <v>45712</v>
      </c>
      <c r="D1636" t="inlineStr">
        <is>
          <t>JÄMTLANDS LÄN</t>
        </is>
      </c>
      <c r="E1636" t="inlineStr">
        <is>
          <t>RAGUNDA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42998-2024</t>
        </is>
      </c>
      <c r="B1637" s="1" t="n">
        <v>45567</v>
      </c>
      <c r="C1637" s="1" t="n">
        <v>45712</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42994-2024</t>
        </is>
      </c>
      <c r="B1638" s="1" t="n">
        <v>45567</v>
      </c>
      <c r="C1638" s="1" t="n">
        <v>45712</v>
      </c>
      <c r="D1638" t="inlineStr">
        <is>
          <t>JÄMTLANDS LÄN</t>
        </is>
      </c>
      <c r="E1638" t="inlineStr">
        <is>
          <t>RAGUNDA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43339-2024</t>
        </is>
      </c>
      <c r="B1639" s="1" t="n">
        <v>45568</v>
      </c>
      <c r="C1639" s="1" t="n">
        <v>45712</v>
      </c>
      <c r="D1639" t="inlineStr">
        <is>
          <t>JÄMTLANDS LÄN</t>
        </is>
      </c>
      <c r="E1639" t="inlineStr">
        <is>
          <t>RAGUNDA</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43738-2024</t>
        </is>
      </c>
      <c r="B1640" s="1" t="n">
        <v>45569</v>
      </c>
      <c r="C1640" s="1" t="n">
        <v>45712</v>
      </c>
      <c r="D1640" t="inlineStr">
        <is>
          <t>JÄMTLANDS LÄN</t>
        </is>
      </c>
      <c r="E1640" t="inlineStr">
        <is>
          <t>RAGUNDA</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44070-2024</t>
        </is>
      </c>
      <c r="B1641" s="1" t="n">
        <v>45572</v>
      </c>
      <c r="C1641" s="1" t="n">
        <v>45712</v>
      </c>
      <c r="D1641" t="inlineStr">
        <is>
          <t>JÄMTLANDS LÄN</t>
        </is>
      </c>
      <c r="E1641" t="inlineStr">
        <is>
          <t>RAGUNDA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44066-2024</t>
        </is>
      </c>
      <c r="B1642" s="1" t="n">
        <v>45572</v>
      </c>
      <c r="C1642" s="1" t="n">
        <v>45712</v>
      </c>
      <c r="D1642" t="inlineStr">
        <is>
          <t>JÄMTLANDS LÄN</t>
        </is>
      </c>
      <c r="E1642" t="inlineStr">
        <is>
          <t>RAGUNDA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44242-2024</t>
        </is>
      </c>
      <c r="B1643" s="1" t="n">
        <v>45573</v>
      </c>
      <c r="C1643" s="1" t="n">
        <v>45712</v>
      </c>
      <c r="D1643" t="inlineStr">
        <is>
          <t>JÄMTLANDS LÄN</t>
        </is>
      </c>
      <c r="E1643" t="inlineStr">
        <is>
          <t>RAGUNDA</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44598-2024</t>
        </is>
      </c>
      <c r="B1644" s="1" t="n">
        <v>45574</v>
      </c>
      <c r="C1644" s="1" t="n">
        <v>45712</v>
      </c>
      <c r="D1644" t="inlineStr">
        <is>
          <t>JÄMTLANDS LÄN</t>
        </is>
      </c>
      <c r="E1644" t="inlineStr">
        <is>
          <t>RAGUNDA</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44755-2024</t>
        </is>
      </c>
      <c r="B1645" s="1" t="n">
        <v>45574</v>
      </c>
      <c r="C1645" s="1" t="n">
        <v>45712</v>
      </c>
      <c r="D1645" t="inlineStr">
        <is>
          <t>JÄMTLANDS LÄN</t>
        </is>
      </c>
      <c r="E1645" t="inlineStr">
        <is>
          <t>RAGUNDA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44759-2024</t>
        </is>
      </c>
      <c r="B1646" s="1" t="n">
        <v>45574</v>
      </c>
      <c r="C1646" s="1" t="n">
        <v>45712</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44766-2024</t>
        </is>
      </c>
      <c r="B1647" s="1" t="n">
        <v>45574</v>
      </c>
      <c r="C1647" s="1" t="n">
        <v>45712</v>
      </c>
      <c r="D1647" t="inlineStr">
        <is>
          <t>JÄMTLANDS LÄN</t>
        </is>
      </c>
      <c r="E1647" t="inlineStr">
        <is>
          <t>RAGUNDA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44778-2024</t>
        </is>
      </c>
      <c r="B1648" s="1" t="n">
        <v>45574</v>
      </c>
      <c r="C1648" s="1" t="n">
        <v>45712</v>
      </c>
      <c r="D1648" t="inlineStr">
        <is>
          <t>JÄMTLANDS LÄN</t>
        </is>
      </c>
      <c r="E1648" t="inlineStr">
        <is>
          <t>RAGUNDA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44597-2024</t>
        </is>
      </c>
      <c r="B1649" s="1" t="n">
        <v>45574</v>
      </c>
      <c r="C1649" s="1" t="n">
        <v>45712</v>
      </c>
      <c r="D1649" t="inlineStr">
        <is>
          <t>JÄMTLANDS LÄN</t>
        </is>
      </c>
      <c r="E1649" t="inlineStr">
        <is>
          <t>RAGUNDA</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44605-2024</t>
        </is>
      </c>
      <c r="B1650" s="1" t="n">
        <v>45574</v>
      </c>
      <c r="C1650" s="1" t="n">
        <v>45712</v>
      </c>
      <c r="D1650" t="inlineStr">
        <is>
          <t>JÄMTLANDS LÄN</t>
        </is>
      </c>
      <c r="E1650" t="inlineStr">
        <is>
          <t>RAGUNDA</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44494-2024</t>
        </is>
      </c>
      <c r="B1651" s="1" t="n">
        <v>45574</v>
      </c>
      <c r="C1651" s="1" t="n">
        <v>45712</v>
      </c>
      <c r="D1651" t="inlineStr">
        <is>
          <t>JÄMTLANDS LÄN</t>
        </is>
      </c>
      <c r="E1651" t="inlineStr">
        <is>
          <t>RAGUNDA</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44498-2024</t>
        </is>
      </c>
      <c r="B1652" s="1" t="n">
        <v>45574</v>
      </c>
      <c r="C1652" s="1" t="n">
        <v>45712</v>
      </c>
      <c r="D1652" t="inlineStr">
        <is>
          <t>JÄMTLANDS LÄN</t>
        </is>
      </c>
      <c r="E1652" t="inlineStr">
        <is>
          <t>RAGUNDA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44727-2024</t>
        </is>
      </c>
      <c r="B1653" s="1" t="n">
        <v>45574</v>
      </c>
      <c r="C1653" s="1" t="n">
        <v>45712</v>
      </c>
      <c r="D1653" t="inlineStr">
        <is>
          <t>JÄMTLANDS LÄN</t>
        </is>
      </c>
      <c r="E1653" t="inlineStr">
        <is>
          <t>RAGUNDA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44953-2024</t>
        </is>
      </c>
      <c r="B1654" s="1" t="n">
        <v>45575</v>
      </c>
      <c r="C1654" s="1" t="n">
        <v>45712</v>
      </c>
      <c r="D1654" t="inlineStr">
        <is>
          <t>JÄMTLANDS LÄN</t>
        </is>
      </c>
      <c r="E1654" t="inlineStr">
        <is>
          <t>RAGUNDA</t>
        </is>
      </c>
      <c r="F1654" t="inlineStr">
        <is>
          <t>SCA</t>
        </is>
      </c>
      <c r="G1654" t="n">
        <v>15.4</v>
      </c>
      <c r="H1654" t="n">
        <v>0</v>
      </c>
      <c r="I1654" t="n">
        <v>0</v>
      </c>
      <c r="J1654" t="n">
        <v>0</v>
      </c>
      <c r="K1654" t="n">
        <v>0</v>
      </c>
      <c r="L1654" t="n">
        <v>0</v>
      </c>
      <c r="M1654" t="n">
        <v>0</v>
      </c>
      <c r="N1654" t="n">
        <v>0</v>
      </c>
      <c r="O1654" t="n">
        <v>0</v>
      </c>
      <c r="P1654" t="n">
        <v>0</v>
      </c>
      <c r="Q1654" t="n">
        <v>0</v>
      </c>
      <c r="R1654" s="2" t="inlineStr"/>
    </row>
    <row r="1655" ht="15" customHeight="1">
      <c r="A1655" t="inlineStr">
        <is>
          <t>A 45273-2024</t>
        </is>
      </c>
      <c r="B1655" s="1" t="n">
        <v>45576</v>
      </c>
      <c r="C1655" s="1" t="n">
        <v>45712</v>
      </c>
      <c r="D1655" t="inlineStr">
        <is>
          <t>JÄMTLANDS LÄN</t>
        </is>
      </c>
      <c r="E1655" t="inlineStr">
        <is>
          <t>RAGUNDA</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45631-2024</t>
        </is>
      </c>
      <c r="B1656" s="1" t="n">
        <v>45579</v>
      </c>
      <c r="C1656" s="1" t="n">
        <v>45712</v>
      </c>
      <c r="D1656" t="inlineStr">
        <is>
          <t>JÄMTLANDS LÄN</t>
        </is>
      </c>
      <c r="E1656" t="inlineStr">
        <is>
          <t>RAGUNDA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45879-2024</t>
        </is>
      </c>
      <c r="B1657" s="1" t="n">
        <v>45580</v>
      </c>
      <c r="C1657" s="1" t="n">
        <v>45712</v>
      </c>
      <c r="D1657" t="inlineStr">
        <is>
          <t>JÄMTLANDS LÄN</t>
        </is>
      </c>
      <c r="E1657" t="inlineStr">
        <is>
          <t>RAGUNDA</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46211-2024</t>
        </is>
      </c>
      <c r="B1658" s="1" t="n">
        <v>45581</v>
      </c>
      <c r="C1658" s="1" t="n">
        <v>45712</v>
      </c>
      <c r="D1658" t="inlineStr">
        <is>
          <t>JÄMTLANDS LÄN</t>
        </is>
      </c>
      <c r="E1658" t="inlineStr">
        <is>
          <t>RAGUNDA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46090-2024</t>
        </is>
      </c>
      <c r="B1659" s="1" t="n">
        <v>45581</v>
      </c>
      <c r="C1659" s="1" t="n">
        <v>45712</v>
      </c>
      <c r="D1659" t="inlineStr">
        <is>
          <t>JÄMTLANDS LÄN</t>
        </is>
      </c>
      <c r="E1659" t="inlineStr">
        <is>
          <t>RAGUNDA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46250-2024</t>
        </is>
      </c>
      <c r="B1660" s="1" t="n">
        <v>45581</v>
      </c>
      <c r="C1660" s="1" t="n">
        <v>45712</v>
      </c>
      <c r="D1660" t="inlineStr">
        <is>
          <t>JÄMTLANDS LÄN</t>
        </is>
      </c>
      <c r="E1660" t="inlineStr">
        <is>
          <t>RAGUNDA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46637-2024</t>
        </is>
      </c>
      <c r="B1661" s="1" t="n">
        <v>45583</v>
      </c>
      <c r="C1661" s="1" t="n">
        <v>45712</v>
      </c>
      <c r="D1661" t="inlineStr">
        <is>
          <t>JÄMTLANDS LÄN</t>
        </is>
      </c>
      <c r="E1661" t="inlineStr">
        <is>
          <t>RAGUNDA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47658-2024</t>
        </is>
      </c>
      <c r="B1662" s="1" t="n">
        <v>45588</v>
      </c>
      <c r="C1662" s="1" t="n">
        <v>45712</v>
      </c>
      <c r="D1662" t="inlineStr">
        <is>
          <t>JÄMTLANDS LÄN</t>
        </is>
      </c>
      <c r="E1662" t="inlineStr">
        <is>
          <t>RAGUNDA</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47720-2024</t>
        </is>
      </c>
      <c r="B1663" s="1" t="n">
        <v>45588</v>
      </c>
      <c r="C1663" s="1" t="n">
        <v>45712</v>
      </c>
      <c r="D1663" t="inlineStr">
        <is>
          <t>JÄMTLANDS LÄN</t>
        </is>
      </c>
      <c r="E1663" t="inlineStr">
        <is>
          <t>RAGUNDA</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48147-2024</t>
        </is>
      </c>
      <c r="B1664" s="1" t="n">
        <v>45589</v>
      </c>
      <c r="C1664" s="1" t="n">
        <v>45712</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48249-2024</t>
        </is>
      </c>
      <c r="B1665" s="1" t="n">
        <v>45590</v>
      </c>
      <c r="C1665" s="1" t="n">
        <v>45712</v>
      </c>
      <c r="D1665" t="inlineStr">
        <is>
          <t>JÄMTLANDS LÄN</t>
        </is>
      </c>
      <c r="E1665" t="inlineStr">
        <is>
          <t>RAGUNDA</t>
        </is>
      </c>
      <c r="F1665" t="inlineStr">
        <is>
          <t>SCA</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48192-2024</t>
        </is>
      </c>
      <c r="B1666" s="1" t="n">
        <v>45590</v>
      </c>
      <c r="C1666" s="1" t="n">
        <v>45712</v>
      </c>
      <c r="D1666" t="inlineStr">
        <is>
          <t>JÄMTLANDS LÄN</t>
        </is>
      </c>
      <c r="E1666" t="inlineStr">
        <is>
          <t>RAGUNDA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48666-2024</t>
        </is>
      </c>
      <c r="B1667" s="1" t="n">
        <v>45593</v>
      </c>
      <c r="C1667" s="1" t="n">
        <v>45712</v>
      </c>
      <c r="D1667" t="inlineStr">
        <is>
          <t>JÄMTLANDS LÄN</t>
        </is>
      </c>
      <c r="E1667" t="inlineStr">
        <is>
          <t>RAGUNDA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49229-2024</t>
        </is>
      </c>
      <c r="B1668" s="1" t="n">
        <v>45595</v>
      </c>
      <c r="C1668" s="1" t="n">
        <v>45712</v>
      </c>
      <c r="D1668" t="inlineStr">
        <is>
          <t>JÄMTLANDS LÄN</t>
        </is>
      </c>
      <c r="E1668" t="inlineStr">
        <is>
          <t>RAGUNDA</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49239-2024</t>
        </is>
      </c>
      <c r="B1669" s="1" t="n">
        <v>45595</v>
      </c>
      <c r="C1669" s="1" t="n">
        <v>45712</v>
      </c>
      <c r="D1669" t="inlineStr">
        <is>
          <t>JÄMTLANDS LÄN</t>
        </is>
      </c>
      <c r="E1669" t="inlineStr">
        <is>
          <t>RAGUNDA</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49348-2024</t>
        </is>
      </c>
      <c r="B1670" s="1" t="n">
        <v>45595</v>
      </c>
      <c r="C1670" s="1" t="n">
        <v>45712</v>
      </c>
      <c r="D1670" t="inlineStr">
        <is>
          <t>JÄMTLANDS LÄN</t>
        </is>
      </c>
      <c r="E1670" t="inlineStr">
        <is>
          <t>RAGUNDA</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49649-2024</t>
        </is>
      </c>
      <c r="B1671" s="1" t="n">
        <v>45596</v>
      </c>
      <c r="C1671" s="1" t="n">
        <v>45712</v>
      </c>
      <c r="D1671" t="inlineStr">
        <is>
          <t>JÄMTLANDS LÄN</t>
        </is>
      </c>
      <c r="E1671" t="inlineStr">
        <is>
          <t>RAGUNDA</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49650-2024</t>
        </is>
      </c>
      <c r="B1672" s="1" t="n">
        <v>45596</v>
      </c>
      <c r="C1672" s="1" t="n">
        <v>45712</v>
      </c>
      <c r="D1672" t="inlineStr">
        <is>
          <t>JÄMTLANDS LÄN</t>
        </is>
      </c>
      <c r="E1672" t="inlineStr">
        <is>
          <t>RAGUNDA</t>
        </is>
      </c>
      <c r="F1672" t="inlineStr">
        <is>
          <t>Naturvårdsverket</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49653-2024</t>
        </is>
      </c>
      <c r="B1673" s="1" t="n">
        <v>45596</v>
      </c>
      <c r="C1673" s="1" t="n">
        <v>45712</v>
      </c>
      <c r="D1673" t="inlineStr">
        <is>
          <t>JÄMTLANDS LÄN</t>
        </is>
      </c>
      <c r="E1673" t="inlineStr">
        <is>
          <t>RAGUNDA</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49647-2024</t>
        </is>
      </c>
      <c r="B1674" s="1" t="n">
        <v>45596</v>
      </c>
      <c r="C1674" s="1" t="n">
        <v>45712</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49651-2024</t>
        </is>
      </c>
      <c r="B1675" s="1" t="n">
        <v>45596</v>
      </c>
      <c r="C1675" s="1" t="n">
        <v>45712</v>
      </c>
      <c r="D1675" t="inlineStr">
        <is>
          <t>JÄMTLANDS LÄN</t>
        </is>
      </c>
      <c r="E1675" t="inlineStr">
        <is>
          <t>RAGUNDA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49787-2024</t>
        </is>
      </c>
      <c r="B1676" s="1" t="n">
        <v>45597</v>
      </c>
      <c r="C1676" s="1" t="n">
        <v>45712</v>
      </c>
      <c r="D1676" t="inlineStr">
        <is>
          <t>JÄMTLANDS LÄN</t>
        </is>
      </c>
      <c r="E1676" t="inlineStr">
        <is>
          <t>RAGUNDA</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50011-2024</t>
        </is>
      </c>
      <c r="B1677" s="1" t="n">
        <v>45598</v>
      </c>
      <c r="C1677" s="1" t="n">
        <v>45712</v>
      </c>
      <c r="D1677" t="inlineStr">
        <is>
          <t>JÄMTLANDS LÄN</t>
        </is>
      </c>
      <c r="E1677" t="inlineStr">
        <is>
          <t>RAGUNDA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50521-2024</t>
        </is>
      </c>
      <c r="B1678" s="1" t="n">
        <v>45601</v>
      </c>
      <c r="C1678" s="1" t="n">
        <v>45712</v>
      </c>
      <c r="D1678" t="inlineStr">
        <is>
          <t>JÄMTLANDS LÄN</t>
        </is>
      </c>
      <c r="E1678" t="inlineStr">
        <is>
          <t>RAGUNDA</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50555-2024</t>
        </is>
      </c>
      <c r="B1679" s="1" t="n">
        <v>45601</v>
      </c>
      <c r="C1679" s="1" t="n">
        <v>45712</v>
      </c>
      <c r="D1679" t="inlineStr">
        <is>
          <t>JÄMTLANDS LÄN</t>
        </is>
      </c>
      <c r="E1679" t="inlineStr">
        <is>
          <t>RAGUNDA</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50432-2024</t>
        </is>
      </c>
      <c r="B1680" s="1" t="n">
        <v>45601</v>
      </c>
      <c r="C1680" s="1" t="n">
        <v>45712</v>
      </c>
      <c r="D1680" t="inlineStr">
        <is>
          <t>JÄMTLANDS LÄN</t>
        </is>
      </c>
      <c r="E1680" t="inlineStr">
        <is>
          <t>RAGUNDA</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50503-2024</t>
        </is>
      </c>
      <c r="B1681" s="1" t="n">
        <v>45601</v>
      </c>
      <c r="C1681" s="1" t="n">
        <v>45712</v>
      </c>
      <c r="D1681" t="inlineStr">
        <is>
          <t>JÄMTLANDS LÄN</t>
        </is>
      </c>
      <c r="E1681" t="inlineStr">
        <is>
          <t>RAGUNDA</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50623-2024</t>
        </is>
      </c>
      <c r="B1682" s="1" t="n">
        <v>45601</v>
      </c>
      <c r="C1682" s="1" t="n">
        <v>45712</v>
      </c>
      <c r="D1682" t="inlineStr">
        <is>
          <t>JÄMTLANDS LÄN</t>
        </is>
      </c>
      <c r="E1682" t="inlineStr">
        <is>
          <t>RAGUNDA</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50431-2024</t>
        </is>
      </c>
      <c r="B1683" s="1" t="n">
        <v>45601</v>
      </c>
      <c r="C1683" s="1" t="n">
        <v>45712</v>
      </c>
      <c r="D1683" t="inlineStr">
        <is>
          <t>JÄMTLANDS LÄN</t>
        </is>
      </c>
      <c r="E1683" t="inlineStr">
        <is>
          <t>RAGUNDA</t>
        </is>
      </c>
      <c r="F1683" t="inlineStr">
        <is>
          <t>SCA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51066-2024</t>
        </is>
      </c>
      <c r="B1684" s="1" t="n">
        <v>45603</v>
      </c>
      <c r="C1684" s="1" t="n">
        <v>45712</v>
      </c>
      <c r="D1684" t="inlineStr">
        <is>
          <t>JÄMTLANDS LÄN</t>
        </is>
      </c>
      <c r="E1684" t="inlineStr">
        <is>
          <t>RAGUNDA</t>
        </is>
      </c>
      <c r="F1684" t="inlineStr">
        <is>
          <t>SCA</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51245-2024</t>
        </is>
      </c>
      <c r="B1685" s="1" t="n">
        <v>45603</v>
      </c>
      <c r="C1685" s="1" t="n">
        <v>45712</v>
      </c>
      <c r="D1685" t="inlineStr">
        <is>
          <t>JÄMTLANDS LÄN</t>
        </is>
      </c>
      <c r="E1685" t="inlineStr">
        <is>
          <t>RAGUNDA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51049-2024</t>
        </is>
      </c>
      <c r="B1686" s="1" t="n">
        <v>45603</v>
      </c>
      <c r="C1686" s="1" t="n">
        <v>45712</v>
      </c>
      <c r="D1686" t="inlineStr">
        <is>
          <t>JÄMTLANDS LÄN</t>
        </is>
      </c>
      <c r="E1686" t="inlineStr">
        <is>
          <t>RAGUNDA</t>
        </is>
      </c>
      <c r="F1686" t="inlineStr">
        <is>
          <t>SCA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51396-2024</t>
        </is>
      </c>
      <c r="B1687" s="1" t="n">
        <v>45604</v>
      </c>
      <c r="C1687" s="1" t="n">
        <v>45712</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51412-2024</t>
        </is>
      </c>
      <c r="B1688" s="1" t="n">
        <v>45604</v>
      </c>
      <c r="C1688" s="1" t="n">
        <v>45712</v>
      </c>
      <c r="D1688" t="inlineStr">
        <is>
          <t>JÄMTLANDS LÄN</t>
        </is>
      </c>
      <c r="E1688" t="inlineStr">
        <is>
          <t>RAGUNDA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51335-2024</t>
        </is>
      </c>
      <c r="B1689" s="1" t="n">
        <v>45604</v>
      </c>
      <c r="C1689" s="1" t="n">
        <v>45712</v>
      </c>
      <c r="D1689" t="inlineStr">
        <is>
          <t>JÄMTLANDS LÄN</t>
        </is>
      </c>
      <c r="E1689" t="inlineStr">
        <is>
          <t>RAGUNDA</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51579-2024</t>
        </is>
      </c>
      <c r="B1690" s="1" t="n">
        <v>45604</v>
      </c>
      <c r="C1690" s="1" t="n">
        <v>45712</v>
      </c>
      <c r="D1690" t="inlineStr">
        <is>
          <t>JÄMTLANDS LÄN</t>
        </is>
      </c>
      <c r="E1690" t="inlineStr">
        <is>
          <t>RAGUNDA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51389-2024</t>
        </is>
      </c>
      <c r="B1691" s="1" t="n">
        <v>45604</v>
      </c>
      <c r="C1691" s="1" t="n">
        <v>45712</v>
      </c>
      <c r="D1691" t="inlineStr">
        <is>
          <t>JÄMTLANDS LÄN</t>
        </is>
      </c>
      <c r="E1691" t="inlineStr">
        <is>
          <t>RAGUNDA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51393-2024</t>
        </is>
      </c>
      <c r="B1692" s="1" t="n">
        <v>45604</v>
      </c>
      <c r="C1692" s="1" t="n">
        <v>45712</v>
      </c>
      <c r="D1692" t="inlineStr">
        <is>
          <t>JÄMTLANDS LÄN</t>
        </is>
      </c>
      <c r="E1692" t="inlineStr">
        <is>
          <t>RAGUNDA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51397-2024</t>
        </is>
      </c>
      <c r="B1693" s="1" t="n">
        <v>45604</v>
      </c>
      <c r="C1693" s="1" t="n">
        <v>45712</v>
      </c>
      <c r="D1693" t="inlineStr">
        <is>
          <t>JÄMTLANDS LÄN</t>
        </is>
      </c>
      <c r="E1693" t="inlineStr">
        <is>
          <t>RAGUNDA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51417-2024</t>
        </is>
      </c>
      <c r="B1694" s="1" t="n">
        <v>45604</v>
      </c>
      <c r="C1694" s="1" t="n">
        <v>45712</v>
      </c>
      <c r="D1694" t="inlineStr">
        <is>
          <t>JÄMTLANDS LÄN</t>
        </is>
      </c>
      <c r="E1694" t="inlineStr">
        <is>
          <t>RAGUNDA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52013-2024</t>
        </is>
      </c>
      <c r="B1695" s="1" t="n">
        <v>45607</v>
      </c>
      <c r="C1695" s="1" t="n">
        <v>45712</v>
      </c>
      <c r="D1695" t="inlineStr">
        <is>
          <t>JÄMTLANDS LÄN</t>
        </is>
      </c>
      <c r="E1695" t="inlineStr">
        <is>
          <t>RAGUNDA</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52228-2024</t>
        </is>
      </c>
      <c r="B1696" s="1" t="n">
        <v>45608</v>
      </c>
      <c r="C1696" s="1" t="n">
        <v>45712</v>
      </c>
      <c r="D1696" t="inlineStr">
        <is>
          <t>JÄMTLANDS LÄN</t>
        </is>
      </c>
      <c r="E1696" t="inlineStr">
        <is>
          <t>RAGUNDA</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52148-2024</t>
        </is>
      </c>
      <c r="B1697" s="1" t="n">
        <v>45608</v>
      </c>
      <c r="C1697" s="1" t="n">
        <v>45712</v>
      </c>
      <c r="D1697" t="inlineStr">
        <is>
          <t>JÄMTLANDS LÄN</t>
        </is>
      </c>
      <c r="E1697" t="inlineStr">
        <is>
          <t>RAGUNDA</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52345-2024</t>
        </is>
      </c>
      <c r="B1698" s="1" t="n">
        <v>45609</v>
      </c>
      <c r="C1698" s="1" t="n">
        <v>45712</v>
      </c>
      <c r="D1698" t="inlineStr">
        <is>
          <t>JÄMTLANDS LÄN</t>
        </is>
      </c>
      <c r="E1698" t="inlineStr">
        <is>
          <t>RAGUNDA</t>
        </is>
      </c>
      <c r="F1698" t="inlineStr">
        <is>
          <t>SCA</t>
        </is>
      </c>
      <c r="G1698" t="n">
        <v>10.3</v>
      </c>
      <c r="H1698" t="n">
        <v>0</v>
      </c>
      <c r="I1698" t="n">
        <v>0</v>
      </c>
      <c r="J1698" t="n">
        <v>0</v>
      </c>
      <c r="K1698" t="n">
        <v>0</v>
      </c>
      <c r="L1698" t="n">
        <v>0</v>
      </c>
      <c r="M1698" t="n">
        <v>0</v>
      </c>
      <c r="N1698" t="n">
        <v>0</v>
      </c>
      <c r="O1698" t="n">
        <v>0</v>
      </c>
      <c r="P1698" t="n">
        <v>0</v>
      </c>
      <c r="Q1698" t="n">
        <v>0</v>
      </c>
      <c r="R1698" s="2" t="inlineStr"/>
    </row>
    <row r="1699" ht="15" customHeight="1">
      <c r="A1699" t="inlineStr">
        <is>
          <t>A 52599-2024</t>
        </is>
      </c>
      <c r="B1699" s="1" t="n">
        <v>45609</v>
      </c>
      <c r="C1699" s="1" t="n">
        <v>45712</v>
      </c>
      <c r="D1699" t="inlineStr">
        <is>
          <t>JÄMTLANDS LÄN</t>
        </is>
      </c>
      <c r="E1699" t="inlineStr">
        <is>
          <t>RAGUNDA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52708-2024</t>
        </is>
      </c>
      <c r="B1700" s="1" t="n">
        <v>45610</v>
      </c>
      <c r="C1700" s="1" t="n">
        <v>45712</v>
      </c>
      <c r="D1700" t="inlineStr">
        <is>
          <t>JÄMTLANDS LÄN</t>
        </is>
      </c>
      <c r="E1700" t="inlineStr">
        <is>
          <t>RAGUNDA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53171-2024</t>
        </is>
      </c>
      <c r="B1701" s="1" t="n">
        <v>45611</v>
      </c>
      <c r="C1701" s="1" t="n">
        <v>45712</v>
      </c>
      <c r="D1701" t="inlineStr">
        <is>
          <t>JÄMTLANDS LÄN</t>
        </is>
      </c>
      <c r="E1701" t="inlineStr">
        <is>
          <t>RAGUNDA</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53133-2024</t>
        </is>
      </c>
      <c r="B1702" s="1" t="n">
        <v>45611</v>
      </c>
      <c r="C1702" s="1" t="n">
        <v>45712</v>
      </c>
      <c r="D1702" t="inlineStr">
        <is>
          <t>JÄMTLANDS LÄN</t>
        </is>
      </c>
      <c r="E1702" t="inlineStr">
        <is>
          <t>RAGUNDA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53136-2024</t>
        </is>
      </c>
      <c r="B1703" s="1" t="n">
        <v>45611</v>
      </c>
      <c r="C1703" s="1" t="n">
        <v>45712</v>
      </c>
      <c r="D1703" t="inlineStr">
        <is>
          <t>JÄMTLANDS LÄN</t>
        </is>
      </c>
      <c r="E1703" t="inlineStr">
        <is>
          <t>RAGUNDA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53144-2024</t>
        </is>
      </c>
      <c r="B1704" s="1" t="n">
        <v>45611</v>
      </c>
      <c r="C1704" s="1" t="n">
        <v>45712</v>
      </c>
      <c r="D1704" t="inlineStr">
        <is>
          <t>JÄMTLANDS LÄN</t>
        </is>
      </c>
      <c r="E1704" t="inlineStr">
        <is>
          <t>RAGUNDA</t>
        </is>
      </c>
      <c r="F1704" t="inlineStr">
        <is>
          <t>SCA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53135-2024</t>
        </is>
      </c>
      <c r="B1705" s="1" t="n">
        <v>45611</v>
      </c>
      <c r="C1705" s="1" t="n">
        <v>45712</v>
      </c>
      <c r="D1705" t="inlineStr">
        <is>
          <t>JÄMTLANDS LÄN</t>
        </is>
      </c>
      <c r="E1705" t="inlineStr">
        <is>
          <t>RAGUNDA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53134-2024</t>
        </is>
      </c>
      <c r="B1706" s="1" t="n">
        <v>45611</v>
      </c>
      <c r="C1706" s="1" t="n">
        <v>45712</v>
      </c>
      <c r="D1706" t="inlineStr">
        <is>
          <t>JÄMTLANDS LÄN</t>
        </is>
      </c>
      <c r="E1706" t="inlineStr">
        <is>
          <t>RAGUNDA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53551-2024</t>
        </is>
      </c>
      <c r="B1707" s="1" t="n">
        <v>45614</v>
      </c>
      <c r="C1707" s="1" t="n">
        <v>45712</v>
      </c>
      <c r="D1707" t="inlineStr">
        <is>
          <t>JÄMTLANDS LÄN</t>
        </is>
      </c>
      <c r="E1707" t="inlineStr">
        <is>
          <t>RAGUNDA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53561-2024</t>
        </is>
      </c>
      <c r="B1708" s="1" t="n">
        <v>45614</v>
      </c>
      <c r="C1708" s="1" t="n">
        <v>45712</v>
      </c>
      <c r="D1708" t="inlineStr">
        <is>
          <t>JÄMTLANDS LÄN</t>
        </is>
      </c>
      <c r="E1708" t="inlineStr">
        <is>
          <t>RAGUNDA</t>
        </is>
      </c>
      <c r="F1708" t="inlineStr">
        <is>
          <t>Naturvårdsverket</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53264-2024</t>
        </is>
      </c>
      <c r="B1709" s="1" t="n">
        <v>45614</v>
      </c>
      <c r="C1709" s="1" t="n">
        <v>45712</v>
      </c>
      <c r="D1709" t="inlineStr">
        <is>
          <t>JÄMTLANDS LÄN</t>
        </is>
      </c>
      <c r="E1709" t="inlineStr">
        <is>
          <t>RAGUNDA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53549-2024</t>
        </is>
      </c>
      <c r="B1710" s="1" t="n">
        <v>45614</v>
      </c>
      <c r="C1710" s="1" t="n">
        <v>45712</v>
      </c>
      <c r="D1710" t="inlineStr">
        <is>
          <t>JÄMTLANDS LÄN</t>
        </is>
      </c>
      <c r="E1710" t="inlineStr">
        <is>
          <t>RAGUNDA</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53263-2024</t>
        </is>
      </c>
      <c r="B1711" s="1" t="n">
        <v>45614</v>
      </c>
      <c r="C1711" s="1" t="n">
        <v>45712</v>
      </c>
      <c r="D1711" t="inlineStr">
        <is>
          <t>JÄMTLANDS LÄN</t>
        </is>
      </c>
      <c r="E1711" t="inlineStr">
        <is>
          <t>RAGUNDA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53714-2024</t>
        </is>
      </c>
      <c r="B1712" s="1" t="n">
        <v>45615</v>
      </c>
      <c r="C1712" s="1" t="n">
        <v>45712</v>
      </c>
      <c r="D1712" t="inlineStr">
        <is>
          <t>JÄMTLANDS LÄN</t>
        </is>
      </c>
      <c r="E1712" t="inlineStr">
        <is>
          <t>RAGUNDA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53740-2024</t>
        </is>
      </c>
      <c r="B1713" s="1" t="n">
        <v>45615</v>
      </c>
      <c r="C1713" s="1" t="n">
        <v>45712</v>
      </c>
      <c r="D1713" t="inlineStr">
        <is>
          <t>JÄMTLANDS LÄN</t>
        </is>
      </c>
      <c r="E1713" t="inlineStr">
        <is>
          <t>RAGUNDA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53757-2024</t>
        </is>
      </c>
      <c r="B1714" s="1" t="n">
        <v>45615</v>
      </c>
      <c r="C1714" s="1" t="n">
        <v>45712</v>
      </c>
      <c r="D1714" t="inlineStr">
        <is>
          <t>JÄMTLANDS LÄN</t>
        </is>
      </c>
      <c r="E1714" t="inlineStr">
        <is>
          <t>RAGUNDA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53990-2024</t>
        </is>
      </c>
      <c r="B1715" s="1" t="n">
        <v>45616</v>
      </c>
      <c r="C1715" s="1" t="n">
        <v>45712</v>
      </c>
      <c r="D1715" t="inlineStr">
        <is>
          <t>JÄMTLANDS LÄN</t>
        </is>
      </c>
      <c r="E1715" t="inlineStr">
        <is>
          <t>RAGUNDA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54061-2024</t>
        </is>
      </c>
      <c r="B1716" s="1" t="n">
        <v>45616</v>
      </c>
      <c r="C1716" s="1" t="n">
        <v>45712</v>
      </c>
      <c r="D1716" t="inlineStr">
        <is>
          <t>JÄMTLANDS LÄN</t>
        </is>
      </c>
      <c r="E1716" t="inlineStr">
        <is>
          <t>RAGUNDA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54092-2024</t>
        </is>
      </c>
      <c r="B1717" s="1" t="n">
        <v>45616</v>
      </c>
      <c r="C1717" s="1" t="n">
        <v>45712</v>
      </c>
      <c r="D1717" t="inlineStr">
        <is>
          <t>JÄMTLANDS LÄN</t>
        </is>
      </c>
      <c r="E1717" t="inlineStr">
        <is>
          <t>RAGUNDA</t>
        </is>
      </c>
      <c r="F1717" t="inlineStr">
        <is>
          <t>Naturvårdsverket</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53989-2024</t>
        </is>
      </c>
      <c r="B1718" s="1" t="n">
        <v>45616</v>
      </c>
      <c r="C1718" s="1" t="n">
        <v>45712</v>
      </c>
      <c r="D1718" t="inlineStr">
        <is>
          <t>JÄMTLANDS LÄN</t>
        </is>
      </c>
      <c r="E1718" t="inlineStr">
        <is>
          <t>RAGUNDA</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54232-2024</t>
        </is>
      </c>
      <c r="B1719" s="1" t="n">
        <v>45616</v>
      </c>
      <c r="C1719" s="1" t="n">
        <v>45712</v>
      </c>
      <c r="D1719" t="inlineStr">
        <is>
          <t>JÄMTLANDS LÄN</t>
        </is>
      </c>
      <c r="E1719" t="inlineStr">
        <is>
          <t>RAGUNDA</t>
        </is>
      </c>
      <c r="F1719" t="inlineStr">
        <is>
          <t>Naturvårdsverket</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54339-2024</t>
        </is>
      </c>
      <c r="B1720" s="1" t="n">
        <v>45617</v>
      </c>
      <c r="C1720" s="1" t="n">
        <v>45712</v>
      </c>
      <c r="D1720" t="inlineStr">
        <is>
          <t>JÄMTLANDS LÄN</t>
        </is>
      </c>
      <c r="E1720" t="inlineStr">
        <is>
          <t>RAGUNDA</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54476-2024</t>
        </is>
      </c>
      <c r="B1721" s="1" t="n">
        <v>45617</v>
      </c>
      <c r="C1721" s="1" t="n">
        <v>45712</v>
      </c>
      <c r="D1721" t="inlineStr">
        <is>
          <t>JÄMTLANDS LÄN</t>
        </is>
      </c>
      <c r="E1721" t="inlineStr">
        <is>
          <t>RAGUNDA</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54733-2024</t>
        </is>
      </c>
      <c r="B1722" s="1" t="n">
        <v>45618</v>
      </c>
      <c r="C1722" s="1" t="n">
        <v>45712</v>
      </c>
      <c r="D1722" t="inlineStr">
        <is>
          <t>JÄMTLANDS LÄN</t>
        </is>
      </c>
      <c r="E1722" t="inlineStr">
        <is>
          <t>RAGUNDA</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54694-2024</t>
        </is>
      </c>
      <c r="B1723" s="1" t="n">
        <v>45618</v>
      </c>
      <c r="C1723" s="1" t="n">
        <v>45712</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54764-2024</t>
        </is>
      </c>
      <c r="B1724" s="1" t="n">
        <v>45618</v>
      </c>
      <c r="C1724" s="1" t="n">
        <v>45712</v>
      </c>
      <c r="D1724" t="inlineStr">
        <is>
          <t>JÄMTLANDS LÄN</t>
        </is>
      </c>
      <c r="E1724" t="inlineStr">
        <is>
          <t>RAGUNDA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55222-2024</t>
        </is>
      </c>
      <c r="B1725" s="1" t="n">
        <v>45621</v>
      </c>
      <c r="C1725" s="1" t="n">
        <v>45712</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45712</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45712</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45712</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55571-2024</t>
        </is>
      </c>
      <c r="B1729" s="1" t="n">
        <v>45622</v>
      </c>
      <c r="C1729" s="1" t="n">
        <v>45712</v>
      </c>
      <c r="D1729" t="inlineStr">
        <is>
          <t>JÄMTLANDS LÄN</t>
        </is>
      </c>
      <c r="E1729" t="inlineStr">
        <is>
          <t>RAGUNDA</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55408-2024</t>
        </is>
      </c>
      <c r="B1730" s="1" t="n">
        <v>45622</v>
      </c>
      <c r="C1730" s="1" t="n">
        <v>45712</v>
      </c>
      <c r="D1730" t="inlineStr">
        <is>
          <t>JÄMTLANDS LÄN</t>
        </is>
      </c>
      <c r="E1730" t="inlineStr">
        <is>
          <t>RAGUNDA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55421-2024</t>
        </is>
      </c>
      <c r="B1731" s="1" t="n">
        <v>45622</v>
      </c>
      <c r="C1731" s="1" t="n">
        <v>45712</v>
      </c>
      <c r="D1731" t="inlineStr">
        <is>
          <t>JÄMTLANDS LÄN</t>
        </is>
      </c>
      <c r="E1731" t="inlineStr">
        <is>
          <t>RAGUNDA</t>
        </is>
      </c>
      <c r="F1731" t="inlineStr">
        <is>
          <t>SCA</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55508-2024</t>
        </is>
      </c>
      <c r="B1732" s="1" t="n">
        <v>45622</v>
      </c>
      <c r="C1732" s="1" t="n">
        <v>45712</v>
      </c>
      <c r="D1732" t="inlineStr">
        <is>
          <t>JÄMTLANDS LÄN</t>
        </is>
      </c>
      <c r="E1732" t="inlineStr">
        <is>
          <t>RAGUNDA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55536-2024</t>
        </is>
      </c>
      <c r="B1733" s="1" t="n">
        <v>45622</v>
      </c>
      <c r="C1733" s="1" t="n">
        <v>45712</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55514-2024</t>
        </is>
      </c>
      <c r="B1734" s="1" t="n">
        <v>45622</v>
      </c>
      <c r="C1734" s="1" t="n">
        <v>45712</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55524-2024</t>
        </is>
      </c>
      <c r="B1735" s="1" t="n">
        <v>45622</v>
      </c>
      <c r="C1735" s="1" t="n">
        <v>45712</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55533-2024</t>
        </is>
      </c>
      <c r="B1736" s="1" t="n">
        <v>45622</v>
      </c>
      <c r="C1736" s="1" t="n">
        <v>45712</v>
      </c>
      <c r="D1736" t="inlineStr">
        <is>
          <t>JÄMTLANDS LÄN</t>
        </is>
      </c>
      <c r="E1736" t="inlineStr">
        <is>
          <t>RAGUNDA</t>
        </is>
      </c>
      <c r="F1736" t="inlineStr">
        <is>
          <t>SCA</t>
        </is>
      </c>
      <c r="G1736" t="n">
        <v>26.3</v>
      </c>
      <c r="H1736" t="n">
        <v>0</v>
      </c>
      <c r="I1736" t="n">
        <v>0</v>
      </c>
      <c r="J1736" t="n">
        <v>0</v>
      </c>
      <c r="K1736" t="n">
        <v>0</v>
      </c>
      <c r="L1736" t="n">
        <v>0</v>
      </c>
      <c r="M1736" t="n">
        <v>0</v>
      </c>
      <c r="N1736" t="n">
        <v>0</v>
      </c>
      <c r="O1736" t="n">
        <v>0</v>
      </c>
      <c r="P1736" t="n">
        <v>0</v>
      </c>
      <c r="Q1736" t="n">
        <v>0</v>
      </c>
      <c r="R1736" s="2" t="inlineStr"/>
    </row>
    <row r="1737" ht="15" customHeight="1">
      <c r="A1737" t="inlineStr">
        <is>
          <t>A 55803-2024</t>
        </is>
      </c>
      <c r="B1737" s="1" t="n">
        <v>45623</v>
      </c>
      <c r="C1737" s="1" t="n">
        <v>45712</v>
      </c>
      <c r="D1737" t="inlineStr">
        <is>
          <t>JÄMTLANDS LÄN</t>
        </is>
      </c>
      <c r="E1737" t="inlineStr">
        <is>
          <t>RAGUNDA</t>
        </is>
      </c>
      <c r="F1737" t="inlineStr">
        <is>
          <t>SCA</t>
        </is>
      </c>
      <c r="G1737" t="n">
        <v>19.4</v>
      </c>
      <c r="H1737" t="n">
        <v>0</v>
      </c>
      <c r="I1737" t="n">
        <v>0</v>
      </c>
      <c r="J1737" t="n">
        <v>0</v>
      </c>
      <c r="K1737" t="n">
        <v>0</v>
      </c>
      <c r="L1737" t="n">
        <v>0</v>
      </c>
      <c r="M1737" t="n">
        <v>0</v>
      </c>
      <c r="N1737" t="n">
        <v>0</v>
      </c>
      <c r="O1737" t="n">
        <v>0</v>
      </c>
      <c r="P1737" t="n">
        <v>0</v>
      </c>
      <c r="Q1737" t="n">
        <v>0</v>
      </c>
      <c r="R1737" s="2" t="inlineStr"/>
    </row>
    <row r="1738" ht="15" customHeight="1">
      <c r="A1738" t="inlineStr">
        <is>
          <t>A 55804-2024</t>
        </is>
      </c>
      <c r="B1738" s="1" t="n">
        <v>45623</v>
      </c>
      <c r="C1738" s="1" t="n">
        <v>45712</v>
      </c>
      <c r="D1738" t="inlineStr">
        <is>
          <t>JÄMTLANDS LÄN</t>
        </is>
      </c>
      <c r="E1738" t="inlineStr">
        <is>
          <t>RAGUNDA</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56504-2024</t>
        </is>
      </c>
      <c r="B1739" s="1" t="n">
        <v>45625</v>
      </c>
      <c r="C1739" s="1" t="n">
        <v>45712</v>
      </c>
      <c r="D1739" t="inlineStr">
        <is>
          <t>JÄMTLANDS LÄN</t>
        </is>
      </c>
      <c r="E1739" t="inlineStr">
        <is>
          <t>RAGUNDA</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56893-2024</t>
        </is>
      </c>
      <c r="B1740" s="1" t="n">
        <v>45628</v>
      </c>
      <c r="C1740" s="1" t="n">
        <v>45712</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57086-2024</t>
        </is>
      </c>
      <c r="B1741" s="1" t="n">
        <v>45629</v>
      </c>
      <c r="C1741" s="1" t="n">
        <v>45712</v>
      </c>
      <c r="D1741" t="inlineStr">
        <is>
          <t>JÄMTLANDS LÄN</t>
        </is>
      </c>
      <c r="E1741" t="inlineStr">
        <is>
          <t>RAGUNDA</t>
        </is>
      </c>
      <c r="F1741" t="inlineStr">
        <is>
          <t>SCA</t>
        </is>
      </c>
      <c r="G1741" t="n">
        <v>24.6</v>
      </c>
      <c r="H1741" t="n">
        <v>0</v>
      </c>
      <c r="I1741" t="n">
        <v>0</v>
      </c>
      <c r="J1741" t="n">
        <v>0</v>
      </c>
      <c r="K1741" t="n">
        <v>0</v>
      </c>
      <c r="L1741" t="n">
        <v>0</v>
      </c>
      <c r="M1741" t="n">
        <v>0</v>
      </c>
      <c r="N1741" t="n">
        <v>0</v>
      </c>
      <c r="O1741" t="n">
        <v>0</v>
      </c>
      <c r="P1741" t="n">
        <v>0</v>
      </c>
      <c r="Q1741" t="n">
        <v>0</v>
      </c>
      <c r="R1741" s="2" t="inlineStr"/>
    </row>
    <row r="1742" ht="15" customHeight="1">
      <c r="A1742" t="inlineStr">
        <is>
          <t>A 57112-2024</t>
        </is>
      </c>
      <c r="B1742" s="1" t="n">
        <v>45629</v>
      </c>
      <c r="C1742" s="1" t="n">
        <v>45712</v>
      </c>
      <c r="D1742" t="inlineStr">
        <is>
          <t>JÄMTLANDS LÄN</t>
        </is>
      </c>
      <c r="E1742" t="inlineStr">
        <is>
          <t>RAGUNDA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57116-2024</t>
        </is>
      </c>
      <c r="B1743" s="1" t="n">
        <v>45629</v>
      </c>
      <c r="C1743" s="1" t="n">
        <v>45712</v>
      </c>
      <c r="D1743" t="inlineStr">
        <is>
          <t>JÄMTLANDS LÄN</t>
        </is>
      </c>
      <c r="E1743" t="inlineStr">
        <is>
          <t>RAGUNDA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57064-2024</t>
        </is>
      </c>
      <c r="B1744" s="1" t="n">
        <v>45629</v>
      </c>
      <c r="C1744" s="1" t="n">
        <v>45712</v>
      </c>
      <c r="D1744" t="inlineStr">
        <is>
          <t>JÄMTLANDS LÄN</t>
        </is>
      </c>
      <c r="E1744" t="inlineStr">
        <is>
          <t>RAGUNDA</t>
        </is>
      </c>
      <c r="F1744" t="inlineStr">
        <is>
          <t>Naturvårdsverket</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57170-2024</t>
        </is>
      </c>
      <c r="B1745" s="1" t="n">
        <v>45629</v>
      </c>
      <c r="C1745" s="1" t="n">
        <v>45712</v>
      </c>
      <c r="D1745" t="inlineStr">
        <is>
          <t>JÄMTLANDS LÄN</t>
        </is>
      </c>
      <c r="E1745" t="inlineStr">
        <is>
          <t>RAGUNDA</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57749-2024</t>
        </is>
      </c>
      <c r="B1746" s="1" t="n">
        <v>45630</v>
      </c>
      <c r="C1746" s="1" t="n">
        <v>45712</v>
      </c>
      <c r="D1746" t="inlineStr">
        <is>
          <t>JÄMTLANDS LÄN</t>
        </is>
      </c>
      <c r="E1746" t="inlineStr">
        <is>
          <t>RAGUNDA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57842-2024</t>
        </is>
      </c>
      <c r="B1747" s="1" t="n">
        <v>45631</v>
      </c>
      <c r="C1747" s="1" t="n">
        <v>45712</v>
      </c>
      <c r="D1747" t="inlineStr">
        <is>
          <t>JÄMTLANDS LÄN</t>
        </is>
      </c>
      <c r="E1747" t="inlineStr">
        <is>
          <t>RAGUNDA</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57941-2024</t>
        </is>
      </c>
      <c r="B1748" s="1" t="n">
        <v>45631</v>
      </c>
      <c r="C1748" s="1" t="n">
        <v>45712</v>
      </c>
      <c r="D1748" t="inlineStr">
        <is>
          <t>JÄMTLANDS LÄN</t>
        </is>
      </c>
      <c r="E1748" t="inlineStr">
        <is>
          <t>RAGUNDA</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57940-2024</t>
        </is>
      </c>
      <c r="B1749" s="1" t="n">
        <v>45631</v>
      </c>
      <c r="C1749" s="1" t="n">
        <v>45712</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57889-2024</t>
        </is>
      </c>
      <c r="B1750" s="1" t="n">
        <v>45631</v>
      </c>
      <c r="C1750" s="1" t="n">
        <v>45712</v>
      </c>
      <c r="D1750" t="inlineStr">
        <is>
          <t>JÄMTLANDS LÄN</t>
        </is>
      </c>
      <c r="E1750" t="inlineStr">
        <is>
          <t>RAGUNDA</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57992-2024</t>
        </is>
      </c>
      <c r="B1751" s="1" t="n">
        <v>45631</v>
      </c>
      <c r="C1751" s="1" t="n">
        <v>45712</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58368-2024</t>
        </is>
      </c>
      <c r="B1752" s="1" t="n">
        <v>45632</v>
      </c>
      <c r="C1752" s="1" t="n">
        <v>45712</v>
      </c>
      <c r="D1752" t="inlineStr">
        <is>
          <t>JÄMTLANDS LÄN</t>
        </is>
      </c>
      <c r="E1752" t="inlineStr">
        <is>
          <t>RAGUNDA</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58563-2024</t>
        </is>
      </c>
      <c r="B1753" s="1" t="n">
        <v>45635</v>
      </c>
      <c r="C1753" s="1" t="n">
        <v>45712</v>
      </c>
      <c r="D1753" t="inlineStr">
        <is>
          <t>JÄMTLANDS LÄN</t>
        </is>
      </c>
      <c r="E1753" t="inlineStr">
        <is>
          <t>RAGUNDA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58630-2024</t>
        </is>
      </c>
      <c r="B1754" s="1" t="n">
        <v>45635</v>
      </c>
      <c r="C1754" s="1" t="n">
        <v>45712</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58564-2024</t>
        </is>
      </c>
      <c r="B1755" s="1" t="n">
        <v>45635</v>
      </c>
      <c r="C1755" s="1" t="n">
        <v>45712</v>
      </c>
      <c r="D1755" t="inlineStr">
        <is>
          <t>JÄMTLANDS LÄN</t>
        </is>
      </c>
      <c r="E1755" t="inlineStr">
        <is>
          <t>RAGUNDA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58562-2024</t>
        </is>
      </c>
      <c r="B1756" s="1" t="n">
        <v>45635</v>
      </c>
      <c r="C1756" s="1" t="n">
        <v>45712</v>
      </c>
      <c r="D1756" t="inlineStr">
        <is>
          <t>JÄMTLANDS LÄN</t>
        </is>
      </c>
      <c r="E1756" t="inlineStr">
        <is>
          <t>RAGUNDA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58955-2024</t>
        </is>
      </c>
      <c r="B1757" s="1" t="n">
        <v>45636</v>
      </c>
      <c r="C1757" s="1" t="n">
        <v>45712</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58847-2024</t>
        </is>
      </c>
      <c r="B1758" s="1" t="n">
        <v>45636</v>
      </c>
      <c r="C1758" s="1" t="n">
        <v>45712</v>
      </c>
      <c r="D1758" t="inlineStr">
        <is>
          <t>JÄMTLANDS LÄN</t>
        </is>
      </c>
      <c r="E1758" t="inlineStr">
        <is>
          <t>RAGUNDA</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58843-2024</t>
        </is>
      </c>
      <c r="B1759" s="1" t="n">
        <v>45636</v>
      </c>
      <c r="C1759" s="1" t="n">
        <v>45712</v>
      </c>
      <c r="D1759" t="inlineStr">
        <is>
          <t>JÄMTLANDS LÄN</t>
        </is>
      </c>
      <c r="E1759" t="inlineStr">
        <is>
          <t>RAGUNDA</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58844-2024</t>
        </is>
      </c>
      <c r="B1760" s="1" t="n">
        <v>45636</v>
      </c>
      <c r="C1760" s="1" t="n">
        <v>45712</v>
      </c>
      <c r="D1760" t="inlineStr">
        <is>
          <t>JÄMTLANDS LÄN</t>
        </is>
      </c>
      <c r="E1760" t="inlineStr">
        <is>
          <t>RAGUNDA</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59556-2024</t>
        </is>
      </c>
      <c r="B1761" s="1" t="n">
        <v>45638</v>
      </c>
      <c r="C1761" s="1" t="n">
        <v>45712</v>
      </c>
      <c r="D1761" t="inlineStr">
        <is>
          <t>JÄMTLANDS LÄN</t>
        </is>
      </c>
      <c r="E1761" t="inlineStr">
        <is>
          <t>RAGUNDA</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59492-2024</t>
        </is>
      </c>
      <c r="B1762" s="1" t="n">
        <v>45638</v>
      </c>
      <c r="C1762" s="1" t="n">
        <v>45712</v>
      </c>
      <c r="D1762" t="inlineStr">
        <is>
          <t>JÄMTLANDS LÄN</t>
        </is>
      </c>
      <c r="E1762" t="inlineStr">
        <is>
          <t>RAGUNDA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59496-2024</t>
        </is>
      </c>
      <c r="B1763" s="1" t="n">
        <v>45638</v>
      </c>
      <c r="C1763" s="1" t="n">
        <v>45712</v>
      </c>
      <c r="D1763" t="inlineStr">
        <is>
          <t>JÄMTLANDS LÄN</t>
        </is>
      </c>
      <c r="E1763" t="inlineStr">
        <is>
          <t>RAGUNDA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59372-2024</t>
        </is>
      </c>
      <c r="B1764" s="1" t="n">
        <v>45638</v>
      </c>
      <c r="C1764" s="1" t="n">
        <v>45712</v>
      </c>
      <c r="D1764" t="inlineStr">
        <is>
          <t>JÄMTLANDS LÄN</t>
        </is>
      </c>
      <c r="E1764" t="inlineStr">
        <is>
          <t>RAGUNDA</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59800-2024</t>
        </is>
      </c>
      <c r="B1765" s="1" t="n">
        <v>45639</v>
      </c>
      <c r="C1765" s="1" t="n">
        <v>45712</v>
      </c>
      <c r="D1765" t="inlineStr">
        <is>
          <t>JÄMTLANDS LÄN</t>
        </is>
      </c>
      <c r="E1765" t="inlineStr">
        <is>
          <t>RAGUNDA</t>
        </is>
      </c>
      <c r="F1765" t="inlineStr">
        <is>
          <t>SCA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59670-2024</t>
        </is>
      </c>
      <c r="B1766" s="1" t="n">
        <v>45639</v>
      </c>
      <c r="C1766" s="1" t="n">
        <v>45712</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59759-2024</t>
        </is>
      </c>
      <c r="B1767" s="1" t="n">
        <v>45639</v>
      </c>
      <c r="C1767" s="1" t="n">
        <v>45712</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59649-2024</t>
        </is>
      </c>
      <c r="B1768" s="1" t="n">
        <v>45639</v>
      </c>
      <c r="C1768" s="1" t="n">
        <v>45712</v>
      </c>
      <c r="D1768" t="inlineStr">
        <is>
          <t>JÄMTLANDS LÄN</t>
        </is>
      </c>
      <c r="E1768" t="inlineStr">
        <is>
          <t>RAGUNDA</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60045-2024</t>
        </is>
      </c>
      <c r="B1769" s="1" t="n">
        <v>45642</v>
      </c>
      <c r="C1769" s="1" t="n">
        <v>45712</v>
      </c>
      <c r="D1769" t="inlineStr">
        <is>
          <t>JÄMTLANDS LÄN</t>
        </is>
      </c>
      <c r="E1769" t="inlineStr">
        <is>
          <t>RAGUNDA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60762-2024</t>
        </is>
      </c>
      <c r="B1770" s="1" t="n">
        <v>45644</v>
      </c>
      <c r="C1770" s="1" t="n">
        <v>45712</v>
      </c>
      <c r="D1770" t="inlineStr">
        <is>
          <t>JÄMTLANDS LÄN</t>
        </is>
      </c>
      <c r="E1770" t="inlineStr">
        <is>
          <t>RAGUNDA</t>
        </is>
      </c>
      <c r="F1770" t="inlineStr">
        <is>
          <t>SCA</t>
        </is>
      </c>
      <c r="G1770" t="n">
        <v>22.5</v>
      </c>
      <c r="H1770" t="n">
        <v>0</v>
      </c>
      <c r="I1770" t="n">
        <v>0</v>
      </c>
      <c r="J1770" t="n">
        <v>0</v>
      </c>
      <c r="K1770" t="n">
        <v>0</v>
      </c>
      <c r="L1770" t="n">
        <v>0</v>
      </c>
      <c r="M1770" t="n">
        <v>0</v>
      </c>
      <c r="N1770" t="n">
        <v>0</v>
      </c>
      <c r="O1770" t="n">
        <v>0</v>
      </c>
      <c r="P1770" t="n">
        <v>0</v>
      </c>
      <c r="Q1770" t="n">
        <v>0</v>
      </c>
      <c r="R1770" s="2" t="inlineStr"/>
    </row>
    <row r="1771" ht="15" customHeight="1">
      <c r="A1771" t="inlineStr">
        <is>
          <t>A 60935-2024</t>
        </is>
      </c>
      <c r="B1771" s="1" t="n">
        <v>45645</v>
      </c>
      <c r="C1771" s="1" t="n">
        <v>45712</v>
      </c>
      <c r="D1771" t="inlineStr">
        <is>
          <t>JÄMTLANDS LÄN</t>
        </is>
      </c>
      <c r="E1771" t="inlineStr">
        <is>
          <t>RAGUNDA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61107-2024</t>
        </is>
      </c>
      <c r="B1772" s="1" t="n">
        <v>45645</v>
      </c>
      <c r="C1772" s="1" t="n">
        <v>45712</v>
      </c>
      <c r="D1772" t="inlineStr">
        <is>
          <t>JÄMTLANDS LÄN</t>
        </is>
      </c>
      <c r="E1772" t="inlineStr">
        <is>
          <t>RAGUNDA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61106-2024</t>
        </is>
      </c>
      <c r="B1773" s="1" t="n">
        <v>45645</v>
      </c>
      <c r="C1773" s="1" t="n">
        <v>45712</v>
      </c>
      <c r="D1773" t="inlineStr">
        <is>
          <t>JÄMTLANDS LÄN</t>
        </is>
      </c>
      <c r="E1773" t="inlineStr">
        <is>
          <t>RAGUNDA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60936-2024</t>
        </is>
      </c>
      <c r="B1774" s="1" t="n">
        <v>45645</v>
      </c>
      <c r="C1774" s="1" t="n">
        <v>45712</v>
      </c>
      <c r="D1774" t="inlineStr">
        <is>
          <t>JÄMTLANDS LÄN</t>
        </is>
      </c>
      <c r="E1774" t="inlineStr">
        <is>
          <t>RAGUNDA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61109-2024</t>
        </is>
      </c>
      <c r="B1775" s="1" t="n">
        <v>45645</v>
      </c>
      <c r="C1775" s="1" t="n">
        <v>45712</v>
      </c>
      <c r="D1775" t="inlineStr">
        <is>
          <t>JÄMTLANDS LÄN</t>
        </is>
      </c>
      <c r="E1775" t="inlineStr">
        <is>
          <t>RAGUNDA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61058-2024</t>
        </is>
      </c>
      <c r="B1776" s="1" t="n">
        <v>45645</v>
      </c>
      <c r="C1776" s="1" t="n">
        <v>45712</v>
      </c>
      <c r="D1776" t="inlineStr">
        <is>
          <t>JÄMTLANDS LÄN</t>
        </is>
      </c>
      <c r="E1776" t="inlineStr">
        <is>
          <t>RAGUNDA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61324-2024</t>
        </is>
      </c>
      <c r="B1777" s="1" t="n">
        <v>45646</v>
      </c>
      <c r="C1777" s="1" t="n">
        <v>45712</v>
      </c>
      <c r="D1777" t="inlineStr">
        <is>
          <t>JÄMTLANDS LÄN</t>
        </is>
      </c>
      <c r="E1777" t="inlineStr">
        <is>
          <t>RAGUNDA</t>
        </is>
      </c>
      <c r="F1777" t="inlineStr">
        <is>
          <t>SCA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61340-2024</t>
        </is>
      </c>
      <c r="B1778" s="1" t="n">
        <v>45646</v>
      </c>
      <c r="C1778" s="1" t="n">
        <v>45712</v>
      </c>
      <c r="D1778" t="inlineStr">
        <is>
          <t>JÄMTLANDS LÄN</t>
        </is>
      </c>
      <c r="E1778" t="inlineStr">
        <is>
          <t>RAGUNDA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61460-2024</t>
        </is>
      </c>
      <c r="B1779" s="1" t="n">
        <v>45646</v>
      </c>
      <c r="C1779" s="1" t="n">
        <v>45712</v>
      </c>
      <c r="D1779" t="inlineStr">
        <is>
          <t>JÄMTLANDS LÄN</t>
        </is>
      </c>
      <c r="E1779" t="inlineStr">
        <is>
          <t>RAGUNDA</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61598-2024</t>
        </is>
      </c>
      <c r="B1780" s="1" t="n">
        <v>45646</v>
      </c>
      <c r="C1780" s="1" t="n">
        <v>45712</v>
      </c>
      <c r="D1780" t="inlineStr">
        <is>
          <t>JÄMTLANDS LÄN</t>
        </is>
      </c>
      <c r="E1780" t="inlineStr">
        <is>
          <t>RAGUNDA</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95-2025</t>
        </is>
      </c>
      <c r="B1781" s="1" t="n">
        <v>45649</v>
      </c>
      <c r="C1781" s="1" t="n">
        <v>45712</v>
      </c>
      <c r="D1781" t="inlineStr">
        <is>
          <t>JÄMTLANDS LÄN</t>
        </is>
      </c>
      <c r="E1781" t="inlineStr">
        <is>
          <t>RAGUNDA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98-2025</t>
        </is>
      </c>
      <c r="B1782" s="1" t="n">
        <v>45649</v>
      </c>
      <c r="C1782" s="1" t="n">
        <v>45712</v>
      </c>
      <c r="D1782" t="inlineStr">
        <is>
          <t>JÄMTLANDS LÄN</t>
        </is>
      </c>
      <c r="E1782" t="inlineStr">
        <is>
          <t>RAGUNDA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61923-2024</t>
        </is>
      </c>
      <c r="B1783" s="1" t="n">
        <v>45653</v>
      </c>
      <c r="C1783" s="1" t="n">
        <v>45712</v>
      </c>
      <c r="D1783" t="inlineStr">
        <is>
          <t>JÄMTLANDS LÄN</t>
        </is>
      </c>
      <c r="E1783" t="inlineStr">
        <is>
          <t>RAGUNDA</t>
        </is>
      </c>
      <c r="F1783" t="inlineStr">
        <is>
          <t>SCA</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62135-2024</t>
        </is>
      </c>
      <c r="B1784" s="1" t="n">
        <v>45656</v>
      </c>
      <c r="C1784" s="1" t="n">
        <v>45712</v>
      </c>
      <c r="D1784" t="inlineStr">
        <is>
          <t>JÄMTLANDS LÄN</t>
        </is>
      </c>
      <c r="E1784" t="inlineStr">
        <is>
          <t>RAGUNDA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62105-2024</t>
        </is>
      </c>
      <c r="B1785" s="1" t="n">
        <v>45656</v>
      </c>
      <c r="C1785" s="1" t="n">
        <v>45712</v>
      </c>
      <c r="D1785" t="inlineStr">
        <is>
          <t>JÄMTLANDS LÄN</t>
        </is>
      </c>
      <c r="E1785" t="inlineStr">
        <is>
          <t>RAGUNDA</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62115-2024</t>
        </is>
      </c>
      <c r="B1786" s="1" t="n">
        <v>45656</v>
      </c>
      <c r="C1786" s="1" t="n">
        <v>45712</v>
      </c>
      <c r="D1786" t="inlineStr">
        <is>
          <t>JÄMTLANDS LÄN</t>
        </is>
      </c>
      <c r="E1786" t="inlineStr">
        <is>
          <t>RAGUNDA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163-2025</t>
        </is>
      </c>
      <c r="B1787" s="1" t="n">
        <v>45659</v>
      </c>
      <c r="C1787" s="1" t="n">
        <v>45712</v>
      </c>
      <c r="D1787" t="inlineStr">
        <is>
          <t>JÄMTLANDS LÄN</t>
        </is>
      </c>
      <c r="E1787" t="inlineStr">
        <is>
          <t>RAGUNDA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179-2025</t>
        </is>
      </c>
      <c r="B1788" s="1" t="n">
        <v>45659</v>
      </c>
      <c r="C1788" s="1" t="n">
        <v>45712</v>
      </c>
      <c r="D1788" t="inlineStr">
        <is>
          <t>JÄMTLANDS LÄN</t>
        </is>
      </c>
      <c r="E1788" t="inlineStr">
        <is>
          <t>RAGUNDA</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45712</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45712</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504-2025</t>
        </is>
      </c>
      <c r="B1791" s="1" t="n">
        <v>45664</v>
      </c>
      <c r="C1791" s="1" t="n">
        <v>45712</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893-2025</t>
        </is>
      </c>
      <c r="B1792" s="1" t="n">
        <v>45665</v>
      </c>
      <c r="C1792" s="1" t="n">
        <v>45712</v>
      </c>
      <c r="D1792" t="inlineStr">
        <is>
          <t>JÄMTLANDS LÄN</t>
        </is>
      </c>
      <c r="E1792" t="inlineStr">
        <is>
          <t>RAGUNDA</t>
        </is>
      </c>
      <c r="F1792" t="inlineStr">
        <is>
          <t>SCA</t>
        </is>
      </c>
      <c r="G1792" t="n">
        <v>45.1</v>
      </c>
      <c r="H1792" t="n">
        <v>0</v>
      </c>
      <c r="I1792" t="n">
        <v>0</v>
      </c>
      <c r="J1792" t="n">
        <v>0</v>
      </c>
      <c r="K1792" t="n">
        <v>0</v>
      </c>
      <c r="L1792" t="n">
        <v>0</v>
      </c>
      <c r="M1792" t="n">
        <v>0</v>
      </c>
      <c r="N1792" t="n">
        <v>0</v>
      </c>
      <c r="O1792" t="n">
        <v>0</v>
      </c>
      <c r="P1792" t="n">
        <v>0</v>
      </c>
      <c r="Q1792" t="n">
        <v>0</v>
      </c>
      <c r="R1792" s="2" t="inlineStr"/>
    </row>
    <row r="1793" ht="15" customHeight="1">
      <c r="A1793" t="inlineStr">
        <is>
          <t>A 1145-2025</t>
        </is>
      </c>
      <c r="B1793" s="1" t="n">
        <v>45666</v>
      </c>
      <c r="C1793" s="1" t="n">
        <v>45712</v>
      </c>
      <c r="D1793" t="inlineStr">
        <is>
          <t>JÄMTLANDS LÄN</t>
        </is>
      </c>
      <c r="E1793" t="inlineStr">
        <is>
          <t>RAGUNDA</t>
        </is>
      </c>
      <c r="F1793" t="inlineStr">
        <is>
          <t>SCA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993-2025</t>
        </is>
      </c>
      <c r="B1794" s="1" t="n">
        <v>45666</v>
      </c>
      <c r="C1794" s="1" t="n">
        <v>45712</v>
      </c>
      <c r="D1794" t="inlineStr">
        <is>
          <t>JÄMTLANDS LÄN</t>
        </is>
      </c>
      <c r="E1794" t="inlineStr">
        <is>
          <t>RAGUNDA</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985-2025</t>
        </is>
      </c>
      <c r="B1795" s="1" t="n">
        <v>45666</v>
      </c>
      <c r="C1795" s="1" t="n">
        <v>45712</v>
      </c>
      <c r="D1795" t="inlineStr">
        <is>
          <t>JÄMTLANDS LÄN</t>
        </is>
      </c>
      <c r="E1795" t="inlineStr">
        <is>
          <t>RAGUNDA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1308-2025</t>
        </is>
      </c>
      <c r="B1796" s="1" t="n">
        <v>45667</v>
      </c>
      <c r="C1796" s="1" t="n">
        <v>45712</v>
      </c>
      <c r="D1796" t="inlineStr">
        <is>
          <t>JÄMTLANDS LÄN</t>
        </is>
      </c>
      <c r="E1796" t="inlineStr">
        <is>
          <t>RAGUNDA</t>
        </is>
      </c>
      <c r="F1796" t="inlineStr">
        <is>
          <t>SCA</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1325-2025</t>
        </is>
      </c>
      <c r="B1797" s="1" t="n">
        <v>45667</v>
      </c>
      <c r="C1797" s="1" t="n">
        <v>45712</v>
      </c>
      <c r="D1797" t="inlineStr">
        <is>
          <t>JÄMTLANDS LÄN</t>
        </is>
      </c>
      <c r="E1797" t="inlineStr">
        <is>
          <t>RAGUNDA</t>
        </is>
      </c>
      <c r="F1797" t="inlineStr">
        <is>
          <t>SCA</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1340-2025</t>
        </is>
      </c>
      <c r="B1798" s="1" t="n">
        <v>45667</v>
      </c>
      <c r="C1798" s="1" t="n">
        <v>45712</v>
      </c>
      <c r="D1798" t="inlineStr">
        <is>
          <t>JÄMTLANDS LÄN</t>
        </is>
      </c>
      <c r="E1798" t="inlineStr">
        <is>
          <t>RAGUNDA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1250-2025</t>
        </is>
      </c>
      <c r="B1799" s="1" t="n">
        <v>45667</v>
      </c>
      <c r="C1799" s="1" t="n">
        <v>45712</v>
      </c>
      <c r="D1799" t="inlineStr">
        <is>
          <t>JÄMTLANDS LÄN</t>
        </is>
      </c>
      <c r="E1799" t="inlineStr">
        <is>
          <t>RAGUNDA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1326-2025</t>
        </is>
      </c>
      <c r="B1800" s="1" t="n">
        <v>45667</v>
      </c>
      <c r="C1800" s="1" t="n">
        <v>45712</v>
      </c>
      <c r="D1800" t="inlineStr">
        <is>
          <t>JÄMTLANDS LÄN</t>
        </is>
      </c>
      <c r="E1800" t="inlineStr">
        <is>
          <t>RAGUNDA</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45712</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45712</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1837-2025</t>
        </is>
      </c>
      <c r="B1803" s="1" t="n">
        <v>45671</v>
      </c>
      <c r="C1803" s="1" t="n">
        <v>45712</v>
      </c>
      <c r="D1803" t="inlineStr">
        <is>
          <t>JÄMTLANDS LÄN</t>
        </is>
      </c>
      <c r="E1803" t="inlineStr">
        <is>
          <t>RAGUNDA</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1912-2025</t>
        </is>
      </c>
      <c r="B1804" s="1" t="n">
        <v>45671</v>
      </c>
      <c r="C1804" s="1" t="n">
        <v>45712</v>
      </c>
      <c r="D1804" t="inlineStr">
        <is>
          <t>JÄMTLANDS LÄN</t>
        </is>
      </c>
      <c r="E1804" t="inlineStr">
        <is>
          <t>RAGUNDA</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45712</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1985-2025</t>
        </is>
      </c>
      <c r="B1806" s="1" t="n">
        <v>45672</v>
      </c>
      <c r="C1806" s="1" t="n">
        <v>45712</v>
      </c>
      <c r="D1806" t="inlineStr">
        <is>
          <t>JÄMTLANDS LÄN</t>
        </is>
      </c>
      <c r="E1806" t="inlineStr">
        <is>
          <t>RAGUNDA</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2103-2025</t>
        </is>
      </c>
      <c r="B1807" s="1" t="n">
        <v>45672</v>
      </c>
      <c r="C1807" s="1" t="n">
        <v>45712</v>
      </c>
      <c r="D1807" t="inlineStr">
        <is>
          <t>JÄMTLANDS LÄN</t>
        </is>
      </c>
      <c r="E1807" t="inlineStr">
        <is>
          <t>RAGUNDA</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45712</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2288-2025</t>
        </is>
      </c>
      <c r="B1809" s="1" t="n">
        <v>45673</v>
      </c>
      <c r="C1809" s="1" t="n">
        <v>45712</v>
      </c>
      <c r="D1809" t="inlineStr">
        <is>
          <t>JÄMTLANDS LÄN</t>
        </is>
      </c>
      <c r="E1809" t="inlineStr">
        <is>
          <t>RAGUNDA</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45712</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45712</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45712</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45712</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45712</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45712</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45712</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45712</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3720-2025</t>
        </is>
      </c>
      <c r="B1818" s="1" t="n">
        <v>45681</v>
      </c>
      <c r="C1818" s="1" t="n">
        <v>45712</v>
      </c>
      <c r="D1818" t="inlineStr">
        <is>
          <t>JÄMTLANDS LÄN</t>
        </is>
      </c>
      <c r="E1818" t="inlineStr">
        <is>
          <t>RAGUNDA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4571-2025</t>
        </is>
      </c>
      <c r="B1819" s="1" t="n">
        <v>45687</v>
      </c>
      <c r="C1819" s="1" t="n">
        <v>45712</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4573-2025</t>
        </is>
      </c>
      <c r="B1820" s="1" t="n">
        <v>45687</v>
      </c>
      <c r="C1820" s="1" t="n">
        <v>45712</v>
      </c>
      <c r="D1820" t="inlineStr">
        <is>
          <t>JÄMTLANDS LÄN</t>
        </is>
      </c>
      <c r="E1820" t="inlineStr">
        <is>
          <t>RAGUNDA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4885-2025</t>
        </is>
      </c>
      <c r="B1821" s="1" t="n">
        <v>45688</v>
      </c>
      <c r="C1821" s="1" t="n">
        <v>45712</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4846-2025</t>
        </is>
      </c>
      <c r="B1822" s="1" t="n">
        <v>45688</v>
      </c>
      <c r="C1822" s="1" t="n">
        <v>45712</v>
      </c>
      <c r="D1822" t="inlineStr">
        <is>
          <t>JÄMTLANDS LÄN</t>
        </is>
      </c>
      <c r="E1822" t="inlineStr">
        <is>
          <t>RAGUNDA</t>
        </is>
      </c>
      <c r="G1822" t="n">
        <v>14.3</v>
      </c>
      <c r="H1822" t="n">
        <v>0</v>
      </c>
      <c r="I1822" t="n">
        <v>0</v>
      </c>
      <c r="J1822" t="n">
        <v>0</v>
      </c>
      <c r="K1822" t="n">
        <v>0</v>
      </c>
      <c r="L1822" t="n">
        <v>0</v>
      </c>
      <c r="M1822" t="n">
        <v>0</v>
      </c>
      <c r="N1822" t="n">
        <v>0</v>
      </c>
      <c r="O1822" t="n">
        <v>0</v>
      </c>
      <c r="P1822" t="n">
        <v>0</v>
      </c>
      <c r="Q1822" t="n">
        <v>0</v>
      </c>
      <c r="R1822" s="2" t="inlineStr"/>
    </row>
    <row r="1823" ht="15" customHeight="1">
      <c r="A1823" t="inlineStr">
        <is>
          <t>A 4866-2025</t>
        </is>
      </c>
      <c r="B1823" s="1" t="n">
        <v>45688</v>
      </c>
      <c r="C1823" s="1" t="n">
        <v>45712</v>
      </c>
      <c r="D1823" t="inlineStr">
        <is>
          <t>JÄMTLANDS LÄN</t>
        </is>
      </c>
      <c r="E1823" t="inlineStr">
        <is>
          <t>RAGUNDA</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4922-2025</t>
        </is>
      </c>
      <c r="B1824" s="1" t="n">
        <v>45688</v>
      </c>
      <c r="C1824" s="1" t="n">
        <v>45712</v>
      </c>
      <c r="D1824" t="inlineStr">
        <is>
          <t>JÄMTLANDS LÄN</t>
        </is>
      </c>
      <c r="E1824" t="inlineStr">
        <is>
          <t>RAGUNDA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4907-2025</t>
        </is>
      </c>
      <c r="B1825" s="1" t="n">
        <v>45688</v>
      </c>
      <c r="C1825" s="1" t="n">
        <v>45712</v>
      </c>
      <c r="D1825" t="inlineStr">
        <is>
          <t>JÄMTLANDS LÄN</t>
        </is>
      </c>
      <c r="E1825" t="inlineStr">
        <is>
          <t>RAGUNDA</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45712</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45712</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5313-2025</t>
        </is>
      </c>
      <c r="B1828" s="1" t="n">
        <v>45692</v>
      </c>
      <c r="C1828" s="1" t="n">
        <v>45712</v>
      </c>
      <c r="D1828" t="inlineStr">
        <is>
          <t>JÄMTLANDS LÄN</t>
        </is>
      </c>
      <c r="E1828" t="inlineStr">
        <is>
          <t>RAGUNDA</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5357-2025</t>
        </is>
      </c>
      <c r="B1829" s="1" t="n">
        <v>45692</v>
      </c>
      <c r="C1829" s="1" t="n">
        <v>45712</v>
      </c>
      <c r="D1829" t="inlineStr">
        <is>
          <t>JÄMTLANDS LÄN</t>
        </is>
      </c>
      <c r="E1829" t="inlineStr">
        <is>
          <t>RAGUNDA</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5308-2025</t>
        </is>
      </c>
      <c r="B1830" s="1" t="n">
        <v>45692</v>
      </c>
      <c r="C1830" s="1" t="n">
        <v>45712</v>
      </c>
      <c r="D1830" t="inlineStr">
        <is>
          <t>JÄMTLANDS LÄN</t>
        </is>
      </c>
      <c r="E1830" t="inlineStr">
        <is>
          <t>RAGUNDA</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5307-2025</t>
        </is>
      </c>
      <c r="B1831" s="1" t="n">
        <v>45692</v>
      </c>
      <c r="C1831" s="1" t="n">
        <v>45712</v>
      </c>
      <c r="D1831" t="inlineStr">
        <is>
          <t>JÄMTLANDS LÄN</t>
        </is>
      </c>
      <c r="E1831" t="inlineStr">
        <is>
          <t>RAGUNDA</t>
        </is>
      </c>
      <c r="F1831" t="inlineStr">
        <is>
          <t>SCA</t>
        </is>
      </c>
      <c r="G1831" t="n">
        <v>20.9</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45712</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45712</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5930-2025</t>
        </is>
      </c>
      <c r="B1834" s="1" t="n">
        <v>45695</v>
      </c>
      <c r="C1834" s="1" t="n">
        <v>45712</v>
      </c>
      <c r="D1834" t="inlineStr">
        <is>
          <t>JÄMTLANDS LÄN</t>
        </is>
      </c>
      <c r="E1834" t="inlineStr">
        <is>
          <t>RAGUNDA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5938-2025</t>
        </is>
      </c>
      <c r="B1835" s="1" t="n">
        <v>45695</v>
      </c>
      <c r="C1835" s="1" t="n">
        <v>45712</v>
      </c>
      <c r="D1835" t="inlineStr">
        <is>
          <t>JÄMTLANDS LÄN</t>
        </is>
      </c>
      <c r="E1835" t="inlineStr">
        <is>
          <t>RAGUNDA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45712</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6611-2025</t>
        </is>
      </c>
      <c r="B1837" s="1" t="n">
        <v>45700</v>
      </c>
      <c r="C1837" s="1" t="n">
        <v>45712</v>
      </c>
      <c r="D1837" t="inlineStr">
        <is>
          <t>JÄMTLANDS LÄN</t>
        </is>
      </c>
      <c r="E1837" t="inlineStr">
        <is>
          <t>RAGUNDA</t>
        </is>
      </c>
      <c r="F1837" t="inlineStr">
        <is>
          <t>SCA</t>
        </is>
      </c>
      <c r="G1837" t="n">
        <v>22.5</v>
      </c>
      <c r="H1837" t="n">
        <v>0</v>
      </c>
      <c r="I1837" t="n">
        <v>0</v>
      </c>
      <c r="J1837" t="n">
        <v>0</v>
      </c>
      <c r="K1837" t="n">
        <v>0</v>
      </c>
      <c r="L1837" t="n">
        <v>0</v>
      </c>
      <c r="M1837" t="n">
        <v>0</v>
      </c>
      <c r="N1837" t="n">
        <v>0</v>
      </c>
      <c r="O1837" t="n">
        <v>0</v>
      </c>
      <c r="P1837" t="n">
        <v>0</v>
      </c>
      <c r="Q1837" t="n">
        <v>0</v>
      </c>
      <c r="R1837" s="2" t="inlineStr"/>
    </row>
    <row r="1838" ht="15" customHeight="1">
      <c r="A1838" t="inlineStr">
        <is>
          <t>A 6694-2025</t>
        </is>
      </c>
      <c r="B1838" s="1" t="n">
        <v>45700</v>
      </c>
      <c r="C1838" s="1" t="n">
        <v>45712</v>
      </c>
      <c r="D1838" t="inlineStr">
        <is>
          <t>JÄMTLANDS LÄN</t>
        </is>
      </c>
      <c r="E1838" t="inlineStr">
        <is>
          <t>RAGUNDA</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6716-2025</t>
        </is>
      </c>
      <c r="B1839" s="1" t="n">
        <v>45700</v>
      </c>
      <c r="C1839" s="1" t="n">
        <v>45712</v>
      </c>
      <c r="D1839" t="inlineStr">
        <is>
          <t>JÄMTLANDS LÄN</t>
        </is>
      </c>
      <c r="E1839" t="inlineStr">
        <is>
          <t>RAGUNDA</t>
        </is>
      </c>
      <c r="F1839" t="inlineStr">
        <is>
          <t>SCA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6821-2025</t>
        </is>
      </c>
      <c r="B1840" s="1" t="n">
        <v>45700</v>
      </c>
      <c r="C1840" s="1" t="n">
        <v>45712</v>
      </c>
      <c r="D1840" t="inlineStr">
        <is>
          <t>JÄMTLANDS LÄN</t>
        </is>
      </c>
      <c r="E1840" t="inlineStr">
        <is>
          <t>RAGUNDA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45712</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7284-2025</t>
        </is>
      </c>
      <c r="B1842" s="1" t="n">
        <v>45702</v>
      </c>
      <c r="C1842" s="1" t="n">
        <v>45712</v>
      </c>
      <c r="D1842" t="inlineStr">
        <is>
          <t>JÄMTLANDS LÄN</t>
        </is>
      </c>
      <c r="E1842" t="inlineStr">
        <is>
          <t>RAGUNDA</t>
        </is>
      </c>
      <c r="F1842" t="inlineStr">
        <is>
          <t>SCA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7281-2025</t>
        </is>
      </c>
      <c r="B1843" s="1" t="n">
        <v>45702</v>
      </c>
      <c r="C1843" s="1" t="n">
        <v>45712</v>
      </c>
      <c r="D1843" t="inlineStr">
        <is>
          <t>JÄMTLANDS LÄN</t>
        </is>
      </c>
      <c r="E1843" t="inlineStr">
        <is>
          <t>RAGUNDA</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45712</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c r="A1845" t="inlineStr">
        <is>
          <t>A 7838-2025</t>
        </is>
      </c>
      <c r="B1845" s="1" t="n">
        <v>45706</v>
      </c>
      <c r="C1845" s="1" t="n">
        <v>45712</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2025-02-24T17:06:20Z</dcterms:created>
  <dcterms:modified xmlns:dcterms="http://purl.org/dc/terms/" xmlns:xsi="http://www.w3.org/2001/XMLSchema-instance" xsi:type="dcterms:W3CDTF">2025-02-24T17:06:21Z</dcterms:modified>
</cp:coreProperties>
</file>