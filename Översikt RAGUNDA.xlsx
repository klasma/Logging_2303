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45889</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45889</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45889</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45889</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45889</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45889</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45889</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45889</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45889</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45889</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45889</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45889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45889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45889</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45889</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45889</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59762-2024</t>
        </is>
      </c>
      <c r="B22" s="1" t="n">
        <v>45639.55269675926</v>
      </c>
      <c r="C22" s="1" t="n">
        <v>45889</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45889</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45889</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45889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45889</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45889</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45889</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45889</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45889</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45889</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22986-2025</t>
        </is>
      </c>
      <c r="B32" s="1" t="n">
        <v>45790.57349537037</v>
      </c>
      <c r="C32" s="1" t="n">
        <v>45889</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45889</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45889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45889</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13483-2022</t>
        </is>
      </c>
      <c r="B36" s="1" t="n">
        <v>44645.99859953704</v>
      </c>
      <c r="C36" s="1" t="n">
        <v>45889</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55894-2022</t>
        </is>
      </c>
      <c r="B37" s="1" t="n">
        <v>44888</v>
      </c>
      <c r="C37" s="1" t="n">
        <v>45889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4591-2024</t>
        </is>
      </c>
      <c r="B38" s="1" t="n">
        <v>45327</v>
      </c>
      <c r="C38" s="1" t="n">
        <v>45889</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45889</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62948-2021</t>
        </is>
      </c>
      <c r="B40" s="1" t="n">
        <v>44504</v>
      </c>
      <c r="C40" s="1" t="n">
        <v>45889</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45889</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45008-2023</t>
        </is>
      </c>
      <c r="B42" s="1" t="n">
        <v>45190.96092592592</v>
      </c>
      <c r="C42" s="1" t="n">
        <v>45889</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45889</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45889</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45889</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32068-2024</t>
        </is>
      </c>
      <c r="B46" s="1" t="n">
        <v>45510</v>
      </c>
      <c r="C46" s="1" t="n">
        <v>45889</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45889</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30876-2025</t>
        </is>
      </c>
      <c r="B48" s="1" t="n">
        <v>45832.34461805555</v>
      </c>
      <c r="C48" s="1" t="n">
        <v>45889</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33822-2023</t>
        </is>
      </c>
      <c r="B49" s="1" t="n">
        <v>45121</v>
      </c>
      <c r="C49" s="1" t="n">
        <v>45889</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19278-2025</t>
        </is>
      </c>
      <c r="B50" s="1" t="n">
        <v>45769.53180555555</v>
      </c>
      <c r="C50" s="1" t="n">
        <v>45889</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45889</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10982-2025</t>
        </is>
      </c>
      <c r="B52" s="1" t="n">
        <v>45723.40688657408</v>
      </c>
      <c r="C52" s="1" t="n">
        <v>45889</v>
      </c>
      <c r="D52" t="inlineStr">
        <is>
          <t>JÄMTLANDS LÄN</t>
        </is>
      </c>
      <c r="E52" t="inlineStr">
        <is>
          <t>RAGUNDA</t>
        </is>
      </c>
      <c r="F52" t="inlineStr">
        <is>
          <t>SCA</t>
        </is>
      </c>
      <c r="G52" t="n">
        <v>6.4</v>
      </c>
      <c r="H52" t="n">
        <v>0</v>
      </c>
      <c r="I52" t="n">
        <v>6</v>
      </c>
      <c r="J52" t="n">
        <v>2</v>
      </c>
      <c r="K52" t="n">
        <v>0</v>
      </c>
      <c r="L52" t="n">
        <v>0</v>
      </c>
      <c r="M52" t="n">
        <v>0</v>
      </c>
      <c r="N52" t="n">
        <v>0</v>
      </c>
      <c r="O52" t="n">
        <v>2</v>
      </c>
      <c r="P52" t="n">
        <v>0</v>
      </c>
      <c r="Q52" t="n">
        <v>8</v>
      </c>
      <c r="R52" s="2" t="inlineStr">
        <is>
          <t>Orange taggsvamp
Skrovlig taggsvamp
Barrfagerspindling
Bårdlav
Dropptaggsvamp
Skarp dropptaggsvamp
Stuplav
Svart trolldruva</t>
        </is>
      </c>
      <c r="S52">
        <f>HYPERLINK("https://klasma.github.io/Logging_2303/artfynd/A 10982-2025 artfynd.xlsx", "A 10982-2025")</f>
        <v/>
      </c>
      <c r="T52">
        <f>HYPERLINK("https://klasma.github.io/Logging_2303/kartor/A 10982-2025 karta.png", "A 10982-2025")</f>
        <v/>
      </c>
      <c r="V52">
        <f>HYPERLINK("https://klasma.github.io/Logging_2303/klagomål/A 10982-2025 FSC-klagomål.docx", "A 10982-2025")</f>
        <v/>
      </c>
      <c r="W52">
        <f>HYPERLINK("https://klasma.github.io/Logging_2303/klagomålsmail/A 10982-2025 FSC-klagomål mail.docx", "A 10982-2025")</f>
        <v/>
      </c>
      <c r="X52">
        <f>HYPERLINK("https://klasma.github.io/Logging_2303/tillsyn/A 10982-2025 tillsynsbegäran.docx", "A 10982-2025")</f>
        <v/>
      </c>
      <c r="Y52">
        <f>HYPERLINK("https://klasma.github.io/Logging_2303/tillsynsmail/A 10982-2025 tillsynsbegäran mail.docx", "A 10982-2025")</f>
        <v/>
      </c>
    </row>
    <row r="53" ht="15" customHeight="1">
      <c r="A53" t="inlineStr">
        <is>
          <t>A 3634-2024</t>
        </is>
      </c>
      <c r="B53" s="1" t="n">
        <v>45320</v>
      </c>
      <c r="C53" s="1" t="n">
        <v>45889</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55465-2024</t>
        </is>
      </c>
      <c r="B54" s="1" t="n">
        <v>45622</v>
      </c>
      <c r="C54" s="1" t="n">
        <v>45889</v>
      </c>
      <c r="D54" t="inlineStr">
        <is>
          <t>JÄMTLANDS LÄN</t>
        </is>
      </c>
      <c r="E54" t="inlineStr">
        <is>
          <t>RAGUNDA</t>
        </is>
      </c>
      <c r="G54" t="n">
        <v>3.9</v>
      </c>
      <c r="H54" t="n">
        <v>2</v>
      </c>
      <c r="I54" t="n">
        <v>1</v>
      </c>
      <c r="J54" t="n">
        <v>6</v>
      </c>
      <c r="K54" t="n">
        <v>1</v>
      </c>
      <c r="L54" t="n">
        <v>0</v>
      </c>
      <c r="M54" t="n">
        <v>0</v>
      </c>
      <c r="N54" t="n">
        <v>0</v>
      </c>
      <c r="O54" t="n">
        <v>7</v>
      </c>
      <c r="P54" t="n">
        <v>1</v>
      </c>
      <c r="Q54" t="n">
        <v>8</v>
      </c>
      <c r="R54" s="2" t="inlineStr">
        <is>
          <t>Knärot
Garnlav
Liten svartspik
Lunglav
Skrovellav
Tretåig hackspett
Vitgrynig nållav
Gulnål</t>
        </is>
      </c>
      <c r="S54">
        <f>HYPERLINK("https://klasma.github.io/Logging_2303/artfynd/A 55465-2024 artfynd.xlsx", "A 55465-2024")</f>
        <v/>
      </c>
      <c r="T54">
        <f>HYPERLINK("https://klasma.github.io/Logging_2303/kartor/A 55465-2024 karta.png", "A 55465-2024")</f>
        <v/>
      </c>
      <c r="U54">
        <f>HYPERLINK("https://klasma.github.io/Logging_2303/knärot/A 55465-2024 karta knärot.png", "A 55465-2024")</f>
        <v/>
      </c>
      <c r="V54">
        <f>HYPERLINK("https://klasma.github.io/Logging_2303/klagomål/A 55465-2024 FSC-klagomål.docx", "A 55465-2024")</f>
        <v/>
      </c>
      <c r="W54">
        <f>HYPERLINK("https://klasma.github.io/Logging_2303/klagomålsmail/A 55465-2024 FSC-klagomål mail.docx", "A 55465-2024")</f>
        <v/>
      </c>
      <c r="X54">
        <f>HYPERLINK("https://klasma.github.io/Logging_2303/tillsyn/A 55465-2024 tillsynsbegäran.docx", "A 55465-2024")</f>
        <v/>
      </c>
      <c r="Y54">
        <f>HYPERLINK("https://klasma.github.io/Logging_2303/tillsynsmail/A 55465-2024 tillsynsbegäran mail.docx", "A 55465-2024")</f>
        <v/>
      </c>
      <c r="Z54">
        <f>HYPERLINK("https://klasma.github.io/Logging_2303/fåglar/A 55465-2024 prioriterade fågelarter.docx", "A 55465-2024")</f>
        <v/>
      </c>
    </row>
    <row r="55" ht="15" customHeight="1">
      <c r="A55" t="inlineStr">
        <is>
          <t>A 32475-2023</t>
        </is>
      </c>
      <c r="B55" s="1" t="n">
        <v>45120</v>
      </c>
      <c r="C55" s="1" t="n">
        <v>45889</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45889</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30335-2025</t>
        </is>
      </c>
      <c r="B57" s="1" t="n">
        <v>45827.5110300926</v>
      </c>
      <c r="C57" s="1" t="n">
        <v>45889</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56211-2020</t>
        </is>
      </c>
      <c r="B58" s="1" t="n">
        <v>44133</v>
      </c>
      <c r="C58" s="1" t="n">
        <v>45889</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45889</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45889</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24169-2021</t>
        </is>
      </c>
      <c r="B61" s="1" t="n">
        <v>44336</v>
      </c>
      <c r="C61" s="1" t="n">
        <v>45889</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15977-2024</t>
        </is>
      </c>
      <c r="B62" s="1" t="n">
        <v>45405.57392361111</v>
      </c>
      <c r="C62" s="1" t="n">
        <v>45889</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11829-2023</t>
        </is>
      </c>
      <c r="B63" s="1" t="n">
        <v>44994</v>
      </c>
      <c r="C63" s="1" t="n">
        <v>45889</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37237-2023</t>
        </is>
      </c>
      <c r="B64" s="1" t="n">
        <v>45155</v>
      </c>
      <c r="C64" s="1" t="n">
        <v>45889</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37237-2023 artfynd.xlsx", "A 37237-2023")</f>
        <v/>
      </c>
      <c r="T64">
        <f>HYPERLINK("https://klasma.github.io/Logging_2303/kartor/A 37237-2023 karta.png", "A 37237-2023")</f>
        <v/>
      </c>
      <c r="U64">
        <f>HYPERLINK("https://klasma.github.io/Logging_2303/knärot/A 37237-2023 karta knärot.png", "A 37237-2023")</f>
        <v/>
      </c>
      <c r="V64">
        <f>HYPERLINK("https://klasma.github.io/Logging_2303/klagomål/A 37237-2023 FSC-klagomål.docx", "A 37237-2023")</f>
        <v/>
      </c>
      <c r="W64">
        <f>HYPERLINK("https://klasma.github.io/Logging_2303/klagomålsmail/A 37237-2023 FSC-klagomål mail.docx", "A 37237-2023")</f>
        <v/>
      </c>
      <c r="X64">
        <f>HYPERLINK("https://klasma.github.io/Logging_2303/tillsyn/A 37237-2023 tillsynsbegäran.docx", "A 37237-2023")</f>
        <v/>
      </c>
      <c r="Y64">
        <f>HYPERLINK("https://klasma.github.io/Logging_2303/tillsynsmail/A 37237-2023 tillsynsbegäran mail.docx", "A 37237-2023")</f>
        <v/>
      </c>
    </row>
    <row r="65" ht="15" customHeight="1">
      <c r="A65" t="inlineStr">
        <is>
          <t>A 41929-2023</t>
        </is>
      </c>
      <c r="B65" s="1" t="n">
        <v>45176</v>
      </c>
      <c r="C65" s="1" t="n">
        <v>45889</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26750-2025</t>
        </is>
      </c>
      <c r="B66" s="1" t="n">
        <v>45810.55061342593</v>
      </c>
      <c r="C66" s="1" t="n">
        <v>45889</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33806-2023</t>
        </is>
      </c>
      <c r="B67" s="1" t="n">
        <v>45121</v>
      </c>
      <c r="C67" s="1" t="n">
        <v>45889</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19399-2025</t>
        </is>
      </c>
      <c r="B68" s="1" t="n">
        <v>45769.67740740741</v>
      </c>
      <c r="C68" s="1" t="n">
        <v>45889</v>
      </c>
      <c r="D68" t="inlineStr">
        <is>
          <t>JÄMTLANDS LÄN</t>
        </is>
      </c>
      <c r="E68" t="inlineStr">
        <is>
          <t>RAGUNDA</t>
        </is>
      </c>
      <c r="F68" t="inlineStr">
        <is>
          <t>SCA</t>
        </is>
      </c>
      <c r="G68" t="n">
        <v>3.8</v>
      </c>
      <c r="H68" t="n">
        <v>2</v>
      </c>
      <c r="I68" t="n">
        <v>2</v>
      </c>
      <c r="J68" t="n">
        <v>4</v>
      </c>
      <c r="K68" t="n">
        <v>0</v>
      </c>
      <c r="L68" t="n">
        <v>0</v>
      </c>
      <c r="M68" t="n">
        <v>0</v>
      </c>
      <c r="N68" t="n">
        <v>0</v>
      </c>
      <c r="O68" t="n">
        <v>4</v>
      </c>
      <c r="P68" t="n">
        <v>0</v>
      </c>
      <c r="Q68" t="n">
        <v>7</v>
      </c>
      <c r="R68" s="2" t="inlineStr">
        <is>
          <t>Lunglav
Skrovellav
Tretåig hackspett
Ullticka
Skinnlav
Stuplav
Nattviol</t>
        </is>
      </c>
      <c r="S68">
        <f>HYPERLINK("https://klasma.github.io/Logging_2303/artfynd/A 19399-2025 artfynd.xlsx", "A 19399-2025")</f>
        <v/>
      </c>
      <c r="T68">
        <f>HYPERLINK("https://klasma.github.io/Logging_2303/kartor/A 19399-2025 karta.png", "A 19399-2025")</f>
        <v/>
      </c>
      <c r="V68">
        <f>HYPERLINK("https://klasma.github.io/Logging_2303/klagomål/A 19399-2025 FSC-klagomål.docx", "A 19399-2025")</f>
        <v/>
      </c>
      <c r="W68">
        <f>HYPERLINK("https://klasma.github.io/Logging_2303/klagomålsmail/A 19399-2025 FSC-klagomål mail.docx", "A 19399-2025")</f>
        <v/>
      </c>
      <c r="X68">
        <f>HYPERLINK("https://klasma.github.io/Logging_2303/tillsyn/A 19399-2025 tillsynsbegäran.docx", "A 19399-2025")</f>
        <v/>
      </c>
      <c r="Y68">
        <f>HYPERLINK("https://klasma.github.io/Logging_2303/tillsynsmail/A 19399-2025 tillsynsbegäran mail.docx", "A 19399-2025")</f>
        <v/>
      </c>
      <c r="Z68">
        <f>HYPERLINK("https://klasma.github.io/Logging_2303/fåglar/A 19399-2025 prioriterade fågelarter.docx", "A 19399-2025")</f>
        <v/>
      </c>
    </row>
    <row r="69" ht="15" customHeight="1">
      <c r="A69" t="inlineStr">
        <is>
          <t>A 61386-2022</t>
        </is>
      </c>
      <c r="B69" s="1" t="n">
        <v>44915</v>
      </c>
      <c r="C69" s="1" t="n">
        <v>45889</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45889</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22466-2025</t>
        </is>
      </c>
      <c r="B71" s="1" t="n">
        <v>45786.61517361111</v>
      </c>
      <c r="C71" s="1" t="n">
        <v>45889</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20397-2024</t>
        </is>
      </c>
      <c r="B72" s="1" t="n">
        <v>45435.54734953704</v>
      </c>
      <c r="C72" s="1" t="n">
        <v>45889</v>
      </c>
      <c r="D72" t="inlineStr">
        <is>
          <t>JÄMTLANDS LÄN</t>
        </is>
      </c>
      <c r="E72" t="inlineStr">
        <is>
          <t>RAGUNDA</t>
        </is>
      </c>
      <c r="G72" t="n">
        <v>18.5</v>
      </c>
      <c r="H72" t="n">
        <v>1</v>
      </c>
      <c r="I72" t="n">
        <v>4</v>
      </c>
      <c r="J72" t="n">
        <v>2</v>
      </c>
      <c r="K72" t="n">
        <v>1</v>
      </c>
      <c r="L72" t="n">
        <v>0</v>
      </c>
      <c r="M72" t="n">
        <v>0</v>
      </c>
      <c r="N72" t="n">
        <v>0</v>
      </c>
      <c r="O72" t="n">
        <v>3</v>
      </c>
      <c r="P72" t="n">
        <v>1</v>
      </c>
      <c r="Q72" t="n">
        <v>7</v>
      </c>
      <c r="R72" s="2" t="inlineStr">
        <is>
          <t>Lateritticka
Lunglav
Tallticka
Dropptaggsvamp
Finbräken
Guckusko
Svart trolldruva</t>
        </is>
      </c>
      <c r="S72">
        <f>HYPERLINK("https://klasma.github.io/Logging_2303/artfynd/A 20397-2024 artfynd.xlsx", "A 20397-2024")</f>
        <v/>
      </c>
      <c r="T72">
        <f>HYPERLINK("https://klasma.github.io/Logging_2303/kartor/A 20397-2024 karta.png", "A 20397-2024")</f>
        <v/>
      </c>
      <c r="V72">
        <f>HYPERLINK("https://klasma.github.io/Logging_2303/klagomål/A 20397-2024 FSC-klagomål.docx", "A 20397-2024")</f>
        <v/>
      </c>
      <c r="W72">
        <f>HYPERLINK("https://klasma.github.io/Logging_2303/klagomålsmail/A 20397-2024 FSC-klagomål mail.docx", "A 20397-2024")</f>
        <v/>
      </c>
      <c r="X72">
        <f>HYPERLINK("https://klasma.github.io/Logging_2303/tillsyn/A 20397-2024 tillsynsbegäran.docx", "A 20397-2024")</f>
        <v/>
      </c>
      <c r="Y72">
        <f>HYPERLINK("https://klasma.github.io/Logging_2303/tillsynsmail/A 20397-2024 tillsynsbegäran mail.docx", "A 20397-2024")</f>
        <v/>
      </c>
    </row>
    <row r="73" ht="15" customHeight="1">
      <c r="A73" t="inlineStr">
        <is>
          <t>A 41719-2023</t>
        </is>
      </c>
      <c r="B73" s="1" t="n">
        <v>45176</v>
      </c>
      <c r="C73" s="1" t="n">
        <v>45889</v>
      </c>
      <c r="D73" t="inlineStr">
        <is>
          <t>JÄMTLANDS LÄN</t>
        </is>
      </c>
      <c r="E73" t="inlineStr">
        <is>
          <t>RAGUNDA</t>
        </is>
      </c>
      <c r="G73" t="n">
        <v>14.5</v>
      </c>
      <c r="H73" t="n">
        <v>1</v>
      </c>
      <c r="I73" t="n">
        <v>1</v>
      </c>
      <c r="J73" t="n">
        <v>5</v>
      </c>
      <c r="K73" t="n">
        <v>0</v>
      </c>
      <c r="L73" t="n">
        <v>0</v>
      </c>
      <c r="M73" t="n">
        <v>0</v>
      </c>
      <c r="N73" t="n">
        <v>0</v>
      </c>
      <c r="O73" t="n">
        <v>5</v>
      </c>
      <c r="P73" t="n">
        <v>0</v>
      </c>
      <c r="Q73" t="n">
        <v>7</v>
      </c>
      <c r="R73" s="2" t="inlineStr">
        <is>
          <t>Dvärgbägarlav
Garnlav
Lunglav
Rosenticka
Vedflikmossa
Skinnlav
Tjäder</t>
        </is>
      </c>
      <c r="S73">
        <f>HYPERLINK("https://klasma.github.io/Logging_2303/artfynd/A 41719-2023 artfynd.xlsx", "A 41719-2023")</f>
        <v/>
      </c>
      <c r="T73">
        <f>HYPERLINK("https://klasma.github.io/Logging_2303/kartor/A 41719-2023 karta.png", "A 41719-2023")</f>
        <v/>
      </c>
      <c r="V73">
        <f>HYPERLINK("https://klasma.github.io/Logging_2303/klagomål/A 41719-2023 FSC-klagomål.docx", "A 41719-2023")</f>
        <v/>
      </c>
      <c r="W73">
        <f>HYPERLINK("https://klasma.github.io/Logging_2303/klagomålsmail/A 41719-2023 FSC-klagomål mail.docx", "A 41719-2023")</f>
        <v/>
      </c>
      <c r="X73">
        <f>HYPERLINK("https://klasma.github.io/Logging_2303/tillsyn/A 41719-2023 tillsynsbegäran.docx", "A 41719-2023")</f>
        <v/>
      </c>
      <c r="Y73">
        <f>HYPERLINK("https://klasma.github.io/Logging_2303/tillsynsmail/A 41719-2023 tillsynsbegäran mail.docx", "A 41719-2023")</f>
        <v/>
      </c>
      <c r="Z73">
        <f>HYPERLINK("https://klasma.github.io/Logging_2303/fåglar/A 41719-2023 prioriterade fågelarter.docx", "A 41719-2023")</f>
        <v/>
      </c>
    </row>
    <row r="74" ht="15" customHeight="1">
      <c r="A74" t="inlineStr">
        <is>
          <t>A 50987-2020</t>
        </is>
      </c>
      <c r="B74" s="1" t="n">
        <v>44111</v>
      </c>
      <c r="C74" s="1" t="n">
        <v>45889</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45889</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55646-2023</t>
        </is>
      </c>
      <c r="B76" s="1" t="n">
        <v>45238</v>
      </c>
      <c r="C76" s="1" t="n">
        <v>45889</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12040-2025</t>
        </is>
      </c>
      <c r="B77" s="1" t="n">
        <v>45728.65684027778</v>
      </c>
      <c r="C77" s="1" t="n">
        <v>45889</v>
      </c>
      <c r="D77" t="inlineStr">
        <is>
          <t>JÄMTLANDS LÄN</t>
        </is>
      </c>
      <c r="E77" t="inlineStr">
        <is>
          <t>RAGUNDA</t>
        </is>
      </c>
      <c r="F77" t="inlineStr">
        <is>
          <t>SCA</t>
        </is>
      </c>
      <c r="G77" t="n">
        <v>28.5</v>
      </c>
      <c r="H77" t="n">
        <v>0</v>
      </c>
      <c r="I77" t="n">
        <v>2</v>
      </c>
      <c r="J77" t="n">
        <v>4</v>
      </c>
      <c r="K77" t="n">
        <v>0</v>
      </c>
      <c r="L77" t="n">
        <v>0</v>
      </c>
      <c r="M77" t="n">
        <v>0</v>
      </c>
      <c r="N77" t="n">
        <v>0</v>
      </c>
      <c r="O77" t="n">
        <v>4</v>
      </c>
      <c r="P77" t="n">
        <v>0</v>
      </c>
      <c r="Q77" t="n">
        <v>6</v>
      </c>
      <c r="R77" s="2" t="inlineStr">
        <is>
          <t>Blå taggsvamp
Skrovlig taggsvamp
Tallriska
Äggvaxskivling
Dropptaggsvamp
Skarp dropptaggsvamp</t>
        </is>
      </c>
      <c r="S77">
        <f>HYPERLINK("https://klasma.github.io/Logging_2303/artfynd/A 12040-2025 artfynd.xlsx", "A 12040-2025")</f>
        <v/>
      </c>
      <c r="T77">
        <f>HYPERLINK("https://klasma.github.io/Logging_2303/kartor/A 12040-2025 karta.png", "A 12040-2025")</f>
        <v/>
      </c>
      <c r="V77">
        <f>HYPERLINK("https://klasma.github.io/Logging_2303/klagomål/A 12040-2025 FSC-klagomål.docx", "A 12040-2025")</f>
        <v/>
      </c>
      <c r="W77">
        <f>HYPERLINK("https://klasma.github.io/Logging_2303/klagomålsmail/A 12040-2025 FSC-klagomål mail.docx", "A 12040-2025")</f>
        <v/>
      </c>
      <c r="X77">
        <f>HYPERLINK("https://klasma.github.io/Logging_2303/tillsyn/A 12040-2025 tillsynsbegäran.docx", "A 12040-2025")</f>
        <v/>
      </c>
      <c r="Y77">
        <f>HYPERLINK("https://klasma.github.io/Logging_2303/tillsynsmail/A 12040-2025 tillsynsbegäran mail.docx", "A 12040-2025")</f>
        <v/>
      </c>
    </row>
    <row r="78" ht="15" customHeight="1">
      <c r="A78" t="inlineStr">
        <is>
          <t>A 27322-2024</t>
        </is>
      </c>
      <c r="B78" s="1" t="n">
        <v>45471.94783564815</v>
      </c>
      <c r="C78" s="1" t="n">
        <v>45889</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53021-2022</t>
        </is>
      </c>
      <c r="B79" s="1" t="n">
        <v>44875</v>
      </c>
      <c r="C79" s="1" t="n">
        <v>45889</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45889</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11828-2023</t>
        </is>
      </c>
      <c r="B81" s="1" t="n">
        <v>44994</v>
      </c>
      <c r="C81" s="1" t="n">
        <v>45889</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26326-2024</t>
        </is>
      </c>
      <c r="B82" s="1" t="n">
        <v>45468.97528935185</v>
      </c>
      <c r="C82" s="1" t="n">
        <v>45889</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24431-2024</t>
        </is>
      </c>
      <c r="B83" s="1" t="n">
        <v>45457</v>
      </c>
      <c r="C83" s="1" t="n">
        <v>45889</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36276-2025</t>
        </is>
      </c>
      <c r="B84" s="1" t="n">
        <v>45867.63619212963</v>
      </c>
      <c r="C84" s="1" t="n">
        <v>45889</v>
      </c>
      <c r="D84" t="inlineStr">
        <is>
          <t>JÄMTLANDS LÄN</t>
        </is>
      </c>
      <c r="E84" t="inlineStr">
        <is>
          <t>RAGUNDA</t>
        </is>
      </c>
      <c r="F84" t="inlineStr">
        <is>
          <t>SCA</t>
        </is>
      </c>
      <c r="G84" t="n">
        <v>3.2</v>
      </c>
      <c r="H84" t="n">
        <v>1</v>
      </c>
      <c r="I84" t="n">
        <v>2</v>
      </c>
      <c r="J84" t="n">
        <v>3</v>
      </c>
      <c r="K84" t="n">
        <v>1</v>
      </c>
      <c r="L84" t="n">
        <v>0</v>
      </c>
      <c r="M84" t="n">
        <v>0</v>
      </c>
      <c r="N84" t="n">
        <v>0</v>
      </c>
      <c r="O84" t="n">
        <v>4</v>
      </c>
      <c r="P84" t="n">
        <v>1</v>
      </c>
      <c r="Q84" t="n">
        <v>6</v>
      </c>
      <c r="R84" s="2" t="inlineStr">
        <is>
          <t>Knärot
Garnlav
Lunglav
Ullticka
Grovticka
Stuplav</t>
        </is>
      </c>
      <c r="S84">
        <f>HYPERLINK("https://klasma.github.io/Logging_2303/artfynd/A 36276-2025 artfynd.xlsx", "A 36276-2025")</f>
        <v/>
      </c>
      <c r="T84">
        <f>HYPERLINK("https://klasma.github.io/Logging_2303/kartor/A 36276-2025 karta.png", "A 36276-2025")</f>
        <v/>
      </c>
      <c r="U84">
        <f>HYPERLINK("https://klasma.github.io/Logging_2303/knärot/A 36276-2025 karta knärot.png", "A 36276-2025")</f>
        <v/>
      </c>
      <c r="V84">
        <f>HYPERLINK("https://klasma.github.io/Logging_2303/klagomål/A 36276-2025 FSC-klagomål.docx", "A 36276-2025")</f>
        <v/>
      </c>
      <c r="W84">
        <f>HYPERLINK("https://klasma.github.io/Logging_2303/klagomålsmail/A 36276-2025 FSC-klagomål mail.docx", "A 36276-2025")</f>
        <v/>
      </c>
      <c r="X84">
        <f>HYPERLINK("https://klasma.github.io/Logging_2303/tillsyn/A 36276-2025 tillsynsbegäran.docx", "A 36276-2025")</f>
        <v/>
      </c>
      <c r="Y84">
        <f>HYPERLINK("https://klasma.github.io/Logging_2303/tillsynsmail/A 36276-2025 tillsynsbegäran mail.docx", "A 36276-2025")</f>
        <v/>
      </c>
    </row>
    <row r="85" ht="15" customHeight="1">
      <c r="A85" t="inlineStr">
        <is>
          <t>A 30884-2025</t>
        </is>
      </c>
      <c r="B85" s="1" t="n">
        <v>45832.34564814815</v>
      </c>
      <c r="C85" s="1" t="n">
        <v>45889</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19402-2025</t>
        </is>
      </c>
      <c r="B86" s="1" t="n">
        <v>45769.67778935185</v>
      </c>
      <c r="C86" s="1" t="n">
        <v>45889</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933-2023</t>
        </is>
      </c>
      <c r="B87" s="1" t="n">
        <v>44932</v>
      </c>
      <c r="C87" s="1" t="n">
        <v>45889</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49239-2024</t>
        </is>
      </c>
      <c r="B88" s="1" t="n">
        <v>45595.44886574074</v>
      </c>
      <c r="C88" s="1" t="n">
        <v>45889</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30637-2024</t>
        </is>
      </c>
      <c r="B89" s="1" t="n">
        <v>45495.56244212963</v>
      </c>
      <c r="C89" s="1" t="n">
        <v>45889</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34317-2025</t>
        </is>
      </c>
      <c r="B90" s="1" t="n">
        <v>45846.41361111111</v>
      </c>
      <c r="C90" s="1" t="n">
        <v>45889</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45889</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60683-2022</t>
        </is>
      </c>
      <c r="B92" s="1" t="n">
        <v>44911</v>
      </c>
      <c r="C92" s="1" t="n">
        <v>45889</v>
      </c>
      <c r="D92" t="inlineStr">
        <is>
          <t>JÄMTLANDS LÄN</t>
        </is>
      </c>
      <c r="E92" t="inlineStr">
        <is>
          <t>RAGUNDA</t>
        </is>
      </c>
      <c r="F92" t="inlineStr">
        <is>
          <t>SCA</t>
        </is>
      </c>
      <c r="G92" t="n">
        <v>2.4</v>
      </c>
      <c r="H92" t="n">
        <v>2</v>
      </c>
      <c r="I92" t="n">
        <v>2</v>
      </c>
      <c r="J92" t="n">
        <v>1</v>
      </c>
      <c r="K92" t="n">
        <v>0</v>
      </c>
      <c r="L92" t="n">
        <v>0</v>
      </c>
      <c r="M92" t="n">
        <v>0</v>
      </c>
      <c r="N92" t="n">
        <v>0</v>
      </c>
      <c r="O92" t="n">
        <v>1</v>
      </c>
      <c r="P92" t="n">
        <v>0</v>
      </c>
      <c r="Q92" t="n">
        <v>5</v>
      </c>
      <c r="R92" s="2" t="inlineStr">
        <is>
          <t>Granticka
Blodticka
Diskvaxskivling
Fläcknycklar
Blåsippa</t>
        </is>
      </c>
      <c r="S92">
        <f>HYPERLINK("https://klasma.github.io/Logging_2303/artfynd/A 60683-2022 artfynd.xlsx", "A 60683-2022")</f>
        <v/>
      </c>
      <c r="T92">
        <f>HYPERLINK("https://klasma.github.io/Logging_2303/kartor/A 60683-2022 karta.png", "A 60683-2022")</f>
        <v/>
      </c>
      <c r="V92">
        <f>HYPERLINK("https://klasma.github.io/Logging_2303/klagomål/A 60683-2022 FSC-klagomål.docx", "A 60683-2022")</f>
        <v/>
      </c>
      <c r="W92">
        <f>HYPERLINK("https://klasma.github.io/Logging_2303/klagomålsmail/A 60683-2022 FSC-klagomål mail.docx", "A 60683-2022")</f>
        <v/>
      </c>
      <c r="X92">
        <f>HYPERLINK("https://klasma.github.io/Logging_2303/tillsyn/A 60683-2022 tillsynsbegäran.docx", "A 60683-2022")</f>
        <v/>
      </c>
      <c r="Y92">
        <f>HYPERLINK("https://klasma.github.io/Logging_2303/tillsynsmail/A 60683-2022 tillsynsbegäran mail.docx", "A 60683-2022")</f>
        <v/>
      </c>
    </row>
    <row r="93" ht="15" customHeight="1">
      <c r="A93" t="inlineStr">
        <is>
          <t>A 15379-2024</t>
        </is>
      </c>
      <c r="B93" s="1" t="n">
        <v>45400.94002314815</v>
      </c>
      <c r="C93" s="1" t="n">
        <v>45889</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38169-2024</t>
        </is>
      </c>
      <c r="B94" s="1" t="n">
        <v>45545.45748842593</v>
      </c>
      <c r="C94" s="1" t="n">
        <v>45889</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15244-2025</t>
        </is>
      </c>
      <c r="B95" s="1" t="n">
        <v>45744.61550925926</v>
      </c>
      <c r="C95" s="1" t="n">
        <v>45889</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13266-2023</t>
        </is>
      </c>
      <c r="B96" s="1" t="n">
        <v>45002.94356481481</v>
      </c>
      <c r="C96" s="1" t="n">
        <v>45889</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45889</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39365-2024</t>
        </is>
      </c>
      <c r="B98" s="1" t="n">
        <v>45551.46912037037</v>
      </c>
      <c r="C98" s="1" t="n">
        <v>45889</v>
      </c>
      <c r="D98" t="inlineStr">
        <is>
          <t>JÄMTLANDS LÄN</t>
        </is>
      </c>
      <c r="E98" t="inlineStr">
        <is>
          <t>RAGUNDA</t>
        </is>
      </c>
      <c r="F98" t="inlineStr">
        <is>
          <t>SCA</t>
        </is>
      </c>
      <c r="G98" t="n">
        <v>7.3</v>
      </c>
      <c r="H98" t="n">
        <v>0</v>
      </c>
      <c r="I98" t="n">
        <v>3</v>
      </c>
      <c r="J98" t="n">
        <v>2</v>
      </c>
      <c r="K98" t="n">
        <v>0</v>
      </c>
      <c r="L98" t="n">
        <v>0</v>
      </c>
      <c r="M98" t="n">
        <v>0</v>
      </c>
      <c r="N98" t="n">
        <v>0</v>
      </c>
      <c r="O98" t="n">
        <v>2</v>
      </c>
      <c r="P98" t="n">
        <v>0</v>
      </c>
      <c r="Q98" t="n">
        <v>5</v>
      </c>
      <c r="R98" s="2" t="inlineStr">
        <is>
          <t>Lunglav
Ullticka
Korallblylav
Stor aspticka
Vedticka</t>
        </is>
      </c>
      <c r="S98">
        <f>HYPERLINK("https://klasma.github.io/Logging_2303/artfynd/A 39365-2024 artfynd.xlsx", "A 39365-2024")</f>
        <v/>
      </c>
      <c r="T98">
        <f>HYPERLINK("https://klasma.github.io/Logging_2303/kartor/A 39365-2024 karta.png", "A 39365-2024")</f>
        <v/>
      </c>
      <c r="U98">
        <f>HYPERLINK("https://klasma.github.io/Logging_2303/knärot/A 39365-2024 karta knärot.png", "A 39365-2024")</f>
        <v/>
      </c>
      <c r="V98">
        <f>HYPERLINK("https://klasma.github.io/Logging_2303/klagomål/A 39365-2024 FSC-klagomål.docx", "A 39365-2024")</f>
        <v/>
      </c>
      <c r="W98">
        <f>HYPERLINK("https://klasma.github.io/Logging_2303/klagomålsmail/A 39365-2024 FSC-klagomål mail.docx", "A 39365-2024")</f>
        <v/>
      </c>
      <c r="X98">
        <f>HYPERLINK("https://klasma.github.io/Logging_2303/tillsyn/A 39365-2024 tillsynsbegäran.docx", "A 39365-2024")</f>
        <v/>
      </c>
      <c r="Y98">
        <f>HYPERLINK("https://klasma.github.io/Logging_2303/tillsynsmail/A 39365-2024 tillsynsbegäran mail.docx", "A 39365-2024")</f>
        <v/>
      </c>
    </row>
    <row r="99" ht="15" customHeight="1">
      <c r="A99" t="inlineStr">
        <is>
          <t>A 45969-2023</t>
        </is>
      </c>
      <c r="B99" s="1" t="n">
        <v>45195</v>
      </c>
      <c r="C99" s="1" t="n">
        <v>45889</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18629-2024</t>
        </is>
      </c>
      <c r="B100" s="1" t="n">
        <v>45425.96472222222</v>
      </c>
      <c r="C100" s="1" t="n">
        <v>45889</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43106-2023</t>
        </is>
      </c>
      <c r="B101" s="1" t="n">
        <v>45182</v>
      </c>
      <c r="C101" s="1" t="n">
        <v>45889</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57073-2023</t>
        </is>
      </c>
      <c r="B102" s="1" t="n">
        <v>45244</v>
      </c>
      <c r="C102" s="1" t="n">
        <v>45889</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27313-2024</t>
        </is>
      </c>
      <c r="B103" s="1" t="n">
        <v>45471.94623842592</v>
      </c>
      <c r="C103" s="1" t="n">
        <v>45889</v>
      </c>
      <c r="D103" t="inlineStr">
        <is>
          <t>JÄMTLANDS LÄN</t>
        </is>
      </c>
      <c r="E103" t="inlineStr">
        <is>
          <t>RAGUNDA</t>
        </is>
      </c>
      <c r="G103" t="n">
        <v>2.1</v>
      </c>
      <c r="H103" t="n">
        <v>2</v>
      </c>
      <c r="I103" t="n">
        <v>0</v>
      </c>
      <c r="J103" t="n">
        <v>3</v>
      </c>
      <c r="K103" t="n">
        <v>1</v>
      </c>
      <c r="L103" t="n">
        <v>0</v>
      </c>
      <c r="M103" t="n">
        <v>0</v>
      </c>
      <c r="N103" t="n">
        <v>0</v>
      </c>
      <c r="O103" t="n">
        <v>4</v>
      </c>
      <c r="P103" t="n">
        <v>1</v>
      </c>
      <c r="Q103" t="n">
        <v>5</v>
      </c>
      <c r="R103" s="2" t="inlineStr">
        <is>
          <t>Knärot
Gammelgransskål
Garnlav
Lunglav
Nattviol</t>
        </is>
      </c>
      <c r="S103">
        <f>HYPERLINK("https://klasma.github.io/Logging_2303/artfynd/A 27313-2024 artfynd.xlsx", "A 27313-2024")</f>
        <v/>
      </c>
      <c r="T103">
        <f>HYPERLINK("https://klasma.github.io/Logging_2303/kartor/A 27313-2024 karta.png", "A 27313-2024")</f>
        <v/>
      </c>
      <c r="U103">
        <f>HYPERLINK("https://klasma.github.io/Logging_2303/knärot/A 27313-2024 karta knärot.png", "A 27313-2024")</f>
        <v/>
      </c>
      <c r="V103">
        <f>HYPERLINK("https://klasma.github.io/Logging_2303/klagomål/A 27313-2024 FSC-klagomål.docx", "A 27313-2024")</f>
        <v/>
      </c>
      <c r="W103">
        <f>HYPERLINK("https://klasma.github.io/Logging_2303/klagomålsmail/A 27313-2024 FSC-klagomål mail.docx", "A 27313-2024")</f>
        <v/>
      </c>
      <c r="X103">
        <f>HYPERLINK("https://klasma.github.io/Logging_2303/tillsyn/A 27313-2024 tillsynsbegäran.docx", "A 27313-2024")</f>
        <v/>
      </c>
      <c r="Y103">
        <f>HYPERLINK("https://klasma.github.io/Logging_2303/tillsynsmail/A 27313-2024 tillsynsbegäran mail.docx", "A 27313-2024")</f>
        <v/>
      </c>
    </row>
    <row r="104" ht="15" customHeight="1">
      <c r="A104" t="inlineStr">
        <is>
          <t>A 30886-2025</t>
        </is>
      </c>
      <c r="B104" s="1" t="n">
        <v>45832.34578703704</v>
      </c>
      <c r="C104" s="1" t="n">
        <v>45889</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2579-2025</t>
        </is>
      </c>
      <c r="B105" s="1" t="n">
        <v>45674.67744212963</v>
      </c>
      <c r="C105" s="1" t="n">
        <v>45889</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8636-2021</t>
        </is>
      </c>
      <c r="B106" s="1" t="n">
        <v>44245</v>
      </c>
      <c r="C106" s="1" t="n">
        <v>45889</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45889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45889</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45889</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45889</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45889</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45889</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60670-2022</t>
        </is>
      </c>
      <c r="B113" s="1" t="n">
        <v>44911</v>
      </c>
      <c r="C113" s="1" t="n">
        <v>45889</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23931-2024</t>
        </is>
      </c>
      <c r="B114" s="1" t="n">
        <v>45455.96195601852</v>
      </c>
      <c r="C114" s="1" t="n">
        <v>45889</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21372-2025</t>
        </is>
      </c>
      <c r="B115" s="1" t="n">
        <v>45782.44871527778</v>
      </c>
      <c r="C115" s="1" t="n">
        <v>45889</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30465-2024</t>
        </is>
      </c>
      <c r="B116" s="1" t="n">
        <v>45491</v>
      </c>
      <c r="C116" s="1" t="n">
        <v>45889</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12640-2024</t>
        </is>
      </c>
      <c r="B117" s="1" t="n">
        <v>45384</v>
      </c>
      <c r="C117" s="1" t="n">
        <v>45889</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45889</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32067-2024</t>
        </is>
      </c>
      <c r="B119" s="1" t="n">
        <v>45510</v>
      </c>
      <c r="C119" s="1" t="n">
        <v>45889</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45889</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52644-2024</t>
        </is>
      </c>
      <c r="B121" s="1" t="n">
        <v>45610.34415509259</v>
      </c>
      <c r="C121" s="1" t="n">
        <v>45889</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26082-2025</t>
        </is>
      </c>
      <c r="B122" s="1" t="n">
        <v>45805.34415509259</v>
      </c>
      <c r="C122" s="1" t="n">
        <v>45889</v>
      </c>
      <c r="D122" t="inlineStr">
        <is>
          <t>JÄMTLANDS LÄN</t>
        </is>
      </c>
      <c r="E122" t="inlineStr">
        <is>
          <t>RAGUNDA</t>
        </is>
      </c>
      <c r="F122" t="inlineStr">
        <is>
          <t>SCA</t>
        </is>
      </c>
      <c r="G122" t="n">
        <v>5</v>
      </c>
      <c r="H122" t="n">
        <v>1</v>
      </c>
      <c r="I122" t="n">
        <v>0</v>
      </c>
      <c r="J122" t="n">
        <v>3</v>
      </c>
      <c r="K122" t="n">
        <v>1</v>
      </c>
      <c r="L122" t="n">
        <v>0</v>
      </c>
      <c r="M122" t="n">
        <v>0</v>
      </c>
      <c r="N122" t="n">
        <v>0</v>
      </c>
      <c r="O122" t="n">
        <v>4</v>
      </c>
      <c r="P122" t="n">
        <v>1</v>
      </c>
      <c r="Q122" t="n">
        <v>4</v>
      </c>
      <c r="R122" s="2" t="inlineStr">
        <is>
          <t>Knärot
Gammelgransskål
Lunglav
Vitgrynig nållav</t>
        </is>
      </c>
      <c r="S122">
        <f>HYPERLINK("https://klasma.github.io/Logging_2303/artfynd/A 26082-2025 artfynd.xlsx", "A 26082-2025")</f>
        <v/>
      </c>
      <c r="T122">
        <f>HYPERLINK("https://klasma.github.io/Logging_2303/kartor/A 26082-2025 karta.png", "A 26082-2025")</f>
        <v/>
      </c>
      <c r="U122">
        <f>HYPERLINK("https://klasma.github.io/Logging_2303/knärot/A 26082-2025 karta knärot.png", "A 26082-2025")</f>
        <v/>
      </c>
      <c r="V122">
        <f>HYPERLINK("https://klasma.github.io/Logging_2303/klagomål/A 26082-2025 FSC-klagomål.docx", "A 26082-2025")</f>
        <v/>
      </c>
      <c r="W122">
        <f>HYPERLINK("https://klasma.github.io/Logging_2303/klagomålsmail/A 26082-2025 FSC-klagomål mail.docx", "A 26082-2025")</f>
        <v/>
      </c>
      <c r="X122">
        <f>HYPERLINK("https://klasma.github.io/Logging_2303/tillsyn/A 26082-2025 tillsynsbegäran.docx", "A 26082-2025")</f>
        <v/>
      </c>
      <c r="Y122">
        <f>HYPERLINK("https://klasma.github.io/Logging_2303/tillsynsmail/A 26082-2025 tillsynsbegäran mail.docx", "A 26082-2025")</f>
        <v/>
      </c>
    </row>
    <row r="123" ht="15" customHeight="1">
      <c r="A123" t="inlineStr">
        <is>
          <t>A 51686-2020</t>
        </is>
      </c>
      <c r="B123" s="1" t="n">
        <v>44113</v>
      </c>
      <c r="C123" s="1" t="n">
        <v>45889</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17092-2022</t>
        </is>
      </c>
      <c r="B124" s="1" t="n">
        <v>44677</v>
      </c>
      <c r="C124" s="1" t="n">
        <v>45889</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30483-2024</t>
        </is>
      </c>
      <c r="B125" s="1" t="n">
        <v>45491</v>
      </c>
      <c r="C125" s="1" t="n">
        <v>45889</v>
      </c>
      <c r="D125" t="inlineStr">
        <is>
          <t>JÄMTLANDS LÄN</t>
        </is>
      </c>
      <c r="E125" t="inlineStr">
        <is>
          <t>RAGUNDA</t>
        </is>
      </c>
      <c r="F125" t="inlineStr">
        <is>
          <t>SCA</t>
        </is>
      </c>
      <c r="G125" t="n">
        <v>1.6</v>
      </c>
      <c r="H125" t="n">
        <v>1</v>
      </c>
      <c r="I125" t="n">
        <v>0</v>
      </c>
      <c r="J125" t="n">
        <v>4</v>
      </c>
      <c r="K125" t="n">
        <v>0</v>
      </c>
      <c r="L125" t="n">
        <v>0</v>
      </c>
      <c r="M125" t="n">
        <v>0</v>
      </c>
      <c r="N125" t="n">
        <v>0</v>
      </c>
      <c r="O125" t="n">
        <v>4</v>
      </c>
      <c r="P125" t="n">
        <v>0</v>
      </c>
      <c r="Q125" t="n">
        <v>4</v>
      </c>
      <c r="R125" s="2" t="inlineStr">
        <is>
          <t>Dvärgbägarlav
Järpe
Kolflarnlav
Vedskivlav</t>
        </is>
      </c>
      <c r="S125">
        <f>HYPERLINK("https://klasma.github.io/Logging_2303/artfynd/A 30483-2024 artfynd.xlsx", "A 30483-2024")</f>
        <v/>
      </c>
      <c r="T125">
        <f>HYPERLINK("https://klasma.github.io/Logging_2303/kartor/A 30483-2024 karta.png", "A 30483-2024")</f>
        <v/>
      </c>
      <c r="V125">
        <f>HYPERLINK("https://klasma.github.io/Logging_2303/klagomål/A 30483-2024 FSC-klagomål.docx", "A 30483-2024")</f>
        <v/>
      </c>
      <c r="W125">
        <f>HYPERLINK("https://klasma.github.io/Logging_2303/klagomålsmail/A 30483-2024 FSC-klagomål mail.docx", "A 30483-2024")</f>
        <v/>
      </c>
      <c r="X125">
        <f>HYPERLINK("https://klasma.github.io/Logging_2303/tillsyn/A 30483-2024 tillsynsbegäran.docx", "A 30483-2024")</f>
        <v/>
      </c>
      <c r="Y125">
        <f>HYPERLINK("https://klasma.github.io/Logging_2303/tillsynsmail/A 30483-2024 tillsynsbegäran mail.docx", "A 30483-2024")</f>
        <v/>
      </c>
      <c r="Z125">
        <f>HYPERLINK("https://klasma.github.io/Logging_2303/fåglar/A 30483-2024 prioriterade fågelarter.docx", "A 30483-2024")</f>
        <v/>
      </c>
    </row>
    <row r="126" ht="15" customHeight="1">
      <c r="A126" t="inlineStr">
        <is>
          <t>A 22467-2025</t>
        </is>
      </c>
      <c r="B126" s="1" t="n">
        <v>45786.61534722222</v>
      </c>
      <c r="C126" s="1" t="n">
        <v>45889</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45889</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45889</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45889</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45889</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45889</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45889</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45889</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45889</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58737-2022</t>
        </is>
      </c>
      <c r="B135" s="1" t="n">
        <v>44902</v>
      </c>
      <c r="C135" s="1" t="n">
        <v>45889</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16305-2025</t>
        </is>
      </c>
      <c r="B136" s="1" t="n">
        <v>45751.34650462963</v>
      </c>
      <c r="C136" s="1" t="n">
        <v>45889</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28178-2023</t>
        </is>
      </c>
      <c r="B137" s="1" t="n">
        <v>45093</v>
      </c>
      <c r="C137" s="1" t="n">
        <v>45889</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5048-2025</t>
        </is>
      </c>
      <c r="B138" s="1" t="n">
        <v>45691.44769675926</v>
      </c>
      <c r="C138" s="1" t="n">
        <v>45889</v>
      </c>
      <c r="D138" t="inlineStr">
        <is>
          <t>JÄMTLANDS LÄN</t>
        </is>
      </c>
      <c r="E138" t="inlineStr">
        <is>
          <t>RAGUNDA</t>
        </is>
      </c>
      <c r="F138" t="inlineStr">
        <is>
          <t>SCA</t>
        </is>
      </c>
      <c r="G138" t="n">
        <v>1.8</v>
      </c>
      <c r="H138" t="n">
        <v>3</v>
      </c>
      <c r="I138" t="n">
        <v>2</v>
      </c>
      <c r="J138" t="n">
        <v>0</v>
      </c>
      <c r="K138" t="n">
        <v>0</v>
      </c>
      <c r="L138" t="n">
        <v>0</v>
      </c>
      <c r="M138" t="n">
        <v>0</v>
      </c>
      <c r="N138" t="n">
        <v>0</v>
      </c>
      <c r="O138" t="n">
        <v>0</v>
      </c>
      <c r="P138" t="n">
        <v>0</v>
      </c>
      <c r="Q138" t="n">
        <v>3</v>
      </c>
      <c r="R138" s="2" t="inlineStr">
        <is>
          <t>Guckusko
Tvåblad
Fläcknycklar</t>
        </is>
      </c>
      <c r="S138">
        <f>HYPERLINK("https://klasma.github.io/Logging_2303/artfynd/A 5048-2025 artfynd.xlsx", "A 5048-2025")</f>
        <v/>
      </c>
      <c r="T138">
        <f>HYPERLINK("https://klasma.github.io/Logging_2303/kartor/A 5048-2025 karta.png", "A 5048-2025")</f>
        <v/>
      </c>
      <c r="V138">
        <f>HYPERLINK("https://klasma.github.io/Logging_2303/klagomål/A 5048-2025 FSC-klagomål.docx", "A 5048-2025")</f>
        <v/>
      </c>
      <c r="W138">
        <f>HYPERLINK("https://klasma.github.io/Logging_2303/klagomålsmail/A 5048-2025 FSC-klagomål mail.docx", "A 5048-2025")</f>
        <v/>
      </c>
      <c r="X138">
        <f>HYPERLINK("https://klasma.github.io/Logging_2303/tillsyn/A 5048-2025 tillsynsbegäran.docx", "A 5048-2025")</f>
        <v/>
      </c>
      <c r="Y138">
        <f>HYPERLINK("https://klasma.github.io/Logging_2303/tillsynsmail/A 5048-2025 tillsynsbegäran mail.docx", "A 5048-2025")</f>
        <v/>
      </c>
    </row>
    <row r="139" ht="15" customHeight="1">
      <c r="A139" t="inlineStr">
        <is>
          <t>A 20776-2024</t>
        </is>
      </c>
      <c r="B139" s="1" t="n">
        <v>45436.94686342592</v>
      </c>
      <c r="C139" s="1" t="n">
        <v>45889</v>
      </c>
      <c r="D139" t="inlineStr">
        <is>
          <t>JÄMTLANDS LÄN</t>
        </is>
      </c>
      <c r="E139" t="inlineStr">
        <is>
          <t>RAGUNDA</t>
        </is>
      </c>
      <c r="F139" t="inlineStr">
        <is>
          <t>SCA</t>
        </is>
      </c>
      <c r="G139" t="n">
        <v>5.2</v>
      </c>
      <c r="H139" t="n">
        <v>0</v>
      </c>
      <c r="I139" t="n">
        <v>0</v>
      </c>
      <c r="J139" t="n">
        <v>2</v>
      </c>
      <c r="K139" t="n">
        <v>1</v>
      </c>
      <c r="L139" t="n">
        <v>0</v>
      </c>
      <c r="M139" t="n">
        <v>0</v>
      </c>
      <c r="N139" t="n">
        <v>0</v>
      </c>
      <c r="O139" t="n">
        <v>3</v>
      </c>
      <c r="P139" t="n">
        <v>1</v>
      </c>
      <c r="Q139" t="n">
        <v>3</v>
      </c>
      <c r="R139" s="2" t="inlineStr">
        <is>
          <t>Liten hornflikmossa
Garnlav
Vedtrappmossa</t>
        </is>
      </c>
      <c r="S139">
        <f>HYPERLINK("https://klasma.github.io/Logging_2303/artfynd/A 20776-2024 artfynd.xlsx", "A 20776-2024")</f>
        <v/>
      </c>
      <c r="T139">
        <f>HYPERLINK("https://klasma.github.io/Logging_2303/kartor/A 20776-2024 karta.png", "A 20776-2024")</f>
        <v/>
      </c>
      <c r="V139">
        <f>HYPERLINK("https://klasma.github.io/Logging_2303/klagomål/A 20776-2024 FSC-klagomål.docx", "A 20776-2024")</f>
        <v/>
      </c>
      <c r="W139">
        <f>HYPERLINK("https://klasma.github.io/Logging_2303/klagomålsmail/A 20776-2024 FSC-klagomål mail.docx", "A 20776-2024")</f>
        <v/>
      </c>
      <c r="X139">
        <f>HYPERLINK("https://klasma.github.io/Logging_2303/tillsyn/A 20776-2024 tillsynsbegäran.docx", "A 20776-2024")</f>
        <v/>
      </c>
      <c r="Y139">
        <f>HYPERLINK("https://klasma.github.io/Logging_2303/tillsynsmail/A 20776-2024 tillsynsbegäran mail.docx", "A 20776-2024")</f>
        <v/>
      </c>
    </row>
    <row r="140" ht="15" customHeight="1">
      <c r="A140" t="inlineStr">
        <is>
          <t>A 21248-2025</t>
        </is>
      </c>
      <c r="B140" s="1" t="n">
        <v>45779.57392361111</v>
      </c>
      <c r="C140" s="1" t="n">
        <v>45889</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51010-2020</t>
        </is>
      </c>
      <c r="B141" s="1" t="n">
        <v>44111</v>
      </c>
      <c r="C141" s="1" t="n">
        <v>45889</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30470-2024</t>
        </is>
      </c>
      <c r="B142" s="1" t="n">
        <v>45491.94715277778</v>
      </c>
      <c r="C142" s="1" t="n">
        <v>45889</v>
      </c>
      <c r="D142" t="inlineStr">
        <is>
          <t>JÄMTLANDS LÄN</t>
        </is>
      </c>
      <c r="E142" t="inlineStr">
        <is>
          <t>RAGUNDA</t>
        </is>
      </c>
      <c r="F142" t="inlineStr">
        <is>
          <t>SCA</t>
        </is>
      </c>
      <c r="G142" t="n">
        <v>1.4</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HYPERLINK("https://klasma.github.io/Logging_2303/artfynd/A 30470-2024 artfynd.xlsx", "A 30470-2024")</f>
        <v/>
      </c>
      <c r="T142">
        <f>HYPERLINK("https://klasma.github.io/Logging_2303/kartor/A 30470-2024 karta.png", "A 30470-2024")</f>
        <v/>
      </c>
      <c r="U142">
        <f>HYPERLINK("https://klasma.github.io/Logging_2303/knärot/A 30470-2024 karta knärot.png", "A 30470-2024")</f>
        <v/>
      </c>
      <c r="V142">
        <f>HYPERLINK("https://klasma.github.io/Logging_2303/klagomål/A 30470-2024 FSC-klagomål.docx", "A 30470-2024")</f>
        <v/>
      </c>
      <c r="W142">
        <f>HYPERLINK("https://klasma.github.io/Logging_2303/klagomålsmail/A 30470-2024 FSC-klagomål mail.docx", "A 30470-2024")</f>
        <v/>
      </c>
      <c r="X142">
        <f>HYPERLINK("https://klasma.github.io/Logging_2303/tillsyn/A 30470-2024 tillsynsbegäran.docx", "A 30470-2024")</f>
        <v/>
      </c>
      <c r="Y142">
        <f>HYPERLINK("https://klasma.github.io/Logging_2303/tillsynsmail/A 30470-2024 tillsynsbegäran mail.docx", "A 30470-2024")</f>
        <v/>
      </c>
      <c r="Z142">
        <f>HYPERLINK("https://klasma.github.io/Logging_2303/fåglar/A 30470-2024 prioriterade fågelarter.docx", "A 30470-2024")</f>
        <v/>
      </c>
    </row>
    <row r="143" ht="15" customHeight="1">
      <c r="A143" t="inlineStr">
        <is>
          <t>A 57941-2024</t>
        </is>
      </c>
      <c r="B143" s="1" t="n">
        <v>45631</v>
      </c>
      <c r="C143" s="1" t="n">
        <v>45889</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7519-2023</t>
        </is>
      </c>
      <c r="B144" s="1" t="n">
        <v>44971</v>
      </c>
      <c r="C144" s="1" t="n">
        <v>45889</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58368-2024</t>
        </is>
      </c>
      <c r="B145" s="1" t="n">
        <v>45632.69822916666</v>
      </c>
      <c r="C145" s="1" t="n">
        <v>45889</v>
      </c>
      <c r="D145" t="inlineStr">
        <is>
          <t>JÄMTLANDS LÄN</t>
        </is>
      </c>
      <c r="E145" t="inlineStr">
        <is>
          <t>RAGUNDA</t>
        </is>
      </c>
      <c r="F145" t="inlineStr">
        <is>
          <t>SCA</t>
        </is>
      </c>
      <c r="G145" t="n">
        <v>4.1</v>
      </c>
      <c r="H145" t="n">
        <v>2</v>
      </c>
      <c r="I145" t="n">
        <v>0</v>
      </c>
      <c r="J145" t="n">
        <v>3</v>
      </c>
      <c r="K145" t="n">
        <v>0</v>
      </c>
      <c r="L145" t="n">
        <v>0</v>
      </c>
      <c r="M145" t="n">
        <v>0</v>
      </c>
      <c r="N145" t="n">
        <v>0</v>
      </c>
      <c r="O145" t="n">
        <v>3</v>
      </c>
      <c r="P145" t="n">
        <v>0</v>
      </c>
      <c r="Q145" t="n">
        <v>3</v>
      </c>
      <c r="R145" s="2" t="inlineStr">
        <is>
          <t>Järpe
Lunglav
Tretåig hackspett</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49047-2023</t>
        </is>
      </c>
      <c r="B146" s="1" t="n">
        <v>45209</v>
      </c>
      <c r="C146" s="1" t="n">
        <v>45889</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36504-2023</t>
        </is>
      </c>
      <c r="B147" s="1" t="n">
        <v>45152</v>
      </c>
      <c r="C147" s="1" t="n">
        <v>45889</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25769-2025</t>
        </is>
      </c>
      <c r="B148" s="1" t="n">
        <v>45804.34474537037</v>
      </c>
      <c r="C148" s="1" t="n">
        <v>45889</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34585-2025</t>
        </is>
      </c>
      <c r="B149" s="1" t="n">
        <v>45847.61498842593</v>
      </c>
      <c r="C149" s="1" t="n">
        <v>45889</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44302-2023</t>
        </is>
      </c>
      <c r="B150" s="1" t="n">
        <v>45188</v>
      </c>
      <c r="C150" s="1" t="n">
        <v>45889</v>
      </c>
      <c r="D150" t="inlineStr">
        <is>
          <t>JÄMTLANDS LÄN</t>
        </is>
      </c>
      <c r="E150" t="inlineStr">
        <is>
          <t>RAGUNDA</t>
        </is>
      </c>
      <c r="G150" t="n">
        <v>9.1</v>
      </c>
      <c r="H150" t="n">
        <v>1</v>
      </c>
      <c r="I150" t="n">
        <v>1</v>
      </c>
      <c r="J150" t="n">
        <v>2</v>
      </c>
      <c r="K150" t="n">
        <v>0</v>
      </c>
      <c r="L150" t="n">
        <v>0</v>
      </c>
      <c r="M150" t="n">
        <v>0</v>
      </c>
      <c r="N150" t="n">
        <v>0</v>
      </c>
      <c r="O150" t="n">
        <v>2</v>
      </c>
      <c r="P150" t="n">
        <v>0</v>
      </c>
      <c r="Q150" t="n">
        <v>3</v>
      </c>
      <c r="R150" s="2" t="inlineStr">
        <is>
          <t>Lunglav
Skrovellav
Korallrot</t>
        </is>
      </c>
      <c r="S150">
        <f>HYPERLINK("https://klasma.github.io/Logging_2303/artfynd/A 44302-2023 artfynd.xlsx", "A 44302-2023")</f>
        <v/>
      </c>
      <c r="T150">
        <f>HYPERLINK("https://klasma.github.io/Logging_2303/kartor/A 44302-2023 karta.png", "A 44302-2023")</f>
        <v/>
      </c>
      <c r="V150">
        <f>HYPERLINK("https://klasma.github.io/Logging_2303/klagomål/A 44302-2023 FSC-klagomål.docx", "A 44302-2023")</f>
        <v/>
      </c>
      <c r="W150">
        <f>HYPERLINK("https://klasma.github.io/Logging_2303/klagomålsmail/A 44302-2023 FSC-klagomål mail.docx", "A 44302-2023")</f>
        <v/>
      </c>
      <c r="X150">
        <f>HYPERLINK("https://klasma.github.io/Logging_2303/tillsyn/A 44302-2023 tillsynsbegäran.docx", "A 44302-2023")</f>
        <v/>
      </c>
      <c r="Y150">
        <f>HYPERLINK("https://klasma.github.io/Logging_2303/tillsynsmail/A 44302-2023 tillsynsbegäran mail.docx", "A 44302-2023")</f>
        <v/>
      </c>
    </row>
    <row r="151" ht="15" customHeight="1">
      <c r="A151" t="inlineStr">
        <is>
          <t>A 33278-2022</t>
        </is>
      </c>
      <c r="B151" s="1" t="n">
        <v>44788</v>
      </c>
      <c r="C151" s="1" t="n">
        <v>45889</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45889</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45889</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22571-2025</t>
        </is>
      </c>
      <c r="B154" s="1" t="n">
        <v>45789.36503472222</v>
      </c>
      <c r="C154" s="1" t="n">
        <v>45889</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32416-2025</t>
        </is>
      </c>
      <c r="B155" s="1" t="n">
        <v>45838</v>
      </c>
      <c r="C155" s="1" t="n">
        <v>45889</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32416-2025 artfynd.xlsx", "A 32416-2025")</f>
        <v/>
      </c>
      <c r="T155">
        <f>HYPERLINK("https://klasma.github.io/Logging_2303/kartor/A 32416-2025 karta.png", "A 32416-2025")</f>
        <v/>
      </c>
      <c r="V155">
        <f>HYPERLINK("https://klasma.github.io/Logging_2303/klagomål/A 32416-2025 FSC-klagomål.docx", "A 32416-2025")</f>
        <v/>
      </c>
      <c r="W155">
        <f>HYPERLINK("https://klasma.github.io/Logging_2303/klagomålsmail/A 32416-2025 FSC-klagomål mail.docx", "A 32416-2025")</f>
        <v/>
      </c>
      <c r="X155">
        <f>HYPERLINK("https://klasma.github.io/Logging_2303/tillsyn/A 32416-2025 tillsynsbegäran.docx", "A 32416-2025")</f>
        <v/>
      </c>
      <c r="Y155">
        <f>HYPERLINK("https://klasma.github.io/Logging_2303/tillsynsmail/A 32416-2025 tillsynsbegäran mail.docx", "A 32416-2025")</f>
        <v/>
      </c>
    </row>
    <row r="156" ht="15" customHeight="1">
      <c r="A156" t="inlineStr">
        <is>
          <t>A 17043-2022</t>
        </is>
      </c>
      <c r="B156" s="1" t="n">
        <v>44676</v>
      </c>
      <c r="C156" s="1" t="n">
        <v>45889</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45889</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36756-2023</t>
        </is>
      </c>
      <c r="B158" s="1" t="n">
        <v>45153</v>
      </c>
      <c r="C158" s="1" t="n">
        <v>45889</v>
      </c>
      <c r="D158" t="inlineStr">
        <is>
          <t>JÄMTLANDS LÄN</t>
        </is>
      </c>
      <c r="E158" t="inlineStr">
        <is>
          <t>RAGUNDA</t>
        </is>
      </c>
      <c r="G158" t="n">
        <v>3.5</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19384-2025</t>
        </is>
      </c>
      <c r="B159" s="1" t="n">
        <v>45769.65692129629</v>
      </c>
      <c r="C159" s="1" t="n">
        <v>45889</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3838-2024</t>
        </is>
      </c>
      <c r="B160" s="1" t="n">
        <v>45321</v>
      </c>
      <c r="C160" s="1" t="n">
        <v>45889</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55647-2023</t>
        </is>
      </c>
      <c r="B161" s="1" t="n">
        <v>45238</v>
      </c>
      <c r="C161" s="1" t="n">
        <v>45889</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12271-2024</t>
        </is>
      </c>
      <c r="B162" s="1" t="n">
        <v>45378</v>
      </c>
      <c r="C162" s="1" t="n">
        <v>45889</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11086-2025</t>
        </is>
      </c>
      <c r="B163" s="1" t="n">
        <v>45723.57329861111</v>
      </c>
      <c r="C163" s="1" t="n">
        <v>45889</v>
      </c>
      <c r="D163" t="inlineStr">
        <is>
          <t>JÄMTLANDS LÄN</t>
        </is>
      </c>
      <c r="E163" t="inlineStr">
        <is>
          <t>RAGUNDA</t>
        </is>
      </c>
      <c r="F163" t="inlineStr">
        <is>
          <t>SCA</t>
        </is>
      </c>
      <c r="G163" t="n">
        <v>10.8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HYPERLINK("https://klasma.github.io/Logging_2303/artfynd/A 11086-2025 artfynd.xlsx", "A 11086-2025")</f>
        <v/>
      </c>
      <c r="T163">
        <f>HYPERLINK("https://klasma.github.io/Logging_2303/kartor/A 11086-2025 karta.png", "A 11086-2025")</f>
        <v/>
      </c>
      <c r="V163">
        <f>HYPERLINK("https://klasma.github.io/Logging_2303/klagomål/A 11086-2025 FSC-klagomål.docx", "A 11086-2025")</f>
        <v/>
      </c>
      <c r="W163">
        <f>HYPERLINK("https://klasma.github.io/Logging_2303/klagomålsmail/A 11086-2025 FSC-klagomål mail.docx", "A 11086-2025")</f>
        <v/>
      </c>
      <c r="X163">
        <f>HYPERLINK("https://klasma.github.io/Logging_2303/tillsyn/A 11086-2025 tillsynsbegäran.docx", "A 11086-2025")</f>
        <v/>
      </c>
      <c r="Y163">
        <f>HYPERLINK("https://klasma.github.io/Logging_2303/tillsynsmail/A 11086-2025 tillsynsbegäran mail.docx", "A 11086-2025")</f>
        <v/>
      </c>
    </row>
    <row r="164" ht="15" customHeight="1">
      <c r="A164" t="inlineStr">
        <is>
          <t>A 41490-2022</t>
        </is>
      </c>
      <c r="B164" s="1" t="n">
        <v>44826.94976851852</v>
      </c>
      <c r="C164" s="1" t="n">
        <v>45889</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39495-2024</t>
        </is>
      </c>
      <c r="B165" s="1" t="n">
        <v>45551.65726851852</v>
      </c>
      <c r="C165" s="1" t="n">
        <v>45889</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45889</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50089-2022</t>
        </is>
      </c>
      <c r="B167" s="1" t="n">
        <v>44865</v>
      </c>
      <c r="C167" s="1" t="n">
        <v>45889</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21245-2025</t>
        </is>
      </c>
      <c r="B168" s="1" t="n">
        <v>45779.57350694444</v>
      </c>
      <c r="C168" s="1" t="n">
        <v>45889</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32736-2023</t>
        </is>
      </c>
      <c r="B169" s="1" t="n">
        <v>45121</v>
      </c>
      <c r="C169" s="1" t="n">
        <v>45889</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Vedtrappmossa
Stor aspticka</t>
        </is>
      </c>
      <c r="S169">
        <f>HYPERLINK("https://klasma.github.io/Logging_2303/artfynd/A 32736-2023 artfynd.xlsx", "A 32736-2023")</f>
        <v/>
      </c>
      <c r="T169">
        <f>HYPERLINK("https://klasma.github.io/Logging_2303/kartor/A 32736-2023 karta.png", "A 32736-2023")</f>
        <v/>
      </c>
      <c r="V169">
        <f>HYPERLINK("https://klasma.github.io/Logging_2303/klagomål/A 32736-2023 FSC-klagomål.docx", "A 32736-2023")</f>
        <v/>
      </c>
      <c r="W169">
        <f>HYPERLINK("https://klasma.github.io/Logging_2303/klagomålsmail/A 32736-2023 FSC-klagomål mail.docx", "A 32736-2023")</f>
        <v/>
      </c>
      <c r="X169">
        <f>HYPERLINK("https://klasma.github.io/Logging_2303/tillsyn/A 32736-2023 tillsynsbegäran.docx", "A 32736-2023")</f>
        <v/>
      </c>
      <c r="Y169">
        <f>HYPERLINK("https://klasma.github.io/Logging_2303/tillsynsmail/A 32736-2023 tillsynsbegäran mail.docx", "A 32736-2023")</f>
        <v/>
      </c>
    </row>
    <row r="170" ht="15" customHeight="1">
      <c r="A170" t="inlineStr">
        <is>
          <t>A 11544-2024</t>
        </is>
      </c>
      <c r="B170" s="1" t="n">
        <v>45372.95680555556</v>
      </c>
      <c r="C170" s="1" t="n">
        <v>45889</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45021-2023</t>
        </is>
      </c>
      <c r="B171" s="1" t="n">
        <v>45190</v>
      </c>
      <c r="C171" s="1" t="n">
        <v>45889</v>
      </c>
      <c r="D171" t="inlineStr">
        <is>
          <t>JÄMTLANDS LÄN</t>
        </is>
      </c>
      <c r="E171" t="inlineStr">
        <is>
          <t>RAGUNDA</t>
        </is>
      </c>
      <c r="F171" t="inlineStr">
        <is>
          <t>SCA</t>
        </is>
      </c>
      <c r="G171" t="n">
        <v>1.6</v>
      </c>
      <c r="H171" t="n">
        <v>1</v>
      </c>
      <c r="I171" t="n">
        <v>0</v>
      </c>
      <c r="J171" t="n">
        <v>1</v>
      </c>
      <c r="K171" t="n">
        <v>0</v>
      </c>
      <c r="L171" t="n">
        <v>0</v>
      </c>
      <c r="M171" t="n">
        <v>0</v>
      </c>
      <c r="N171" t="n">
        <v>0</v>
      </c>
      <c r="O171" t="n">
        <v>1</v>
      </c>
      <c r="P171" t="n">
        <v>0</v>
      </c>
      <c r="Q171" t="n">
        <v>2</v>
      </c>
      <c r="R171" s="2" t="inlineStr">
        <is>
          <t>Lunglav
Fläcknycklar</t>
        </is>
      </c>
      <c r="S171">
        <f>HYPERLINK("https://klasma.github.io/Logging_2303/artfynd/A 45021-2023 artfynd.xlsx", "A 45021-2023")</f>
        <v/>
      </c>
      <c r="T171">
        <f>HYPERLINK("https://klasma.github.io/Logging_2303/kartor/A 45021-2023 karta.png", "A 45021-2023")</f>
        <v/>
      </c>
      <c r="V171">
        <f>HYPERLINK("https://klasma.github.io/Logging_2303/klagomål/A 45021-2023 FSC-klagomål.docx", "A 45021-2023")</f>
        <v/>
      </c>
      <c r="W171">
        <f>HYPERLINK("https://klasma.github.io/Logging_2303/klagomålsmail/A 45021-2023 FSC-klagomål mail.docx", "A 45021-2023")</f>
        <v/>
      </c>
      <c r="X171">
        <f>HYPERLINK("https://klasma.github.io/Logging_2303/tillsyn/A 45021-2023 tillsynsbegäran.docx", "A 45021-2023")</f>
        <v/>
      </c>
      <c r="Y171">
        <f>HYPERLINK("https://klasma.github.io/Logging_2303/tillsynsmail/A 45021-2023 tillsynsbegäran mail.docx", "A 45021-2023")</f>
        <v/>
      </c>
    </row>
    <row r="172" ht="15" customHeight="1">
      <c r="A172" t="inlineStr">
        <is>
          <t>A 44409-2023</t>
        </is>
      </c>
      <c r="B172" s="1" t="n">
        <v>45188</v>
      </c>
      <c r="C172" s="1" t="n">
        <v>45889</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17733-2022</t>
        </is>
      </c>
      <c r="B173" s="1" t="n">
        <v>44680</v>
      </c>
      <c r="C173" s="1" t="n">
        <v>45889</v>
      </c>
      <c r="D173" t="inlineStr">
        <is>
          <t>JÄMTLANDS LÄN</t>
        </is>
      </c>
      <c r="E173" t="inlineStr">
        <is>
          <t>RAGUNDA</t>
        </is>
      </c>
      <c r="G173" t="n">
        <v>2.2</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17733-2022 artfynd.xlsx", "A 17733-2022")</f>
        <v/>
      </c>
      <c r="T173">
        <f>HYPERLINK("https://klasma.github.io/Logging_2303/kartor/A 17733-2022 karta.png", "A 17733-2022")</f>
        <v/>
      </c>
      <c r="V173">
        <f>HYPERLINK("https://klasma.github.io/Logging_2303/klagomål/A 17733-2022 FSC-klagomål.docx", "A 17733-2022")</f>
        <v/>
      </c>
      <c r="W173">
        <f>HYPERLINK("https://klasma.github.io/Logging_2303/klagomålsmail/A 17733-2022 FSC-klagomål mail.docx", "A 17733-2022")</f>
        <v/>
      </c>
      <c r="X173">
        <f>HYPERLINK("https://klasma.github.io/Logging_2303/tillsyn/A 17733-2022 tillsynsbegäran.docx", "A 17733-2022")</f>
        <v/>
      </c>
      <c r="Y173">
        <f>HYPERLINK("https://klasma.github.io/Logging_2303/tillsynsmail/A 17733-2022 tillsynsbegäran mail.docx", "A 17733-2022")</f>
        <v/>
      </c>
    </row>
    <row r="174" ht="15" customHeight="1">
      <c r="A174" t="inlineStr">
        <is>
          <t>A 40826-2023</t>
        </is>
      </c>
      <c r="B174" s="1" t="n">
        <v>45171</v>
      </c>
      <c r="C174" s="1" t="n">
        <v>45889</v>
      </c>
      <c r="D174" t="inlineStr">
        <is>
          <t>JÄMTLANDS LÄN</t>
        </is>
      </c>
      <c r="E174" t="inlineStr">
        <is>
          <t>RAGUNDA</t>
        </is>
      </c>
      <c r="F174" t="inlineStr">
        <is>
          <t>SCA</t>
        </is>
      </c>
      <c r="G174" t="n">
        <v>4.5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40826-2023 artfynd.xlsx", "A 40826-2023")</f>
        <v/>
      </c>
      <c r="T174">
        <f>HYPERLINK("https://klasma.github.io/Logging_2303/kartor/A 40826-2023 karta.png", "A 40826-2023")</f>
        <v/>
      </c>
      <c r="V174">
        <f>HYPERLINK("https://klasma.github.io/Logging_2303/klagomål/A 40826-2023 FSC-klagomål.docx", "A 40826-2023")</f>
        <v/>
      </c>
      <c r="W174">
        <f>HYPERLINK("https://klasma.github.io/Logging_2303/klagomålsmail/A 40826-2023 FSC-klagomål mail.docx", "A 40826-2023")</f>
        <v/>
      </c>
      <c r="X174">
        <f>HYPERLINK("https://klasma.github.io/Logging_2303/tillsyn/A 40826-2023 tillsynsbegäran.docx", "A 40826-2023")</f>
        <v/>
      </c>
      <c r="Y174">
        <f>HYPERLINK("https://klasma.github.io/Logging_2303/tillsynsmail/A 40826-2023 tillsynsbegäran mail.docx", "A 40826-2023")</f>
        <v/>
      </c>
    </row>
    <row r="175" ht="15" customHeight="1">
      <c r="A175" t="inlineStr">
        <is>
          <t>A 14502-2024</t>
        </is>
      </c>
      <c r="B175" s="1" t="n">
        <v>45394</v>
      </c>
      <c r="C175" s="1" t="n">
        <v>45889</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25155-2025</t>
        </is>
      </c>
      <c r="B176" s="1" t="n">
        <v>45800.42782407408</v>
      </c>
      <c r="C176" s="1" t="n">
        <v>45889</v>
      </c>
      <c r="D176" t="inlineStr">
        <is>
          <t>JÄMTLANDS LÄN</t>
        </is>
      </c>
      <c r="E176" t="inlineStr">
        <is>
          <t>RAGUNDA</t>
        </is>
      </c>
      <c r="F176" t="inlineStr">
        <is>
          <t>SCA</t>
        </is>
      </c>
      <c r="G176" t="n">
        <v>1.7</v>
      </c>
      <c r="H176" t="n">
        <v>1</v>
      </c>
      <c r="I176" t="n">
        <v>0</v>
      </c>
      <c r="J176" t="n">
        <v>1</v>
      </c>
      <c r="K176" t="n">
        <v>0</v>
      </c>
      <c r="L176" t="n">
        <v>0</v>
      </c>
      <c r="M176" t="n">
        <v>0</v>
      </c>
      <c r="N176" t="n">
        <v>0</v>
      </c>
      <c r="O176" t="n">
        <v>1</v>
      </c>
      <c r="P176" t="n">
        <v>0</v>
      </c>
      <c r="Q176" t="n">
        <v>2</v>
      </c>
      <c r="R176" s="2" t="inlineStr">
        <is>
          <t>Leptoporus mollis
Fläcknycklar</t>
        </is>
      </c>
      <c r="S176">
        <f>HYPERLINK("https://klasma.github.io/Logging_2303/artfynd/A 25155-2025 artfynd.xlsx", "A 25155-2025")</f>
        <v/>
      </c>
      <c r="T176">
        <f>HYPERLINK("https://klasma.github.io/Logging_2303/kartor/A 25155-2025 karta.png", "A 25155-2025")</f>
        <v/>
      </c>
      <c r="V176">
        <f>HYPERLINK("https://klasma.github.io/Logging_2303/klagomål/A 25155-2025 FSC-klagomål.docx", "A 25155-2025")</f>
        <v/>
      </c>
      <c r="W176">
        <f>HYPERLINK("https://klasma.github.io/Logging_2303/klagomålsmail/A 25155-2025 FSC-klagomål mail.docx", "A 25155-2025")</f>
        <v/>
      </c>
      <c r="X176">
        <f>HYPERLINK("https://klasma.github.io/Logging_2303/tillsyn/A 25155-2025 tillsynsbegäran.docx", "A 25155-2025")</f>
        <v/>
      </c>
      <c r="Y176">
        <f>HYPERLINK("https://klasma.github.io/Logging_2303/tillsynsmail/A 25155-2025 tillsynsbegäran mail.docx", "A 25155-2025")</f>
        <v/>
      </c>
    </row>
    <row r="177" ht="15" customHeight="1">
      <c r="A177" t="inlineStr">
        <is>
          <t>A 26482-2023</t>
        </is>
      </c>
      <c r="B177" s="1" t="n">
        <v>45089</v>
      </c>
      <c r="C177" s="1" t="n">
        <v>45889</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35131-2025</t>
        </is>
      </c>
      <c r="B178" s="1" t="n">
        <v>45852.63597222222</v>
      </c>
      <c r="C178" s="1" t="n">
        <v>45889</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35344-2025</t>
        </is>
      </c>
      <c r="B179" s="1" t="n">
        <v>45854.61494212963</v>
      </c>
      <c r="C179" s="1" t="n">
        <v>45889</v>
      </c>
      <c r="D179" t="inlineStr">
        <is>
          <t>JÄMTLANDS LÄN</t>
        </is>
      </c>
      <c r="E179" t="inlineStr">
        <is>
          <t>RAGUNDA</t>
        </is>
      </c>
      <c r="F179" t="inlineStr">
        <is>
          <t>SCA</t>
        </is>
      </c>
      <c r="G179" t="n">
        <v>6.1</v>
      </c>
      <c r="H179" t="n">
        <v>0</v>
      </c>
      <c r="I179" t="n">
        <v>0</v>
      </c>
      <c r="J179" t="n">
        <v>2</v>
      </c>
      <c r="K179" t="n">
        <v>0</v>
      </c>
      <c r="L179" t="n">
        <v>0</v>
      </c>
      <c r="M179" t="n">
        <v>0</v>
      </c>
      <c r="N179" t="n">
        <v>0</v>
      </c>
      <c r="O179" t="n">
        <v>2</v>
      </c>
      <c r="P179" t="n">
        <v>0</v>
      </c>
      <c r="Q179" t="n">
        <v>2</v>
      </c>
      <c r="R179" s="2" t="inlineStr">
        <is>
          <t>Svart taggsvamp
Vedtrappmossa</t>
        </is>
      </c>
      <c r="S179">
        <f>HYPERLINK("https://klasma.github.io/Logging_2303/artfynd/A 35344-2025 artfynd.xlsx", "A 35344-2025")</f>
        <v/>
      </c>
      <c r="T179">
        <f>HYPERLINK("https://klasma.github.io/Logging_2303/kartor/A 35344-2025 karta.png", "A 35344-2025")</f>
        <v/>
      </c>
      <c r="V179">
        <f>HYPERLINK("https://klasma.github.io/Logging_2303/klagomål/A 35344-2025 FSC-klagomål.docx", "A 35344-2025")</f>
        <v/>
      </c>
      <c r="W179">
        <f>HYPERLINK("https://klasma.github.io/Logging_2303/klagomålsmail/A 35344-2025 FSC-klagomål mail.docx", "A 35344-2025")</f>
        <v/>
      </c>
      <c r="X179">
        <f>HYPERLINK("https://klasma.github.io/Logging_2303/tillsyn/A 35344-2025 tillsynsbegäran.docx", "A 35344-2025")</f>
        <v/>
      </c>
      <c r="Y179">
        <f>HYPERLINK("https://klasma.github.io/Logging_2303/tillsynsmail/A 35344-2025 tillsynsbegäran mail.docx", "A 35344-2025")</f>
        <v/>
      </c>
    </row>
    <row r="180" ht="15" customHeight="1">
      <c r="A180" t="inlineStr">
        <is>
          <t>A 45035-2023</t>
        </is>
      </c>
      <c r="B180" s="1" t="n">
        <v>45191</v>
      </c>
      <c r="C180" s="1" t="n">
        <v>45889</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46771-2024</t>
        </is>
      </c>
      <c r="B181" s="1" t="n">
        <v>45583.49642361111</v>
      </c>
      <c r="C181" s="1" t="n">
        <v>45889</v>
      </c>
      <c r="D181" t="inlineStr">
        <is>
          <t>JÄMTLANDS LÄN</t>
        </is>
      </c>
      <c r="E181" t="inlineStr">
        <is>
          <t>RAGUNDA</t>
        </is>
      </c>
      <c r="F181" t="inlineStr">
        <is>
          <t>SCA</t>
        </is>
      </c>
      <c r="G181" t="n">
        <v>3.1</v>
      </c>
      <c r="H181" t="n">
        <v>0</v>
      </c>
      <c r="I181" t="n">
        <v>0</v>
      </c>
      <c r="J181" t="n">
        <v>2</v>
      </c>
      <c r="K181" t="n">
        <v>0</v>
      </c>
      <c r="L181" t="n">
        <v>0</v>
      </c>
      <c r="M181" t="n">
        <v>0</v>
      </c>
      <c r="N181" t="n">
        <v>0</v>
      </c>
      <c r="O181" t="n">
        <v>2</v>
      </c>
      <c r="P181" t="n">
        <v>0</v>
      </c>
      <c r="Q181" t="n">
        <v>2</v>
      </c>
      <c r="R181" s="2" t="inlineStr">
        <is>
          <t>Doftskinn
Gammelgransskål</t>
        </is>
      </c>
      <c r="S181">
        <f>HYPERLINK("https://klasma.github.io/Logging_2303/artfynd/A 46771-2024 artfynd.xlsx", "A 46771-2024")</f>
        <v/>
      </c>
      <c r="T181">
        <f>HYPERLINK("https://klasma.github.io/Logging_2303/kartor/A 46771-2024 karta.png", "A 46771-2024")</f>
        <v/>
      </c>
      <c r="V181">
        <f>HYPERLINK("https://klasma.github.io/Logging_2303/klagomål/A 46771-2024 FSC-klagomål.docx", "A 46771-2024")</f>
        <v/>
      </c>
      <c r="W181">
        <f>HYPERLINK("https://klasma.github.io/Logging_2303/klagomålsmail/A 46771-2024 FSC-klagomål mail.docx", "A 46771-2024")</f>
        <v/>
      </c>
      <c r="X181">
        <f>HYPERLINK("https://klasma.github.io/Logging_2303/tillsyn/A 46771-2024 tillsynsbegäran.docx", "A 46771-2024")</f>
        <v/>
      </c>
      <c r="Y181">
        <f>HYPERLINK("https://klasma.github.io/Logging_2303/tillsynsmail/A 46771-2024 tillsynsbegäran mail.docx", "A 46771-2024")</f>
        <v/>
      </c>
    </row>
    <row r="182" ht="15" customHeight="1">
      <c r="A182" t="inlineStr">
        <is>
          <t>A 56285-2023</t>
        </is>
      </c>
      <c r="B182" s="1" t="n">
        <v>45241</v>
      </c>
      <c r="C182" s="1" t="n">
        <v>45889</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10866-2025</t>
        </is>
      </c>
      <c r="B183" s="1" t="n">
        <v>45722.61543981481</v>
      </c>
      <c r="C183" s="1" t="n">
        <v>45889</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34715-2024</t>
        </is>
      </c>
      <c r="B184" s="1" t="n">
        <v>45526.56393518519</v>
      </c>
      <c r="C184" s="1" t="n">
        <v>45889</v>
      </c>
      <c r="D184" t="inlineStr">
        <is>
          <t>JÄMTLANDS LÄN</t>
        </is>
      </c>
      <c r="E184" t="inlineStr">
        <is>
          <t>RAGUNDA</t>
        </is>
      </c>
      <c r="F184" t="inlineStr">
        <is>
          <t>SCA</t>
        </is>
      </c>
      <c r="G184" t="n">
        <v>3</v>
      </c>
      <c r="H184" t="n">
        <v>0</v>
      </c>
      <c r="I184" t="n">
        <v>1</v>
      </c>
      <c r="J184" t="n">
        <v>1</v>
      </c>
      <c r="K184" t="n">
        <v>0</v>
      </c>
      <c r="L184" t="n">
        <v>0</v>
      </c>
      <c r="M184" t="n">
        <v>0</v>
      </c>
      <c r="N184" t="n">
        <v>0</v>
      </c>
      <c r="O184" t="n">
        <v>1</v>
      </c>
      <c r="P184" t="n">
        <v>0</v>
      </c>
      <c r="Q184" t="n">
        <v>2</v>
      </c>
      <c r="R184" s="2" t="inlineStr">
        <is>
          <t>Garnlav
Vedticka</t>
        </is>
      </c>
      <c r="S184">
        <f>HYPERLINK("https://klasma.github.io/Logging_2303/artfynd/A 34715-2024 artfynd.xlsx", "A 34715-2024")</f>
        <v/>
      </c>
      <c r="T184">
        <f>HYPERLINK("https://klasma.github.io/Logging_2303/kartor/A 34715-2024 karta.png", "A 34715-2024")</f>
        <v/>
      </c>
      <c r="V184">
        <f>HYPERLINK("https://klasma.github.io/Logging_2303/klagomål/A 34715-2024 FSC-klagomål.docx", "A 34715-2024")</f>
        <v/>
      </c>
      <c r="W184">
        <f>HYPERLINK("https://klasma.github.io/Logging_2303/klagomålsmail/A 34715-2024 FSC-klagomål mail.docx", "A 34715-2024")</f>
        <v/>
      </c>
      <c r="X184">
        <f>HYPERLINK("https://klasma.github.io/Logging_2303/tillsyn/A 34715-2024 tillsynsbegäran.docx", "A 34715-2024")</f>
        <v/>
      </c>
      <c r="Y184">
        <f>HYPERLINK("https://klasma.github.io/Logging_2303/tillsynsmail/A 34715-2024 tillsynsbegäran mail.docx", "A 34715-2024")</f>
        <v/>
      </c>
    </row>
    <row r="185" ht="15" customHeight="1">
      <c r="A185" t="inlineStr">
        <is>
          <t>A 57940-2024</t>
        </is>
      </c>
      <c r="B185" s="1" t="n">
        <v>45631</v>
      </c>
      <c r="C185" s="1" t="n">
        <v>45889</v>
      </c>
      <c r="D185" t="inlineStr">
        <is>
          <t>JÄMTLANDS LÄN</t>
        </is>
      </c>
      <c r="E185" t="inlineStr">
        <is>
          <t>RAGUNDA</t>
        </is>
      </c>
      <c r="F185" t="inlineStr">
        <is>
          <t>SCA</t>
        </is>
      </c>
      <c r="G185" t="n">
        <v>1.9</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HYPERLINK("https://klasma.github.io/Logging_2303/artfynd/A 57940-2024 artfynd.xlsx", "A 57940-2024")</f>
        <v/>
      </c>
      <c r="T185">
        <f>HYPERLINK("https://klasma.github.io/Logging_2303/kartor/A 57940-2024 karta.png", "A 57940-2024")</f>
        <v/>
      </c>
      <c r="V185">
        <f>HYPERLINK("https://klasma.github.io/Logging_2303/klagomål/A 57940-2024 FSC-klagomål.docx", "A 57940-2024")</f>
        <v/>
      </c>
      <c r="W185">
        <f>HYPERLINK("https://klasma.github.io/Logging_2303/klagomålsmail/A 57940-2024 FSC-klagomål mail.docx", "A 57940-2024")</f>
        <v/>
      </c>
      <c r="X185">
        <f>HYPERLINK("https://klasma.github.io/Logging_2303/tillsyn/A 57940-2024 tillsynsbegäran.docx", "A 57940-2024")</f>
        <v/>
      </c>
      <c r="Y185">
        <f>HYPERLINK("https://klasma.github.io/Logging_2303/tillsynsmail/A 57940-2024 tillsynsbegäran mail.docx", "A 57940-2024")</f>
        <v/>
      </c>
      <c r="Z185">
        <f>HYPERLINK("https://klasma.github.io/Logging_2303/fåglar/A 57940-2024 prioriterade fågelarter.docx", "A 57940-2024")</f>
        <v/>
      </c>
    </row>
    <row r="186" ht="15" customHeight="1">
      <c r="A186" t="inlineStr">
        <is>
          <t>A 48427-2023</t>
        </is>
      </c>
      <c r="B186" s="1" t="n">
        <v>45205</v>
      </c>
      <c r="C186" s="1" t="n">
        <v>45889</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48427-2023 artfynd.xlsx", "A 48427-2023")</f>
        <v/>
      </c>
      <c r="T186">
        <f>HYPERLINK("https://klasma.github.io/Logging_2303/kartor/A 48427-2023 karta.png", "A 48427-2023")</f>
        <v/>
      </c>
      <c r="V186">
        <f>HYPERLINK("https://klasma.github.io/Logging_2303/klagomål/A 48427-2023 FSC-klagomål.docx", "A 48427-2023")</f>
        <v/>
      </c>
      <c r="W186">
        <f>HYPERLINK("https://klasma.github.io/Logging_2303/klagomålsmail/A 48427-2023 FSC-klagomål mail.docx", "A 48427-2023")</f>
        <v/>
      </c>
      <c r="X186">
        <f>HYPERLINK("https://klasma.github.io/Logging_2303/tillsyn/A 48427-2023 tillsynsbegäran.docx", "A 48427-2023")</f>
        <v/>
      </c>
      <c r="Y186">
        <f>HYPERLINK("https://klasma.github.io/Logging_2303/tillsynsmail/A 48427-2023 tillsynsbegäran mail.docx", "A 48427-2023")</f>
        <v/>
      </c>
    </row>
    <row r="187" ht="15" customHeight="1">
      <c r="A187" t="inlineStr">
        <is>
          <t>A 48084-2022</t>
        </is>
      </c>
      <c r="B187" s="1" t="n">
        <v>44855</v>
      </c>
      <c r="C187" s="1" t="n">
        <v>45889</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26324-2024</t>
        </is>
      </c>
      <c r="B188" s="1" t="n">
        <v>45468.97495370371</v>
      </c>
      <c r="C188" s="1" t="n">
        <v>45889</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45889</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31960-2025</t>
        </is>
      </c>
      <c r="B190" s="1" t="n">
        <v>45835.344375</v>
      </c>
      <c r="C190" s="1" t="n">
        <v>45889</v>
      </c>
      <c r="D190" t="inlineStr">
        <is>
          <t>JÄMTLANDS LÄN</t>
        </is>
      </c>
      <c r="E190" t="inlineStr">
        <is>
          <t>RAGUNDA</t>
        </is>
      </c>
      <c r="F190" t="inlineStr">
        <is>
          <t>SCA</t>
        </is>
      </c>
      <c r="G190" t="n">
        <v>1.6</v>
      </c>
      <c r="H190" t="n">
        <v>0</v>
      </c>
      <c r="I190" t="n">
        <v>0</v>
      </c>
      <c r="J190" t="n">
        <v>2</v>
      </c>
      <c r="K190" t="n">
        <v>0</v>
      </c>
      <c r="L190" t="n">
        <v>0</v>
      </c>
      <c r="M190" t="n">
        <v>0</v>
      </c>
      <c r="N190" t="n">
        <v>0</v>
      </c>
      <c r="O190" t="n">
        <v>2</v>
      </c>
      <c r="P190" t="n">
        <v>0</v>
      </c>
      <c r="Q190" t="n">
        <v>2</v>
      </c>
      <c r="R190" s="2" t="inlineStr">
        <is>
          <t>Gammelgransskål
Garnlav</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64363-2020</t>
        </is>
      </c>
      <c r="B191" s="1" t="n">
        <v>44166</v>
      </c>
      <c r="C191" s="1" t="n">
        <v>45889</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51916-2021</t>
        </is>
      </c>
      <c r="B192" s="1" t="n">
        <v>44462</v>
      </c>
      <c r="C192" s="1" t="n">
        <v>45889</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21037-2021</t>
        </is>
      </c>
      <c r="B193" s="1" t="n">
        <v>44319</v>
      </c>
      <c r="C193" s="1" t="n">
        <v>45889</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45889</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45889</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45889</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45889</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45889</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16316-2025</t>
        </is>
      </c>
      <c r="B199" s="1" t="n">
        <v>45751.34795138889</v>
      </c>
      <c r="C199" s="1" t="n">
        <v>45889</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2929-2024</t>
        </is>
      </c>
      <c r="B200" s="1" t="n">
        <v>45315</v>
      </c>
      <c r="C200" s="1" t="n">
        <v>45889</v>
      </c>
      <c r="D200" t="inlineStr">
        <is>
          <t>JÄMTLANDS LÄN</t>
        </is>
      </c>
      <c r="E200" t="inlineStr">
        <is>
          <t>RAGUNDA</t>
        </is>
      </c>
      <c r="G200" t="n">
        <v>1</v>
      </c>
      <c r="H200" t="n">
        <v>0</v>
      </c>
      <c r="I200" t="n">
        <v>0</v>
      </c>
      <c r="J200" t="n">
        <v>1</v>
      </c>
      <c r="K200" t="n">
        <v>0</v>
      </c>
      <c r="L200" t="n">
        <v>0</v>
      </c>
      <c r="M200" t="n">
        <v>0</v>
      </c>
      <c r="N200" t="n">
        <v>0</v>
      </c>
      <c r="O200" t="n">
        <v>1</v>
      </c>
      <c r="P200" t="n">
        <v>0</v>
      </c>
      <c r="Q200" t="n">
        <v>1</v>
      </c>
      <c r="R200" s="2" t="inlineStr">
        <is>
          <t>Klådris</t>
        </is>
      </c>
      <c r="S200">
        <f>HYPERLINK("https://klasma.github.io/Logging_2303/artfynd/A 2929-2024 artfynd.xlsx", "A 2929-2024")</f>
        <v/>
      </c>
      <c r="T200">
        <f>HYPERLINK("https://klasma.github.io/Logging_2303/kartor/A 2929-2024 karta.png", "A 2929-2024")</f>
        <v/>
      </c>
      <c r="V200">
        <f>HYPERLINK("https://klasma.github.io/Logging_2303/klagomål/A 2929-2024 FSC-klagomål.docx", "A 2929-2024")</f>
        <v/>
      </c>
      <c r="W200">
        <f>HYPERLINK("https://klasma.github.io/Logging_2303/klagomålsmail/A 2929-2024 FSC-klagomål mail.docx", "A 2929-2024")</f>
        <v/>
      </c>
      <c r="X200">
        <f>HYPERLINK("https://klasma.github.io/Logging_2303/tillsyn/A 2929-2024 tillsynsbegäran.docx", "A 2929-2024")</f>
        <v/>
      </c>
      <c r="Y200">
        <f>HYPERLINK("https://klasma.github.io/Logging_2303/tillsynsmail/A 2929-2024 tillsynsbegäran mail.docx", "A 2929-2024")</f>
        <v/>
      </c>
    </row>
    <row r="201" ht="15" customHeight="1">
      <c r="A201" t="inlineStr">
        <is>
          <t>A 50233-2024</t>
        </is>
      </c>
      <c r="B201" s="1" t="n">
        <v>45600.55265046296</v>
      </c>
      <c r="C201" s="1" t="n">
        <v>45889</v>
      </c>
      <c r="D201" t="inlineStr">
        <is>
          <t>JÄMTLANDS LÄN</t>
        </is>
      </c>
      <c r="E201" t="inlineStr">
        <is>
          <t>RAGUNDA</t>
        </is>
      </c>
      <c r="F201" t="inlineStr">
        <is>
          <t>SCA</t>
        </is>
      </c>
      <c r="G201" t="n">
        <v>5.6</v>
      </c>
      <c r="H201" t="n">
        <v>0</v>
      </c>
      <c r="I201" t="n">
        <v>0</v>
      </c>
      <c r="J201" t="n">
        <v>1</v>
      </c>
      <c r="K201" t="n">
        <v>0</v>
      </c>
      <c r="L201" t="n">
        <v>0</v>
      </c>
      <c r="M201" t="n">
        <v>0</v>
      </c>
      <c r="N201" t="n">
        <v>0</v>
      </c>
      <c r="O201" t="n">
        <v>1</v>
      </c>
      <c r="P201" t="n">
        <v>0</v>
      </c>
      <c r="Q201" t="n">
        <v>1</v>
      </c>
      <c r="R201" s="2" t="inlineStr">
        <is>
          <t>Granticka</t>
        </is>
      </c>
      <c r="S201">
        <f>HYPERLINK("https://klasma.github.io/Logging_2303/artfynd/A 50233-2024 artfynd.xlsx", "A 50233-2024")</f>
        <v/>
      </c>
      <c r="T201">
        <f>HYPERLINK("https://klasma.github.io/Logging_2303/kartor/A 50233-2024 karta.png", "A 50233-2024")</f>
        <v/>
      </c>
      <c r="V201">
        <f>HYPERLINK("https://klasma.github.io/Logging_2303/klagomål/A 50233-2024 FSC-klagomål.docx", "A 50233-2024")</f>
        <v/>
      </c>
      <c r="W201">
        <f>HYPERLINK("https://klasma.github.io/Logging_2303/klagomålsmail/A 50233-2024 FSC-klagomål mail.docx", "A 50233-2024")</f>
        <v/>
      </c>
      <c r="X201">
        <f>HYPERLINK("https://klasma.github.io/Logging_2303/tillsyn/A 50233-2024 tillsynsbegäran.docx", "A 50233-2024")</f>
        <v/>
      </c>
      <c r="Y201">
        <f>HYPERLINK("https://klasma.github.io/Logging_2303/tillsynsmail/A 50233-2024 tillsynsbegäran mail.docx", "A 50233-2024")</f>
        <v/>
      </c>
    </row>
    <row r="202" ht="15" customHeight="1">
      <c r="A202" t="inlineStr">
        <is>
          <t>A 1057-2024</t>
        </is>
      </c>
      <c r="B202" s="1" t="n">
        <v>45301</v>
      </c>
      <c r="C202" s="1" t="n">
        <v>45889</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50164-2023</t>
        </is>
      </c>
      <c r="B203" s="1" t="n">
        <v>45208</v>
      </c>
      <c r="C203" s="1" t="n">
        <v>45889</v>
      </c>
      <c r="D203" t="inlineStr">
        <is>
          <t>JÄMTLANDS LÄN</t>
        </is>
      </c>
      <c r="E203" t="inlineStr">
        <is>
          <t>RAGUNDA</t>
        </is>
      </c>
      <c r="G203" t="n">
        <v>2.9</v>
      </c>
      <c r="H203" t="n">
        <v>0</v>
      </c>
      <c r="I203" t="n">
        <v>0</v>
      </c>
      <c r="J203" t="n">
        <v>0</v>
      </c>
      <c r="K203" t="n">
        <v>1</v>
      </c>
      <c r="L203" t="n">
        <v>0</v>
      </c>
      <c r="M203" t="n">
        <v>0</v>
      </c>
      <c r="N203" t="n">
        <v>0</v>
      </c>
      <c r="O203" t="n">
        <v>1</v>
      </c>
      <c r="P203" t="n">
        <v>1</v>
      </c>
      <c r="Q203" t="n">
        <v>1</v>
      </c>
      <c r="R203" s="2" t="inlineStr">
        <is>
          <t>Mindre barkplattbagge</t>
        </is>
      </c>
      <c r="S203">
        <f>HYPERLINK("https://klasma.github.io/Logging_2303/artfynd/A 50164-2023 artfynd.xlsx", "A 50164-2023")</f>
        <v/>
      </c>
      <c r="T203">
        <f>HYPERLINK("https://klasma.github.io/Logging_2303/kartor/A 50164-2023 karta.png", "A 50164-2023")</f>
        <v/>
      </c>
      <c r="V203">
        <f>HYPERLINK("https://klasma.github.io/Logging_2303/klagomål/A 50164-2023 FSC-klagomål.docx", "A 50164-2023")</f>
        <v/>
      </c>
      <c r="W203">
        <f>HYPERLINK("https://klasma.github.io/Logging_2303/klagomålsmail/A 50164-2023 FSC-klagomål mail.docx", "A 50164-2023")</f>
        <v/>
      </c>
      <c r="X203">
        <f>HYPERLINK("https://klasma.github.io/Logging_2303/tillsyn/A 50164-2023 tillsynsbegäran.docx", "A 50164-2023")</f>
        <v/>
      </c>
      <c r="Y203">
        <f>HYPERLINK("https://klasma.github.io/Logging_2303/tillsynsmail/A 50164-2023 tillsynsbegäran mail.docx", "A 50164-2023")</f>
        <v/>
      </c>
    </row>
    <row r="204" ht="15" customHeight="1">
      <c r="A204" t="inlineStr">
        <is>
          <t>A 978-2024</t>
        </is>
      </c>
      <c r="B204" s="1" t="n">
        <v>45301</v>
      </c>
      <c r="C204" s="1" t="n">
        <v>45889</v>
      </c>
      <c r="D204" t="inlineStr">
        <is>
          <t>JÄMTLANDS LÄN</t>
        </is>
      </c>
      <c r="E204" t="inlineStr">
        <is>
          <t>RAGUNDA</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978-2024 artfynd.xlsx", "A 978-2024")</f>
        <v/>
      </c>
      <c r="T204">
        <f>HYPERLINK("https://klasma.github.io/Logging_2303/kartor/A 978-2024 karta.png", "A 978-2024")</f>
        <v/>
      </c>
      <c r="V204">
        <f>HYPERLINK("https://klasma.github.io/Logging_2303/klagomål/A 978-2024 FSC-klagomål.docx", "A 978-2024")</f>
        <v/>
      </c>
      <c r="W204">
        <f>HYPERLINK("https://klasma.github.io/Logging_2303/klagomålsmail/A 978-2024 FSC-klagomål mail.docx", "A 978-2024")</f>
        <v/>
      </c>
      <c r="X204">
        <f>HYPERLINK("https://klasma.github.io/Logging_2303/tillsyn/A 978-2024 tillsynsbegäran.docx", "A 978-2024")</f>
        <v/>
      </c>
      <c r="Y204">
        <f>HYPERLINK("https://klasma.github.io/Logging_2303/tillsynsmail/A 978-2024 tillsynsbegäran mail.docx", "A 978-2024")</f>
        <v/>
      </c>
      <c r="Z204">
        <f>HYPERLINK("https://klasma.github.io/Logging_2303/fåglar/A 978-2024 prioriterade fågelarter.docx", "A 978-2024")</f>
        <v/>
      </c>
    </row>
    <row r="205" ht="15" customHeight="1">
      <c r="A205" t="inlineStr">
        <is>
          <t>A 59104-2023</t>
        </is>
      </c>
      <c r="B205" s="1" t="n">
        <v>45252</v>
      </c>
      <c r="C205" s="1" t="n">
        <v>45889</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19751-2025</t>
        </is>
      </c>
      <c r="B206" s="1" t="n">
        <v>45771.3859837963</v>
      </c>
      <c r="C206" s="1" t="n">
        <v>45889</v>
      </c>
      <c r="D206" t="inlineStr">
        <is>
          <t>JÄMTLANDS LÄN</t>
        </is>
      </c>
      <c r="E206" t="inlineStr">
        <is>
          <t>RAGUNDA</t>
        </is>
      </c>
      <c r="F206" t="inlineStr">
        <is>
          <t>SCA</t>
        </is>
      </c>
      <c r="G206" t="n">
        <v>1.1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19751-2025 artfynd.xlsx", "A 19751-2025")</f>
        <v/>
      </c>
      <c r="T206">
        <f>HYPERLINK("https://klasma.github.io/Logging_2303/kartor/A 19751-2025 karta.png", "A 19751-2025")</f>
        <v/>
      </c>
      <c r="V206">
        <f>HYPERLINK("https://klasma.github.io/Logging_2303/klagomål/A 19751-2025 FSC-klagomål.docx", "A 19751-2025")</f>
        <v/>
      </c>
      <c r="W206">
        <f>HYPERLINK("https://klasma.github.io/Logging_2303/klagomålsmail/A 19751-2025 FSC-klagomål mail.docx", "A 19751-2025")</f>
        <v/>
      </c>
      <c r="X206">
        <f>HYPERLINK("https://klasma.github.io/Logging_2303/tillsyn/A 19751-2025 tillsynsbegäran.docx", "A 19751-2025")</f>
        <v/>
      </c>
      <c r="Y206">
        <f>HYPERLINK("https://klasma.github.io/Logging_2303/tillsynsmail/A 19751-2025 tillsynsbegäran mail.docx", "A 19751-2025")</f>
        <v/>
      </c>
      <c r="Z206">
        <f>HYPERLINK("https://klasma.github.io/Logging_2303/fåglar/A 19751-2025 prioriterade fågelarter.docx", "A 19751-2025")</f>
        <v/>
      </c>
    </row>
    <row r="207" ht="15" customHeight="1">
      <c r="A207" t="inlineStr">
        <is>
          <t>A 23930-2024</t>
        </is>
      </c>
      <c r="B207" s="1" t="n">
        <v>45455.96184027778</v>
      </c>
      <c r="C207" s="1" t="n">
        <v>45889</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36224-2023</t>
        </is>
      </c>
      <c r="B208" s="1" t="n">
        <v>45149</v>
      </c>
      <c r="C208" s="1" t="n">
        <v>45889</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6703-2024</t>
        </is>
      </c>
      <c r="B209" s="1" t="n">
        <v>45341</v>
      </c>
      <c r="C209" s="1" t="n">
        <v>45889</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17340-2023</t>
        </is>
      </c>
      <c r="B210" s="1" t="n">
        <v>45033</v>
      </c>
      <c r="C210" s="1" t="n">
        <v>45889</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58846-2024</t>
        </is>
      </c>
      <c r="B211" s="1" t="n">
        <v>45636.3863425926</v>
      </c>
      <c r="C211" s="1" t="n">
        <v>45889</v>
      </c>
      <c r="D211" t="inlineStr">
        <is>
          <t>JÄMTLANDS LÄN</t>
        </is>
      </c>
      <c r="E211" t="inlineStr">
        <is>
          <t>RAGUNDA</t>
        </is>
      </c>
      <c r="F211" t="inlineStr">
        <is>
          <t>SCA</t>
        </is>
      </c>
      <c r="G211" t="n">
        <v>1.5</v>
      </c>
      <c r="H211" t="n">
        <v>0</v>
      </c>
      <c r="I211" t="n">
        <v>0</v>
      </c>
      <c r="J211" t="n">
        <v>0</v>
      </c>
      <c r="K211" t="n">
        <v>1</v>
      </c>
      <c r="L211" t="n">
        <v>0</v>
      </c>
      <c r="M211" t="n">
        <v>0</v>
      </c>
      <c r="N211" t="n">
        <v>0</v>
      </c>
      <c r="O211" t="n">
        <v>1</v>
      </c>
      <c r="P211" t="n">
        <v>1</v>
      </c>
      <c r="Q211" t="n">
        <v>1</v>
      </c>
      <c r="R211" s="2" t="inlineStr">
        <is>
          <t>Rynkskinn</t>
        </is>
      </c>
      <c r="S211">
        <f>HYPERLINK("https://klasma.github.io/Logging_2303/artfynd/A 58846-2024 artfynd.xlsx", "A 58846-2024")</f>
        <v/>
      </c>
      <c r="T211">
        <f>HYPERLINK("https://klasma.github.io/Logging_2303/kartor/A 58846-2024 karta.png", "A 58846-2024")</f>
        <v/>
      </c>
      <c r="V211">
        <f>HYPERLINK("https://klasma.github.io/Logging_2303/klagomål/A 58846-2024 FSC-klagomål.docx", "A 58846-2024")</f>
        <v/>
      </c>
      <c r="W211">
        <f>HYPERLINK("https://klasma.github.io/Logging_2303/klagomålsmail/A 58846-2024 FSC-klagomål mail.docx", "A 58846-2024")</f>
        <v/>
      </c>
      <c r="X211">
        <f>HYPERLINK("https://klasma.github.io/Logging_2303/tillsyn/A 58846-2024 tillsynsbegäran.docx", "A 58846-2024")</f>
        <v/>
      </c>
      <c r="Y211">
        <f>HYPERLINK("https://klasma.github.io/Logging_2303/tillsynsmail/A 58846-2024 tillsynsbegäran mail.docx", "A 58846-2024")</f>
        <v/>
      </c>
    </row>
    <row r="212" ht="15" customHeight="1">
      <c r="A212" t="inlineStr">
        <is>
          <t>A 26322-2024</t>
        </is>
      </c>
      <c r="B212" s="1" t="n">
        <v>45468.97461805555</v>
      </c>
      <c r="C212" s="1" t="n">
        <v>45889</v>
      </c>
      <c r="D212" t="inlineStr">
        <is>
          <t>JÄMTLANDS LÄN</t>
        </is>
      </c>
      <c r="E212" t="inlineStr">
        <is>
          <t>RAGUNDA</t>
        </is>
      </c>
      <c r="F212" t="inlineStr">
        <is>
          <t>SCA</t>
        </is>
      </c>
      <c r="G212" t="n">
        <v>9.6</v>
      </c>
      <c r="H212" t="n">
        <v>0</v>
      </c>
      <c r="I212" t="n">
        <v>0</v>
      </c>
      <c r="J212" t="n">
        <v>1</v>
      </c>
      <c r="K212" t="n">
        <v>0</v>
      </c>
      <c r="L212" t="n">
        <v>0</v>
      </c>
      <c r="M212" t="n">
        <v>0</v>
      </c>
      <c r="N212" t="n">
        <v>0</v>
      </c>
      <c r="O212" t="n">
        <v>1</v>
      </c>
      <c r="P212" t="n">
        <v>0</v>
      </c>
      <c r="Q212" t="n">
        <v>1</v>
      </c>
      <c r="R212" s="2" t="inlineStr">
        <is>
          <t>Rosenticka</t>
        </is>
      </c>
      <c r="S212">
        <f>HYPERLINK("https://klasma.github.io/Logging_2303/artfynd/A 26322-2024 artfynd.xlsx", "A 26322-2024")</f>
        <v/>
      </c>
      <c r="T212">
        <f>HYPERLINK("https://klasma.github.io/Logging_2303/kartor/A 26322-2024 karta.png", "A 26322-2024")</f>
        <v/>
      </c>
      <c r="U212">
        <f>HYPERLINK("https://klasma.github.io/Logging_2303/knärot/A 26322-2024 karta knärot.png", "A 26322-2024")</f>
        <v/>
      </c>
      <c r="V212">
        <f>HYPERLINK("https://klasma.github.io/Logging_2303/klagomål/A 26322-2024 FSC-klagomål.docx", "A 26322-2024")</f>
        <v/>
      </c>
      <c r="W212">
        <f>HYPERLINK("https://klasma.github.io/Logging_2303/klagomålsmail/A 26322-2024 FSC-klagomål mail.docx", "A 26322-2024")</f>
        <v/>
      </c>
      <c r="X212">
        <f>HYPERLINK("https://klasma.github.io/Logging_2303/tillsyn/A 26322-2024 tillsynsbegäran.docx", "A 26322-2024")</f>
        <v/>
      </c>
      <c r="Y212">
        <f>HYPERLINK("https://klasma.github.io/Logging_2303/tillsynsmail/A 26322-2024 tillsynsbegäran mail.docx", "A 26322-2024")</f>
        <v/>
      </c>
    </row>
    <row r="213" ht="15" customHeight="1">
      <c r="A213" t="inlineStr">
        <is>
          <t>A 24443-2024</t>
        </is>
      </c>
      <c r="B213" s="1" t="n">
        <v>45457.9640625</v>
      </c>
      <c r="C213" s="1" t="n">
        <v>45889</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21212-2025</t>
        </is>
      </c>
      <c r="B214" s="1" t="n">
        <v>45779.48993055556</v>
      </c>
      <c r="C214" s="1" t="n">
        <v>45889</v>
      </c>
      <c r="D214" t="inlineStr">
        <is>
          <t>JÄMTLANDS LÄN</t>
        </is>
      </c>
      <c r="E214" t="inlineStr">
        <is>
          <t>RAGUNDA</t>
        </is>
      </c>
      <c r="F214" t="inlineStr">
        <is>
          <t>SCA</t>
        </is>
      </c>
      <c r="G214" t="n">
        <v>2.6</v>
      </c>
      <c r="H214" t="n">
        <v>0</v>
      </c>
      <c r="I214" t="n">
        <v>0</v>
      </c>
      <c r="J214" t="n">
        <v>1</v>
      </c>
      <c r="K214" t="n">
        <v>0</v>
      </c>
      <c r="L214" t="n">
        <v>0</v>
      </c>
      <c r="M214" t="n">
        <v>0</v>
      </c>
      <c r="N214" t="n">
        <v>0</v>
      </c>
      <c r="O214" t="n">
        <v>1</v>
      </c>
      <c r="P214" t="n">
        <v>0</v>
      </c>
      <c r="Q214" t="n">
        <v>1</v>
      </c>
      <c r="R214" s="2" t="inlineStr">
        <is>
          <t>Garnlav</t>
        </is>
      </c>
      <c r="S214">
        <f>HYPERLINK("https://klasma.github.io/Logging_2303/artfynd/A 21212-2025 artfynd.xlsx", "A 21212-2025")</f>
        <v/>
      </c>
      <c r="T214">
        <f>HYPERLINK("https://klasma.github.io/Logging_2303/kartor/A 21212-2025 karta.png", "A 21212-2025")</f>
        <v/>
      </c>
      <c r="V214">
        <f>HYPERLINK("https://klasma.github.io/Logging_2303/klagomål/A 21212-2025 FSC-klagomål.docx", "A 21212-2025")</f>
        <v/>
      </c>
      <c r="W214">
        <f>HYPERLINK("https://klasma.github.io/Logging_2303/klagomålsmail/A 21212-2025 FSC-klagomål mail.docx", "A 21212-2025")</f>
        <v/>
      </c>
      <c r="X214">
        <f>HYPERLINK("https://klasma.github.io/Logging_2303/tillsyn/A 21212-2025 tillsynsbegäran.docx", "A 21212-2025")</f>
        <v/>
      </c>
      <c r="Y214">
        <f>HYPERLINK("https://klasma.github.io/Logging_2303/tillsynsmail/A 21212-2025 tillsynsbegäran mail.docx", "A 21212-2025")</f>
        <v/>
      </c>
    </row>
    <row r="215" ht="15" customHeight="1">
      <c r="A215" t="inlineStr">
        <is>
          <t>A 16724-2025</t>
        </is>
      </c>
      <c r="B215" s="1" t="n">
        <v>45754.51064814815</v>
      </c>
      <c r="C215" s="1" t="n">
        <v>45889</v>
      </c>
      <c r="D215" t="inlineStr">
        <is>
          <t>JÄMTLANDS LÄN</t>
        </is>
      </c>
      <c r="E215" t="inlineStr">
        <is>
          <t>RAGUNDA</t>
        </is>
      </c>
      <c r="G215" t="n">
        <v>3.5</v>
      </c>
      <c r="H215" t="n">
        <v>0</v>
      </c>
      <c r="I215" t="n">
        <v>0</v>
      </c>
      <c r="J215" t="n">
        <v>1</v>
      </c>
      <c r="K215" t="n">
        <v>0</v>
      </c>
      <c r="L215" t="n">
        <v>0</v>
      </c>
      <c r="M215" t="n">
        <v>0</v>
      </c>
      <c r="N215" t="n">
        <v>0</v>
      </c>
      <c r="O215" t="n">
        <v>1</v>
      </c>
      <c r="P215" t="n">
        <v>0</v>
      </c>
      <c r="Q215" t="n">
        <v>1</v>
      </c>
      <c r="R215" s="2" t="inlineStr">
        <is>
          <t>Kolflarnlav</t>
        </is>
      </c>
      <c r="S215">
        <f>HYPERLINK("https://klasma.github.io/Logging_2303/artfynd/A 16724-2025 artfynd.xlsx", "A 16724-2025")</f>
        <v/>
      </c>
      <c r="T215">
        <f>HYPERLINK("https://klasma.github.io/Logging_2303/kartor/A 16724-2025 karta.png", "A 16724-2025")</f>
        <v/>
      </c>
      <c r="V215">
        <f>HYPERLINK("https://klasma.github.io/Logging_2303/klagomål/A 16724-2025 FSC-klagomål.docx", "A 16724-2025")</f>
        <v/>
      </c>
      <c r="W215">
        <f>HYPERLINK("https://klasma.github.io/Logging_2303/klagomålsmail/A 16724-2025 FSC-klagomål mail.docx", "A 16724-2025")</f>
        <v/>
      </c>
      <c r="X215">
        <f>HYPERLINK("https://klasma.github.io/Logging_2303/tillsyn/A 16724-2025 tillsynsbegäran.docx", "A 16724-2025")</f>
        <v/>
      </c>
      <c r="Y215">
        <f>HYPERLINK("https://klasma.github.io/Logging_2303/tillsynsmail/A 16724-2025 tillsynsbegäran mail.docx", "A 16724-2025")</f>
        <v/>
      </c>
    </row>
    <row r="216" ht="15" customHeight="1">
      <c r="A216" t="inlineStr">
        <is>
          <t>A 62072-2023</t>
        </is>
      </c>
      <c r="B216" s="1" t="n">
        <v>45266</v>
      </c>
      <c r="C216" s="1" t="n">
        <v>45889</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48429-2023</t>
        </is>
      </c>
      <c r="B217" s="1" t="n">
        <v>45205</v>
      </c>
      <c r="C217" s="1" t="n">
        <v>45889</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25694-2023</t>
        </is>
      </c>
      <c r="B218" s="1" t="n">
        <v>45089</v>
      </c>
      <c r="C218" s="1" t="n">
        <v>45889</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11040-2023</t>
        </is>
      </c>
      <c r="B219" s="1" t="n">
        <v>44991</v>
      </c>
      <c r="C219" s="1" t="n">
        <v>45889</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49770-2024</t>
        </is>
      </c>
      <c r="B220" s="1" t="n">
        <v>45597.34461805555</v>
      </c>
      <c r="C220" s="1" t="n">
        <v>45889</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49091-2022</t>
        </is>
      </c>
      <c r="B221" s="1" t="n">
        <v>44860</v>
      </c>
      <c r="C221" s="1" t="n">
        <v>45889</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36757-2023</t>
        </is>
      </c>
      <c r="B222" s="1" t="n">
        <v>45153</v>
      </c>
      <c r="C222" s="1" t="n">
        <v>45889</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43404-2023</t>
        </is>
      </c>
      <c r="B223" s="1" t="n">
        <v>45183</v>
      </c>
      <c r="C223" s="1" t="n">
        <v>45889</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61324-2024</t>
        </is>
      </c>
      <c r="B224" s="1" t="n">
        <v>45646.34438657408</v>
      </c>
      <c r="C224" s="1" t="n">
        <v>45889</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34474-2025</t>
        </is>
      </c>
      <c r="B225" s="1" t="n">
        <v>45847.36528935185</v>
      </c>
      <c r="C225" s="1" t="n">
        <v>45889</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19387-2025</t>
        </is>
      </c>
      <c r="B226" s="1" t="n">
        <v>45769.65736111111</v>
      </c>
      <c r="C226" s="1" t="n">
        <v>45889</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20575-2025</t>
        </is>
      </c>
      <c r="B227" s="1" t="n">
        <v>45775.67769675926</v>
      </c>
      <c r="C227" s="1" t="n">
        <v>45889</v>
      </c>
      <c r="D227" t="inlineStr">
        <is>
          <t>JÄMTLANDS LÄN</t>
        </is>
      </c>
      <c r="E227" t="inlineStr">
        <is>
          <t>RAGUNDA</t>
        </is>
      </c>
      <c r="F227" t="inlineStr">
        <is>
          <t>SCA</t>
        </is>
      </c>
      <c r="G227" t="n">
        <v>8.1</v>
      </c>
      <c r="H227" t="n">
        <v>1</v>
      </c>
      <c r="I227" t="n">
        <v>0</v>
      </c>
      <c r="J227" t="n">
        <v>1</v>
      </c>
      <c r="K227" t="n">
        <v>0</v>
      </c>
      <c r="L227" t="n">
        <v>0</v>
      </c>
      <c r="M227" t="n">
        <v>0</v>
      </c>
      <c r="N227" t="n">
        <v>0</v>
      </c>
      <c r="O227" t="n">
        <v>1</v>
      </c>
      <c r="P227" t="n">
        <v>0</v>
      </c>
      <c r="Q227" t="n">
        <v>1</v>
      </c>
      <c r="R227" s="2" t="inlineStr">
        <is>
          <t>Skogsfru</t>
        </is>
      </c>
      <c r="S227">
        <f>HYPERLINK("https://klasma.github.io/Logging_2303/artfynd/A 20575-2025 artfynd.xlsx", "A 20575-2025")</f>
        <v/>
      </c>
      <c r="T227">
        <f>HYPERLINK("https://klasma.github.io/Logging_2303/kartor/A 20575-2025 karta.png", "A 20575-2025")</f>
        <v/>
      </c>
      <c r="V227">
        <f>HYPERLINK("https://klasma.github.io/Logging_2303/klagomål/A 20575-2025 FSC-klagomål.docx", "A 20575-2025")</f>
        <v/>
      </c>
      <c r="W227">
        <f>HYPERLINK("https://klasma.github.io/Logging_2303/klagomålsmail/A 20575-2025 FSC-klagomål mail.docx", "A 20575-2025")</f>
        <v/>
      </c>
      <c r="X227">
        <f>HYPERLINK("https://klasma.github.io/Logging_2303/tillsyn/A 20575-2025 tillsynsbegäran.docx", "A 20575-2025")</f>
        <v/>
      </c>
      <c r="Y227">
        <f>HYPERLINK("https://klasma.github.io/Logging_2303/tillsynsmail/A 20575-2025 tillsynsbegäran mail.docx", "A 20575-2025")</f>
        <v/>
      </c>
    </row>
    <row r="228" ht="15" customHeight="1">
      <c r="A228" t="inlineStr">
        <is>
          <t>A 27573-2025</t>
        </is>
      </c>
      <c r="B228" s="1" t="n">
        <v>45813.49061342593</v>
      </c>
      <c r="C228" s="1" t="n">
        <v>45889</v>
      </c>
      <c r="D228" t="inlineStr">
        <is>
          <t>JÄMTLANDS LÄN</t>
        </is>
      </c>
      <c r="E228" t="inlineStr">
        <is>
          <t>RAGUNDA</t>
        </is>
      </c>
      <c r="F228" t="inlineStr">
        <is>
          <t>SCA</t>
        </is>
      </c>
      <c r="G228" t="n">
        <v>14.9</v>
      </c>
      <c r="H228" t="n">
        <v>0</v>
      </c>
      <c r="I228" t="n">
        <v>1</v>
      </c>
      <c r="J228" t="n">
        <v>0</v>
      </c>
      <c r="K228" t="n">
        <v>0</v>
      </c>
      <c r="L228" t="n">
        <v>0</v>
      </c>
      <c r="M228" t="n">
        <v>0</v>
      </c>
      <c r="N228" t="n">
        <v>0</v>
      </c>
      <c r="O228" t="n">
        <v>0</v>
      </c>
      <c r="P228" t="n">
        <v>0</v>
      </c>
      <c r="Q228" t="n">
        <v>1</v>
      </c>
      <c r="R228" s="2" t="inlineStr">
        <is>
          <t>Skinnlav</t>
        </is>
      </c>
      <c r="S228">
        <f>HYPERLINK("https://klasma.github.io/Logging_2303/artfynd/A 27573-2025 artfynd.xlsx", "A 27573-2025")</f>
        <v/>
      </c>
      <c r="T228">
        <f>HYPERLINK("https://klasma.github.io/Logging_2303/kartor/A 27573-2025 karta.png", "A 27573-2025")</f>
        <v/>
      </c>
      <c r="U228">
        <f>HYPERLINK("https://klasma.github.io/Logging_2303/knärot/A 27573-2025 karta knärot.png", "A 27573-2025")</f>
        <v/>
      </c>
      <c r="V228">
        <f>HYPERLINK("https://klasma.github.io/Logging_2303/klagomål/A 27573-2025 FSC-klagomål.docx", "A 27573-2025")</f>
        <v/>
      </c>
      <c r="W228">
        <f>HYPERLINK("https://klasma.github.io/Logging_2303/klagomålsmail/A 27573-2025 FSC-klagomål mail.docx", "A 27573-2025")</f>
        <v/>
      </c>
      <c r="X228">
        <f>HYPERLINK("https://klasma.github.io/Logging_2303/tillsyn/A 27573-2025 tillsynsbegäran.docx", "A 27573-2025")</f>
        <v/>
      </c>
      <c r="Y228">
        <f>HYPERLINK("https://klasma.github.io/Logging_2303/tillsynsmail/A 27573-2025 tillsynsbegäran mail.docx", "A 27573-2025")</f>
        <v/>
      </c>
    </row>
    <row r="229" ht="15" customHeight="1">
      <c r="A229" t="inlineStr">
        <is>
          <t>A 19728-2025</t>
        </is>
      </c>
      <c r="B229" s="1" t="n">
        <v>45771.36548611111</v>
      </c>
      <c r="C229" s="1" t="n">
        <v>45889</v>
      </c>
      <c r="D229" t="inlineStr">
        <is>
          <t>JÄMTLANDS LÄN</t>
        </is>
      </c>
      <c r="E229" t="inlineStr">
        <is>
          <t>RAGUNDA</t>
        </is>
      </c>
      <c r="F229" t="inlineStr">
        <is>
          <t>SCA</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19728-2025 artfynd.xlsx", "A 19728-2025")</f>
        <v/>
      </c>
      <c r="T229">
        <f>HYPERLINK("https://klasma.github.io/Logging_2303/kartor/A 19728-2025 karta.png", "A 19728-2025")</f>
        <v/>
      </c>
      <c r="V229">
        <f>HYPERLINK("https://klasma.github.io/Logging_2303/klagomål/A 19728-2025 FSC-klagomål.docx", "A 19728-2025")</f>
        <v/>
      </c>
      <c r="W229">
        <f>HYPERLINK("https://klasma.github.io/Logging_2303/klagomålsmail/A 19728-2025 FSC-klagomål mail.docx", "A 19728-2025")</f>
        <v/>
      </c>
      <c r="X229">
        <f>HYPERLINK("https://klasma.github.io/Logging_2303/tillsyn/A 19728-2025 tillsynsbegäran.docx", "A 19728-2025")</f>
        <v/>
      </c>
      <c r="Y229">
        <f>HYPERLINK("https://klasma.github.io/Logging_2303/tillsynsmail/A 19728-2025 tillsynsbegäran mail.docx", "A 19728-2025")</f>
        <v/>
      </c>
      <c r="Z229">
        <f>HYPERLINK("https://klasma.github.io/Logging_2303/fåglar/A 19728-2025 prioriterade fågelarter.docx", "A 19728-2025")</f>
        <v/>
      </c>
    </row>
    <row r="230" ht="15" customHeight="1">
      <c r="A230" t="inlineStr">
        <is>
          <t>A 20774-2024</t>
        </is>
      </c>
      <c r="B230" s="1" t="n">
        <v>45436.94644675926</v>
      </c>
      <c r="C230" s="1" t="n">
        <v>45889</v>
      </c>
      <c r="D230" t="inlineStr">
        <is>
          <t>JÄMTLANDS LÄN</t>
        </is>
      </c>
      <c r="E230" t="inlineStr">
        <is>
          <t>RAGUNDA</t>
        </is>
      </c>
      <c r="F230" t="inlineStr">
        <is>
          <t>SCA</t>
        </is>
      </c>
      <c r="G230" t="n">
        <v>2.3</v>
      </c>
      <c r="H230" t="n">
        <v>0</v>
      </c>
      <c r="I230" t="n">
        <v>1</v>
      </c>
      <c r="J230" t="n">
        <v>0</v>
      </c>
      <c r="K230" t="n">
        <v>0</v>
      </c>
      <c r="L230" t="n">
        <v>0</v>
      </c>
      <c r="M230" t="n">
        <v>0</v>
      </c>
      <c r="N230" t="n">
        <v>0</v>
      </c>
      <c r="O230" t="n">
        <v>0</v>
      </c>
      <c r="P230" t="n">
        <v>0</v>
      </c>
      <c r="Q230" t="n">
        <v>1</v>
      </c>
      <c r="R230" s="2" t="inlineStr">
        <is>
          <t>Fjällig taggsvamp s.str.</t>
        </is>
      </c>
      <c r="S230">
        <f>HYPERLINK("https://klasma.github.io/Logging_2303/artfynd/A 20774-2024 artfynd.xlsx", "A 20774-2024")</f>
        <v/>
      </c>
      <c r="T230">
        <f>HYPERLINK("https://klasma.github.io/Logging_2303/kartor/A 20774-2024 karta.png", "A 20774-2024")</f>
        <v/>
      </c>
      <c r="V230">
        <f>HYPERLINK("https://klasma.github.io/Logging_2303/klagomål/A 20774-2024 FSC-klagomål.docx", "A 20774-2024")</f>
        <v/>
      </c>
      <c r="W230">
        <f>HYPERLINK("https://klasma.github.io/Logging_2303/klagomålsmail/A 20774-2024 FSC-klagomål mail.docx", "A 20774-2024")</f>
        <v/>
      </c>
      <c r="X230">
        <f>HYPERLINK("https://klasma.github.io/Logging_2303/tillsyn/A 20774-2024 tillsynsbegäran.docx", "A 20774-2024")</f>
        <v/>
      </c>
      <c r="Y230">
        <f>HYPERLINK("https://klasma.github.io/Logging_2303/tillsynsmail/A 20774-2024 tillsynsbegäran mail.docx", "A 20774-2024")</f>
        <v/>
      </c>
    </row>
    <row r="231" ht="15" customHeight="1">
      <c r="A231" t="inlineStr">
        <is>
          <t>A 52898-2020</t>
        </is>
      </c>
      <c r="B231" s="1" t="n">
        <v>44119</v>
      </c>
      <c r="C231" s="1" t="n">
        <v>45889</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36854-2023</t>
        </is>
      </c>
      <c r="B232" s="1" t="n">
        <v>45153</v>
      </c>
      <c r="C232" s="1" t="n">
        <v>45889</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45889</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45889</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10884-2025</t>
        </is>
      </c>
      <c r="B235" s="1" t="n">
        <v>45722.65670138889</v>
      </c>
      <c r="C235" s="1" t="n">
        <v>45889</v>
      </c>
      <c r="D235" t="inlineStr">
        <is>
          <t>JÄMTLANDS LÄN</t>
        </is>
      </c>
      <c r="E235" t="inlineStr">
        <is>
          <t>RAGUNDA</t>
        </is>
      </c>
      <c r="F235" t="inlineStr">
        <is>
          <t>SCA</t>
        </is>
      </c>
      <c r="G235" t="n">
        <v>5.4</v>
      </c>
      <c r="H235" t="n">
        <v>0</v>
      </c>
      <c r="I235" t="n">
        <v>1</v>
      </c>
      <c r="J235" t="n">
        <v>0</v>
      </c>
      <c r="K235" t="n">
        <v>0</v>
      </c>
      <c r="L235" t="n">
        <v>0</v>
      </c>
      <c r="M235" t="n">
        <v>0</v>
      </c>
      <c r="N235" t="n">
        <v>0</v>
      </c>
      <c r="O235" t="n">
        <v>0</v>
      </c>
      <c r="P235" t="n">
        <v>0</v>
      </c>
      <c r="Q235" t="n">
        <v>1</v>
      </c>
      <c r="R235" s="2" t="inlineStr">
        <is>
          <t>Dropptaggsvamp</t>
        </is>
      </c>
      <c r="S235">
        <f>HYPERLINK("https://klasma.github.io/Logging_2303/artfynd/A 10884-2025 artfynd.xlsx", "A 10884-2025")</f>
        <v/>
      </c>
      <c r="T235">
        <f>HYPERLINK("https://klasma.github.io/Logging_2303/kartor/A 10884-2025 karta.png", "A 10884-2025")</f>
        <v/>
      </c>
      <c r="V235">
        <f>HYPERLINK("https://klasma.github.io/Logging_2303/klagomål/A 10884-2025 FSC-klagomål.docx", "A 10884-2025")</f>
        <v/>
      </c>
      <c r="W235">
        <f>HYPERLINK("https://klasma.github.io/Logging_2303/klagomålsmail/A 10884-2025 FSC-klagomål mail.docx", "A 10884-2025")</f>
        <v/>
      </c>
      <c r="X235">
        <f>HYPERLINK("https://klasma.github.io/Logging_2303/tillsyn/A 10884-2025 tillsynsbegäran.docx", "A 10884-2025")</f>
        <v/>
      </c>
      <c r="Y235">
        <f>HYPERLINK("https://klasma.github.io/Logging_2303/tillsynsmail/A 10884-2025 tillsynsbegäran mail.docx", "A 10884-2025")</f>
        <v/>
      </c>
    </row>
    <row r="236" ht="15" customHeight="1">
      <c r="A236" t="inlineStr">
        <is>
          <t>A 26317-2024</t>
        </is>
      </c>
      <c r="B236" s="1" t="n">
        <v>45468</v>
      </c>
      <c r="C236" s="1" t="n">
        <v>45889</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29921-2024</t>
        </is>
      </c>
      <c r="B237" s="1" t="n">
        <v>45487.92863425926</v>
      </c>
      <c r="C237" s="1" t="n">
        <v>45889</v>
      </c>
      <c r="D237" t="inlineStr">
        <is>
          <t>JÄMTLANDS LÄN</t>
        </is>
      </c>
      <c r="E237" t="inlineStr">
        <is>
          <t>RAGUNDA</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HYPERLINK("https://klasma.github.io/Logging_2303/artfynd/A 29921-2024 artfynd.xlsx", "A 29921-2024")</f>
        <v/>
      </c>
      <c r="T237">
        <f>HYPERLINK("https://klasma.github.io/Logging_2303/kartor/A 29921-2024 karta.png", "A 29921-2024")</f>
        <v/>
      </c>
      <c r="U237">
        <f>HYPERLINK("https://klasma.github.io/Logging_2303/knärot/A 29921-2024 karta knärot.png", "A 29921-2024")</f>
        <v/>
      </c>
      <c r="V237">
        <f>HYPERLINK("https://klasma.github.io/Logging_2303/klagomål/A 29921-2024 FSC-klagomål.docx", "A 29921-2024")</f>
        <v/>
      </c>
      <c r="W237">
        <f>HYPERLINK("https://klasma.github.io/Logging_2303/klagomålsmail/A 29921-2024 FSC-klagomål mail.docx", "A 29921-2024")</f>
        <v/>
      </c>
      <c r="X237">
        <f>HYPERLINK("https://klasma.github.io/Logging_2303/tillsyn/A 29921-2024 tillsynsbegäran.docx", "A 29921-2024")</f>
        <v/>
      </c>
      <c r="Y237">
        <f>HYPERLINK("https://klasma.github.io/Logging_2303/tillsynsmail/A 29921-2024 tillsynsbegäran mail.docx", "A 29921-2024")</f>
        <v/>
      </c>
    </row>
    <row r="238" ht="15" customHeight="1">
      <c r="A238" t="inlineStr">
        <is>
          <t>A 32069-2024</t>
        </is>
      </c>
      <c r="B238" s="1" t="n">
        <v>45510</v>
      </c>
      <c r="C238" s="1" t="n">
        <v>45889</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30390-2025</t>
        </is>
      </c>
      <c r="B239" s="1" t="n">
        <v>45827.57371527778</v>
      </c>
      <c r="C239" s="1" t="n">
        <v>45889</v>
      </c>
      <c r="D239" t="inlineStr">
        <is>
          <t>JÄMTLANDS LÄN</t>
        </is>
      </c>
      <c r="E239" t="inlineStr">
        <is>
          <t>RAGUNDA</t>
        </is>
      </c>
      <c r="F239" t="inlineStr">
        <is>
          <t>SCA</t>
        </is>
      </c>
      <c r="G239" t="n">
        <v>11.2</v>
      </c>
      <c r="H239" t="n">
        <v>0</v>
      </c>
      <c r="I239" t="n">
        <v>0</v>
      </c>
      <c r="J239" t="n">
        <v>1</v>
      </c>
      <c r="K239" t="n">
        <v>0</v>
      </c>
      <c r="L239" t="n">
        <v>0</v>
      </c>
      <c r="M239" t="n">
        <v>0</v>
      </c>
      <c r="N239" t="n">
        <v>0</v>
      </c>
      <c r="O239" t="n">
        <v>1</v>
      </c>
      <c r="P239" t="n">
        <v>0</v>
      </c>
      <c r="Q239" t="n">
        <v>1</v>
      </c>
      <c r="R239" s="2" t="inlineStr">
        <is>
          <t>Lunglav</t>
        </is>
      </c>
      <c r="S239">
        <f>HYPERLINK("https://klasma.github.io/Logging_2303/artfynd/A 30390-2025 artfynd.xlsx", "A 30390-2025")</f>
        <v/>
      </c>
      <c r="T239">
        <f>HYPERLINK("https://klasma.github.io/Logging_2303/kartor/A 30390-2025 karta.png", "A 30390-2025")</f>
        <v/>
      </c>
      <c r="U239">
        <f>HYPERLINK("https://klasma.github.io/Logging_2303/knärot/A 30390-2025 karta knärot.png", "A 30390-2025")</f>
        <v/>
      </c>
      <c r="V239">
        <f>HYPERLINK("https://klasma.github.io/Logging_2303/klagomål/A 30390-2025 FSC-klagomål.docx", "A 30390-2025")</f>
        <v/>
      </c>
      <c r="W239">
        <f>HYPERLINK("https://klasma.github.io/Logging_2303/klagomålsmail/A 30390-2025 FSC-klagomål mail.docx", "A 30390-2025")</f>
        <v/>
      </c>
      <c r="X239">
        <f>HYPERLINK("https://klasma.github.io/Logging_2303/tillsyn/A 30390-2025 tillsynsbegäran.docx", "A 30390-2025")</f>
        <v/>
      </c>
      <c r="Y239">
        <f>HYPERLINK("https://klasma.github.io/Logging_2303/tillsynsmail/A 30390-2025 tillsynsbegäran mail.docx", "A 30390-2025")</f>
        <v/>
      </c>
    </row>
    <row r="240" ht="15" customHeight="1">
      <c r="A240" t="inlineStr">
        <is>
          <t>A 30485-2024</t>
        </is>
      </c>
      <c r="B240" s="1" t="n">
        <v>45491.95008101852</v>
      </c>
      <c r="C240" s="1" t="n">
        <v>45889</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22054-2025</t>
        </is>
      </c>
      <c r="B241" s="1" t="n">
        <v>45785.36525462963</v>
      </c>
      <c r="C241" s="1" t="n">
        <v>45889</v>
      </c>
      <c r="D241" t="inlineStr">
        <is>
          <t>JÄMTLANDS LÄN</t>
        </is>
      </c>
      <c r="E241" t="inlineStr">
        <is>
          <t>RAGUNDA</t>
        </is>
      </c>
      <c r="F241" t="inlineStr">
        <is>
          <t>SCA</t>
        </is>
      </c>
      <c r="G241" t="n">
        <v>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22054-2025 artfynd.xlsx", "A 22054-2025")</f>
        <v/>
      </c>
      <c r="T241">
        <f>HYPERLINK("https://klasma.github.io/Logging_2303/kartor/A 22054-2025 karta.png", "A 22054-2025")</f>
        <v/>
      </c>
      <c r="V241">
        <f>HYPERLINK("https://klasma.github.io/Logging_2303/klagomål/A 22054-2025 FSC-klagomål.docx", "A 22054-2025")</f>
        <v/>
      </c>
      <c r="W241">
        <f>HYPERLINK("https://klasma.github.io/Logging_2303/klagomålsmail/A 22054-2025 FSC-klagomål mail.docx", "A 22054-2025")</f>
        <v/>
      </c>
      <c r="X241">
        <f>HYPERLINK("https://klasma.github.io/Logging_2303/tillsyn/A 22054-2025 tillsynsbegäran.docx", "A 22054-2025")</f>
        <v/>
      </c>
      <c r="Y241">
        <f>HYPERLINK("https://klasma.github.io/Logging_2303/tillsynsmail/A 22054-2025 tillsynsbegäran mail.docx", "A 22054-2025")</f>
        <v/>
      </c>
      <c r="Z241">
        <f>HYPERLINK("https://klasma.github.io/Logging_2303/fåglar/A 22054-2025 prioriterade fågelarter.docx", "A 22054-2025")</f>
        <v/>
      </c>
    </row>
    <row r="242" ht="15" customHeight="1">
      <c r="A242" t="inlineStr">
        <is>
          <t>A 31773-2021</t>
        </is>
      </c>
      <c r="B242" s="1" t="n">
        <v>44369</v>
      </c>
      <c r="C242" s="1" t="n">
        <v>45889</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32445-2025</t>
        </is>
      </c>
      <c r="B243" s="1" t="n">
        <v>45838.38627314815</v>
      </c>
      <c r="C243" s="1" t="n">
        <v>45889</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32445-2025 artfynd.xlsx", "A 32445-2025")</f>
        <v/>
      </c>
      <c r="T243">
        <f>HYPERLINK("https://klasma.github.io/Logging_2303/kartor/A 32445-2025 karta.png", "A 32445-2025")</f>
        <v/>
      </c>
      <c r="V243">
        <f>HYPERLINK("https://klasma.github.io/Logging_2303/klagomål/A 32445-2025 FSC-klagomål.docx", "A 32445-2025")</f>
        <v/>
      </c>
      <c r="W243">
        <f>HYPERLINK("https://klasma.github.io/Logging_2303/klagomålsmail/A 32445-2025 FSC-klagomål mail.docx", "A 32445-2025")</f>
        <v/>
      </c>
      <c r="X243">
        <f>HYPERLINK("https://klasma.github.io/Logging_2303/tillsyn/A 32445-2025 tillsynsbegäran.docx", "A 32445-2025")</f>
        <v/>
      </c>
      <c r="Y243">
        <f>HYPERLINK("https://klasma.github.io/Logging_2303/tillsynsmail/A 32445-2025 tillsynsbegäran mail.docx", "A 32445-2025")</f>
        <v/>
      </c>
      <c r="Z243">
        <f>HYPERLINK("https://klasma.github.io/Logging_2303/fåglar/A 32445-2025 prioriterade fågelarter.docx", "A 32445-2025")</f>
        <v/>
      </c>
    </row>
    <row r="244" ht="15" customHeight="1">
      <c r="A244" t="inlineStr">
        <is>
          <t>A 48477-2023</t>
        </is>
      </c>
      <c r="B244" s="1" t="n">
        <v>45206</v>
      </c>
      <c r="C244" s="1" t="n">
        <v>45889</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45889</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61441-2020</t>
        </is>
      </c>
      <c r="B246" s="1" t="n">
        <v>44157</v>
      </c>
      <c r="C246" s="1" t="n">
        <v>45889</v>
      </c>
      <c r="D246" t="inlineStr">
        <is>
          <t>JÄMTLANDS LÄN</t>
        </is>
      </c>
      <c r="E246" t="inlineStr">
        <is>
          <t>RAGUNDA</t>
        </is>
      </c>
      <c r="G246" t="n">
        <v>0.4</v>
      </c>
      <c r="H246" t="n">
        <v>0</v>
      </c>
      <c r="I246" t="n">
        <v>0</v>
      </c>
      <c r="J246" t="n">
        <v>0</v>
      </c>
      <c r="K246" t="n">
        <v>0</v>
      </c>
      <c r="L246" t="n">
        <v>0</v>
      </c>
      <c r="M246" t="n">
        <v>0</v>
      </c>
      <c r="N246" t="n">
        <v>0</v>
      </c>
      <c r="O246" t="n">
        <v>0</v>
      </c>
      <c r="P246" t="n">
        <v>0</v>
      </c>
      <c r="Q246" t="n">
        <v>0</v>
      </c>
      <c r="R246" s="2" t="inlineStr"/>
    </row>
    <row r="247" ht="15" customHeight="1">
      <c r="A247" t="inlineStr">
        <is>
          <t>A 57941-2020</t>
        </is>
      </c>
      <c r="B247" s="1" t="n">
        <v>44141</v>
      </c>
      <c r="C247" s="1" t="n">
        <v>45889</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45889</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45889</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64386-2020</t>
        </is>
      </c>
      <c r="B250" s="1" t="n">
        <v>44168</v>
      </c>
      <c r="C250" s="1" t="n">
        <v>45889</v>
      </c>
      <c r="D250" t="inlineStr">
        <is>
          <t>JÄMTLANDS LÄN</t>
        </is>
      </c>
      <c r="E250" t="inlineStr">
        <is>
          <t>RAGUNDA</t>
        </is>
      </c>
      <c r="G250" t="n">
        <v>2.5</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45889</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45889</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53951-2022</t>
        </is>
      </c>
      <c r="B253" s="1" t="n">
        <v>44880.95712962963</v>
      </c>
      <c r="C253" s="1" t="n">
        <v>45889</v>
      </c>
      <c r="D253" t="inlineStr">
        <is>
          <t>JÄMTLANDS LÄN</t>
        </is>
      </c>
      <c r="E253" t="inlineStr">
        <is>
          <t>RAGUNDA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53952-2022</t>
        </is>
      </c>
      <c r="B254" s="1" t="n">
        <v>44880.95719907407</v>
      </c>
      <c r="C254" s="1" t="n">
        <v>45889</v>
      </c>
      <c r="D254" t="inlineStr">
        <is>
          <t>JÄMTLANDS LÄN</t>
        </is>
      </c>
      <c r="E254" t="inlineStr">
        <is>
          <t>RAGUNDA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45889</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45889</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47546-2021</t>
        </is>
      </c>
      <c r="B257" s="1" t="n">
        <v>44447.92069444444</v>
      </c>
      <c r="C257" s="1" t="n">
        <v>45889</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45889</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45889</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45889</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45889</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45889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45889</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45889</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45889</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45889</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45889</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45889</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45889</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45889</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42260-2021</t>
        </is>
      </c>
      <c r="B271" s="1" t="n">
        <v>44426.94077546296</v>
      </c>
      <c r="C271" s="1" t="n">
        <v>45889</v>
      </c>
      <c r="D271" t="inlineStr">
        <is>
          <t>JÄMTLANDS LÄN</t>
        </is>
      </c>
      <c r="E271" t="inlineStr">
        <is>
          <t>RAGUNDA</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45889</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45889</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45889</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31484-2022</t>
        </is>
      </c>
      <c r="B275" s="1" t="n">
        <v>44774.94414351852</v>
      </c>
      <c r="C275" s="1" t="n">
        <v>45889</v>
      </c>
      <c r="D275" t="inlineStr">
        <is>
          <t>JÄMTLANDS LÄN</t>
        </is>
      </c>
      <c r="E275" t="inlineStr">
        <is>
          <t>RAGUNDA</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45889</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45889</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45889</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45889</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45889</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45889</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45889</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43794-2022</t>
        </is>
      </c>
      <c r="B283" s="1" t="n">
        <v>44837</v>
      </c>
      <c r="C283" s="1" t="n">
        <v>45889</v>
      </c>
      <c r="D283" t="inlineStr">
        <is>
          <t>JÄMTLANDS LÄN</t>
        </is>
      </c>
      <c r="E283" t="inlineStr">
        <is>
          <t>RAGUNDA</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45889</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45889</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45889</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45889</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45889</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42899-2020</t>
        </is>
      </c>
      <c r="B289" s="1" t="n">
        <v>44078</v>
      </c>
      <c r="C289" s="1" t="n">
        <v>45889</v>
      </c>
      <c r="D289" t="inlineStr">
        <is>
          <t>JÄMTLANDS LÄN</t>
        </is>
      </c>
      <c r="E289" t="inlineStr">
        <is>
          <t>RAGUNDA</t>
        </is>
      </c>
      <c r="G289" t="n">
        <v>0.6</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45889</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45889</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45889</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45889</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45889</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45889</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45889</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45889</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45889</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45889</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45889</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45889</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45889</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60312-2021</t>
        </is>
      </c>
      <c r="B303" s="1" t="n">
        <v>44495.93966435185</v>
      </c>
      <c r="C303" s="1" t="n">
        <v>45889</v>
      </c>
      <c r="D303" t="inlineStr">
        <is>
          <t>JÄMTLANDS LÄN</t>
        </is>
      </c>
      <c r="E303" t="inlineStr">
        <is>
          <t>RAGUNDA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45889</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45889</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45889</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45889</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45889</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45889</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45889</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45889</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45889</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45889</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45889</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45889</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45889</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45889</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45889</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45889</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40742-2020</t>
        </is>
      </c>
      <c r="B320" s="1" t="n">
        <v>44069</v>
      </c>
      <c r="C320" s="1" t="n">
        <v>45889</v>
      </c>
      <c r="D320" t="inlineStr">
        <is>
          <t>JÄMTLANDS LÄN</t>
        </is>
      </c>
      <c r="E320" t="inlineStr">
        <is>
          <t>RAGUNDA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45889</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45889</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45889</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45889</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45889</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45889</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45889</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45889</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45889</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45889</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45889</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45889</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45889</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5130-2021</t>
        </is>
      </c>
      <c r="B334" s="1" t="n">
        <v>44228</v>
      </c>
      <c r="C334" s="1" t="n">
        <v>45889</v>
      </c>
      <c r="D334" t="inlineStr">
        <is>
          <t>JÄMTLANDS LÄN</t>
        </is>
      </c>
      <c r="E334" t="inlineStr">
        <is>
          <t>RAGUNDA</t>
        </is>
      </c>
      <c r="G334" t="n">
        <v>1.6</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45889</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45889</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45889</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45889</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45889</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19595-2021</t>
        </is>
      </c>
      <c r="B340" s="1" t="n">
        <v>44308</v>
      </c>
      <c r="C340" s="1" t="n">
        <v>45889</v>
      </c>
      <c r="D340" t="inlineStr">
        <is>
          <t>JÄMTLANDS LÄN</t>
        </is>
      </c>
      <c r="E340" t="inlineStr">
        <is>
          <t>RAGUNDA</t>
        </is>
      </c>
      <c r="G340" t="n">
        <v>5.4</v>
      </c>
      <c r="H340" t="n">
        <v>0</v>
      </c>
      <c r="I340" t="n">
        <v>0</v>
      </c>
      <c r="J340" t="n">
        <v>0</v>
      </c>
      <c r="K340" t="n">
        <v>0</v>
      </c>
      <c r="L340" t="n">
        <v>0</v>
      </c>
      <c r="M340" t="n">
        <v>0</v>
      </c>
      <c r="N340" t="n">
        <v>0</v>
      </c>
      <c r="O340" t="n">
        <v>0</v>
      </c>
      <c r="P340" t="n">
        <v>0</v>
      </c>
      <c r="Q340" t="n">
        <v>0</v>
      </c>
      <c r="R340" s="2" t="inlineStr"/>
    </row>
    <row r="341" ht="15" customHeight="1">
      <c r="A341" t="inlineStr">
        <is>
          <t>A 20548-2021</t>
        </is>
      </c>
      <c r="B341" s="1" t="n">
        <v>44315</v>
      </c>
      <c r="C341" s="1" t="n">
        <v>45889</v>
      </c>
      <c r="D341" t="inlineStr">
        <is>
          <t>JÄMTLANDS LÄN</t>
        </is>
      </c>
      <c r="E341" t="inlineStr">
        <is>
          <t>RAGUNDA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49530-2022</t>
        </is>
      </c>
      <c r="B342" s="1" t="n">
        <v>44861</v>
      </c>
      <c r="C342" s="1" t="n">
        <v>45889</v>
      </c>
      <c r="D342" t="inlineStr">
        <is>
          <t>JÄMTLANDS LÄN</t>
        </is>
      </c>
      <c r="E342" t="inlineStr">
        <is>
          <t>RAGUNDA</t>
        </is>
      </c>
      <c r="F342" t="inlineStr">
        <is>
          <t>SCA</t>
        </is>
      </c>
      <c r="G342" t="n">
        <v>13.4</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45889</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42882-2022</t>
        </is>
      </c>
      <c r="B344" s="1" t="n">
        <v>44832.95300925926</v>
      </c>
      <c r="C344" s="1" t="n">
        <v>45889</v>
      </c>
      <c r="D344" t="inlineStr">
        <is>
          <t>JÄMTLANDS LÄN</t>
        </is>
      </c>
      <c r="E344" t="inlineStr">
        <is>
          <t>RAGUNDA</t>
        </is>
      </c>
      <c r="F344" t="inlineStr">
        <is>
          <t>SCA</t>
        </is>
      </c>
      <c r="G344" t="n">
        <v>3.7</v>
      </c>
      <c r="H344" t="n">
        <v>0</v>
      </c>
      <c r="I344" t="n">
        <v>0</v>
      </c>
      <c r="J344" t="n">
        <v>0</v>
      </c>
      <c r="K344" t="n">
        <v>0</v>
      </c>
      <c r="L344" t="n">
        <v>0</v>
      </c>
      <c r="M344" t="n">
        <v>0</v>
      </c>
      <c r="N344" t="n">
        <v>0</v>
      </c>
      <c r="O344" t="n">
        <v>0</v>
      </c>
      <c r="P344" t="n">
        <v>0</v>
      </c>
      <c r="Q344" t="n">
        <v>0</v>
      </c>
      <c r="R344" s="2" t="inlineStr"/>
    </row>
    <row r="345" ht="15" customHeight="1">
      <c r="A345" t="inlineStr">
        <is>
          <t>A 42267-2022</t>
        </is>
      </c>
      <c r="B345" s="1" t="n">
        <v>44830</v>
      </c>
      <c r="C345" s="1" t="n">
        <v>45889</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31854-2022</t>
        </is>
      </c>
      <c r="B346" s="1" t="n">
        <v>44776</v>
      </c>
      <c r="C346" s="1" t="n">
        <v>45889</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47568-2022</t>
        </is>
      </c>
      <c r="B347" s="1" t="n">
        <v>44853.9499537037</v>
      </c>
      <c r="C347" s="1" t="n">
        <v>45889</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45889</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15664-2022</t>
        </is>
      </c>
      <c r="B349" s="1" t="n">
        <v>44662</v>
      </c>
      <c r="C349" s="1" t="n">
        <v>45889</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21984-2022</t>
        </is>
      </c>
      <c r="B350" s="1" t="n">
        <v>44704</v>
      </c>
      <c r="C350" s="1" t="n">
        <v>45889</v>
      </c>
      <c r="D350" t="inlineStr">
        <is>
          <t>JÄMTLANDS LÄN</t>
        </is>
      </c>
      <c r="E350" t="inlineStr">
        <is>
          <t>RAGUNDA</t>
        </is>
      </c>
      <c r="G350" t="n">
        <v>0.5</v>
      </c>
      <c r="H350" t="n">
        <v>0</v>
      </c>
      <c r="I350" t="n">
        <v>0</v>
      </c>
      <c r="J350" t="n">
        <v>0</v>
      </c>
      <c r="K350" t="n">
        <v>0</v>
      </c>
      <c r="L350" t="n">
        <v>0</v>
      </c>
      <c r="M350" t="n">
        <v>0</v>
      </c>
      <c r="N350" t="n">
        <v>0</v>
      </c>
      <c r="O350" t="n">
        <v>0</v>
      </c>
      <c r="P350" t="n">
        <v>0</v>
      </c>
      <c r="Q350" t="n">
        <v>0</v>
      </c>
      <c r="R350" s="2" t="inlineStr"/>
    </row>
    <row r="351" ht="15" customHeight="1">
      <c r="A351" t="inlineStr">
        <is>
          <t>A 18341-2022</t>
        </is>
      </c>
      <c r="B351" s="1" t="n">
        <v>44685</v>
      </c>
      <c r="C351" s="1" t="n">
        <v>45889</v>
      </c>
      <c r="D351" t="inlineStr">
        <is>
          <t>JÄMTLANDS LÄN</t>
        </is>
      </c>
      <c r="E351" t="inlineStr">
        <is>
          <t>RAGUNDA</t>
        </is>
      </c>
      <c r="G351" t="n">
        <v>0.2</v>
      </c>
      <c r="H351" t="n">
        <v>0</v>
      </c>
      <c r="I351" t="n">
        <v>0</v>
      </c>
      <c r="J351" t="n">
        <v>0</v>
      </c>
      <c r="K351" t="n">
        <v>0</v>
      </c>
      <c r="L351" t="n">
        <v>0</v>
      </c>
      <c r="M351" t="n">
        <v>0</v>
      </c>
      <c r="N351" t="n">
        <v>0</v>
      </c>
      <c r="O351" t="n">
        <v>0</v>
      </c>
      <c r="P351" t="n">
        <v>0</v>
      </c>
      <c r="Q351" t="n">
        <v>0</v>
      </c>
      <c r="R351" s="2" t="inlineStr"/>
    </row>
    <row r="352" ht="15" customHeight="1">
      <c r="A352" t="inlineStr">
        <is>
          <t>A 9185-2022</t>
        </is>
      </c>
      <c r="B352" s="1" t="n">
        <v>44615</v>
      </c>
      <c r="C352" s="1" t="n">
        <v>45889</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45889</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34348-2021</t>
        </is>
      </c>
      <c r="B354" s="1" t="n">
        <v>44379</v>
      </c>
      <c r="C354" s="1" t="n">
        <v>45889</v>
      </c>
      <c r="D354" t="inlineStr">
        <is>
          <t>JÄMTLANDS LÄN</t>
        </is>
      </c>
      <c r="E354" t="inlineStr">
        <is>
          <t>RAGUNDA</t>
        </is>
      </c>
      <c r="G354" t="n">
        <v>8.1</v>
      </c>
      <c r="H354" t="n">
        <v>0</v>
      </c>
      <c r="I354" t="n">
        <v>0</v>
      </c>
      <c r="J354" t="n">
        <v>0</v>
      </c>
      <c r="K354" t="n">
        <v>0</v>
      </c>
      <c r="L354" t="n">
        <v>0</v>
      </c>
      <c r="M354" t="n">
        <v>0</v>
      </c>
      <c r="N354" t="n">
        <v>0</v>
      </c>
      <c r="O354" t="n">
        <v>0</v>
      </c>
      <c r="P354" t="n">
        <v>0</v>
      </c>
      <c r="Q354" t="n">
        <v>0</v>
      </c>
      <c r="R354" s="2" t="inlineStr"/>
    </row>
    <row r="355" ht="15" customHeight="1">
      <c r="A355" t="inlineStr">
        <is>
          <t>A 42208-2020</t>
        </is>
      </c>
      <c r="B355" s="1" t="n">
        <v>44075</v>
      </c>
      <c r="C355" s="1" t="n">
        <v>45889</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26945-2021</t>
        </is>
      </c>
      <c r="B356" s="1" t="n">
        <v>44349.91995370371</v>
      </c>
      <c r="C356" s="1" t="n">
        <v>45889</v>
      </c>
      <c r="D356" t="inlineStr">
        <is>
          <t>JÄMTLANDS LÄN</t>
        </is>
      </c>
      <c r="E356" t="inlineStr">
        <is>
          <t>RAGUNDA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65017-2021</t>
        </is>
      </c>
      <c r="B357" s="1" t="n">
        <v>44512</v>
      </c>
      <c r="C357" s="1" t="n">
        <v>45889</v>
      </c>
      <c r="D357" t="inlineStr">
        <is>
          <t>JÄMTLANDS LÄN</t>
        </is>
      </c>
      <c r="E357" t="inlineStr">
        <is>
          <t>RAGUNDA</t>
        </is>
      </c>
      <c r="G357" t="n">
        <v>2.3</v>
      </c>
      <c r="H357" t="n">
        <v>0</v>
      </c>
      <c r="I357" t="n">
        <v>0</v>
      </c>
      <c r="J357" t="n">
        <v>0</v>
      </c>
      <c r="K357" t="n">
        <v>0</v>
      </c>
      <c r="L357" t="n">
        <v>0</v>
      </c>
      <c r="M357" t="n">
        <v>0</v>
      </c>
      <c r="N357" t="n">
        <v>0</v>
      </c>
      <c r="O357" t="n">
        <v>0</v>
      </c>
      <c r="P357" t="n">
        <v>0</v>
      </c>
      <c r="Q357" t="n">
        <v>0</v>
      </c>
      <c r="R357" s="2" t="inlineStr"/>
    </row>
    <row r="358" ht="15" customHeight="1">
      <c r="A358" t="inlineStr">
        <is>
          <t>A 41346-2020</t>
        </is>
      </c>
      <c r="B358" s="1" t="n">
        <v>44071</v>
      </c>
      <c r="C358" s="1" t="n">
        <v>45889</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26948-2021</t>
        </is>
      </c>
      <c r="B359" s="1" t="n">
        <v>44349.92013888889</v>
      </c>
      <c r="C359" s="1" t="n">
        <v>45889</v>
      </c>
      <c r="D359" t="inlineStr">
        <is>
          <t>JÄMTLANDS LÄN</t>
        </is>
      </c>
      <c r="E359" t="inlineStr">
        <is>
          <t>RAGUNDA</t>
        </is>
      </c>
      <c r="G359" t="n">
        <v>2.5</v>
      </c>
      <c r="H359" t="n">
        <v>0</v>
      </c>
      <c r="I359" t="n">
        <v>0</v>
      </c>
      <c r="J359" t="n">
        <v>0</v>
      </c>
      <c r="K359" t="n">
        <v>0</v>
      </c>
      <c r="L359" t="n">
        <v>0</v>
      </c>
      <c r="M359" t="n">
        <v>0</v>
      </c>
      <c r="N359" t="n">
        <v>0</v>
      </c>
      <c r="O359" t="n">
        <v>0</v>
      </c>
      <c r="P359" t="n">
        <v>0</v>
      </c>
      <c r="Q359" t="n">
        <v>0</v>
      </c>
      <c r="R359" s="2" t="inlineStr"/>
    </row>
    <row r="360" ht="15" customHeight="1">
      <c r="A360" t="inlineStr">
        <is>
          <t>A 25253-2022</t>
        </is>
      </c>
      <c r="B360" s="1" t="n">
        <v>44729.94136574074</v>
      </c>
      <c r="C360" s="1" t="n">
        <v>45889</v>
      </c>
      <c r="D360" t="inlineStr">
        <is>
          <t>JÄMTLANDS LÄN</t>
        </is>
      </c>
      <c r="E360" t="inlineStr">
        <is>
          <t>RAGUNDA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44241-2021</t>
        </is>
      </c>
      <c r="B361" s="1" t="n">
        <v>44434.94517361111</v>
      </c>
      <c r="C361" s="1" t="n">
        <v>45889</v>
      </c>
      <c r="D361" t="inlineStr">
        <is>
          <t>JÄMTLANDS LÄN</t>
        </is>
      </c>
      <c r="E361" t="inlineStr">
        <is>
          <t>RAGUNDA</t>
        </is>
      </c>
      <c r="G361" t="n">
        <v>0.8</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45889</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19600-2021</t>
        </is>
      </c>
      <c r="B363" s="1" t="n">
        <v>44308</v>
      </c>
      <c r="C363" s="1" t="n">
        <v>45889</v>
      </c>
      <c r="D363" t="inlineStr">
        <is>
          <t>JÄMTLANDS LÄN</t>
        </is>
      </c>
      <c r="E363" t="inlineStr">
        <is>
          <t>RAGUNDA</t>
        </is>
      </c>
      <c r="G363" t="n">
        <v>4.3</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45889</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45889</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45889</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16460-2022</t>
        </is>
      </c>
      <c r="B367" s="1" t="n">
        <v>44671</v>
      </c>
      <c r="C367" s="1" t="n">
        <v>45889</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57730-2020</t>
        </is>
      </c>
      <c r="B368" s="1" t="n">
        <v>44140</v>
      </c>
      <c r="C368" s="1" t="n">
        <v>45889</v>
      </c>
      <c r="D368" t="inlineStr">
        <is>
          <t>JÄMTLANDS LÄN</t>
        </is>
      </c>
      <c r="E368" t="inlineStr">
        <is>
          <t>RAGUNDA</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35749-2022</t>
        </is>
      </c>
      <c r="B369" s="1" t="n">
        <v>44799.94394675926</v>
      </c>
      <c r="C369" s="1" t="n">
        <v>45889</v>
      </c>
      <c r="D369" t="inlineStr">
        <is>
          <t>JÄMTLANDS LÄN</t>
        </is>
      </c>
      <c r="E369" t="inlineStr">
        <is>
          <t>RAGUNDA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1858-2022</t>
        </is>
      </c>
      <c r="B370" s="1" t="n">
        <v>44574</v>
      </c>
      <c r="C370" s="1" t="n">
        <v>45889</v>
      </c>
      <c r="D370" t="inlineStr">
        <is>
          <t>JÄMTLANDS LÄN</t>
        </is>
      </c>
      <c r="E370" t="inlineStr">
        <is>
          <t>RAGUNDA</t>
        </is>
      </c>
      <c r="G370" t="n">
        <v>5.7</v>
      </c>
      <c r="H370" t="n">
        <v>0</v>
      </c>
      <c r="I370" t="n">
        <v>0</v>
      </c>
      <c r="J370" t="n">
        <v>0</v>
      </c>
      <c r="K370" t="n">
        <v>0</v>
      </c>
      <c r="L370" t="n">
        <v>0</v>
      </c>
      <c r="M370" t="n">
        <v>0</v>
      </c>
      <c r="N370" t="n">
        <v>0</v>
      </c>
      <c r="O370" t="n">
        <v>0</v>
      </c>
      <c r="P370" t="n">
        <v>0</v>
      </c>
      <c r="Q370" t="n">
        <v>0</v>
      </c>
      <c r="R370" s="2" t="inlineStr"/>
    </row>
    <row r="371" ht="15" customHeight="1">
      <c r="A371" t="inlineStr">
        <is>
          <t>A 57246-2020</t>
        </is>
      </c>
      <c r="B371" s="1" t="n">
        <v>44138</v>
      </c>
      <c r="C371" s="1" t="n">
        <v>45889</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54836-2022</t>
        </is>
      </c>
      <c r="B372" s="1" t="n">
        <v>44883.94918981481</v>
      </c>
      <c r="C372" s="1" t="n">
        <v>45889</v>
      </c>
      <c r="D372" t="inlineStr">
        <is>
          <t>JÄMTLANDS LÄN</t>
        </is>
      </c>
      <c r="E372" t="inlineStr">
        <is>
          <t>RAGUNDA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53522-2020</t>
        </is>
      </c>
      <c r="B373" s="1" t="n">
        <v>44124</v>
      </c>
      <c r="C373" s="1" t="n">
        <v>45889</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44463.94077546296</v>
      </c>
      <c r="C374" s="1" t="n">
        <v>45889</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45889</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33279-2022</t>
        </is>
      </c>
      <c r="B376" s="1" t="n">
        <v>44788</v>
      </c>
      <c r="C376" s="1" t="n">
        <v>45889</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47567-2022</t>
        </is>
      </c>
      <c r="B377" s="1" t="n">
        <v>44853</v>
      </c>
      <c r="C377" s="1" t="n">
        <v>45889</v>
      </c>
      <c r="D377" t="inlineStr">
        <is>
          <t>JÄMTLANDS LÄN</t>
        </is>
      </c>
      <c r="E377" t="inlineStr">
        <is>
          <t>RAGUNDA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43040-2021</t>
        </is>
      </c>
      <c r="B378" s="1" t="n">
        <v>44431</v>
      </c>
      <c r="C378" s="1" t="n">
        <v>45889</v>
      </c>
      <c r="D378" t="inlineStr">
        <is>
          <t>JÄMTLANDS LÄN</t>
        </is>
      </c>
      <c r="E378" t="inlineStr">
        <is>
          <t>RAGUNDA</t>
        </is>
      </c>
      <c r="G378" t="n">
        <v>4.9</v>
      </c>
      <c r="H378" t="n">
        <v>0</v>
      </c>
      <c r="I378" t="n">
        <v>0</v>
      </c>
      <c r="J378" t="n">
        <v>0</v>
      </c>
      <c r="K378" t="n">
        <v>0</v>
      </c>
      <c r="L378" t="n">
        <v>0</v>
      </c>
      <c r="M378" t="n">
        <v>0</v>
      </c>
      <c r="N378" t="n">
        <v>0</v>
      </c>
      <c r="O378" t="n">
        <v>0</v>
      </c>
      <c r="P378" t="n">
        <v>0</v>
      </c>
      <c r="Q378" t="n">
        <v>0</v>
      </c>
      <c r="R378" s="2" t="inlineStr"/>
    </row>
    <row r="379" ht="15" customHeight="1">
      <c r="A379" t="inlineStr">
        <is>
          <t>A 21195-2022</t>
        </is>
      </c>
      <c r="B379" s="1" t="n">
        <v>44704.94229166667</v>
      </c>
      <c r="C379" s="1" t="n">
        <v>45889</v>
      </c>
      <c r="D379" t="inlineStr">
        <is>
          <t>JÄMTLANDS LÄN</t>
        </is>
      </c>
      <c r="E379" t="inlineStr">
        <is>
          <t>RAGUNDA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49531-2022</t>
        </is>
      </c>
      <c r="B380" s="1" t="n">
        <v>44861</v>
      </c>
      <c r="C380" s="1" t="n">
        <v>45889</v>
      </c>
      <c r="D380" t="inlineStr">
        <is>
          <t>JÄMTLANDS LÄN</t>
        </is>
      </c>
      <c r="E380" t="inlineStr">
        <is>
          <t>RAGUNDA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58984-2021</t>
        </is>
      </c>
      <c r="B381" s="1" t="n">
        <v>44489.94711805556</v>
      </c>
      <c r="C381" s="1" t="n">
        <v>45889</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40978-2022</t>
        </is>
      </c>
      <c r="B382" s="1" t="n">
        <v>44823</v>
      </c>
      <c r="C382" s="1" t="n">
        <v>45889</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45889</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2336-2022</t>
        </is>
      </c>
      <c r="B384" s="1" t="n">
        <v>44578.92284722222</v>
      </c>
      <c r="C384" s="1" t="n">
        <v>45889</v>
      </c>
      <c r="D384" t="inlineStr">
        <is>
          <t>JÄMTLANDS LÄN</t>
        </is>
      </c>
      <c r="E384" t="inlineStr">
        <is>
          <t>RAGUNDA</t>
        </is>
      </c>
      <c r="G384" t="n">
        <v>0.5</v>
      </c>
      <c r="H384" t="n">
        <v>0</v>
      </c>
      <c r="I384" t="n">
        <v>0</v>
      </c>
      <c r="J384" t="n">
        <v>0</v>
      </c>
      <c r="K384" t="n">
        <v>0</v>
      </c>
      <c r="L384" t="n">
        <v>0</v>
      </c>
      <c r="M384" t="n">
        <v>0</v>
      </c>
      <c r="N384" t="n">
        <v>0</v>
      </c>
      <c r="O384" t="n">
        <v>0</v>
      </c>
      <c r="P384" t="n">
        <v>0</v>
      </c>
      <c r="Q384" t="n">
        <v>0</v>
      </c>
      <c r="R384" s="2" t="inlineStr"/>
    </row>
    <row r="385" ht="15" customHeight="1">
      <c r="A385" t="inlineStr">
        <is>
          <t>A 24741-2022</t>
        </is>
      </c>
      <c r="B385" s="1" t="n">
        <v>44727</v>
      </c>
      <c r="C385" s="1" t="n">
        <v>45889</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48536-2022</t>
        </is>
      </c>
      <c r="B386" s="1" t="n">
        <v>44858</v>
      </c>
      <c r="C386" s="1" t="n">
        <v>45889</v>
      </c>
      <c r="D386" t="inlineStr">
        <is>
          <t>JÄMTLANDS LÄN</t>
        </is>
      </c>
      <c r="E386" t="inlineStr">
        <is>
          <t>RAGUNDA</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41613-2021</t>
        </is>
      </c>
      <c r="B387" s="1" t="n">
        <v>44425</v>
      </c>
      <c r="C387" s="1" t="n">
        <v>45889</v>
      </c>
      <c r="D387" t="inlineStr">
        <is>
          <t>JÄMTLANDS LÄN</t>
        </is>
      </c>
      <c r="E387" t="inlineStr">
        <is>
          <t>RAGUNDA</t>
        </is>
      </c>
      <c r="F387" t="inlineStr">
        <is>
          <t>Kommuner</t>
        </is>
      </c>
      <c r="G387" t="n">
        <v>1.5</v>
      </c>
      <c r="H387" t="n">
        <v>0</v>
      </c>
      <c r="I387" t="n">
        <v>0</v>
      </c>
      <c r="J387" t="n">
        <v>0</v>
      </c>
      <c r="K387" t="n">
        <v>0</v>
      </c>
      <c r="L387" t="n">
        <v>0</v>
      </c>
      <c r="M387" t="n">
        <v>0</v>
      </c>
      <c r="N387" t="n">
        <v>0</v>
      </c>
      <c r="O387" t="n">
        <v>0</v>
      </c>
      <c r="P387" t="n">
        <v>0</v>
      </c>
      <c r="Q387" t="n">
        <v>0</v>
      </c>
      <c r="R387" s="2" t="inlineStr"/>
    </row>
    <row r="388" ht="15" customHeight="1">
      <c r="A388" t="inlineStr">
        <is>
          <t>A 59996-2021</t>
        </is>
      </c>
      <c r="B388" s="1" t="n">
        <v>44494.93930555556</v>
      </c>
      <c r="C388" s="1" t="n">
        <v>45889</v>
      </c>
      <c r="D388" t="inlineStr">
        <is>
          <t>JÄMTLANDS LÄN</t>
        </is>
      </c>
      <c r="E388" t="inlineStr">
        <is>
          <t>RAGUNDA</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48056-2020</t>
        </is>
      </c>
      <c r="B389" s="1" t="n">
        <v>44099</v>
      </c>
      <c r="C389" s="1" t="n">
        <v>45889</v>
      </c>
      <c r="D389" t="inlineStr">
        <is>
          <t>JÄMTLANDS LÄN</t>
        </is>
      </c>
      <c r="E389" t="inlineStr">
        <is>
          <t>RAGUNDA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10120-2022</t>
        </is>
      </c>
      <c r="B390" s="1" t="n">
        <v>44621</v>
      </c>
      <c r="C390" s="1" t="n">
        <v>45889</v>
      </c>
      <c r="D390" t="inlineStr">
        <is>
          <t>JÄMTLANDS LÄN</t>
        </is>
      </c>
      <c r="E390" t="inlineStr">
        <is>
          <t>RAGUNDA</t>
        </is>
      </c>
      <c r="G390" t="n">
        <v>0.4</v>
      </c>
      <c r="H390" t="n">
        <v>0</v>
      </c>
      <c r="I390" t="n">
        <v>0</v>
      </c>
      <c r="J390" t="n">
        <v>0</v>
      </c>
      <c r="K390" t="n">
        <v>0</v>
      </c>
      <c r="L390" t="n">
        <v>0</v>
      </c>
      <c r="M390" t="n">
        <v>0</v>
      </c>
      <c r="N390" t="n">
        <v>0</v>
      </c>
      <c r="O390" t="n">
        <v>0</v>
      </c>
      <c r="P390" t="n">
        <v>0</v>
      </c>
      <c r="Q390" t="n">
        <v>0</v>
      </c>
      <c r="R390" s="2" t="inlineStr"/>
    </row>
    <row r="391" ht="15" customHeight="1">
      <c r="A391" t="inlineStr">
        <is>
          <t>A 46048-2022</t>
        </is>
      </c>
      <c r="B391" s="1" t="n">
        <v>44846</v>
      </c>
      <c r="C391" s="1" t="n">
        <v>45889</v>
      </c>
      <c r="D391" t="inlineStr">
        <is>
          <t>JÄMTLANDS LÄN</t>
        </is>
      </c>
      <c r="E391" t="inlineStr">
        <is>
          <t>RAGUNDA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41875-2020</t>
        </is>
      </c>
      <c r="B392" s="1" t="n">
        <v>44074</v>
      </c>
      <c r="C392" s="1" t="n">
        <v>45889</v>
      </c>
      <c r="D392" t="inlineStr">
        <is>
          <t>JÄMTLANDS LÄN</t>
        </is>
      </c>
      <c r="E392" t="inlineStr">
        <is>
          <t>RAGUNDA</t>
        </is>
      </c>
      <c r="F392" t="inlineStr">
        <is>
          <t>Naturvårdsverket</t>
        </is>
      </c>
      <c r="G392" t="n">
        <v>3.3</v>
      </c>
      <c r="H392" t="n">
        <v>0</v>
      </c>
      <c r="I392" t="n">
        <v>0</v>
      </c>
      <c r="J392" t="n">
        <v>0</v>
      </c>
      <c r="K392" t="n">
        <v>0</v>
      </c>
      <c r="L392" t="n">
        <v>0</v>
      </c>
      <c r="M392" t="n">
        <v>0</v>
      </c>
      <c r="N392" t="n">
        <v>0</v>
      </c>
      <c r="O392" t="n">
        <v>0</v>
      </c>
      <c r="P392" t="n">
        <v>0</v>
      </c>
      <c r="Q392" t="n">
        <v>0</v>
      </c>
      <c r="R392" s="2" t="inlineStr"/>
    </row>
    <row r="393" ht="15" customHeight="1">
      <c r="A393" t="inlineStr">
        <is>
          <t>A 41887-2020</t>
        </is>
      </c>
      <c r="B393" s="1" t="n">
        <v>44074</v>
      </c>
      <c r="C393" s="1" t="n">
        <v>45889</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45889</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29409-2021</t>
        </is>
      </c>
      <c r="B395" s="1" t="n">
        <v>44361.55445601852</v>
      </c>
      <c r="C395" s="1" t="n">
        <v>45889</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32288-2022</t>
        </is>
      </c>
      <c r="B396" s="1" t="n">
        <v>44781</v>
      </c>
      <c r="C396" s="1" t="n">
        <v>45889</v>
      </c>
      <c r="D396" t="inlineStr">
        <is>
          <t>JÄMTLANDS LÄN</t>
        </is>
      </c>
      <c r="E396" t="inlineStr">
        <is>
          <t>RAGUNDA</t>
        </is>
      </c>
      <c r="G396" t="n">
        <v>0.8</v>
      </c>
      <c r="H396" t="n">
        <v>0</v>
      </c>
      <c r="I396" t="n">
        <v>0</v>
      </c>
      <c r="J396" t="n">
        <v>0</v>
      </c>
      <c r="K396" t="n">
        <v>0</v>
      </c>
      <c r="L396" t="n">
        <v>0</v>
      </c>
      <c r="M396" t="n">
        <v>0</v>
      </c>
      <c r="N396" t="n">
        <v>0</v>
      </c>
      <c r="O396" t="n">
        <v>0</v>
      </c>
      <c r="P396" t="n">
        <v>0</v>
      </c>
      <c r="Q396" t="n">
        <v>0</v>
      </c>
      <c r="R396" s="2" t="inlineStr"/>
    </row>
    <row r="397" ht="15" customHeight="1">
      <c r="A397" t="inlineStr">
        <is>
          <t>A 25027-2022</t>
        </is>
      </c>
      <c r="B397" s="1" t="n">
        <v>44728.94392361111</v>
      </c>
      <c r="C397" s="1" t="n">
        <v>45889</v>
      </c>
      <c r="D397" t="inlineStr">
        <is>
          <t>JÄMTLANDS LÄN</t>
        </is>
      </c>
      <c r="E397" t="inlineStr">
        <is>
          <t>RAGUNDA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47803-2022</t>
        </is>
      </c>
      <c r="B398" s="1" t="n">
        <v>44854.95390046296</v>
      </c>
      <c r="C398" s="1" t="n">
        <v>45889</v>
      </c>
      <c r="D398" t="inlineStr">
        <is>
          <t>JÄMTLANDS LÄN</t>
        </is>
      </c>
      <c r="E398" t="inlineStr">
        <is>
          <t>RAGUNDA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42652-2022</t>
        </is>
      </c>
      <c r="B399" s="1" t="n">
        <v>44831.94846064815</v>
      </c>
      <c r="C399" s="1" t="n">
        <v>45889</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42653-2022</t>
        </is>
      </c>
      <c r="B400" s="1" t="n">
        <v>44831.9485300926</v>
      </c>
      <c r="C400" s="1" t="n">
        <v>45889</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32986-2022</t>
        </is>
      </c>
      <c r="B401" s="1" t="n">
        <v>44784.94157407407</v>
      </c>
      <c r="C401" s="1" t="n">
        <v>45889</v>
      </c>
      <c r="D401" t="inlineStr">
        <is>
          <t>JÄMTLANDS LÄN</t>
        </is>
      </c>
      <c r="E401" t="inlineStr">
        <is>
          <t>RAGUNDA</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9187-2022</t>
        </is>
      </c>
      <c r="B402" s="1" t="n">
        <v>44615</v>
      </c>
      <c r="C402" s="1" t="n">
        <v>45889</v>
      </c>
      <c r="D402" t="inlineStr">
        <is>
          <t>JÄMTLANDS LÄN</t>
        </is>
      </c>
      <c r="E402" t="inlineStr">
        <is>
          <t>RAGUNDA</t>
        </is>
      </c>
      <c r="G402" t="n">
        <v>2</v>
      </c>
      <c r="H402" t="n">
        <v>0</v>
      </c>
      <c r="I402" t="n">
        <v>0</v>
      </c>
      <c r="J402" t="n">
        <v>0</v>
      </c>
      <c r="K402" t="n">
        <v>0</v>
      </c>
      <c r="L402" t="n">
        <v>0</v>
      </c>
      <c r="M402" t="n">
        <v>0</v>
      </c>
      <c r="N402" t="n">
        <v>0</v>
      </c>
      <c r="O402" t="n">
        <v>0</v>
      </c>
      <c r="P402" t="n">
        <v>0</v>
      </c>
      <c r="Q402" t="n">
        <v>0</v>
      </c>
      <c r="R402" s="2" t="inlineStr"/>
    </row>
    <row r="403" ht="15" customHeight="1">
      <c r="A403" t="inlineStr">
        <is>
          <t>A 28597-2021</t>
        </is>
      </c>
      <c r="B403" s="1" t="n">
        <v>44356.91935185185</v>
      </c>
      <c r="C403" s="1" t="n">
        <v>45889</v>
      </c>
      <c r="D403" t="inlineStr">
        <is>
          <t>JÄMTLANDS LÄN</t>
        </is>
      </c>
      <c r="E403" t="inlineStr">
        <is>
          <t>RAGUNDA</t>
        </is>
      </c>
      <c r="G403" t="n">
        <v>3.1</v>
      </c>
      <c r="H403" t="n">
        <v>0</v>
      </c>
      <c r="I403" t="n">
        <v>0</v>
      </c>
      <c r="J403" t="n">
        <v>0</v>
      </c>
      <c r="K403" t="n">
        <v>0</v>
      </c>
      <c r="L403" t="n">
        <v>0</v>
      </c>
      <c r="M403" t="n">
        <v>0</v>
      </c>
      <c r="N403" t="n">
        <v>0</v>
      </c>
      <c r="O403" t="n">
        <v>0</v>
      </c>
      <c r="P403" t="n">
        <v>0</v>
      </c>
      <c r="Q403" t="n">
        <v>0</v>
      </c>
      <c r="R403" s="2" t="inlineStr"/>
    </row>
    <row r="404" ht="15" customHeight="1">
      <c r="A404" t="inlineStr">
        <is>
          <t>A 40316-2020</t>
        </is>
      </c>
      <c r="B404" s="1" t="n">
        <v>44068.62614583333</v>
      </c>
      <c r="C404" s="1" t="n">
        <v>45889</v>
      </c>
      <c r="D404" t="inlineStr">
        <is>
          <t>JÄMTLANDS LÄN</t>
        </is>
      </c>
      <c r="E404" t="inlineStr">
        <is>
          <t>RAGUNDA</t>
        </is>
      </c>
      <c r="G404" t="n">
        <v>2.4</v>
      </c>
      <c r="H404" t="n">
        <v>0</v>
      </c>
      <c r="I404" t="n">
        <v>0</v>
      </c>
      <c r="J404" t="n">
        <v>0</v>
      </c>
      <c r="K404" t="n">
        <v>0</v>
      </c>
      <c r="L404" t="n">
        <v>0</v>
      </c>
      <c r="M404" t="n">
        <v>0</v>
      </c>
      <c r="N404" t="n">
        <v>0</v>
      </c>
      <c r="O404" t="n">
        <v>0</v>
      </c>
      <c r="P404" t="n">
        <v>0</v>
      </c>
      <c r="Q404" t="n">
        <v>0</v>
      </c>
      <c r="R404" s="2" t="inlineStr"/>
    </row>
    <row r="405" ht="15" customHeight="1">
      <c r="A405" t="inlineStr">
        <is>
          <t>A 57713-2020</t>
        </is>
      </c>
      <c r="B405" s="1" t="n">
        <v>44140</v>
      </c>
      <c r="C405" s="1" t="n">
        <v>45889</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6177-2022</t>
        </is>
      </c>
      <c r="B406" s="1" t="n">
        <v>44599.98685185185</v>
      </c>
      <c r="C406" s="1" t="n">
        <v>45889</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21193-2022</t>
        </is>
      </c>
      <c r="B407" s="1" t="n">
        <v>44704.94217592593</v>
      </c>
      <c r="C407" s="1" t="n">
        <v>45889</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9548-2025</t>
        </is>
      </c>
      <c r="B408" s="1" t="n">
        <v>45715.59405092592</v>
      </c>
      <c r="C408" s="1" t="n">
        <v>45889</v>
      </c>
      <c r="D408" t="inlineStr">
        <is>
          <t>JÄMTLANDS LÄN</t>
        </is>
      </c>
      <c r="E408" t="inlineStr">
        <is>
          <t>RAGUNDA</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13917-2023</t>
        </is>
      </c>
      <c r="B409" s="1" t="n">
        <v>45007</v>
      </c>
      <c r="C409" s="1" t="n">
        <v>45889</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18820-2023</t>
        </is>
      </c>
      <c r="B410" s="1" t="n">
        <v>45042</v>
      </c>
      <c r="C410" s="1" t="n">
        <v>45889</v>
      </c>
      <c r="D410" t="inlineStr">
        <is>
          <t>JÄMTLANDS LÄN</t>
        </is>
      </c>
      <c r="E410" t="inlineStr">
        <is>
          <t>RAGUNDA</t>
        </is>
      </c>
      <c r="G410" t="n">
        <v>18.8</v>
      </c>
      <c r="H410" t="n">
        <v>0</v>
      </c>
      <c r="I410" t="n">
        <v>0</v>
      </c>
      <c r="J410" t="n">
        <v>0</v>
      </c>
      <c r="K410" t="n">
        <v>0</v>
      </c>
      <c r="L410" t="n">
        <v>0</v>
      </c>
      <c r="M410" t="n">
        <v>0</v>
      </c>
      <c r="N410" t="n">
        <v>0</v>
      </c>
      <c r="O410" t="n">
        <v>0</v>
      </c>
      <c r="P410" t="n">
        <v>0</v>
      </c>
      <c r="Q410" t="n">
        <v>0</v>
      </c>
      <c r="R410" s="2" t="inlineStr"/>
    </row>
    <row r="411" ht="15" customHeight="1">
      <c r="A411" t="inlineStr">
        <is>
          <t>A 11147-2025</t>
        </is>
      </c>
      <c r="B411" s="1" t="n">
        <v>45723.67777777778</v>
      </c>
      <c r="C411" s="1" t="n">
        <v>45889</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24280-2021</t>
        </is>
      </c>
      <c r="B412" s="1" t="n">
        <v>44336</v>
      </c>
      <c r="C412" s="1" t="n">
        <v>45889</v>
      </c>
      <c r="D412" t="inlineStr">
        <is>
          <t>JÄMTLANDS LÄN</t>
        </is>
      </c>
      <c r="E412" t="inlineStr">
        <is>
          <t>RAGUNDA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14821-2025</t>
        </is>
      </c>
      <c r="B413" s="1" t="n">
        <v>45743.36</v>
      </c>
      <c r="C413" s="1" t="n">
        <v>45889</v>
      </c>
      <c r="D413" t="inlineStr">
        <is>
          <t>JÄMTLANDS LÄN</t>
        </is>
      </c>
      <c r="E413" t="inlineStr">
        <is>
          <t>RAGUNDA</t>
        </is>
      </c>
      <c r="F413" t="inlineStr">
        <is>
          <t>Kyrkan</t>
        </is>
      </c>
      <c r="G413" t="n">
        <v>6.4</v>
      </c>
      <c r="H413" t="n">
        <v>0</v>
      </c>
      <c r="I413" t="n">
        <v>0</v>
      </c>
      <c r="J413" t="n">
        <v>0</v>
      </c>
      <c r="K413" t="n">
        <v>0</v>
      </c>
      <c r="L413" t="n">
        <v>0</v>
      </c>
      <c r="M413" t="n">
        <v>0</v>
      </c>
      <c r="N413" t="n">
        <v>0</v>
      </c>
      <c r="O413" t="n">
        <v>0</v>
      </c>
      <c r="P413" t="n">
        <v>0</v>
      </c>
      <c r="Q413" t="n">
        <v>0</v>
      </c>
      <c r="R413" s="2" t="inlineStr"/>
    </row>
    <row r="414" ht="15" customHeight="1">
      <c r="A414" t="inlineStr">
        <is>
          <t>A 22655-2021</t>
        </is>
      </c>
      <c r="B414" s="1" t="n">
        <v>44322</v>
      </c>
      <c r="C414" s="1" t="n">
        <v>45889</v>
      </c>
      <c r="D414" t="inlineStr">
        <is>
          <t>JÄMTLANDS LÄN</t>
        </is>
      </c>
      <c r="E414" t="inlineStr">
        <is>
          <t>RAGUNDA</t>
        </is>
      </c>
      <c r="G414" t="n">
        <v>5.8</v>
      </c>
      <c r="H414" t="n">
        <v>0</v>
      </c>
      <c r="I414" t="n">
        <v>0</v>
      </c>
      <c r="J414" t="n">
        <v>0</v>
      </c>
      <c r="K414" t="n">
        <v>0</v>
      </c>
      <c r="L414" t="n">
        <v>0</v>
      </c>
      <c r="M414" t="n">
        <v>0</v>
      </c>
      <c r="N414" t="n">
        <v>0</v>
      </c>
      <c r="O414" t="n">
        <v>0</v>
      </c>
      <c r="P414" t="n">
        <v>0</v>
      </c>
      <c r="Q414" t="n">
        <v>0</v>
      </c>
      <c r="R414" s="2" t="inlineStr"/>
    </row>
    <row r="415" ht="15" customHeight="1">
      <c r="A415" t="inlineStr">
        <is>
          <t>A 37806-2021</t>
        </is>
      </c>
      <c r="B415" s="1" t="n">
        <v>44402.42243055555</v>
      </c>
      <c r="C415" s="1" t="n">
        <v>45889</v>
      </c>
      <c r="D415" t="inlineStr">
        <is>
          <t>JÄMTLANDS LÄN</t>
        </is>
      </c>
      <c r="E415" t="inlineStr">
        <is>
          <t>RAGUNDA</t>
        </is>
      </c>
      <c r="G415" t="n">
        <v>0.3</v>
      </c>
      <c r="H415" t="n">
        <v>0</v>
      </c>
      <c r="I415" t="n">
        <v>0</v>
      </c>
      <c r="J415" t="n">
        <v>0</v>
      </c>
      <c r="K415" t="n">
        <v>0</v>
      </c>
      <c r="L415" t="n">
        <v>0</v>
      </c>
      <c r="M415" t="n">
        <v>0</v>
      </c>
      <c r="N415" t="n">
        <v>0</v>
      </c>
      <c r="O415" t="n">
        <v>0</v>
      </c>
      <c r="P415" t="n">
        <v>0</v>
      </c>
      <c r="Q415" t="n">
        <v>0</v>
      </c>
      <c r="R415" s="2" t="inlineStr"/>
    </row>
    <row r="416" ht="15" customHeight="1">
      <c r="A416" t="inlineStr">
        <is>
          <t>A 21194-2022</t>
        </is>
      </c>
      <c r="B416" s="1" t="n">
        <v>44704.9422337963</v>
      </c>
      <c r="C416" s="1" t="n">
        <v>45889</v>
      </c>
      <c r="D416" t="inlineStr">
        <is>
          <t>JÄMTLANDS LÄN</t>
        </is>
      </c>
      <c r="E416" t="inlineStr">
        <is>
          <t>RAGUNDA</t>
        </is>
      </c>
      <c r="F416" t="inlineStr">
        <is>
          <t>SCA</t>
        </is>
      </c>
      <c r="G416" t="n">
        <v>10.6</v>
      </c>
      <c r="H416" t="n">
        <v>0</v>
      </c>
      <c r="I416" t="n">
        <v>0</v>
      </c>
      <c r="J416" t="n">
        <v>0</v>
      </c>
      <c r="K416" t="n">
        <v>0</v>
      </c>
      <c r="L416" t="n">
        <v>0</v>
      </c>
      <c r="M416" t="n">
        <v>0</v>
      </c>
      <c r="N416" t="n">
        <v>0</v>
      </c>
      <c r="O416" t="n">
        <v>0</v>
      </c>
      <c r="P416" t="n">
        <v>0</v>
      </c>
      <c r="Q416" t="n">
        <v>0</v>
      </c>
      <c r="R416" s="2" t="inlineStr"/>
    </row>
    <row r="417" ht="15" customHeight="1">
      <c r="A417" t="inlineStr">
        <is>
          <t>A 57237-2022</t>
        </is>
      </c>
      <c r="B417" s="1" t="n">
        <v>44889</v>
      </c>
      <c r="C417" s="1" t="n">
        <v>45889</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13263-2025</t>
        </is>
      </c>
      <c r="B418" s="1" t="n">
        <v>45735.53177083333</v>
      </c>
      <c r="C418" s="1" t="n">
        <v>45889</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13276-2025</t>
        </is>
      </c>
      <c r="B419" s="1" t="n">
        <v>45735.5517824074</v>
      </c>
      <c r="C419" s="1" t="n">
        <v>45889</v>
      </c>
      <c r="D419" t="inlineStr">
        <is>
          <t>JÄMTLANDS LÄN</t>
        </is>
      </c>
      <c r="E419" t="inlineStr">
        <is>
          <t>RAGUNDA</t>
        </is>
      </c>
      <c r="G419" t="n">
        <v>16.6</v>
      </c>
      <c r="H419" t="n">
        <v>0</v>
      </c>
      <c r="I419" t="n">
        <v>0</v>
      </c>
      <c r="J419" t="n">
        <v>0</v>
      </c>
      <c r="K419" t="n">
        <v>0</v>
      </c>
      <c r="L419" t="n">
        <v>0</v>
      </c>
      <c r="M419" t="n">
        <v>0</v>
      </c>
      <c r="N419" t="n">
        <v>0</v>
      </c>
      <c r="O419" t="n">
        <v>0</v>
      </c>
      <c r="P419" t="n">
        <v>0</v>
      </c>
      <c r="Q419" t="n">
        <v>0</v>
      </c>
      <c r="R419" s="2" t="inlineStr"/>
    </row>
    <row r="420" ht="15" customHeight="1">
      <c r="A420" t="inlineStr">
        <is>
          <t>A 12521-2023</t>
        </is>
      </c>
      <c r="B420" s="1" t="n">
        <v>45000</v>
      </c>
      <c r="C420" s="1" t="n">
        <v>45889</v>
      </c>
      <c r="D420" t="inlineStr">
        <is>
          <t>JÄMTLANDS LÄN</t>
        </is>
      </c>
      <c r="E420" t="inlineStr">
        <is>
          <t>RAGUNDA</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12405-2025</t>
        </is>
      </c>
      <c r="B421" s="1" t="n">
        <v>45730.42738425926</v>
      </c>
      <c r="C421" s="1" t="n">
        <v>45889</v>
      </c>
      <c r="D421" t="inlineStr">
        <is>
          <t>JÄMTLANDS LÄN</t>
        </is>
      </c>
      <c r="E421" t="inlineStr">
        <is>
          <t>RAGUNDA</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12808-2025</t>
        </is>
      </c>
      <c r="B422" s="1" t="n">
        <v>45733.61554398148</v>
      </c>
      <c r="C422" s="1" t="n">
        <v>45889</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3720-2025</t>
        </is>
      </c>
      <c r="B423" s="1" t="n">
        <v>45681.5315625</v>
      </c>
      <c r="C423" s="1" t="n">
        <v>45889</v>
      </c>
      <c r="D423" t="inlineStr">
        <is>
          <t>JÄMTLANDS LÄN</t>
        </is>
      </c>
      <c r="E423" t="inlineStr">
        <is>
          <t>RAGUNDA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46546-2023</t>
        </is>
      </c>
      <c r="B424" s="1" t="n">
        <v>45197.94152777778</v>
      </c>
      <c r="C424" s="1" t="n">
        <v>45889</v>
      </c>
      <c r="D424" t="inlineStr">
        <is>
          <t>JÄMTLANDS LÄN</t>
        </is>
      </c>
      <c r="E424" t="inlineStr">
        <is>
          <t>RAGUNDA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6716-2025</t>
        </is>
      </c>
      <c r="B425" s="1" t="n">
        <v>45700.57324074074</v>
      </c>
      <c r="C425" s="1" t="n">
        <v>45889</v>
      </c>
      <c r="D425" t="inlineStr">
        <is>
          <t>JÄMTLANDS LÄN</t>
        </is>
      </c>
      <c r="E425" t="inlineStr">
        <is>
          <t>RAGUNDA</t>
        </is>
      </c>
      <c r="F425" t="inlineStr">
        <is>
          <t>SCA</t>
        </is>
      </c>
      <c r="G425" t="n">
        <v>5.1</v>
      </c>
      <c r="H425" t="n">
        <v>0</v>
      </c>
      <c r="I425" t="n">
        <v>0</v>
      </c>
      <c r="J425" t="n">
        <v>0</v>
      </c>
      <c r="K425" t="n">
        <v>0</v>
      </c>
      <c r="L425" t="n">
        <v>0</v>
      </c>
      <c r="M425" t="n">
        <v>0</v>
      </c>
      <c r="N425" t="n">
        <v>0</v>
      </c>
      <c r="O425" t="n">
        <v>0</v>
      </c>
      <c r="P425" t="n">
        <v>0</v>
      </c>
      <c r="Q425" t="n">
        <v>0</v>
      </c>
      <c r="R425" s="2" t="inlineStr"/>
    </row>
    <row r="426" ht="15" customHeight="1">
      <c r="A426" t="inlineStr">
        <is>
          <t>A 60313-2021</t>
        </is>
      </c>
      <c r="B426" s="1" t="n">
        <v>44495</v>
      </c>
      <c r="C426" s="1" t="n">
        <v>45889</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62358-2023</t>
        </is>
      </c>
      <c r="B427" s="1" t="n">
        <v>45267</v>
      </c>
      <c r="C427" s="1" t="n">
        <v>45889</v>
      </c>
      <c r="D427" t="inlineStr">
        <is>
          <t>JÄMTLANDS LÄN</t>
        </is>
      </c>
      <c r="E427" t="inlineStr">
        <is>
          <t>RAGUNDA</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30823-2023</t>
        </is>
      </c>
      <c r="B428" s="1" t="n">
        <v>45112</v>
      </c>
      <c r="C428" s="1" t="n">
        <v>45889</v>
      </c>
      <c r="D428" t="inlineStr">
        <is>
          <t>JÄMTLANDS LÄN</t>
        </is>
      </c>
      <c r="E428" t="inlineStr">
        <is>
          <t>RAGUNDA</t>
        </is>
      </c>
      <c r="F428" t="inlineStr">
        <is>
          <t>SCA</t>
        </is>
      </c>
      <c r="G428" t="n">
        <v>9</v>
      </c>
      <c r="H428" t="n">
        <v>0</v>
      </c>
      <c r="I428" t="n">
        <v>0</v>
      </c>
      <c r="J428" t="n">
        <v>0</v>
      </c>
      <c r="K428" t="n">
        <v>0</v>
      </c>
      <c r="L428" t="n">
        <v>0</v>
      </c>
      <c r="M428" t="n">
        <v>0</v>
      </c>
      <c r="N428" t="n">
        <v>0</v>
      </c>
      <c r="O428" t="n">
        <v>0</v>
      </c>
      <c r="P428" t="n">
        <v>0</v>
      </c>
      <c r="Q428" t="n">
        <v>0</v>
      </c>
      <c r="R428" s="2" t="inlineStr"/>
    </row>
    <row r="429" ht="15" customHeight="1">
      <c r="A429" t="inlineStr">
        <is>
          <t>A 19264-2025</t>
        </is>
      </c>
      <c r="B429" s="1" t="n">
        <v>45769.51087962963</v>
      </c>
      <c r="C429" s="1" t="n">
        <v>45889</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30484-2024</t>
        </is>
      </c>
      <c r="B430" s="1" t="n">
        <v>45491</v>
      </c>
      <c r="C430" s="1" t="n">
        <v>45889</v>
      </c>
      <c r="D430" t="inlineStr">
        <is>
          <t>JÄMTLANDS LÄN</t>
        </is>
      </c>
      <c r="E430" t="inlineStr">
        <is>
          <t>RAGUNDA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2339-2025</t>
        </is>
      </c>
      <c r="B431" s="1" t="n">
        <v>45673.66358796296</v>
      </c>
      <c r="C431" s="1" t="n">
        <v>45889</v>
      </c>
      <c r="D431" t="inlineStr">
        <is>
          <t>JÄMTLANDS LÄN</t>
        </is>
      </c>
      <c r="E431" t="inlineStr">
        <is>
          <t>RAGUNDA</t>
        </is>
      </c>
      <c r="G431" t="n">
        <v>5</v>
      </c>
      <c r="H431" t="n">
        <v>0</v>
      </c>
      <c r="I431" t="n">
        <v>0</v>
      </c>
      <c r="J431" t="n">
        <v>0</v>
      </c>
      <c r="K431" t="n">
        <v>0</v>
      </c>
      <c r="L431" t="n">
        <v>0</v>
      </c>
      <c r="M431" t="n">
        <v>0</v>
      </c>
      <c r="N431" t="n">
        <v>0</v>
      </c>
      <c r="O431" t="n">
        <v>0</v>
      </c>
      <c r="P431" t="n">
        <v>0</v>
      </c>
      <c r="Q431" t="n">
        <v>0</v>
      </c>
      <c r="R431" s="2" t="inlineStr"/>
    </row>
    <row r="432" ht="15" customHeight="1">
      <c r="A432" t="inlineStr">
        <is>
          <t>A 17742-2022</t>
        </is>
      </c>
      <c r="B432" s="1" t="n">
        <v>44680.95246527778</v>
      </c>
      <c r="C432" s="1" t="n">
        <v>45889</v>
      </c>
      <c r="D432" t="inlineStr">
        <is>
          <t>JÄMTLANDS LÄN</t>
        </is>
      </c>
      <c r="E432" t="inlineStr">
        <is>
          <t>RAGUNDA</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23304-2023</t>
        </is>
      </c>
      <c r="B433" s="1" t="n">
        <v>45075.945</v>
      </c>
      <c r="C433" s="1" t="n">
        <v>45889</v>
      </c>
      <c r="D433" t="inlineStr">
        <is>
          <t>JÄMTLANDS LÄN</t>
        </is>
      </c>
      <c r="E433" t="inlineStr">
        <is>
          <t>RAGUNDA</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64492-2023</t>
        </is>
      </c>
      <c r="B434" s="1" t="n">
        <v>45280.92645833334</v>
      </c>
      <c r="C434" s="1" t="n">
        <v>45889</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11288-2022</t>
        </is>
      </c>
      <c r="B435" s="1" t="n">
        <v>44629</v>
      </c>
      <c r="C435" s="1" t="n">
        <v>45889</v>
      </c>
      <c r="D435" t="inlineStr">
        <is>
          <t>JÄMTLANDS LÄN</t>
        </is>
      </c>
      <c r="E435" t="inlineStr">
        <is>
          <t>RAGUNDA</t>
        </is>
      </c>
      <c r="G435" t="n">
        <v>4.9</v>
      </c>
      <c r="H435" t="n">
        <v>0</v>
      </c>
      <c r="I435" t="n">
        <v>0</v>
      </c>
      <c r="J435" t="n">
        <v>0</v>
      </c>
      <c r="K435" t="n">
        <v>0</v>
      </c>
      <c r="L435" t="n">
        <v>0</v>
      </c>
      <c r="M435" t="n">
        <v>0</v>
      </c>
      <c r="N435" t="n">
        <v>0</v>
      </c>
      <c r="O435" t="n">
        <v>0</v>
      </c>
      <c r="P435" t="n">
        <v>0</v>
      </c>
      <c r="Q435" t="n">
        <v>0</v>
      </c>
      <c r="R435" s="2" t="inlineStr"/>
    </row>
    <row r="436" ht="15" customHeight="1">
      <c r="A436" t="inlineStr">
        <is>
          <t>A 50555-2024</t>
        </is>
      </c>
      <c r="B436" s="1" t="n">
        <v>45601.59518518519</v>
      </c>
      <c r="C436" s="1" t="n">
        <v>45889</v>
      </c>
      <c r="D436" t="inlineStr">
        <is>
          <t>JÄMTLANDS LÄN</t>
        </is>
      </c>
      <c r="E436" t="inlineStr">
        <is>
          <t>RAGUNDA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19865-2023</t>
        </is>
      </c>
      <c r="B437" s="1" t="n">
        <v>45053.94305555556</v>
      </c>
      <c r="C437" s="1" t="n">
        <v>45889</v>
      </c>
      <c r="D437" t="inlineStr">
        <is>
          <t>JÄMTLANDS LÄN</t>
        </is>
      </c>
      <c r="E437" t="inlineStr">
        <is>
          <t>RAGUNDA</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56193-2022</t>
        </is>
      </c>
      <c r="B438" s="1" t="n">
        <v>44889</v>
      </c>
      <c r="C438" s="1" t="n">
        <v>45889</v>
      </c>
      <c r="D438" t="inlineStr">
        <is>
          <t>JÄMTLANDS LÄN</t>
        </is>
      </c>
      <c r="E438" t="inlineStr">
        <is>
          <t>RAGUNDA</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5515-2022</t>
        </is>
      </c>
      <c r="B439" s="1" t="n">
        <v>44595</v>
      </c>
      <c r="C439" s="1" t="n">
        <v>45889</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28596-2021</t>
        </is>
      </c>
      <c r="B440" s="1" t="n">
        <v>44356</v>
      </c>
      <c r="C440" s="1" t="n">
        <v>45889</v>
      </c>
      <c r="D440" t="inlineStr">
        <is>
          <t>JÄMTLANDS LÄN</t>
        </is>
      </c>
      <c r="E440" t="inlineStr">
        <is>
          <t>RAGUNDA</t>
        </is>
      </c>
      <c r="G440" t="n">
        <v>5.4</v>
      </c>
      <c r="H440" t="n">
        <v>0</v>
      </c>
      <c r="I440" t="n">
        <v>0</v>
      </c>
      <c r="J440" t="n">
        <v>0</v>
      </c>
      <c r="K440" t="n">
        <v>0</v>
      </c>
      <c r="L440" t="n">
        <v>0</v>
      </c>
      <c r="M440" t="n">
        <v>0</v>
      </c>
      <c r="N440" t="n">
        <v>0</v>
      </c>
      <c r="O440" t="n">
        <v>0</v>
      </c>
      <c r="P440" t="n">
        <v>0</v>
      </c>
      <c r="Q440" t="n">
        <v>0</v>
      </c>
      <c r="R440" s="2" t="inlineStr"/>
    </row>
    <row r="441" ht="15" customHeight="1">
      <c r="A441" t="inlineStr">
        <is>
          <t>A 1554-2024</t>
        </is>
      </c>
      <c r="B441" s="1" t="n">
        <v>45306</v>
      </c>
      <c r="C441" s="1" t="n">
        <v>45889</v>
      </c>
      <c r="D441" t="inlineStr">
        <is>
          <t>JÄMTLANDS LÄN</t>
        </is>
      </c>
      <c r="E441" t="inlineStr">
        <is>
          <t>RAGUNDA</t>
        </is>
      </c>
      <c r="G441" t="n">
        <v>4.3</v>
      </c>
      <c r="H441" t="n">
        <v>0</v>
      </c>
      <c r="I441" t="n">
        <v>0</v>
      </c>
      <c r="J441" t="n">
        <v>0</v>
      </c>
      <c r="K441" t="n">
        <v>0</v>
      </c>
      <c r="L441" t="n">
        <v>0</v>
      </c>
      <c r="M441" t="n">
        <v>0</v>
      </c>
      <c r="N441" t="n">
        <v>0</v>
      </c>
      <c r="O441" t="n">
        <v>0</v>
      </c>
      <c r="P441" t="n">
        <v>0</v>
      </c>
      <c r="Q441" t="n">
        <v>0</v>
      </c>
      <c r="R441" s="2" t="inlineStr"/>
    </row>
    <row r="442" ht="15" customHeight="1">
      <c r="A442" t="inlineStr">
        <is>
          <t>A 53676-2022</t>
        </is>
      </c>
      <c r="B442" s="1" t="n">
        <v>44879</v>
      </c>
      <c r="C442" s="1" t="n">
        <v>45889</v>
      </c>
      <c r="D442" t="inlineStr">
        <is>
          <t>JÄMTLANDS LÄN</t>
        </is>
      </c>
      <c r="E442" t="inlineStr">
        <is>
          <t>RAGUNDA</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36106-2022</t>
        </is>
      </c>
      <c r="B443" s="1" t="n">
        <v>44802.94811342593</v>
      </c>
      <c r="C443" s="1" t="n">
        <v>45889</v>
      </c>
      <c r="D443" t="inlineStr">
        <is>
          <t>JÄMTLANDS LÄN</t>
        </is>
      </c>
      <c r="E443" t="inlineStr">
        <is>
          <t>RAGUNDA</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22011-2023</t>
        </is>
      </c>
      <c r="B444" s="1" t="n">
        <v>45068</v>
      </c>
      <c r="C444" s="1" t="n">
        <v>45889</v>
      </c>
      <c r="D444" t="inlineStr">
        <is>
          <t>JÄMTLANDS LÄN</t>
        </is>
      </c>
      <c r="E444" t="inlineStr">
        <is>
          <t>RAGUNDA</t>
        </is>
      </c>
      <c r="F444" t="inlineStr">
        <is>
          <t>SCA</t>
        </is>
      </c>
      <c r="G444" t="n">
        <v>12.2</v>
      </c>
      <c r="H444" t="n">
        <v>0</v>
      </c>
      <c r="I444" t="n">
        <v>0</v>
      </c>
      <c r="J444" t="n">
        <v>0</v>
      </c>
      <c r="K444" t="n">
        <v>0</v>
      </c>
      <c r="L444" t="n">
        <v>0</v>
      </c>
      <c r="M444" t="n">
        <v>0</v>
      </c>
      <c r="N444" t="n">
        <v>0</v>
      </c>
      <c r="O444" t="n">
        <v>0</v>
      </c>
      <c r="P444" t="n">
        <v>0</v>
      </c>
      <c r="Q444" t="n">
        <v>0</v>
      </c>
      <c r="R444" s="2" t="inlineStr"/>
    </row>
    <row r="445" ht="15" customHeight="1">
      <c r="A445" t="inlineStr">
        <is>
          <t>A 60957-2021</t>
        </is>
      </c>
      <c r="B445" s="1" t="n">
        <v>44496</v>
      </c>
      <c r="C445" s="1" t="n">
        <v>45889</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14212-2023</t>
        </is>
      </c>
      <c r="B446" s="1" t="n">
        <v>45009</v>
      </c>
      <c r="C446" s="1" t="n">
        <v>45889</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26122-2022</t>
        </is>
      </c>
      <c r="B447" s="1" t="n">
        <v>44734.94193287037</v>
      </c>
      <c r="C447" s="1" t="n">
        <v>45889</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13389-2025</t>
        </is>
      </c>
      <c r="B448" s="1" t="n">
        <v>45735.69842592593</v>
      </c>
      <c r="C448" s="1" t="n">
        <v>45889</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20772-2024</t>
        </is>
      </c>
      <c r="B449" s="1" t="n">
        <v>45436.94628472222</v>
      </c>
      <c r="C449" s="1" t="n">
        <v>45889</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18614-2024</t>
        </is>
      </c>
      <c r="B450" s="1" t="n">
        <v>45425.96263888889</v>
      </c>
      <c r="C450" s="1" t="n">
        <v>45889</v>
      </c>
      <c r="D450" t="inlineStr">
        <is>
          <t>JÄMTLANDS LÄN</t>
        </is>
      </c>
      <c r="E450" t="inlineStr">
        <is>
          <t>RAGUNDA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2831-2024</t>
        </is>
      </c>
      <c r="B451" s="1" t="n">
        <v>45314.92758101852</v>
      </c>
      <c r="C451" s="1" t="n">
        <v>45889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53757-2024</t>
        </is>
      </c>
      <c r="B452" s="1" t="n">
        <v>45615.50034722222</v>
      </c>
      <c r="C452" s="1" t="n">
        <v>45889</v>
      </c>
      <c r="D452" t="inlineStr">
        <is>
          <t>JÄMTLANDS LÄN</t>
        </is>
      </c>
      <c r="E452" t="inlineStr">
        <is>
          <t>RAGUNDA</t>
        </is>
      </c>
      <c r="G452" t="n">
        <v>2</v>
      </c>
      <c r="H452" t="n">
        <v>0</v>
      </c>
      <c r="I452" t="n">
        <v>0</v>
      </c>
      <c r="J452" t="n">
        <v>0</v>
      </c>
      <c r="K452" t="n">
        <v>0</v>
      </c>
      <c r="L452" t="n">
        <v>0</v>
      </c>
      <c r="M452" t="n">
        <v>0</v>
      </c>
      <c r="N452" t="n">
        <v>0</v>
      </c>
      <c r="O452" t="n">
        <v>0</v>
      </c>
      <c r="P452" t="n">
        <v>0</v>
      </c>
      <c r="Q452" t="n">
        <v>0</v>
      </c>
      <c r="R452" s="2" t="inlineStr"/>
    </row>
    <row r="453" ht="15" customHeight="1">
      <c r="A453" t="inlineStr">
        <is>
          <t>A 19246-2023</t>
        </is>
      </c>
      <c r="B453" s="1" t="n">
        <v>45048.94340277778</v>
      </c>
      <c r="C453" s="1" t="n">
        <v>45889</v>
      </c>
      <c r="D453" t="inlineStr">
        <is>
          <t>JÄMTLANDS LÄN</t>
        </is>
      </c>
      <c r="E453" t="inlineStr">
        <is>
          <t>RAGUNDA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464-2023</t>
        </is>
      </c>
      <c r="B454" s="1" t="n">
        <v>44929.92489583333</v>
      </c>
      <c r="C454" s="1" t="n">
        <v>45889</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49649-2024</t>
        </is>
      </c>
      <c r="B455" s="1" t="n">
        <v>45596.61553240741</v>
      </c>
      <c r="C455" s="1" t="n">
        <v>45889</v>
      </c>
      <c r="D455" t="inlineStr">
        <is>
          <t>JÄMTLANDS LÄN</t>
        </is>
      </c>
      <c r="E455" t="inlineStr">
        <is>
          <t>RAGUNDA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12585-2024</t>
        </is>
      </c>
      <c r="B456" s="1" t="n">
        <v>45379.93637731481</v>
      </c>
      <c r="C456" s="1" t="n">
        <v>45889</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20426-2024</t>
        </is>
      </c>
      <c r="B457" s="1" t="n">
        <v>45435</v>
      </c>
      <c r="C457" s="1" t="n">
        <v>45889</v>
      </c>
      <c r="D457" t="inlineStr">
        <is>
          <t>JÄMTLANDS LÄN</t>
        </is>
      </c>
      <c r="E457" t="inlineStr">
        <is>
          <t>RAGUNDA</t>
        </is>
      </c>
      <c r="G457" t="n">
        <v>2.1</v>
      </c>
      <c r="H457" t="n">
        <v>0</v>
      </c>
      <c r="I457" t="n">
        <v>0</v>
      </c>
      <c r="J457" t="n">
        <v>0</v>
      </c>
      <c r="K457" t="n">
        <v>0</v>
      </c>
      <c r="L457" t="n">
        <v>0</v>
      </c>
      <c r="M457" t="n">
        <v>0</v>
      </c>
      <c r="N457" t="n">
        <v>0</v>
      </c>
      <c r="O457" t="n">
        <v>0</v>
      </c>
      <c r="P457" t="n">
        <v>0</v>
      </c>
      <c r="Q457" t="n">
        <v>0</v>
      </c>
      <c r="R457" s="2" t="inlineStr"/>
    </row>
    <row r="458" ht="15" customHeight="1">
      <c r="A458" t="inlineStr">
        <is>
          <t>A 15581-2024</t>
        </is>
      </c>
      <c r="B458" s="1" t="n">
        <v>45401</v>
      </c>
      <c r="C458" s="1" t="n">
        <v>45889</v>
      </c>
      <c r="D458" t="inlineStr">
        <is>
          <t>JÄMTLANDS LÄN</t>
        </is>
      </c>
      <c r="E458" t="inlineStr">
        <is>
          <t>RAGUNDA</t>
        </is>
      </c>
      <c r="F458" t="inlineStr">
        <is>
          <t>Kommuner</t>
        </is>
      </c>
      <c r="G458" t="n">
        <v>2.2</v>
      </c>
      <c r="H458" t="n">
        <v>0</v>
      </c>
      <c r="I458" t="n">
        <v>0</v>
      </c>
      <c r="J458" t="n">
        <v>0</v>
      </c>
      <c r="K458" t="n">
        <v>0</v>
      </c>
      <c r="L458" t="n">
        <v>0</v>
      </c>
      <c r="M458" t="n">
        <v>0</v>
      </c>
      <c r="N458" t="n">
        <v>0</v>
      </c>
      <c r="O458" t="n">
        <v>0</v>
      </c>
      <c r="P458" t="n">
        <v>0</v>
      </c>
      <c r="Q458" t="n">
        <v>0</v>
      </c>
      <c r="R458" s="2" t="inlineStr"/>
    </row>
    <row r="459" ht="15" customHeight="1">
      <c r="A459" t="inlineStr">
        <is>
          <t>A 15611-2024</t>
        </is>
      </c>
      <c r="B459" s="1" t="n">
        <v>45401</v>
      </c>
      <c r="C459" s="1" t="n">
        <v>45889</v>
      </c>
      <c r="D459" t="inlineStr">
        <is>
          <t>JÄMTLANDS LÄN</t>
        </is>
      </c>
      <c r="E459" t="inlineStr">
        <is>
          <t>RAGUNDA</t>
        </is>
      </c>
      <c r="F459" t="inlineStr">
        <is>
          <t>SCA</t>
        </is>
      </c>
      <c r="G459" t="n">
        <v>10.3</v>
      </c>
      <c r="H459" t="n">
        <v>0</v>
      </c>
      <c r="I459" t="n">
        <v>0</v>
      </c>
      <c r="J459" t="n">
        <v>0</v>
      </c>
      <c r="K459" t="n">
        <v>0</v>
      </c>
      <c r="L459" t="n">
        <v>0</v>
      </c>
      <c r="M459" t="n">
        <v>0</v>
      </c>
      <c r="N459" t="n">
        <v>0</v>
      </c>
      <c r="O459" t="n">
        <v>0</v>
      </c>
      <c r="P459" t="n">
        <v>0</v>
      </c>
      <c r="Q459" t="n">
        <v>0</v>
      </c>
      <c r="R459" s="2" t="inlineStr"/>
    </row>
    <row r="460" ht="15" customHeight="1">
      <c r="A460" t="inlineStr">
        <is>
          <t>A 41344-2024</t>
        </is>
      </c>
      <c r="B460" s="1" t="n">
        <v>45559.67759259259</v>
      </c>
      <c r="C460" s="1" t="n">
        <v>45889</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58955-2024</t>
        </is>
      </c>
      <c r="B461" s="1" t="n">
        <v>45636.57329861111</v>
      </c>
      <c r="C461" s="1" t="n">
        <v>45889</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4878-2022</t>
        </is>
      </c>
      <c r="B462" s="1" t="n">
        <v>44593</v>
      </c>
      <c r="C462" s="1" t="n">
        <v>45889</v>
      </c>
      <c r="D462" t="inlineStr">
        <is>
          <t>JÄMTLANDS LÄN</t>
        </is>
      </c>
      <c r="E462" t="inlineStr">
        <is>
          <t>RAGUNDA</t>
        </is>
      </c>
      <c r="G462" t="n">
        <v>21.7</v>
      </c>
      <c r="H462" t="n">
        <v>0</v>
      </c>
      <c r="I462" t="n">
        <v>0</v>
      </c>
      <c r="J462" t="n">
        <v>0</v>
      </c>
      <c r="K462" t="n">
        <v>0</v>
      </c>
      <c r="L462" t="n">
        <v>0</v>
      </c>
      <c r="M462" t="n">
        <v>0</v>
      </c>
      <c r="N462" t="n">
        <v>0</v>
      </c>
      <c r="O462" t="n">
        <v>0</v>
      </c>
      <c r="P462" t="n">
        <v>0</v>
      </c>
      <c r="Q462" t="n">
        <v>0</v>
      </c>
      <c r="R462" s="2" t="inlineStr"/>
    </row>
    <row r="463" ht="15" customHeight="1">
      <c r="A463" t="inlineStr">
        <is>
          <t>A 11780-2024</t>
        </is>
      </c>
      <c r="B463" s="1" t="n">
        <v>45374</v>
      </c>
      <c r="C463" s="1" t="n">
        <v>45889</v>
      </c>
      <c r="D463" t="inlineStr">
        <is>
          <t>JÄMTLANDS LÄN</t>
        </is>
      </c>
      <c r="E463" t="inlineStr">
        <is>
          <t>RAGUNDA</t>
        </is>
      </c>
      <c r="G463" t="n">
        <v>14.6</v>
      </c>
      <c r="H463" t="n">
        <v>0</v>
      </c>
      <c r="I463" t="n">
        <v>0</v>
      </c>
      <c r="J463" t="n">
        <v>0</v>
      </c>
      <c r="K463" t="n">
        <v>0</v>
      </c>
      <c r="L463" t="n">
        <v>0</v>
      </c>
      <c r="M463" t="n">
        <v>0</v>
      </c>
      <c r="N463" t="n">
        <v>0</v>
      </c>
      <c r="O463" t="n">
        <v>0</v>
      </c>
      <c r="P463" t="n">
        <v>0</v>
      </c>
      <c r="Q463" t="n">
        <v>0</v>
      </c>
      <c r="R463" s="2" t="inlineStr"/>
    </row>
    <row r="464" ht="15" customHeight="1">
      <c r="A464" t="inlineStr">
        <is>
          <t>A 13264-2025</t>
        </is>
      </c>
      <c r="B464" s="1" t="n">
        <v>45735</v>
      </c>
      <c r="C464" s="1" t="n">
        <v>45889</v>
      </c>
      <c r="D464" t="inlineStr">
        <is>
          <t>JÄMTLANDS LÄN</t>
        </is>
      </c>
      <c r="E464" t="inlineStr">
        <is>
          <t>RAGUNDA</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37268-2024</t>
        </is>
      </c>
      <c r="B465" s="1" t="n">
        <v>45540.38586805556</v>
      </c>
      <c r="C465" s="1" t="n">
        <v>45889</v>
      </c>
      <c r="D465" t="inlineStr">
        <is>
          <t>JÄMTLANDS LÄN</t>
        </is>
      </c>
      <c r="E465" t="inlineStr">
        <is>
          <t>RAGUNDA</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41885-2020</t>
        </is>
      </c>
      <c r="B466" s="1" t="n">
        <v>44074</v>
      </c>
      <c r="C466" s="1" t="n">
        <v>45889</v>
      </c>
      <c r="D466" t="inlineStr">
        <is>
          <t>JÄMTLANDS LÄN</t>
        </is>
      </c>
      <c r="E466" t="inlineStr">
        <is>
          <t>RAGUNDA</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22131-2021</t>
        </is>
      </c>
      <c r="B467" s="1" t="n">
        <v>44323</v>
      </c>
      <c r="C467" s="1" t="n">
        <v>45889</v>
      </c>
      <c r="D467" t="inlineStr">
        <is>
          <t>JÄMTLANDS LÄN</t>
        </is>
      </c>
      <c r="E467" t="inlineStr">
        <is>
          <t>RAGUNDA</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59557-2023</t>
        </is>
      </c>
      <c r="B468" s="1" t="n">
        <v>45253</v>
      </c>
      <c r="C468" s="1" t="n">
        <v>45889</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41179-2022</t>
        </is>
      </c>
      <c r="B469" s="1" t="n">
        <v>44825</v>
      </c>
      <c r="C469" s="1" t="n">
        <v>45889</v>
      </c>
      <c r="D469" t="inlineStr">
        <is>
          <t>JÄMTLANDS LÄN</t>
        </is>
      </c>
      <c r="E469" t="inlineStr">
        <is>
          <t>RAGUNDA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50157-2023</t>
        </is>
      </c>
      <c r="B470" s="1" t="n">
        <v>45208</v>
      </c>
      <c r="C470" s="1" t="n">
        <v>45889</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17598-2021</t>
        </is>
      </c>
      <c r="B471" s="1" t="n">
        <v>44299</v>
      </c>
      <c r="C471" s="1" t="n">
        <v>45889</v>
      </c>
      <c r="D471" t="inlineStr">
        <is>
          <t>JÄMTLANDS LÄN</t>
        </is>
      </c>
      <c r="E471" t="inlineStr">
        <is>
          <t>RAGUNDA</t>
        </is>
      </c>
      <c r="G471" t="n">
        <v>4.6</v>
      </c>
      <c r="H471" t="n">
        <v>0</v>
      </c>
      <c r="I471" t="n">
        <v>0</v>
      </c>
      <c r="J471" t="n">
        <v>0</v>
      </c>
      <c r="K471" t="n">
        <v>0</v>
      </c>
      <c r="L471" t="n">
        <v>0</v>
      </c>
      <c r="M471" t="n">
        <v>0</v>
      </c>
      <c r="N471" t="n">
        <v>0</v>
      </c>
      <c r="O471" t="n">
        <v>0</v>
      </c>
      <c r="P471" t="n">
        <v>0</v>
      </c>
      <c r="Q471" t="n">
        <v>0</v>
      </c>
      <c r="R471" s="2" t="inlineStr"/>
    </row>
    <row r="472" ht="15" customHeight="1">
      <c r="A472" t="inlineStr">
        <is>
          <t>A 38664-2022</t>
        </is>
      </c>
      <c r="B472" s="1" t="n">
        <v>44813</v>
      </c>
      <c r="C472" s="1" t="n">
        <v>45889</v>
      </c>
      <c r="D472" t="inlineStr">
        <is>
          <t>JÄMTLANDS LÄN</t>
        </is>
      </c>
      <c r="E472" t="inlineStr">
        <is>
          <t>RAGUNDA</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62541-2022</t>
        </is>
      </c>
      <c r="B473" s="1" t="n">
        <v>44917</v>
      </c>
      <c r="C473" s="1" t="n">
        <v>45889</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42893-2022</t>
        </is>
      </c>
      <c r="B474" s="1" t="n">
        <v>44832</v>
      </c>
      <c r="C474" s="1" t="n">
        <v>45889</v>
      </c>
      <c r="D474" t="inlineStr">
        <is>
          <t>JÄMTLANDS LÄN</t>
        </is>
      </c>
      <c r="E474" t="inlineStr">
        <is>
          <t>RAGUNDA</t>
        </is>
      </c>
      <c r="F474" t="inlineStr">
        <is>
          <t>SCA</t>
        </is>
      </c>
      <c r="G474" t="n">
        <v>28.4</v>
      </c>
      <c r="H474" t="n">
        <v>0</v>
      </c>
      <c r="I474" t="n">
        <v>0</v>
      </c>
      <c r="J474" t="n">
        <v>0</v>
      </c>
      <c r="K474" t="n">
        <v>0</v>
      </c>
      <c r="L474" t="n">
        <v>0</v>
      </c>
      <c r="M474" t="n">
        <v>0</v>
      </c>
      <c r="N474" t="n">
        <v>0</v>
      </c>
      <c r="O474" t="n">
        <v>0</v>
      </c>
      <c r="P474" t="n">
        <v>0</v>
      </c>
      <c r="Q474" t="n">
        <v>0</v>
      </c>
      <c r="R474" s="2" t="inlineStr"/>
    </row>
    <row r="475" ht="15" customHeight="1">
      <c r="A475" t="inlineStr">
        <is>
          <t>A 39489-2023</t>
        </is>
      </c>
      <c r="B475" s="1" t="n">
        <v>45166</v>
      </c>
      <c r="C475" s="1" t="n">
        <v>45889</v>
      </c>
      <c r="D475" t="inlineStr">
        <is>
          <t>JÄMTLANDS LÄN</t>
        </is>
      </c>
      <c r="E475" t="inlineStr">
        <is>
          <t>RAGUNDA</t>
        </is>
      </c>
      <c r="G475" t="n">
        <v>5</v>
      </c>
      <c r="H475" t="n">
        <v>0</v>
      </c>
      <c r="I475" t="n">
        <v>0</v>
      </c>
      <c r="J475" t="n">
        <v>0</v>
      </c>
      <c r="K475" t="n">
        <v>0</v>
      </c>
      <c r="L475" t="n">
        <v>0</v>
      </c>
      <c r="M475" t="n">
        <v>0</v>
      </c>
      <c r="N475" t="n">
        <v>0</v>
      </c>
      <c r="O475" t="n">
        <v>0</v>
      </c>
      <c r="P475" t="n">
        <v>0</v>
      </c>
      <c r="Q475" t="n">
        <v>0</v>
      </c>
      <c r="R475" s="2" t="inlineStr"/>
    </row>
    <row r="476" ht="15" customHeight="1">
      <c r="A476" t="inlineStr">
        <is>
          <t>A 38425-2022</t>
        </is>
      </c>
      <c r="B476" s="1" t="n">
        <v>44812.94709490741</v>
      </c>
      <c r="C476" s="1" t="n">
        <v>45889</v>
      </c>
      <c r="D476" t="inlineStr">
        <is>
          <t>JÄMTLANDS LÄN</t>
        </is>
      </c>
      <c r="E476" t="inlineStr">
        <is>
          <t>RAGUNDA</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36922-2022</t>
        </is>
      </c>
      <c r="B477" s="1" t="n">
        <v>44805.94592592592</v>
      </c>
      <c r="C477" s="1" t="n">
        <v>45889</v>
      </c>
      <c r="D477" t="inlineStr">
        <is>
          <t>JÄMTLANDS LÄN</t>
        </is>
      </c>
      <c r="E477" t="inlineStr">
        <is>
          <t>RAGUNDA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14513-2025</t>
        </is>
      </c>
      <c r="B478" s="1" t="n">
        <v>45741.63675925926</v>
      </c>
      <c r="C478" s="1" t="n">
        <v>45889</v>
      </c>
      <c r="D478" t="inlineStr">
        <is>
          <t>JÄMTLANDS LÄN</t>
        </is>
      </c>
      <c r="E478" t="inlineStr">
        <is>
          <t>RAGUNDA</t>
        </is>
      </c>
      <c r="F478" t="inlineStr">
        <is>
          <t>SCA</t>
        </is>
      </c>
      <c r="G478" t="n">
        <v>6.8</v>
      </c>
      <c r="H478" t="n">
        <v>0</v>
      </c>
      <c r="I478" t="n">
        <v>0</v>
      </c>
      <c r="J478" t="n">
        <v>0</v>
      </c>
      <c r="K478" t="n">
        <v>0</v>
      </c>
      <c r="L478" t="n">
        <v>0</v>
      </c>
      <c r="M478" t="n">
        <v>0</v>
      </c>
      <c r="N478" t="n">
        <v>0</v>
      </c>
      <c r="O478" t="n">
        <v>0</v>
      </c>
      <c r="P478" t="n">
        <v>0</v>
      </c>
      <c r="Q478" t="n">
        <v>0</v>
      </c>
      <c r="R478" s="2" t="inlineStr"/>
    </row>
    <row r="479" ht="15" customHeight="1">
      <c r="A479" t="inlineStr">
        <is>
          <t>A 61400-2022</t>
        </is>
      </c>
      <c r="B479" s="1" t="n">
        <v>44915</v>
      </c>
      <c r="C479" s="1" t="n">
        <v>45889</v>
      </c>
      <c r="D479" t="inlineStr">
        <is>
          <t>JÄMTLANDS LÄN</t>
        </is>
      </c>
      <c r="E479" t="inlineStr">
        <is>
          <t>RAGUNDA</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9326-2024</t>
        </is>
      </c>
      <c r="B480" s="1" t="n">
        <v>45358.95818287037</v>
      </c>
      <c r="C480" s="1" t="n">
        <v>45889</v>
      </c>
      <c r="D480" t="inlineStr">
        <is>
          <t>JÄMTLANDS LÄN</t>
        </is>
      </c>
      <c r="E480" t="inlineStr">
        <is>
          <t>RAGUNDA</t>
        </is>
      </c>
      <c r="G480" t="n">
        <v>0.7</v>
      </c>
      <c r="H480" t="n">
        <v>0</v>
      </c>
      <c r="I480" t="n">
        <v>0</v>
      </c>
      <c r="J480" t="n">
        <v>0</v>
      </c>
      <c r="K480" t="n">
        <v>0</v>
      </c>
      <c r="L480" t="n">
        <v>0</v>
      </c>
      <c r="M480" t="n">
        <v>0</v>
      </c>
      <c r="N480" t="n">
        <v>0</v>
      </c>
      <c r="O480" t="n">
        <v>0</v>
      </c>
      <c r="P480" t="n">
        <v>0</v>
      </c>
      <c r="Q480" t="n">
        <v>0</v>
      </c>
      <c r="R480" s="2" t="inlineStr"/>
    </row>
    <row r="481" ht="15" customHeight="1">
      <c r="A481" t="inlineStr">
        <is>
          <t>A 24861-2023</t>
        </is>
      </c>
      <c r="B481" s="1" t="n">
        <v>45078</v>
      </c>
      <c r="C481" s="1" t="n">
        <v>45889</v>
      </c>
      <c r="D481" t="inlineStr">
        <is>
          <t>JÄMTLANDS LÄN</t>
        </is>
      </c>
      <c r="E481" t="inlineStr">
        <is>
          <t>RAGUNDA</t>
        </is>
      </c>
      <c r="G481" t="n">
        <v>1.3</v>
      </c>
      <c r="H481" t="n">
        <v>0</v>
      </c>
      <c r="I481" t="n">
        <v>0</v>
      </c>
      <c r="J481" t="n">
        <v>0</v>
      </c>
      <c r="K481" t="n">
        <v>0</v>
      </c>
      <c r="L481" t="n">
        <v>0</v>
      </c>
      <c r="M481" t="n">
        <v>0</v>
      </c>
      <c r="N481" t="n">
        <v>0</v>
      </c>
      <c r="O481" t="n">
        <v>0</v>
      </c>
      <c r="P481" t="n">
        <v>0</v>
      </c>
      <c r="Q481" t="n">
        <v>0</v>
      </c>
      <c r="R481" s="2" t="inlineStr"/>
    </row>
    <row r="482" ht="15" customHeight="1">
      <c r="A482" t="inlineStr">
        <is>
          <t>A 11058-2025</t>
        </is>
      </c>
      <c r="B482" s="1" t="n">
        <v>45723.51079861111</v>
      </c>
      <c r="C482" s="1" t="n">
        <v>45889</v>
      </c>
      <c r="D482" t="inlineStr">
        <is>
          <t>JÄMTLANDS LÄN</t>
        </is>
      </c>
      <c r="E482" t="inlineStr">
        <is>
          <t>RAGUNDA</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21401-2024</t>
        </is>
      </c>
      <c r="B483" s="1" t="n">
        <v>45441.33313657407</v>
      </c>
      <c r="C483" s="1" t="n">
        <v>45889</v>
      </c>
      <c r="D483" t="inlineStr">
        <is>
          <t>JÄMTLANDS LÄN</t>
        </is>
      </c>
      <c r="E483" t="inlineStr">
        <is>
          <t>RAGUNDA</t>
        </is>
      </c>
      <c r="G483" t="n">
        <v>3.7</v>
      </c>
      <c r="H483" t="n">
        <v>0</v>
      </c>
      <c r="I483" t="n">
        <v>0</v>
      </c>
      <c r="J483" t="n">
        <v>0</v>
      </c>
      <c r="K483" t="n">
        <v>0</v>
      </c>
      <c r="L483" t="n">
        <v>0</v>
      </c>
      <c r="M483" t="n">
        <v>0</v>
      </c>
      <c r="N483" t="n">
        <v>0</v>
      </c>
      <c r="O483" t="n">
        <v>0</v>
      </c>
      <c r="P483" t="n">
        <v>0</v>
      </c>
      <c r="Q483" t="n">
        <v>0</v>
      </c>
      <c r="R483" s="2" t="inlineStr"/>
    </row>
    <row r="484" ht="15" customHeight="1">
      <c r="A484" t="inlineStr">
        <is>
          <t>A 7281-2025</t>
        </is>
      </c>
      <c r="B484" s="1" t="n">
        <v>45702.63572916666</v>
      </c>
      <c r="C484" s="1" t="n">
        <v>45889</v>
      </c>
      <c r="D484" t="inlineStr">
        <is>
          <t>JÄMTLANDS LÄN</t>
        </is>
      </c>
      <c r="E484" t="inlineStr">
        <is>
          <t>RAGUNDA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13935-2024</t>
        </is>
      </c>
      <c r="B485" s="1" t="n">
        <v>45391.95329861111</v>
      </c>
      <c r="C485" s="1" t="n">
        <v>45889</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38270-2021</t>
        </is>
      </c>
      <c r="B486" s="1" t="n">
        <v>44405.92065972222</v>
      </c>
      <c r="C486" s="1" t="n">
        <v>45889</v>
      </c>
      <c r="D486" t="inlineStr">
        <is>
          <t>JÄMTLANDS LÄN</t>
        </is>
      </c>
      <c r="E486" t="inlineStr">
        <is>
          <t>RAGUNDA</t>
        </is>
      </c>
      <c r="G486" t="n">
        <v>1.3</v>
      </c>
      <c r="H486" t="n">
        <v>0</v>
      </c>
      <c r="I486" t="n">
        <v>0</v>
      </c>
      <c r="J486" t="n">
        <v>0</v>
      </c>
      <c r="K486" t="n">
        <v>0</v>
      </c>
      <c r="L486" t="n">
        <v>0</v>
      </c>
      <c r="M486" t="n">
        <v>0</v>
      </c>
      <c r="N486" t="n">
        <v>0</v>
      </c>
      <c r="O486" t="n">
        <v>0</v>
      </c>
      <c r="P486" t="n">
        <v>0</v>
      </c>
      <c r="Q486" t="n">
        <v>0</v>
      </c>
      <c r="R486" s="2" t="inlineStr"/>
    </row>
    <row r="487" ht="15" customHeight="1">
      <c r="A487" t="inlineStr">
        <is>
          <t>A 4866-2025</t>
        </is>
      </c>
      <c r="B487" s="1" t="n">
        <v>45688.67542824074</v>
      </c>
      <c r="C487" s="1" t="n">
        <v>45889</v>
      </c>
      <c r="D487" t="inlineStr">
        <is>
          <t>JÄMTLANDS LÄN</t>
        </is>
      </c>
      <c r="E487" t="inlineStr">
        <is>
          <t>RAGUNDA</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15554-2025</t>
        </is>
      </c>
      <c r="B488" s="1" t="n">
        <v>45747.67739583334</v>
      </c>
      <c r="C488" s="1" t="n">
        <v>45889</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57170-2024</t>
        </is>
      </c>
      <c r="B489" s="1" t="n">
        <v>45629.42759259259</v>
      </c>
      <c r="C489" s="1" t="n">
        <v>45889</v>
      </c>
      <c r="D489" t="inlineStr">
        <is>
          <t>JÄMTLANDS LÄN</t>
        </is>
      </c>
      <c r="E489" t="inlineStr">
        <is>
          <t>RAGUNDA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179-2025</t>
        </is>
      </c>
      <c r="B490" s="1" t="n">
        <v>45659.69822916666</v>
      </c>
      <c r="C490" s="1" t="n">
        <v>45889</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29940-2023</t>
        </is>
      </c>
      <c r="B491" s="1" t="n">
        <v>45107</v>
      </c>
      <c r="C491" s="1" t="n">
        <v>45889</v>
      </c>
      <c r="D491" t="inlineStr">
        <is>
          <t>JÄMTLANDS LÄN</t>
        </is>
      </c>
      <c r="E491" t="inlineStr">
        <is>
          <t>RAGUNDA</t>
        </is>
      </c>
      <c r="G491" t="n">
        <v>13.5</v>
      </c>
      <c r="H491" t="n">
        <v>0</v>
      </c>
      <c r="I491" t="n">
        <v>0</v>
      </c>
      <c r="J491" t="n">
        <v>0</v>
      </c>
      <c r="K491" t="n">
        <v>0</v>
      </c>
      <c r="L491" t="n">
        <v>0</v>
      </c>
      <c r="M491" t="n">
        <v>0</v>
      </c>
      <c r="N491" t="n">
        <v>0</v>
      </c>
      <c r="O491" t="n">
        <v>0</v>
      </c>
      <c r="P491" t="n">
        <v>0</v>
      </c>
      <c r="Q491" t="n">
        <v>0</v>
      </c>
      <c r="R491" s="2" t="inlineStr"/>
    </row>
    <row r="492" ht="15" customHeight="1">
      <c r="A492" t="inlineStr">
        <is>
          <t>A 20088-2023</t>
        </is>
      </c>
      <c r="B492" s="1" t="n">
        <v>45054</v>
      </c>
      <c r="C492" s="1" t="n">
        <v>45889</v>
      </c>
      <c r="D492" t="inlineStr">
        <is>
          <t>JÄMTLANDS LÄN</t>
        </is>
      </c>
      <c r="E492" t="inlineStr">
        <is>
          <t>RAGUNDA</t>
        </is>
      </c>
      <c r="F492" t="inlineStr">
        <is>
          <t>SCA</t>
        </is>
      </c>
      <c r="G492" t="n">
        <v>23.4</v>
      </c>
      <c r="H492" t="n">
        <v>0</v>
      </c>
      <c r="I492" t="n">
        <v>0</v>
      </c>
      <c r="J492" t="n">
        <v>0</v>
      </c>
      <c r="K492" t="n">
        <v>0</v>
      </c>
      <c r="L492" t="n">
        <v>0</v>
      </c>
      <c r="M492" t="n">
        <v>0</v>
      </c>
      <c r="N492" t="n">
        <v>0</v>
      </c>
      <c r="O492" t="n">
        <v>0</v>
      </c>
      <c r="P492" t="n">
        <v>0</v>
      </c>
      <c r="Q492" t="n">
        <v>0</v>
      </c>
      <c r="R492" s="2" t="inlineStr"/>
    </row>
    <row r="493" ht="15" customHeight="1">
      <c r="A493" t="inlineStr">
        <is>
          <t>A 18777-2024</t>
        </is>
      </c>
      <c r="B493" s="1" t="n">
        <v>45426</v>
      </c>
      <c r="C493" s="1" t="n">
        <v>45889</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66471-2021</t>
        </is>
      </c>
      <c r="B494" s="1" t="n">
        <v>44518</v>
      </c>
      <c r="C494" s="1" t="n">
        <v>45889</v>
      </c>
      <c r="D494" t="inlineStr">
        <is>
          <t>JÄMTLANDS LÄN</t>
        </is>
      </c>
      <c r="E494" t="inlineStr">
        <is>
          <t>RAGUNDA</t>
        </is>
      </c>
      <c r="G494" t="n">
        <v>13.4</v>
      </c>
      <c r="H494" t="n">
        <v>0</v>
      </c>
      <c r="I494" t="n">
        <v>0</v>
      </c>
      <c r="J494" t="n">
        <v>0</v>
      </c>
      <c r="K494" t="n">
        <v>0</v>
      </c>
      <c r="L494" t="n">
        <v>0</v>
      </c>
      <c r="M494" t="n">
        <v>0</v>
      </c>
      <c r="N494" t="n">
        <v>0</v>
      </c>
      <c r="O494" t="n">
        <v>0</v>
      </c>
      <c r="P494" t="n">
        <v>0</v>
      </c>
      <c r="Q494" t="n">
        <v>0</v>
      </c>
      <c r="R494" s="2" t="inlineStr"/>
    </row>
    <row r="495" ht="15" customHeight="1">
      <c r="A495" t="inlineStr">
        <is>
          <t>A 22731-2023</t>
        </is>
      </c>
      <c r="B495" s="1" t="n">
        <v>45071</v>
      </c>
      <c r="C495" s="1" t="n">
        <v>45889</v>
      </c>
      <c r="D495" t="inlineStr">
        <is>
          <t>JÄMTLANDS LÄN</t>
        </is>
      </c>
      <c r="E495" t="inlineStr">
        <is>
          <t>RAGUNDA</t>
        </is>
      </c>
      <c r="G495" t="n">
        <v>1.5</v>
      </c>
      <c r="H495" t="n">
        <v>0</v>
      </c>
      <c r="I495" t="n">
        <v>0</v>
      </c>
      <c r="J495" t="n">
        <v>0</v>
      </c>
      <c r="K495" t="n">
        <v>0</v>
      </c>
      <c r="L495" t="n">
        <v>0</v>
      </c>
      <c r="M495" t="n">
        <v>0</v>
      </c>
      <c r="N495" t="n">
        <v>0</v>
      </c>
      <c r="O495" t="n">
        <v>0</v>
      </c>
      <c r="P495" t="n">
        <v>0</v>
      </c>
      <c r="Q495" t="n">
        <v>0</v>
      </c>
      <c r="R495" s="2" t="inlineStr"/>
    </row>
    <row r="496" ht="15" customHeight="1">
      <c r="A496" t="inlineStr">
        <is>
          <t>A 33877-2023</t>
        </is>
      </c>
      <c r="B496" s="1" t="n">
        <v>45133</v>
      </c>
      <c r="C496" s="1" t="n">
        <v>45889</v>
      </c>
      <c r="D496" t="inlineStr">
        <is>
          <t>JÄMTLANDS LÄN</t>
        </is>
      </c>
      <c r="E496" t="inlineStr">
        <is>
          <t>RAGUNDA</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59136-2023</t>
        </is>
      </c>
      <c r="B497" s="1" t="n">
        <v>45251</v>
      </c>
      <c r="C497" s="1" t="n">
        <v>45889</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35274-2023</t>
        </is>
      </c>
      <c r="B498" s="1" t="n">
        <v>45145</v>
      </c>
      <c r="C498" s="1" t="n">
        <v>45889</v>
      </c>
      <c r="D498" t="inlineStr">
        <is>
          <t>JÄMTLANDS LÄN</t>
        </is>
      </c>
      <c r="E498" t="inlineStr">
        <is>
          <t>RAGUNDA</t>
        </is>
      </c>
      <c r="F498" t="inlineStr">
        <is>
          <t>SCA</t>
        </is>
      </c>
      <c r="G498" t="n">
        <v>6.1</v>
      </c>
      <c r="H498" t="n">
        <v>0</v>
      </c>
      <c r="I498" t="n">
        <v>0</v>
      </c>
      <c r="J498" t="n">
        <v>0</v>
      </c>
      <c r="K498" t="n">
        <v>0</v>
      </c>
      <c r="L498" t="n">
        <v>0</v>
      </c>
      <c r="M498" t="n">
        <v>0</v>
      </c>
      <c r="N498" t="n">
        <v>0</v>
      </c>
      <c r="O498" t="n">
        <v>0</v>
      </c>
      <c r="P498" t="n">
        <v>0</v>
      </c>
      <c r="Q498" t="n">
        <v>0</v>
      </c>
      <c r="R498" s="2" t="inlineStr"/>
    </row>
    <row r="499" ht="15" customHeight="1">
      <c r="A499" t="inlineStr">
        <is>
          <t>A 64264-2023</t>
        </is>
      </c>
      <c r="B499" s="1" t="n">
        <v>45279.94564814815</v>
      </c>
      <c r="C499" s="1" t="n">
        <v>45889</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26347-2023</t>
        </is>
      </c>
      <c r="B500" s="1" t="n">
        <v>45091</v>
      </c>
      <c r="C500" s="1" t="n">
        <v>45889</v>
      </c>
      <c r="D500" t="inlineStr">
        <is>
          <t>JÄMTLANDS LÄN</t>
        </is>
      </c>
      <c r="E500" t="inlineStr">
        <is>
          <t>RAGUNDA</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51538-2022</t>
        </is>
      </c>
      <c r="B501" s="1" t="n">
        <v>44869</v>
      </c>
      <c r="C501" s="1" t="n">
        <v>45889</v>
      </c>
      <c r="D501" t="inlineStr">
        <is>
          <t>JÄMTLANDS LÄN</t>
        </is>
      </c>
      <c r="E501" t="inlineStr">
        <is>
          <t>RAGUNDA</t>
        </is>
      </c>
      <c r="G501" t="n">
        <v>6.8</v>
      </c>
      <c r="H501" t="n">
        <v>0</v>
      </c>
      <c r="I501" t="n">
        <v>0</v>
      </c>
      <c r="J501" t="n">
        <v>0</v>
      </c>
      <c r="K501" t="n">
        <v>0</v>
      </c>
      <c r="L501" t="n">
        <v>0</v>
      </c>
      <c r="M501" t="n">
        <v>0</v>
      </c>
      <c r="N501" t="n">
        <v>0</v>
      </c>
      <c r="O501" t="n">
        <v>0</v>
      </c>
      <c r="P501" t="n">
        <v>0</v>
      </c>
      <c r="Q501" t="n">
        <v>0</v>
      </c>
      <c r="R501" s="2" t="inlineStr"/>
    </row>
    <row r="502" ht="15" customHeight="1">
      <c r="A502" t="inlineStr">
        <is>
          <t>A 59492-2024</t>
        </is>
      </c>
      <c r="B502" s="1" t="n">
        <v>45638</v>
      </c>
      <c r="C502" s="1" t="n">
        <v>45889</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61109-2024</t>
        </is>
      </c>
      <c r="B503" s="1" t="n">
        <v>45645.55672453704</v>
      </c>
      <c r="C503" s="1" t="n">
        <v>45889</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27373-2023</t>
        </is>
      </c>
      <c r="B504" s="1" t="n">
        <v>45096.93866898148</v>
      </c>
      <c r="C504" s="1" t="n">
        <v>45889</v>
      </c>
      <c r="D504" t="inlineStr">
        <is>
          <t>JÄMTLANDS LÄN</t>
        </is>
      </c>
      <c r="E504" t="inlineStr">
        <is>
          <t>RAGUNDA</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8775-2025</t>
        </is>
      </c>
      <c r="B505" s="1" t="n">
        <v>45712.61502314815</v>
      </c>
      <c r="C505" s="1" t="n">
        <v>45889</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45889</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16321-2025</t>
        </is>
      </c>
      <c r="B507" s="1" t="n">
        <v>45751.34873842593</v>
      </c>
      <c r="C507" s="1" t="n">
        <v>45889</v>
      </c>
      <c r="D507" t="inlineStr">
        <is>
          <t>JÄMTLANDS LÄN</t>
        </is>
      </c>
      <c r="E507" t="inlineStr">
        <is>
          <t>RAGUNDA</t>
        </is>
      </c>
      <c r="F507" t="inlineStr">
        <is>
          <t>SCA</t>
        </is>
      </c>
      <c r="G507" t="n">
        <v>63.3</v>
      </c>
      <c r="H507" t="n">
        <v>0</v>
      </c>
      <c r="I507" t="n">
        <v>0</v>
      </c>
      <c r="J507" t="n">
        <v>0</v>
      </c>
      <c r="K507" t="n">
        <v>0</v>
      </c>
      <c r="L507" t="n">
        <v>0</v>
      </c>
      <c r="M507" t="n">
        <v>0</v>
      </c>
      <c r="N507" t="n">
        <v>0</v>
      </c>
      <c r="O507" t="n">
        <v>0</v>
      </c>
      <c r="P507" t="n">
        <v>0</v>
      </c>
      <c r="Q507" t="n">
        <v>0</v>
      </c>
      <c r="R507" s="2" t="inlineStr"/>
    </row>
    <row r="508" ht="15" customHeight="1">
      <c r="A508" t="inlineStr">
        <is>
          <t>A 55904-2022</t>
        </is>
      </c>
      <c r="B508" s="1" t="n">
        <v>44888</v>
      </c>
      <c r="C508" s="1" t="n">
        <v>45889</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65898-2020</t>
        </is>
      </c>
      <c r="B509" s="1" t="n">
        <v>44174</v>
      </c>
      <c r="C509" s="1" t="n">
        <v>45889</v>
      </c>
      <c r="D509" t="inlineStr">
        <is>
          <t>JÄMTLANDS LÄN</t>
        </is>
      </c>
      <c r="E509" t="inlineStr">
        <is>
          <t>RAGUNDA</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8776-2025</t>
        </is>
      </c>
      <c r="B510" s="1" t="n">
        <v>45712.61510416667</v>
      </c>
      <c r="C510" s="1" t="n">
        <v>45889</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59670-2023</t>
        </is>
      </c>
      <c r="B511" s="1" t="n">
        <v>45254.96516203704</v>
      </c>
      <c r="C511" s="1" t="n">
        <v>45889</v>
      </c>
      <c r="D511" t="inlineStr">
        <is>
          <t>JÄMTLANDS LÄN</t>
        </is>
      </c>
      <c r="E511" t="inlineStr">
        <is>
          <t>RAGUNDA</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19854-2025</t>
        </is>
      </c>
      <c r="B512" s="1" t="n">
        <v>45771.51074074074</v>
      </c>
      <c r="C512" s="1" t="n">
        <v>45889</v>
      </c>
      <c r="D512" t="inlineStr">
        <is>
          <t>JÄMTLANDS LÄN</t>
        </is>
      </c>
      <c r="E512" t="inlineStr">
        <is>
          <t>RAGUNDA</t>
        </is>
      </c>
      <c r="F512" t="inlineStr">
        <is>
          <t>SCA</t>
        </is>
      </c>
      <c r="G512" t="n">
        <v>8.4</v>
      </c>
      <c r="H512" t="n">
        <v>0</v>
      </c>
      <c r="I512" t="n">
        <v>0</v>
      </c>
      <c r="J512" t="n">
        <v>0</v>
      </c>
      <c r="K512" t="n">
        <v>0</v>
      </c>
      <c r="L512" t="n">
        <v>0</v>
      </c>
      <c r="M512" t="n">
        <v>0</v>
      </c>
      <c r="N512" t="n">
        <v>0</v>
      </c>
      <c r="O512" t="n">
        <v>0</v>
      </c>
      <c r="P512" t="n">
        <v>0</v>
      </c>
      <c r="Q512" t="n">
        <v>0</v>
      </c>
      <c r="R512" s="2" t="inlineStr"/>
    </row>
    <row r="513" ht="15" customHeight="1">
      <c r="A513" t="inlineStr">
        <is>
          <t>A 6688-2024</t>
        </is>
      </c>
      <c r="B513" s="1" t="n">
        <v>45341</v>
      </c>
      <c r="C513" s="1" t="n">
        <v>45889</v>
      </c>
      <c r="D513" t="inlineStr">
        <is>
          <t>JÄMTLANDS LÄN</t>
        </is>
      </c>
      <c r="E513" t="inlineStr">
        <is>
          <t>RAGUNDA</t>
        </is>
      </c>
      <c r="G513" t="n">
        <v>2</v>
      </c>
      <c r="H513" t="n">
        <v>0</v>
      </c>
      <c r="I513" t="n">
        <v>0</v>
      </c>
      <c r="J513" t="n">
        <v>0</v>
      </c>
      <c r="K513" t="n">
        <v>0</v>
      </c>
      <c r="L513" t="n">
        <v>0</v>
      </c>
      <c r="M513" t="n">
        <v>0</v>
      </c>
      <c r="N513" t="n">
        <v>0</v>
      </c>
      <c r="O513" t="n">
        <v>0</v>
      </c>
      <c r="P513" t="n">
        <v>0</v>
      </c>
      <c r="Q513" t="n">
        <v>0</v>
      </c>
      <c r="R513" s="2" t="inlineStr"/>
    </row>
    <row r="514" ht="15" customHeight="1">
      <c r="A514" t="inlineStr">
        <is>
          <t>A 57749-2024</t>
        </is>
      </c>
      <c r="B514" s="1" t="n">
        <v>45630.7862037037</v>
      </c>
      <c r="C514" s="1" t="n">
        <v>45889</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30642-2024</t>
        </is>
      </c>
      <c r="B515" s="1" t="n">
        <v>45495.57677083334</v>
      </c>
      <c r="C515" s="1" t="n">
        <v>45889</v>
      </c>
      <c r="D515" t="inlineStr">
        <is>
          <t>JÄMTLANDS LÄN</t>
        </is>
      </c>
      <c r="E515" t="inlineStr">
        <is>
          <t>RAGUNDA</t>
        </is>
      </c>
      <c r="G515" t="n">
        <v>2.7</v>
      </c>
      <c r="H515" t="n">
        <v>0</v>
      </c>
      <c r="I515" t="n">
        <v>0</v>
      </c>
      <c r="J515" t="n">
        <v>0</v>
      </c>
      <c r="K515" t="n">
        <v>0</v>
      </c>
      <c r="L515" t="n">
        <v>0</v>
      </c>
      <c r="M515" t="n">
        <v>0</v>
      </c>
      <c r="N515" t="n">
        <v>0</v>
      </c>
      <c r="O515" t="n">
        <v>0</v>
      </c>
      <c r="P515" t="n">
        <v>0</v>
      </c>
      <c r="Q515" t="n">
        <v>0</v>
      </c>
      <c r="R515" s="2" t="inlineStr"/>
    </row>
    <row r="516" ht="15" customHeight="1">
      <c r="A516" t="inlineStr">
        <is>
          <t>A 5067-2024</t>
        </is>
      </c>
      <c r="B516" s="1" t="n">
        <v>45329.95806712963</v>
      </c>
      <c r="C516" s="1" t="n">
        <v>45889</v>
      </c>
      <c r="D516" t="inlineStr">
        <is>
          <t>JÄMTLANDS LÄN</t>
        </is>
      </c>
      <c r="E516" t="inlineStr">
        <is>
          <t>RAGUNDA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58193-2022</t>
        </is>
      </c>
      <c r="B517" s="1" t="n">
        <v>44900.95700231481</v>
      </c>
      <c r="C517" s="1" t="n">
        <v>45889</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18194-2025</t>
        </is>
      </c>
      <c r="B518" s="1" t="n">
        <v>45761.67744212963</v>
      </c>
      <c r="C518" s="1" t="n">
        <v>45889</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5429-2024</t>
        </is>
      </c>
      <c r="B519" s="1" t="n">
        <v>45331.92746527777</v>
      </c>
      <c r="C519" s="1" t="n">
        <v>45889</v>
      </c>
      <c r="D519" t="inlineStr">
        <is>
          <t>JÄMTLANDS LÄN</t>
        </is>
      </c>
      <c r="E519" t="inlineStr">
        <is>
          <t>RAGUNDA</t>
        </is>
      </c>
      <c r="G519" t="n">
        <v>1.1</v>
      </c>
      <c r="H519" t="n">
        <v>0</v>
      </c>
      <c r="I519" t="n">
        <v>0</v>
      </c>
      <c r="J519" t="n">
        <v>0</v>
      </c>
      <c r="K519" t="n">
        <v>0</v>
      </c>
      <c r="L519" t="n">
        <v>0</v>
      </c>
      <c r="M519" t="n">
        <v>0</v>
      </c>
      <c r="N519" t="n">
        <v>0</v>
      </c>
      <c r="O519" t="n">
        <v>0</v>
      </c>
      <c r="P519" t="n">
        <v>0</v>
      </c>
      <c r="Q519" t="n">
        <v>0</v>
      </c>
      <c r="R519" s="2" t="inlineStr"/>
    </row>
    <row r="520" ht="15" customHeight="1">
      <c r="A520" t="inlineStr">
        <is>
          <t>A 26991-2023</t>
        </is>
      </c>
      <c r="B520" s="1" t="n">
        <v>45093.92207175926</v>
      </c>
      <c r="C520" s="1" t="n">
        <v>45889</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13299-2024</t>
        </is>
      </c>
      <c r="B521" s="1" t="n">
        <v>45386.68003472222</v>
      </c>
      <c r="C521" s="1" t="n">
        <v>45889</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58537-2022</t>
        </is>
      </c>
      <c r="B522" s="1" t="n">
        <v>44894</v>
      </c>
      <c r="C522" s="1" t="n">
        <v>45889</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53347-2023</t>
        </is>
      </c>
      <c r="B523" s="1" t="n">
        <v>45223</v>
      </c>
      <c r="C523" s="1" t="n">
        <v>45889</v>
      </c>
      <c r="D523" t="inlineStr">
        <is>
          <t>JÄMTLANDS LÄN</t>
        </is>
      </c>
      <c r="E523" t="inlineStr">
        <is>
          <t>RAGUNDA</t>
        </is>
      </c>
      <c r="G523" t="n">
        <v>1.6</v>
      </c>
      <c r="H523" t="n">
        <v>0</v>
      </c>
      <c r="I523" t="n">
        <v>0</v>
      </c>
      <c r="J523" t="n">
        <v>0</v>
      </c>
      <c r="K523" t="n">
        <v>0</v>
      </c>
      <c r="L523" t="n">
        <v>0</v>
      </c>
      <c r="M523" t="n">
        <v>0</v>
      </c>
      <c r="N523" t="n">
        <v>0</v>
      </c>
      <c r="O523" t="n">
        <v>0</v>
      </c>
      <c r="P523" t="n">
        <v>0</v>
      </c>
      <c r="Q523" t="n">
        <v>0</v>
      </c>
      <c r="R523" s="2" t="inlineStr"/>
    </row>
    <row r="524" ht="15" customHeight="1">
      <c r="A524" t="inlineStr">
        <is>
          <t>A 22948-2024</t>
        </is>
      </c>
      <c r="B524" s="1" t="n">
        <v>45448.94600694445</v>
      </c>
      <c r="C524" s="1" t="n">
        <v>45889</v>
      </c>
      <c r="D524" t="inlineStr">
        <is>
          <t>JÄMTLANDS LÄN</t>
        </is>
      </c>
      <c r="E524" t="inlineStr">
        <is>
          <t>RAGUNDA</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16635-2025</t>
        </is>
      </c>
      <c r="B525" s="1" t="n">
        <v>45754</v>
      </c>
      <c r="C525" s="1" t="n">
        <v>45889</v>
      </c>
      <c r="D525" t="inlineStr">
        <is>
          <t>JÄMTLANDS LÄN</t>
        </is>
      </c>
      <c r="E525" t="inlineStr">
        <is>
          <t>RAGUNDA</t>
        </is>
      </c>
      <c r="F525" t="inlineStr">
        <is>
          <t>SCA</t>
        </is>
      </c>
      <c r="G525" t="n">
        <v>55.4</v>
      </c>
      <c r="H525" t="n">
        <v>0</v>
      </c>
      <c r="I525" t="n">
        <v>0</v>
      </c>
      <c r="J525" t="n">
        <v>0</v>
      </c>
      <c r="K525" t="n">
        <v>0</v>
      </c>
      <c r="L525" t="n">
        <v>0</v>
      </c>
      <c r="M525" t="n">
        <v>0</v>
      </c>
      <c r="N525" t="n">
        <v>0</v>
      </c>
      <c r="O525" t="n">
        <v>0</v>
      </c>
      <c r="P525" t="n">
        <v>0</v>
      </c>
      <c r="Q525" t="n">
        <v>0</v>
      </c>
      <c r="R525" s="2" t="inlineStr"/>
    </row>
    <row r="526" ht="15" customHeight="1">
      <c r="A526" t="inlineStr">
        <is>
          <t>A 53678-2022</t>
        </is>
      </c>
      <c r="B526" s="1" t="n">
        <v>44879.95768518518</v>
      </c>
      <c r="C526" s="1" t="n">
        <v>45889</v>
      </c>
      <c r="D526" t="inlineStr">
        <is>
          <t>JÄMTLANDS LÄN</t>
        </is>
      </c>
      <c r="E526" t="inlineStr">
        <is>
          <t>RAGUNDA</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14369-2024</t>
        </is>
      </c>
      <c r="B527" s="1" t="n">
        <v>45393.94459490741</v>
      </c>
      <c r="C527" s="1" t="n">
        <v>45889</v>
      </c>
      <c r="D527" t="inlineStr">
        <is>
          <t>JÄMTLANDS LÄN</t>
        </is>
      </c>
      <c r="E527" t="inlineStr">
        <is>
          <t>RAGUNDA</t>
        </is>
      </c>
      <c r="F527" t="inlineStr">
        <is>
          <t>Naturvårdsverket</t>
        </is>
      </c>
      <c r="G527" t="n">
        <v>1.8</v>
      </c>
      <c r="H527" t="n">
        <v>0</v>
      </c>
      <c r="I527" t="n">
        <v>0</v>
      </c>
      <c r="J527" t="n">
        <v>0</v>
      </c>
      <c r="K527" t="n">
        <v>0</v>
      </c>
      <c r="L527" t="n">
        <v>0</v>
      </c>
      <c r="M527" t="n">
        <v>0</v>
      </c>
      <c r="N527" t="n">
        <v>0</v>
      </c>
      <c r="O527" t="n">
        <v>0</v>
      </c>
      <c r="P527" t="n">
        <v>0</v>
      </c>
      <c r="Q527" t="n">
        <v>0</v>
      </c>
      <c r="R527" s="2" t="inlineStr"/>
    </row>
    <row r="528" ht="15" customHeight="1">
      <c r="A528" t="inlineStr">
        <is>
          <t>A 37479-2023</t>
        </is>
      </c>
      <c r="B528" s="1" t="n">
        <v>45156</v>
      </c>
      <c r="C528" s="1" t="n">
        <v>45889</v>
      </c>
      <c r="D528" t="inlineStr">
        <is>
          <t>JÄMTLANDS LÄN</t>
        </is>
      </c>
      <c r="E528" t="inlineStr">
        <is>
          <t>RAGUNDA</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10639-2024</t>
        </is>
      </c>
      <c r="B529" s="1" t="n">
        <v>45367.67256944445</v>
      </c>
      <c r="C529" s="1" t="n">
        <v>45889</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28742-2023</t>
        </is>
      </c>
      <c r="B530" s="1" t="n">
        <v>45103</v>
      </c>
      <c r="C530" s="1" t="n">
        <v>45889</v>
      </c>
      <c r="D530" t="inlineStr">
        <is>
          <t>JÄMTLANDS LÄN</t>
        </is>
      </c>
      <c r="E530" t="inlineStr">
        <is>
          <t>RAGUNDA</t>
        </is>
      </c>
      <c r="G530" t="n">
        <v>1.8</v>
      </c>
      <c r="H530" t="n">
        <v>0</v>
      </c>
      <c r="I530" t="n">
        <v>0</v>
      </c>
      <c r="J530" t="n">
        <v>0</v>
      </c>
      <c r="K530" t="n">
        <v>0</v>
      </c>
      <c r="L530" t="n">
        <v>0</v>
      </c>
      <c r="M530" t="n">
        <v>0</v>
      </c>
      <c r="N530" t="n">
        <v>0</v>
      </c>
      <c r="O530" t="n">
        <v>0</v>
      </c>
      <c r="P530" t="n">
        <v>0</v>
      </c>
      <c r="Q530" t="n">
        <v>0</v>
      </c>
      <c r="R530" s="2" t="inlineStr"/>
    </row>
    <row r="531" ht="15" customHeight="1">
      <c r="A531" t="inlineStr">
        <is>
          <t>A 41772-2024</t>
        </is>
      </c>
      <c r="B531" s="1" t="n">
        <v>45561.34663194444</v>
      </c>
      <c r="C531" s="1" t="n">
        <v>45889</v>
      </c>
      <c r="D531" t="inlineStr">
        <is>
          <t>JÄMTLANDS LÄN</t>
        </is>
      </c>
      <c r="E531" t="inlineStr">
        <is>
          <t>RAGUNDA</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50649-2022</t>
        </is>
      </c>
      <c r="B532" s="1" t="n">
        <v>44866</v>
      </c>
      <c r="C532" s="1" t="n">
        <v>45889</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12660-2024</t>
        </is>
      </c>
      <c r="B533" s="1" t="n">
        <v>45384</v>
      </c>
      <c r="C533" s="1" t="n">
        <v>45889</v>
      </c>
      <c r="D533" t="inlineStr">
        <is>
          <t>JÄMTLANDS LÄN</t>
        </is>
      </c>
      <c r="E533" t="inlineStr">
        <is>
          <t>RAGUNDA</t>
        </is>
      </c>
      <c r="G533" t="n">
        <v>1.3</v>
      </c>
      <c r="H533" t="n">
        <v>0</v>
      </c>
      <c r="I533" t="n">
        <v>0</v>
      </c>
      <c r="J533" t="n">
        <v>0</v>
      </c>
      <c r="K533" t="n">
        <v>0</v>
      </c>
      <c r="L533" t="n">
        <v>0</v>
      </c>
      <c r="M533" t="n">
        <v>0</v>
      </c>
      <c r="N533" t="n">
        <v>0</v>
      </c>
      <c r="O533" t="n">
        <v>0</v>
      </c>
      <c r="P533" t="n">
        <v>0</v>
      </c>
      <c r="Q533" t="n">
        <v>0</v>
      </c>
      <c r="R533" s="2" t="inlineStr"/>
    </row>
    <row r="534" ht="15" customHeight="1">
      <c r="A534" t="inlineStr">
        <is>
          <t>A 22981-2023</t>
        </is>
      </c>
      <c r="B534" s="1" t="n">
        <v>45072.92737268518</v>
      </c>
      <c r="C534" s="1" t="n">
        <v>45889</v>
      </c>
      <c r="D534" t="inlineStr">
        <is>
          <t>JÄMTLANDS LÄN</t>
        </is>
      </c>
      <c r="E534" t="inlineStr">
        <is>
          <t>RAGUNDA</t>
        </is>
      </c>
      <c r="G534" t="n">
        <v>3.8</v>
      </c>
      <c r="H534" t="n">
        <v>0</v>
      </c>
      <c r="I534" t="n">
        <v>0</v>
      </c>
      <c r="J534" t="n">
        <v>0</v>
      </c>
      <c r="K534" t="n">
        <v>0</v>
      </c>
      <c r="L534" t="n">
        <v>0</v>
      </c>
      <c r="M534" t="n">
        <v>0</v>
      </c>
      <c r="N534" t="n">
        <v>0</v>
      </c>
      <c r="O534" t="n">
        <v>0</v>
      </c>
      <c r="P534" t="n">
        <v>0</v>
      </c>
      <c r="Q534" t="n">
        <v>0</v>
      </c>
      <c r="R534" s="2" t="inlineStr"/>
    </row>
    <row r="535" ht="15" customHeight="1">
      <c r="A535" t="inlineStr">
        <is>
          <t>A 25332-2023</t>
        </is>
      </c>
      <c r="B535" s="1" t="n">
        <v>45086.94010416666</v>
      </c>
      <c r="C535" s="1" t="n">
        <v>45889</v>
      </c>
      <c r="D535" t="inlineStr">
        <is>
          <t>JÄMTLANDS LÄN</t>
        </is>
      </c>
      <c r="E535" t="inlineStr">
        <is>
          <t>RAGUNDA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21726-2023</t>
        </is>
      </c>
      <c r="B536" s="1" t="n">
        <v>45065.42894675926</v>
      </c>
      <c r="C536" s="1" t="n">
        <v>45889</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11249-2025</t>
        </is>
      </c>
      <c r="B537" s="1" t="n">
        <v>45726.3860300926</v>
      </c>
      <c r="C537" s="1" t="n">
        <v>45889</v>
      </c>
      <c r="D537" t="inlineStr">
        <is>
          <t>JÄMTLANDS LÄN</t>
        </is>
      </c>
      <c r="E537" t="inlineStr">
        <is>
          <t>RAGUNDA</t>
        </is>
      </c>
      <c r="G537" t="n">
        <v>1.5</v>
      </c>
      <c r="H537" t="n">
        <v>0</v>
      </c>
      <c r="I537" t="n">
        <v>0</v>
      </c>
      <c r="J537" t="n">
        <v>0</v>
      </c>
      <c r="K537" t="n">
        <v>0</v>
      </c>
      <c r="L537" t="n">
        <v>0</v>
      </c>
      <c r="M537" t="n">
        <v>0</v>
      </c>
      <c r="N537" t="n">
        <v>0</v>
      </c>
      <c r="O537" t="n">
        <v>0</v>
      </c>
      <c r="P537" t="n">
        <v>0</v>
      </c>
      <c r="Q537" t="n">
        <v>0</v>
      </c>
      <c r="R537" s="2" t="inlineStr"/>
    </row>
    <row r="538" ht="15" customHeight="1">
      <c r="A538" t="inlineStr">
        <is>
          <t>A 60195-2023</t>
        </is>
      </c>
      <c r="B538" s="1" t="n">
        <v>45257</v>
      </c>
      <c r="C538" s="1" t="n">
        <v>45889</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55514-2024</t>
        </is>
      </c>
      <c r="B539" s="1" t="n">
        <v>45622.46910879629</v>
      </c>
      <c r="C539" s="1" t="n">
        <v>45889</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24441-2024</t>
        </is>
      </c>
      <c r="B540" s="1" t="n">
        <v>45457.96372685185</v>
      </c>
      <c r="C540" s="1" t="n">
        <v>45889</v>
      </c>
      <c r="D540" t="inlineStr">
        <is>
          <t>JÄMTLANDS LÄN</t>
        </is>
      </c>
      <c r="E540" t="inlineStr">
        <is>
          <t>RAGUNDA</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33615-2023</t>
        </is>
      </c>
      <c r="B541" s="1" t="n">
        <v>45119</v>
      </c>
      <c r="C541" s="1" t="n">
        <v>45889</v>
      </c>
      <c r="D541" t="inlineStr">
        <is>
          <t>JÄMTLANDS LÄN</t>
        </is>
      </c>
      <c r="E541" t="inlineStr">
        <is>
          <t>RAGUNDA</t>
        </is>
      </c>
      <c r="G541" t="n">
        <v>0.9</v>
      </c>
      <c r="H541" t="n">
        <v>0</v>
      </c>
      <c r="I541" t="n">
        <v>0</v>
      </c>
      <c r="J541" t="n">
        <v>0</v>
      </c>
      <c r="K541" t="n">
        <v>0</v>
      </c>
      <c r="L541" t="n">
        <v>0</v>
      </c>
      <c r="M541" t="n">
        <v>0</v>
      </c>
      <c r="N541" t="n">
        <v>0</v>
      </c>
      <c r="O541" t="n">
        <v>0</v>
      </c>
      <c r="P541" t="n">
        <v>0</v>
      </c>
      <c r="Q541" t="n">
        <v>0</v>
      </c>
      <c r="R541" s="2" t="inlineStr"/>
    </row>
    <row r="542" ht="15" customHeight="1">
      <c r="A542" t="inlineStr">
        <is>
          <t>A 43132-2023</t>
        </is>
      </c>
      <c r="B542" s="1" t="n">
        <v>45182</v>
      </c>
      <c r="C542" s="1" t="n">
        <v>45889</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934-2023</t>
        </is>
      </c>
      <c r="B543" s="1" t="n">
        <v>44932.93927083333</v>
      </c>
      <c r="C543" s="1" t="n">
        <v>45889</v>
      </c>
      <c r="D543" t="inlineStr">
        <is>
          <t>JÄMTLANDS LÄN</t>
        </is>
      </c>
      <c r="E543" t="inlineStr">
        <is>
          <t>RAGUNDA</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2819-2023</t>
        </is>
      </c>
      <c r="B544" s="1" t="n">
        <v>44944</v>
      </c>
      <c r="C544" s="1" t="n">
        <v>45889</v>
      </c>
      <c r="D544" t="inlineStr">
        <is>
          <t>JÄMTLANDS LÄN</t>
        </is>
      </c>
      <c r="E544" t="inlineStr">
        <is>
          <t>RAGUNDA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37242-2024</t>
        </is>
      </c>
      <c r="B545" s="1" t="n">
        <v>45540.34428240741</v>
      </c>
      <c r="C545" s="1" t="n">
        <v>45889</v>
      </c>
      <c r="D545" t="inlineStr">
        <is>
          <t>JÄMTLANDS LÄN</t>
        </is>
      </c>
      <c r="E545" t="inlineStr">
        <is>
          <t>RAGUNDA</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9232-2025</t>
        </is>
      </c>
      <c r="B546" s="1" t="n">
        <v>45714.55064814815</v>
      </c>
      <c r="C546" s="1" t="n">
        <v>45889</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182-2023</t>
        </is>
      </c>
      <c r="B547" s="1" t="n">
        <v>44922</v>
      </c>
      <c r="C547" s="1" t="n">
        <v>45889</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66011-2021</t>
        </is>
      </c>
      <c r="B548" s="1" t="n">
        <v>44517.58137731482</v>
      </c>
      <c r="C548" s="1" t="n">
        <v>45889</v>
      </c>
      <c r="D548" t="inlineStr">
        <is>
          <t>JÄMTLANDS LÄN</t>
        </is>
      </c>
      <c r="E548" t="inlineStr">
        <is>
          <t>RAGUNDA</t>
        </is>
      </c>
      <c r="G548" t="n">
        <v>1.1</v>
      </c>
      <c r="H548" t="n">
        <v>0</v>
      </c>
      <c r="I548" t="n">
        <v>0</v>
      </c>
      <c r="J548" t="n">
        <v>0</v>
      </c>
      <c r="K548" t="n">
        <v>0</v>
      </c>
      <c r="L548" t="n">
        <v>0</v>
      </c>
      <c r="M548" t="n">
        <v>0</v>
      </c>
      <c r="N548" t="n">
        <v>0</v>
      </c>
      <c r="O548" t="n">
        <v>0</v>
      </c>
      <c r="P548" t="n">
        <v>0</v>
      </c>
      <c r="Q548" t="n">
        <v>0</v>
      </c>
      <c r="R548" s="2" t="inlineStr"/>
    </row>
    <row r="549" ht="15" customHeight="1">
      <c r="A549" t="inlineStr">
        <is>
          <t>A 41656-2023</t>
        </is>
      </c>
      <c r="B549" s="1" t="n">
        <v>45175</v>
      </c>
      <c r="C549" s="1" t="n">
        <v>45889</v>
      </c>
      <c r="D549" t="inlineStr">
        <is>
          <t>JÄMTLANDS LÄN</t>
        </is>
      </c>
      <c r="E549" t="inlineStr">
        <is>
          <t>RAGUNDA</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36317-2024</t>
        </is>
      </c>
      <c r="B550" s="1" t="n">
        <v>45534.63537037037</v>
      </c>
      <c r="C550" s="1" t="n">
        <v>45889</v>
      </c>
      <c r="D550" t="inlineStr">
        <is>
          <t>JÄMTLANDS LÄN</t>
        </is>
      </c>
      <c r="E550" t="inlineStr">
        <is>
          <t>RAGUNDA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32904-2024</t>
        </is>
      </c>
      <c r="B551" s="1" t="n">
        <v>45516.94732638889</v>
      </c>
      <c r="C551" s="1" t="n">
        <v>45889</v>
      </c>
      <c r="D551" t="inlineStr">
        <is>
          <t>JÄMTLANDS LÄN</t>
        </is>
      </c>
      <c r="E551" t="inlineStr">
        <is>
          <t>RAGUNDA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8654-2024</t>
        </is>
      </c>
      <c r="B552" s="1" t="n">
        <v>45356.03784722222</v>
      </c>
      <c r="C552" s="1" t="n">
        <v>45889</v>
      </c>
      <c r="D552" t="inlineStr">
        <is>
          <t>JÄMTLANDS LÄN</t>
        </is>
      </c>
      <c r="E552" t="inlineStr">
        <is>
          <t>RAGUNDA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9325-2024</t>
        </is>
      </c>
      <c r="B553" s="1" t="n">
        <v>45358.95813657407</v>
      </c>
      <c r="C553" s="1" t="n">
        <v>45889</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4348-2023</t>
        </is>
      </c>
      <c r="B554" s="1" t="n">
        <v>44953</v>
      </c>
      <c r="C554" s="1" t="n">
        <v>45889</v>
      </c>
      <c r="D554" t="inlineStr">
        <is>
          <t>JÄMTLANDS LÄN</t>
        </is>
      </c>
      <c r="E554" t="inlineStr">
        <is>
          <t>RAGUNDA</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8678-2023</t>
        </is>
      </c>
      <c r="B555" s="1" t="n">
        <v>44977.98660879629</v>
      </c>
      <c r="C555" s="1" t="n">
        <v>45889</v>
      </c>
      <c r="D555" t="inlineStr">
        <is>
          <t>JÄMTLANDS LÄN</t>
        </is>
      </c>
      <c r="E555" t="inlineStr">
        <is>
          <t>RAGUNDA</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36226-2023</t>
        </is>
      </c>
      <c r="B556" s="1" t="n">
        <v>45149.95372685185</v>
      </c>
      <c r="C556" s="1" t="n">
        <v>45889</v>
      </c>
      <c r="D556" t="inlineStr">
        <is>
          <t>JÄMTLANDS LÄN</t>
        </is>
      </c>
      <c r="E556" t="inlineStr">
        <is>
          <t>RAGUNDA</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29766-2023</t>
        </is>
      </c>
      <c r="B557" s="1" t="n">
        <v>45098</v>
      </c>
      <c r="C557" s="1" t="n">
        <v>45889</v>
      </c>
      <c r="D557" t="inlineStr">
        <is>
          <t>JÄMTLANDS LÄN</t>
        </is>
      </c>
      <c r="E557" t="inlineStr">
        <is>
          <t>RAGUNDA</t>
        </is>
      </c>
      <c r="G557" t="n">
        <v>2.7</v>
      </c>
      <c r="H557" t="n">
        <v>0</v>
      </c>
      <c r="I557" t="n">
        <v>0</v>
      </c>
      <c r="J557" t="n">
        <v>0</v>
      </c>
      <c r="K557" t="n">
        <v>0</v>
      </c>
      <c r="L557" t="n">
        <v>0</v>
      </c>
      <c r="M557" t="n">
        <v>0</v>
      </c>
      <c r="N557" t="n">
        <v>0</v>
      </c>
      <c r="O557" t="n">
        <v>0</v>
      </c>
      <c r="P557" t="n">
        <v>0</v>
      </c>
      <c r="Q557" t="n">
        <v>0</v>
      </c>
      <c r="R557" s="2" t="inlineStr"/>
    </row>
    <row r="558" ht="15" customHeight="1">
      <c r="A558" t="inlineStr">
        <is>
          <t>A 23528-2024</t>
        </is>
      </c>
      <c r="B558" s="1" t="n">
        <v>45453.95016203704</v>
      </c>
      <c r="C558" s="1" t="n">
        <v>45889</v>
      </c>
      <c r="D558" t="inlineStr">
        <is>
          <t>JÄMTLANDS LÄN</t>
        </is>
      </c>
      <c r="E558" t="inlineStr">
        <is>
          <t>RAGUNDA</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59368-2022</t>
        </is>
      </c>
      <c r="B559" s="1" t="n">
        <v>44904.94824074074</v>
      </c>
      <c r="C559" s="1" t="n">
        <v>45889</v>
      </c>
      <c r="D559" t="inlineStr">
        <is>
          <t>JÄMTLANDS LÄN</t>
        </is>
      </c>
      <c r="E559" t="inlineStr">
        <is>
          <t>RAGUNDA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893-2025</t>
        </is>
      </c>
      <c r="B560" s="1" t="n">
        <v>45665.65684027778</v>
      </c>
      <c r="C560" s="1" t="n">
        <v>45889</v>
      </c>
      <c r="D560" t="inlineStr">
        <is>
          <t>JÄMTLANDS LÄN</t>
        </is>
      </c>
      <c r="E560" t="inlineStr">
        <is>
          <t>RAGUNDA</t>
        </is>
      </c>
      <c r="F560" t="inlineStr">
        <is>
          <t>SCA</t>
        </is>
      </c>
      <c r="G560" t="n">
        <v>45.1</v>
      </c>
      <c r="H560" t="n">
        <v>0</v>
      </c>
      <c r="I560" t="n">
        <v>0</v>
      </c>
      <c r="J560" t="n">
        <v>0</v>
      </c>
      <c r="K560" t="n">
        <v>0</v>
      </c>
      <c r="L560" t="n">
        <v>0</v>
      </c>
      <c r="M560" t="n">
        <v>0</v>
      </c>
      <c r="N560" t="n">
        <v>0</v>
      </c>
      <c r="O560" t="n">
        <v>0</v>
      </c>
      <c r="P560" t="n">
        <v>0</v>
      </c>
      <c r="Q560" t="n">
        <v>0</v>
      </c>
      <c r="R560" s="2" t="inlineStr"/>
    </row>
    <row r="561" ht="15" customHeight="1">
      <c r="A561" t="inlineStr">
        <is>
          <t>A 22412-2024</t>
        </is>
      </c>
      <c r="B561" s="1" t="n">
        <v>45446.68947916666</v>
      </c>
      <c r="C561" s="1" t="n">
        <v>45889</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24196-2024</t>
        </is>
      </c>
      <c r="B562" s="1" t="n">
        <v>45456.96569444444</v>
      </c>
      <c r="C562" s="1" t="n">
        <v>45889</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60935-2024</t>
        </is>
      </c>
      <c r="B563" s="1" t="n">
        <v>45645.36740740741</v>
      </c>
      <c r="C563" s="1" t="n">
        <v>45889</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55701-2021</t>
        </is>
      </c>
      <c r="B564" s="1" t="n">
        <v>44475</v>
      </c>
      <c r="C564" s="1" t="n">
        <v>45889</v>
      </c>
      <c r="D564" t="inlineStr">
        <is>
          <t>JÄMTLANDS LÄN</t>
        </is>
      </c>
      <c r="E564" t="inlineStr">
        <is>
          <t>RAGUNDA</t>
        </is>
      </c>
      <c r="G564" t="n">
        <v>5.6</v>
      </c>
      <c r="H564" t="n">
        <v>0</v>
      </c>
      <c r="I564" t="n">
        <v>0</v>
      </c>
      <c r="J564" t="n">
        <v>0</v>
      </c>
      <c r="K564" t="n">
        <v>0</v>
      </c>
      <c r="L564" t="n">
        <v>0</v>
      </c>
      <c r="M564" t="n">
        <v>0</v>
      </c>
      <c r="N564" t="n">
        <v>0</v>
      </c>
      <c r="O564" t="n">
        <v>0</v>
      </c>
      <c r="P564" t="n">
        <v>0</v>
      </c>
      <c r="Q564" t="n">
        <v>0</v>
      </c>
      <c r="R564" s="2" t="inlineStr"/>
    </row>
    <row r="565" ht="15" customHeight="1">
      <c r="A565" t="inlineStr">
        <is>
          <t>A 7520-2023</t>
        </is>
      </c>
      <c r="B565" s="1" t="n">
        <v>44971</v>
      </c>
      <c r="C565" s="1" t="n">
        <v>45889</v>
      </c>
      <c r="D565" t="inlineStr">
        <is>
          <t>JÄMTLANDS LÄN</t>
        </is>
      </c>
      <c r="E565" t="inlineStr">
        <is>
          <t>RAGUNDA</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53549-2024</t>
        </is>
      </c>
      <c r="B566" s="1" t="n">
        <v>45614.63869212963</v>
      </c>
      <c r="C566" s="1" t="n">
        <v>45889</v>
      </c>
      <c r="D566" t="inlineStr">
        <is>
          <t>JÄMTLANDS LÄN</t>
        </is>
      </c>
      <c r="E566" t="inlineStr">
        <is>
          <t>RAGUNDA</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53955-2022</t>
        </is>
      </c>
      <c r="B567" s="1" t="n">
        <v>44880.95741898148</v>
      </c>
      <c r="C567" s="1" t="n">
        <v>45889</v>
      </c>
      <c r="D567" t="inlineStr">
        <is>
          <t>JÄMTLANDS LÄN</t>
        </is>
      </c>
      <c r="E567" t="inlineStr">
        <is>
          <t>RAGUNDA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14156-2024</t>
        </is>
      </c>
      <c r="B568" s="1" t="n">
        <v>45392</v>
      </c>
      <c r="C568" s="1" t="n">
        <v>45889</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14157-2024</t>
        </is>
      </c>
      <c r="B569" s="1" t="n">
        <v>45392.92903935185</v>
      </c>
      <c r="C569" s="1" t="n">
        <v>45889</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9567-2025</t>
        </is>
      </c>
      <c r="B570" s="1" t="n">
        <v>45715.61523148148</v>
      </c>
      <c r="C570" s="1" t="n">
        <v>45889</v>
      </c>
      <c r="D570" t="inlineStr">
        <is>
          <t>JÄMTLANDS LÄN</t>
        </is>
      </c>
      <c r="E570" t="inlineStr">
        <is>
          <t>RAGUNDA</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53287-2022</t>
        </is>
      </c>
      <c r="B571" s="1" t="n">
        <v>44876</v>
      </c>
      <c r="C571" s="1" t="n">
        <v>45889</v>
      </c>
      <c r="D571" t="inlineStr">
        <is>
          <t>JÄMTLANDS LÄN</t>
        </is>
      </c>
      <c r="E571" t="inlineStr">
        <is>
          <t>RAGUNDA</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51646-2023</t>
        </is>
      </c>
      <c r="B572" s="1" t="n">
        <v>45215</v>
      </c>
      <c r="C572" s="1" t="n">
        <v>45889</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44727-2024</t>
        </is>
      </c>
      <c r="B573" s="1" t="n">
        <v>45574.57967592592</v>
      </c>
      <c r="C573" s="1" t="n">
        <v>45889</v>
      </c>
      <c r="D573" t="inlineStr">
        <is>
          <t>JÄMTLANDS LÄN</t>
        </is>
      </c>
      <c r="E573" t="inlineStr">
        <is>
          <t>RAGUNDA</t>
        </is>
      </c>
      <c r="G573" t="n">
        <v>4.7</v>
      </c>
      <c r="H573" t="n">
        <v>0</v>
      </c>
      <c r="I573" t="n">
        <v>0</v>
      </c>
      <c r="J573" t="n">
        <v>0</v>
      </c>
      <c r="K573" t="n">
        <v>0</v>
      </c>
      <c r="L573" t="n">
        <v>0</v>
      </c>
      <c r="M573" t="n">
        <v>0</v>
      </c>
      <c r="N573" t="n">
        <v>0</v>
      </c>
      <c r="O573" t="n">
        <v>0</v>
      </c>
      <c r="P573" t="n">
        <v>0</v>
      </c>
      <c r="Q573" t="n">
        <v>0</v>
      </c>
      <c r="R573" s="2" t="inlineStr"/>
    </row>
    <row r="574" ht="15" customHeight="1">
      <c r="A574" t="inlineStr">
        <is>
          <t>A 29319-2023</t>
        </is>
      </c>
      <c r="B574" s="1" t="n">
        <v>45105</v>
      </c>
      <c r="C574" s="1" t="n">
        <v>45889</v>
      </c>
      <c r="D574" t="inlineStr">
        <is>
          <t>JÄMTLANDS LÄN</t>
        </is>
      </c>
      <c r="E574" t="inlineStr">
        <is>
          <t>RAGUNDA</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17323-2025</t>
        </is>
      </c>
      <c r="B575" s="1" t="n">
        <v>45756.63601851852</v>
      </c>
      <c r="C575" s="1" t="n">
        <v>45889</v>
      </c>
      <c r="D575" t="inlineStr">
        <is>
          <t>JÄMTLANDS LÄN</t>
        </is>
      </c>
      <c r="E575" t="inlineStr">
        <is>
          <t>RAGUNDA</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24171-2021</t>
        </is>
      </c>
      <c r="B576" s="1" t="n">
        <v>44336</v>
      </c>
      <c r="C576" s="1" t="n">
        <v>45889</v>
      </c>
      <c r="D576" t="inlineStr">
        <is>
          <t>JÄMTLANDS LÄN</t>
        </is>
      </c>
      <c r="E576" t="inlineStr">
        <is>
          <t>RAGUNDA</t>
        </is>
      </c>
      <c r="G576" t="n">
        <v>3.6</v>
      </c>
      <c r="H576" t="n">
        <v>0</v>
      </c>
      <c r="I576" t="n">
        <v>0</v>
      </c>
      <c r="J576" t="n">
        <v>0</v>
      </c>
      <c r="K576" t="n">
        <v>0</v>
      </c>
      <c r="L576" t="n">
        <v>0</v>
      </c>
      <c r="M576" t="n">
        <v>0</v>
      </c>
      <c r="N576" t="n">
        <v>0</v>
      </c>
      <c r="O576" t="n">
        <v>0</v>
      </c>
      <c r="P576" t="n">
        <v>0</v>
      </c>
      <c r="Q576" t="n">
        <v>0</v>
      </c>
      <c r="R576" s="2" t="inlineStr"/>
    </row>
    <row r="577" ht="15" customHeight="1">
      <c r="A577" t="inlineStr">
        <is>
          <t>A 21661-2023</t>
        </is>
      </c>
      <c r="B577" s="1" t="n">
        <v>45063</v>
      </c>
      <c r="C577" s="1" t="n">
        <v>45889</v>
      </c>
      <c r="D577" t="inlineStr">
        <is>
          <t>JÄMTLANDS LÄN</t>
        </is>
      </c>
      <c r="E577" t="inlineStr">
        <is>
          <t>RAGUNDA</t>
        </is>
      </c>
      <c r="G577" t="n">
        <v>1.5</v>
      </c>
      <c r="H577" t="n">
        <v>0</v>
      </c>
      <c r="I577" t="n">
        <v>0</v>
      </c>
      <c r="J577" t="n">
        <v>0</v>
      </c>
      <c r="K577" t="n">
        <v>0</v>
      </c>
      <c r="L577" t="n">
        <v>0</v>
      </c>
      <c r="M577" t="n">
        <v>0</v>
      </c>
      <c r="N577" t="n">
        <v>0</v>
      </c>
      <c r="O577" t="n">
        <v>0</v>
      </c>
      <c r="P577" t="n">
        <v>0</v>
      </c>
      <c r="Q577" t="n">
        <v>0</v>
      </c>
      <c r="R577" s="2" t="inlineStr"/>
    </row>
    <row r="578" ht="15" customHeight="1">
      <c r="A578" t="inlineStr">
        <is>
          <t>A 19486-2024</t>
        </is>
      </c>
      <c r="B578" s="1" t="n">
        <v>45429</v>
      </c>
      <c r="C578" s="1" t="n">
        <v>45889</v>
      </c>
      <c r="D578" t="inlineStr">
        <is>
          <t>JÄMTLANDS LÄN</t>
        </is>
      </c>
      <c r="E578" t="inlineStr">
        <is>
          <t>RAGUNDA</t>
        </is>
      </c>
      <c r="G578" t="n">
        <v>2.3</v>
      </c>
      <c r="H578" t="n">
        <v>0</v>
      </c>
      <c r="I578" t="n">
        <v>0</v>
      </c>
      <c r="J578" t="n">
        <v>0</v>
      </c>
      <c r="K578" t="n">
        <v>0</v>
      </c>
      <c r="L578" t="n">
        <v>0</v>
      </c>
      <c r="M578" t="n">
        <v>0</v>
      </c>
      <c r="N578" t="n">
        <v>0</v>
      </c>
      <c r="O578" t="n">
        <v>0</v>
      </c>
      <c r="P578" t="n">
        <v>0</v>
      </c>
      <c r="Q578" t="n">
        <v>0</v>
      </c>
      <c r="R578" s="2" t="inlineStr"/>
    </row>
    <row r="579" ht="15" customHeight="1">
      <c r="A579" t="inlineStr">
        <is>
          <t>A 13941-2025</t>
        </is>
      </c>
      <c r="B579" s="1" t="n">
        <v>45737.69822916666</v>
      </c>
      <c r="C579" s="1" t="n">
        <v>45889</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7281-2024</t>
        </is>
      </c>
      <c r="B580" s="1" t="n">
        <v>45344</v>
      </c>
      <c r="C580" s="1" t="n">
        <v>45889</v>
      </c>
      <c r="D580" t="inlineStr">
        <is>
          <t>JÄMTLANDS LÄN</t>
        </is>
      </c>
      <c r="E580" t="inlineStr">
        <is>
          <t>RAGUNDA</t>
        </is>
      </c>
      <c r="G580" t="n">
        <v>1.2</v>
      </c>
      <c r="H580" t="n">
        <v>0</v>
      </c>
      <c r="I580" t="n">
        <v>0</v>
      </c>
      <c r="J580" t="n">
        <v>0</v>
      </c>
      <c r="K580" t="n">
        <v>0</v>
      </c>
      <c r="L580" t="n">
        <v>0</v>
      </c>
      <c r="M580" t="n">
        <v>0</v>
      </c>
      <c r="N580" t="n">
        <v>0</v>
      </c>
      <c r="O580" t="n">
        <v>0</v>
      </c>
      <c r="P580" t="n">
        <v>0</v>
      </c>
      <c r="Q580" t="n">
        <v>0</v>
      </c>
      <c r="R580" s="2" t="inlineStr"/>
    </row>
    <row r="581" ht="15" customHeight="1">
      <c r="A581" t="inlineStr">
        <is>
          <t>A 19382-2025</t>
        </is>
      </c>
      <c r="B581" s="1" t="n">
        <v>45769.65659722222</v>
      </c>
      <c r="C581" s="1" t="n">
        <v>45889</v>
      </c>
      <c r="D581" t="inlineStr">
        <is>
          <t>JÄMTLANDS LÄN</t>
        </is>
      </c>
      <c r="E581" t="inlineStr">
        <is>
          <t>RAGUNDA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19403-2025</t>
        </is>
      </c>
      <c r="B582" s="1" t="n">
        <v>45769.67790509259</v>
      </c>
      <c r="C582" s="1" t="n">
        <v>45889</v>
      </c>
      <c r="D582" t="inlineStr">
        <is>
          <t>JÄMTLANDS LÄN</t>
        </is>
      </c>
      <c r="E582" t="inlineStr">
        <is>
          <t>RAGUNDA</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60225-2022</t>
        </is>
      </c>
      <c r="B583" s="1" t="n">
        <v>44903</v>
      </c>
      <c r="C583" s="1" t="n">
        <v>45889</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26646-2023</t>
        </is>
      </c>
      <c r="B584" s="1" t="n">
        <v>45092</v>
      </c>
      <c r="C584" s="1" t="n">
        <v>45889</v>
      </c>
      <c r="D584" t="inlineStr">
        <is>
          <t>JÄMTLANDS LÄN</t>
        </is>
      </c>
      <c r="E584" t="inlineStr">
        <is>
          <t>RAGUNDA</t>
        </is>
      </c>
      <c r="G584" t="n">
        <v>1.4</v>
      </c>
      <c r="H584" t="n">
        <v>0</v>
      </c>
      <c r="I584" t="n">
        <v>0</v>
      </c>
      <c r="J584" t="n">
        <v>0</v>
      </c>
      <c r="K584" t="n">
        <v>0</v>
      </c>
      <c r="L584" t="n">
        <v>0</v>
      </c>
      <c r="M584" t="n">
        <v>0</v>
      </c>
      <c r="N584" t="n">
        <v>0</v>
      </c>
      <c r="O584" t="n">
        <v>0</v>
      </c>
      <c r="P584" t="n">
        <v>0</v>
      </c>
      <c r="Q584" t="n">
        <v>0</v>
      </c>
      <c r="R584" s="2" t="inlineStr"/>
    </row>
    <row r="585" ht="15" customHeight="1">
      <c r="A585" t="inlineStr">
        <is>
          <t>A 61045-2022</t>
        </is>
      </c>
      <c r="B585" s="1" t="n">
        <v>44914</v>
      </c>
      <c r="C585" s="1" t="n">
        <v>45889</v>
      </c>
      <c r="D585" t="inlineStr">
        <is>
          <t>JÄMTLANDS LÄN</t>
        </is>
      </c>
      <c r="E585" t="inlineStr">
        <is>
          <t>RAGUNDA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2224-2024</t>
        </is>
      </c>
      <c r="B586" s="1" t="n">
        <v>45309.92524305556</v>
      </c>
      <c r="C586" s="1" t="n">
        <v>45889</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27291-2022</t>
        </is>
      </c>
      <c r="B587" s="1" t="n">
        <v>44741.94070601852</v>
      </c>
      <c r="C587" s="1" t="n">
        <v>45889</v>
      </c>
      <c r="D587" t="inlineStr">
        <is>
          <t>JÄMTLANDS LÄN</t>
        </is>
      </c>
      <c r="E587" t="inlineStr">
        <is>
          <t>RAGUNDA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56702-2023</t>
        </is>
      </c>
      <c r="B588" s="1" t="n">
        <v>45243</v>
      </c>
      <c r="C588" s="1" t="n">
        <v>45889</v>
      </c>
      <c r="D588" t="inlineStr">
        <is>
          <t>JÄMTLANDS LÄN</t>
        </is>
      </c>
      <c r="E588" t="inlineStr">
        <is>
          <t>RAGUNDA</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63708-2023</t>
        </is>
      </c>
      <c r="B589" s="1" t="n">
        <v>45275.95060185185</v>
      </c>
      <c r="C589" s="1" t="n">
        <v>45889</v>
      </c>
      <c r="D589" t="inlineStr">
        <is>
          <t>JÄMTLANDS LÄN</t>
        </is>
      </c>
      <c r="E589" t="inlineStr">
        <is>
          <t>RAGUNDA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26651-2024</t>
        </is>
      </c>
      <c r="B590" s="1" t="n">
        <v>45469.94876157407</v>
      </c>
      <c r="C590" s="1" t="n">
        <v>45889</v>
      </c>
      <c r="D590" t="inlineStr">
        <is>
          <t>JÄMTLANDS LÄN</t>
        </is>
      </c>
      <c r="E590" t="inlineStr">
        <is>
          <t>RAGUNDA</t>
        </is>
      </c>
      <c r="F590" t="inlineStr">
        <is>
          <t>SCA</t>
        </is>
      </c>
      <c r="G590" t="n">
        <v>10.4</v>
      </c>
      <c r="H590" t="n">
        <v>0</v>
      </c>
      <c r="I590" t="n">
        <v>0</v>
      </c>
      <c r="J590" t="n">
        <v>0</v>
      </c>
      <c r="K590" t="n">
        <v>0</v>
      </c>
      <c r="L590" t="n">
        <v>0</v>
      </c>
      <c r="M590" t="n">
        <v>0</v>
      </c>
      <c r="N590" t="n">
        <v>0</v>
      </c>
      <c r="O590" t="n">
        <v>0</v>
      </c>
      <c r="P590" t="n">
        <v>0</v>
      </c>
      <c r="Q590" t="n">
        <v>0</v>
      </c>
      <c r="R590" s="2" t="inlineStr"/>
    </row>
    <row r="591" ht="15" customHeight="1">
      <c r="A591" t="inlineStr">
        <is>
          <t>A 49650-2024</t>
        </is>
      </c>
      <c r="B591" s="1" t="n">
        <v>45596.61569444444</v>
      </c>
      <c r="C591" s="1" t="n">
        <v>45889</v>
      </c>
      <c r="D591" t="inlineStr">
        <is>
          <t>JÄMTLANDS LÄN</t>
        </is>
      </c>
      <c r="E591" t="inlineStr">
        <is>
          <t>RAGUNDA</t>
        </is>
      </c>
      <c r="F591" t="inlineStr">
        <is>
          <t>Naturvårdsverket</t>
        </is>
      </c>
      <c r="G591" t="n">
        <v>3</v>
      </c>
      <c r="H591" t="n">
        <v>0</v>
      </c>
      <c r="I591" t="n">
        <v>0</v>
      </c>
      <c r="J591" t="n">
        <v>0</v>
      </c>
      <c r="K591" t="n">
        <v>0</v>
      </c>
      <c r="L591" t="n">
        <v>0</v>
      </c>
      <c r="M591" t="n">
        <v>0</v>
      </c>
      <c r="N591" t="n">
        <v>0</v>
      </c>
      <c r="O591" t="n">
        <v>0</v>
      </c>
      <c r="P591" t="n">
        <v>0</v>
      </c>
      <c r="Q591" t="n">
        <v>0</v>
      </c>
      <c r="R591" s="2" t="inlineStr"/>
    </row>
    <row r="592" ht="15" customHeight="1">
      <c r="A592" t="inlineStr">
        <is>
          <t>A 49651-2024</t>
        </is>
      </c>
      <c r="B592" s="1" t="n">
        <v>45596.61582175926</v>
      </c>
      <c r="C592" s="1" t="n">
        <v>45889</v>
      </c>
      <c r="D592" t="inlineStr">
        <is>
          <t>JÄMTLANDS LÄN</t>
        </is>
      </c>
      <c r="E592" t="inlineStr">
        <is>
          <t>RAGUNDA</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6477-2024</t>
        </is>
      </c>
      <c r="B593" s="1" t="n">
        <v>45338.95405092592</v>
      </c>
      <c r="C593" s="1" t="n">
        <v>45889</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16320-2025</t>
        </is>
      </c>
      <c r="B594" s="1" t="n">
        <v>45751.34859953704</v>
      </c>
      <c r="C594" s="1" t="n">
        <v>45889</v>
      </c>
      <c r="D594" t="inlineStr">
        <is>
          <t>JÄMTLANDS LÄN</t>
        </is>
      </c>
      <c r="E594" t="inlineStr">
        <is>
          <t>RAGUNDA</t>
        </is>
      </c>
      <c r="F594" t="inlineStr">
        <is>
          <t>SCA</t>
        </is>
      </c>
      <c r="G594" t="n">
        <v>16.2</v>
      </c>
      <c r="H594" t="n">
        <v>0</v>
      </c>
      <c r="I594" t="n">
        <v>0</v>
      </c>
      <c r="J594" t="n">
        <v>0</v>
      </c>
      <c r="K594" t="n">
        <v>0</v>
      </c>
      <c r="L594" t="n">
        <v>0</v>
      </c>
      <c r="M594" t="n">
        <v>0</v>
      </c>
      <c r="N594" t="n">
        <v>0</v>
      </c>
      <c r="O594" t="n">
        <v>0</v>
      </c>
      <c r="P594" t="n">
        <v>0</v>
      </c>
      <c r="Q594" t="n">
        <v>0</v>
      </c>
      <c r="R594" s="2" t="inlineStr"/>
    </row>
    <row r="595" ht="15" customHeight="1">
      <c r="A595" t="inlineStr">
        <is>
          <t>A 11557-2023</t>
        </is>
      </c>
      <c r="B595" s="1" t="n">
        <v>44993.94950231481</v>
      </c>
      <c r="C595" s="1" t="n">
        <v>45889</v>
      </c>
      <c r="D595" t="inlineStr">
        <is>
          <t>JÄMTLANDS LÄN</t>
        </is>
      </c>
      <c r="E595" t="inlineStr">
        <is>
          <t>RAGUNDA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11562-2023</t>
        </is>
      </c>
      <c r="B596" s="1" t="n">
        <v>44993</v>
      </c>
      <c r="C596" s="1" t="n">
        <v>45889</v>
      </c>
      <c r="D596" t="inlineStr">
        <is>
          <t>JÄMTLANDS LÄN</t>
        </is>
      </c>
      <c r="E596" t="inlineStr">
        <is>
          <t>RAGUNDA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60443-2023</t>
        </is>
      </c>
      <c r="B597" s="1" t="n">
        <v>45258</v>
      </c>
      <c r="C597" s="1" t="n">
        <v>45889</v>
      </c>
      <c r="D597" t="inlineStr">
        <is>
          <t>JÄMTLANDS LÄN</t>
        </is>
      </c>
      <c r="E597" t="inlineStr">
        <is>
          <t>RAGUNDA</t>
        </is>
      </c>
      <c r="G597" t="n">
        <v>2.9</v>
      </c>
      <c r="H597" t="n">
        <v>0</v>
      </c>
      <c r="I597" t="n">
        <v>0</v>
      </c>
      <c r="J597" t="n">
        <v>0</v>
      </c>
      <c r="K597" t="n">
        <v>0</v>
      </c>
      <c r="L597" t="n">
        <v>0</v>
      </c>
      <c r="M597" t="n">
        <v>0</v>
      </c>
      <c r="N597" t="n">
        <v>0</v>
      </c>
      <c r="O597" t="n">
        <v>0</v>
      </c>
      <c r="P597" t="n">
        <v>0</v>
      </c>
      <c r="Q597" t="n">
        <v>0</v>
      </c>
      <c r="R597" s="2" t="inlineStr"/>
    </row>
    <row r="598" ht="15" customHeight="1">
      <c r="A598" t="inlineStr">
        <is>
          <t>A 44759-2024</t>
        </is>
      </c>
      <c r="B598" s="1" t="n">
        <v>45574.61634259259</v>
      </c>
      <c r="C598" s="1" t="n">
        <v>45889</v>
      </c>
      <c r="D598" t="inlineStr">
        <is>
          <t>JÄMTLANDS LÄN</t>
        </is>
      </c>
      <c r="E598" t="inlineStr">
        <is>
          <t>RAGUNDA</t>
        </is>
      </c>
      <c r="G598" t="n">
        <v>1.9</v>
      </c>
      <c r="H598" t="n">
        <v>0</v>
      </c>
      <c r="I598" t="n">
        <v>0</v>
      </c>
      <c r="J598" t="n">
        <v>0</v>
      </c>
      <c r="K598" t="n">
        <v>0</v>
      </c>
      <c r="L598" t="n">
        <v>0</v>
      </c>
      <c r="M598" t="n">
        <v>0</v>
      </c>
      <c r="N598" t="n">
        <v>0</v>
      </c>
      <c r="O598" t="n">
        <v>0</v>
      </c>
      <c r="P598" t="n">
        <v>0</v>
      </c>
      <c r="Q598" t="n">
        <v>0</v>
      </c>
      <c r="R598" s="2" t="inlineStr"/>
    </row>
    <row r="599" ht="15" customHeight="1">
      <c r="A599" t="inlineStr">
        <is>
          <t>A 993-2025</t>
        </is>
      </c>
      <c r="B599" s="1" t="n">
        <v>45666.44943287037</v>
      </c>
      <c r="C599" s="1" t="n">
        <v>45889</v>
      </c>
      <c r="D599" t="inlineStr">
        <is>
          <t>JÄMTLANDS LÄN</t>
        </is>
      </c>
      <c r="E599" t="inlineStr">
        <is>
          <t>RAGUNDA</t>
        </is>
      </c>
      <c r="G599" t="n">
        <v>11.3</v>
      </c>
      <c r="H599" t="n">
        <v>0</v>
      </c>
      <c r="I599" t="n">
        <v>0</v>
      </c>
      <c r="J599" t="n">
        <v>0</v>
      </c>
      <c r="K599" t="n">
        <v>0</v>
      </c>
      <c r="L599" t="n">
        <v>0</v>
      </c>
      <c r="M599" t="n">
        <v>0</v>
      </c>
      <c r="N599" t="n">
        <v>0</v>
      </c>
      <c r="O599" t="n">
        <v>0</v>
      </c>
      <c r="P599" t="n">
        <v>0</v>
      </c>
      <c r="Q599" t="n">
        <v>0</v>
      </c>
      <c r="R599" s="2" t="inlineStr"/>
    </row>
    <row r="600" ht="15" customHeight="1">
      <c r="A600" t="inlineStr">
        <is>
          <t>A 57064-2024</t>
        </is>
      </c>
      <c r="B600" s="1" t="n">
        <v>45629.35326388889</v>
      </c>
      <c r="C600" s="1" t="n">
        <v>45889</v>
      </c>
      <c r="D600" t="inlineStr">
        <is>
          <t>JÄMTLANDS LÄN</t>
        </is>
      </c>
      <c r="E600" t="inlineStr">
        <is>
          <t>RAGUNDA</t>
        </is>
      </c>
      <c r="F600" t="inlineStr">
        <is>
          <t>Naturvårdsverket</t>
        </is>
      </c>
      <c r="G600" t="n">
        <v>0.5</v>
      </c>
      <c r="H600" t="n">
        <v>0</v>
      </c>
      <c r="I600" t="n">
        <v>0</v>
      </c>
      <c r="J600" t="n">
        <v>0</v>
      </c>
      <c r="K600" t="n">
        <v>0</v>
      </c>
      <c r="L600" t="n">
        <v>0</v>
      </c>
      <c r="M600" t="n">
        <v>0</v>
      </c>
      <c r="N600" t="n">
        <v>0</v>
      </c>
      <c r="O600" t="n">
        <v>0</v>
      </c>
      <c r="P600" t="n">
        <v>0</v>
      </c>
      <c r="Q600" t="n">
        <v>0</v>
      </c>
      <c r="R600" s="2" t="inlineStr"/>
    </row>
    <row r="601" ht="15" customHeight="1">
      <c r="A601" t="inlineStr">
        <is>
          <t>A 5175-2023</t>
        </is>
      </c>
      <c r="B601" s="1" t="n">
        <v>44958.94298611111</v>
      </c>
      <c r="C601" s="1" t="n">
        <v>45889</v>
      </c>
      <c r="D601" t="inlineStr">
        <is>
          <t>JÄMTLANDS LÄN</t>
        </is>
      </c>
      <c r="E601" t="inlineStr">
        <is>
          <t>RAGUNDA</t>
        </is>
      </c>
      <c r="F601" t="inlineStr">
        <is>
          <t>SCA</t>
        </is>
      </c>
      <c r="G601" t="n">
        <v>17.9</v>
      </c>
      <c r="H601" t="n">
        <v>0</v>
      </c>
      <c r="I601" t="n">
        <v>0</v>
      </c>
      <c r="J601" t="n">
        <v>0</v>
      </c>
      <c r="K601" t="n">
        <v>0</v>
      </c>
      <c r="L601" t="n">
        <v>0</v>
      </c>
      <c r="M601" t="n">
        <v>0</v>
      </c>
      <c r="N601" t="n">
        <v>0</v>
      </c>
      <c r="O601" t="n">
        <v>0</v>
      </c>
      <c r="P601" t="n">
        <v>0</v>
      </c>
      <c r="Q601" t="n">
        <v>0</v>
      </c>
      <c r="R601" s="2" t="inlineStr"/>
    </row>
    <row r="602" ht="15" customHeight="1">
      <c r="A602" t="inlineStr">
        <is>
          <t>A 50486-2023</t>
        </is>
      </c>
      <c r="B602" s="1" t="n">
        <v>45216.92424768519</v>
      </c>
      <c r="C602" s="1" t="n">
        <v>45889</v>
      </c>
      <c r="D602" t="inlineStr">
        <is>
          <t>JÄMTLANDS LÄN</t>
        </is>
      </c>
      <c r="E602" t="inlineStr">
        <is>
          <t>RAGUNDA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52345-2024</t>
        </is>
      </c>
      <c r="B603" s="1" t="n">
        <v>45609.34412037037</v>
      </c>
      <c r="C603" s="1" t="n">
        <v>45889</v>
      </c>
      <c r="D603" t="inlineStr">
        <is>
          <t>JÄMTLANDS LÄN</t>
        </is>
      </c>
      <c r="E603" t="inlineStr">
        <is>
          <t>RAGUNDA</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60936-2024</t>
        </is>
      </c>
      <c r="B604" s="1" t="n">
        <v>45645.36743055555</v>
      </c>
      <c r="C604" s="1" t="n">
        <v>45889</v>
      </c>
      <c r="D604" t="inlineStr">
        <is>
          <t>JÄMTLANDS LÄN</t>
        </is>
      </c>
      <c r="E604" t="inlineStr">
        <is>
          <t>RAGUNDA</t>
        </is>
      </c>
      <c r="G604" t="n">
        <v>1.2</v>
      </c>
      <c r="H604" t="n">
        <v>0</v>
      </c>
      <c r="I604" t="n">
        <v>0</v>
      </c>
      <c r="J604" t="n">
        <v>0</v>
      </c>
      <c r="K604" t="n">
        <v>0</v>
      </c>
      <c r="L604" t="n">
        <v>0</v>
      </c>
      <c r="M604" t="n">
        <v>0</v>
      </c>
      <c r="N604" t="n">
        <v>0</v>
      </c>
      <c r="O604" t="n">
        <v>0</v>
      </c>
      <c r="P604" t="n">
        <v>0</v>
      </c>
      <c r="Q604" t="n">
        <v>0</v>
      </c>
      <c r="R604" s="2" t="inlineStr"/>
    </row>
    <row r="605" ht="15" customHeight="1">
      <c r="A605" t="inlineStr">
        <is>
          <t>A 41343-2024</t>
        </is>
      </c>
      <c r="B605" s="1" t="n">
        <v>45559.67745370371</v>
      </c>
      <c r="C605" s="1" t="n">
        <v>45889</v>
      </c>
      <c r="D605" t="inlineStr">
        <is>
          <t>JÄMTLANDS LÄN</t>
        </is>
      </c>
      <c r="E605" t="inlineStr">
        <is>
          <t>RAGUNDA</t>
        </is>
      </c>
      <c r="F605" t="inlineStr">
        <is>
          <t>SCA</t>
        </is>
      </c>
      <c r="G605" t="n">
        <v>25.1</v>
      </c>
      <c r="H605" t="n">
        <v>0</v>
      </c>
      <c r="I605" t="n">
        <v>0</v>
      </c>
      <c r="J605" t="n">
        <v>0</v>
      </c>
      <c r="K605" t="n">
        <v>0</v>
      </c>
      <c r="L605" t="n">
        <v>0</v>
      </c>
      <c r="M605" t="n">
        <v>0</v>
      </c>
      <c r="N605" t="n">
        <v>0</v>
      </c>
      <c r="O605" t="n">
        <v>0</v>
      </c>
      <c r="P605" t="n">
        <v>0</v>
      </c>
      <c r="Q605" t="n">
        <v>0</v>
      </c>
      <c r="R605" s="2" t="inlineStr"/>
    </row>
    <row r="606" ht="15" customHeight="1">
      <c r="A606" t="inlineStr">
        <is>
          <t>A 12039-2023</t>
        </is>
      </c>
      <c r="B606" s="1" t="n">
        <v>44995.98341435185</v>
      </c>
      <c r="C606" s="1" t="n">
        <v>45889</v>
      </c>
      <c r="D606" t="inlineStr">
        <is>
          <t>JÄMTLANDS LÄN</t>
        </is>
      </c>
      <c r="E606" t="inlineStr">
        <is>
          <t>RAGUNDA</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12050-2023</t>
        </is>
      </c>
      <c r="B607" s="1" t="n">
        <v>44995.98644675926</v>
      </c>
      <c r="C607" s="1" t="n">
        <v>45889</v>
      </c>
      <c r="D607" t="inlineStr">
        <is>
          <t>JÄMTLANDS LÄN</t>
        </is>
      </c>
      <c r="E607" t="inlineStr">
        <is>
          <t>RAGUNDA</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2751-2024</t>
        </is>
      </c>
      <c r="B608" s="1" t="n">
        <v>45314</v>
      </c>
      <c r="C608" s="1" t="n">
        <v>45889</v>
      </c>
      <c r="D608" t="inlineStr">
        <is>
          <t>JÄMTLANDS LÄN</t>
        </is>
      </c>
      <c r="E608" t="inlineStr">
        <is>
          <t>RAGUNDA</t>
        </is>
      </c>
      <c r="G608" t="n">
        <v>1.8</v>
      </c>
      <c r="H608" t="n">
        <v>0</v>
      </c>
      <c r="I608" t="n">
        <v>0</v>
      </c>
      <c r="J608" t="n">
        <v>0</v>
      </c>
      <c r="K608" t="n">
        <v>0</v>
      </c>
      <c r="L608" t="n">
        <v>0</v>
      </c>
      <c r="M608" t="n">
        <v>0</v>
      </c>
      <c r="N608" t="n">
        <v>0</v>
      </c>
      <c r="O608" t="n">
        <v>0</v>
      </c>
      <c r="P608" t="n">
        <v>0</v>
      </c>
      <c r="Q608" t="n">
        <v>0</v>
      </c>
      <c r="R608" s="2" t="inlineStr"/>
    </row>
    <row r="609" ht="15" customHeight="1">
      <c r="A609" t="inlineStr">
        <is>
          <t>A 36986-2023</t>
        </is>
      </c>
      <c r="B609" s="1" t="n">
        <v>45154.95525462963</v>
      </c>
      <c r="C609" s="1" t="n">
        <v>45889</v>
      </c>
      <c r="D609" t="inlineStr">
        <is>
          <t>JÄMTLANDS LÄN</t>
        </is>
      </c>
      <c r="E609" t="inlineStr">
        <is>
          <t>RAGUNDA</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19401-2025</t>
        </is>
      </c>
      <c r="B610" s="1" t="n">
        <v>45769.67767361111</v>
      </c>
      <c r="C610" s="1" t="n">
        <v>45889</v>
      </c>
      <c r="D610" t="inlineStr">
        <is>
          <t>JÄMTLANDS LÄN</t>
        </is>
      </c>
      <c r="E610" t="inlineStr">
        <is>
          <t>RAGUNDA</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9084-2023</t>
        </is>
      </c>
      <c r="B611" s="1" t="n">
        <v>44979</v>
      </c>
      <c r="C611" s="1" t="n">
        <v>45889</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14368-2024</t>
        </is>
      </c>
      <c r="B612" s="1" t="n">
        <v>45393.94431712963</v>
      </c>
      <c r="C612" s="1" t="n">
        <v>45889</v>
      </c>
      <c r="D612" t="inlineStr">
        <is>
          <t>JÄMTLANDS LÄN</t>
        </is>
      </c>
      <c r="E612" t="inlineStr">
        <is>
          <t>RAGUNDA</t>
        </is>
      </c>
      <c r="F612" t="inlineStr">
        <is>
          <t>Naturvårdsverket</t>
        </is>
      </c>
      <c r="G612" t="n">
        <v>1.6</v>
      </c>
      <c r="H612" t="n">
        <v>0</v>
      </c>
      <c r="I612" t="n">
        <v>0</v>
      </c>
      <c r="J612" t="n">
        <v>0</v>
      </c>
      <c r="K612" t="n">
        <v>0</v>
      </c>
      <c r="L612" t="n">
        <v>0</v>
      </c>
      <c r="M612" t="n">
        <v>0</v>
      </c>
      <c r="N612" t="n">
        <v>0</v>
      </c>
      <c r="O612" t="n">
        <v>0</v>
      </c>
      <c r="P612" t="n">
        <v>0</v>
      </c>
      <c r="Q612" t="n">
        <v>0</v>
      </c>
      <c r="R612" s="2" t="inlineStr"/>
    </row>
    <row r="613" ht="15" customHeight="1">
      <c r="A613" t="inlineStr">
        <is>
          <t>A 9360-2023</t>
        </is>
      </c>
      <c r="B613" s="1" t="n">
        <v>44980.93865740741</v>
      </c>
      <c r="C613" s="1" t="n">
        <v>45889</v>
      </c>
      <c r="D613" t="inlineStr">
        <is>
          <t>JÄMTLANDS LÄN</t>
        </is>
      </c>
      <c r="E613" t="inlineStr">
        <is>
          <t>RAGUNDA</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66706-2021</t>
        </is>
      </c>
      <c r="B614" s="1" t="n">
        <v>44519.94440972222</v>
      </c>
      <c r="C614" s="1" t="n">
        <v>45889</v>
      </c>
      <c r="D614" t="inlineStr">
        <is>
          <t>JÄMTLANDS LÄN</t>
        </is>
      </c>
      <c r="E614" t="inlineStr">
        <is>
          <t>RAGUNDA</t>
        </is>
      </c>
      <c r="F614" t="inlineStr">
        <is>
          <t>SCA</t>
        </is>
      </c>
      <c r="G614" t="n">
        <v>5.3</v>
      </c>
      <c r="H614" t="n">
        <v>0</v>
      </c>
      <c r="I614" t="n">
        <v>0</v>
      </c>
      <c r="J614" t="n">
        <v>0</v>
      </c>
      <c r="K614" t="n">
        <v>0</v>
      </c>
      <c r="L614" t="n">
        <v>0</v>
      </c>
      <c r="M614" t="n">
        <v>0</v>
      </c>
      <c r="N614" t="n">
        <v>0</v>
      </c>
      <c r="O614" t="n">
        <v>0</v>
      </c>
      <c r="P614" t="n">
        <v>0</v>
      </c>
      <c r="Q614" t="n">
        <v>0</v>
      </c>
      <c r="R614" s="2" t="inlineStr"/>
    </row>
    <row r="615" ht="15" customHeight="1">
      <c r="A615" t="inlineStr">
        <is>
          <t>A 18159-2023</t>
        </is>
      </c>
      <c r="B615" s="1" t="n">
        <v>45040.94277777777</v>
      </c>
      <c r="C615" s="1" t="n">
        <v>45889</v>
      </c>
      <c r="D615" t="inlineStr">
        <is>
          <t>JÄMTLANDS LÄN</t>
        </is>
      </c>
      <c r="E615" t="inlineStr">
        <is>
          <t>RAGUNDA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5930-2025</t>
        </is>
      </c>
      <c r="B616" s="1" t="n">
        <v>45695.44724537037</v>
      </c>
      <c r="C616" s="1" t="n">
        <v>45889</v>
      </c>
      <c r="D616" t="inlineStr">
        <is>
          <t>JÄMTLANDS LÄN</t>
        </is>
      </c>
      <c r="E616" t="inlineStr">
        <is>
          <t>RAGUNDA</t>
        </is>
      </c>
      <c r="G616" t="n">
        <v>0.7</v>
      </c>
      <c r="H616" t="n">
        <v>0</v>
      </c>
      <c r="I616" t="n">
        <v>0</v>
      </c>
      <c r="J616" t="n">
        <v>0</v>
      </c>
      <c r="K616" t="n">
        <v>0</v>
      </c>
      <c r="L616" t="n">
        <v>0</v>
      </c>
      <c r="M616" t="n">
        <v>0</v>
      </c>
      <c r="N616" t="n">
        <v>0</v>
      </c>
      <c r="O616" t="n">
        <v>0</v>
      </c>
      <c r="P616" t="n">
        <v>0</v>
      </c>
      <c r="Q616" t="n">
        <v>0</v>
      </c>
      <c r="R616" s="2" t="inlineStr"/>
    </row>
    <row r="617" ht="15" customHeight="1">
      <c r="A617" t="inlineStr">
        <is>
          <t>A 32259-2024</t>
        </is>
      </c>
      <c r="B617" s="1" t="n">
        <v>45511</v>
      </c>
      <c r="C617" s="1" t="n">
        <v>45889</v>
      </c>
      <c r="D617" t="inlineStr">
        <is>
          <t>JÄMTLANDS LÄN</t>
        </is>
      </c>
      <c r="E617" t="inlineStr">
        <is>
          <t>RAGUNDA</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13700-2023</t>
        </is>
      </c>
      <c r="B618" s="1" t="n">
        <v>45006</v>
      </c>
      <c r="C618" s="1" t="n">
        <v>45889</v>
      </c>
      <c r="D618" t="inlineStr">
        <is>
          <t>JÄMTLANDS LÄN</t>
        </is>
      </c>
      <c r="E618" t="inlineStr">
        <is>
          <t>RAGUNDA</t>
        </is>
      </c>
      <c r="F618" t="inlineStr">
        <is>
          <t>SCA</t>
        </is>
      </c>
      <c r="G618" t="n">
        <v>50.3</v>
      </c>
      <c r="H618" t="n">
        <v>0</v>
      </c>
      <c r="I618" t="n">
        <v>0</v>
      </c>
      <c r="J618" t="n">
        <v>0</v>
      </c>
      <c r="K618" t="n">
        <v>0</v>
      </c>
      <c r="L618" t="n">
        <v>0</v>
      </c>
      <c r="M618" t="n">
        <v>0</v>
      </c>
      <c r="N618" t="n">
        <v>0</v>
      </c>
      <c r="O618" t="n">
        <v>0</v>
      </c>
      <c r="P618" t="n">
        <v>0</v>
      </c>
      <c r="Q618" t="n">
        <v>0</v>
      </c>
      <c r="R618" s="2" t="inlineStr"/>
    </row>
    <row r="619" ht="15" customHeight="1">
      <c r="A619" t="inlineStr">
        <is>
          <t>A 58847-2024</t>
        </is>
      </c>
      <c r="B619" s="1" t="n">
        <v>45636.3864699074</v>
      </c>
      <c r="C619" s="1" t="n">
        <v>45889</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37543-2023</t>
        </is>
      </c>
      <c r="B620" s="1" t="n">
        <v>45158.94231481481</v>
      </c>
      <c r="C620" s="1" t="n">
        <v>45889</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18778-2024</t>
        </is>
      </c>
      <c r="B621" s="1" t="n">
        <v>45426</v>
      </c>
      <c r="C621" s="1" t="n">
        <v>45889</v>
      </c>
      <c r="D621" t="inlineStr">
        <is>
          <t>JÄMTLANDS LÄN</t>
        </is>
      </c>
      <c r="E621" t="inlineStr">
        <is>
          <t>RAGUNDA</t>
        </is>
      </c>
      <c r="G621" t="n">
        <v>0.9</v>
      </c>
      <c r="H621" t="n">
        <v>0</v>
      </c>
      <c r="I621" t="n">
        <v>0</v>
      </c>
      <c r="J621" t="n">
        <v>0</v>
      </c>
      <c r="K621" t="n">
        <v>0</v>
      </c>
      <c r="L621" t="n">
        <v>0</v>
      </c>
      <c r="M621" t="n">
        <v>0</v>
      </c>
      <c r="N621" t="n">
        <v>0</v>
      </c>
      <c r="O621" t="n">
        <v>0</v>
      </c>
      <c r="P621" t="n">
        <v>0</v>
      </c>
      <c r="Q621" t="n">
        <v>0</v>
      </c>
      <c r="R621" s="2" t="inlineStr"/>
    </row>
    <row r="622" ht="15" customHeight="1">
      <c r="A622" t="inlineStr">
        <is>
          <t>A 18781-2024</t>
        </is>
      </c>
      <c r="B622" s="1" t="n">
        <v>45426</v>
      </c>
      <c r="C622" s="1" t="n">
        <v>45889</v>
      </c>
      <c r="D622" t="inlineStr">
        <is>
          <t>JÄMTLANDS LÄN</t>
        </is>
      </c>
      <c r="E622" t="inlineStr">
        <is>
          <t>RAGUNDA</t>
        </is>
      </c>
      <c r="G622" t="n">
        <v>0.9</v>
      </c>
      <c r="H622" t="n">
        <v>0</v>
      </c>
      <c r="I622" t="n">
        <v>0</v>
      </c>
      <c r="J622" t="n">
        <v>0</v>
      </c>
      <c r="K622" t="n">
        <v>0</v>
      </c>
      <c r="L622" t="n">
        <v>0</v>
      </c>
      <c r="M622" t="n">
        <v>0</v>
      </c>
      <c r="N622" t="n">
        <v>0</v>
      </c>
      <c r="O622" t="n">
        <v>0</v>
      </c>
      <c r="P622" t="n">
        <v>0</v>
      </c>
      <c r="Q622" t="n">
        <v>0</v>
      </c>
      <c r="R622" s="2" t="inlineStr"/>
    </row>
    <row r="623" ht="15" customHeight="1">
      <c r="A623" t="inlineStr">
        <is>
          <t>A 53171-2024</t>
        </is>
      </c>
      <c r="B623" s="1" t="n">
        <v>45611.65679398148</v>
      </c>
      <c r="C623" s="1" t="n">
        <v>45889</v>
      </c>
      <c r="D623" t="inlineStr">
        <is>
          <t>JÄMTLANDS LÄN</t>
        </is>
      </c>
      <c r="E623" t="inlineStr">
        <is>
          <t>RAGUNDA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1523-2024</t>
        </is>
      </c>
      <c r="B624" s="1" t="n">
        <v>45306</v>
      </c>
      <c r="C624" s="1" t="n">
        <v>45889</v>
      </c>
      <c r="D624" t="inlineStr">
        <is>
          <t>JÄMTLANDS LÄN</t>
        </is>
      </c>
      <c r="E624" t="inlineStr">
        <is>
          <t>RAGUNDA</t>
        </is>
      </c>
      <c r="G624" t="n">
        <v>4.1</v>
      </c>
      <c r="H624" t="n">
        <v>0</v>
      </c>
      <c r="I624" t="n">
        <v>0</v>
      </c>
      <c r="J624" t="n">
        <v>0</v>
      </c>
      <c r="K624" t="n">
        <v>0</v>
      </c>
      <c r="L624" t="n">
        <v>0</v>
      </c>
      <c r="M624" t="n">
        <v>0</v>
      </c>
      <c r="N624" t="n">
        <v>0</v>
      </c>
      <c r="O624" t="n">
        <v>0</v>
      </c>
      <c r="P624" t="n">
        <v>0</v>
      </c>
      <c r="Q624" t="n">
        <v>0</v>
      </c>
      <c r="R624" s="2" t="inlineStr"/>
    </row>
    <row r="625" ht="15" customHeight="1">
      <c r="A625" t="inlineStr">
        <is>
          <t>A 64265-2023</t>
        </is>
      </c>
      <c r="B625" s="1" t="n">
        <v>45279.94572916667</v>
      </c>
      <c r="C625" s="1" t="n">
        <v>45889</v>
      </c>
      <c r="D625" t="inlineStr">
        <is>
          <t>JÄMTLANDS LÄN</t>
        </is>
      </c>
      <c r="E625" t="inlineStr">
        <is>
          <t>RAGUNDA</t>
        </is>
      </c>
      <c r="F625" t="inlineStr">
        <is>
          <t>SCA</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7722-2023</t>
        </is>
      </c>
      <c r="B626" s="1" t="n">
        <v>44972.94140046297</v>
      </c>
      <c r="C626" s="1" t="n">
        <v>45889</v>
      </c>
      <c r="D626" t="inlineStr">
        <is>
          <t>JÄMTLANDS LÄN</t>
        </is>
      </c>
      <c r="E626" t="inlineStr">
        <is>
          <t>RAGUNDA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17248-2023</t>
        </is>
      </c>
      <c r="B627" s="1" t="n">
        <v>45033</v>
      </c>
      <c r="C627" s="1" t="n">
        <v>45889</v>
      </c>
      <c r="D627" t="inlineStr">
        <is>
          <t>JÄMTLANDS LÄN</t>
        </is>
      </c>
      <c r="E627" t="inlineStr">
        <is>
          <t>RAGUNDA</t>
        </is>
      </c>
      <c r="G627" t="n">
        <v>3</v>
      </c>
      <c r="H627" t="n">
        <v>0</v>
      </c>
      <c r="I627" t="n">
        <v>0</v>
      </c>
      <c r="J627" t="n">
        <v>0</v>
      </c>
      <c r="K627" t="n">
        <v>0</v>
      </c>
      <c r="L627" t="n">
        <v>0</v>
      </c>
      <c r="M627" t="n">
        <v>0</v>
      </c>
      <c r="N627" t="n">
        <v>0</v>
      </c>
      <c r="O627" t="n">
        <v>0</v>
      </c>
      <c r="P627" t="n">
        <v>0</v>
      </c>
      <c r="Q627" t="n">
        <v>0</v>
      </c>
      <c r="R627" s="2" t="inlineStr"/>
    </row>
    <row r="628" ht="15" customHeight="1">
      <c r="A628" t="inlineStr">
        <is>
          <t>A 20653-2025</t>
        </is>
      </c>
      <c r="B628" s="1" t="n">
        <v>45776.40311342593</v>
      </c>
      <c r="C628" s="1" t="n">
        <v>45889</v>
      </c>
      <c r="D628" t="inlineStr">
        <is>
          <t>JÄMTLANDS LÄN</t>
        </is>
      </c>
      <c r="E628" t="inlineStr">
        <is>
          <t>RAGUNDA</t>
        </is>
      </c>
      <c r="G628" t="n">
        <v>10.8</v>
      </c>
      <c r="H628" t="n">
        <v>0</v>
      </c>
      <c r="I628" t="n">
        <v>0</v>
      </c>
      <c r="J628" t="n">
        <v>0</v>
      </c>
      <c r="K628" t="n">
        <v>0</v>
      </c>
      <c r="L628" t="n">
        <v>0</v>
      </c>
      <c r="M628" t="n">
        <v>0</v>
      </c>
      <c r="N628" t="n">
        <v>0</v>
      </c>
      <c r="O628" t="n">
        <v>0</v>
      </c>
      <c r="P628" t="n">
        <v>0</v>
      </c>
      <c r="Q628" t="n">
        <v>0</v>
      </c>
      <c r="R628" s="2" t="inlineStr"/>
    </row>
    <row r="629" ht="15" customHeight="1">
      <c r="A629" t="inlineStr">
        <is>
          <t>A 44605-2024</t>
        </is>
      </c>
      <c r="B629" s="1" t="n">
        <v>45574.51185185185</v>
      </c>
      <c r="C629" s="1" t="n">
        <v>45889</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20777-2025</t>
        </is>
      </c>
      <c r="B630" s="1" t="n">
        <v>45776.59422453704</v>
      </c>
      <c r="C630" s="1" t="n">
        <v>45889</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53263-2024</t>
        </is>
      </c>
      <c r="B631" s="1" t="n">
        <v>45614.34541666666</v>
      </c>
      <c r="C631" s="1" t="n">
        <v>45889</v>
      </c>
      <c r="D631" t="inlineStr">
        <is>
          <t>JÄMTLANDS LÄN</t>
        </is>
      </c>
      <c r="E631" t="inlineStr">
        <is>
          <t>RAGUNDA</t>
        </is>
      </c>
      <c r="G631" t="n">
        <v>1.9</v>
      </c>
      <c r="H631" t="n">
        <v>0</v>
      </c>
      <c r="I631" t="n">
        <v>0</v>
      </c>
      <c r="J631" t="n">
        <v>0</v>
      </c>
      <c r="K631" t="n">
        <v>0</v>
      </c>
      <c r="L631" t="n">
        <v>0</v>
      </c>
      <c r="M631" t="n">
        <v>0</v>
      </c>
      <c r="N631" t="n">
        <v>0</v>
      </c>
      <c r="O631" t="n">
        <v>0</v>
      </c>
      <c r="P631" t="n">
        <v>0</v>
      </c>
      <c r="Q631" t="n">
        <v>0</v>
      </c>
      <c r="R631" s="2" t="inlineStr"/>
    </row>
    <row r="632" ht="15" customHeight="1">
      <c r="A632" t="inlineStr">
        <is>
          <t>A 58630-2024</t>
        </is>
      </c>
      <c r="B632" s="1" t="n">
        <v>45635.57331018519</v>
      </c>
      <c r="C632" s="1" t="n">
        <v>45889</v>
      </c>
      <c r="D632" t="inlineStr">
        <is>
          <t>JÄMTLANDS LÄN</t>
        </is>
      </c>
      <c r="E632" t="inlineStr">
        <is>
          <t>RAGUNDA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20722-2025</t>
        </is>
      </c>
      <c r="B633" s="1" t="n">
        <v>45776.50651620371</v>
      </c>
      <c r="C633" s="1" t="n">
        <v>45889</v>
      </c>
      <c r="D633" t="inlineStr">
        <is>
          <t>JÄMTLANDS LÄN</t>
        </is>
      </c>
      <c r="E633" t="inlineStr">
        <is>
          <t>RAGUNDA</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20728-2025</t>
        </is>
      </c>
      <c r="B634" s="1" t="n">
        <v>45776.51130787037</v>
      </c>
      <c r="C634" s="1" t="n">
        <v>45889</v>
      </c>
      <c r="D634" t="inlineStr">
        <is>
          <t>JÄMTLANDS LÄN</t>
        </is>
      </c>
      <c r="E634" t="inlineStr">
        <is>
          <t>RAGUNDA</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19438-2023</t>
        </is>
      </c>
      <c r="B635" s="1" t="n">
        <v>45049</v>
      </c>
      <c r="C635" s="1" t="n">
        <v>45889</v>
      </c>
      <c r="D635" t="inlineStr">
        <is>
          <t>JÄMTLANDS LÄN</t>
        </is>
      </c>
      <c r="E635" t="inlineStr">
        <is>
          <t>RAGUNDA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14896-2022</t>
        </is>
      </c>
      <c r="B636" s="1" t="n">
        <v>44656</v>
      </c>
      <c r="C636" s="1" t="n">
        <v>45889</v>
      </c>
      <c r="D636" t="inlineStr">
        <is>
          <t>JÄMTLANDS LÄN</t>
        </is>
      </c>
      <c r="E636" t="inlineStr">
        <is>
          <t>RAGUNDA</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11551-2024</t>
        </is>
      </c>
      <c r="B637" s="1" t="n">
        <v>45372.95762731481</v>
      </c>
      <c r="C637" s="1" t="n">
        <v>45889</v>
      </c>
      <c r="D637" t="inlineStr">
        <is>
          <t>JÄMTLANDS LÄN</t>
        </is>
      </c>
      <c r="E637" t="inlineStr">
        <is>
          <t>RAGUNDA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57839-2022</t>
        </is>
      </c>
      <c r="B638" s="1" t="n">
        <v>44897</v>
      </c>
      <c r="C638" s="1" t="n">
        <v>45889</v>
      </c>
      <c r="D638" t="inlineStr">
        <is>
          <t>JÄMTLANDS LÄN</t>
        </is>
      </c>
      <c r="E638" t="inlineStr">
        <is>
          <t>RAGUNDA</t>
        </is>
      </c>
      <c r="F638" t="inlineStr">
        <is>
          <t>SCA</t>
        </is>
      </c>
      <c r="G638" t="n">
        <v>8.5</v>
      </c>
      <c r="H638" t="n">
        <v>0</v>
      </c>
      <c r="I638" t="n">
        <v>0</v>
      </c>
      <c r="J638" t="n">
        <v>0</v>
      </c>
      <c r="K638" t="n">
        <v>0</v>
      </c>
      <c r="L638" t="n">
        <v>0</v>
      </c>
      <c r="M638" t="n">
        <v>0</v>
      </c>
      <c r="N638" t="n">
        <v>0</v>
      </c>
      <c r="O638" t="n">
        <v>0</v>
      </c>
      <c r="P638" t="n">
        <v>0</v>
      </c>
      <c r="Q638" t="n">
        <v>0</v>
      </c>
      <c r="R638" s="2" t="inlineStr"/>
    </row>
    <row r="639" ht="15" customHeight="1">
      <c r="A639" t="inlineStr">
        <is>
          <t>A 60663-2022</t>
        </is>
      </c>
      <c r="B639" s="1" t="n">
        <v>44911.93846064815</v>
      </c>
      <c r="C639" s="1" t="n">
        <v>45889</v>
      </c>
      <c r="D639" t="inlineStr">
        <is>
          <t>JÄMTLANDS LÄN</t>
        </is>
      </c>
      <c r="E639" t="inlineStr">
        <is>
          <t>RAGUNDA</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53136-2024</t>
        </is>
      </c>
      <c r="B640" s="1" t="n">
        <v>45611.5953125</v>
      </c>
      <c r="C640" s="1" t="n">
        <v>45889</v>
      </c>
      <c r="D640" t="inlineStr">
        <is>
          <t>JÄMTLANDS LÄN</t>
        </is>
      </c>
      <c r="E640" t="inlineStr">
        <is>
          <t>RAGUNDA</t>
        </is>
      </c>
      <c r="G640" t="n">
        <v>3.8</v>
      </c>
      <c r="H640" t="n">
        <v>0</v>
      </c>
      <c r="I640" t="n">
        <v>0</v>
      </c>
      <c r="J640" t="n">
        <v>0</v>
      </c>
      <c r="K640" t="n">
        <v>0</v>
      </c>
      <c r="L640" t="n">
        <v>0</v>
      </c>
      <c r="M640" t="n">
        <v>0</v>
      </c>
      <c r="N640" t="n">
        <v>0</v>
      </c>
      <c r="O640" t="n">
        <v>0</v>
      </c>
      <c r="P640" t="n">
        <v>0</v>
      </c>
      <c r="Q640" t="n">
        <v>0</v>
      </c>
      <c r="R640" s="2" t="inlineStr"/>
    </row>
    <row r="641" ht="15" customHeight="1">
      <c r="A641" t="inlineStr">
        <is>
          <t>A 52228-2024</t>
        </is>
      </c>
      <c r="B641" s="1" t="n">
        <v>45608.6078587963</v>
      </c>
      <c r="C641" s="1" t="n">
        <v>45889</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45889</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21430-2025</t>
        </is>
      </c>
      <c r="B643" s="1" t="n">
        <v>45782.51099537037</v>
      </c>
      <c r="C643" s="1" t="n">
        <v>45889</v>
      </c>
      <c r="D643" t="inlineStr">
        <is>
          <t>JÄMTLANDS LÄN</t>
        </is>
      </c>
      <c r="E643" t="inlineStr">
        <is>
          <t>RAGUNDA</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59372-2024</t>
        </is>
      </c>
      <c r="B644" s="1" t="n">
        <v>45638.34431712963</v>
      </c>
      <c r="C644" s="1" t="n">
        <v>45889</v>
      </c>
      <c r="D644" t="inlineStr">
        <is>
          <t>JÄMTLANDS LÄN</t>
        </is>
      </c>
      <c r="E644" t="inlineStr">
        <is>
          <t>RAGUNDA</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21405-2025</t>
        </is>
      </c>
      <c r="B645" s="1" t="n">
        <v>45782.49032407408</v>
      </c>
      <c r="C645" s="1" t="n">
        <v>45889</v>
      </c>
      <c r="D645" t="inlineStr">
        <is>
          <t>JÄMTLANDS LÄN</t>
        </is>
      </c>
      <c r="E645" t="inlineStr">
        <is>
          <t>RAGUNDA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21406-2025</t>
        </is>
      </c>
      <c r="B646" s="1" t="n">
        <v>45782.49046296296</v>
      </c>
      <c r="C646" s="1" t="n">
        <v>45889</v>
      </c>
      <c r="D646" t="inlineStr">
        <is>
          <t>JÄMTLANDS LÄN</t>
        </is>
      </c>
      <c r="E646" t="inlineStr">
        <is>
          <t>RAGUNDA</t>
        </is>
      </c>
      <c r="F646" t="inlineStr">
        <is>
          <t>SCA</t>
        </is>
      </c>
      <c r="G646" t="n">
        <v>8.6</v>
      </c>
      <c r="H646" t="n">
        <v>0</v>
      </c>
      <c r="I646" t="n">
        <v>0</v>
      </c>
      <c r="J646" t="n">
        <v>0</v>
      </c>
      <c r="K646" t="n">
        <v>0</v>
      </c>
      <c r="L646" t="n">
        <v>0</v>
      </c>
      <c r="M646" t="n">
        <v>0</v>
      </c>
      <c r="N646" t="n">
        <v>0</v>
      </c>
      <c r="O646" t="n">
        <v>0</v>
      </c>
      <c r="P646" t="n">
        <v>0</v>
      </c>
      <c r="Q646" t="n">
        <v>0</v>
      </c>
      <c r="R646" s="2" t="inlineStr"/>
    </row>
    <row r="647" ht="15" customHeight="1">
      <c r="A647" t="inlineStr">
        <is>
          <t>A 21432-2025</t>
        </is>
      </c>
      <c r="B647" s="1" t="n">
        <v>45782.51109953703</v>
      </c>
      <c r="C647" s="1" t="n">
        <v>45889</v>
      </c>
      <c r="D647" t="inlineStr">
        <is>
          <t>JÄMTLANDS LÄN</t>
        </is>
      </c>
      <c r="E647" t="inlineStr">
        <is>
          <t>RAGUNDA</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21550-2025</t>
        </is>
      </c>
      <c r="B648" s="1" t="n">
        <v>45782.67758101852</v>
      </c>
      <c r="C648" s="1" t="n">
        <v>45889</v>
      </c>
      <c r="D648" t="inlineStr">
        <is>
          <t>JÄMTLANDS LÄN</t>
        </is>
      </c>
      <c r="E648" t="inlineStr">
        <is>
          <t>RAGUNDA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21451-2025</t>
        </is>
      </c>
      <c r="B649" s="1" t="n">
        <v>45782.55287037037</v>
      </c>
      <c r="C649" s="1" t="n">
        <v>45889</v>
      </c>
      <c r="D649" t="inlineStr">
        <is>
          <t>JÄMTLANDS LÄN</t>
        </is>
      </c>
      <c r="E649" t="inlineStr">
        <is>
          <t>RAGUNDA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21150-2025</t>
        </is>
      </c>
      <c r="B650" s="1" t="n">
        <v>45779.34417824074</v>
      </c>
      <c r="C650" s="1" t="n">
        <v>45889</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21177-2025</t>
        </is>
      </c>
      <c r="B651" s="1" t="n">
        <v>45779.4281712963</v>
      </c>
      <c r="C651" s="1" t="n">
        <v>45889</v>
      </c>
      <c r="D651" t="inlineStr">
        <is>
          <t>JÄMTLANDS LÄN</t>
        </is>
      </c>
      <c r="E651" t="inlineStr">
        <is>
          <t>RAGUNDA</t>
        </is>
      </c>
      <c r="F651" t="inlineStr">
        <is>
          <t>SCA</t>
        </is>
      </c>
      <c r="G651" t="n">
        <v>16.1</v>
      </c>
      <c r="H651" t="n">
        <v>0</v>
      </c>
      <c r="I651" t="n">
        <v>0</v>
      </c>
      <c r="J651" t="n">
        <v>0</v>
      </c>
      <c r="K651" t="n">
        <v>0</v>
      </c>
      <c r="L651" t="n">
        <v>0</v>
      </c>
      <c r="M651" t="n">
        <v>0</v>
      </c>
      <c r="N651" t="n">
        <v>0</v>
      </c>
      <c r="O651" t="n">
        <v>0</v>
      </c>
      <c r="P651" t="n">
        <v>0</v>
      </c>
      <c r="Q651" t="n">
        <v>0</v>
      </c>
      <c r="R651" s="2" t="inlineStr"/>
    </row>
    <row r="652" ht="15" customHeight="1">
      <c r="A652" t="inlineStr">
        <is>
          <t>A 62115-2024</t>
        </is>
      </c>
      <c r="B652" s="1" t="n">
        <v>45656</v>
      </c>
      <c r="C652" s="1" t="n">
        <v>45889</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21331-2025</t>
        </is>
      </c>
      <c r="B653" s="1" t="n">
        <v>45782.36494212963</v>
      </c>
      <c r="C653" s="1" t="n">
        <v>45889</v>
      </c>
      <c r="D653" t="inlineStr">
        <is>
          <t>JÄMTLANDS LÄN</t>
        </is>
      </c>
      <c r="E653" t="inlineStr">
        <is>
          <t>RAGUNDA</t>
        </is>
      </c>
      <c r="F653" t="inlineStr">
        <is>
          <t>SCA</t>
        </is>
      </c>
      <c r="G653" t="n">
        <v>23.1</v>
      </c>
      <c r="H653" t="n">
        <v>0</v>
      </c>
      <c r="I653" t="n">
        <v>0</v>
      </c>
      <c r="J653" t="n">
        <v>0</v>
      </c>
      <c r="K653" t="n">
        <v>0</v>
      </c>
      <c r="L653" t="n">
        <v>0</v>
      </c>
      <c r="M653" t="n">
        <v>0</v>
      </c>
      <c r="N653" t="n">
        <v>0</v>
      </c>
      <c r="O653" t="n">
        <v>0</v>
      </c>
      <c r="P653" t="n">
        <v>0</v>
      </c>
      <c r="Q653" t="n">
        <v>0</v>
      </c>
      <c r="R653" s="2" t="inlineStr"/>
    </row>
    <row r="654" ht="15" customHeight="1">
      <c r="A654" t="inlineStr">
        <is>
          <t>A 4594-2024</t>
        </is>
      </c>
      <c r="B654" s="1" t="n">
        <v>45327.94459490741</v>
      </c>
      <c r="C654" s="1" t="n">
        <v>45889</v>
      </c>
      <c r="D654" t="inlineStr">
        <is>
          <t>JÄMTLANDS LÄN</t>
        </is>
      </c>
      <c r="E654" t="inlineStr">
        <is>
          <t>RAGUNDA</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21214-2025</t>
        </is>
      </c>
      <c r="B655" s="1" t="n">
        <v>45779.49025462963</v>
      </c>
      <c r="C655" s="1" t="n">
        <v>45889</v>
      </c>
      <c r="D655" t="inlineStr">
        <is>
          <t>JÄMTLANDS LÄN</t>
        </is>
      </c>
      <c r="E655" t="inlineStr">
        <is>
          <t>RAGUNDA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30053-2024</t>
        </is>
      </c>
      <c r="B656" s="1" t="n">
        <v>45488.94747685185</v>
      </c>
      <c r="C656" s="1" t="n">
        <v>45889</v>
      </c>
      <c r="D656" t="inlineStr">
        <is>
          <t>JÄMTLANDS LÄN</t>
        </is>
      </c>
      <c r="E656" t="inlineStr">
        <is>
          <t>RAGUNDA</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3018-2024</t>
        </is>
      </c>
      <c r="B657" s="1" t="n">
        <v>45315.9492824074</v>
      </c>
      <c r="C657" s="1" t="n">
        <v>45889</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22941-2024</t>
        </is>
      </c>
      <c r="B658" s="1" t="n">
        <v>45448.94520833333</v>
      </c>
      <c r="C658" s="1" t="n">
        <v>45889</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59496-2024</t>
        </is>
      </c>
      <c r="B659" s="1" t="n">
        <v>45638</v>
      </c>
      <c r="C659" s="1" t="n">
        <v>45889</v>
      </c>
      <c r="D659" t="inlineStr">
        <is>
          <t>JÄMTLANDS LÄN</t>
        </is>
      </c>
      <c r="E659" t="inlineStr">
        <is>
          <t>RAGUNDA</t>
        </is>
      </c>
      <c r="G659" t="n">
        <v>13.1</v>
      </c>
      <c r="H659" t="n">
        <v>0</v>
      </c>
      <c r="I659" t="n">
        <v>0</v>
      </c>
      <c r="J659" t="n">
        <v>0</v>
      </c>
      <c r="K659" t="n">
        <v>0</v>
      </c>
      <c r="L659" t="n">
        <v>0</v>
      </c>
      <c r="M659" t="n">
        <v>0</v>
      </c>
      <c r="N659" t="n">
        <v>0</v>
      </c>
      <c r="O659" t="n">
        <v>0</v>
      </c>
      <c r="P659" t="n">
        <v>0</v>
      </c>
      <c r="Q659" t="n">
        <v>0</v>
      </c>
      <c r="R659" s="2" t="inlineStr"/>
    </row>
    <row r="660" ht="15" customHeight="1">
      <c r="A660" t="inlineStr">
        <is>
          <t>A 37265-2024</t>
        </is>
      </c>
      <c r="B660" s="1" t="n">
        <v>45540.38564814815</v>
      </c>
      <c r="C660" s="1" t="n">
        <v>45889</v>
      </c>
      <c r="D660" t="inlineStr">
        <is>
          <t>JÄMTLANDS LÄN</t>
        </is>
      </c>
      <c r="E660" t="inlineStr">
        <is>
          <t>RAGUNDA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18612-2024</t>
        </is>
      </c>
      <c r="B661" s="1" t="n">
        <v>45425.96239583333</v>
      </c>
      <c r="C661" s="1" t="n">
        <v>45889</v>
      </c>
      <c r="D661" t="inlineStr">
        <is>
          <t>JÄMTLANDS LÄN</t>
        </is>
      </c>
      <c r="E661" t="inlineStr">
        <is>
          <t>RAGUNDA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48249-2024</t>
        </is>
      </c>
      <c r="B662" s="1" t="n">
        <v>45590.40675925926</v>
      </c>
      <c r="C662" s="1" t="n">
        <v>45889</v>
      </c>
      <c r="D662" t="inlineStr">
        <is>
          <t>JÄMTLANDS LÄN</t>
        </is>
      </c>
      <c r="E662" t="inlineStr">
        <is>
          <t>RAGUNDA</t>
        </is>
      </c>
      <c r="F662" t="inlineStr">
        <is>
          <t>SCA</t>
        </is>
      </c>
      <c r="G662" t="n">
        <v>14.4</v>
      </c>
      <c r="H662" t="n">
        <v>0</v>
      </c>
      <c r="I662" t="n">
        <v>0</v>
      </c>
      <c r="J662" t="n">
        <v>0</v>
      </c>
      <c r="K662" t="n">
        <v>0</v>
      </c>
      <c r="L662" t="n">
        <v>0</v>
      </c>
      <c r="M662" t="n">
        <v>0</v>
      </c>
      <c r="N662" t="n">
        <v>0</v>
      </c>
      <c r="O662" t="n">
        <v>0</v>
      </c>
      <c r="P662" t="n">
        <v>0</v>
      </c>
      <c r="Q662" t="n">
        <v>0</v>
      </c>
      <c r="R662" s="2" t="inlineStr"/>
    </row>
    <row r="663" ht="15" customHeight="1">
      <c r="A663" t="inlineStr">
        <is>
          <t>A 48065-2023</t>
        </is>
      </c>
      <c r="B663" s="1" t="n">
        <v>45204.94399305555</v>
      </c>
      <c r="C663" s="1" t="n">
        <v>45889</v>
      </c>
      <c r="D663" t="inlineStr">
        <is>
          <t>JÄMTLANDS LÄN</t>
        </is>
      </c>
      <c r="E663" t="inlineStr">
        <is>
          <t>RAGUNDA</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44597-2024</t>
        </is>
      </c>
      <c r="B664" s="1" t="n">
        <v>45574.51087962963</v>
      </c>
      <c r="C664" s="1" t="n">
        <v>45889</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44598-2024</t>
        </is>
      </c>
      <c r="B665" s="1" t="n">
        <v>45574.51090277778</v>
      </c>
      <c r="C665" s="1" t="n">
        <v>45889</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49659-2023</t>
        </is>
      </c>
      <c r="B666" s="1" t="n">
        <v>45211.95134259259</v>
      </c>
      <c r="C666" s="1" t="n">
        <v>45889</v>
      </c>
      <c r="D666" t="inlineStr">
        <is>
          <t>JÄMTLANDS LÄN</t>
        </is>
      </c>
      <c r="E666" t="inlineStr">
        <is>
          <t>RAGUNDA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23734-2024</t>
        </is>
      </c>
      <c r="B667" s="1" t="n">
        <v>45454.95960648148</v>
      </c>
      <c r="C667" s="1" t="n">
        <v>45889</v>
      </c>
      <c r="D667" t="inlineStr">
        <is>
          <t>JÄMTLANDS LÄN</t>
        </is>
      </c>
      <c r="E667" t="inlineStr">
        <is>
          <t>RAGUNDA</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12653-2024</t>
        </is>
      </c>
      <c r="B668" s="1" t="n">
        <v>45384</v>
      </c>
      <c r="C668" s="1" t="n">
        <v>45889</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61934-2022</t>
        </is>
      </c>
      <c r="B669" s="1" t="n">
        <v>44917</v>
      </c>
      <c r="C669" s="1" t="n">
        <v>45889</v>
      </c>
      <c r="D669" t="inlineStr">
        <is>
          <t>JÄMTLANDS LÄN</t>
        </is>
      </c>
      <c r="E669" t="inlineStr">
        <is>
          <t>RAGUNDA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44881-2023</t>
        </is>
      </c>
      <c r="B670" s="1" t="n">
        <v>45187</v>
      </c>
      <c r="C670" s="1" t="n">
        <v>45889</v>
      </c>
      <c r="D670" t="inlineStr">
        <is>
          <t>JÄMTLANDS LÄN</t>
        </is>
      </c>
      <c r="E670" t="inlineStr">
        <is>
          <t>RAGUNDA</t>
        </is>
      </c>
      <c r="G670" t="n">
        <v>2.4</v>
      </c>
      <c r="H670" t="n">
        <v>0</v>
      </c>
      <c r="I670" t="n">
        <v>0</v>
      </c>
      <c r="J670" t="n">
        <v>0</v>
      </c>
      <c r="K670" t="n">
        <v>0</v>
      </c>
      <c r="L670" t="n">
        <v>0</v>
      </c>
      <c r="M670" t="n">
        <v>0</v>
      </c>
      <c r="N670" t="n">
        <v>0</v>
      </c>
      <c r="O670" t="n">
        <v>0</v>
      </c>
      <c r="P670" t="n">
        <v>0</v>
      </c>
      <c r="Q670" t="n">
        <v>0</v>
      </c>
      <c r="R670" s="2" t="inlineStr"/>
    </row>
    <row r="671" ht="15" customHeight="1">
      <c r="A671" t="inlineStr">
        <is>
          <t>A 11558-2023</t>
        </is>
      </c>
      <c r="B671" s="1" t="n">
        <v>44993.94958333333</v>
      </c>
      <c r="C671" s="1" t="n">
        <v>45889</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34483-2023</t>
        </is>
      </c>
      <c r="B672" s="1" t="n">
        <v>45139.94681712963</v>
      </c>
      <c r="C672" s="1" t="n">
        <v>45889</v>
      </c>
      <c r="D672" t="inlineStr">
        <is>
          <t>JÄMTLANDS LÄN</t>
        </is>
      </c>
      <c r="E672" t="inlineStr">
        <is>
          <t>RAGUNDA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23567-2024</t>
        </is>
      </c>
      <c r="B673" s="1" t="n">
        <v>45453.95538194444</v>
      </c>
      <c r="C673" s="1" t="n">
        <v>45889</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57116-2024</t>
        </is>
      </c>
      <c r="B674" s="1" t="n">
        <v>45629.36513888889</v>
      </c>
      <c r="C674" s="1" t="n">
        <v>45889</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38312-2024</t>
        </is>
      </c>
      <c r="B675" s="1" t="n">
        <v>45545.64957175926</v>
      </c>
      <c r="C675" s="1" t="n">
        <v>45889</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9262-2025</t>
        </is>
      </c>
      <c r="B676" s="1" t="n">
        <v>45714.60649305556</v>
      </c>
      <c r="C676" s="1" t="n">
        <v>45889</v>
      </c>
      <c r="D676" t="inlineStr">
        <is>
          <t>JÄMTLANDS LÄN</t>
        </is>
      </c>
      <c r="E676" t="inlineStr">
        <is>
          <t>RAGUNDA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16982-2024</t>
        </is>
      </c>
      <c r="B677" s="1" t="n">
        <v>45412.02506944445</v>
      </c>
      <c r="C677" s="1" t="n">
        <v>45889</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58564-2024</t>
        </is>
      </c>
      <c r="B678" s="1" t="n">
        <v>45635.47243055556</v>
      </c>
      <c r="C678" s="1" t="n">
        <v>45889</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53144-2024</t>
        </is>
      </c>
      <c r="B679" s="1" t="n">
        <v>45611</v>
      </c>
      <c r="C679" s="1" t="n">
        <v>45889</v>
      </c>
      <c r="D679" t="inlineStr">
        <is>
          <t>JÄMTLANDS LÄN</t>
        </is>
      </c>
      <c r="E679" t="inlineStr">
        <is>
          <t>RAGUNDA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5806-2025</t>
        </is>
      </c>
      <c r="B680" s="1" t="n">
        <v>45694.69826388889</v>
      </c>
      <c r="C680" s="1" t="n">
        <v>45889</v>
      </c>
      <c r="D680" t="inlineStr">
        <is>
          <t>JÄMTLANDS LÄN</t>
        </is>
      </c>
      <c r="E680" t="inlineStr">
        <is>
          <t>RAGUNDA</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32910-2024</t>
        </is>
      </c>
      <c r="B681" s="1" t="n">
        <v>45516.94934027778</v>
      </c>
      <c r="C681" s="1" t="n">
        <v>45889</v>
      </c>
      <c r="D681" t="inlineStr">
        <is>
          <t>JÄMTLANDS LÄN</t>
        </is>
      </c>
      <c r="E681" t="inlineStr">
        <is>
          <t>RAGUNDA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20773-2024</t>
        </is>
      </c>
      <c r="B682" s="1" t="n">
        <v>45436.94636574074</v>
      </c>
      <c r="C682" s="1" t="n">
        <v>45889</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49648-2023</t>
        </is>
      </c>
      <c r="B683" s="1" t="n">
        <v>45211.95061342593</v>
      </c>
      <c r="C683" s="1" t="n">
        <v>45889</v>
      </c>
      <c r="D683" t="inlineStr">
        <is>
          <t>JÄMTLANDS LÄN</t>
        </is>
      </c>
      <c r="E683" t="inlineStr">
        <is>
          <t>RAGUNDA</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14076-2023</t>
        </is>
      </c>
      <c r="B684" s="1" t="n">
        <v>45009.0897337963</v>
      </c>
      <c r="C684" s="1" t="n">
        <v>45889</v>
      </c>
      <c r="D684" t="inlineStr">
        <is>
          <t>JÄMTLANDS LÄN</t>
        </is>
      </c>
      <c r="E684" t="inlineStr">
        <is>
          <t>RAGUNDA</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45335-2023</t>
        </is>
      </c>
      <c r="B685" s="1" t="n">
        <v>45191</v>
      </c>
      <c r="C685" s="1" t="n">
        <v>45889</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60629-2023</t>
        </is>
      </c>
      <c r="B686" s="1" t="n">
        <v>45259</v>
      </c>
      <c r="C686" s="1" t="n">
        <v>45889</v>
      </c>
      <c r="D686" t="inlineStr">
        <is>
          <t>JÄMTLANDS LÄN</t>
        </is>
      </c>
      <c r="E686" t="inlineStr">
        <is>
          <t>RAGUNDA</t>
        </is>
      </c>
      <c r="G686" t="n">
        <v>3.4</v>
      </c>
      <c r="H686" t="n">
        <v>0</v>
      </c>
      <c r="I686" t="n">
        <v>0</v>
      </c>
      <c r="J686" t="n">
        <v>0</v>
      </c>
      <c r="K686" t="n">
        <v>0</v>
      </c>
      <c r="L686" t="n">
        <v>0</v>
      </c>
      <c r="M686" t="n">
        <v>0</v>
      </c>
      <c r="N686" t="n">
        <v>0</v>
      </c>
      <c r="O686" t="n">
        <v>0</v>
      </c>
      <c r="P686" t="n">
        <v>0</v>
      </c>
      <c r="Q686" t="n">
        <v>0</v>
      </c>
      <c r="R686" s="2" t="inlineStr"/>
    </row>
    <row r="687" ht="15" customHeight="1">
      <c r="A687" t="inlineStr">
        <is>
          <t>A 44066-2024</t>
        </is>
      </c>
      <c r="B687" s="1" t="n">
        <v>45572.60363425926</v>
      </c>
      <c r="C687" s="1" t="n">
        <v>45889</v>
      </c>
      <c r="D687" t="inlineStr">
        <is>
          <t>JÄMTLANDS LÄN</t>
        </is>
      </c>
      <c r="E687" t="inlineStr">
        <is>
          <t>RAGUNDA</t>
        </is>
      </c>
      <c r="G687" t="n">
        <v>6.4</v>
      </c>
      <c r="H687" t="n">
        <v>0</v>
      </c>
      <c r="I687" t="n">
        <v>0</v>
      </c>
      <c r="J687" t="n">
        <v>0</v>
      </c>
      <c r="K687" t="n">
        <v>0</v>
      </c>
      <c r="L687" t="n">
        <v>0</v>
      </c>
      <c r="M687" t="n">
        <v>0</v>
      </c>
      <c r="N687" t="n">
        <v>0</v>
      </c>
      <c r="O687" t="n">
        <v>0</v>
      </c>
      <c r="P687" t="n">
        <v>0</v>
      </c>
      <c r="Q687" t="n">
        <v>0</v>
      </c>
      <c r="R687" s="2" t="inlineStr"/>
    </row>
    <row r="688" ht="15" customHeight="1">
      <c r="A688" t="inlineStr">
        <is>
          <t>A 57889-2024</t>
        </is>
      </c>
      <c r="B688" s="1" t="n">
        <v>45631.46665509259</v>
      </c>
      <c r="C688" s="1" t="n">
        <v>45889</v>
      </c>
      <c r="D688" t="inlineStr">
        <is>
          <t>JÄMTLANDS LÄN</t>
        </is>
      </c>
      <c r="E688" t="inlineStr">
        <is>
          <t>RAGUNDA</t>
        </is>
      </c>
      <c r="G688" t="n">
        <v>11.1</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45889</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22388-2025</t>
        </is>
      </c>
      <c r="B690" s="1" t="n">
        <v>45786.51077546296</v>
      </c>
      <c r="C690" s="1" t="n">
        <v>45889</v>
      </c>
      <c r="D690" t="inlineStr">
        <is>
          <t>JÄMTLANDS LÄN</t>
        </is>
      </c>
      <c r="E690" t="inlineStr">
        <is>
          <t>RAGUNDA</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43102-2023</t>
        </is>
      </c>
      <c r="B691" s="1" t="n">
        <v>45182</v>
      </c>
      <c r="C691" s="1" t="n">
        <v>45889</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58194-2022</t>
        </is>
      </c>
      <c r="B692" s="1" t="n">
        <v>44900</v>
      </c>
      <c r="C692" s="1" t="n">
        <v>45889</v>
      </c>
      <c r="D692" t="inlineStr">
        <is>
          <t>JÄMTLANDS LÄN</t>
        </is>
      </c>
      <c r="E692" t="inlineStr">
        <is>
          <t>RAGUNDA</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42875-2024</t>
        </is>
      </c>
      <c r="B693" s="1" t="n">
        <v>45566.68125</v>
      </c>
      <c r="C693" s="1" t="n">
        <v>45889</v>
      </c>
      <c r="D693" t="inlineStr">
        <is>
          <t>JÄMTLANDS LÄN</t>
        </is>
      </c>
      <c r="E693" t="inlineStr">
        <is>
          <t>RAGUNDA</t>
        </is>
      </c>
      <c r="G693" t="n">
        <v>0.5</v>
      </c>
      <c r="H693" t="n">
        <v>0</v>
      </c>
      <c r="I693" t="n">
        <v>0</v>
      </c>
      <c r="J693" t="n">
        <v>0</v>
      </c>
      <c r="K693" t="n">
        <v>0</v>
      </c>
      <c r="L693" t="n">
        <v>0</v>
      </c>
      <c r="M693" t="n">
        <v>0</v>
      </c>
      <c r="N693" t="n">
        <v>0</v>
      </c>
      <c r="O693" t="n">
        <v>0</v>
      </c>
      <c r="P693" t="n">
        <v>0</v>
      </c>
      <c r="Q693" t="n">
        <v>0</v>
      </c>
      <c r="R693" s="2" t="inlineStr"/>
    </row>
    <row r="694" ht="15" customHeight="1">
      <c r="A694" t="inlineStr">
        <is>
          <t>A 15864-2024</t>
        </is>
      </c>
      <c r="B694" s="1" t="n">
        <v>45404.99792824074</v>
      </c>
      <c r="C694" s="1" t="n">
        <v>45889</v>
      </c>
      <c r="D694" t="inlineStr">
        <is>
          <t>JÄMTLANDS LÄN</t>
        </is>
      </c>
      <c r="E694" t="inlineStr">
        <is>
          <t>RAGUNDA</t>
        </is>
      </c>
      <c r="F694" t="inlineStr">
        <is>
          <t>SCA</t>
        </is>
      </c>
      <c r="G694" t="n">
        <v>1.1</v>
      </c>
      <c r="H694" t="n">
        <v>0</v>
      </c>
      <c r="I694" t="n">
        <v>0</v>
      </c>
      <c r="J694" t="n">
        <v>0</v>
      </c>
      <c r="K694" t="n">
        <v>0</v>
      </c>
      <c r="L694" t="n">
        <v>0</v>
      </c>
      <c r="M694" t="n">
        <v>0</v>
      </c>
      <c r="N694" t="n">
        <v>0</v>
      </c>
      <c r="O694" t="n">
        <v>0</v>
      </c>
      <c r="P694" t="n">
        <v>0</v>
      </c>
      <c r="Q694" t="n">
        <v>0</v>
      </c>
      <c r="R694" s="2" t="inlineStr"/>
      <c r="U694">
        <f>HYPERLINK("https://klasma.github.io/Logging_2303/knärot/A 15864-2024 karta knärot.png", "A 15864-2024")</f>
        <v/>
      </c>
      <c r="V694">
        <f>HYPERLINK("https://klasma.github.io/Logging_2303/klagomål/A 15864-2024 FSC-klagomål.docx", "A 15864-2024")</f>
        <v/>
      </c>
      <c r="W694">
        <f>HYPERLINK("https://klasma.github.io/Logging_2303/klagomålsmail/A 15864-2024 FSC-klagomål mail.docx", "A 15864-2024")</f>
        <v/>
      </c>
      <c r="X694">
        <f>HYPERLINK("https://klasma.github.io/Logging_2303/tillsyn/A 15864-2024 tillsynsbegäran.docx", "A 15864-2024")</f>
        <v/>
      </c>
      <c r="Y694">
        <f>HYPERLINK("https://klasma.github.io/Logging_2303/tillsynsmail/A 15864-2024 tillsynsbegäran mail.docx", "A 15864-2024")</f>
        <v/>
      </c>
    </row>
    <row r="695" ht="15" customHeight="1">
      <c r="A695" t="inlineStr">
        <is>
          <t>A 4015-2022</t>
        </is>
      </c>
      <c r="B695" s="1" t="n">
        <v>44587.92149305555</v>
      </c>
      <c r="C695" s="1" t="n">
        <v>45889</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2599-2023</t>
        </is>
      </c>
      <c r="B696" s="1" t="n">
        <v>44943.94802083333</v>
      </c>
      <c r="C696" s="1" t="n">
        <v>45889</v>
      </c>
      <c r="D696" t="inlineStr">
        <is>
          <t>JÄMTLANDS LÄN</t>
        </is>
      </c>
      <c r="E696" t="inlineStr">
        <is>
          <t>RAGUNDA</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6694-2024</t>
        </is>
      </c>
      <c r="B697" s="1" t="n">
        <v>45341.95381944445</v>
      </c>
      <c r="C697" s="1" t="n">
        <v>45889</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59044-2022</t>
        </is>
      </c>
      <c r="B698" s="1" t="n">
        <v>44903</v>
      </c>
      <c r="C698" s="1" t="n">
        <v>45889</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4014-2022</t>
        </is>
      </c>
      <c r="B699" s="1" t="n">
        <v>44587.92144675926</v>
      </c>
      <c r="C699" s="1" t="n">
        <v>45889</v>
      </c>
      <c r="D699" t="inlineStr">
        <is>
          <t>JÄMTLANDS LÄN</t>
        </is>
      </c>
      <c r="E699" t="inlineStr">
        <is>
          <t>RAGUNDA</t>
        </is>
      </c>
      <c r="G699" t="n">
        <v>3.6</v>
      </c>
      <c r="H699" t="n">
        <v>0</v>
      </c>
      <c r="I699" t="n">
        <v>0</v>
      </c>
      <c r="J699" t="n">
        <v>0</v>
      </c>
      <c r="K699" t="n">
        <v>0</v>
      </c>
      <c r="L699" t="n">
        <v>0</v>
      </c>
      <c r="M699" t="n">
        <v>0</v>
      </c>
      <c r="N699" t="n">
        <v>0</v>
      </c>
      <c r="O699" t="n">
        <v>0</v>
      </c>
      <c r="P699" t="n">
        <v>0</v>
      </c>
      <c r="Q699" t="n">
        <v>0</v>
      </c>
      <c r="R699" s="2" t="inlineStr"/>
    </row>
    <row r="700" ht="15" customHeight="1">
      <c r="A700" t="inlineStr">
        <is>
          <t>A 8243-2024</t>
        </is>
      </c>
      <c r="B700" s="1" t="n">
        <v>45351.98532407408</v>
      </c>
      <c r="C700" s="1" t="n">
        <v>45889</v>
      </c>
      <c r="D700" t="inlineStr">
        <is>
          <t>JÄMTLANDS LÄN</t>
        </is>
      </c>
      <c r="E700" t="inlineStr">
        <is>
          <t>RAGUNDA</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21083-2024</t>
        </is>
      </c>
      <c r="B701" s="1" t="n">
        <v>45439.92752314815</v>
      </c>
      <c r="C701" s="1" t="n">
        <v>45889</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6902-2024</t>
        </is>
      </c>
      <c r="B702" s="1" t="n">
        <v>45342</v>
      </c>
      <c r="C702" s="1" t="n">
        <v>45889</v>
      </c>
      <c r="D702" t="inlineStr">
        <is>
          <t>JÄMTLANDS LÄN</t>
        </is>
      </c>
      <c r="E702" t="inlineStr">
        <is>
          <t>RAGUNDA</t>
        </is>
      </c>
      <c r="F702" t="inlineStr">
        <is>
          <t>SCA</t>
        </is>
      </c>
      <c r="G702" t="n">
        <v>18.7</v>
      </c>
      <c r="H702" t="n">
        <v>0</v>
      </c>
      <c r="I702" t="n">
        <v>0</v>
      </c>
      <c r="J702" t="n">
        <v>0</v>
      </c>
      <c r="K702" t="n">
        <v>0</v>
      </c>
      <c r="L702" t="n">
        <v>0</v>
      </c>
      <c r="M702" t="n">
        <v>0</v>
      </c>
      <c r="N702" t="n">
        <v>0</v>
      </c>
      <c r="O702" t="n">
        <v>0</v>
      </c>
      <c r="P702" t="n">
        <v>0</v>
      </c>
      <c r="Q702" t="n">
        <v>0</v>
      </c>
      <c r="R702" s="2" t="inlineStr"/>
    </row>
    <row r="703" ht="15" customHeight="1">
      <c r="A703" t="inlineStr">
        <is>
          <t>A 6905-2024</t>
        </is>
      </c>
      <c r="B703" s="1" t="n">
        <v>45342.9462037037</v>
      </c>
      <c r="C703" s="1" t="n">
        <v>45889</v>
      </c>
      <c r="D703" t="inlineStr">
        <is>
          <t>JÄMTLANDS LÄN</t>
        </is>
      </c>
      <c r="E703" t="inlineStr">
        <is>
          <t>RAGUNDA</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59759-2024</t>
        </is>
      </c>
      <c r="B704" s="1" t="n">
        <v>45639.55240740741</v>
      </c>
      <c r="C704" s="1" t="n">
        <v>45889</v>
      </c>
      <c r="D704" t="inlineStr">
        <is>
          <t>JÄMTLANDS LÄN</t>
        </is>
      </c>
      <c r="E704" t="inlineStr">
        <is>
          <t>RAGUNDA</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12204-2025</t>
        </is>
      </c>
      <c r="B705" s="1" t="n">
        <v>45729.51074074074</v>
      </c>
      <c r="C705" s="1" t="n">
        <v>45889</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11245-2025</t>
        </is>
      </c>
      <c r="B706" s="1" t="n">
        <v>45726.38575231482</v>
      </c>
      <c r="C706" s="1" t="n">
        <v>45889</v>
      </c>
      <c r="D706" t="inlineStr">
        <is>
          <t>JÄMTLANDS LÄN</t>
        </is>
      </c>
      <c r="E706" t="inlineStr">
        <is>
          <t>RAGUNDA</t>
        </is>
      </c>
      <c r="G706" t="n">
        <v>2.3</v>
      </c>
      <c r="H706" t="n">
        <v>0</v>
      </c>
      <c r="I706" t="n">
        <v>0</v>
      </c>
      <c r="J706" t="n">
        <v>0</v>
      </c>
      <c r="K706" t="n">
        <v>0</v>
      </c>
      <c r="L706" t="n">
        <v>0</v>
      </c>
      <c r="M706" t="n">
        <v>0</v>
      </c>
      <c r="N706" t="n">
        <v>0</v>
      </c>
      <c r="O706" t="n">
        <v>0</v>
      </c>
      <c r="P706" t="n">
        <v>0</v>
      </c>
      <c r="Q706" t="n">
        <v>0</v>
      </c>
      <c r="R706" s="2" t="inlineStr"/>
    </row>
    <row r="707" ht="15" customHeight="1">
      <c r="A707" t="inlineStr">
        <is>
          <t>A 53989-2024</t>
        </is>
      </c>
      <c r="B707" s="1" t="n">
        <v>45616.34479166667</v>
      </c>
      <c r="C707" s="1" t="n">
        <v>45889</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13905-2025</t>
        </is>
      </c>
      <c r="B708" s="1" t="n">
        <v>45737.63574074074</v>
      </c>
      <c r="C708" s="1" t="n">
        <v>45889</v>
      </c>
      <c r="D708" t="inlineStr">
        <is>
          <t>JÄMTLANDS LÄN</t>
        </is>
      </c>
      <c r="E708" t="inlineStr">
        <is>
          <t>RAGUNDA</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42509-2023</t>
        </is>
      </c>
      <c r="B709" s="1" t="n">
        <v>45180</v>
      </c>
      <c r="C709" s="1" t="n">
        <v>45889</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42510-2023</t>
        </is>
      </c>
      <c r="B710" s="1" t="n">
        <v>45180.95927083334</v>
      </c>
      <c r="C710" s="1" t="n">
        <v>45889</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11048-2023</t>
        </is>
      </c>
      <c r="B711" s="1" t="n">
        <v>44991</v>
      </c>
      <c r="C711" s="1" t="n">
        <v>45889</v>
      </c>
      <c r="D711" t="inlineStr">
        <is>
          <t>JÄMTLANDS LÄN</t>
        </is>
      </c>
      <c r="E711" t="inlineStr">
        <is>
          <t>RAGUNDA</t>
        </is>
      </c>
      <c r="F711" t="inlineStr">
        <is>
          <t>SCA</t>
        </is>
      </c>
      <c r="G711" t="n">
        <v>13.5</v>
      </c>
      <c r="H711" t="n">
        <v>0</v>
      </c>
      <c r="I711" t="n">
        <v>0</v>
      </c>
      <c r="J711" t="n">
        <v>0</v>
      </c>
      <c r="K711" t="n">
        <v>0</v>
      </c>
      <c r="L711" t="n">
        <v>0</v>
      </c>
      <c r="M711" t="n">
        <v>0</v>
      </c>
      <c r="N711" t="n">
        <v>0</v>
      </c>
      <c r="O711" t="n">
        <v>0</v>
      </c>
      <c r="P711" t="n">
        <v>0</v>
      </c>
      <c r="Q711" t="n">
        <v>0</v>
      </c>
      <c r="R711" s="2" t="inlineStr"/>
    </row>
    <row r="712" ht="15" customHeight="1">
      <c r="A712" t="inlineStr">
        <is>
          <t>A 61088-2020</t>
        </is>
      </c>
      <c r="B712" s="1" t="n">
        <v>44153</v>
      </c>
      <c r="C712" s="1" t="n">
        <v>45889</v>
      </c>
      <c r="D712" t="inlineStr">
        <is>
          <t>JÄMTLANDS LÄN</t>
        </is>
      </c>
      <c r="E712" t="inlineStr">
        <is>
          <t>RAGUNDA</t>
        </is>
      </c>
      <c r="G712" t="n">
        <v>1.2</v>
      </c>
      <c r="H712" t="n">
        <v>0</v>
      </c>
      <c r="I712" t="n">
        <v>0</v>
      </c>
      <c r="J712" t="n">
        <v>0</v>
      </c>
      <c r="K712" t="n">
        <v>0</v>
      </c>
      <c r="L712" t="n">
        <v>0</v>
      </c>
      <c r="M712" t="n">
        <v>0</v>
      </c>
      <c r="N712" t="n">
        <v>0</v>
      </c>
      <c r="O712" t="n">
        <v>0</v>
      </c>
      <c r="P712" t="n">
        <v>0</v>
      </c>
      <c r="Q712" t="n">
        <v>0</v>
      </c>
      <c r="R712" s="2" t="inlineStr"/>
    </row>
    <row r="713" ht="15" customHeight="1">
      <c r="A713" t="inlineStr">
        <is>
          <t>A 16364-2023</t>
        </is>
      </c>
      <c r="B713" s="1" t="n">
        <v>45028</v>
      </c>
      <c r="C713" s="1" t="n">
        <v>45889</v>
      </c>
      <c r="D713" t="inlineStr">
        <is>
          <t>JÄMTLANDS LÄN</t>
        </is>
      </c>
      <c r="E713" t="inlineStr">
        <is>
          <t>RAGUNDA</t>
        </is>
      </c>
      <c r="G713" t="n">
        <v>0.5</v>
      </c>
      <c r="H713" t="n">
        <v>0</v>
      </c>
      <c r="I713" t="n">
        <v>0</v>
      </c>
      <c r="J713" t="n">
        <v>0</v>
      </c>
      <c r="K713" t="n">
        <v>0</v>
      </c>
      <c r="L713" t="n">
        <v>0</v>
      </c>
      <c r="M713" t="n">
        <v>0</v>
      </c>
      <c r="N713" t="n">
        <v>0</v>
      </c>
      <c r="O713" t="n">
        <v>0</v>
      </c>
      <c r="P713" t="n">
        <v>0</v>
      </c>
      <c r="Q713" t="n">
        <v>0</v>
      </c>
      <c r="R713" s="2" t="inlineStr"/>
    </row>
    <row r="714" ht="15" customHeight="1">
      <c r="A714" t="inlineStr">
        <is>
          <t>A 22898-2025</t>
        </is>
      </c>
      <c r="B714" s="1" t="n">
        <v>45790.40670138889</v>
      </c>
      <c r="C714" s="1" t="n">
        <v>45889</v>
      </c>
      <c r="D714" t="inlineStr">
        <is>
          <t>JÄMTLANDS LÄN</t>
        </is>
      </c>
      <c r="E714" t="inlineStr">
        <is>
          <t>RAGUNDA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4125-2024</t>
        </is>
      </c>
      <c r="B715" s="1" t="n">
        <v>45323</v>
      </c>
      <c r="C715" s="1" t="n">
        <v>45889</v>
      </c>
      <c r="D715" t="inlineStr">
        <is>
          <t>JÄMTLANDS LÄN</t>
        </is>
      </c>
      <c r="E715" t="inlineStr">
        <is>
          <t>RAGUNDA</t>
        </is>
      </c>
      <c r="G715" t="n">
        <v>1</v>
      </c>
      <c r="H715" t="n">
        <v>0</v>
      </c>
      <c r="I715" t="n">
        <v>0</v>
      </c>
      <c r="J715" t="n">
        <v>0</v>
      </c>
      <c r="K715" t="n">
        <v>0</v>
      </c>
      <c r="L715" t="n">
        <v>0</v>
      </c>
      <c r="M715" t="n">
        <v>0</v>
      </c>
      <c r="N715" t="n">
        <v>0</v>
      </c>
      <c r="O715" t="n">
        <v>0</v>
      </c>
      <c r="P715" t="n">
        <v>0</v>
      </c>
      <c r="Q715" t="n">
        <v>0</v>
      </c>
      <c r="R715" s="2" t="inlineStr"/>
    </row>
    <row r="716" ht="15" customHeight="1">
      <c r="A716" t="inlineStr">
        <is>
          <t>A 44980-2023</t>
        </is>
      </c>
      <c r="B716" s="1" t="n">
        <v>45190</v>
      </c>
      <c r="C716" s="1" t="n">
        <v>45889</v>
      </c>
      <c r="D716" t="inlineStr">
        <is>
          <t>JÄMTLANDS LÄN</t>
        </is>
      </c>
      <c r="E716" t="inlineStr">
        <is>
          <t>RAGUNDA</t>
        </is>
      </c>
      <c r="F716" t="inlineStr">
        <is>
          <t>SCA</t>
        </is>
      </c>
      <c r="G716" t="n">
        <v>5.2</v>
      </c>
      <c r="H716" t="n">
        <v>0</v>
      </c>
      <c r="I716" t="n">
        <v>0</v>
      </c>
      <c r="J716" t="n">
        <v>0</v>
      </c>
      <c r="K716" t="n">
        <v>0</v>
      </c>
      <c r="L716" t="n">
        <v>0</v>
      </c>
      <c r="M716" t="n">
        <v>0</v>
      </c>
      <c r="N716" t="n">
        <v>0</v>
      </c>
      <c r="O716" t="n">
        <v>0</v>
      </c>
      <c r="P716" t="n">
        <v>0</v>
      </c>
      <c r="Q716" t="n">
        <v>0</v>
      </c>
      <c r="R716" s="2" t="inlineStr"/>
    </row>
    <row r="717" ht="15" customHeight="1">
      <c r="A717" t="inlineStr">
        <is>
          <t>A 46549-2023</t>
        </is>
      </c>
      <c r="B717" s="1" t="n">
        <v>45197.94171296297</v>
      </c>
      <c r="C717" s="1" t="n">
        <v>45889</v>
      </c>
      <c r="D717" t="inlineStr">
        <is>
          <t>JÄMTLANDS LÄN</t>
        </is>
      </c>
      <c r="E717" t="inlineStr">
        <is>
          <t>RAGUNDA</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27777-2022</t>
        </is>
      </c>
      <c r="B718" s="1" t="n">
        <v>44743</v>
      </c>
      <c r="C718" s="1" t="n">
        <v>45889</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51245-2024</t>
        </is>
      </c>
      <c r="B719" s="1" t="n">
        <v>45603.67850694444</v>
      </c>
      <c r="C719" s="1" t="n">
        <v>45889</v>
      </c>
      <c r="D719" t="inlineStr">
        <is>
          <t>JÄMTLANDS LÄN</t>
        </is>
      </c>
      <c r="E719" t="inlineStr">
        <is>
          <t>RAGUNDA</t>
        </is>
      </c>
      <c r="G719" t="n">
        <v>0.9</v>
      </c>
      <c r="H719" t="n">
        <v>0</v>
      </c>
      <c r="I719" t="n">
        <v>0</v>
      </c>
      <c r="J719" t="n">
        <v>0</v>
      </c>
      <c r="K719" t="n">
        <v>0</v>
      </c>
      <c r="L719" t="n">
        <v>0</v>
      </c>
      <c r="M719" t="n">
        <v>0</v>
      </c>
      <c r="N719" t="n">
        <v>0</v>
      </c>
      <c r="O719" t="n">
        <v>0</v>
      </c>
      <c r="P719" t="n">
        <v>0</v>
      </c>
      <c r="Q719" t="n">
        <v>0</v>
      </c>
      <c r="R719" s="2" t="inlineStr"/>
    </row>
    <row r="720" ht="15" customHeight="1">
      <c r="A720" t="inlineStr">
        <is>
          <t>A 61923-2024</t>
        </is>
      </c>
      <c r="B720" s="1" t="n">
        <v>45653.44836805556</v>
      </c>
      <c r="C720" s="1" t="n">
        <v>45889</v>
      </c>
      <c r="D720" t="inlineStr">
        <is>
          <t>JÄMTLANDS LÄN</t>
        </is>
      </c>
      <c r="E720" t="inlineStr">
        <is>
          <t>RAGUNDA</t>
        </is>
      </c>
      <c r="F720" t="inlineStr">
        <is>
          <t>SCA</t>
        </is>
      </c>
      <c r="G720" t="n">
        <v>11.1</v>
      </c>
      <c r="H720" t="n">
        <v>0</v>
      </c>
      <c r="I720" t="n">
        <v>0</v>
      </c>
      <c r="J720" t="n">
        <v>0</v>
      </c>
      <c r="K720" t="n">
        <v>0</v>
      </c>
      <c r="L720" t="n">
        <v>0</v>
      </c>
      <c r="M720" t="n">
        <v>0</v>
      </c>
      <c r="N720" t="n">
        <v>0</v>
      </c>
      <c r="O720" t="n">
        <v>0</v>
      </c>
      <c r="P720" t="n">
        <v>0</v>
      </c>
      <c r="Q720" t="n">
        <v>0</v>
      </c>
      <c r="R720" s="2" t="inlineStr"/>
    </row>
    <row r="721" ht="15" customHeight="1">
      <c r="A721" t="inlineStr">
        <is>
          <t>A 50503-2024</t>
        </is>
      </c>
      <c r="B721" s="1" t="n">
        <v>45601.5315625</v>
      </c>
      <c r="C721" s="1" t="n">
        <v>45889</v>
      </c>
      <c r="D721" t="inlineStr">
        <is>
          <t>JÄMTLANDS LÄN</t>
        </is>
      </c>
      <c r="E721" t="inlineStr">
        <is>
          <t>RAGUNDA</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59556-2024</t>
        </is>
      </c>
      <c r="B722" s="1" t="n">
        <v>45638.63600694444</v>
      </c>
      <c r="C722" s="1" t="n">
        <v>45889</v>
      </c>
      <c r="D722" t="inlineStr">
        <is>
          <t>JÄMTLANDS LÄN</t>
        </is>
      </c>
      <c r="E722" t="inlineStr">
        <is>
          <t>RAGUNDA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54092-2024</t>
        </is>
      </c>
      <c r="B723" s="1" t="n">
        <v>45616.5108912037</v>
      </c>
      <c r="C723" s="1" t="n">
        <v>45889</v>
      </c>
      <c r="D723" t="inlineStr">
        <is>
          <t>JÄMTLANDS LÄN</t>
        </is>
      </c>
      <c r="E723" t="inlineStr">
        <is>
          <t>RAGUNDA</t>
        </is>
      </c>
      <c r="F723" t="inlineStr">
        <is>
          <t>Naturvårdsverket</t>
        </is>
      </c>
      <c r="G723" t="n">
        <v>1.3</v>
      </c>
      <c r="H723" t="n">
        <v>0</v>
      </c>
      <c r="I723" t="n">
        <v>0</v>
      </c>
      <c r="J723" t="n">
        <v>0</v>
      </c>
      <c r="K723" t="n">
        <v>0</v>
      </c>
      <c r="L723" t="n">
        <v>0</v>
      </c>
      <c r="M723" t="n">
        <v>0</v>
      </c>
      <c r="N723" t="n">
        <v>0</v>
      </c>
      <c r="O723" t="n">
        <v>0</v>
      </c>
      <c r="P723" t="n">
        <v>0</v>
      </c>
      <c r="Q723" t="n">
        <v>0</v>
      </c>
      <c r="R723" s="2" t="inlineStr"/>
    </row>
    <row r="724" ht="15" customHeight="1">
      <c r="A724" t="inlineStr">
        <is>
          <t>A 13302-2022</t>
        </is>
      </c>
      <c r="B724" s="1" t="n">
        <v>44644</v>
      </c>
      <c r="C724" s="1" t="n">
        <v>45889</v>
      </c>
      <c r="D724" t="inlineStr">
        <is>
          <t>JÄMTLANDS LÄN</t>
        </is>
      </c>
      <c r="E724" t="inlineStr">
        <is>
          <t>RAGUNDA</t>
        </is>
      </c>
      <c r="F724" t="inlineStr">
        <is>
          <t>SCA</t>
        </is>
      </c>
      <c r="G724" t="n">
        <v>35.6</v>
      </c>
      <c r="H724" t="n">
        <v>0</v>
      </c>
      <c r="I724" t="n">
        <v>0</v>
      </c>
      <c r="J724" t="n">
        <v>0</v>
      </c>
      <c r="K724" t="n">
        <v>0</v>
      </c>
      <c r="L724" t="n">
        <v>0</v>
      </c>
      <c r="M724" t="n">
        <v>0</v>
      </c>
      <c r="N724" t="n">
        <v>0</v>
      </c>
      <c r="O724" t="n">
        <v>0</v>
      </c>
      <c r="P724" t="n">
        <v>0</v>
      </c>
      <c r="Q724" t="n">
        <v>0</v>
      </c>
      <c r="R724" s="2" t="inlineStr"/>
    </row>
    <row r="725" ht="15" customHeight="1">
      <c r="A725" t="inlineStr">
        <is>
          <t>A 55214-2022</t>
        </is>
      </c>
      <c r="B725" s="1" t="n">
        <v>44886</v>
      </c>
      <c r="C725" s="1" t="n">
        <v>45889</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40246-2024</t>
        </is>
      </c>
      <c r="B726" s="1" t="n">
        <v>45554.61583333334</v>
      </c>
      <c r="C726" s="1" t="n">
        <v>45889</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18225-2024</t>
        </is>
      </c>
      <c r="B727" s="1" t="n">
        <v>45420</v>
      </c>
      <c r="C727" s="1" t="n">
        <v>45889</v>
      </c>
      <c r="D727" t="inlineStr">
        <is>
          <t>JÄMTLANDS LÄN</t>
        </is>
      </c>
      <c r="E727" t="inlineStr">
        <is>
          <t>RAGUNDA</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23405-2025</t>
        </is>
      </c>
      <c r="B728" s="1" t="n">
        <v>45792.34527777778</v>
      </c>
      <c r="C728" s="1" t="n">
        <v>45889</v>
      </c>
      <c r="D728" t="inlineStr">
        <is>
          <t>JÄMTLANDS LÄN</t>
        </is>
      </c>
      <c r="E728" t="inlineStr">
        <is>
          <t>RAGUNDA</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61598-2024</t>
        </is>
      </c>
      <c r="B729" s="1" t="n">
        <v>45646.63605324074</v>
      </c>
      <c r="C729" s="1" t="n">
        <v>45889</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7280-2024</t>
        </is>
      </c>
      <c r="B730" s="1" t="n">
        <v>45344</v>
      </c>
      <c r="C730" s="1" t="n">
        <v>45889</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21662-2023</t>
        </is>
      </c>
      <c r="B731" s="1" t="n">
        <v>45063</v>
      </c>
      <c r="C731" s="1" t="n">
        <v>45889</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61107-2024</t>
        </is>
      </c>
      <c r="B732" s="1" t="n">
        <v>45645.55665509259</v>
      </c>
      <c r="C732" s="1" t="n">
        <v>45889</v>
      </c>
      <c r="D732" t="inlineStr">
        <is>
          <t>JÄMTLANDS LÄN</t>
        </is>
      </c>
      <c r="E732" t="inlineStr">
        <is>
          <t>RAGUNDA</t>
        </is>
      </c>
      <c r="G732" t="n">
        <v>3.2</v>
      </c>
      <c r="H732" t="n">
        <v>0</v>
      </c>
      <c r="I732" t="n">
        <v>0</v>
      </c>
      <c r="J732" t="n">
        <v>0</v>
      </c>
      <c r="K732" t="n">
        <v>0</v>
      </c>
      <c r="L732" t="n">
        <v>0</v>
      </c>
      <c r="M732" t="n">
        <v>0</v>
      </c>
      <c r="N732" t="n">
        <v>0</v>
      </c>
      <c r="O732" t="n">
        <v>0</v>
      </c>
      <c r="P732" t="n">
        <v>0</v>
      </c>
      <c r="Q732" t="n">
        <v>0</v>
      </c>
      <c r="R732" s="2" t="inlineStr"/>
    </row>
    <row r="733" ht="15" customHeight="1">
      <c r="A733" t="inlineStr">
        <is>
          <t>A 23654-2025</t>
        </is>
      </c>
      <c r="B733" s="1" t="n">
        <v>45792.71905092592</v>
      </c>
      <c r="C733" s="1" t="n">
        <v>45889</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23507-2025</t>
        </is>
      </c>
      <c r="B734" s="1" t="n">
        <v>45792.49023148148</v>
      </c>
      <c r="C734" s="1" t="n">
        <v>45889</v>
      </c>
      <c r="D734" t="inlineStr">
        <is>
          <t>JÄMTLANDS LÄN</t>
        </is>
      </c>
      <c r="E734" t="inlineStr">
        <is>
          <t>RAGUNDA</t>
        </is>
      </c>
      <c r="F734" t="inlineStr">
        <is>
          <t>SCA</t>
        </is>
      </c>
      <c r="G734" t="n">
        <v>16.4</v>
      </c>
      <c r="H734" t="n">
        <v>0</v>
      </c>
      <c r="I734" t="n">
        <v>0</v>
      </c>
      <c r="J734" t="n">
        <v>0</v>
      </c>
      <c r="K734" t="n">
        <v>0</v>
      </c>
      <c r="L734" t="n">
        <v>0</v>
      </c>
      <c r="M734" t="n">
        <v>0</v>
      </c>
      <c r="N734" t="n">
        <v>0</v>
      </c>
      <c r="O734" t="n">
        <v>0</v>
      </c>
      <c r="P734" t="n">
        <v>0</v>
      </c>
      <c r="Q734" t="n">
        <v>0</v>
      </c>
      <c r="R734" s="2" t="inlineStr"/>
    </row>
    <row r="735" ht="15" customHeight="1">
      <c r="A735" t="inlineStr">
        <is>
          <t>A 23586-2025</t>
        </is>
      </c>
      <c r="B735" s="1" t="n">
        <v>45792.63584490741</v>
      </c>
      <c r="C735" s="1" t="n">
        <v>45889</v>
      </c>
      <c r="D735" t="inlineStr">
        <is>
          <t>JÄMTLANDS LÄN</t>
        </is>
      </c>
      <c r="E735" t="inlineStr">
        <is>
          <t>RAGUNDA</t>
        </is>
      </c>
      <c r="F735" t="inlineStr">
        <is>
          <t>SCA</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23413-2025</t>
        </is>
      </c>
      <c r="B736" s="1" t="n">
        <v>45792.34606481482</v>
      </c>
      <c r="C736" s="1" t="n">
        <v>45889</v>
      </c>
      <c r="D736" t="inlineStr">
        <is>
          <t>JÄMTLANDS LÄN</t>
        </is>
      </c>
      <c r="E736" t="inlineStr">
        <is>
          <t>RAGUNDA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5313-2025</t>
        </is>
      </c>
      <c r="B737" s="1" t="n">
        <v>45692.51069444444</v>
      </c>
      <c r="C737" s="1" t="n">
        <v>45889</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5357-2025</t>
        </is>
      </c>
      <c r="B738" s="1" t="n">
        <v>45692.57326388889</v>
      </c>
      <c r="C738" s="1" t="n">
        <v>45889</v>
      </c>
      <c r="D738" t="inlineStr">
        <is>
          <t>JÄMTLANDS LÄN</t>
        </is>
      </c>
      <c r="E738" t="inlineStr">
        <is>
          <t>RAGUNDA</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44494-2024</t>
        </is>
      </c>
      <c r="B739" s="1" t="n">
        <v>45574.39081018518</v>
      </c>
      <c r="C739" s="1" t="n">
        <v>45889</v>
      </c>
      <c r="D739" t="inlineStr">
        <is>
          <t>JÄMTLANDS LÄN</t>
        </is>
      </c>
      <c r="E739" t="inlineStr">
        <is>
          <t>RAGUNDA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23253-2025</t>
        </is>
      </c>
      <c r="B740" s="1" t="n">
        <v>45791.53238425926</v>
      </c>
      <c r="C740" s="1" t="n">
        <v>45889</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12983-2025</t>
        </is>
      </c>
      <c r="B741" s="1" t="n">
        <v>45734.4633912037</v>
      </c>
      <c r="C741" s="1" t="n">
        <v>45889</v>
      </c>
      <c r="D741" t="inlineStr">
        <is>
          <t>JÄMTLANDS LÄN</t>
        </is>
      </c>
      <c r="E741" t="inlineStr">
        <is>
          <t>RAGUNDA</t>
        </is>
      </c>
      <c r="G741" t="n">
        <v>5.2</v>
      </c>
      <c r="H741" t="n">
        <v>0</v>
      </c>
      <c r="I741" t="n">
        <v>0</v>
      </c>
      <c r="J741" t="n">
        <v>0</v>
      </c>
      <c r="K741" t="n">
        <v>0</v>
      </c>
      <c r="L741" t="n">
        <v>0</v>
      </c>
      <c r="M741" t="n">
        <v>0</v>
      </c>
      <c r="N741" t="n">
        <v>0</v>
      </c>
      <c r="O741" t="n">
        <v>0</v>
      </c>
      <c r="P741" t="n">
        <v>0</v>
      </c>
      <c r="Q741" t="n">
        <v>0</v>
      </c>
      <c r="R741" s="2" t="inlineStr"/>
    </row>
    <row r="742" ht="15" customHeight="1">
      <c r="A742" t="inlineStr">
        <is>
          <t>A 18284-2025</t>
        </is>
      </c>
      <c r="B742" s="1" t="n">
        <v>45762.39876157408</v>
      </c>
      <c r="C742" s="1" t="n">
        <v>45889</v>
      </c>
      <c r="D742" t="inlineStr">
        <is>
          <t>JÄMTLANDS LÄN</t>
        </is>
      </c>
      <c r="E742" t="inlineStr">
        <is>
          <t>RAGUNDA</t>
        </is>
      </c>
      <c r="G742" t="n">
        <v>0.2</v>
      </c>
      <c r="H742" t="n">
        <v>0</v>
      </c>
      <c r="I742" t="n">
        <v>0</v>
      </c>
      <c r="J742" t="n">
        <v>0</v>
      </c>
      <c r="K742" t="n">
        <v>0</v>
      </c>
      <c r="L742" t="n">
        <v>0</v>
      </c>
      <c r="M742" t="n">
        <v>0</v>
      </c>
      <c r="N742" t="n">
        <v>0</v>
      </c>
      <c r="O742" t="n">
        <v>0</v>
      </c>
      <c r="P742" t="n">
        <v>0</v>
      </c>
      <c r="Q742" t="n">
        <v>0</v>
      </c>
      <c r="R742" s="2" t="inlineStr"/>
      <c r="U742">
        <f>HYPERLINK("https://klasma.github.io/Logging_2303/knärot/A 18284-2025 karta knärot.png", "A 18284-2025")</f>
        <v/>
      </c>
      <c r="V742">
        <f>HYPERLINK("https://klasma.github.io/Logging_2303/klagomål/A 18284-2025 FSC-klagomål.docx", "A 18284-2025")</f>
        <v/>
      </c>
      <c r="W742">
        <f>HYPERLINK("https://klasma.github.io/Logging_2303/klagomålsmail/A 18284-2025 FSC-klagomål mail.docx", "A 18284-2025")</f>
        <v/>
      </c>
      <c r="X742">
        <f>HYPERLINK("https://klasma.github.io/Logging_2303/tillsyn/A 18284-2025 tillsynsbegäran.docx", "A 18284-2025")</f>
        <v/>
      </c>
      <c r="Y742">
        <f>HYPERLINK("https://klasma.github.io/Logging_2303/tillsynsmail/A 18284-2025 tillsynsbegäran mail.docx", "A 18284-2025")</f>
        <v/>
      </c>
    </row>
    <row r="743" ht="15" customHeight="1">
      <c r="A743" t="inlineStr">
        <is>
          <t>A 21853-2024</t>
        </is>
      </c>
      <c r="B743" s="1" t="n">
        <v>45442.96296296296</v>
      </c>
      <c r="C743" s="1" t="n">
        <v>45889</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50160-2023</t>
        </is>
      </c>
      <c r="B744" s="1" t="n">
        <v>45208</v>
      </c>
      <c r="C744" s="1" t="n">
        <v>45889</v>
      </c>
      <c r="D744" t="inlineStr">
        <is>
          <t>JÄMTLANDS LÄN</t>
        </is>
      </c>
      <c r="E744" t="inlineStr">
        <is>
          <t>RAGUNDA</t>
        </is>
      </c>
      <c r="G744" t="n">
        <v>4.6</v>
      </c>
      <c r="H744" t="n">
        <v>0</v>
      </c>
      <c r="I744" t="n">
        <v>0</v>
      </c>
      <c r="J744" t="n">
        <v>0</v>
      </c>
      <c r="K744" t="n">
        <v>0</v>
      </c>
      <c r="L744" t="n">
        <v>0</v>
      </c>
      <c r="M744" t="n">
        <v>0</v>
      </c>
      <c r="N744" t="n">
        <v>0</v>
      </c>
      <c r="O744" t="n">
        <v>0</v>
      </c>
      <c r="P744" t="n">
        <v>0</v>
      </c>
      <c r="Q744" t="n">
        <v>0</v>
      </c>
      <c r="R744" s="2" t="inlineStr"/>
    </row>
    <row r="745" ht="15" customHeight="1">
      <c r="A745" t="inlineStr">
        <is>
          <t>A 29775-2023</t>
        </is>
      </c>
      <c r="B745" s="1" t="n">
        <v>45098</v>
      </c>
      <c r="C745" s="1" t="n">
        <v>45889</v>
      </c>
      <c r="D745" t="inlineStr">
        <is>
          <t>JÄMTLANDS LÄN</t>
        </is>
      </c>
      <c r="E745" t="inlineStr">
        <is>
          <t>RAGUNDA</t>
        </is>
      </c>
      <c r="G745" t="n">
        <v>3.6</v>
      </c>
      <c r="H745" t="n">
        <v>0</v>
      </c>
      <c r="I745" t="n">
        <v>0</v>
      </c>
      <c r="J745" t="n">
        <v>0</v>
      </c>
      <c r="K745" t="n">
        <v>0</v>
      </c>
      <c r="L745" t="n">
        <v>0</v>
      </c>
      <c r="M745" t="n">
        <v>0</v>
      </c>
      <c r="N745" t="n">
        <v>0</v>
      </c>
      <c r="O745" t="n">
        <v>0</v>
      </c>
      <c r="P745" t="n">
        <v>0</v>
      </c>
      <c r="Q745" t="n">
        <v>0</v>
      </c>
      <c r="R745" s="2" t="inlineStr"/>
    </row>
    <row r="746" ht="15" customHeight="1">
      <c r="A746" t="inlineStr">
        <is>
          <t>A 39626-2024</t>
        </is>
      </c>
      <c r="B746" s="1" t="n">
        <v>45552.44096064815</v>
      </c>
      <c r="C746" s="1" t="n">
        <v>45889</v>
      </c>
      <c r="D746" t="inlineStr">
        <is>
          <t>JÄMTLANDS LÄN</t>
        </is>
      </c>
      <c r="E746" t="inlineStr">
        <is>
          <t>RAGUNDA</t>
        </is>
      </c>
      <c r="G746" t="n">
        <v>23.5</v>
      </c>
      <c r="H746" t="n">
        <v>0</v>
      </c>
      <c r="I746" t="n">
        <v>0</v>
      </c>
      <c r="J746" t="n">
        <v>0</v>
      </c>
      <c r="K746" t="n">
        <v>0</v>
      </c>
      <c r="L746" t="n">
        <v>0</v>
      </c>
      <c r="M746" t="n">
        <v>0</v>
      </c>
      <c r="N746" t="n">
        <v>0</v>
      </c>
      <c r="O746" t="n">
        <v>0</v>
      </c>
      <c r="P746" t="n">
        <v>0</v>
      </c>
      <c r="Q746" t="n">
        <v>0</v>
      </c>
      <c r="R746" s="2" t="inlineStr"/>
    </row>
    <row r="747" ht="15" customHeight="1">
      <c r="A747" t="inlineStr">
        <is>
          <t>A 40365-2024</t>
        </is>
      </c>
      <c r="B747" s="1" t="n">
        <v>45555.38509259259</v>
      </c>
      <c r="C747" s="1" t="n">
        <v>45889</v>
      </c>
      <c r="D747" t="inlineStr">
        <is>
          <t>JÄMTLANDS LÄN</t>
        </is>
      </c>
      <c r="E747" t="inlineStr">
        <is>
          <t>RAGUNDA</t>
        </is>
      </c>
      <c r="G747" t="n">
        <v>7.8</v>
      </c>
      <c r="H747" t="n">
        <v>0</v>
      </c>
      <c r="I747" t="n">
        <v>0</v>
      </c>
      <c r="J747" t="n">
        <v>0</v>
      </c>
      <c r="K747" t="n">
        <v>0</v>
      </c>
      <c r="L747" t="n">
        <v>0</v>
      </c>
      <c r="M747" t="n">
        <v>0</v>
      </c>
      <c r="N747" t="n">
        <v>0</v>
      </c>
      <c r="O747" t="n">
        <v>0</v>
      </c>
      <c r="P747" t="n">
        <v>0</v>
      </c>
      <c r="Q747" t="n">
        <v>0</v>
      </c>
      <c r="R747" s="2" t="inlineStr"/>
    </row>
    <row r="748" ht="15" customHeight="1">
      <c r="A748" t="inlineStr">
        <is>
          <t>A 45631-2024</t>
        </is>
      </c>
      <c r="B748" s="1" t="n">
        <v>45579.47052083333</v>
      </c>
      <c r="C748" s="1" t="n">
        <v>45889</v>
      </c>
      <c r="D748" t="inlineStr">
        <is>
          <t>JÄMTLANDS LÄN</t>
        </is>
      </c>
      <c r="E748" t="inlineStr">
        <is>
          <t>RAGUNDA</t>
        </is>
      </c>
      <c r="G748" t="n">
        <v>15.1</v>
      </c>
      <c r="H748" t="n">
        <v>0</v>
      </c>
      <c r="I748" t="n">
        <v>0</v>
      </c>
      <c r="J748" t="n">
        <v>0</v>
      </c>
      <c r="K748" t="n">
        <v>0</v>
      </c>
      <c r="L748" t="n">
        <v>0</v>
      </c>
      <c r="M748" t="n">
        <v>0</v>
      </c>
      <c r="N748" t="n">
        <v>0</v>
      </c>
      <c r="O748" t="n">
        <v>0</v>
      </c>
      <c r="P748" t="n">
        <v>0</v>
      </c>
      <c r="Q748" t="n">
        <v>0</v>
      </c>
      <c r="R748" s="2" t="inlineStr"/>
    </row>
    <row r="749" ht="15" customHeight="1">
      <c r="A749" t="inlineStr">
        <is>
          <t>A 62135-2024</t>
        </is>
      </c>
      <c r="B749" s="1" t="n">
        <v>45656.64223379629</v>
      </c>
      <c r="C749" s="1" t="n">
        <v>45889</v>
      </c>
      <c r="D749" t="inlineStr">
        <is>
          <t>JÄMTLANDS LÄN</t>
        </is>
      </c>
      <c r="E749" t="inlineStr">
        <is>
          <t>RAGUNDA</t>
        </is>
      </c>
      <c r="G749" t="n">
        <v>1.5</v>
      </c>
      <c r="H749" t="n">
        <v>0</v>
      </c>
      <c r="I749" t="n">
        <v>0</v>
      </c>
      <c r="J749" t="n">
        <v>0</v>
      </c>
      <c r="K749" t="n">
        <v>0</v>
      </c>
      <c r="L749" t="n">
        <v>0</v>
      </c>
      <c r="M749" t="n">
        <v>0</v>
      </c>
      <c r="N749" t="n">
        <v>0</v>
      </c>
      <c r="O749" t="n">
        <v>0</v>
      </c>
      <c r="P749" t="n">
        <v>0</v>
      </c>
      <c r="Q749" t="n">
        <v>0</v>
      </c>
      <c r="R749" s="2" t="inlineStr"/>
    </row>
    <row r="750" ht="15" customHeight="1">
      <c r="A750" t="inlineStr">
        <is>
          <t>A 8802-2022</t>
        </is>
      </c>
      <c r="B750" s="1" t="n">
        <v>44614</v>
      </c>
      <c r="C750" s="1" t="n">
        <v>45889</v>
      </c>
      <c r="D750" t="inlineStr">
        <is>
          <t>JÄMTLANDS LÄN</t>
        </is>
      </c>
      <c r="E750" t="inlineStr">
        <is>
          <t>RAGUNDA</t>
        </is>
      </c>
      <c r="G750" t="n">
        <v>2.8</v>
      </c>
      <c r="H750" t="n">
        <v>0</v>
      </c>
      <c r="I750" t="n">
        <v>0</v>
      </c>
      <c r="J750" t="n">
        <v>0</v>
      </c>
      <c r="K750" t="n">
        <v>0</v>
      </c>
      <c r="L750" t="n">
        <v>0</v>
      </c>
      <c r="M750" t="n">
        <v>0</v>
      </c>
      <c r="N750" t="n">
        <v>0</v>
      </c>
      <c r="O750" t="n">
        <v>0</v>
      </c>
      <c r="P750" t="n">
        <v>0</v>
      </c>
      <c r="Q750" t="n">
        <v>0</v>
      </c>
      <c r="R750" s="2" t="inlineStr"/>
    </row>
    <row r="751" ht="15" customHeight="1">
      <c r="A751" t="inlineStr">
        <is>
          <t>A 19263-2025</t>
        </is>
      </c>
      <c r="B751" s="1" t="n">
        <v>45769.51075231482</v>
      </c>
      <c r="C751" s="1" t="n">
        <v>45889</v>
      </c>
      <c r="D751" t="inlineStr">
        <is>
          <t>JÄMTLANDS LÄN</t>
        </is>
      </c>
      <c r="E751" t="inlineStr">
        <is>
          <t>RAGUNDA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23840-2025</t>
        </is>
      </c>
      <c r="B752" s="1" t="n">
        <v>45793</v>
      </c>
      <c r="C752" s="1" t="n">
        <v>45889</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9823-2025</t>
        </is>
      </c>
      <c r="B753" s="1" t="n">
        <v>45716</v>
      </c>
      <c r="C753" s="1" t="n">
        <v>45889</v>
      </c>
      <c r="D753" t="inlineStr">
        <is>
          <t>JÄMTLANDS LÄN</t>
        </is>
      </c>
      <c r="E753" t="inlineStr">
        <is>
          <t>RAGUNDA</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9847-2025</t>
        </is>
      </c>
      <c r="B754" s="1" t="n">
        <v>45716.61487268518</v>
      </c>
      <c r="C754" s="1" t="n">
        <v>45889</v>
      </c>
      <c r="D754" t="inlineStr">
        <is>
          <t>JÄMTLANDS LÄN</t>
        </is>
      </c>
      <c r="E754" t="inlineStr">
        <is>
          <t>RAGUNDA</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20987-2023</t>
        </is>
      </c>
      <c r="B755" s="1" t="n">
        <v>45056</v>
      </c>
      <c r="C755" s="1" t="n">
        <v>45889</v>
      </c>
      <c r="D755" t="inlineStr">
        <is>
          <t>JÄMTLANDS LÄN</t>
        </is>
      </c>
      <c r="E755" t="inlineStr">
        <is>
          <t>RAGUNDA</t>
        </is>
      </c>
      <c r="G755" t="n">
        <v>1.1</v>
      </c>
      <c r="H755" t="n">
        <v>0</v>
      </c>
      <c r="I755" t="n">
        <v>0</v>
      </c>
      <c r="J755" t="n">
        <v>0</v>
      </c>
      <c r="K755" t="n">
        <v>0</v>
      </c>
      <c r="L755" t="n">
        <v>0</v>
      </c>
      <c r="M755" t="n">
        <v>0</v>
      </c>
      <c r="N755" t="n">
        <v>0</v>
      </c>
      <c r="O755" t="n">
        <v>0</v>
      </c>
      <c r="P755" t="n">
        <v>0</v>
      </c>
      <c r="Q755" t="n">
        <v>0</v>
      </c>
      <c r="R755" s="2" t="inlineStr"/>
    </row>
    <row r="756" ht="15" customHeight="1">
      <c r="A756" t="inlineStr">
        <is>
          <t>A 20994-2023</t>
        </is>
      </c>
      <c r="B756" s="1" t="n">
        <v>45056</v>
      </c>
      <c r="C756" s="1" t="n">
        <v>45889</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24158-2025</t>
        </is>
      </c>
      <c r="B757" s="1" t="n">
        <v>45796</v>
      </c>
      <c r="C757" s="1" t="n">
        <v>45889</v>
      </c>
      <c r="D757" t="inlineStr">
        <is>
          <t>JÄMTLANDS LÄN</t>
        </is>
      </c>
      <c r="E757" t="inlineStr">
        <is>
          <t>RAGUNDA</t>
        </is>
      </c>
      <c r="G757" t="n">
        <v>2.9</v>
      </c>
      <c r="H757" t="n">
        <v>0</v>
      </c>
      <c r="I757" t="n">
        <v>0</v>
      </c>
      <c r="J757" t="n">
        <v>0</v>
      </c>
      <c r="K757" t="n">
        <v>0</v>
      </c>
      <c r="L757" t="n">
        <v>0</v>
      </c>
      <c r="M757" t="n">
        <v>0</v>
      </c>
      <c r="N757" t="n">
        <v>0</v>
      </c>
      <c r="O757" t="n">
        <v>0</v>
      </c>
      <c r="P757" t="n">
        <v>0</v>
      </c>
      <c r="Q757" t="n">
        <v>0</v>
      </c>
      <c r="R757" s="2" t="inlineStr"/>
    </row>
    <row r="758" ht="15" customHeight="1">
      <c r="A758" t="inlineStr">
        <is>
          <t>A 24161-2025</t>
        </is>
      </c>
      <c r="B758" s="1" t="n">
        <v>45796</v>
      </c>
      <c r="C758" s="1" t="n">
        <v>45889</v>
      </c>
      <c r="D758" t="inlineStr">
        <is>
          <t>JÄMTLANDS LÄN</t>
        </is>
      </c>
      <c r="E758" t="inlineStr">
        <is>
          <t>RAGUNDA</t>
        </is>
      </c>
      <c r="G758" t="n">
        <v>2.4</v>
      </c>
      <c r="H758" t="n">
        <v>0</v>
      </c>
      <c r="I758" t="n">
        <v>0</v>
      </c>
      <c r="J758" t="n">
        <v>0</v>
      </c>
      <c r="K758" t="n">
        <v>0</v>
      </c>
      <c r="L758" t="n">
        <v>0</v>
      </c>
      <c r="M758" t="n">
        <v>0</v>
      </c>
      <c r="N758" t="n">
        <v>0</v>
      </c>
      <c r="O758" t="n">
        <v>0</v>
      </c>
      <c r="P758" t="n">
        <v>0</v>
      </c>
      <c r="Q758" t="n">
        <v>0</v>
      </c>
      <c r="R758" s="2" t="inlineStr"/>
    </row>
    <row r="759" ht="15" customHeight="1">
      <c r="A759" t="inlineStr">
        <is>
          <t>A 6490-2022</t>
        </is>
      </c>
      <c r="B759" s="1" t="n">
        <v>44601</v>
      </c>
      <c r="C759" s="1" t="n">
        <v>45889</v>
      </c>
      <c r="D759" t="inlineStr">
        <is>
          <t>JÄMTLANDS LÄN</t>
        </is>
      </c>
      <c r="E759" t="inlineStr">
        <is>
          <t>RAGUNDA</t>
        </is>
      </c>
      <c r="G759" t="n">
        <v>3.8</v>
      </c>
      <c r="H759" t="n">
        <v>0</v>
      </c>
      <c r="I759" t="n">
        <v>0</v>
      </c>
      <c r="J759" t="n">
        <v>0</v>
      </c>
      <c r="K759" t="n">
        <v>0</v>
      </c>
      <c r="L759" t="n">
        <v>0</v>
      </c>
      <c r="M759" t="n">
        <v>0</v>
      </c>
      <c r="N759" t="n">
        <v>0</v>
      </c>
      <c r="O759" t="n">
        <v>0</v>
      </c>
      <c r="P759" t="n">
        <v>0</v>
      </c>
      <c r="Q759" t="n">
        <v>0</v>
      </c>
      <c r="R759" s="2" t="inlineStr"/>
    </row>
    <row r="760" ht="15" customHeight="1">
      <c r="A760" t="inlineStr">
        <is>
          <t>A 23287-2024</t>
        </is>
      </c>
      <c r="B760" s="1" t="n">
        <v>45453.42041666667</v>
      </c>
      <c r="C760" s="1" t="n">
        <v>45889</v>
      </c>
      <c r="D760" t="inlineStr">
        <is>
          <t>JÄMTLANDS LÄN</t>
        </is>
      </c>
      <c r="E760" t="inlineStr">
        <is>
          <t>RAGUNDA</t>
        </is>
      </c>
      <c r="G760" t="n">
        <v>3.1</v>
      </c>
      <c r="H760" t="n">
        <v>0</v>
      </c>
      <c r="I760" t="n">
        <v>0</v>
      </c>
      <c r="J760" t="n">
        <v>0</v>
      </c>
      <c r="K760" t="n">
        <v>0</v>
      </c>
      <c r="L760" t="n">
        <v>0</v>
      </c>
      <c r="M760" t="n">
        <v>0</v>
      </c>
      <c r="N760" t="n">
        <v>0</v>
      </c>
      <c r="O760" t="n">
        <v>0</v>
      </c>
      <c r="P760" t="n">
        <v>0</v>
      </c>
      <c r="Q760" t="n">
        <v>0</v>
      </c>
      <c r="R760" s="2" t="inlineStr"/>
    </row>
    <row r="761" ht="15" customHeight="1">
      <c r="A761" t="inlineStr">
        <is>
          <t>A 53740-2024</t>
        </is>
      </c>
      <c r="B761" s="1" t="n">
        <v>45615.47091435185</v>
      </c>
      <c r="C761" s="1" t="n">
        <v>45889</v>
      </c>
      <c r="D761" t="inlineStr">
        <is>
          <t>JÄMTLANDS LÄN</t>
        </is>
      </c>
      <c r="E761" t="inlineStr">
        <is>
          <t>RAGUNDA</t>
        </is>
      </c>
      <c r="G761" t="n">
        <v>2.7</v>
      </c>
      <c r="H761" t="n">
        <v>0</v>
      </c>
      <c r="I761" t="n">
        <v>0</v>
      </c>
      <c r="J761" t="n">
        <v>0</v>
      </c>
      <c r="K761" t="n">
        <v>0</v>
      </c>
      <c r="L761" t="n">
        <v>0</v>
      </c>
      <c r="M761" t="n">
        <v>0</v>
      </c>
      <c r="N761" t="n">
        <v>0</v>
      </c>
      <c r="O761" t="n">
        <v>0</v>
      </c>
      <c r="P761" t="n">
        <v>0</v>
      </c>
      <c r="Q761" t="n">
        <v>0</v>
      </c>
      <c r="R761" s="2" t="inlineStr"/>
    </row>
    <row r="762" ht="15" customHeight="1">
      <c r="A762" t="inlineStr">
        <is>
          <t>A 1325-2025</t>
        </is>
      </c>
      <c r="B762" s="1" t="n">
        <v>45667.57342592593</v>
      </c>
      <c r="C762" s="1" t="n">
        <v>45889</v>
      </c>
      <c r="D762" t="inlineStr">
        <is>
          <t>JÄMTLANDS LÄN</t>
        </is>
      </c>
      <c r="E762" t="inlineStr">
        <is>
          <t>RAGUNDA</t>
        </is>
      </c>
      <c r="F762" t="inlineStr">
        <is>
          <t>SCA</t>
        </is>
      </c>
      <c r="G762" t="n">
        <v>20.2</v>
      </c>
      <c r="H762" t="n">
        <v>0</v>
      </c>
      <c r="I762" t="n">
        <v>0</v>
      </c>
      <c r="J762" t="n">
        <v>0</v>
      </c>
      <c r="K762" t="n">
        <v>0</v>
      </c>
      <c r="L762" t="n">
        <v>0</v>
      </c>
      <c r="M762" t="n">
        <v>0</v>
      </c>
      <c r="N762" t="n">
        <v>0</v>
      </c>
      <c r="O762" t="n">
        <v>0</v>
      </c>
      <c r="P762" t="n">
        <v>0</v>
      </c>
      <c r="Q762" t="n">
        <v>0</v>
      </c>
      <c r="R762" s="2" t="inlineStr"/>
    </row>
    <row r="763" ht="15" customHeight="1">
      <c r="A763" t="inlineStr">
        <is>
          <t>A 1326-2025</t>
        </is>
      </c>
      <c r="B763" s="1" t="n">
        <v>45667.57347222222</v>
      </c>
      <c r="C763" s="1" t="n">
        <v>45889</v>
      </c>
      <c r="D763" t="inlineStr">
        <is>
          <t>JÄMTLANDS LÄN</t>
        </is>
      </c>
      <c r="E763" t="inlineStr">
        <is>
          <t>RAGUNDA</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14696-2022</t>
        </is>
      </c>
      <c r="B764" s="1" t="n">
        <v>44655</v>
      </c>
      <c r="C764" s="1" t="n">
        <v>45889</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60456-2023</t>
        </is>
      </c>
      <c r="B765" s="1" t="n">
        <v>45258</v>
      </c>
      <c r="C765" s="1" t="n">
        <v>45889</v>
      </c>
      <c r="D765" t="inlineStr">
        <is>
          <t>JÄMTLANDS LÄN</t>
        </is>
      </c>
      <c r="E765" t="inlineStr">
        <is>
          <t>RAGUNDA</t>
        </is>
      </c>
      <c r="G765" t="n">
        <v>1.8</v>
      </c>
      <c r="H765" t="n">
        <v>0</v>
      </c>
      <c r="I765" t="n">
        <v>0</v>
      </c>
      <c r="J765" t="n">
        <v>0</v>
      </c>
      <c r="K765" t="n">
        <v>0</v>
      </c>
      <c r="L765" t="n">
        <v>0</v>
      </c>
      <c r="M765" t="n">
        <v>0</v>
      </c>
      <c r="N765" t="n">
        <v>0</v>
      </c>
      <c r="O765" t="n">
        <v>0</v>
      </c>
      <c r="P765" t="n">
        <v>0</v>
      </c>
      <c r="Q765" t="n">
        <v>0</v>
      </c>
      <c r="R765" s="2" t="inlineStr"/>
    </row>
    <row r="766" ht="15" customHeight="1">
      <c r="A766" t="inlineStr">
        <is>
          <t>A 24157-2025</t>
        </is>
      </c>
      <c r="B766" s="1" t="n">
        <v>45796</v>
      </c>
      <c r="C766" s="1" t="n">
        <v>45889</v>
      </c>
      <c r="D766" t="inlineStr">
        <is>
          <t>JÄMTLANDS LÄN</t>
        </is>
      </c>
      <c r="E766" t="inlineStr">
        <is>
          <t>RAGUNDA</t>
        </is>
      </c>
      <c r="G766" t="n">
        <v>1.1</v>
      </c>
      <c r="H766" t="n">
        <v>0</v>
      </c>
      <c r="I766" t="n">
        <v>0</v>
      </c>
      <c r="J766" t="n">
        <v>0</v>
      </c>
      <c r="K766" t="n">
        <v>0</v>
      </c>
      <c r="L766" t="n">
        <v>0</v>
      </c>
      <c r="M766" t="n">
        <v>0</v>
      </c>
      <c r="N766" t="n">
        <v>0</v>
      </c>
      <c r="O766" t="n">
        <v>0</v>
      </c>
      <c r="P766" t="n">
        <v>0</v>
      </c>
      <c r="Q766" t="n">
        <v>0</v>
      </c>
      <c r="R766" s="2" t="inlineStr"/>
    </row>
    <row r="767" ht="15" customHeight="1">
      <c r="A767" t="inlineStr">
        <is>
          <t>A 23841-2025</t>
        </is>
      </c>
      <c r="B767" s="1" t="n">
        <v>45793.61523148148</v>
      </c>
      <c r="C767" s="1" t="n">
        <v>45889</v>
      </c>
      <c r="D767" t="inlineStr">
        <is>
          <t>JÄMTLANDS LÄN</t>
        </is>
      </c>
      <c r="E767" t="inlineStr">
        <is>
          <t>RAGUNDA</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24149-2025</t>
        </is>
      </c>
      <c r="B768" s="1" t="n">
        <v>45796</v>
      </c>
      <c r="C768" s="1" t="n">
        <v>45889</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58438-2022</t>
        </is>
      </c>
      <c r="B769" s="1" t="n">
        <v>44901</v>
      </c>
      <c r="C769" s="1" t="n">
        <v>45889</v>
      </c>
      <c r="D769" t="inlineStr">
        <is>
          <t>JÄMTLANDS LÄN</t>
        </is>
      </c>
      <c r="E769" t="inlineStr">
        <is>
          <t>RAGUNDA</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58442-2022</t>
        </is>
      </c>
      <c r="B770" s="1" t="n">
        <v>44901</v>
      </c>
      <c r="C770" s="1" t="n">
        <v>45889</v>
      </c>
      <c r="D770" t="inlineStr">
        <is>
          <t>JÄMTLANDS LÄN</t>
        </is>
      </c>
      <c r="E770" t="inlineStr">
        <is>
          <t>RAGUNDA</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24159-2025</t>
        </is>
      </c>
      <c r="B771" s="1" t="n">
        <v>45796</v>
      </c>
      <c r="C771" s="1" t="n">
        <v>45889</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21524-2024</t>
        </is>
      </c>
      <c r="B772" s="1" t="n">
        <v>45441</v>
      </c>
      <c r="C772" s="1" t="n">
        <v>45889</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45952-2023</t>
        </is>
      </c>
      <c r="B773" s="1" t="n">
        <v>45195</v>
      </c>
      <c r="C773" s="1" t="n">
        <v>45889</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45954-2023</t>
        </is>
      </c>
      <c r="B774" s="1" t="n">
        <v>45195.94679398148</v>
      </c>
      <c r="C774" s="1" t="n">
        <v>45889</v>
      </c>
      <c r="D774" t="inlineStr">
        <is>
          <t>JÄMTLANDS LÄN</t>
        </is>
      </c>
      <c r="E774" t="inlineStr">
        <is>
          <t>RAGUNDA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45955-2023</t>
        </is>
      </c>
      <c r="B775" s="1" t="n">
        <v>45195.94685185186</v>
      </c>
      <c r="C775" s="1" t="n">
        <v>45889</v>
      </c>
      <c r="D775" t="inlineStr">
        <is>
          <t>JÄMTLANDS LÄN</t>
        </is>
      </c>
      <c r="E775" t="inlineStr">
        <is>
          <t>RAGUNDA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8787-2022</t>
        </is>
      </c>
      <c r="B776" s="1" t="n">
        <v>44614</v>
      </c>
      <c r="C776" s="1" t="n">
        <v>45889</v>
      </c>
      <c r="D776" t="inlineStr">
        <is>
          <t>JÄMTLANDS LÄN</t>
        </is>
      </c>
      <c r="E776" t="inlineStr">
        <is>
          <t>RAGUNDA</t>
        </is>
      </c>
      <c r="G776" t="n">
        <v>6.4</v>
      </c>
      <c r="H776" t="n">
        <v>0</v>
      </c>
      <c r="I776" t="n">
        <v>0</v>
      </c>
      <c r="J776" t="n">
        <v>0</v>
      </c>
      <c r="K776" t="n">
        <v>0</v>
      </c>
      <c r="L776" t="n">
        <v>0</v>
      </c>
      <c r="M776" t="n">
        <v>0</v>
      </c>
      <c r="N776" t="n">
        <v>0</v>
      </c>
      <c r="O776" t="n">
        <v>0</v>
      </c>
      <c r="P776" t="n">
        <v>0</v>
      </c>
      <c r="Q776" t="n">
        <v>0</v>
      </c>
      <c r="R776" s="2" t="inlineStr"/>
    </row>
    <row r="777" ht="15" customHeight="1">
      <c r="A777" t="inlineStr">
        <is>
          <t>A 5308-2025</t>
        </is>
      </c>
      <c r="B777" s="1" t="n">
        <v>45692.49008101852</v>
      </c>
      <c r="C777" s="1" t="n">
        <v>45889</v>
      </c>
      <c r="D777" t="inlineStr">
        <is>
          <t>JÄMTLANDS LÄN</t>
        </is>
      </c>
      <c r="E777" t="inlineStr">
        <is>
          <t>RAGUNDA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45253-2023</t>
        </is>
      </c>
      <c r="B778" s="1" t="n">
        <v>45187</v>
      </c>
      <c r="C778" s="1" t="n">
        <v>45889</v>
      </c>
      <c r="D778" t="inlineStr">
        <is>
          <t>JÄMTLANDS LÄN</t>
        </is>
      </c>
      <c r="E778" t="inlineStr">
        <is>
          <t>RAGUNDA</t>
        </is>
      </c>
      <c r="G778" t="n">
        <v>3.3</v>
      </c>
      <c r="H778" t="n">
        <v>0</v>
      </c>
      <c r="I778" t="n">
        <v>0</v>
      </c>
      <c r="J778" t="n">
        <v>0</v>
      </c>
      <c r="K778" t="n">
        <v>0</v>
      </c>
      <c r="L778" t="n">
        <v>0</v>
      </c>
      <c r="M778" t="n">
        <v>0</v>
      </c>
      <c r="N778" t="n">
        <v>0</v>
      </c>
      <c r="O778" t="n">
        <v>0</v>
      </c>
      <c r="P778" t="n">
        <v>0</v>
      </c>
      <c r="Q778" t="n">
        <v>0</v>
      </c>
      <c r="R778" s="2" t="inlineStr"/>
    </row>
    <row r="779" ht="15" customHeight="1">
      <c r="A779" t="inlineStr">
        <is>
          <t>A 49229-2024</t>
        </is>
      </c>
      <c r="B779" s="1" t="n">
        <v>45595.42738425926</v>
      </c>
      <c r="C779" s="1" t="n">
        <v>45889</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62407-2023</t>
        </is>
      </c>
      <c r="B780" s="1" t="n">
        <v>45266</v>
      </c>
      <c r="C780" s="1" t="n">
        <v>45889</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38191-2024</t>
        </is>
      </c>
      <c r="B781" s="1" t="n">
        <v>45545.49078703704</v>
      </c>
      <c r="C781" s="1" t="n">
        <v>45889</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3104-2025</t>
        </is>
      </c>
      <c r="B782" s="1" t="n">
        <v>45678.67761574074</v>
      </c>
      <c r="C782" s="1" t="n">
        <v>45889</v>
      </c>
      <c r="D782" t="inlineStr">
        <is>
          <t>JÄMTLANDS LÄN</t>
        </is>
      </c>
      <c r="E782" t="inlineStr">
        <is>
          <t>RAGUNDA</t>
        </is>
      </c>
      <c r="F782" t="inlineStr">
        <is>
          <t>SCA</t>
        </is>
      </c>
      <c r="G782" t="n">
        <v>46.2</v>
      </c>
      <c r="H782" t="n">
        <v>0</v>
      </c>
      <c r="I782" t="n">
        <v>0</v>
      </c>
      <c r="J782" t="n">
        <v>0</v>
      </c>
      <c r="K782" t="n">
        <v>0</v>
      </c>
      <c r="L782" t="n">
        <v>0</v>
      </c>
      <c r="M782" t="n">
        <v>0</v>
      </c>
      <c r="N782" t="n">
        <v>0</v>
      </c>
      <c r="O782" t="n">
        <v>0</v>
      </c>
      <c r="P782" t="n">
        <v>0</v>
      </c>
      <c r="Q782" t="n">
        <v>0</v>
      </c>
      <c r="R782" s="2" t="inlineStr"/>
    </row>
    <row r="783" ht="15" customHeight="1">
      <c r="A783" t="inlineStr">
        <is>
          <t>A 55524-2024</t>
        </is>
      </c>
      <c r="B783" s="1" t="n">
        <v>45622.47435185185</v>
      </c>
      <c r="C783" s="1" t="n">
        <v>45889</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19419-2024</t>
        </is>
      </c>
      <c r="B784" s="1" t="n">
        <v>45429</v>
      </c>
      <c r="C784" s="1" t="n">
        <v>45889</v>
      </c>
      <c r="D784" t="inlineStr">
        <is>
          <t>JÄMTLANDS LÄN</t>
        </is>
      </c>
      <c r="E784" t="inlineStr">
        <is>
          <t>RAGUNDA</t>
        </is>
      </c>
      <c r="G784" t="n">
        <v>3.5</v>
      </c>
      <c r="H784" t="n">
        <v>0</v>
      </c>
      <c r="I784" t="n">
        <v>0</v>
      </c>
      <c r="J784" t="n">
        <v>0</v>
      </c>
      <c r="K784" t="n">
        <v>0</v>
      </c>
      <c r="L784" t="n">
        <v>0</v>
      </c>
      <c r="M784" t="n">
        <v>0</v>
      </c>
      <c r="N784" t="n">
        <v>0</v>
      </c>
      <c r="O784" t="n">
        <v>0</v>
      </c>
      <c r="P784" t="n">
        <v>0</v>
      </c>
      <c r="Q784" t="n">
        <v>0</v>
      </c>
      <c r="R784" s="2" t="inlineStr"/>
    </row>
    <row r="785" ht="15" customHeight="1">
      <c r="A785" t="inlineStr">
        <is>
          <t>A 24391-2025</t>
        </is>
      </c>
      <c r="B785" s="1" t="n">
        <v>45797.63627314815</v>
      </c>
      <c r="C785" s="1" t="n">
        <v>45889</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25376-2025</t>
        </is>
      </c>
      <c r="B786" s="1" t="n">
        <v>45800.63619212963</v>
      </c>
      <c r="C786" s="1" t="n">
        <v>45889</v>
      </c>
      <c r="D786" t="inlineStr">
        <is>
          <t>JÄMTLANDS LÄN</t>
        </is>
      </c>
      <c r="E786" t="inlineStr">
        <is>
          <t>RAGUNDA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24732-2025</t>
        </is>
      </c>
      <c r="B787" s="1" t="n">
        <v>45799.34421296296</v>
      </c>
      <c r="C787" s="1" t="n">
        <v>45889</v>
      </c>
      <c r="D787" t="inlineStr">
        <is>
          <t>JÄMTLANDS LÄN</t>
        </is>
      </c>
      <c r="E787" t="inlineStr">
        <is>
          <t>RAGUNDA</t>
        </is>
      </c>
      <c r="F787" t="inlineStr">
        <is>
          <t>SCA</t>
        </is>
      </c>
      <c r="G787" t="n">
        <v>16.2</v>
      </c>
      <c r="H787" t="n">
        <v>0</v>
      </c>
      <c r="I787" t="n">
        <v>0</v>
      </c>
      <c r="J787" t="n">
        <v>0</v>
      </c>
      <c r="K787" t="n">
        <v>0</v>
      </c>
      <c r="L787" t="n">
        <v>0</v>
      </c>
      <c r="M787" t="n">
        <v>0</v>
      </c>
      <c r="N787" t="n">
        <v>0</v>
      </c>
      <c r="O787" t="n">
        <v>0</v>
      </c>
      <c r="P787" t="n">
        <v>0</v>
      </c>
      <c r="Q787" t="n">
        <v>0</v>
      </c>
      <c r="R787" s="2" t="inlineStr"/>
    </row>
    <row r="788" ht="15" customHeight="1">
      <c r="A788" t="inlineStr">
        <is>
          <t>A 36046-2023</t>
        </is>
      </c>
      <c r="B788" s="1" t="n">
        <v>45148</v>
      </c>
      <c r="C788" s="1" t="n">
        <v>45889</v>
      </c>
      <c r="D788" t="inlineStr">
        <is>
          <t>JÄMTLANDS LÄN</t>
        </is>
      </c>
      <c r="E788" t="inlineStr">
        <is>
          <t>RAGUNDA</t>
        </is>
      </c>
      <c r="G788" t="n">
        <v>1.9</v>
      </c>
      <c r="H788" t="n">
        <v>0</v>
      </c>
      <c r="I788" t="n">
        <v>0</v>
      </c>
      <c r="J788" t="n">
        <v>0</v>
      </c>
      <c r="K788" t="n">
        <v>0</v>
      </c>
      <c r="L788" t="n">
        <v>0</v>
      </c>
      <c r="M788" t="n">
        <v>0</v>
      </c>
      <c r="N788" t="n">
        <v>0</v>
      </c>
      <c r="O788" t="n">
        <v>0</v>
      </c>
      <c r="P788" t="n">
        <v>0</v>
      </c>
      <c r="Q788" t="n">
        <v>0</v>
      </c>
      <c r="R788" s="2" t="inlineStr"/>
    </row>
    <row r="789" ht="15" customHeight="1">
      <c r="A789" t="inlineStr">
        <is>
          <t>A 18193-2022</t>
        </is>
      </c>
      <c r="B789" s="1" t="n">
        <v>44684.94032407407</v>
      </c>
      <c r="C789" s="1" t="n">
        <v>45889</v>
      </c>
      <c r="D789" t="inlineStr">
        <is>
          <t>JÄMTLANDS LÄN</t>
        </is>
      </c>
      <c r="E789" t="inlineStr">
        <is>
          <t>RAGUNDA</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34323-2023</t>
        </is>
      </c>
      <c r="B790" s="1" t="n">
        <v>45138.94925925926</v>
      </c>
      <c r="C790" s="1" t="n">
        <v>45889</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25350-2025</t>
        </is>
      </c>
      <c r="B791" s="1" t="n">
        <v>45800</v>
      </c>
      <c r="C791" s="1" t="n">
        <v>45889</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58843-2024</t>
        </is>
      </c>
      <c r="B792" s="1" t="n">
        <v>45636.38599537037</v>
      </c>
      <c r="C792" s="1" t="n">
        <v>45889</v>
      </c>
      <c r="D792" t="inlineStr">
        <is>
          <t>JÄMTLANDS LÄN</t>
        </is>
      </c>
      <c r="E792" t="inlineStr">
        <is>
          <t>RAGUNDA</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46211-2024</t>
        </is>
      </c>
      <c r="B793" s="1" t="n">
        <v>45581.55260416667</v>
      </c>
      <c r="C793" s="1" t="n">
        <v>45889</v>
      </c>
      <c r="D793" t="inlineStr">
        <is>
          <t>JÄMTLANDS LÄN</t>
        </is>
      </c>
      <c r="E793" t="inlineStr">
        <is>
          <t>RAGUNDA</t>
        </is>
      </c>
      <c r="G793" t="n">
        <v>7.3</v>
      </c>
      <c r="H793" t="n">
        <v>0</v>
      </c>
      <c r="I793" t="n">
        <v>0</v>
      </c>
      <c r="J793" t="n">
        <v>0</v>
      </c>
      <c r="K793" t="n">
        <v>0</v>
      </c>
      <c r="L793" t="n">
        <v>0</v>
      </c>
      <c r="M793" t="n">
        <v>0</v>
      </c>
      <c r="N793" t="n">
        <v>0</v>
      </c>
      <c r="O793" t="n">
        <v>0</v>
      </c>
      <c r="P793" t="n">
        <v>0</v>
      </c>
      <c r="Q793" t="n">
        <v>0</v>
      </c>
      <c r="R793" s="2" t="inlineStr"/>
    </row>
    <row r="794" ht="15" customHeight="1">
      <c r="A794" t="inlineStr">
        <is>
          <t>A 25152-2025</t>
        </is>
      </c>
      <c r="B794" s="1" t="n">
        <v>45800.42743055556</v>
      </c>
      <c r="C794" s="1" t="n">
        <v>45889</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25175-2025</t>
        </is>
      </c>
      <c r="B795" s="1" t="n">
        <v>45800.44822916666</v>
      </c>
      <c r="C795" s="1" t="n">
        <v>45889</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25177-2025</t>
        </is>
      </c>
      <c r="B796" s="1" t="n">
        <v>45800.44862268519</v>
      </c>
      <c r="C796" s="1" t="n">
        <v>45889</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45953-2023</t>
        </is>
      </c>
      <c r="B797" s="1" t="n">
        <v>45195.94672453704</v>
      </c>
      <c r="C797" s="1" t="n">
        <v>45889</v>
      </c>
      <c r="D797" t="inlineStr">
        <is>
          <t>JÄMTLANDS LÄN</t>
        </is>
      </c>
      <c r="E797" t="inlineStr">
        <is>
          <t>RAGUNDA</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8679-2023</t>
        </is>
      </c>
      <c r="B798" s="1" t="n">
        <v>44977.98670138889</v>
      </c>
      <c r="C798" s="1" t="n">
        <v>45889</v>
      </c>
      <c r="D798" t="inlineStr">
        <is>
          <t>JÄMTLANDS LÄN</t>
        </is>
      </c>
      <c r="E798" t="inlineStr">
        <is>
          <t>RAGUNDA</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14158-2024</t>
        </is>
      </c>
      <c r="B799" s="1" t="n">
        <v>45392</v>
      </c>
      <c r="C799" s="1" t="n">
        <v>45889</v>
      </c>
      <c r="D799" t="inlineStr">
        <is>
          <t>JÄMTLANDS LÄN</t>
        </is>
      </c>
      <c r="E799" t="inlineStr">
        <is>
          <t>RAGUNDA</t>
        </is>
      </c>
      <c r="G799" t="n">
        <v>0.7</v>
      </c>
      <c r="H799" t="n">
        <v>0</v>
      </c>
      <c r="I799" t="n">
        <v>0</v>
      </c>
      <c r="J799" t="n">
        <v>0</v>
      </c>
      <c r="K799" t="n">
        <v>0</v>
      </c>
      <c r="L799" t="n">
        <v>0</v>
      </c>
      <c r="M799" t="n">
        <v>0</v>
      </c>
      <c r="N799" t="n">
        <v>0</v>
      </c>
      <c r="O799" t="n">
        <v>0</v>
      </c>
      <c r="P799" t="n">
        <v>0</v>
      </c>
      <c r="Q799" t="n">
        <v>0</v>
      </c>
      <c r="R799" s="2" t="inlineStr"/>
    </row>
    <row r="800" ht="15" customHeight="1">
      <c r="A800" t="inlineStr">
        <is>
          <t>A 55649-2023</t>
        </is>
      </c>
      <c r="B800" s="1" t="n">
        <v>45238</v>
      </c>
      <c r="C800" s="1" t="n">
        <v>45889</v>
      </c>
      <c r="D800" t="inlineStr">
        <is>
          <t>JÄMTLANDS LÄN</t>
        </is>
      </c>
      <c r="E800" t="inlineStr">
        <is>
          <t>RAGUNDA</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53769-2023</t>
        </is>
      </c>
      <c r="B801" s="1" t="n">
        <v>45230</v>
      </c>
      <c r="C801" s="1" t="n">
        <v>45889</v>
      </c>
      <c r="D801" t="inlineStr">
        <is>
          <t>JÄMTLANDS LÄN</t>
        </is>
      </c>
      <c r="E801" t="inlineStr">
        <is>
          <t>RAGUNDA</t>
        </is>
      </c>
      <c r="F801" t="inlineStr">
        <is>
          <t>SCA</t>
        </is>
      </c>
      <c r="G801" t="n">
        <v>11.6</v>
      </c>
      <c r="H801" t="n">
        <v>0</v>
      </c>
      <c r="I801" t="n">
        <v>0</v>
      </c>
      <c r="J801" t="n">
        <v>0</v>
      </c>
      <c r="K801" t="n">
        <v>0</v>
      </c>
      <c r="L801" t="n">
        <v>0</v>
      </c>
      <c r="M801" t="n">
        <v>0</v>
      </c>
      <c r="N801" t="n">
        <v>0</v>
      </c>
      <c r="O801" t="n">
        <v>0</v>
      </c>
      <c r="P801" t="n">
        <v>0</v>
      </c>
      <c r="Q801" t="n">
        <v>0</v>
      </c>
      <c r="R801" s="2" t="inlineStr"/>
    </row>
    <row r="802" ht="15" customHeight="1">
      <c r="A802" t="inlineStr">
        <is>
          <t>A 25631-2025</t>
        </is>
      </c>
      <c r="B802" s="1" t="n">
        <v>45803.5946875</v>
      </c>
      <c r="C802" s="1" t="n">
        <v>45889</v>
      </c>
      <c r="D802" t="inlineStr">
        <is>
          <t>JÄMTLANDS LÄN</t>
        </is>
      </c>
      <c r="E802" t="inlineStr">
        <is>
          <t>RAGUNDA</t>
        </is>
      </c>
      <c r="G802" t="n">
        <v>1.1</v>
      </c>
      <c r="H802" t="n">
        <v>0</v>
      </c>
      <c r="I802" t="n">
        <v>0</v>
      </c>
      <c r="J802" t="n">
        <v>0</v>
      </c>
      <c r="K802" t="n">
        <v>0</v>
      </c>
      <c r="L802" t="n">
        <v>0</v>
      </c>
      <c r="M802" t="n">
        <v>0</v>
      </c>
      <c r="N802" t="n">
        <v>0</v>
      </c>
      <c r="O802" t="n">
        <v>0</v>
      </c>
      <c r="P802" t="n">
        <v>0</v>
      </c>
      <c r="Q802" t="n">
        <v>0</v>
      </c>
      <c r="R802" s="2" t="inlineStr"/>
    </row>
    <row r="803" ht="15" customHeight="1">
      <c r="A803" t="inlineStr">
        <is>
          <t>A 30824-2023</t>
        </is>
      </c>
      <c r="B803" s="1" t="n">
        <v>45112.94303240741</v>
      </c>
      <c r="C803" s="1" t="n">
        <v>45889</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30825-2023</t>
        </is>
      </c>
      <c r="B804" s="1" t="n">
        <v>45112.94310185185</v>
      </c>
      <c r="C804" s="1" t="n">
        <v>45889</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25659-2025</t>
        </is>
      </c>
      <c r="B805" s="1" t="n">
        <v>45803.61552083334</v>
      </c>
      <c r="C805" s="1" t="n">
        <v>45889</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25661-2025</t>
        </is>
      </c>
      <c r="B806" s="1" t="n">
        <v>45803.61557870371</v>
      </c>
      <c r="C806" s="1" t="n">
        <v>45889</v>
      </c>
      <c r="D806" t="inlineStr">
        <is>
          <t>JÄMTLANDS LÄN</t>
        </is>
      </c>
      <c r="E806" t="inlineStr">
        <is>
          <t>RAGUNDA</t>
        </is>
      </c>
      <c r="G806" t="n">
        <v>1.4</v>
      </c>
      <c r="H806" t="n">
        <v>0</v>
      </c>
      <c r="I806" t="n">
        <v>0</v>
      </c>
      <c r="J806" t="n">
        <v>0</v>
      </c>
      <c r="K806" t="n">
        <v>0</v>
      </c>
      <c r="L806" t="n">
        <v>0</v>
      </c>
      <c r="M806" t="n">
        <v>0</v>
      </c>
      <c r="N806" t="n">
        <v>0</v>
      </c>
      <c r="O806" t="n">
        <v>0</v>
      </c>
      <c r="P806" t="n">
        <v>0</v>
      </c>
      <c r="Q806" t="n">
        <v>0</v>
      </c>
      <c r="R806" s="2" t="inlineStr"/>
    </row>
    <row r="807" ht="15" customHeight="1">
      <c r="A807" t="inlineStr">
        <is>
          <t>A 12464-2025</t>
        </is>
      </c>
      <c r="B807" s="1" t="n">
        <v>45730.53208333333</v>
      </c>
      <c r="C807" s="1" t="n">
        <v>45889</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25944-2025</t>
        </is>
      </c>
      <c r="B808" s="1" t="n">
        <v>45804.59487268519</v>
      </c>
      <c r="C808" s="1" t="n">
        <v>45889</v>
      </c>
      <c r="D808" t="inlineStr">
        <is>
          <t>JÄMTLANDS LÄN</t>
        </is>
      </c>
      <c r="E808" t="inlineStr">
        <is>
          <t>RAGUNDA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25814-2025</t>
        </is>
      </c>
      <c r="B809" s="1" t="n">
        <v>45804.42642361111</v>
      </c>
      <c r="C809" s="1" t="n">
        <v>45889</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31506-2024</t>
        </is>
      </c>
      <c r="B810" s="1" t="n">
        <v>45505</v>
      </c>
      <c r="C810" s="1" t="n">
        <v>45889</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55222-2024</t>
        </is>
      </c>
      <c r="B811" s="1" t="n">
        <v>45621.57395833333</v>
      </c>
      <c r="C811" s="1" t="n">
        <v>45889</v>
      </c>
      <c r="D811" t="inlineStr">
        <is>
          <t>JÄMTLANDS LÄN</t>
        </is>
      </c>
      <c r="E811" t="inlineStr">
        <is>
          <t>RAGUNDA</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25597-2025</t>
        </is>
      </c>
      <c r="B812" s="1" t="n">
        <v>45803.53157407408</v>
      </c>
      <c r="C812" s="1" t="n">
        <v>45889</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25630-2025</t>
        </is>
      </c>
      <c r="B813" s="1" t="n">
        <v>45803.59417824074</v>
      </c>
      <c r="C813" s="1" t="n">
        <v>45889</v>
      </c>
      <c r="D813" t="inlineStr">
        <is>
          <t>JÄMTLANDS LÄN</t>
        </is>
      </c>
      <c r="E813" t="inlineStr">
        <is>
          <t>RAGUNDA</t>
        </is>
      </c>
      <c r="G813" t="n">
        <v>6.9</v>
      </c>
      <c r="H813" t="n">
        <v>0</v>
      </c>
      <c r="I813" t="n">
        <v>0</v>
      </c>
      <c r="J813" t="n">
        <v>0</v>
      </c>
      <c r="K813" t="n">
        <v>0</v>
      </c>
      <c r="L813" t="n">
        <v>0</v>
      </c>
      <c r="M813" t="n">
        <v>0</v>
      </c>
      <c r="N813" t="n">
        <v>0</v>
      </c>
      <c r="O813" t="n">
        <v>0</v>
      </c>
      <c r="P813" t="n">
        <v>0</v>
      </c>
      <c r="Q813" t="n">
        <v>0</v>
      </c>
      <c r="R813" s="2" t="inlineStr"/>
    </row>
    <row r="814" ht="15" customHeight="1">
      <c r="A814" t="inlineStr">
        <is>
          <t>A 19613-2023</t>
        </is>
      </c>
      <c r="B814" s="1" t="n">
        <v>45050.94020833333</v>
      </c>
      <c r="C814" s="1" t="n">
        <v>45889</v>
      </c>
      <c r="D814" t="inlineStr">
        <is>
          <t>JÄMTLANDS LÄN</t>
        </is>
      </c>
      <c r="E814" t="inlineStr">
        <is>
          <t>RAGUNDA</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25994-2025</t>
        </is>
      </c>
      <c r="B815" s="1" t="n">
        <v>45804.65672453704</v>
      </c>
      <c r="C815" s="1" t="n">
        <v>45889</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44755-2024</t>
        </is>
      </c>
      <c r="B816" s="1" t="n">
        <v>45574.61184027778</v>
      </c>
      <c r="C816" s="1" t="n">
        <v>45889</v>
      </c>
      <c r="D816" t="inlineStr">
        <is>
          <t>JÄMTLANDS LÄN</t>
        </is>
      </c>
      <c r="E816" t="inlineStr">
        <is>
          <t>RAGUNDA</t>
        </is>
      </c>
      <c r="G816" t="n">
        <v>4.4</v>
      </c>
      <c r="H816" t="n">
        <v>0</v>
      </c>
      <c r="I816" t="n">
        <v>0</v>
      </c>
      <c r="J816" t="n">
        <v>0</v>
      </c>
      <c r="K816" t="n">
        <v>0</v>
      </c>
      <c r="L816" t="n">
        <v>0</v>
      </c>
      <c r="M816" t="n">
        <v>0</v>
      </c>
      <c r="N816" t="n">
        <v>0</v>
      </c>
      <c r="O816" t="n">
        <v>0</v>
      </c>
      <c r="P816" t="n">
        <v>0</v>
      </c>
      <c r="Q816" t="n">
        <v>0</v>
      </c>
      <c r="R816" s="2" t="inlineStr"/>
    </row>
    <row r="817" ht="15" customHeight="1">
      <c r="A817" t="inlineStr">
        <is>
          <t>A 44766-2024</t>
        </is>
      </c>
      <c r="B817" s="1" t="n">
        <v>45574.62297453704</v>
      </c>
      <c r="C817" s="1" t="n">
        <v>45889</v>
      </c>
      <c r="D817" t="inlineStr">
        <is>
          <t>JÄMTLANDS LÄN</t>
        </is>
      </c>
      <c r="E817" t="inlineStr">
        <is>
          <t>RAGUNDA</t>
        </is>
      </c>
      <c r="G817" t="n">
        <v>3.2</v>
      </c>
      <c r="H817" t="n">
        <v>0</v>
      </c>
      <c r="I817" t="n">
        <v>0</v>
      </c>
      <c r="J817" t="n">
        <v>0</v>
      </c>
      <c r="K817" t="n">
        <v>0</v>
      </c>
      <c r="L817" t="n">
        <v>0</v>
      </c>
      <c r="M817" t="n">
        <v>0</v>
      </c>
      <c r="N817" t="n">
        <v>0</v>
      </c>
      <c r="O817" t="n">
        <v>0</v>
      </c>
      <c r="P817" t="n">
        <v>0</v>
      </c>
      <c r="Q817" t="n">
        <v>0</v>
      </c>
      <c r="R817" s="2" t="inlineStr"/>
    </row>
    <row r="818" ht="15" customHeight="1">
      <c r="A818" t="inlineStr">
        <is>
          <t>A 40919-2024</t>
        </is>
      </c>
      <c r="B818" s="1" t="n">
        <v>45558.63575231482</v>
      </c>
      <c r="C818" s="1" t="n">
        <v>45889</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44778-2024</t>
        </is>
      </c>
      <c r="B819" s="1" t="n">
        <v>45574.63355324074</v>
      </c>
      <c r="C819" s="1" t="n">
        <v>45889</v>
      </c>
      <c r="D819" t="inlineStr">
        <is>
          <t>JÄMTLANDS LÄN</t>
        </is>
      </c>
      <c r="E819" t="inlineStr">
        <is>
          <t>RAGUNDA</t>
        </is>
      </c>
      <c r="G819" t="n">
        <v>5.5</v>
      </c>
      <c r="H819" t="n">
        <v>0</v>
      </c>
      <c r="I819" t="n">
        <v>0</v>
      </c>
      <c r="J819" t="n">
        <v>0</v>
      </c>
      <c r="K819" t="n">
        <v>0</v>
      </c>
      <c r="L819" t="n">
        <v>0</v>
      </c>
      <c r="M819" t="n">
        <v>0</v>
      </c>
      <c r="N819" t="n">
        <v>0</v>
      </c>
      <c r="O819" t="n">
        <v>0</v>
      </c>
      <c r="P819" t="n">
        <v>0</v>
      </c>
      <c r="Q819" t="n">
        <v>0</v>
      </c>
      <c r="R819" s="2" t="inlineStr"/>
    </row>
    <row r="820" ht="15" customHeight="1">
      <c r="A820" t="inlineStr">
        <is>
          <t>A 15024-2022</t>
        </is>
      </c>
      <c r="B820" s="1" t="n">
        <v>44657</v>
      </c>
      <c r="C820" s="1" t="n">
        <v>45889</v>
      </c>
      <c r="D820" t="inlineStr">
        <is>
          <t>JÄMTLANDS LÄN</t>
        </is>
      </c>
      <c r="E820" t="inlineStr">
        <is>
          <t>RAGUNDA</t>
        </is>
      </c>
      <c r="G820" t="n">
        <v>1.8</v>
      </c>
      <c r="H820" t="n">
        <v>0</v>
      </c>
      <c r="I820" t="n">
        <v>0</v>
      </c>
      <c r="J820" t="n">
        <v>0</v>
      </c>
      <c r="K820" t="n">
        <v>0</v>
      </c>
      <c r="L820" t="n">
        <v>0</v>
      </c>
      <c r="M820" t="n">
        <v>0</v>
      </c>
      <c r="N820" t="n">
        <v>0</v>
      </c>
      <c r="O820" t="n">
        <v>0</v>
      </c>
      <c r="P820" t="n">
        <v>0</v>
      </c>
      <c r="Q820" t="n">
        <v>0</v>
      </c>
      <c r="R820" s="2" t="inlineStr"/>
    </row>
    <row r="821" ht="15" customHeight="1">
      <c r="A821" t="inlineStr">
        <is>
          <t>A 34461-2025</t>
        </is>
      </c>
      <c r="B821" s="1" t="n">
        <v>45847.34474537037</v>
      </c>
      <c r="C821" s="1" t="n">
        <v>45889</v>
      </c>
      <c r="D821" t="inlineStr">
        <is>
          <t>JÄMTLANDS LÄN</t>
        </is>
      </c>
      <c r="E821" t="inlineStr">
        <is>
          <t>RAGUNDA</t>
        </is>
      </c>
      <c r="F821" t="inlineStr">
        <is>
          <t>SCA</t>
        </is>
      </c>
      <c r="G821" t="n">
        <v>44.8</v>
      </c>
      <c r="H821" t="n">
        <v>0</v>
      </c>
      <c r="I821" t="n">
        <v>0</v>
      </c>
      <c r="J821" t="n">
        <v>0</v>
      </c>
      <c r="K821" t="n">
        <v>0</v>
      </c>
      <c r="L821" t="n">
        <v>0</v>
      </c>
      <c r="M821" t="n">
        <v>0</v>
      </c>
      <c r="N821" t="n">
        <v>0</v>
      </c>
      <c r="O821" t="n">
        <v>0</v>
      </c>
      <c r="P821" t="n">
        <v>0</v>
      </c>
      <c r="Q821" t="n">
        <v>0</v>
      </c>
      <c r="R821" s="2" t="inlineStr"/>
    </row>
    <row r="822" ht="15" customHeight="1">
      <c r="A822" t="inlineStr">
        <is>
          <t>A 34588-2025</t>
        </is>
      </c>
      <c r="B822" s="1" t="n">
        <v>45847.61548611111</v>
      </c>
      <c r="C822" s="1" t="n">
        <v>45889</v>
      </c>
      <c r="D822" t="inlineStr">
        <is>
          <t>JÄMTLANDS LÄN</t>
        </is>
      </c>
      <c r="E822" t="inlineStr">
        <is>
          <t>RAGUNDA</t>
        </is>
      </c>
      <c r="G822" t="n">
        <v>32.3</v>
      </c>
      <c r="H822" t="n">
        <v>0</v>
      </c>
      <c r="I822" t="n">
        <v>0</v>
      </c>
      <c r="J822" t="n">
        <v>0</v>
      </c>
      <c r="K822" t="n">
        <v>0</v>
      </c>
      <c r="L822" t="n">
        <v>0</v>
      </c>
      <c r="M822" t="n">
        <v>0</v>
      </c>
      <c r="N822" t="n">
        <v>0</v>
      </c>
      <c r="O822" t="n">
        <v>0</v>
      </c>
      <c r="P822" t="n">
        <v>0</v>
      </c>
      <c r="Q822" t="n">
        <v>0</v>
      </c>
      <c r="R822" s="2" t="inlineStr"/>
    </row>
    <row r="823" ht="15" customHeight="1">
      <c r="A823" t="inlineStr">
        <is>
          <t>A 34586-2025</t>
        </is>
      </c>
      <c r="B823" s="1" t="n">
        <v>45847.61513888889</v>
      </c>
      <c r="C823" s="1" t="n">
        <v>45889</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26283-2025</t>
        </is>
      </c>
      <c r="B824" s="1" t="n">
        <v>45805.61495370371</v>
      </c>
      <c r="C824" s="1" t="n">
        <v>45889</v>
      </c>
      <c r="D824" t="inlineStr">
        <is>
          <t>JÄMTLANDS LÄN</t>
        </is>
      </c>
      <c r="E824" t="inlineStr">
        <is>
          <t>RAGUNDA</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8795-2022</t>
        </is>
      </c>
      <c r="B825" s="1" t="n">
        <v>44614</v>
      </c>
      <c r="C825" s="1" t="n">
        <v>45889</v>
      </c>
      <c r="D825" t="inlineStr">
        <is>
          <t>JÄMTLANDS LÄN</t>
        </is>
      </c>
      <c r="E825" t="inlineStr">
        <is>
          <t>RAGUNDA</t>
        </is>
      </c>
      <c r="G825" t="n">
        <v>3.9</v>
      </c>
      <c r="H825" t="n">
        <v>0</v>
      </c>
      <c r="I825" t="n">
        <v>0</v>
      </c>
      <c r="J825" t="n">
        <v>0</v>
      </c>
      <c r="K825" t="n">
        <v>0</v>
      </c>
      <c r="L825" t="n">
        <v>0</v>
      </c>
      <c r="M825" t="n">
        <v>0</v>
      </c>
      <c r="N825" t="n">
        <v>0</v>
      </c>
      <c r="O825" t="n">
        <v>0</v>
      </c>
      <c r="P825" t="n">
        <v>0</v>
      </c>
      <c r="Q825" t="n">
        <v>0</v>
      </c>
      <c r="R825" s="2" t="inlineStr"/>
    </row>
    <row r="826" ht="15" customHeight="1">
      <c r="A826" t="inlineStr">
        <is>
          <t>A 48192-2024</t>
        </is>
      </c>
      <c r="B826" s="1" t="n">
        <v>45590</v>
      </c>
      <c r="C826" s="1" t="n">
        <v>45889</v>
      </c>
      <c r="D826" t="inlineStr">
        <is>
          <t>JÄMTLANDS LÄN</t>
        </is>
      </c>
      <c r="E826" t="inlineStr">
        <is>
          <t>RAGUNDA</t>
        </is>
      </c>
      <c r="G826" t="n">
        <v>2.3</v>
      </c>
      <c r="H826" t="n">
        <v>0</v>
      </c>
      <c r="I826" t="n">
        <v>0</v>
      </c>
      <c r="J826" t="n">
        <v>0</v>
      </c>
      <c r="K826" t="n">
        <v>0</v>
      </c>
      <c r="L826" t="n">
        <v>0</v>
      </c>
      <c r="M826" t="n">
        <v>0</v>
      </c>
      <c r="N826" t="n">
        <v>0</v>
      </c>
      <c r="O826" t="n">
        <v>0</v>
      </c>
      <c r="P826" t="n">
        <v>0</v>
      </c>
      <c r="Q826" t="n">
        <v>0</v>
      </c>
      <c r="R826" s="2" t="inlineStr"/>
    </row>
    <row r="827" ht="15" customHeight="1">
      <c r="A827" t="inlineStr">
        <is>
          <t>A 34607-2025</t>
        </is>
      </c>
      <c r="B827" s="1" t="n">
        <v>45847.65703703704</v>
      </c>
      <c r="C827" s="1" t="n">
        <v>45889</v>
      </c>
      <c r="D827" t="inlineStr">
        <is>
          <t>JÄMTLANDS LÄN</t>
        </is>
      </c>
      <c r="E827" t="inlineStr">
        <is>
          <t>RAGUNDA</t>
        </is>
      </c>
      <c r="F827" t="inlineStr">
        <is>
          <t>SCA</t>
        </is>
      </c>
      <c r="G827" t="n">
        <v>31.4</v>
      </c>
      <c r="H827" t="n">
        <v>0</v>
      </c>
      <c r="I827" t="n">
        <v>0</v>
      </c>
      <c r="J827" t="n">
        <v>0</v>
      </c>
      <c r="K827" t="n">
        <v>0</v>
      </c>
      <c r="L827" t="n">
        <v>0</v>
      </c>
      <c r="M827" t="n">
        <v>0</v>
      </c>
      <c r="N827" t="n">
        <v>0</v>
      </c>
      <c r="O827" t="n">
        <v>0</v>
      </c>
      <c r="P827" t="n">
        <v>0</v>
      </c>
      <c r="Q827" t="n">
        <v>0</v>
      </c>
      <c r="R827" s="2" t="inlineStr"/>
    </row>
    <row r="828" ht="15" customHeight="1">
      <c r="A828" t="inlineStr">
        <is>
          <t>A 34466-2025</t>
        </is>
      </c>
      <c r="B828" s="1" t="n">
        <v>45847.34565972222</v>
      </c>
      <c r="C828" s="1" t="n">
        <v>45889</v>
      </c>
      <c r="D828" t="inlineStr">
        <is>
          <t>JÄMTLANDS LÄN</t>
        </is>
      </c>
      <c r="E828" t="inlineStr">
        <is>
          <t>RAGUNDA</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14905-2022</t>
        </is>
      </c>
      <c r="B829" s="1" t="n">
        <v>44656.94708333333</v>
      </c>
      <c r="C829" s="1" t="n">
        <v>45889</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12768-2022</t>
        </is>
      </c>
      <c r="B830" s="1" t="n">
        <v>44641</v>
      </c>
      <c r="C830" s="1" t="n">
        <v>45889</v>
      </c>
      <c r="D830" t="inlineStr">
        <is>
          <t>JÄMTLANDS LÄN</t>
        </is>
      </c>
      <c r="E830" t="inlineStr">
        <is>
          <t>RAGUNDA</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12773-2022</t>
        </is>
      </c>
      <c r="B831" s="1" t="n">
        <v>44641</v>
      </c>
      <c r="C831" s="1" t="n">
        <v>45889</v>
      </c>
      <c r="D831" t="inlineStr">
        <is>
          <t>JÄMTLANDS LÄN</t>
        </is>
      </c>
      <c r="E831" t="inlineStr">
        <is>
          <t>RAGUNDA</t>
        </is>
      </c>
      <c r="F831" t="inlineStr">
        <is>
          <t>SCA</t>
        </is>
      </c>
      <c r="G831" t="n">
        <v>14.7</v>
      </c>
      <c r="H831" t="n">
        <v>0</v>
      </c>
      <c r="I831" t="n">
        <v>0</v>
      </c>
      <c r="J831" t="n">
        <v>0</v>
      </c>
      <c r="K831" t="n">
        <v>0</v>
      </c>
      <c r="L831" t="n">
        <v>0</v>
      </c>
      <c r="M831" t="n">
        <v>0</v>
      </c>
      <c r="N831" t="n">
        <v>0</v>
      </c>
      <c r="O831" t="n">
        <v>0</v>
      </c>
      <c r="P831" t="n">
        <v>0</v>
      </c>
      <c r="Q831" t="n">
        <v>0</v>
      </c>
      <c r="R831" s="2" t="inlineStr"/>
    </row>
    <row r="832" ht="15" customHeight="1">
      <c r="A832" t="inlineStr">
        <is>
          <t>A 34772-2025</t>
        </is>
      </c>
      <c r="B832" s="1" t="n">
        <v>45848.65658564815</v>
      </c>
      <c r="C832" s="1" t="n">
        <v>45889</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24258-2025</t>
        </is>
      </c>
      <c r="B833" s="1" t="n">
        <v>45797.40800925926</v>
      </c>
      <c r="C833" s="1" t="n">
        <v>45889</v>
      </c>
      <c r="D833" t="inlineStr">
        <is>
          <t>JÄMTLANDS LÄN</t>
        </is>
      </c>
      <c r="E833" t="inlineStr">
        <is>
          <t>RAGUNDA</t>
        </is>
      </c>
      <c r="G833" t="n">
        <v>1.2</v>
      </c>
      <c r="H833" t="n">
        <v>0</v>
      </c>
      <c r="I833" t="n">
        <v>0</v>
      </c>
      <c r="J833" t="n">
        <v>0</v>
      </c>
      <c r="K833" t="n">
        <v>0</v>
      </c>
      <c r="L833" t="n">
        <v>0</v>
      </c>
      <c r="M833" t="n">
        <v>0</v>
      </c>
      <c r="N833" t="n">
        <v>0</v>
      </c>
      <c r="O833" t="n">
        <v>0</v>
      </c>
      <c r="P833" t="n">
        <v>0</v>
      </c>
      <c r="Q833" t="n">
        <v>0</v>
      </c>
      <c r="R833" s="2" t="inlineStr"/>
    </row>
    <row r="834" ht="15" customHeight="1">
      <c r="A834" t="inlineStr">
        <is>
          <t>A 26172-2025</t>
        </is>
      </c>
      <c r="B834" s="1" t="n">
        <v>45805.46613425926</v>
      </c>
      <c r="C834" s="1" t="n">
        <v>45889</v>
      </c>
      <c r="D834" t="inlineStr">
        <is>
          <t>JÄMTLANDS LÄN</t>
        </is>
      </c>
      <c r="E834" t="inlineStr">
        <is>
          <t>RAGUNDA</t>
        </is>
      </c>
      <c r="G834" t="n">
        <v>2.1</v>
      </c>
      <c r="H834" t="n">
        <v>0</v>
      </c>
      <c r="I834" t="n">
        <v>0</v>
      </c>
      <c r="J834" t="n">
        <v>0</v>
      </c>
      <c r="K834" t="n">
        <v>0</v>
      </c>
      <c r="L834" t="n">
        <v>0</v>
      </c>
      <c r="M834" t="n">
        <v>0</v>
      </c>
      <c r="N834" t="n">
        <v>0</v>
      </c>
      <c r="O834" t="n">
        <v>0</v>
      </c>
      <c r="P834" t="n">
        <v>0</v>
      </c>
      <c r="Q834" t="n">
        <v>0</v>
      </c>
      <c r="R834" s="2" t="inlineStr"/>
    </row>
    <row r="835" ht="15" customHeight="1">
      <c r="A835" t="inlineStr">
        <is>
          <t>A 34463-2025</t>
        </is>
      </c>
      <c r="B835" s="1" t="n">
        <v>45847.34515046296</v>
      </c>
      <c r="C835" s="1" t="n">
        <v>45889</v>
      </c>
      <c r="D835" t="inlineStr">
        <is>
          <t>JÄMTLANDS LÄN</t>
        </is>
      </c>
      <c r="E835" t="inlineStr">
        <is>
          <t>RAGUNDA</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34468-2025</t>
        </is>
      </c>
      <c r="B836" s="1" t="n">
        <v>45847.34597222223</v>
      </c>
      <c r="C836" s="1" t="n">
        <v>45889</v>
      </c>
      <c r="D836" t="inlineStr">
        <is>
          <t>JÄMTLANDS LÄN</t>
        </is>
      </c>
      <c r="E836" t="inlineStr">
        <is>
          <t>RAGUNDA</t>
        </is>
      </c>
      <c r="F836" t="inlineStr">
        <is>
          <t>SCA</t>
        </is>
      </c>
      <c r="G836" t="n">
        <v>10</v>
      </c>
      <c r="H836" t="n">
        <v>0</v>
      </c>
      <c r="I836" t="n">
        <v>0</v>
      </c>
      <c r="J836" t="n">
        <v>0</v>
      </c>
      <c r="K836" t="n">
        <v>0</v>
      </c>
      <c r="L836" t="n">
        <v>0</v>
      </c>
      <c r="M836" t="n">
        <v>0</v>
      </c>
      <c r="N836" t="n">
        <v>0</v>
      </c>
      <c r="O836" t="n">
        <v>0</v>
      </c>
      <c r="P836" t="n">
        <v>0</v>
      </c>
      <c r="Q836" t="n">
        <v>0</v>
      </c>
      <c r="R836" s="2" t="inlineStr"/>
    </row>
    <row r="837" ht="15" customHeight="1">
      <c r="A837" t="inlineStr">
        <is>
          <t>A 6257-2025</t>
        </is>
      </c>
      <c r="B837" s="1" t="n">
        <v>45698.59409722222</v>
      </c>
      <c r="C837" s="1" t="n">
        <v>45889</v>
      </c>
      <c r="D837" t="inlineStr">
        <is>
          <t>JÄMTLANDS LÄN</t>
        </is>
      </c>
      <c r="E837" t="inlineStr">
        <is>
          <t>RAGUNDA</t>
        </is>
      </c>
      <c r="F837" t="inlineStr">
        <is>
          <t>SCA</t>
        </is>
      </c>
      <c r="G837" t="n">
        <v>7</v>
      </c>
      <c r="H837" t="n">
        <v>0</v>
      </c>
      <c r="I837" t="n">
        <v>0</v>
      </c>
      <c r="J837" t="n">
        <v>0</v>
      </c>
      <c r="K837" t="n">
        <v>0</v>
      </c>
      <c r="L837" t="n">
        <v>0</v>
      </c>
      <c r="M837" t="n">
        <v>0</v>
      </c>
      <c r="N837" t="n">
        <v>0</v>
      </c>
      <c r="O837" t="n">
        <v>0</v>
      </c>
      <c r="P837" t="n">
        <v>0</v>
      </c>
      <c r="Q837" t="n">
        <v>0</v>
      </c>
      <c r="R837" s="2" t="inlineStr"/>
    </row>
    <row r="838" ht="15" customHeight="1">
      <c r="A838" t="inlineStr">
        <is>
          <t>A 42508-2023</t>
        </is>
      </c>
      <c r="B838" s="1" t="n">
        <v>45180.95907407408</v>
      </c>
      <c r="C838" s="1" t="n">
        <v>45889</v>
      </c>
      <c r="D838" t="inlineStr">
        <is>
          <t>JÄMTLANDS LÄN</t>
        </is>
      </c>
      <c r="E838" t="inlineStr">
        <is>
          <t>RAGUNDA</t>
        </is>
      </c>
      <c r="F838" t="inlineStr">
        <is>
          <t>SCA</t>
        </is>
      </c>
      <c r="G838" t="n">
        <v>6.1</v>
      </c>
      <c r="H838" t="n">
        <v>0</v>
      </c>
      <c r="I838" t="n">
        <v>0</v>
      </c>
      <c r="J838" t="n">
        <v>0</v>
      </c>
      <c r="K838" t="n">
        <v>0</v>
      </c>
      <c r="L838" t="n">
        <v>0</v>
      </c>
      <c r="M838" t="n">
        <v>0</v>
      </c>
      <c r="N838" t="n">
        <v>0</v>
      </c>
      <c r="O838" t="n">
        <v>0</v>
      </c>
      <c r="P838" t="n">
        <v>0</v>
      </c>
      <c r="Q838" t="n">
        <v>0</v>
      </c>
      <c r="R838" s="2" t="inlineStr"/>
    </row>
    <row r="839" ht="15" customHeight="1">
      <c r="A839" t="inlineStr">
        <is>
          <t>A 34464-2025</t>
        </is>
      </c>
      <c r="B839" s="1" t="n">
        <v>45847.34528935186</v>
      </c>
      <c r="C839" s="1" t="n">
        <v>45889</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55309-2020</t>
        </is>
      </c>
      <c r="B840" s="1" t="n">
        <v>44130.9416550926</v>
      </c>
      <c r="C840" s="1" t="n">
        <v>45889</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10788-2025</t>
        </is>
      </c>
      <c r="B841" s="1" t="n">
        <v>45722.48982638889</v>
      </c>
      <c r="C841" s="1" t="n">
        <v>45889</v>
      </c>
      <c r="D841" t="inlineStr">
        <is>
          <t>JÄMTLANDS LÄN</t>
        </is>
      </c>
      <c r="E841" t="inlineStr">
        <is>
          <t>RAGUNDA</t>
        </is>
      </c>
      <c r="G841" t="n">
        <v>3.5</v>
      </c>
      <c r="H841" t="n">
        <v>0</v>
      </c>
      <c r="I841" t="n">
        <v>0</v>
      </c>
      <c r="J841" t="n">
        <v>0</v>
      </c>
      <c r="K841" t="n">
        <v>0</v>
      </c>
      <c r="L841" t="n">
        <v>0</v>
      </c>
      <c r="M841" t="n">
        <v>0</v>
      </c>
      <c r="N841" t="n">
        <v>0</v>
      </c>
      <c r="O841" t="n">
        <v>0</v>
      </c>
      <c r="P841" t="n">
        <v>0</v>
      </c>
      <c r="Q841" t="n">
        <v>0</v>
      </c>
      <c r="R841" s="2" t="inlineStr"/>
    </row>
    <row r="842" ht="15" customHeight="1">
      <c r="A842" t="inlineStr">
        <is>
          <t>A 18375-2022</t>
        </is>
      </c>
      <c r="B842" s="1" t="n">
        <v>44685</v>
      </c>
      <c r="C842" s="1" t="n">
        <v>45889</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55536-2024</t>
        </is>
      </c>
      <c r="B843" s="1" t="n">
        <v>45622</v>
      </c>
      <c r="C843" s="1" t="n">
        <v>45889</v>
      </c>
      <c r="D843" t="inlineStr">
        <is>
          <t>JÄMTLANDS LÄN</t>
        </is>
      </c>
      <c r="E843" t="inlineStr">
        <is>
          <t>RAGUNDA</t>
        </is>
      </c>
      <c r="G843" t="n">
        <v>0.8</v>
      </c>
      <c r="H843" t="n">
        <v>0</v>
      </c>
      <c r="I843" t="n">
        <v>0</v>
      </c>
      <c r="J843" t="n">
        <v>0</v>
      </c>
      <c r="K843" t="n">
        <v>0</v>
      </c>
      <c r="L843" t="n">
        <v>0</v>
      </c>
      <c r="M843" t="n">
        <v>0</v>
      </c>
      <c r="N843" t="n">
        <v>0</v>
      </c>
      <c r="O843" t="n">
        <v>0</v>
      </c>
      <c r="P843" t="n">
        <v>0</v>
      </c>
      <c r="Q843" t="n">
        <v>0</v>
      </c>
      <c r="R843" s="2" t="inlineStr"/>
    </row>
    <row r="844" ht="15" customHeight="1">
      <c r="A844" t="inlineStr">
        <is>
          <t>A 59286-2023</t>
        </is>
      </c>
      <c r="B844" s="1" t="n">
        <v>45253</v>
      </c>
      <c r="C844" s="1" t="n">
        <v>45889</v>
      </c>
      <c r="D844" t="inlineStr">
        <is>
          <t>JÄMTLANDS LÄN</t>
        </is>
      </c>
      <c r="E844" t="inlineStr">
        <is>
          <t>RAGUNDA</t>
        </is>
      </c>
      <c r="G844" t="n">
        <v>1</v>
      </c>
      <c r="H844" t="n">
        <v>0</v>
      </c>
      <c r="I844" t="n">
        <v>0</v>
      </c>
      <c r="J844" t="n">
        <v>0</v>
      </c>
      <c r="K844" t="n">
        <v>0</v>
      </c>
      <c r="L844" t="n">
        <v>0</v>
      </c>
      <c r="M844" t="n">
        <v>0</v>
      </c>
      <c r="N844" t="n">
        <v>0</v>
      </c>
      <c r="O844" t="n">
        <v>0</v>
      </c>
      <c r="P844" t="n">
        <v>0</v>
      </c>
      <c r="Q844" t="n">
        <v>0</v>
      </c>
      <c r="R844" s="2" t="inlineStr"/>
    </row>
    <row r="845" ht="15" customHeight="1">
      <c r="A845" t="inlineStr">
        <is>
          <t>A 2411-2023</t>
        </is>
      </c>
      <c r="B845" s="1" t="n">
        <v>44942</v>
      </c>
      <c r="C845" s="1" t="n">
        <v>45889</v>
      </c>
      <c r="D845" t="inlineStr">
        <is>
          <t>JÄMTLANDS LÄN</t>
        </is>
      </c>
      <c r="E845" t="inlineStr">
        <is>
          <t>RAGUNDA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11834-2023</t>
        </is>
      </c>
      <c r="B846" s="1" t="n">
        <v>44994.94296296296</v>
      </c>
      <c r="C846" s="1" t="n">
        <v>45889</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53264-2024</t>
        </is>
      </c>
      <c r="B847" s="1" t="n">
        <v>45614.34545138889</v>
      </c>
      <c r="C847" s="1" t="n">
        <v>45889</v>
      </c>
      <c r="D847" t="inlineStr">
        <is>
          <t>JÄMTLANDS LÄN</t>
        </is>
      </c>
      <c r="E847" t="inlineStr">
        <is>
          <t>RAGUNDA</t>
        </is>
      </c>
      <c r="G847" t="n">
        <v>1.4</v>
      </c>
      <c r="H847" t="n">
        <v>0</v>
      </c>
      <c r="I847" t="n">
        <v>0</v>
      </c>
      <c r="J847" t="n">
        <v>0</v>
      </c>
      <c r="K847" t="n">
        <v>0</v>
      </c>
      <c r="L847" t="n">
        <v>0</v>
      </c>
      <c r="M847" t="n">
        <v>0</v>
      </c>
      <c r="N847" t="n">
        <v>0</v>
      </c>
      <c r="O847" t="n">
        <v>0</v>
      </c>
      <c r="P847" t="n">
        <v>0</v>
      </c>
      <c r="Q847" t="n">
        <v>0</v>
      </c>
      <c r="R847" s="2" t="inlineStr"/>
    </row>
    <row r="848" ht="15" customHeight="1">
      <c r="A848" t="inlineStr">
        <is>
          <t>A 7284-2025</t>
        </is>
      </c>
      <c r="B848" s="1" t="n">
        <v>45702.63604166666</v>
      </c>
      <c r="C848" s="1" t="n">
        <v>45889</v>
      </c>
      <c r="D848" t="inlineStr">
        <is>
          <t>JÄMTLANDS LÄN</t>
        </is>
      </c>
      <c r="E848" t="inlineStr">
        <is>
          <t>RAGUNDA</t>
        </is>
      </c>
      <c r="F848" t="inlineStr">
        <is>
          <t>SCA</t>
        </is>
      </c>
      <c r="G848" t="n">
        <v>0.3</v>
      </c>
      <c r="H848" t="n">
        <v>0</v>
      </c>
      <c r="I848" t="n">
        <v>0</v>
      </c>
      <c r="J848" t="n">
        <v>0</v>
      </c>
      <c r="K848" t="n">
        <v>0</v>
      </c>
      <c r="L848" t="n">
        <v>0</v>
      </c>
      <c r="M848" t="n">
        <v>0</v>
      </c>
      <c r="N848" t="n">
        <v>0</v>
      </c>
      <c r="O848" t="n">
        <v>0</v>
      </c>
      <c r="P848" t="n">
        <v>0</v>
      </c>
      <c r="Q848" t="n">
        <v>0</v>
      </c>
      <c r="R848" s="2" t="inlineStr"/>
    </row>
    <row r="849" ht="15" customHeight="1">
      <c r="A849" t="inlineStr">
        <is>
          <t>A 50431-2024</t>
        </is>
      </c>
      <c r="B849" s="1" t="n">
        <v>45601.40686342592</v>
      </c>
      <c r="C849" s="1" t="n">
        <v>45889</v>
      </c>
      <c r="D849" t="inlineStr">
        <is>
          <t>JÄMTLANDS LÄN</t>
        </is>
      </c>
      <c r="E849" t="inlineStr">
        <is>
          <t>RAGUNDA</t>
        </is>
      </c>
      <c r="F849" t="inlineStr">
        <is>
          <t>SCA</t>
        </is>
      </c>
      <c r="G849" t="n">
        <v>8.5</v>
      </c>
      <c r="H849" t="n">
        <v>0</v>
      </c>
      <c r="I849" t="n">
        <v>0</v>
      </c>
      <c r="J849" t="n">
        <v>0</v>
      </c>
      <c r="K849" t="n">
        <v>0</v>
      </c>
      <c r="L849" t="n">
        <v>0</v>
      </c>
      <c r="M849" t="n">
        <v>0</v>
      </c>
      <c r="N849" t="n">
        <v>0</v>
      </c>
      <c r="O849" t="n">
        <v>0</v>
      </c>
      <c r="P849" t="n">
        <v>0</v>
      </c>
      <c r="Q849" t="n">
        <v>0</v>
      </c>
      <c r="R849" s="2" t="inlineStr"/>
    </row>
    <row r="850" ht="15" customHeight="1">
      <c r="A850" t="inlineStr">
        <is>
          <t>A 26246-2025</t>
        </is>
      </c>
      <c r="B850" s="1" t="n">
        <v>45805.57390046296</v>
      </c>
      <c r="C850" s="1" t="n">
        <v>45889</v>
      </c>
      <c r="D850" t="inlineStr">
        <is>
          <t>JÄMTLANDS LÄN</t>
        </is>
      </c>
      <c r="E850" t="inlineStr">
        <is>
          <t>RAGUNDA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16334-2025</t>
        </is>
      </c>
      <c r="B851" s="1" t="n">
        <v>45751.36490740741</v>
      </c>
      <c r="C851" s="1" t="n">
        <v>45889</v>
      </c>
      <c r="D851" t="inlineStr">
        <is>
          <t>JÄMTLANDS LÄN</t>
        </is>
      </c>
      <c r="E851" t="inlineStr">
        <is>
          <t>RAGUNDA</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2001-2025</t>
        </is>
      </c>
      <c r="B852" s="1" t="n">
        <v>45672.44898148148</v>
      </c>
      <c r="C852" s="1" t="n">
        <v>45889</v>
      </c>
      <c r="D852" t="inlineStr">
        <is>
          <t>JÄMTLANDS LÄN</t>
        </is>
      </c>
      <c r="E852" t="inlineStr">
        <is>
          <t>RAGUNDA</t>
        </is>
      </c>
      <c r="F852" t="inlineStr">
        <is>
          <t>SCA</t>
        </is>
      </c>
      <c r="G852" t="n">
        <v>16.2</v>
      </c>
      <c r="H852" t="n">
        <v>0</v>
      </c>
      <c r="I852" t="n">
        <v>0</v>
      </c>
      <c r="J852" t="n">
        <v>0</v>
      </c>
      <c r="K852" t="n">
        <v>0</v>
      </c>
      <c r="L852" t="n">
        <v>0</v>
      </c>
      <c r="M852" t="n">
        <v>0</v>
      </c>
      <c r="N852" t="n">
        <v>0</v>
      </c>
      <c r="O852" t="n">
        <v>0</v>
      </c>
      <c r="P852" t="n">
        <v>0</v>
      </c>
      <c r="Q852" t="n">
        <v>0</v>
      </c>
      <c r="R852" s="2" t="inlineStr"/>
    </row>
    <row r="853" ht="15" customHeight="1">
      <c r="A853" t="inlineStr">
        <is>
          <t>A 35092-2025</t>
        </is>
      </c>
      <c r="B853" s="1" t="n">
        <v>45852.53185185185</v>
      </c>
      <c r="C853" s="1" t="n">
        <v>45889</v>
      </c>
      <c r="D853" t="inlineStr">
        <is>
          <t>JÄMTLANDS LÄN</t>
        </is>
      </c>
      <c r="E853" t="inlineStr">
        <is>
          <t>RAGUNDA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60012-2023</t>
        </is>
      </c>
      <c r="B854" s="1" t="n">
        <v>45257</v>
      </c>
      <c r="C854" s="1" t="n">
        <v>45889</v>
      </c>
      <c r="D854" t="inlineStr">
        <is>
          <t>JÄMTLANDS LÄN</t>
        </is>
      </c>
      <c r="E854" t="inlineStr">
        <is>
          <t>RAGUNDA</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20221-2025</t>
        </is>
      </c>
      <c r="B855" s="1" t="n">
        <v>45772.6565625</v>
      </c>
      <c r="C855" s="1" t="n">
        <v>45889</v>
      </c>
      <c r="D855" t="inlineStr">
        <is>
          <t>JÄMTLANDS LÄN</t>
        </is>
      </c>
      <c r="E855" t="inlineStr">
        <is>
          <t>RAGUNDA</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7284-2024</t>
        </is>
      </c>
      <c r="B856" s="1" t="n">
        <v>45344.92865740741</v>
      </c>
      <c r="C856" s="1" t="n">
        <v>45889</v>
      </c>
      <c r="D856" t="inlineStr">
        <is>
          <t>JÄMTLANDS LÄN</t>
        </is>
      </c>
      <c r="E856" t="inlineStr">
        <is>
          <t>RAGUNDA</t>
        </is>
      </c>
      <c r="G856" t="n">
        <v>2.1</v>
      </c>
      <c r="H856" t="n">
        <v>0</v>
      </c>
      <c r="I856" t="n">
        <v>0</v>
      </c>
      <c r="J856" t="n">
        <v>0</v>
      </c>
      <c r="K856" t="n">
        <v>0</v>
      </c>
      <c r="L856" t="n">
        <v>0</v>
      </c>
      <c r="M856" t="n">
        <v>0</v>
      </c>
      <c r="N856" t="n">
        <v>0</v>
      </c>
      <c r="O856" t="n">
        <v>0</v>
      </c>
      <c r="P856" t="n">
        <v>0</v>
      </c>
      <c r="Q856" t="n">
        <v>0</v>
      </c>
      <c r="R856" s="2" t="inlineStr"/>
    </row>
    <row r="857" ht="15" customHeight="1">
      <c r="A857" t="inlineStr">
        <is>
          <t>A 7285-2024</t>
        </is>
      </c>
      <c r="B857" s="1" t="n">
        <v>45344.92873842592</v>
      </c>
      <c r="C857" s="1" t="n">
        <v>45889</v>
      </c>
      <c r="D857" t="inlineStr">
        <is>
          <t>JÄMTLANDS LÄN</t>
        </is>
      </c>
      <c r="E857" t="inlineStr">
        <is>
          <t>RAGUNDA</t>
        </is>
      </c>
      <c r="G857" t="n">
        <v>0.5</v>
      </c>
      <c r="H857" t="n">
        <v>0</v>
      </c>
      <c r="I857" t="n">
        <v>0</v>
      </c>
      <c r="J857" t="n">
        <v>0</v>
      </c>
      <c r="K857" t="n">
        <v>0</v>
      </c>
      <c r="L857" t="n">
        <v>0</v>
      </c>
      <c r="M857" t="n">
        <v>0</v>
      </c>
      <c r="N857" t="n">
        <v>0</v>
      </c>
      <c r="O857" t="n">
        <v>0</v>
      </c>
      <c r="P857" t="n">
        <v>0</v>
      </c>
      <c r="Q857" t="n">
        <v>0</v>
      </c>
      <c r="R857" s="2" t="inlineStr"/>
    </row>
    <row r="858" ht="15" customHeight="1">
      <c r="A858" t="inlineStr">
        <is>
          <t>A 2242-2024</t>
        </is>
      </c>
      <c r="B858" s="1" t="n">
        <v>45309</v>
      </c>
      <c r="C858" s="1" t="n">
        <v>45889</v>
      </c>
      <c r="D858" t="inlineStr">
        <is>
          <t>JÄMTLANDS LÄN</t>
        </is>
      </c>
      <c r="E858" t="inlineStr">
        <is>
          <t>RAGUNDA</t>
        </is>
      </c>
      <c r="G858" t="n">
        <v>0.9</v>
      </c>
      <c r="H858" t="n">
        <v>0</v>
      </c>
      <c r="I858" t="n">
        <v>0</v>
      </c>
      <c r="J858" t="n">
        <v>0</v>
      </c>
      <c r="K858" t="n">
        <v>0</v>
      </c>
      <c r="L858" t="n">
        <v>0</v>
      </c>
      <c r="M858" t="n">
        <v>0</v>
      </c>
      <c r="N858" t="n">
        <v>0</v>
      </c>
      <c r="O858" t="n">
        <v>0</v>
      </c>
      <c r="P858" t="n">
        <v>0</v>
      </c>
      <c r="Q858" t="n">
        <v>0</v>
      </c>
      <c r="R858" s="2" t="inlineStr"/>
    </row>
    <row r="859" ht="15" customHeight="1">
      <c r="A859" t="inlineStr">
        <is>
          <t>A 2248-2024</t>
        </is>
      </c>
      <c r="B859" s="1" t="n">
        <v>45309</v>
      </c>
      <c r="C859" s="1" t="n">
        <v>45889</v>
      </c>
      <c r="D859" t="inlineStr">
        <is>
          <t>JÄMTLANDS LÄN</t>
        </is>
      </c>
      <c r="E859" t="inlineStr">
        <is>
          <t>RAGUNDA</t>
        </is>
      </c>
      <c r="G859" t="n">
        <v>4.2</v>
      </c>
      <c r="H859" t="n">
        <v>0</v>
      </c>
      <c r="I859" t="n">
        <v>0</v>
      </c>
      <c r="J859" t="n">
        <v>0</v>
      </c>
      <c r="K859" t="n">
        <v>0</v>
      </c>
      <c r="L859" t="n">
        <v>0</v>
      </c>
      <c r="M859" t="n">
        <v>0</v>
      </c>
      <c r="N859" t="n">
        <v>0</v>
      </c>
      <c r="O859" t="n">
        <v>0</v>
      </c>
      <c r="P859" t="n">
        <v>0</v>
      </c>
      <c r="Q859" t="n">
        <v>0</v>
      </c>
      <c r="R859" s="2" t="inlineStr"/>
    </row>
    <row r="860" ht="15" customHeight="1">
      <c r="A860" t="inlineStr">
        <is>
          <t>A 5958-2021</t>
        </is>
      </c>
      <c r="B860" s="1" t="n">
        <v>44231</v>
      </c>
      <c r="C860" s="1" t="n">
        <v>45889</v>
      </c>
      <c r="D860" t="inlineStr">
        <is>
          <t>JÄMTLANDS LÄN</t>
        </is>
      </c>
      <c r="E860" t="inlineStr">
        <is>
          <t>RAGUNDA</t>
        </is>
      </c>
      <c r="G860" t="n">
        <v>3.1</v>
      </c>
      <c r="H860" t="n">
        <v>0</v>
      </c>
      <c r="I860" t="n">
        <v>0</v>
      </c>
      <c r="J860" t="n">
        <v>0</v>
      </c>
      <c r="K860" t="n">
        <v>0</v>
      </c>
      <c r="L860" t="n">
        <v>0</v>
      </c>
      <c r="M860" t="n">
        <v>0</v>
      </c>
      <c r="N860" t="n">
        <v>0</v>
      </c>
      <c r="O860" t="n">
        <v>0</v>
      </c>
      <c r="P860" t="n">
        <v>0</v>
      </c>
      <c r="Q860" t="n">
        <v>0</v>
      </c>
      <c r="R860" s="2" t="inlineStr"/>
    </row>
    <row r="861" ht="15" customHeight="1">
      <c r="A861" t="inlineStr">
        <is>
          <t>A 24197-2024</t>
        </is>
      </c>
      <c r="B861" s="1" t="n">
        <v>45456.96601851852</v>
      </c>
      <c r="C861" s="1" t="n">
        <v>45889</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4916-2025</t>
        </is>
      </c>
      <c r="B862" s="1" t="n">
        <v>45688.68196759259</v>
      </c>
      <c r="C862" s="1" t="n">
        <v>45889</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35265-2023</t>
        </is>
      </c>
      <c r="B863" s="1" t="n">
        <v>45145.95326388889</v>
      </c>
      <c r="C863" s="1" t="n">
        <v>45889</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31435-2022</t>
        </is>
      </c>
      <c r="B864" s="1" t="n">
        <v>44774</v>
      </c>
      <c r="C864" s="1" t="n">
        <v>45889</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34999-2025</t>
        </is>
      </c>
      <c r="B865" s="1" t="n">
        <v>45850.34450231482</v>
      </c>
      <c r="C865" s="1" t="n">
        <v>45889</v>
      </c>
      <c r="D865" t="inlineStr">
        <is>
          <t>JÄMTLANDS LÄN</t>
        </is>
      </c>
      <c r="E865" t="inlineStr">
        <is>
          <t>RAGUNDA</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50211-2023</t>
        </is>
      </c>
      <c r="B866" s="1" t="n">
        <v>45215.94657407407</v>
      </c>
      <c r="C866" s="1" t="n">
        <v>45889</v>
      </c>
      <c r="D866" t="inlineStr">
        <is>
          <t>JÄMTLANDS LÄN</t>
        </is>
      </c>
      <c r="E866" t="inlineStr">
        <is>
          <t>RAGUNDA</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73278-2021</t>
        </is>
      </c>
      <c r="B867" s="1" t="n">
        <v>44550.92168981482</v>
      </c>
      <c r="C867" s="1" t="n">
        <v>45889</v>
      </c>
      <c r="D867" t="inlineStr">
        <is>
          <t>JÄMTLANDS LÄN</t>
        </is>
      </c>
      <c r="E867" t="inlineStr">
        <is>
          <t>RAGUNDA</t>
        </is>
      </c>
      <c r="G867" t="n">
        <v>4.4</v>
      </c>
      <c r="H867" t="n">
        <v>0</v>
      </c>
      <c r="I867" t="n">
        <v>0</v>
      </c>
      <c r="J867" t="n">
        <v>0</v>
      </c>
      <c r="K867" t="n">
        <v>0</v>
      </c>
      <c r="L867" t="n">
        <v>0</v>
      </c>
      <c r="M867" t="n">
        <v>0</v>
      </c>
      <c r="N867" t="n">
        <v>0</v>
      </c>
      <c r="O867" t="n">
        <v>0</v>
      </c>
      <c r="P867" t="n">
        <v>0</v>
      </c>
      <c r="Q867" t="n">
        <v>0</v>
      </c>
      <c r="R867" s="2" t="inlineStr"/>
    </row>
    <row r="868" ht="15" customHeight="1">
      <c r="A868" t="inlineStr">
        <is>
          <t>A 34998-2025</t>
        </is>
      </c>
      <c r="B868" s="1" t="n">
        <v>45850.34434027778</v>
      </c>
      <c r="C868" s="1" t="n">
        <v>45889</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12475-2025</t>
        </is>
      </c>
      <c r="B869" s="1" t="n">
        <v>45730.56346064815</v>
      </c>
      <c r="C869" s="1" t="n">
        <v>45889</v>
      </c>
      <c r="D869" t="inlineStr">
        <is>
          <t>JÄMTLANDS LÄN</t>
        </is>
      </c>
      <c r="E869" t="inlineStr">
        <is>
          <t>RAGUNDA</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34710-2025</t>
        </is>
      </c>
      <c r="B870" s="1" t="n">
        <v>45848.49774305556</v>
      </c>
      <c r="C870" s="1" t="n">
        <v>45889</v>
      </c>
      <c r="D870" t="inlineStr">
        <is>
          <t>JÄMTLANDS LÄN</t>
        </is>
      </c>
      <c r="E870" t="inlineStr">
        <is>
          <t>RAGUNDA</t>
        </is>
      </c>
      <c r="G870" t="n">
        <v>4.1</v>
      </c>
      <c r="H870" t="n">
        <v>0</v>
      </c>
      <c r="I870" t="n">
        <v>0</v>
      </c>
      <c r="J870" t="n">
        <v>0</v>
      </c>
      <c r="K870" t="n">
        <v>0</v>
      </c>
      <c r="L870" t="n">
        <v>0</v>
      </c>
      <c r="M870" t="n">
        <v>0</v>
      </c>
      <c r="N870" t="n">
        <v>0</v>
      </c>
      <c r="O870" t="n">
        <v>0</v>
      </c>
      <c r="P870" t="n">
        <v>0</v>
      </c>
      <c r="Q870" t="n">
        <v>0</v>
      </c>
      <c r="R870" s="2" t="inlineStr"/>
    </row>
    <row r="871" ht="15" customHeight="1">
      <c r="A871" t="inlineStr">
        <is>
          <t>A 16529-2022</t>
        </is>
      </c>
      <c r="B871" s="1" t="n">
        <v>44671</v>
      </c>
      <c r="C871" s="1" t="n">
        <v>45889</v>
      </c>
      <c r="D871" t="inlineStr">
        <is>
          <t>JÄMTLANDS LÄN</t>
        </is>
      </c>
      <c r="E871" t="inlineStr">
        <is>
          <t>RAGUNDA</t>
        </is>
      </c>
      <c r="G871" t="n">
        <v>1.5</v>
      </c>
      <c r="H871" t="n">
        <v>0</v>
      </c>
      <c r="I871" t="n">
        <v>0</v>
      </c>
      <c r="J871" t="n">
        <v>0</v>
      </c>
      <c r="K871" t="n">
        <v>0</v>
      </c>
      <c r="L871" t="n">
        <v>0</v>
      </c>
      <c r="M871" t="n">
        <v>0</v>
      </c>
      <c r="N871" t="n">
        <v>0</v>
      </c>
      <c r="O871" t="n">
        <v>0</v>
      </c>
      <c r="P871" t="n">
        <v>0</v>
      </c>
      <c r="Q871" t="n">
        <v>0</v>
      </c>
      <c r="R871" s="2" t="inlineStr"/>
    </row>
    <row r="872" ht="15" customHeight="1">
      <c r="A872" t="inlineStr">
        <is>
          <t>A 51685-2020</t>
        </is>
      </c>
      <c r="B872" s="1" t="n">
        <v>44113</v>
      </c>
      <c r="C872" s="1" t="n">
        <v>45889</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40269-2022</t>
        </is>
      </c>
      <c r="B873" s="1" t="n">
        <v>44820</v>
      </c>
      <c r="C873" s="1" t="n">
        <v>45889</v>
      </c>
      <c r="D873" t="inlineStr">
        <is>
          <t>JÄMTLANDS LÄN</t>
        </is>
      </c>
      <c r="E873" t="inlineStr">
        <is>
          <t>RAGUNDA</t>
        </is>
      </c>
      <c r="F873" t="inlineStr">
        <is>
          <t>SCA</t>
        </is>
      </c>
      <c r="G873" t="n">
        <v>77.8</v>
      </c>
      <c r="H873" t="n">
        <v>0</v>
      </c>
      <c r="I873" t="n">
        <v>0</v>
      </c>
      <c r="J873" t="n">
        <v>0</v>
      </c>
      <c r="K873" t="n">
        <v>0</v>
      </c>
      <c r="L873" t="n">
        <v>0</v>
      </c>
      <c r="M873" t="n">
        <v>0</v>
      </c>
      <c r="N873" t="n">
        <v>0</v>
      </c>
      <c r="O873" t="n">
        <v>0</v>
      </c>
      <c r="P873" t="n">
        <v>0</v>
      </c>
      <c r="Q873" t="n">
        <v>0</v>
      </c>
      <c r="R873" s="2" t="inlineStr"/>
    </row>
    <row r="874" ht="15" customHeight="1">
      <c r="A874" t="inlineStr">
        <is>
          <t>A 23305-2023</t>
        </is>
      </c>
      <c r="B874" s="1" t="n">
        <v>45075.94506944445</v>
      </c>
      <c r="C874" s="1" t="n">
        <v>45889</v>
      </c>
      <c r="D874" t="inlineStr">
        <is>
          <t>JÄMTLANDS LÄN</t>
        </is>
      </c>
      <c r="E874" t="inlineStr">
        <is>
          <t>RAGUNDA</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4615-2023</t>
        </is>
      </c>
      <c r="B875" s="1" t="n">
        <v>44956.93924768519</v>
      </c>
      <c r="C875" s="1" t="n">
        <v>45889</v>
      </c>
      <c r="D875" t="inlineStr">
        <is>
          <t>JÄMTLANDS LÄN</t>
        </is>
      </c>
      <c r="E875" t="inlineStr">
        <is>
          <t>RAGUNDA</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2673-2024</t>
        </is>
      </c>
      <c r="B876" s="1" t="n">
        <v>45314</v>
      </c>
      <c r="C876" s="1" t="n">
        <v>45889</v>
      </c>
      <c r="D876" t="inlineStr">
        <is>
          <t>JÄMTLANDS LÄN</t>
        </is>
      </c>
      <c r="E876" t="inlineStr">
        <is>
          <t>RAGUNDA</t>
        </is>
      </c>
      <c r="G876" t="n">
        <v>0.9</v>
      </c>
      <c r="H876" t="n">
        <v>0</v>
      </c>
      <c r="I876" t="n">
        <v>0</v>
      </c>
      <c r="J876" t="n">
        <v>0</v>
      </c>
      <c r="K876" t="n">
        <v>0</v>
      </c>
      <c r="L876" t="n">
        <v>0</v>
      </c>
      <c r="M876" t="n">
        <v>0</v>
      </c>
      <c r="N876" t="n">
        <v>0</v>
      </c>
      <c r="O876" t="n">
        <v>0</v>
      </c>
      <c r="P876" t="n">
        <v>0</v>
      </c>
      <c r="Q876" t="n">
        <v>0</v>
      </c>
      <c r="R876" s="2" t="inlineStr"/>
    </row>
    <row r="877" ht="15" customHeight="1">
      <c r="A877" t="inlineStr">
        <is>
          <t>A 57112-2024</t>
        </is>
      </c>
      <c r="B877" s="1" t="n">
        <v>45629.36486111111</v>
      </c>
      <c r="C877" s="1" t="n">
        <v>45889</v>
      </c>
      <c r="D877" t="inlineStr">
        <is>
          <t>JÄMTLANDS LÄN</t>
        </is>
      </c>
      <c r="E877" t="inlineStr">
        <is>
          <t>RAGUNDA</t>
        </is>
      </c>
      <c r="G877" t="n">
        <v>0.7</v>
      </c>
      <c r="H877" t="n">
        <v>0</v>
      </c>
      <c r="I877" t="n">
        <v>0</v>
      </c>
      <c r="J877" t="n">
        <v>0</v>
      </c>
      <c r="K877" t="n">
        <v>0</v>
      </c>
      <c r="L877" t="n">
        <v>0</v>
      </c>
      <c r="M877" t="n">
        <v>0</v>
      </c>
      <c r="N877" t="n">
        <v>0</v>
      </c>
      <c r="O877" t="n">
        <v>0</v>
      </c>
      <c r="P877" t="n">
        <v>0</v>
      </c>
      <c r="Q877" t="n">
        <v>0</v>
      </c>
      <c r="R877" s="2" t="inlineStr"/>
    </row>
    <row r="878" ht="15" customHeight="1">
      <c r="A878" t="inlineStr">
        <is>
          <t>A 36375-2022</t>
        </is>
      </c>
      <c r="B878" s="1" t="n">
        <v>44803.94351851852</v>
      </c>
      <c r="C878" s="1" t="n">
        <v>45889</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35091-2025</t>
        </is>
      </c>
      <c r="B879" s="1" t="n">
        <v>45852.53168981482</v>
      </c>
      <c r="C879" s="1" t="n">
        <v>45889</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44536-2022</t>
        </is>
      </c>
      <c r="B880" s="1" t="n">
        <v>44839</v>
      </c>
      <c r="C880" s="1" t="n">
        <v>45889</v>
      </c>
      <c r="D880" t="inlineStr">
        <is>
          <t>JÄMTLANDS LÄN</t>
        </is>
      </c>
      <c r="E880" t="inlineStr">
        <is>
          <t>RAGUNDA</t>
        </is>
      </c>
      <c r="G880" t="n">
        <v>4</v>
      </c>
      <c r="H880" t="n">
        <v>0</v>
      </c>
      <c r="I880" t="n">
        <v>0</v>
      </c>
      <c r="J880" t="n">
        <v>0</v>
      </c>
      <c r="K880" t="n">
        <v>0</v>
      </c>
      <c r="L880" t="n">
        <v>0</v>
      </c>
      <c r="M880" t="n">
        <v>0</v>
      </c>
      <c r="N880" t="n">
        <v>0</v>
      </c>
      <c r="O880" t="n">
        <v>0</v>
      </c>
      <c r="P880" t="n">
        <v>0</v>
      </c>
      <c r="Q880" t="n">
        <v>0</v>
      </c>
      <c r="R880" s="2" t="inlineStr"/>
    </row>
    <row r="881" ht="15" customHeight="1">
      <c r="A881" t="inlineStr">
        <is>
          <t>A 17667-2025</t>
        </is>
      </c>
      <c r="B881" s="1" t="n">
        <v>45758.36487268518</v>
      </c>
      <c r="C881" s="1" t="n">
        <v>45889</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5148-2023</t>
        </is>
      </c>
      <c r="B882" s="1" t="n">
        <v>44958</v>
      </c>
      <c r="C882" s="1" t="n">
        <v>45889</v>
      </c>
      <c r="D882" t="inlineStr">
        <is>
          <t>JÄMTLANDS LÄN</t>
        </is>
      </c>
      <c r="E882" t="inlineStr">
        <is>
          <t>RAGUNDA</t>
        </is>
      </c>
      <c r="G882" t="n">
        <v>2.9</v>
      </c>
      <c r="H882" t="n">
        <v>0</v>
      </c>
      <c r="I882" t="n">
        <v>0</v>
      </c>
      <c r="J882" t="n">
        <v>0</v>
      </c>
      <c r="K882" t="n">
        <v>0</v>
      </c>
      <c r="L882" t="n">
        <v>0</v>
      </c>
      <c r="M882" t="n">
        <v>0</v>
      </c>
      <c r="N882" t="n">
        <v>0</v>
      </c>
      <c r="O882" t="n">
        <v>0</v>
      </c>
      <c r="P882" t="n">
        <v>0</v>
      </c>
      <c r="Q882" t="n">
        <v>0</v>
      </c>
      <c r="R882" s="2" t="inlineStr"/>
    </row>
    <row r="883" ht="15" customHeight="1">
      <c r="A883" t="inlineStr">
        <is>
          <t>A 36212-2023</t>
        </is>
      </c>
      <c r="B883" s="1" t="n">
        <v>45149.95241898148</v>
      </c>
      <c r="C883" s="1" t="n">
        <v>45889</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51396-2024</t>
        </is>
      </c>
      <c r="B884" s="1" t="n">
        <v>45604.4190625</v>
      </c>
      <c r="C884" s="1" t="n">
        <v>45889</v>
      </c>
      <c r="D884" t="inlineStr">
        <is>
          <t>JÄMTLANDS LÄN</t>
        </is>
      </c>
      <c r="E884" t="inlineStr">
        <is>
          <t>RAGUNDA</t>
        </is>
      </c>
      <c r="G884" t="n">
        <v>0.8</v>
      </c>
      <c r="H884" t="n">
        <v>0</v>
      </c>
      <c r="I884" t="n">
        <v>0</v>
      </c>
      <c r="J884" t="n">
        <v>0</v>
      </c>
      <c r="K884" t="n">
        <v>0</v>
      </c>
      <c r="L884" t="n">
        <v>0</v>
      </c>
      <c r="M884" t="n">
        <v>0</v>
      </c>
      <c r="N884" t="n">
        <v>0</v>
      </c>
      <c r="O884" t="n">
        <v>0</v>
      </c>
      <c r="P884" t="n">
        <v>0</v>
      </c>
      <c r="Q884" t="n">
        <v>0</v>
      </c>
      <c r="R884" s="2" t="inlineStr"/>
    </row>
    <row r="885" ht="15" customHeight="1">
      <c r="A885" t="inlineStr">
        <is>
          <t>A 34968-2025</t>
        </is>
      </c>
      <c r="B885" s="1" t="n">
        <v>45849.65663194445</v>
      </c>
      <c r="C885" s="1" t="n">
        <v>45889</v>
      </c>
      <c r="D885" t="inlineStr">
        <is>
          <t>JÄMTLANDS LÄN</t>
        </is>
      </c>
      <c r="E885" t="inlineStr">
        <is>
          <t>RAGUNDA</t>
        </is>
      </c>
      <c r="F885" t="inlineStr">
        <is>
          <t>SCA</t>
        </is>
      </c>
      <c r="G885" t="n">
        <v>20.2</v>
      </c>
      <c r="H885" t="n">
        <v>0</v>
      </c>
      <c r="I885" t="n">
        <v>0</v>
      </c>
      <c r="J885" t="n">
        <v>0</v>
      </c>
      <c r="K885" t="n">
        <v>0</v>
      </c>
      <c r="L885" t="n">
        <v>0</v>
      </c>
      <c r="M885" t="n">
        <v>0</v>
      </c>
      <c r="N885" t="n">
        <v>0</v>
      </c>
      <c r="O885" t="n">
        <v>0</v>
      </c>
      <c r="P885" t="n">
        <v>0</v>
      </c>
      <c r="Q885" t="n">
        <v>0</v>
      </c>
      <c r="R885" s="2" t="inlineStr"/>
    </row>
    <row r="886" ht="15" customHeight="1">
      <c r="A886" t="inlineStr">
        <is>
          <t>A 51049-2024</t>
        </is>
      </c>
      <c r="B886" s="1" t="n">
        <v>45603.44644675926</v>
      </c>
      <c r="C886" s="1" t="n">
        <v>45889</v>
      </c>
      <c r="D886" t="inlineStr">
        <is>
          <t>JÄMTLANDS LÄN</t>
        </is>
      </c>
      <c r="E886" t="inlineStr">
        <is>
          <t>RAGUNDA</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26640-2025</t>
        </is>
      </c>
      <c r="B887" s="1" t="n">
        <v>45810.36495370371</v>
      </c>
      <c r="C887" s="1" t="n">
        <v>45889</v>
      </c>
      <c r="D887" t="inlineStr">
        <is>
          <t>JÄMTLANDS LÄN</t>
        </is>
      </c>
      <c r="E887" t="inlineStr">
        <is>
          <t>RAGUNDA</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55489-2024</t>
        </is>
      </c>
      <c r="B888" s="1" t="n">
        <v>45622.44774305556</v>
      </c>
      <c r="C888" s="1" t="n">
        <v>45889</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34709-2025</t>
        </is>
      </c>
      <c r="B889" s="1" t="n">
        <v>45848.49761574074</v>
      </c>
      <c r="C889" s="1" t="n">
        <v>45889</v>
      </c>
      <c r="D889" t="inlineStr">
        <is>
          <t>JÄMTLANDS LÄN</t>
        </is>
      </c>
      <c r="E889" t="inlineStr">
        <is>
          <t>RAGUNDA</t>
        </is>
      </c>
      <c r="G889" t="n">
        <v>3.1</v>
      </c>
      <c r="H889" t="n">
        <v>0</v>
      </c>
      <c r="I889" t="n">
        <v>0</v>
      </c>
      <c r="J889" t="n">
        <v>0</v>
      </c>
      <c r="K889" t="n">
        <v>0</v>
      </c>
      <c r="L889" t="n">
        <v>0</v>
      </c>
      <c r="M889" t="n">
        <v>0</v>
      </c>
      <c r="N889" t="n">
        <v>0</v>
      </c>
      <c r="O889" t="n">
        <v>0</v>
      </c>
      <c r="P889" t="n">
        <v>0</v>
      </c>
      <c r="Q889" t="n">
        <v>0</v>
      </c>
      <c r="R889" s="2" t="inlineStr"/>
    </row>
    <row r="890" ht="15" customHeight="1">
      <c r="A890" t="inlineStr">
        <is>
          <t>A 10754-2025</t>
        </is>
      </c>
      <c r="B890" s="1" t="n">
        <v>45722.44849537037</v>
      </c>
      <c r="C890" s="1" t="n">
        <v>45889</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14074-2023</t>
        </is>
      </c>
      <c r="B891" s="1" t="n">
        <v>45009.089375</v>
      </c>
      <c r="C891" s="1" t="n">
        <v>45889</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53860-2023</t>
        </is>
      </c>
      <c r="B892" s="1" t="n">
        <v>45224</v>
      </c>
      <c r="C892" s="1" t="n">
        <v>45889</v>
      </c>
      <c r="D892" t="inlineStr">
        <is>
          <t>JÄMTLANDS LÄN</t>
        </is>
      </c>
      <c r="E892" t="inlineStr">
        <is>
          <t>RAGUNDA</t>
        </is>
      </c>
      <c r="G892" t="n">
        <v>3.3</v>
      </c>
      <c r="H892" t="n">
        <v>0</v>
      </c>
      <c r="I892" t="n">
        <v>0</v>
      </c>
      <c r="J892" t="n">
        <v>0</v>
      </c>
      <c r="K892" t="n">
        <v>0</v>
      </c>
      <c r="L892" t="n">
        <v>0</v>
      </c>
      <c r="M892" t="n">
        <v>0</v>
      </c>
      <c r="N892" t="n">
        <v>0</v>
      </c>
      <c r="O892" t="n">
        <v>0</v>
      </c>
      <c r="P892" t="n">
        <v>0</v>
      </c>
      <c r="Q892" t="n">
        <v>0</v>
      </c>
      <c r="R892" s="2" t="inlineStr"/>
    </row>
    <row r="893" ht="15" customHeight="1">
      <c r="A893" t="inlineStr">
        <is>
          <t>A 53762-2023</t>
        </is>
      </c>
      <c r="B893" s="1" t="n">
        <v>45230.96376157407</v>
      </c>
      <c r="C893" s="1" t="n">
        <v>45889</v>
      </c>
      <c r="D893" t="inlineStr">
        <is>
          <t>JÄMTLANDS LÄN</t>
        </is>
      </c>
      <c r="E893" t="inlineStr">
        <is>
          <t>RAGUNDA</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54599-2023</t>
        </is>
      </c>
      <c r="B894" s="1" t="n">
        <v>45233.92591435185</v>
      </c>
      <c r="C894" s="1" t="n">
        <v>45889</v>
      </c>
      <c r="D894" t="inlineStr">
        <is>
          <t>JÄMTLANDS LÄN</t>
        </is>
      </c>
      <c r="E894" t="inlineStr">
        <is>
          <t>RAGUNDA</t>
        </is>
      </c>
      <c r="G894" t="n">
        <v>3.7</v>
      </c>
      <c r="H894" t="n">
        <v>0</v>
      </c>
      <c r="I894" t="n">
        <v>0</v>
      </c>
      <c r="J894" t="n">
        <v>0</v>
      </c>
      <c r="K894" t="n">
        <v>0</v>
      </c>
      <c r="L894" t="n">
        <v>0</v>
      </c>
      <c r="M894" t="n">
        <v>0</v>
      </c>
      <c r="N894" t="n">
        <v>0</v>
      </c>
      <c r="O894" t="n">
        <v>0</v>
      </c>
      <c r="P894" t="n">
        <v>0</v>
      </c>
      <c r="Q894" t="n">
        <v>0</v>
      </c>
      <c r="R894" s="2" t="inlineStr"/>
    </row>
    <row r="895" ht="15" customHeight="1">
      <c r="A895" t="inlineStr">
        <is>
          <t>A 19089-2024</t>
        </is>
      </c>
      <c r="B895" s="1" t="n">
        <v>45428.00471064815</v>
      </c>
      <c r="C895" s="1" t="n">
        <v>45889</v>
      </c>
      <c r="D895" t="inlineStr">
        <is>
          <t>JÄMTLANDS LÄN</t>
        </is>
      </c>
      <c r="E895" t="inlineStr">
        <is>
          <t>RAGUNDA</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54764-2024</t>
        </is>
      </c>
      <c r="B896" s="1" t="n">
        <v>45618.46921296296</v>
      </c>
      <c r="C896" s="1" t="n">
        <v>45889</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10610-2024</t>
        </is>
      </c>
      <c r="B897" s="1" t="n">
        <v>45367.04693287037</v>
      </c>
      <c r="C897" s="1" t="n">
        <v>45889</v>
      </c>
      <c r="D897" t="inlineStr">
        <is>
          <t>JÄMTLANDS LÄN</t>
        </is>
      </c>
      <c r="E897" t="inlineStr">
        <is>
          <t>RAGUNDA</t>
        </is>
      </c>
      <c r="F897" t="inlineStr">
        <is>
          <t>SCA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8779-2025</t>
        </is>
      </c>
      <c r="B898" s="1" t="n">
        <v>45712.61552083334</v>
      </c>
      <c r="C898" s="1" t="n">
        <v>45889</v>
      </c>
      <c r="D898" t="inlineStr">
        <is>
          <t>JÄMTLANDS LÄN</t>
        </is>
      </c>
      <c r="E898" t="inlineStr">
        <is>
          <t>RAGUNDA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20574-2025</t>
        </is>
      </c>
      <c r="B899" s="1" t="n">
        <v>45775.67747685185</v>
      </c>
      <c r="C899" s="1" t="n">
        <v>45889</v>
      </c>
      <c r="D899" t="inlineStr">
        <is>
          <t>JÄMTLANDS LÄN</t>
        </is>
      </c>
      <c r="E899" t="inlineStr">
        <is>
          <t>RAGUNDA</t>
        </is>
      </c>
      <c r="F899" t="inlineStr">
        <is>
          <t>SCA</t>
        </is>
      </c>
      <c r="G899" t="n">
        <v>5.1</v>
      </c>
      <c r="H899" t="n">
        <v>0</v>
      </c>
      <c r="I899" t="n">
        <v>0</v>
      </c>
      <c r="J899" t="n">
        <v>0</v>
      </c>
      <c r="K899" t="n">
        <v>0</v>
      </c>
      <c r="L899" t="n">
        <v>0</v>
      </c>
      <c r="M899" t="n">
        <v>0</v>
      </c>
      <c r="N899" t="n">
        <v>0</v>
      </c>
      <c r="O899" t="n">
        <v>0</v>
      </c>
      <c r="P899" t="n">
        <v>0</v>
      </c>
      <c r="Q899" t="n">
        <v>0</v>
      </c>
      <c r="R899" s="2" t="inlineStr"/>
    </row>
    <row r="900" ht="15" customHeight="1">
      <c r="A900" t="inlineStr">
        <is>
          <t>A 16676-2022</t>
        </is>
      </c>
      <c r="B900" s="1" t="n">
        <v>44672.94018518519</v>
      </c>
      <c r="C900" s="1" t="n">
        <v>45889</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35355-2025</t>
        </is>
      </c>
      <c r="B901" s="1" t="n">
        <v>45854.65663194445</v>
      </c>
      <c r="C901" s="1" t="n">
        <v>45889</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57078-2023</t>
        </is>
      </c>
      <c r="B902" s="1" t="n">
        <v>45244.96774305555</v>
      </c>
      <c r="C902" s="1" t="n">
        <v>45889</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7279-2024</t>
        </is>
      </c>
      <c r="B903" s="1" t="n">
        <v>45344.92822916667</v>
      </c>
      <c r="C903" s="1" t="n">
        <v>45889</v>
      </c>
      <c r="D903" t="inlineStr">
        <is>
          <t>JÄMTLANDS LÄN</t>
        </is>
      </c>
      <c r="E903" t="inlineStr">
        <is>
          <t>RAGUNDA</t>
        </is>
      </c>
      <c r="G903" t="n">
        <v>2.1</v>
      </c>
      <c r="H903" t="n">
        <v>0</v>
      </c>
      <c r="I903" t="n">
        <v>0</v>
      </c>
      <c r="J903" t="n">
        <v>0</v>
      </c>
      <c r="K903" t="n">
        <v>0</v>
      </c>
      <c r="L903" t="n">
        <v>0</v>
      </c>
      <c r="M903" t="n">
        <v>0</v>
      </c>
      <c r="N903" t="n">
        <v>0</v>
      </c>
      <c r="O903" t="n">
        <v>0</v>
      </c>
      <c r="P903" t="n">
        <v>0</v>
      </c>
      <c r="Q903" t="n">
        <v>0</v>
      </c>
      <c r="R903" s="2" t="inlineStr"/>
    </row>
    <row r="904" ht="15" customHeight="1">
      <c r="A904" t="inlineStr">
        <is>
          <t>A 12976-2025</t>
        </is>
      </c>
      <c r="B904" s="1" t="n">
        <v>45734.45268518518</v>
      </c>
      <c r="C904" s="1" t="n">
        <v>45889</v>
      </c>
      <c r="D904" t="inlineStr">
        <is>
          <t>JÄMTLANDS LÄN</t>
        </is>
      </c>
      <c r="E904" t="inlineStr">
        <is>
          <t>RAGUNDA</t>
        </is>
      </c>
      <c r="G904" t="n">
        <v>24.2</v>
      </c>
      <c r="H904" t="n">
        <v>0</v>
      </c>
      <c r="I904" t="n">
        <v>0</v>
      </c>
      <c r="J904" t="n">
        <v>0</v>
      </c>
      <c r="K904" t="n">
        <v>0</v>
      </c>
      <c r="L904" t="n">
        <v>0</v>
      </c>
      <c r="M904" t="n">
        <v>0</v>
      </c>
      <c r="N904" t="n">
        <v>0</v>
      </c>
      <c r="O904" t="n">
        <v>0</v>
      </c>
      <c r="P904" t="n">
        <v>0</v>
      </c>
      <c r="Q904" t="n">
        <v>0</v>
      </c>
      <c r="R904" s="2" t="inlineStr"/>
    </row>
    <row r="905" ht="15" customHeight="1">
      <c r="A905" t="inlineStr">
        <is>
          <t>A 56286-2023</t>
        </is>
      </c>
      <c r="B905" s="1" t="n">
        <v>45241.95741898148</v>
      </c>
      <c r="C905" s="1" t="n">
        <v>45889</v>
      </c>
      <c r="D905" t="inlineStr">
        <is>
          <t>JÄMTLANDS LÄN</t>
        </is>
      </c>
      <c r="E905" t="inlineStr">
        <is>
          <t>RAGUNDA</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56287-2023</t>
        </is>
      </c>
      <c r="B906" s="1" t="n">
        <v>45241</v>
      </c>
      <c r="C906" s="1" t="n">
        <v>45889</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59658-2023</t>
        </is>
      </c>
      <c r="B907" s="1" t="n">
        <v>45254.96402777778</v>
      </c>
      <c r="C907" s="1" t="n">
        <v>45889</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1809-2025</t>
        </is>
      </c>
      <c r="B908" s="1" t="n">
        <v>45671.48989583334</v>
      </c>
      <c r="C908" s="1" t="n">
        <v>45889</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33432-2023</t>
        </is>
      </c>
      <c r="B909" s="1" t="n">
        <v>45128</v>
      </c>
      <c r="C909" s="1" t="n">
        <v>45889</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10706-2023</t>
        </is>
      </c>
      <c r="B910" s="1" t="n">
        <v>44984</v>
      </c>
      <c r="C910" s="1" t="n">
        <v>45889</v>
      </c>
      <c r="D910" t="inlineStr">
        <is>
          <t>JÄMTLANDS LÄN</t>
        </is>
      </c>
      <c r="E910" t="inlineStr">
        <is>
          <t>RAGUNDA</t>
        </is>
      </c>
      <c r="G910" t="n">
        <v>7.7</v>
      </c>
      <c r="H910" t="n">
        <v>0</v>
      </c>
      <c r="I910" t="n">
        <v>0</v>
      </c>
      <c r="J910" t="n">
        <v>0</v>
      </c>
      <c r="K910" t="n">
        <v>0</v>
      </c>
      <c r="L910" t="n">
        <v>0</v>
      </c>
      <c r="M910" t="n">
        <v>0</v>
      </c>
      <c r="N910" t="n">
        <v>0</v>
      </c>
      <c r="O910" t="n">
        <v>0</v>
      </c>
      <c r="P910" t="n">
        <v>0</v>
      </c>
      <c r="Q910" t="n">
        <v>0</v>
      </c>
      <c r="R910" s="2" t="inlineStr"/>
    </row>
    <row r="911" ht="15" customHeight="1">
      <c r="A911" t="inlineStr">
        <is>
          <t>A 28081-2022</t>
        </is>
      </c>
      <c r="B911" s="1" t="n">
        <v>44746</v>
      </c>
      <c r="C911" s="1" t="n">
        <v>45889</v>
      </c>
      <c r="D911" t="inlineStr">
        <is>
          <t>JÄMTLANDS LÄN</t>
        </is>
      </c>
      <c r="E911" t="inlineStr">
        <is>
          <t>RAGUNDA</t>
        </is>
      </c>
      <c r="G911" t="n">
        <v>7.2</v>
      </c>
      <c r="H911" t="n">
        <v>0</v>
      </c>
      <c r="I911" t="n">
        <v>0</v>
      </c>
      <c r="J911" t="n">
        <v>0</v>
      </c>
      <c r="K911" t="n">
        <v>0</v>
      </c>
      <c r="L911" t="n">
        <v>0</v>
      </c>
      <c r="M911" t="n">
        <v>0</v>
      </c>
      <c r="N911" t="n">
        <v>0</v>
      </c>
      <c r="O911" t="n">
        <v>0</v>
      </c>
      <c r="P911" t="n">
        <v>0</v>
      </c>
      <c r="Q911" t="n">
        <v>0</v>
      </c>
      <c r="R911" s="2" t="inlineStr"/>
    </row>
    <row r="912" ht="15" customHeight="1">
      <c r="A912" t="inlineStr">
        <is>
          <t>A 891-2022</t>
        </is>
      </c>
      <c r="B912" s="1" t="n">
        <v>44571</v>
      </c>
      <c r="C912" s="1" t="n">
        <v>45889</v>
      </c>
      <c r="D912" t="inlineStr">
        <is>
          <t>JÄMTLANDS LÄN</t>
        </is>
      </c>
      <c r="E912" t="inlineStr">
        <is>
          <t>RAGUNDA</t>
        </is>
      </c>
      <c r="G912" t="n">
        <v>1.7</v>
      </c>
      <c r="H912" t="n">
        <v>0</v>
      </c>
      <c r="I912" t="n">
        <v>0</v>
      </c>
      <c r="J912" t="n">
        <v>0</v>
      </c>
      <c r="K912" t="n">
        <v>0</v>
      </c>
      <c r="L912" t="n">
        <v>0</v>
      </c>
      <c r="M912" t="n">
        <v>0</v>
      </c>
      <c r="N912" t="n">
        <v>0</v>
      </c>
      <c r="O912" t="n">
        <v>0</v>
      </c>
      <c r="P912" t="n">
        <v>0</v>
      </c>
      <c r="Q912" t="n">
        <v>0</v>
      </c>
      <c r="R912" s="2" t="inlineStr"/>
    </row>
    <row r="913" ht="15" customHeight="1">
      <c r="A913" t="inlineStr">
        <is>
          <t>A 19404-2025</t>
        </is>
      </c>
      <c r="B913" s="1" t="n">
        <v>45769.67802083334</v>
      </c>
      <c r="C913" s="1" t="n">
        <v>45889</v>
      </c>
      <c r="D913" t="inlineStr">
        <is>
          <t>JÄMTLANDS LÄN</t>
        </is>
      </c>
      <c r="E913" t="inlineStr">
        <is>
          <t>RAGUNDA</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37324-2022</t>
        </is>
      </c>
      <c r="B914" s="1" t="n">
        <v>44806</v>
      </c>
      <c r="C914" s="1" t="n">
        <v>45889</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19727-2025</t>
        </is>
      </c>
      <c r="B915" s="1" t="n">
        <v>45771.36538194444</v>
      </c>
      <c r="C915" s="1" t="n">
        <v>45889</v>
      </c>
      <c r="D915" t="inlineStr">
        <is>
          <t>JÄMTLANDS LÄN</t>
        </is>
      </c>
      <c r="E915" t="inlineStr">
        <is>
          <t>RAGUNDA</t>
        </is>
      </c>
      <c r="F915" t="inlineStr">
        <is>
          <t>SCA</t>
        </is>
      </c>
      <c r="G915" t="n">
        <v>9</v>
      </c>
      <c r="H915" t="n">
        <v>0</v>
      </c>
      <c r="I915" t="n">
        <v>0</v>
      </c>
      <c r="J915" t="n">
        <v>0</v>
      </c>
      <c r="K915" t="n">
        <v>0</v>
      </c>
      <c r="L915" t="n">
        <v>0</v>
      </c>
      <c r="M915" t="n">
        <v>0</v>
      </c>
      <c r="N915" t="n">
        <v>0</v>
      </c>
      <c r="O915" t="n">
        <v>0</v>
      </c>
      <c r="P915" t="n">
        <v>0</v>
      </c>
      <c r="Q915" t="n">
        <v>0</v>
      </c>
      <c r="R915" s="2" t="inlineStr"/>
    </row>
    <row r="916" ht="15" customHeight="1">
      <c r="A916" t="inlineStr">
        <is>
          <t>A 62106-2023</t>
        </is>
      </c>
      <c r="B916" s="1" t="n">
        <v>45266.95082175926</v>
      </c>
      <c r="C916" s="1" t="n">
        <v>45889</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4592-2024</t>
        </is>
      </c>
      <c r="B917" s="1" t="n">
        <v>45327.94443287037</v>
      </c>
      <c r="C917" s="1" t="n">
        <v>45889</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18984-2023</t>
        </is>
      </c>
      <c r="B918" s="1" t="n">
        <v>45044</v>
      </c>
      <c r="C918" s="1" t="n">
        <v>45889</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8241-2024</t>
        </is>
      </c>
      <c r="B919" s="1" t="n">
        <v>45351.98496527778</v>
      </c>
      <c r="C919" s="1" t="n">
        <v>45889</v>
      </c>
      <c r="D919" t="inlineStr">
        <is>
          <t>JÄMTLANDS LÄN</t>
        </is>
      </c>
      <c r="E919" t="inlineStr">
        <is>
          <t>RAGUNDA</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14512-2025</t>
        </is>
      </c>
      <c r="B920" s="1" t="n">
        <v>45741.63659722222</v>
      </c>
      <c r="C920" s="1" t="n">
        <v>45889</v>
      </c>
      <c r="D920" t="inlineStr">
        <is>
          <t>JÄMTLANDS LÄN</t>
        </is>
      </c>
      <c r="E920" t="inlineStr">
        <is>
          <t>RAGUNDA</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8416-2023</t>
        </is>
      </c>
      <c r="B921" s="1" t="n">
        <v>44977.44373842593</v>
      </c>
      <c r="C921" s="1" t="n">
        <v>45889</v>
      </c>
      <c r="D921" t="inlineStr">
        <is>
          <t>JÄMTLANDS LÄN</t>
        </is>
      </c>
      <c r="E921" t="inlineStr">
        <is>
          <t>RAGUNDA</t>
        </is>
      </c>
      <c r="G921" t="n">
        <v>0.7</v>
      </c>
      <c r="H921" t="n">
        <v>0</v>
      </c>
      <c r="I921" t="n">
        <v>0</v>
      </c>
      <c r="J921" t="n">
        <v>0</v>
      </c>
      <c r="K921" t="n">
        <v>0</v>
      </c>
      <c r="L921" t="n">
        <v>0</v>
      </c>
      <c r="M921" t="n">
        <v>0</v>
      </c>
      <c r="N921" t="n">
        <v>0</v>
      </c>
      <c r="O921" t="n">
        <v>0</v>
      </c>
      <c r="P921" t="n">
        <v>0</v>
      </c>
      <c r="Q921" t="n">
        <v>0</v>
      </c>
      <c r="R921" s="2" t="inlineStr"/>
    </row>
    <row r="922" ht="15" customHeight="1">
      <c r="A922" t="inlineStr">
        <is>
          <t>A 40801-2023</t>
        </is>
      </c>
      <c r="B922" s="1" t="n">
        <v>45170</v>
      </c>
      <c r="C922" s="1" t="n">
        <v>45889</v>
      </c>
      <c r="D922" t="inlineStr">
        <is>
          <t>JÄMTLANDS LÄN</t>
        </is>
      </c>
      <c r="E922" t="inlineStr">
        <is>
          <t>RAGUNDA</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53019-2023</t>
        </is>
      </c>
      <c r="B923" s="1" t="n">
        <v>45222</v>
      </c>
      <c r="C923" s="1" t="n">
        <v>45889</v>
      </c>
      <c r="D923" t="inlineStr">
        <is>
          <t>JÄMTLANDS LÄN</t>
        </is>
      </c>
      <c r="E923" t="inlineStr">
        <is>
          <t>RAGUNDA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59996-2023</t>
        </is>
      </c>
      <c r="B924" s="1" t="n">
        <v>45257.92826388889</v>
      </c>
      <c r="C924" s="1" t="n">
        <v>45889</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1537-2024</t>
        </is>
      </c>
      <c r="B925" s="1" t="n">
        <v>45306</v>
      </c>
      <c r="C925" s="1" t="n">
        <v>45889</v>
      </c>
      <c r="D925" t="inlineStr">
        <is>
          <t>JÄMTLANDS LÄN</t>
        </is>
      </c>
      <c r="E925" t="inlineStr">
        <is>
          <t>RAGUNDA</t>
        </is>
      </c>
      <c r="G925" t="n">
        <v>0.2</v>
      </c>
      <c r="H925" t="n">
        <v>0</v>
      </c>
      <c r="I925" t="n">
        <v>0</v>
      </c>
      <c r="J925" t="n">
        <v>0</v>
      </c>
      <c r="K925" t="n">
        <v>0</v>
      </c>
      <c r="L925" t="n">
        <v>0</v>
      </c>
      <c r="M925" t="n">
        <v>0</v>
      </c>
      <c r="N925" t="n">
        <v>0</v>
      </c>
      <c r="O925" t="n">
        <v>0</v>
      </c>
      <c r="P925" t="n">
        <v>0</v>
      </c>
      <c r="Q925" t="n">
        <v>0</v>
      </c>
      <c r="R925" s="2" t="inlineStr"/>
    </row>
    <row r="926" ht="15" customHeight="1">
      <c r="A926" t="inlineStr">
        <is>
          <t>A 35541-2025</t>
        </is>
      </c>
      <c r="B926" s="1" t="n">
        <v>45856.46931712963</v>
      </c>
      <c r="C926" s="1" t="n">
        <v>45889</v>
      </c>
      <c r="D926" t="inlineStr">
        <is>
          <t>JÄMTLANDS LÄN</t>
        </is>
      </c>
      <c r="E926" t="inlineStr">
        <is>
          <t>RAGUNDA</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35462-2025</t>
        </is>
      </c>
      <c r="B927" s="1" t="n">
        <v>45855.61523148148</v>
      </c>
      <c r="C927" s="1" t="n">
        <v>45889</v>
      </c>
      <c r="D927" t="inlineStr">
        <is>
          <t>JÄMTLANDS LÄN</t>
        </is>
      </c>
      <c r="E927" t="inlineStr">
        <is>
          <t>RAGUNDA</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35477-2025</t>
        </is>
      </c>
      <c r="B928" s="1" t="n">
        <v>45855.67899305555</v>
      </c>
      <c r="C928" s="1" t="n">
        <v>45889</v>
      </c>
      <c r="D928" t="inlineStr">
        <is>
          <t>JÄMTLANDS LÄN</t>
        </is>
      </c>
      <c r="E928" t="inlineStr">
        <is>
          <t>RAGUNDA</t>
        </is>
      </c>
      <c r="G928" t="n">
        <v>3.6</v>
      </c>
      <c r="H928" t="n">
        <v>0</v>
      </c>
      <c r="I928" t="n">
        <v>0</v>
      </c>
      <c r="J928" t="n">
        <v>0</v>
      </c>
      <c r="K928" t="n">
        <v>0</v>
      </c>
      <c r="L928" t="n">
        <v>0</v>
      </c>
      <c r="M928" t="n">
        <v>0</v>
      </c>
      <c r="N928" t="n">
        <v>0</v>
      </c>
      <c r="O928" t="n">
        <v>0</v>
      </c>
      <c r="P928" t="n">
        <v>0</v>
      </c>
      <c r="Q928" t="n">
        <v>0</v>
      </c>
      <c r="R928" s="2" t="inlineStr"/>
    </row>
    <row r="929" ht="15" customHeight="1">
      <c r="A929" t="inlineStr">
        <is>
          <t>A 27499-2024</t>
        </is>
      </c>
      <c r="B929" s="1" t="n">
        <v>45474.50608796296</v>
      </c>
      <c r="C929" s="1" t="n">
        <v>45889</v>
      </c>
      <c r="D929" t="inlineStr">
        <is>
          <t>JÄMTLANDS LÄN</t>
        </is>
      </c>
      <c r="E929" t="inlineStr">
        <is>
          <t>RAGUNDA</t>
        </is>
      </c>
      <c r="G929" t="n">
        <v>1.3</v>
      </c>
      <c r="H929" t="n">
        <v>0</v>
      </c>
      <c r="I929" t="n">
        <v>0</v>
      </c>
      <c r="J929" t="n">
        <v>0</v>
      </c>
      <c r="K929" t="n">
        <v>0</v>
      </c>
      <c r="L929" t="n">
        <v>0</v>
      </c>
      <c r="M929" t="n">
        <v>0</v>
      </c>
      <c r="N929" t="n">
        <v>0</v>
      </c>
      <c r="O929" t="n">
        <v>0</v>
      </c>
      <c r="P929" t="n">
        <v>0</v>
      </c>
      <c r="Q929" t="n">
        <v>0</v>
      </c>
      <c r="R929" s="2" t="inlineStr"/>
    </row>
    <row r="930" ht="15" customHeight="1">
      <c r="A930" t="inlineStr">
        <is>
          <t>A 52148-2024</t>
        </is>
      </c>
      <c r="B930" s="1" t="n">
        <v>45608.52354166667</v>
      </c>
      <c r="C930" s="1" t="n">
        <v>45889</v>
      </c>
      <c r="D930" t="inlineStr">
        <is>
          <t>JÄMTLANDS LÄN</t>
        </is>
      </c>
      <c r="E930" t="inlineStr">
        <is>
          <t>RAGUNDA</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462-2023</t>
        </is>
      </c>
      <c r="B931" s="1" t="n">
        <v>44929</v>
      </c>
      <c r="C931" s="1" t="n">
        <v>45889</v>
      </c>
      <c r="D931" t="inlineStr">
        <is>
          <t>JÄMTLANDS LÄN</t>
        </is>
      </c>
      <c r="E931" t="inlineStr">
        <is>
          <t>RAGUNDA</t>
        </is>
      </c>
      <c r="G931" t="n">
        <v>4.5</v>
      </c>
      <c r="H931" t="n">
        <v>0</v>
      </c>
      <c r="I931" t="n">
        <v>0</v>
      </c>
      <c r="J931" t="n">
        <v>0</v>
      </c>
      <c r="K931" t="n">
        <v>0</v>
      </c>
      <c r="L931" t="n">
        <v>0</v>
      </c>
      <c r="M931" t="n">
        <v>0</v>
      </c>
      <c r="N931" t="n">
        <v>0</v>
      </c>
      <c r="O931" t="n">
        <v>0</v>
      </c>
      <c r="P931" t="n">
        <v>0</v>
      </c>
      <c r="Q931" t="n">
        <v>0</v>
      </c>
      <c r="R931" s="2" t="inlineStr"/>
    </row>
    <row r="932" ht="15" customHeight="1">
      <c r="A932" t="inlineStr">
        <is>
          <t>A 27510-2025</t>
        </is>
      </c>
      <c r="B932" s="1" t="n">
        <v>45813.42790509259</v>
      </c>
      <c r="C932" s="1" t="n">
        <v>45889</v>
      </c>
      <c r="D932" t="inlineStr">
        <is>
          <t>JÄMTLANDS LÄN</t>
        </is>
      </c>
      <c r="E932" t="inlineStr">
        <is>
          <t>RAGUNDA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26645-2024</t>
        </is>
      </c>
      <c r="B933" s="1" t="n">
        <v>45469.94667824074</v>
      </c>
      <c r="C933" s="1" t="n">
        <v>45889</v>
      </c>
      <c r="D933" t="inlineStr">
        <is>
          <t>JÄMTLANDS LÄN</t>
        </is>
      </c>
      <c r="E933" t="inlineStr">
        <is>
          <t>RAGUNDA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32258-2024</t>
        </is>
      </c>
      <c r="B934" s="1" t="n">
        <v>45511</v>
      </c>
      <c r="C934" s="1" t="n">
        <v>45889</v>
      </c>
      <c r="D934" t="inlineStr">
        <is>
          <t>JÄMTLANDS LÄN</t>
        </is>
      </c>
      <c r="E934" t="inlineStr">
        <is>
          <t>RAGUNDA</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29257-2024</t>
        </is>
      </c>
      <c r="B935" s="1" t="n">
        <v>45482.94815972223</v>
      </c>
      <c r="C935" s="1" t="n">
        <v>45889</v>
      </c>
      <c r="D935" t="inlineStr">
        <is>
          <t>JÄMTLANDS LÄN</t>
        </is>
      </c>
      <c r="E935" t="inlineStr">
        <is>
          <t>RAGUNDA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18989-2025</t>
        </is>
      </c>
      <c r="B936" s="1" t="n">
        <v>45764</v>
      </c>
      <c r="C936" s="1" t="n">
        <v>45889</v>
      </c>
      <c r="D936" t="inlineStr">
        <is>
          <t>JÄMTLANDS LÄN</t>
        </is>
      </c>
      <c r="E936" t="inlineStr">
        <is>
          <t>RAGUNDA</t>
        </is>
      </c>
      <c r="G936" t="n">
        <v>0.9</v>
      </c>
      <c r="H936" t="n">
        <v>0</v>
      </c>
      <c r="I936" t="n">
        <v>0</v>
      </c>
      <c r="J936" t="n">
        <v>0</v>
      </c>
      <c r="K936" t="n">
        <v>0</v>
      </c>
      <c r="L936" t="n">
        <v>0</v>
      </c>
      <c r="M936" t="n">
        <v>0</v>
      </c>
      <c r="N936" t="n">
        <v>0</v>
      </c>
      <c r="O936" t="n">
        <v>0</v>
      </c>
      <c r="P936" t="n">
        <v>0</v>
      </c>
      <c r="Q936" t="n">
        <v>0</v>
      </c>
      <c r="R936" s="2" t="inlineStr"/>
    </row>
    <row r="937" ht="15" customHeight="1">
      <c r="A937" t="inlineStr">
        <is>
          <t>A 40051-2020</t>
        </is>
      </c>
      <c r="B937" s="1" t="n">
        <v>44067</v>
      </c>
      <c r="C937" s="1" t="n">
        <v>45889</v>
      </c>
      <c r="D937" t="inlineStr">
        <is>
          <t>JÄMTLANDS LÄN</t>
        </is>
      </c>
      <c r="E937" t="inlineStr">
        <is>
          <t>RAGUNDA</t>
        </is>
      </c>
      <c r="F937" t="inlineStr">
        <is>
          <t>SCA</t>
        </is>
      </c>
      <c r="G937" t="n">
        <v>5.7</v>
      </c>
      <c r="H937" t="n">
        <v>0</v>
      </c>
      <c r="I937" t="n">
        <v>0</v>
      </c>
      <c r="J937" t="n">
        <v>0</v>
      </c>
      <c r="K937" t="n">
        <v>0</v>
      </c>
      <c r="L937" t="n">
        <v>0</v>
      </c>
      <c r="M937" t="n">
        <v>0</v>
      </c>
      <c r="N937" t="n">
        <v>0</v>
      </c>
      <c r="O937" t="n">
        <v>0</v>
      </c>
      <c r="P937" t="n">
        <v>0</v>
      </c>
      <c r="Q937" t="n">
        <v>0</v>
      </c>
      <c r="R937" s="2" t="inlineStr"/>
    </row>
    <row r="938" ht="15" customHeight="1">
      <c r="A938" t="inlineStr">
        <is>
          <t>A 55487-2023</t>
        </is>
      </c>
      <c r="B938" s="1" t="n">
        <v>45238</v>
      </c>
      <c r="C938" s="1" t="n">
        <v>45889</v>
      </c>
      <c r="D938" t="inlineStr">
        <is>
          <t>JÄMTLANDS LÄN</t>
        </is>
      </c>
      <c r="E938" t="inlineStr">
        <is>
          <t>RAGUNDA</t>
        </is>
      </c>
      <c r="G938" t="n">
        <v>3</v>
      </c>
      <c r="H938" t="n">
        <v>0</v>
      </c>
      <c r="I938" t="n">
        <v>0</v>
      </c>
      <c r="J938" t="n">
        <v>0</v>
      </c>
      <c r="K938" t="n">
        <v>0</v>
      </c>
      <c r="L938" t="n">
        <v>0</v>
      </c>
      <c r="M938" t="n">
        <v>0</v>
      </c>
      <c r="N938" t="n">
        <v>0</v>
      </c>
      <c r="O938" t="n">
        <v>0</v>
      </c>
      <c r="P938" t="n">
        <v>0</v>
      </c>
      <c r="Q938" t="n">
        <v>0</v>
      </c>
      <c r="R938" s="2" t="inlineStr"/>
    </row>
    <row r="939" ht="15" customHeight="1">
      <c r="A939" t="inlineStr">
        <is>
          <t>A 20770-2024</t>
        </is>
      </c>
      <c r="B939" s="1" t="n">
        <v>45436.94613425926</v>
      </c>
      <c r="C939" s="1" t="n">
        <v>45889</v>
      </c>
      <c r="D939" t="inlineStr">
        <is>
          <t>JÄMTLANDS LÄN</t>
        </is>
      </c>
      <c r="E939" t="inlineStr">
        <is>
          <t>RAGUNDA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15672-2021</t>
        </is>
      </c>
      <c r="B940" s="1" t="n">
        <v>44286</v>
      </c>
      <c r="C940" s="1" t="n">
        <v>45889</v>
      </c>
      <c r="D940" t="inlineStr">
        <is>
          <t>JÄMTLANDS LÄN</t>
        </is>
      </c>
      <c r="E940" t="inlineStr">
        <is>
          <t>RAGUNDA</t>
        </is>
      </c>
      <c r="G940" t="n">
        <v>1.7</v>
      </c>
      <c r="H940" t="n">
        <v>0</v>
      </c>
      <c r="I940" t="n">
        <v>0</v>
      </c>
      <c r="J940" t="n">
        <v>0</v>
      </c>
      <c r="K940" t="n">
        <v>0</v>
      </c>
      <c r="L940" t="n">
        <v>0</v>
      </c>
      <c r="M940" t="n">
        <v>0</v>
      </c>
      <c r="N940" t="n">
        <v>0</v>
      </c>
      <c r="O940" t="n">
        <v>0</v>
      </c>
      <c r="P940" t="n">
        <v>0</v>
      </c>
      <c r="Q940" t="n">
        <v>0</v>
      </c>
      <c r="R940" s="2" t="inlineStr"/>
    </row>
    <row r="941" ht="15" customHeight="1">
      <c r="A941" t="inlineStr">
        <is>
          <t>A 50650-2023</t>
        </is>
      </c>
      <c r="B941" s="1" t="n">
        <v>45210</v>
      </c>
      <c r="C941" s="1" t="n">
        <v>45889</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19383-2025</t>
        </is>
      </c>
      <c r="B942" s="1" t="n">
        <v>45769.65688657408</v>
      </c>
      <c r="C942" s="1" t="n">
        <v>45889</v>
      </c>
      <c r="D942" t="inlineStr">
        <is>
          <t>JÄMTLANDS LÄN</t>
        </is>
      </c>
      <c r="E942" t="inlineStr">
        <is>
          <t>RAGUNDA</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564-2025</t>
        </is>
      </c>
      <c r="B943" s="1" t="n">
        <v>45664.55241898148</v>
      </c>
      <c r="C943" s="1" t="n">
        <v>45889</v>
      </c>
      <c r="D943" t="inlineStr">
        <is>
          <t>JÄMTLANDS LÄN</t>
        </is>
      </c>
      <c r="E943" t="inlineStr">
        <is>
          <t>RAGUNDA</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35689-2025</t>
        </is>
      </c>
      <c r="B944" s="1" t="n">
        <v>45860.30229166667</v>
      </c>
      <c r="C944" s="1" t="n">
        <v>45889</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28084-2025</t>
        </is>
      </c>
      <c r="B945" s="1" t="n">
        <v>45817.71910879629</v>
      </c>
      <c r="C945" s="1" t="n">
        <v>45889</v>
      </c>
      <c r="D945" t="inlineStr">
        <is>
          <t>JÄMTLANDS LÄN</t>
        </is>
      </c>
      <c r="E945" t="inlineStr">
        <is>
          <t>RAGUNDA</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28216-2025</t>
        </is>
      </c>
      <c r="B946" s="1" t="n">
        <v>45818.46898148148</v>
      </c>
      <c r="C946" s="1" t="n">
        <v>45889</v>
      </c>
      <c r="D946" t="inlineStr">
        <is>
          <t>JÄMTLANDS LÄN</t>
        </is>
      </c>
      <c r="E946" t="inlineStr">
        <is>
          <t>RAGUNDA</t>
        </is>
      </c>
      <c r="G946" t="n">
        <v>6.6</v>
      </c>
      <c r="H946" t="n">
        <v>0</v>
      </c>
      <c r="I946" t="n">
        <v>0</v>
      </c>
      <c r="J946" t="n">
        <v>0</v>
      </c>
      <c r="K946" t="n">
        <v>0</v>
      </c>
      <c r="L946" t="n">
        <v>0</v>
      </c>
      <c r="M946" t="n">
        <v>0</v>
      </c>
      <c r="N946" t="n">
        <v>0</v>
      </c>
      <c r="O946" t="n">
        <v>0</v>
      </c>
      <c r="P946" t="n">
        <v>0</v>
      </c>
      <c r="Q946" t="n">
        <v>0</v>
      </c>
      <c r="R946" s="2" t="inlineStr"/>
    </row>
    <row r="947" ht="15" customHeight="1">
      <c r="A947" t="inlineStr">
        <is>
          <t>A 35658-2025</t>
        </is>
      </c>
      <c r="B947" s="1" t="n">
        <v>45859.594375</v>
      </c>
      <c r="C947" s="1" t="n">
        <v>45889</v>
      </c>
      <c r="D947" t="inlineStr">
        <is>
          <t>JÄMTLANDS LÄN</t>
        </is>
      </c>
      <c r="E947" t="inlineStr">
        <is>
          <t>RAGUNDA</t>
        </is>
      </c>
      <c r="F947" t="inlineStr">
        <is>
          <t>SCA</t>
        </is>
      </c>
      <c r="G947" t="n">
        <v>6</v>
      </c>
      <c r="H947" t="n">
        <v>0</v>
      </c>
      <c r="I947" t="n">
        <v>0</v>
      </c>
      <c r="J947" t="n">
        <v>0</v>
      </c>
      <c r="K947" t="n">
        <v>0</v>
      </c>
      <c r="L947" t="n">
        <v>0</v>
      </c>
      <c r="M947" t="n">
        <v>0</v>
      </c>
      <c r="N947" t="n">
        <v>0</v>
      </c>
      <c r="O947" t="n">
        <v>0</v>
      </c>
      <c r="P947" t="n">
        <v>0</v>
      </c>
      <c r="Q947" t="n">
        <v>0</v>
      </c>
      <c r="R947" s="2" t="inlineStr"/>
    </row>
    <row r="948" ht="15" customHeight="1">
      <c r="A948" t="inlineStr">
        <is>
          <t>A 12783-2023</t>
        </is>
      </c>
      <c r="B948" s="1" t="n">
        <v>45000</v>
      </c>
      <c r="C948" s="1" t="n">
        <v>45889</v>
      </c>
      <c r="D948" t="inlineStr">
        <is>
          <t>JÄMTLANDS LÄN</t>
        </is>
      </c>
      <c r="E948" t="inlineStr">
        <is>
          <t>RAGUNDA</t>
        </is>
      </c>
      <c r="G948" t="n">
        <v>0.9</v>
      </c>
      <c r="H948" t="n">
        <v>0</v>
      </c>
      <c r="I948" t="n">
        <v>0</v>
      </c>
      <c r="J948" t="n">
        <v>0</v>
      </c>
      <c r="K948" t="n">
        <v>0</v>
      </c>
      <c r="L948" t="n">
        <v>0</v>
      </c>
      <c r="M948" t="n">
        <v>0</v>
      </c>
      <c r="N948" t="n">
        <v>0</v>
      </c>
      <c r="O948" t="n">
        <v>0</v>
      </c>
      <c r="P948" t="n">
        <v>0</v>
      </c>
      <c r="Q948" t="n">
        <v>0</v>
      </c>
      <c r="R948" s="2" t="inlineStr"/>
    </row>
    <row r="949" ht="15" customHeight="1">
      <c r="A949" t="inlineStr">
        <is>
          <t>A 35153-2024</t>
        </is>
      </c>
      <c r="B949" s="1" t="n">
        <v>45530</v>
      </c>
      <c r="C949" s="1" t="n">
        <v>45889</v>
      </c>
      <c r="D949" t="inlineStr">
        <is>
          <t>JÄMTLANDS LÄN</t>
        </is>
      </c>
      <c r="E949" t="inlineStr">
        <is>
          <t>RAGUNDA</t>
        </is>
      </c>
      <c r="G949" t="n">
        <v>2.7</v>
      </c>
      <c r="H949" t="n">
        <v>0</v>
      </c>
      <c r="I949" t="n">
        <v>0</v>
      </c>
      <c r="J949" t="n">
        <v>0</v>
      </c>
      <c r="K949" t="n">
        <v>0</v>
      </c>
      <c r="L949" t="n">
        <v>0</v>
      </c>
      <c r="M949" t="n">
        <v>0</v>
      </c>
      <c r="N949" t="n">
        <v>0</v>
      </c>
      <c r="O949" t="n">
        <v>0</v>
      </c>
      <c r="P949" t="n">
        <v>0</v>
      </c>
      <c r="Q949" t="n">
        <v>0</v>
      </c>
      <c r="R949" s="2" t="inlineStr"/>
    </row>
    <row r="950" ht="15" customHeight="1">
      <c r="A950" t="inlineStr">
        <is>
          <t>A 3767-2025</t>
        </is>
      </c>
      <c r="B950" s="1" t="n">
        <v>45681.60203703704</v>
      </c>
      <c r="C950" s="1" t="n">
        <v>45889</v>
      </c>
      <c r="D950" t="inlineStr">
        <is>
          <t>JÄMTLANDS LÄN</t>
        </is>
      </c>
      <c r="E950" t="inlineStr">
        <is>
          <t>RAGUNDA</t>
        </is>
      </c>
      <c r="G950" t="n">
        <v>4.9</v>
      </c>
      <c r="H950" t="n">
        <v>0</v>
      </c>
      <c r="I950" t="n">
        <v>0</v>
      </c>
      <c r="J950" t="n">
        <v>0</v>
      </c>
      <c r="K950" t="n">
        <v>0</v>
      </c>
      <c r="L950" t="n">
        <v>0</v>
      </c>
      <c r="M950" t="n">
        <v>0</v>
      </c>
      <c r="N950" t="n">
        <v>0</v>
      </c>
      <c r="O950" t="n">
        <v>0</v>
      </c>
      <c r="P950" t="n">
        <v>0</v>
      </c>
      <c r="Q950" t="n">
        <v>0</v>
      </c>
      <c r="R950" s="2" t="inlineStr"/>
    </row>
    <row r="951" ht="15" customHeight="1">
      <c r="A951" t="inlineStr">
        <is>
          <t>A 3186-2025</t>
        </is>
      </c>
      <c r="B951" s="1" t="n">
        <v>45679.40362268518</v>
      </c>
      <c r="C951" s="1" t="n">
        <v>45889</v>
      </c>
      <c r="D951" t="inlineStr">
        <is>
          <t>JÄMTLANDS LÄN</t>
        </is>
      </c>
      <c r="E951" t="inlineStr">
        <is>
          <t>RAGUNDA</t>
        </is>
      </c>
      <c r="G951" t="n">
        <v>5.2</v>
      </c>
      <c r="H951" t="n">
        <v>0</v>
      </c>
      <c r="I951" t="n">
        <v>0</v>
      </c>
      <c r="J951" t="n">
        <v>0</v>
      </c>
      <c r="K951" t="n">
        <v>0</v>
      </c>
      <c r="L951" t="n">
        <v>0</v>
      </c>
      <c r="M951" t="n">
        <v>0</v>
      </c>
      <c r="N951" t="n">
        <v>0</v>
      </c>
      <c r="O951" t="n">
        <v>0</v>
      </c>
      <c r="P951" t="n">
        <v>0</v>
      </c>
      <c r="Q951" t="n">
        <v>0</v>
      </c>
      <c r="R951" s="2" t="inlineStr"/>
    </row>
    <row r="952" ht="15" customHeight="1">
      <c r="A952" t="inlineStr">
        <is>
          <t>A 1308-2025</t>
        </is>
      </c>
      <c r="B952" s="1" t="n">
        <v>45667.55239583334</v>
      </c>
      <c r="C952" s="1" t="n">
        <v>45889</v>
      </c>
      <c r="D952" t="inlineStr">
        <is>
          <t>JÄMTLANDS LÄN</t>
        </is>
      </c>
      <c r="E952" t="inlineStr">
        <is>
          <t>RAGUNDA</t>
        </is>
      </c>
      <c r="F952" t="inlineStr">
        <is>
          <t>SCA</t>
        </is>
      </c>
      <c r="G952" t="n">
        <v>6.4</v>
      </c>
      <c r="H952" t="n">
        <v>0</v>
      </c>
      <c r="I952" t="n">
        <v>0</v>
      </c>
      <c r="J952" t="n">
        <v>0</v>
      </c>
      <c r="K952" t="n">
        <v>0</v>
      </c>
      <c r="L952" t="n">
        <v>0</v>
      </c>
      <c r="M952" t="n">
        <v>0</v>
      </c>
      <c r="N952" t="n">
        <v>0</v>
      </c>
      <c r="O952" t="n">
        <v>0</v>
      </c>
      <c r="P952" t="n">
        <v>0</v>
      </c>
      <c r="Q952" t="n">
        <v>0</v>
      </c>
      <c r="R952" s="2" t="inlineStr"/>
    </row>
    <row r="953" ht="15" customHeight="1">
      <c r="A953" t="inlineStr">
        <is>
          <t>A 61197-2023</t>
        </is>
      </c>
      <c r="B953" s="1" t="n">
        <v>45260</v>
      </c>
      <c r="C953" s="1" t="n">
        <v>45889</v>
      </c>
      <c r="D953" t="inlineStr">
        <is>
          <t>JÄMTLANDS LÄN</t>
        </is>
      </c>
      <c r="E953" t="inlineStr">
        <is>
          <t>RAGUNDA</t>
        </is>
      </c>
      <c r="G953" t="n">
        <v>2.5</v>
      </c>
      <c r="H953" t="n">
        <v>0</v>
      </c>
      <c r="I953" t="n">
        <v>0</v>
      </c>
      <c r="J953" t="n">
        <v>0</v>
      </c>
      <c r="K953" t="n">
        <v>0</v>
      </c>
      <c r="L953" t="n">
        <v>0</v>
      </c>
      <c r="M953" t="n">
        <v>0</v>
      </c>
      <c r="N953" t="n">
        <v>0</v>
      </c>
      <c r="O953" t="n">
        <v>0</v>
      </c>
      <c r="P953" t="n">
        <v>0</v>
      </c>
      <c r="Q953" t="n">
        <v>0</v>
      </c>
      <c r="R953" s="2" t="inlineStr"/>
    </row>
    <row r="954" ht="15" customHeight="1">
      <c r="A954" t="inlineStr">
        <is>
          <t>A 28637-2025</t>
        </is>
      </c>
      <c r="B954" s="1" t="n">
        <v>45819.6359375</v>
      </c>
      <c r="C954" s="1" t="n">
        <v>45889</v>
      </c>
      <c r="D954" t="inlineStr">
        <is>
          <t>JÄMTLANDS LÄN</t>
        </is>
      </c>
      <c r="E954" t="inlineStr">
        <is>
          <t>RAGUNDA</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41262-2021</t>
        </is>
      </c>
      <c r="B955" s="1" t="n">
        <v>44424</v>
      </c>
      <c r="C955" s="1" t="n">
        <v>45889</v>
      </c>
      <c r="D955" t="inlineStr">
        <is>
          <t>JÄMTLANDS LÄN</t>
        </is>
      </c>
      <c r="E955" t="inlineStr">
        <is>
          <t>RAGUNDA</t>
        </is>
      </c>
      <c r="G955" t="n">
        <v>2.6</v>
      </c>
      <c r="H955" t="n">
        <v>0</v>
      </c>
      <c r="I955" t="n">
        <v>0</v>
      </c>
      <c r="J955" t="n">
        <v>0</v>
      </c>
      <c r="K955" t="n">
        <v>0</v>
      </c>
      <c r="L955" t="n">
        <v>0</v>
      </c>
      <c r="M955" t="n">
        <v>0</v>
      </c>
      <c r="N955" t="n">
        <v>0</v>
      </c>
      <c r="O955" t="n">
        <v>0</v>
      </c>
      <c r="P955" t="n">
        <v>0</v>
      </c>
      <c r="Q955" t="n">
        <v>0</v>
      </c>
      <c r="R955" s="2" t="inlineStr"/>
    </row>
    <row r="956" ht="15" customHeight="1">
      <c r="A956" t="inlineStr">
        <is>
          <t>A 36371-2023</t>
        </is>
      </c>
      <c r="B956" s="1" t="n">
        <v>45149</v>
      </c>
      <c r="C956" s="1" t="n">
        <v>45889</v>
      </c>
      <c r="D956" t="inlineStr">
        <is>
          <t>JÄMTLANDS LÄN</t>
        </is>
      </c>
      <c r="E956" t="inlineStr">
        <is>
          <t>RAGUNDA</t>
        </is>
      </c>
      <c r="G956" t="n">
        <v>25.7</v>
      </c>
      <c r="H956" t="n">
        <v>0</v>
      </c>
      <c r="I956" t="n">
        <v>0</v>
      </c>
      <c r="J956" t="n">
        <v>0</v>
      </c>
      <c r="K956" t="n">
        <v>0</v>
      </c>
      <c r="L956" t="n">
        <v>0</v>
      </c>
      <c r="M956" t="n">
        <v>0</v>
      </c>
      <c r="N956" t="n">
        <v>0</v>
      </c>
      <c r="O956" t="n">
        <v>0</v>
      </c>
      <c r="P956" t="n">
        <v>0</v>
      </c>
      <c r="Q956" t="n">
        <v>0</v>
      </c>
      <c r="R956" s="2" t="inlineStr"/>
    </row>
    <row r="957" ht="15" customHeight="1">
      <c r="A957" t="inlineStr">
        <is>
          <t>A 31135-2023</t>
        </is>
      </c>
      <c r="B957" s="1" t="n">
        <v>45103</v>
      </c>
      <c r="C957" s="1" t="n">
        <v>45889</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13767-2022</t>
        </is>
      </c>
      <c r="B958" s="1" t="n">
        <v>44649.47048611111</v>
      </c>
      <c r="C958" s="1" t="n">
        <v>45889</v>
      </c>
      <c r="D958" t="inlineStr">
        <is>
          <t>JÄMTLANDS LÄN</t>
        </is>
      </c>
      <c r="E958" t="inlineStr">
        <is>
          <t>RAGUNDA</t>
        </is>
      </c>
      <c r="F958" t="inlineStr">
        <is>
          <t>Kommuner</t>
        </is>
      </c>
      <c r="G958" t="n">
        <v>3.1</v>
      </c>
      <c r="H958" t="n">
        <v>0</v>
      </c>
      <c r="I958" t="n">
        <v>0</v>
      </c>
      <c r="J958" t="n">
        <v>0</v>
      </c>
      <c r="K958" t="n">
        <v>0</v>
      </c>
      <c r="L958" t="n">
        <v>0</v>
      </c>
      <c r="M958" t="n">
        <v>0</v>
      </c>
      <c r="N958" t="n">
        <v>0</v>
      </c>
      <c r="O958" t="n">
        <v>0</v>
      </c>
      <c r="P958" t="n">
        <v>0</v>
      </c>
      <c r="Q958" t="n">
        <v>0</v>
      </c>
      <c r="R958" s="2" t="inlineStr"/>
    </row>
    <row r="959" ht="15" customHeight="1">
      <c r="A959" t="inlineStr">
        <is>
          <t>A 22569-2023</t>
        </is>
      </c>
      <c r="B959" s="1" t="n">
        <v>45069</v>
      </c>
      <c r="C959" s="1" t="n">
        <v>45889</v>
      </c>
      <c r="D959" t="inlineStr">
        <is>
          <t>JÄMTLANDS LÄN</t>
        </is>
      </c>
      <c r="E959" t="inlineStr">
        <is>
          <t>RAGUNDA</t>
        </is>
      </c>
      <c r="G959" t="n">
        <v>6.6</v>
      </c>
      <c r="H959" t="n">
        <v>0</v>
      </c>
      <c r="I959" t="n">
        <v>0</v>
      </c>
      <c r="J959" t="n">
        <v>0</v>
      </c>
      <c r="K959" t="n">
        <v>0</v>
      </c>
      <c r="L959" t="n">
        <v>0</v>
      </c>
      <c r="M959" t="n">
        <v>0</v>
      </c>
      <c r="N959" t="n">
        <v>0</v>
      </c>
      <c r="O959" t="n">
        <v>0</v>
      </c>
      <c r="P959" t="n">
        <v>0</v>
      </c>
      <c r="Q959" t="n">
        <v>0</v>
      </c>
      <c r="R959" s="2" t="inlineStr"/>
    </row>
    <row r="960" ht="15" customHeight="1">
      <c r="A960" t="inlineStr">
        <is>
          <t>A 51579-2024</t>
        </is>
      </c>
      <c r="B960" s="1" t="n">
        <v>45604.63575231482</v>
      </c>
      <c r="C960" s="1" t="n">
        <v>45889</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4212-2024</t>
        </is>
      </c>
      <c r="B961" s="1" t="n">
        <v>45324</v>
      </c>
      <c r="C961" s="1" t="n">
        <v>45889</v>
      </c>
      <c r="D961" t="inlineStr">
        <is>
          <t>JÄMTLANDS LÄN</t>
        </is>
      </c>
      <c r="E961" t="inlineStr">
        <is>
          <t>RAGUNDA</t>
        </is>
      </c>
      <c r="G961" t="n">
        <v>2</v>
      </c>
      <c r="H961" t="n">
        <v>0</v>
      </c>
      <c r="I961" t="n">
        <v>0</v>
      </c>
      <c r="J961" t="n">
        <v>0</v>
      </c>
      <c r="K961" t="n">
        <v>0</v>
      </c>
      <c r="L961" t="n">
        <v>0</v>
      </c>
      <c r="M961" t="n">
        <v>0</v>
      </c>
      <c r="N961" t="n">
        <v>0</v>
      </c>
      <c r="O961" t="n">
        <v>0</v>
      </c>
      <c r="P961" t="n">
        <v>0</v>
      </c>
      <c r="Q961" t="n">
        <v>0</v>
      </c>
      <c r="R961" s="2" t="inlineStr"/>
    </row>
    <row r="962" ht="15" customHeight="1">
      <c r="A962" t="inlineStr">
        <is>
          <t>A 43405-2023</t>
        </is>
      </c>
      <c r="B962" s="1" t="n">
        <v>45183.95563657407</v>
      </c>
      <c r="C962" s="1" t="n">
        <v>45889</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56984-2022</t>
        </is>
      </c>
      <c r="B963" s="1" t="n">
        <v>44894.79018518519</v>
      </c>
      <c r="C963" s="1" t="n">
        <v>45889</v>
      </c>
      <c r="D963" t="inlineStr">
        <is>
          <t>JÄMTLANDS LÄN</t>
        </is>
      </c>
      <c r="E963" t="inlineStr">
        <is>
          <t>RAGUNDA</t>
        </is>
      </c>
      <c r="G963" t="n">
        <v>1.4</v>
      </c>
      <c r="H963" t="n">
        <v>0</v>
      </c>
      <c r="I963" t="n">
        <v>0</v>
      </c>
      <c r="J963" t="n">
        <v>0</v>
      </c>
      <c r="K963" t="n">
        <v>0</v>
      </c>
      <c r="L963" t="n">
        <v>0</v>
      </c>
      <c r="M963" t="n">
        <v>0</v>
      </c>
      <c r="N963" t="n">
        <v>0</v>
      </c>
      <c r="O963" t="n">
        <v>0</v>
      </c>
      <c r="P963" t="n">
        <v>0</v>
      </c>
      <c r="Q963" t="n">
        <v>0</v>
      </c>
      <c r="R963" s="2" t="inlineStr"/>
    </row>
    <row r="964" ht="15" customHeight="1">
      <c r="A964" t="inlineStr">
        <is>
          <t>A 5958-2023</t>
        </is>
      </c>
      <c r="B964" s="1" t="n">
        <v>44963</v>
      </c>
      <c r="C964" s="1" t="n">
        <v>45889</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28973-2025</t>
        </is>
      </c>
      <c r="B965" s="1" t="n">
        <v>45821.34513888889</v>
      </c>
      <c r="C965" s="1" t="n">
        <v>45889</v>
      </c>
      <c r="D965" t="inlineStr">
        <is>
          <t>JÄMTLANDS LÄN</t>
        </is>
      </c>
      <c r="E965" t="inlineStr">
        <is>
          <t>RAGUNDA</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50521-2024</t>
        </is>
      </c>
      <c r="B966" s="1" t="n">
        <v>45601.55331018518</v>
      </c>
      <c r="C966" s="1" t="n">
        <v>45889</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29920-2024</t>
        </is>
      </c>
      <c r="B967" s="1" t="n">
        <v>45487.92856481481</v>
      </c>
      <c r="C967" s="1" t="n">
        <v>45889</v>
      </c>
      <c r="D967" t="inlineStr">
        <is>
          <t>JÄMTLANDS LÄN</t>
        </is>
      </c>
      <c r="E967" t="inlineStr">
        <is>
          <t>RAGUNDA</t>
        </is>
      </c>
      <c r="G967" t="n">
        <v>3.4</v>
      </c>
      <c r="H967" t="n">
        <v>0</v>
      </c>
      <c r="I967" t="n">
        <v>0</v>
      </c>
      <c r="J967" t="n">
        <v>0</v>
      </c>
      <c r="K967" t="n">
        <v>0</v>
      </c>
      <c r="L967" t="n">
        <v>0</v>
      </c>
      <c r="M967" t="n">
        <v>0</v>
      </c>
      <c r="N967" t="n">
        <v>0</v>
      </c>
      <c r="O967" t="n">
        <v>0</v>
      </c>
      <c r="P967" t="n">
        <v>0</v>
      </c>
      <c r="Q967" t="n">
        <v>0</v>
      </c>
      <c r="R967" s="2" t="inlineStr"/>
    </row>
    <row r="968" ht="15" customHeight="1">
      <c r="A968" t="inlineStr">
        <is>
          <t>A 29723-2025</t>
        </is>
      </c>
      <c r="B968" s="1" t="n">
        <v>45825.57675925926</v>
      </c>
      <c r="C968" s="1" t="n">
        <v>45889</v>
      </c>
      <c r="D968" t="inlineStr">
        <is>
          <t>JÄMTLANDS LÄN</t>
        </is>
      </c>
      <c r="E968" t="inlineStr">
        <is>
          <t>RAGUNDA</t>
        </is>
      </c>
      <c r="G968" t="n">
        <v>3.1</v>
      </c>
      <c r="H968" t="n">
        <v>0</v>
      </c>
      <c r="I968" t="n">
        <v>0</v>
      </c>
      <c r="J968" t="n">
        <v>0</v>
      </c>
      <c r="K968" t="n">
        <v>0</v>
      </c>
      <c r="L968" t="n">
        <v>0</v>
      </c>
      <c r="M968" t="n">
        <v>0</v>
      </c>
      <c r="N968" t="n">
        <v>0</v>
      </c>
      <c r="O968" t="n">
        <v>0</v>
      </c>
      <c r="P968" t="n">
        <v>0</v>
      </c>
      <c r="Q968" t="n">
        <v>0</v>
      </c>
      <c r="R968" s="2" t="inlineStr"/>
    </row>
    <row r="969" ht="15" customHeight="1">
      <c r="A969" t="inlineStr">
        <is>
          <t>A 29731-2025</t>
        </is>
      </c>
      <c r="B969" s="1" t="n">
        <v>45825.58252314815</v>
      </c>
      <c r="C969" s="1" t="n">
        <v>45889</v>
      </c>
      <c r="D969" t="inlineStr">
        <is>
          <t>JÄMTLANDS LÄN</t>
        </is>
      </c>
      <c r="E969" t="inlineStr">
        <is>
          <t>RAGUNDA</t>
        </is>
      </c>
      <c r="G969" t="n">
        <v>2.3</v>
      </c>
      <c r="H969" t="n">
        <v>0</v>
      </c>
      <c r="I969" t="n">
        <v>0</v>
      </c>
      <c r="J969" t="n">
        <v>0</v>
      </c>
      <c r="K969" t="n">
        <v>0</v>
      </c>
      <c r="L969" t="n">
        <v>0</v>
      </c>
      <c r="M969" t="n">
        <v>0</v>
      </c>
      <c r="N969" t="n">
        <v>0</v>
      </c>
      <c r="O969" t="n">
        <v>0</v>
      </c>
      <c r="P969" t="n">
        <v>0</v>
      </c>
      <c r="Q969" t="n">
        <v>0</v>
      </c>
      <c r="R969" s="2" t="inlineStr"/>
    </row>
    <row r="970" ht="15" customHeight="1">
      <c r="A970" t="inlineStr">
        <is>
          <t>A 62011-2022</t>
        </is>
      </c>
      <c r="B970" s="1" t="n">
        <v>44914</v>
      </c>
      <c r="C970" s="1" t="n">
        <v>45889</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44630-2023</t>
        </is>
      </c>
      <c r="B971" s="1" t="n">
        <v>45184</v>
      </c>
      <c r="C971" s="1" t="n">
        <v>45889</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12522-2023</t>
        </is>
      </c>
      <c r="B972" s="1" t="n">
        <v>45000</v>
      </c>
      <c r="C972" s="1" t="n">
        <v>45889</v>
      </c>
      <c r="D972" t="inlineStr">
        <is>
          <t>JÄMTLANDS LÄN</t>
        </is>
      </c>
      <c r="E972" t="inlineStr">
        <is>
          <t>RAGUNDA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12523-2023</t>
        </is>
      </c>
      <c r="B973" s="1" t="n">
        <v>45000</v>
      </c>
      <c r="C973" s="1" t="n">
        <v>45889</v>
      </c>
      <c r="D973" t="inlineStr">
        <is>
          <t>JÄMTLANDS LÄN</t>
        </is>
      </c>
      <c r="E973" t="inlineStr">
        <is>
          <t>RAGUNDA</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22311-2024</t>
        </is>
      </c>
      <c r="B974" s="1" t="n">
        <v>45446.57052083333</v>
      </c>
      <c r="C974" s="1" t="n">
        <v>45889</v>
      </c>
      <c r="D974" t="inlineStr">
        <is>
          <t>JÄMTLANDS LÄN</t>
        </is>
      </c>
      <c r="E974" t="inlineStr">
        <is>
          <t>RAGUNDA</t>
        </is>
      </c>
      <c r="G974" t="n">
        <v>1.3</v>
      </c>
      <c r="H974" t="n">
        <v>0</v>
      </c>
      <c r="I974" t="n">
        <v>0</v>
      </c>
      <c r="J974" t="n">
        <v>0</v>
      </c>
      <c r="K974" t="n">
        <v>0</v>
      </c>
      <c r="L974" t="n">
        <v>0</v>
      </c>
      <c r="M974" t="n">
        <v>0</v>
      </c>
      <c r="N974" t="n">
        <v>0</v>
      </c>
      <c r="O974" t="n">
        <v>0</v>
      </c>
      <c r="P974" t="n">
        <v>0</v>
      </c>
      <c r="Q974" t="n">
        <v>0</v>
      </c>
      <c r="R974" s="2" t="inlineStr"/>
    </row>
    <row r="975" ht="15" customHeight="1">
      <c r="A975" t="inlineStr">
        <is>
          <t>A 19866-2023</t>
        </is>
      </c>
      <c r="B975" s="1" t="n">
        <v>45053.94313657407</v>
      </c>
      <c r="C975" s="1" t="n">
        <v>45889</v>
      </c>
      <c r="D975" t="inlineStr">
        <is>
          <t>JÄMTLANDS LÄN</t>
        </is>
      </c>
      <c r="E975" t="inlineStr">
        <is>
          <t>RAGUNDA</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53935-2022</t>
        </is>
      </c>
      <c r="B976" s="1" t="n">
        <v>44880</v>
      </c>
      <c r="C976" s="1" t="n">
        <v>45889</v>
      </c>
      <c r="D976" t="inlineStr">
        <is>
          <t>JÄMTLANDS LÄN</t>
        </is>
      </c>
      <c r="E976" t="inlineStr">
        <is>
          <t>RAGUNDA</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36246-2024</t>
        </is>
      </c>
      <c r="B977" s="1" t="n">
        <v>45534</v>
      </c>
      <c r="C977" s="1" t="n">
        <v>45889</v>
      </c>
      <c r="D977" t="inlineStr">
        <is>
          <t>JÄMTLANDS LÄN</t>
        </is>
      </c>
      <c r="E977" t="inlineStr">
        <is>
          <t>RAGUNDA</t>
        </is>
      </c>
      <c r="G977" t="n">
        <v>1.6</v>
      </c>
      <c r="H977" t="n">
        <v>0</v>
      </c>
      <c r="I977" t="n">
        <v>0</v>
      </c>
      <c r="J977" t="n">
        <v>0</v>
      </c>
      <c r="K977" t="n">
        <v>0</v>
      </c>
      <c r="L977" t="n">
        <v>0</v>
      </c>
      <c r="M977" t="n">
        <v>0</v>
      </c>
      <c r="N977" t="n">
        <v>0</v>
      </c>
      <c r="O977" t="n">
        <v>0</v>
      </c>
      <c r="P977" t="n">
        <v>0</v>
      </c>
      <c r="Q977" t="n">
        <v>0</v>
      </c>
      <c r="R977" s="2" t="inlineStr"/>
    </row>
    <row r="978" ht="15" customHeight="1">
      <c r="A978" t="inlineStr">
        <is>
          <t>A 29714-2025</t>
        </is>
      </c>
      <c r="B978" s="1" t="n">
        <v>45825.56762731481</v>
      </c>
      <c r="C978" s="1" t="n">
        <v>45889</v>
      </c>
      <c r="D978" t="inlineStr">
        <is>
          <t>JÄMTLANDS LÄN</t>
        </is>
      </c>
      <c r="E978" t="inlineStr">
        <is>
          <t>RAGUNDA</t>
        </is>
      </c>
      <c r="G978" t="n">
        <v>2.7</v>
      </c>
      <c r="H978" t="n">
        <v>0</v>
      </c>
      <c r="I978" t="n">
        <v>0</v>
      </c>
      <c r="J978" t="n">
        <v>0</v>
      </c>
      <c r="K978" t="n">
        <v>0</v>
      </c>
      <c r="L978" t="n">
        <v>0</v>
      </c>
      <c r="M978" t="n">
        <v>0</v>
      </c>
      <c r="N978" t="n">
        <v>0</v>
      </c>
      <c r="O978" t="n">
        <v>0</v>
      </c>
      <c r="P978" t="n">
        <v>0</v>
      </c>
      <c r="Q978" t="n">
        <v>0</v>
      </c>
      <c r="R978" s="2" t="inlineStr"/>
    </row>
    <row r="979" ht="15" customHeight="1">
      <c r="A979" t="inlineStr">
        <is>
          <t>A 9504-2025</t>
        </is>
      </c>
      <c r="B979" s="1" t="n">
        <v>45714</v>
      </c>
      <c r="C979" s="1" t="n">
        <v>45889</v>
      </c>
      <c r="D979" t="inlineStr">
        <is>
          <t>JÄMTLANDS LÄN</t>
        </is>
      </c>
      <c r="E979" t="inlineStr">
        <is>
          <t>RAGUNDA</t>
        </is>
      </c>
      <c r="G979" t="n">
        <v>6</v>
      </c>
      <c r="H979" t="n">
        <v>0</v>
      </c>
      <c r="I979" t="n">
        <v>0</v>
      </c>
      <c r="J979" t="n">
        <v>0</v>
      </c>
      <c r="K979" t="n">
        <v>0</v>
      </c>
      <c r="L979" t="n">
        <v>0</v>
      </c>
      <c r="M979" t="n">
        <v>0</v>
      </c>
      <c r="N979" t="n">
        <v>0</v>
      </c>
      <c r="O979" t="n">
        <v>0</v>
      </c>
      <c r="P979" t="n">
        <v>0</v>
      </c>
      <c r="Q979" t="n">
        <v>0</v>
      </c>
      <c r="R979" s="2" t="inlineStr"/>
    </row>
    <row r="980" ht="15" customHeight="1">
      <c r="A980" t="inlineStr">
        <is>
          <t>A 18631-2024</t>
        </is>
      </c>
      <c r="B980" s="1" t="n">
        <v>45425.96494212963</v>
      </c>
      <c r="C980" s="1" t="n">
        <v>45889</v>
      </c>
      <c r="D980" t="inlineStr">
        <is>
          <t>JÄMTLANDS LÄN</t>
        </is>
      </c>
      <c r="E980" t="inlineStr">
        <is>
          <t>RAGUNDA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30088-2025</t>
        </is>
      </c>
      <c r="B981" s="1" t="n">
        <v>45826.65759259259</v>
      </c>
      <c r="C981" s="1" t="n">
        <v>45889</v>
      </c>
      <c r="D981" t="inlineStr">
        <is>
          <t>JÄMTLANDS LÄN</t>
        </is>
      </c>
      <c r="E981" t="inlineStr">
        <is>
          <t>RAGUNDA</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32063-2024</t>
        </is>
      </c>
      <c r="B982" s="1" t="n">
        <v>45510</v>
      </c>
      <c r="C982" s="1" t="n">
        <v>45889</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36553-2025</t>
        </is>
      </c>
      <c r="B983" s="1" t="n">
        <v>45870.34439814815</v>
      </c>
      <c r="C983" s="1" t="n">
        <v>45889</v>
      </c>
      <c r="D983" t="inlineStr">
        <is>
          <t>JÄMTLANDS LÄN</t>
        </is>
      </c>
      <c r="E983" t="inlineStr">
        <is>
          <t>RAGUNDA</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31463-2024</t>
        </is>
      </c>
      <c r="B984" s="1" t="n">
        <v>45505</v>
      </c>
      <c r="C984" s="1" t="n">
        <v>45889</v>
      </c>
      <c r="D984" t="inlineStr">
        <is>
          <t>JÄMTLANDS LÄN</t>
        </is>
      </c>
      <c r="E984" t="inlineStr">
        <is>
          <t>RAGUNDA</t>
        </is>
      </c>
      <c r="F984" t="inlineStr">
        <is>
          <t>SCA</t>
        </is>
      </c>
      <c r="G984" t="n">
        <v>20.3</v>
      </c>
      <c r="H984" t="n">
        <v>0</v>
      </c>
      <c r="I984" t="n">
        <v>0</v>
      </c>
      <c r="J984" t="n">
        <v>0</v>
      </c>
      <c r="K984" t="n">
        <v>0</v>
      </c>
      <c r="L984" t="n">
        <v>0</v>
      </c>
      <c r="M984" t="n">
        <v>0</v>
      </c>
      <c r="N984" t="n">
        <v>0</v>
      </c>
      <c r="O984" t="n">
        <v>0</v>
      </c>
      <c r="P984" t="n">
        <v>0</v>
      </c>
      <c r="Q984" t="n">
        <v>0</v>
      </c>
      <c r="R984" s="2" t="inlineStr"/>
    </row>
    <row r="985" ht="15" customHeight="1">
      <c r="A985" t="inlineStr">
        <is>
          <t>A 30348-2025</t>
        </is>
      </c>
      <c r="B985" s="1" t="n">
        <v>45827.53178240741</v>
      </c>
      <c r="C985" s="1" t="n">
        <v>45889</v>
      </c>
      <c r="D985" t="inlineStr">
        <is>
          <t>JÄMTLANDS LÄN</t>
        </is>
      </c>
      <c r="E985" t="inlineStr">
        <is>
          <t>RAGUNDA</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30434-2025</t>
        </is>
      </c>
      <c r="B986" s="1" t="n">
        <v>45827.63582175926</v>
      </c>
      <c r="C986" s="1" t="n">
        <v>45889</v>
      </c>
      <c r="D986" t="inlineStr">
        <is>
          <t>JÄMTLANDS LÄN</t>
        </is>
      </c>
      <c r="E986" t="inlineStr">
        <is>
          <t>RAGUNDA</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36541-2025</t>
        </is>
      </c>
      <c r="B987" s="1" t="n">
        <v>45869.65666666667</v>
      </c>
      <c r="C987" s="1" t="n">
        <v>45889</v>
      </c>
      <c r="D987" t="inlineStr">
        <is>
          <t>JÄMTLANDS LÄN</t>
        </is>
      </c>
      <c r="E987" t="inlineStr">
        <is>
          <t>RAGUNDA</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36544-2025</t>
        </is>
      </c>
      <c r="B988" s="1" t="n">
        <v>45869.67744212963</v>
      </c>
      <c r="C988" s="1" t="n">
        <v>45889</v>
      </c>
      <c r="D988" t="inlineStr">
        <is>
          <t>JÄMTLANDS LÄN</t>
        </is>
      </c>
      <c r="E988" t="inlineStr">
        <is>
          <t>RAGUNDA</t>
        </is>
      </c>
      <c r="F988" t="inlineStr">
        <is>
          <t>SCA</t>
        </is>
      </c>
      <c r="G988" t="n">
        <v>6.1</v>
      </c>
      <c r="H988" t="n">
        <v>0</v>
      </c>
      <c r="I988" t="n">
        <v>0</v>
      </c>
      <c r="J988" t="n">
        <v>0</v>
      </c>
      <c r="K988" t="n">
        <v>0</v>
      </c>
      <c r="L988" t="n">
        <v>0</v>
      </c>
      <c r="M988" t="n">
        <v>0</v>
      </c>
      <c r="N988" t="n">
        <v>0</v>
      </c>
      <c r="O988" t="n">
        <v>0</v>
      </c>
      <c r="P988" t="n">
        <v>0</v>
      </c>
      <c r="Q988" t="n">
        <v>0</v>
      </c>
      <c r="R988" s="2" t="inlineStr"/>
    </row>
    <row r="989" ht="15" customHeight="1">
      <c r="A989" t="inlineStr">
        <is>
          <t>A 5307-2025</t>
        </is>
      </c>
      <c r="B989" s="1" t="n">
        <v>45692.48993055556</v>
      </c>
      <c r="C989" s="1" t="n">
        <v>45889</v>
      </c>
      <c r="D989" t="inlineStr">
        <is>
          <t>JÄMTLANDS LÄN</t>
        </is>
      </c>
      <c r="E989" t="inlineStr">
        <is>
          <t>RAGUNDA</t>
        </is>
      </c>
      <c r="F989" t="inlineStr">
        <is>
          <t>SCA</t>
        </is>
      </c>
      <c r="G989" t="n">
        <v>20.9</v>
      </c>
      <c r="H989" t="n">
        <v>0</v>
      </c>
      <c r="I989" t="n">
        <v>0</v>
      </c>
      <c r="J989" t="n">
        <v>0</v>
      </c>
      <c r="K989" t="n">
        <v>0</v>
      </c>
      <c r="L989" t="n">
        <v>0</v>
      </c>
      <c r="M989" t="n">
        <v>0</v>
      </c>
      <c r="N989" t="n">
        <v>0</v>
      </c>
      <c r="O989" t="n">
        <v>0</v>
      </c>
      <c r="P989" t="n">
        <v>0</v>
      </c>
      <c r="Q989" t="n">
        <v>0</v>
      </c>
      <c r="R989" s="2" t="inlineStr"/>
    </row>
    <row r="990" ht="15" customHeight="1">
      <c r="A990" t="inlineStr">
        <is>
          <t>A 37008-2025</t>
        </is>
      </c>
      <c r="B990" s="1" t="n">
        <v>45874.69844907407</v>
      </c>
      <c r="C990" s="1" t="n">
        <v>45889</v>
      </c>
      <c r="D990" t="inlineStr">
        <is>
          <t>JÄMTLANDS LÄN</t>
        </is>
      </c>
      <c r="E990" t="inlineStr">
        <is>
          <t>RAGUNDA</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48066-2022</t>
        </is>
      </c>
      <c r="B991" s="1" t="n">
        <v>44855</v>
      </c>
      <c r="C991" s="1" t="n">
        <v>45889</v>
      </c>
      <c r="D991" t="inlineStr">
        <is>
          <t>JÄMTLANDS LÄN</t>
        </is>
      </c>
      <c r="E991" t="inlineStr">
        <is>
          <t>RAGUNDA</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26942-2021</t>
        </is>
      </c>
      <c r="B992" s="1" t="n">
        <v>44349.91978009259</v>
      </c>
      <c r="C992" s="1" t="n">
        <v>45889</v>
      </c>
      <c r="D992" t="inlineStr">
        <is>
          <t>JÄMTLANDS LÄN</t>
        </is>
      </c>
      <c r="E992" t="inlineStr">
        <is>
          <t>RAGUNDA</t>
        </is>
      </c>
      <c r="G992" t="n">
        <v>6.2</v>
      </c>
      <c r="H992" t="n">
        <v>0</v>
      </c>
      <c r="I992" t="n">
        <v>0</v>
      </c>
      <c r="J992" t="n">
        <v>0</v>
      </c>
      <c r="K992" t="n">
        <v>0</v>
      </c>
      <c r="L992" t="n">
        <v>0</v>
      </c>
      <c r="M992" t="n">
        <v>0</v>
      </c>
      <c r="N992" t="n">
        <v>0</v>
      </c>
      <c r="O992" t="n">
        <v>0</v>
      </c>
      <c r="P992" t="n">
        <v>0</v>
      </c>
      <c r="Q992" t="n">
        <v>0</v>
      </c>
      <c r="R992" s="2" t="inlineStr"/>
    </row>
    <row r="993" ht="15" customHeight="1">
      <c r="A993" t="inlineStr">
        <is>
          <t>A 12805-2025</t>
        </is>
      </c>
      <c r="B993" s="1" t="n">
        <v>45733.61497685185</v>
      </c>
      <c r="C993" s="1" t="n">
        <v>45889</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30883-2025</t>
        </is>
      </c>
      <c r="B994" s="1" t="n">
        <v>45832.34552083333</v>
      </c>
      <c r="C994" s="1" t="n">
        <v>45889</v>
      </c>
      <c r="D994" t="inlineStr">
        <is>
          <t>JÄMTLANDS LÄN</t>
        </is>
      </c>
      <c r="E994" t="inlineStr">
        <is>
          <t>RAGUNDA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56504-2024</t>
        </is>
      </c>
      <c r="B995" s="1" t="n">
        <v>45625.51068287037</v>
      </c>
      <c r="C995" s="1" t="n">
        <v>45889</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5938-2025</t>
        </is>
      </c>
      <c r="B996" s="1" t="n">
        <v>45695.45868055556</v>
      </c>
      <c r="C996" s="1" t="n">
        <v>45889</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11062-2023</t>
        </is>
      </c>
      <c r="B997" s="1" t="n">
        <v>44991</v>
      </c>
      <c r="C997" s="1" t="n">
        <v>45889</v>
      </c>
      <c r="D997" t="inlineStr">
        <is>
          <t>JÄMTLANDS LÄN</t>
        </is>
      </c>
      <c r="E997" t="inlineStr">
        <is>
          <t>RAGUNDA</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28173-2024</t>
        </is>
      </c>
      <c r="B998" s="1" t="n">
        <v>45476.94533564815</v>
      </c>
      <c r="C998" s="1" t="n">
        <v>45889</v>
      </c>
      <c r="D998" t="inlineStr">
        <is>
          <t>JÄMTLANDS LÄN</t>
        </is>
      </c>
      <c r="E998" t="inlineStr">
        <is>
          <t>RAGUNDA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36994-2025</t>
        </is>
      </c>
      <c r="B999" s="1" t="n">
        <v>45874.67746527777</v>
      </c>
      <c r="C999" s="1" t="n">
        <v>45889</v>
      </c>
      <c r="D999" t="inlineStr">
        <is>
          <t>JÄMTLANDS LÄN</t>
        </is>
      </c>
      <c r="E999" t="inlineStr">
        <is>
          <t>RAGUNDA</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12024-2022</t>
        </is>
      </c>
      <c r="B1000" s="1" t="n">
        <v>44635</v>
      </c>
      <c r="C1000" s="1" t="n">
        <v>45889</v>
      </c>
      <c r="D1000" t="inlineStr">
        <is>
          <t>JÄMTLANDS LÄN</t>
        </is>
      </c>
      <c r="E1000" t="inlineStr">
        <is>
          <t>RAGUNDA</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30880-2025</t>
        </is>
      </c>
      <c r="B1001" s="1" t="n">
        <v>45832.34524305556</v>
      </c>
      <c r="C1001" s="1" t="n">
        <v>45889</v>
      </c>
      <c r="D1001" t="inlineStr">
        <is>
          <t>JÄMTLANDS LÄN</t>
        </is>
      </c>
      <c r="E1001" t="inlineStr">
        <is>
          <t>RAGUNDA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30887-2025</t>
        </is>
      </c>
      <c r="B1002" s="1" t="n">
        <v>45832.3459375</v>
      </c>
      <c r="C1002" s="1" t="n">
        <v>45889</v>
      </c>
      <c r="D1002" t="inlineStr">
        <is>
          <t>JÄMTLANDS LÄN</t>
        </is>
      </c>
      <c r="E1002" t="inlineStr">
        <is>
          <t>RAGUNDA</t>
        </is>
      </c>
      <c r="F1002" t="inlineStr">
        <is>
          <t>SCA</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35537-2021</t>
        </is>
      </c>
      <c r="B1003" s="1" t="n">
        <v>44384</v>
      </c>
      <c r="C1003" s="1" t="n">
        <v>45889</v>
      </c>
      <c r="D1003" t="inlineStr">
        <is>
          <t>JÄMTLANDS LÄN</t>
        </is>
      </c>
      <c r="E1003" t="inlineStr">
        <is>
          <t>RAGUNDA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36947-2025</t>
        </is>
      </c>
      <c r="B1004" s="1" t="n">
        <v>45874.59496527778</v>
      </c>
      <c r="C1004" s="1" t="n">
        <v>45889</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32874-2025</t>
        </is>
      </c>
      <c r="B1005" s="1" t="n">
        <v>45839</v>
      </c>
      <c r="C1005" s="1" t="n">
        <v>45889</v>
      </c>
      <c r="D1005" t="inlineStr">
        <is>
          <t>JÄMTLANDS LÄN</t>
        </is>
      </c>
      <c r="E1005" t="inlineStr">
        <is>
          <t>RAGUNDA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69153-2021</t>
        </is>
      </c>
      <c r="B1006" s="1" t="n">
        <v>44530.94694444445</v>
      </c>
      <c r="C1006" s="1" t="n">
        <v>45889</v>
      </c>
      <c r="D1006" t="inlineStr">
        <is>
          <t>JÄMTLANDS LÄN</t>
        </is>
      </c>
      <c r="E1006" t="inlineStr">
        <is>
          <t>RAGUNDA</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4882-2023</t>
        </is>
      </c>
      <c r="B1007" s="1" t="n">
        <v>44957.94075231482</v>
      </c>
      <c r="C1007" s="1" t="n">
        <v>45889</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39608-2024</t>
        </is>
      </c>
      <c r="B1008" s="1" t="n">
        <v>45552.39113425926</v>
      </c>
      <c r="C1008" s="1" t="n">
        <v>45889</v>
      </c>
      <c r="D1008" t="inlineStr">
        <is>
          <t>JÄMTLANDS LÄN</t>
        </is>
      </c>
      <c r="E1008" t="inlineStr">
        <is>
          <t>RAGUNDA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18454-2021</t>
        </is>
      </c>
      <c r="B1009" s="1" t="n">
        <v>44305.92047453704</v>
      </c>
      <c r="C1009" s="1" t="n">
        <v>45889</v>
      </c>
      <c r="D1009" t="inlineStr">
        <is>
          <t>JÄMTLANDS LÄN</t>
        </is>
      </c>
      <c r="E1009" t="inlineStr">
        <is>
          <t>RAGUNDA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37292-2025</t>
        </is>
      </c>
      <c r="B1010" s="1" t="n">
        <v>45876.53188657408</v>
      </c>
      <c r="C1010" s="1" t="n">
        <v>45889</v>
      </c>
      <c r="D1010" t="inlineStr">
        <is>
          <t>JÄMTLANDS LÄN</t>
        </is>
      </c>
      <c r="E1010" t="inlineStr">
        <is>
          <t>RAGUNDA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31882-2025</t>
        </is>
      </c>
      <c r="B1011" s="1" t="n">
        <v>45834.65662037037</v>
      </c>
      <c r="C1011" s="1" t="n">
        <v>45889</v>
      </c>
      <c r="D1011" t="inlineStr">
        <is>
          <t>JÄMTLANDS LÄN</t>
        </is>
      </c>
      <c r="E1011" t="inlineStr">
        <is>
          <t>RAGUNDA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26455-2023</t>
        </is>
      </c>
      <c r="B1012" s="1" t="n">
        <v>45092</v>
      </c>
      <c r="C1012" s="1" t="n">
        <v>45889</v>
      </c>
      <c r="D1012" t="inlineStr">
        <is>
          <t>JÄMTLANDS LÄN</t>
        </is>
      </c>
      <c r="E1012" t="inlineStr">
        <is>
          <t>RAGUNDA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18248-2023</t>
        </is>
      </c>
      <c r="B1013" s="1" t="n">
        <v>45040</v>
      </c>
      <c r="C1013" s="1" t="n">
        <v>45889</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45438-2022</t>
        </is>
      </c>
      <c r="B1014" s="1" t="n">
        <v>44844.95368055555</v>
      </c>
      <c r="C1014" s="1" t="n">
        <v>45889</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30459-2021</t>
        </is>
      </c>
      <c r="B1015" s="1" t="n">
        <v>44362</v>
      </c>
      <c r="C1015" s="1" t="n">
        <v>45889</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29263-2024</t>
        </is>
      </c>
      <c r="B1016" s="1" t="n">
        <v>45482.94891203703</v>
      </c>
      <c r="C1016" s="1" t="n">
        <v>45889</v>
      </c>
      <c r="D1016" t="inlineStr">
        <is>
          <t>JÄMTLANDS LÄN</t>
        </is>
      </c>
      <c r="E1016" t="inlineStr">
        <is>
          <t>RAGUNDA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29265-2024</t>
        </is>
      </c>
      <c r="B1017" s="1" t="n">
        <v>45482.9491087963</v>
      </c>
      <c r="C1017" s="1" t="n">
        <v>45889</v>
      </c>
      <c r="D1017" t="inlineStr">
        <is>
          <t>JÄMTLANDS LÄN</t>
        </is>
      </c>
      <c r="E1017" t="inlineStr">
        <is>
          <t>RAGUNDA</t>
        </is>
      </c>
      <c r="F1017" t="inlineStr">
        <is>
          <t>SCA</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45008.01408564814</v>
      </c>
      <c r="C1018" s="1" t="n">
        <v>45889</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41693-2023</t>
        </is>
      </c>
      <c r="B1019" s="1" t="n">
        <v>45176</v>
      </c>
      <c r="C1019" s="1" t="n">
        <v>45889</v>
      </c>
      <c r="D1019" t="inlineStr">
        <is>
          <t>JÄMTLANDS LÄN</t>
        </is>
      </c>
      <c r="E1019" t="inlineStr">
        <is>
          <t>RAGUNDA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6801-2023</t>
        </is>
      </c>
      <c r="B1020" s="1" t="n">
        <v>44966.95328703704</v>
      </c>
      <c r="C1020" s="1" t="n">
        <v>45889</v>
      </c>
      <c r="D1020" t="inlineStr">
        <is>
          <t>JÄMTLANDS LÄN</t>
        </is>
      </c>
      <c r="E1020" t="inlineStr">
        <is>
          <t>RAGUNDA</t>
        </is>
      </c>
      <c r="F1020" t="inlineStr">
        <is>
          <t>SCA</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32075-2025</t>
        </is>
      </c>
      <c r="B1021" s="1" t="n">
        <v>45835.4506712963</v>
      </c>
      <c r="C1021" s="1" t="n">
        <v>45889</v>
      </c>
      <c r="D1021" t="inlineStr">
        <is>
          <t>JÄMTLANDS LÄN</t>
        </is>
      </c>
      <c r="E1021" t="inlineStr">
        <is>
          <t>RAGUNDA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32762-2025</t>
        </is>
      </c>
      <c r="B1022" s="1" t="n">
        <v>45838</v>
      </c>
      <c r="C1022" s="1" t="n">
        <v>45889</v>
      </c>
      <c r="D1022" t="inlineStr">
        <is>
          <t>JÄMTLANDS LÄN</t>
        </is>
      </c>
      <c r="E1022" t="inlineStr">
        <is>
          <t>RAGUNDA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5967-2021</t>
        </is>
      </c>
      <c r="B1023" s="1" t="n">
        <v>44231</v>
      </c>
      <c r="C1023" s="1" t="n">
        <v>45889</v>
      </c>
      <c r="D1023" t="inlineStr">
        <is>
          <t>JÄMTLANDS LÄN</t>
        </is>
      </c>
      <c r="E1023" t="inlineStr">
        <is>
          <t>RAGUNDA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3770-2025</t>
        </is>
      </c>
      <c r="B1024" s="1" t="n">
        <v>45681.6050925926</v>
      </c>
      <c r="C1024" s="1" t="n">
        <v>45889</v>
      </c>
      <c r="D1024" t="inlineStr">
        <is>
          <t>JÄMTLANDS LÄN</t>
        </is>
      </c>
      <c r="E1024" t="inlineStr">
        <is>
          <t>RAGUNDA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11252-2025</t>
        </is>
      </c>
      <c r="B1025" s="1" t="n">
        <v>45726.38615740741</v>
      </c>
      <c r="C1025" s="1" t="n">
        <v>45889</v>
      </c>
      <c r="D1025" t="inlineStr">
        <is>
          <t>JÄMTLANDS LÄN</t>
        </is>
      </c>
      <c r="E1025" t="inlineStr">
        <is>
          <t>RAGUNDA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11253-2025</t>
        </is>
      </c>
      <c r="B1026" s="1" t="n">
        <v>45726.3862037037</v>
      </c>
      <c r="C1026" s="1" t="n">
        <v>45889</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7668-2025</t>
        </is>
      </c>
      <c r="B1027" s="1" t="n">
        <v>45706.34450231482</v>
      </c>
      <c r="C1027" s="1" t="n">
        <v>45889</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32306-2025</t>
        </is>
      </c>
      <c r="B1028" s="1" t="n">
        <v>45835.72046296296</v>
      </c>
      <c r="C1028" s="1" t="n">
        <v>45889</v>
      </c>
      <c r="D1028" t="inlineStr">
        <is>
          <t>JÄMTLANDS LÄN</t>
        </is>
      </c>
      <c r="E1028" t="inlineStr">
        <is>
          <t>RAGUNDA</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32757-2025</t>
        </is>
      </c>
      <c r="B1029" s="1" t="n">
        <v>45838</v>
      </c>
      <c r="C1029" s="1" t="n">
        <v>45889</v>
      </c>
      <c r="D1029" t="inlineStr">
        <is>
          <t>JÄMTLANDS LÄN</t>
        </is>
      </c>
      <c r="E1029" t="inlineStr">
        <is>
          <t>RAGUNDA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32660-2025</t>
        </is>
      </c>
      <c r="B1030" s="1" t="n">
        <v>45838.67887731481</v>
      </c>
      <c r="C1030" s="1" t="n">
        <v>45889</v>
      </c>
      <c r="D1030" t="inlineStr">
        <is>
          <t>JÄMTLANDS LÄN</t>
        </is>
      </c>
      <c r="E1030" t="inlineStr">
        <is>
          <t>RAGUNDA</t>
        </is>
      </c>
      <c r="F1030" t="inlineStr">
        <is>
          <t>SCA</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10641-2024</t>
        </is>
      </c>
      <c r="B1031" s="1" t="n">
        <v>45367.69850694444</v>
      </c>
      <c r="C1031" s="1" t="n">
        <v>45889</v>
      </c>
      <c r="D1031" t="inlineStr">
        <is>
          <t>JÄMTLANDS LÄN</t>
        </is>
      </c>
      <c r="E1031" t="inlineStr">
        <is>
          <t>RAGUNDA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10644-2024</t>
        </is>
      </c>
      <c r="B1032" s="1" t="n">
        <v>45367.71348379629</v>
      </c>
      <c r="C1032" s="1" t="n">
        <v>45889</v>
      </c>
      <c r="D1032" t="inlineStr">
        <is>
          <t>JÄMTLANDS LÄN</t>
        </is>
      </c>
      <c r="E1032" t="inlineStr">
        <is>
          <t>RAGUNDA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17559-2023</t>
        </is>
      </c>
      <c r="B1033" s="1" t="n">
        <v>45034</v>
      </c>
      <c r="C1033" s="1" t="n">
        <v>45889</v>
      </c>
      <c r="D1033" t="inlineStr">
        <is>
          <t>JÄMTLANDS LÄN</t>
        </is>
      </c>
      <c r="E1033" t="inlineStr">
        <is>
          <t>RAGUNDA</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32527-2025</t>
        </is>
      </c>
      <c r="B1034" s="1" t="n">
        <v>45838.48996527777</v>
      </c>
      <c r="C1034" s="1" t="n">
        <v>45889</v>
      </c>
      <c r="D1034" t="inlineStr">
        <is>
          <t>JÄMTLANDS LÄN</t>
        </is>
      </c>
      <c r="E1034" t="inlineStr">
        <is>
          <t>RAGUNDA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30826-2023</t>
        </is>
      </c>
      <c r="B1035" s="1" t="n">
        <v>45112</v>
      </c>
      <c r="C1035" s="1" t="n">
        <v>45889</v>
      </c>
      <c r="D1035" t="inlineStr">
        <is>
          <t>JÄMTLANDS LÄN</t>
        </is>
      </c>
      <c r="E1035" t="inlineStr">
        <is>
          <t>RAGUNDA</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32021-2025</t>
        </is>
      </c>
      <c r="B1036" s="1" t="n">
        <v>45835.40668981482</v>
      </c>
      <c r="C1036" s="1" t="n">
        <v>45889</v>
      </c>
      <c r="D1036" t="inlineStr">
        <is>
          <t>JÄMTLANDS LÄN</t>
        </is>
      </c>
      <c r="E1036" t="inlineStr">
        <is>
          <t>RAGUNDA</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32655-2025</t>
        </is>
      </c>
      <c r="B1037" s="1" t="n">
        <v>45838.67800925926</v>
      </c>
      <c r="C1037" s="1" t="n">
        <v>45889</v>
      </c>
      <c r="D1037" t="inlineStr">
        <is>
          <t>JÄMTLANDS LÄN</t>
        </is>
      </c>
      <c r="E1037" t="inlineStr">
        <is>
          <t>RAGUNDA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56191-2022</t>
        </is>
      </c>
      <c r="B1038" s="1" t="n">
        <v>44889.95015046297</v>
      </c>
      <c r="C1038" s="1" t="n">
        <v>45889</v>
      </c>
      <c r="D1038" t="inlineStr">
        <is>
          <t>JÄMTLANDS LÄN</t>
        </is>
      </c>
      <c r="E1038" t="inlineStr">
        <is>
          <t>RAGUNDA</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32151-2025</t>
        </is>
      </c>
      <c r="B1039" s="1" t="n">
        <v>45835.53166666667</v>
      </c>
      <c r="C1039" s="1" t="n">
        <v>45889</v>
      </c>
      <c r="D1039" t="inlineStr">
        <is>
          <t>JÄMTLANDS LÄN</t>
        </is>
      </c>
      <c r="E1039" t="inlineStr">
        <is>
          <t>RAGUNDA</t>
        </is>
      </c>
      <c r="F1039" t="inlineStr">
        <is>
          <t>SCA</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17730-2022</t>
        </is>
      </c>
      <c r="B1040" s="1" t="n">
        <v>44680</v>
      </c>
      <c r="C1040" s="1" t="n">
        <v>45889</v>
      </c>
      <c r="D1040" t="inlineStr">
        <is>
          <t>JÄMTLANDS LÄN</t>
        </is>
      </c>
      <c r="E1040" t="inlineStr">
        <is>
          <t>RAGUNDA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33621-2023</t>
        </is>
      </c>
      <c r="B1041" s="1" t="n">
        <v>45119</v>
      </c>
      <c r="C1041" s="1" t="n">
        <v>45889</v>
      </c>
      <c r="D1041" t="inlineStr">
        <is>
          <t>JÄMTLANDS LÄN</t>
        </is>
      </c>
      <c r="E1041" t="inlineStr">
        <is>
          <t>RAGUNDA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65216-2023</t>
        </is>
      </c>
      <c r="B1042" s="1" t="n">
        <v>45289</v>
      </c>
      <c r="C1042" s="1" t="n">
        <v>45889</v>
      </c>
      <c r="D1042" t="inlineStr">
        <is>
          <t>JÄMTLANDS LÄN</t>
        </is>
      </c>
      <c r="E1042" t="inlineStr">
        <is>
          <t>RAGUNDA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60838-2023</t>
        </is>
      </c>
      <c r="B1043" s="1" t="n">
        <v>45260.92561342593</v>
      </c>
      <c r="C1043" s="1" t="n">
        <v>45889</v>
      </c>
      <c r="D1043" t="inlineStr">
        <is>
          <t>JÄMTLANDS LÄN</t>
        </is>
      </c>
      <c r="E1043" t="inlineStr">
        <is>
          <t>RAGUNDA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2133-2023</t>
        </is>
      </c>
      <c r="B1044" s="1" t="n">
        <v>44939</v>
      </c>
      <c r="C1044" s="1" t="n">
        <v>45889</v>
      </c>
      <c r="D1044" t="inlineStr">
        <is>
          <t>JÄMTLANDS LÄN</t>
        </is>
      </c>
      <c r="E1044" t="inlineStr">
        <is>
          <t>RAGUNDA</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32096-2025</t>
        </is>
      </c>
      <c r="B1045" s="1" t="n">
        <v>45835.46334490741</v>
      </c>
      <c r="C1045" s="1" t="n">
        <v>45889</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49647-2024</t>
        </is>
      </c>
      <c r="B1046" s="1" t="n">
        <v>45596.61533564814</v>
      </c>
      <c r="C1046" s="1" t="n">
        <v>45889</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32088-2025</t>
        </is>
      </c>
      <c r="B1047" s="1" t="n">
        <v>45835.45686342593</v>
      </c>
      <c r="C1047" s="1" t="n">
        <v>45889</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32748-2025</t>
        </is>
      </c>
      <c r="B1048" s="1" t="n">
        <v>45839.42822916667</v>
      </c>
      <c r="C1048" s="1" t="n">
        <v>45889</v>
      </c>
      <c r="D1048" t="inlineStr">
        <is>
          <t>JÄMTLANDS LÄN</t>
        </is>
      </c>
      <c r="E1048" t="inlineStr">
        <is>
          <t>RAGUNDA</t>
        </is>
      </c>
      <c r="F1048" t="inlineStr">
        <is>
          <t>SCA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32777-2025</t>
        </is>
      </c>
      <c r="B1049" s="1" t="n">
        <v>45839.46915509259</v>
      </c>
      <c r="C1049" s="1" t="n">
        <v>45889</v>
      </c>
      <c r="D1049" t="inlineStr">
        <is>
          <t>JÄMTLANDS LÄN</t>
        </is>
      </c>
      <c r="E1049" t="inlineStr">
        <is>
          <t>RAGUNDA</t>
        </is>
      </c>
      <c r="F1049" t="inlineStr">
        <is>
          <t>SCA</t>
        </is>
      </c>
      <c r="G1049" t="n">
        <v>21.7</v>
      </c>
      <c r="H1049" t="n">
        <v>0</v>
      </c>
      <c r="I1049" t="n">
        <v>0</v>
      </c>
      <c r="J1049" t="n">
        <v>0</v>
      </c>
      <c r="K1049" t="n">
        <v>0</v>
      </c>
      <c r="L1049" t="n">
        <v>0</v>
      </c>
      <c r="M1049" t="n">
        <v>0</v>
      </c>
      <c r="N1049" t="n">
        <v>0</v>
      </c>
      <c r="O1049" t="n">
        <v>0</v>
      </c>
      <c r="P1049" t="n">
        <v>0</v>
      </c>
      <c r="Q1049" t="n">
        <v>0</v>
      </c>
      <c r="R1049" s="2" t="inlineStr"/>
    </row>
    <row r="1050" ht="15" customHeight="1">
      <c r="A1050" t="inlineStr">
        <is>
          <t>A 32430-2025</t>
        </is>
      </c>
      <c r="B1050" s="1" t="n">
        <v>45838.36532407408</v>
      </c>
      <c r="C1050" s="1" t="n">
        <v>45889</v>
      </c>
      <c r="D1050" t="inlineStr">
        <is>
          <t>JÄMTLANDS LÄN</t>
        </is>
      </c>
      <c r="E1050" t="inlineStr">
        <is>
          <t>RAGUNDA</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6802-2021</t>
        </is>
      </c>
      <c r="B1051" s="1" t="n">
        <v>44236</v>
      </c>
      <c r="C1051" s="1" t="n">
        <v>45889</v>
      </c>
      <c r="D1051" t="inlineStr">
        <is>
          <t>JÄMTLANDS LÄN</t>
        </is>
      </c>
      <c r="E1051" t="inlineStr">
        <is>
          <t>RAGUNDA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32796-2025</t>
        </is>
      </c>
      <c r="B1052" s="1" t="n">
        <v>45839.49082175926</v>
      </c>
      <c r="C1052" s="1" t="n">
        <v>45889</v>
      </c>
      <c r="D1052" t="inlineStr">
        <is>
          <t>JÄMTLANDS LÄN</t>
        </is>
      </c>
      <c r="E1052" t="inlineStr">
        <is>
          <t>RAGUNDA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64415-2023</t>
        </is>
      </c>
      <c r="B1053" s="1" t="n">
        <v>45280</v>
      </c>
      <c r="C1053" s="1" t="n">
        <v>45889</v>
      </c>
      <c r="D1053" t="inlineStr">
        <is>
          <t>JÄMTLANDS LÄN</t>
        </is>
      </c>
      <c r="E1053" t="inlineStr">
        <is>
          <t>RAGUNDA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32747-2025</t>
        </is>
      </c>
      <c r="B1054" s="1" t="n">
        <v>45839.42810185185</v>
      </c>
      <c r="C1054" s="1" t="n">
        <v>45889</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38782-2021</t>
        </is>
      </c>
      <c r="B1055" s="1" t="n">
        <v>44410</v>
      </c>
      <c r="C1055" s="1" t="n">
        <v>45889</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16250-2022</t>
        </is>
      </c>
      <c r="B1056" s="1" t="n">
        <v>44670</v>
      </c>
      <c r="C1056" s="1" t="n">
        <v>45889</v>
      </c>
      <c r="D1056" t="inlineStr">
        <is>
          <t>JÄMTLANDS LÄN</t>
        </is>
      </c>
      <c r="E1056" t="inlineStr">
        <is>
          <t>RAGUNDA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32751-2025</t>
        </is>
      </c>
      <c r="B1057" s="1" t="n">
        <v>45839.42864583333</v>
      </c>
      <c r="C1057" s="1" t="n">
        <v>45889</v>
      </c>
      <c r="D1057" t="inlineStr">
        <is>
          <t>JÄMTLANDS LÄN</t>
        </is>
      </c>
      <c r="E1057" t="inlineStr">
        <is>
          <t>RAGUNDA</t>
        </is>
      </c>
      <c r="F1057" t="inlineStr">
        <is>
          <t>SCA</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13334-2024</t>
        </is>
      </c>
      <c r="B1058" s="1" t="n">
        <v>45386</v>
      </c>
      <c r="C1058" s="1" t="n">
        <v>45889</v>
      </c>
      <c r="D1058" t="inlineStr">
        <is>
          <t>JÄMTLANDS LÄN</t>
        </is>
      </c>
      <c r="E1058" t="inlineStr">
        <is>
          <t>RAGUNDA</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32846-2025</t>
        </is>
      </c>
      <c r="B1059" s="1" t="n">
        <v>45839.57331018519</v>
      </c>
      <c r="C1059" s="1" t="n">
        <v>45889</v>
      </c>
      <c r="D1059" t="inlineStr">
        <is>
          <t>JÄMTLANDS LÄN</t>
        </is>
      </c>
      <c r="E1059" t="inlineStr">
        <is>
          <t>RAGUNDA</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33140-2025</t>
        </is>
      </c>
      <c r="B1060" s="1" t="n">
        <v>45840.52225694444</v>
      </c>
      <c r="C1060" s="1" t="n">
        <v>45889</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55669-2023</t>
        </is>
      </c>
      <c r="B1061" s="1" t="n">
        <v>45238.96797453704</v>
      </c>
      <c r="C1061" s="1" t="n">
        <v>45889</v>
      </c>
      <c r="D1061" t="inlineStr">
        <is>
          <t>JÄMTLANDS LÄN</t>
        </is>
      </c>
      <c r="E1061" t="inlineStr">
        <is>
          <t>RAGUNDA</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51389-2024</t>
        </is>
      </c>
      <c r="B1062" s="1" t="n">
        <v>45604.40540509259</v>
      </c>
      <c r="C1062" s="1" t="n">
        <v>45889</v>
      </c>
      <c r="D1062" t="inlineStr">
        <is>
          <t>JÄMTLANDS LÄN</t>
        </is>
      </c>
      <c r="E1062" t="inlineStr">
        <is>
          <t>RAGUNDA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51393-2024</t>
        </is>
      </c>
      <c r="B1063" s="1" t="n">
        <v>45604.41625</v>
      </c>
      <c r="C1063" s="1" t="n">
        <v>45889</v>
      </c>
      <c r="D1063" t="inlineStr">
        <is>
          <t>JÄMTLANDS LÄN</t>
        </is>
      </c>
      <c r="E1063" t="inlineStr">
        <is>
          <t>RAGUNDA</t>
        </is>
      </c>
      <c r="G1063" t="n">
        <v>9.300000000000001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43339-2024</t>
        </is>
      </c>
      <c r="B1064" s="1" t="n">
        <v>45568.51075231482</v>
      </c>
      <c r="C1064" s="1" t="n">
        <v>45889</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38548-2024</t>
        </is>
      </c>
      <c r="B1065" s="1" t="n">
        <v>45546</v>
      </c>
      <c r="C1065" s="1" t="n">
        <v>45889</v>
      </c>
      <c r="D1065" t="inlineStr">
        <is>
          <t>JÄMTLANDS LÄN</t>
        </is>
      </c>
      <c r="E1065" t="inlineStr">
        <is>
          <t>RAGUNDA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45889</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26026-2024</t>
        </is>
      </c>
      <c r="B1067" s="1" t="n">
        <v>45467.96207175926</v>
      </c>
      <c r="C1067" s="1" t="n">
        <v>45889</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5971-2025</t>
        </is>
      </c>
      <c r="B1068" s="1" t="n">
        <v>45695.51070601852</v>
      </c>
      <c r="C1068" s="1" t="n">
        <v>45889</v>
      </c>
      <c r="D1068" t="inlineStr">
        <is>
          <t>JÄMTLANDS LÄN</t>
        </is>
      </c>
      <c r="E1068" t="inlineStr">
        <is>
          <t>RAGUNDA</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33763-2025</t>
        </is>
      </c>
      <c r="B1069" s="1" t="n">
        <v>45842.38579861111</v>
      </c>
      <c r="C1069" s="1" t="n">
        <v>45889</v>
      </c>
      <c r="D1069" t="inlineStr">
        <is>
          <t>JÄMTLANDS LÄN</t>
        </is>
      </c>
      <c r="E1069" t="inlineStr">
        <is>
          <t>RAGUNDA</t>
        </is>
      </c>
      <c r="F1069" t="inlineStr">
        <is>
          <t>SCA</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33556-2025</t>
        </is>
      </c>
      <c r="B1070" s="1" t="n">
        <v>45841.57427083333</v>
      </c>
      <c r="C1070" s="1" t="n">
        <v>45889</v>
      </c>
      <c r="D1070" t="inlineStr">
        <is>
          <t>JÄMTLANDS LÄN</t>
        </is>
      </c>
      <c r="E1070" t="inlineStr">
        <is>
          <t>RAGUNDA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33790-2025</t>
        </is>
      </c>
      <c r="B1071" s="1" t="n">
        <v>45842.42608796297</v>
      </c>
      <c r="C1071" s="1" t="n">
        <v>45889</v>
      </c>
      <c r="D1071" t="inlineStr">
        <is>
          <t>JÄMTLANDS LÄN</t>
        </is>
      </c>
      <c r="E1071" t="inlineStr">
        <is>
          <t>RAGUNDA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51537-2022</t>
        </is>
      </c>
      <c r="B1072" s="1" t="n">
        <v>44869</v>
      </c>
      <c r="C1072" s="1" t="n">
        <v>45889</v>
      </c>
      <c r="D1072" t="inlineStr">
        <is>
          <t>JÄMTLANDS LÄN</t>
        </is>
      </c>
      <c r="E1072" t="inlineStr">
        <is>
          <t>RAGUNDA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33650-2025</t>
        </is>
      </c>
      <c r="B1073" s="1" t="n">
        <v>45841.6571412037</v>
      </c>
      <c r="C1073" s="1" t="n">
        <v>45889</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39192-2025</t>
        </is>
      </c>
      <c r="B1074" s="1" t="n">
        <v>45888.6775</v>
      </c>
      <c r="C1074" s="1" t="n">
        <v>45889</v>
      </c>
      <c r="D1074" t="inlineStr">
        <is>
          <t>JÄMTLANDS LÄN</t>
        </is>
      </c>
      <c r="E1074" t="inlineStr">
        <is>
          <t>RAGUNDA</t>
        </is>
      </c>
      <c r="F1074" t="inlineStr">
        <is>
          <t>Naturvårdsverket</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12995-2023</t>
        </is>
      </c>
      <c r="B1075" s="1" t="n">
        <v>45002.0328125</v>
      </c>
      <c r="C1075" s="1" t="n">
        <v>45889</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34296-2025</t>
        </is>
      </c>
      <c r="B1076" s="1" t="n">
        <v>45846.34454861111</v>
      </c>
      <c r="C1076" s="1" t="n">
        <v>45889</v>
      </c>
      <c r="D1076" t="inlineStr">
        <is>
          <t>JÄMTLANDS LÄN</t>
        </is>
      </c>
      <c r="E1076" t="inlineStr">
        <is>
          <t>RAGUNDA</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8800-2025</t>
        </is>
      </c>
      <c r="B1077" s="1" t="n">
        <v>45712.65671296296</v>
      </c>
      <c r="C1077" s="1" t="n">
        <v>45889</v>
      </c>
      <c r="D1077" t="inlineStr">
        <is>
          <t>JÄMTLANDS LÄN</t>
        </is>
      </c>
      <c r="E1077" t="inlineStr">
        <is>
          <t>RAGUNDA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56284-2023</t>
        </is>
      </c>
      <c r="B1078" s="1" t="n">
        <v>45241.95724537037</v>
      </c>
      <c r="C1078" s="1" t="n">
        <v>45889</v>
      </c>
      <c r="D1078" t="inlineStr">
        <is>
          <t>JÄMTLANDS LÄN</t>
        </is>
      </c>
      <c r="E1078" t="inlineStr">
        <is>
          <t>RAGUNDA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18610-2024</t>
        </is>
      </c>
      <c r="B1079" s="1" t="n">
        <v>45425.96230324074</v>
      </c>
      <c r="C1079" s="1" t="n">
        <v>45889</v>
      </c>
      <c r="D1079" t="inlineStr">
        <is>
          <t>JÄMTLANDS LÄN</t>
        </is>
      </c>
      <c r="E1079" t="inlineStr">
        <is>
          <t>RAGUNDA</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30563-2023</t>
        </is>
      </c>
      <c r="B1080" s="1" t="n">
        <v>45111.92793981481</v>
      </c>
      <c r="C1080" s="1" t="n">
        <v>45889</v>
      </c>
      <c r="D1080" t="inlineStr">
        <is>
          <t>JÄMTLANDS LÄN</t>
        </is>
      </c>
      <c r="E1080" t="inlineStr">
        <is>
          <t>RAGUNDA</t>
        </is>
      </c>
      <c r="F1080" t="inlineStr">
        <is>
          <t>Övriga Aktiebolag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8886-2024</t>
        </is>
      </c>
      <c r="B1081" s="1" t="n">
        <v>45357.05300925926</v>
      </c>
      <c r="C1081" s="1" t="n">
        <v>45889</v>
      </c>
      <c r="D1081" t="inlineStr">
        <is>
          <t>JÄMTLANDS LÄN</t>
        </is>
      </c>
      <c r="E1081" t="inlineStr">
        <is>
          <t>RAGUNDA</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18615-2024</t>
        </is>
      </c>
      <c r="B1082" s="1" t="n">
        <v>45425.96275462963</v>
      </c>
      <c r="C1082" s="1" t="n">
        <v>45889</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23303-2024</t>
        </is>
      </c>
      <c r="B1083" s="1" t="n">
        <v>45453.4444212963</v>
      </c>
      <c r="C1083" s="1" t="n">
        <v>45889</v>
      </c>
      <c r="D1083" t="inlineStr">
        <is>
          <t>JÄMTLANDS LÄN</t>
        </is>
      </c>
      <c r="E1083" t="inlineStr">
        <is>
          <t>RAGUNDA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465-2023</t>
        </is>
      </c>
      <c r="B1084" s="1" t="n">
        <v>44929</v>
      </c>
      <c r="C1084" s="1" t="n">
        <v>45889</v>
      </c>
      <c r="D1084" t="inlineStr">
        <is>
          <t>JÄMTLANDS LÄN</t>
        </is>
      </c>
      <c r="E1084" t="inlineStr">
        <is>
          <t>RAGUNDA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32832-2021</t>
        </is>
      </c>
      <c r="B1085" s="1" t="n">
        <v>44375</v>
      </c>
      <c r="C1085" s="1" t="n">
        <v>45889</v>
      </c>
      <c r="D1085" t="inlineStr">
        <is>
          <t>JÄMTLANDS LÄN</t>
        </is>
      </c>
      <c r="E1085" t="inlineStr">
        <is>
          <t>RAGUNDA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3938-2024</t>
        </is>
      </c>
      <c r="B1086" s="1" t="n">
        <v>45322</v>
      </c>
      <c r="C1086" s="1" t="n">
        <v>45889</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62081-2022</t>
        </is>
      </c>
      <c r="B1087" s="1" t="n">
        <v>44918</v>
      </c>
      <c r="C1087" s="1" t="n">
        <v>45889</v>
      </c>
      <c r="D1087" t="inlineStr">
        <is>
          <t>JÄMTLANDS LÄN</t>
        </is>
      </c>
      <c r="E1087" t="inlineStr">
        <is>
          <t>RAGUNDA</t>
        </is>
      </c>
      <c r="F1087" t="inlineStr">
        <is>
          <t>SCA</t>
        </is>
      </c>
      <c r="G1087" t="n">
        <v>2.9</v>
      </c>
      <c r="H1087" t="n">
        <v>0</v>
      </c>
      <c r="I1087" t="n">
        <v>0</v>
      </c>
      <c r="J1087" t="n">
        <v>0</v>
      </c>
      <c r="K1087" t="n">
        <v>0</v>
      </c>
      <c r="L1087" t="n">
        <v>0</v>
      </c>
      <c r="M1087" t="n">
        <v>0</v>
      </c>
      <c r="N1087" t="n">
        <v>0</v>
      </c>
      <c r="O1087" t="n">
        <v>0</v>
      </c>
      <c r="P1087" t="n">
        <v>0</v>
      </c>
      <c r="Q1087" t="n">
        <v>0</v>
      </c>
      <c r="R1087" s="2" t="inlineStr"/>
    </row>
    <row r="1088">
      <c r="A1088" t="inlineStr">
        <is>
          <t>A 55508-2024</t>
        </is>
      </c>
      <c r="B1088" s="1" t="n">
        <v>45622.46200231482</v>
      </c>
      <c r="C1088" s="1" t="n">
        <v>45889</v>
      </c>
      <c r="D1088" t="inlineStr">
        <is>
          <t>JÄMTLANDS LÄN</t>
        </is>
      </c>
      <c r="E1088" t="inlineStr">
        <is>
          <t>RAGUNDA</t>
        </is>
      </c>
      <c r="G1088" t="n">
        <v>1.8</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2025-08-20T08:28:26Z</dcterms:created>
  <dcterms:modified xmlns:dcterms="http://purl.org/dc/terms/" xmlns:xsi="http://www.w3.org/2001/XMLSchema-instance" xsi:type="dcterms:W3CDTF">2025-08-20T08:28:27Z</dcterms:modified>
</cp:coreProperties>
</file>