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45703</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45703</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45703</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45703</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45703</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45703</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45703</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45703</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45703</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45703</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45703</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45703</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45703</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45703</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45703</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45703</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45703</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45703</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45703</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45703</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45703</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45703</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45703</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45703</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45703</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45703</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45703</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45703</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45703</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45703</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45703</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45703</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45703</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45703</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45703</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45703</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45703</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45703</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45703</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45703</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45703</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45703</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45703</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45703</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45703</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45703</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45703</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45703</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45703</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45703</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45703</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45703</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45703</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45703</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45703</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45703</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45703</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45703</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45703</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45703</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45703</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45703</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45703</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45703</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45703</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45703</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45703</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45703</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45703</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45703</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45703</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45703</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45703</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45703</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45703</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45703</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45703</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45703</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45703</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45703</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45703</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45703</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45703</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45703</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45703</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45703</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45703</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45703</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45703</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45703</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45703</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45703</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45703</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45703</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45703</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45703</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45703</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45703</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45703</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45703</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45703</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45703</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45703</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45703</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45703</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45703</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45703</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45703</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45703</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45703</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45703</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45703</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45703</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45703</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45703</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45703</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45703</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45703</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45703</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45703</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45703</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45703</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45703</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45703</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45703</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45703</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45703</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45703</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45703</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45703</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45703</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45703</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45703</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45703</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45703</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45703</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45703</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45703</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45703</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45703</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45703</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45703</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45703</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45703</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45703</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45703</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45703</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45703</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45703</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45703</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45703</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45703</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45703</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45703</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45703</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45703</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45703</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45703</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45703</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45703</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45703</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45703</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45703</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45703</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45703</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45703</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45703</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45703</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45703</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45703</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45703</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45703</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45703</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45703</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45703</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45703</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45703</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45703</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45703</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45703</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45703</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45703</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45703</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45703</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45703</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45703</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45703</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45703</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45703</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45703</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45703</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45703</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45703</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45703</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45703</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45703</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45703</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45703</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45703</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45703</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45703</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45703</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45703</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45703</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45703</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45703</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45703</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45703</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45703</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45703</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45703</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45703</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45703</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45703</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45703</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45703</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45703</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45703</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45703</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45703</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45703</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45703</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45703</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45703</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45703</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45703</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45703</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45703</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45703</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45703</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45703</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45703</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45703</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45703</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45703</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45703</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45703</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45703</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45703</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45703</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45703</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45703</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45703</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45703</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45703</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45703</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45703</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45703</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45703</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45703</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45703</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45703</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45703</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45703</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45703</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45703</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45703</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45703</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45703</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50089-2022</t>
        </is>
      </c>
      <c r="B264" s="1" t="n">
        <v>44865</v>
      </c>
      <c r="C264" s="1" t="n">
        <v>45703</v>
      </c>
      <c r="D264" t="inlineStr">
        <is>
          <t>JÄMTLANDS LÄN</t>
        </is>
      </c>
      <c r="E264" t="inlineStr">
        <is>
          <t>RAGUNDA</t>
        </is>
      </c>
      <c r="G264" t="n">
        <v>5.7</v>
      </c>
      <c r="H264" t="n">
        <v>1</v>
      </c>
      <c r="I264" t="n">
        <v>0</v>
      </c>
      <c r="J264" t="n">
        <v>1</v>
      </c>
      <c r="K264" t="n">
        <v>0</v>
      </c>
      <c r="L264" t="n">
        <v>0</v>
      </c>
      <c r="M264" t="n">
        <v>0</v>
      </c>
      <c r="N264" t="n">
        <v>0</v>
      </c>
      <c r="O264" t="n">
        <v>1</v>
      </c>
      <c r="P264" t="n">
        <v>0</v>
      </c>
      <c r="Q264" t="n">
        <v>1</v>
      </c>
      <c r="R264" s="2" t="inlineStr">
        <is>
          <t>Björktrast</t>
        </is>
      </c>
      <c r="S264">
        <f>HYPERLINK("https://klasma.github.io/Logging_2303/artfynd/A 50089-2022 artfynd.xlsx", "A 50089-2022")</f>
        <v/>
      </c>
      <c r="T264">
        <f>HYPERLINK("https://klasma.github.io/Logging_2303/kartor/A 50089-2022 karta.png", "A 50089-2022")</f>
        <v/>
      </c>
      <c r="V264">
        <f>HYPERLINK("https://klasma.github.io/Logging_2303/klagomål/A 50089-2022 FSC-klagomål.docx", "A 50089-2022")</f>
        <v/>
      </c>
      <c r="W264">
        <f>HYPERLINK("https://klasma.github.io/Logging_2303/klagomålsmail/A 50089-2022 FSC-klagomål mail.docx", "A 50089-2022")</f>
        <v/>
      </c>
      <c r="X264">
        <f>HYPERLINK("https://klasma.github.io/Logging_2303/tillsyn/A 50089-2022 tillsynsbegäran.docx", "A 50089-2022")</f>
        <v/>
      </c>
      <c r="Y264">
        <f>HYPERLINK("https://klasma.github.io/Logging_2303/tillsynsmail/A 50089-2022 tillsynsbegäran mail.docx", "A 50089-2022")</f>
        <v/>
      </c>
      <c r="Z264">
        <f>HYPERLINK("https://klasma.github.io/Logging_2303/fåglar/A 50089-2022 prioriterade fågelarter.docx", "A 50089-2022")</f>
        <v/>
      </c>
    </row>
    <row r="265" ht="15" customHeight="1">
      <c r="A265" t="inlineStr">
        <is>
          <t>A 11040-2023</t>
        </is>
      </c>
      <c r="B265" s="1" t="n">
        <v>44991</v>
      </c>
      <c r="C265" s="1" t="n">
        <v>45703</v>
      </c>
      <c r="D265" t="inlineStr">
        <is>
          <t>JÄMTLANDS LÄN</t>
        </is>
      </c>
      <c r="E265" t="inlineStr">
        <is>
          <t>RAGUNDA</t>
        </is>
      </c>
      <c r="F265" t="inlineStr">
        <is>
          <t>SCA</t>
        </is>
      </c>
      <c r="G265" t="n">
        <v>10.2</v>
      </c>
      <c r="H265" t="n">
        <v>0</v>
      </c>
      <c r="I265" t="n">
        <v>0</v>
      </c>
      <c r="J265" t="n">
        <v>1</v>
      </c>
      <c r="K265" t="n">
        <v>0</v>
      </c>
      <c r="L265" t="n">
        <v>0</v>
      </c>
      <c r="M265" t="n">
        <v>0</v>
      </c>
      <c r="N265" t="n">
        <v>0</v>
      </c>
      <c r="O265" t="n">
        <v>1</v>
      </c>
      <c r="P265" t="n">
        <v>0</v>
      </c>
      <c r="Q265" t="n">
        <v>1</v>
      </c>
      <c r="R265" s="2" t="inlineStr">
        <is>
          <t>Lunglav</t>
        </is>
      </c>
      <c r="S265">
        <f>HYPERLINK("https://klasma.github.io/Logging_2303/artfynd/A 11040-2023 artfynd.xlsx", "A 11040-2023")</f>
        <v/>
      </c>
      <c r="T265">
        <f>HYPERLINK("https://klasma.github.io/Logging_2303/kartor/A 11040-2023 karta.png", "A 11040-2023")</f>
        <v/>
      </c>
      <c r="V265">
        <f>HYPERLINK("https://klasma.github.io/Logging_2303/klagomål/A 11040-2023 FSC-klagomål.docx", "A 11040-2023")</f>
        <v/>
      </c>
      <c r="W265">
        <f>HYPERLINK("https://klasma.github.io/Logging_2303/klagomålsmail/A 11040-2023 FSC-klagomål mail.docx", "A 11040-2023")</f>
        <v/>
      </c>
      <c r="X265">
        <f>HYPERLINK("https://klasma.github.io/Logging_2303/tillsyn/A 11040-2023 tillsynsbegäran.docx", "A 11040-2023")</f>
        <v/>
      </c>
      <c r="Y265">
        <f>HYPERLINK("https://klasma.github.io/Logging_2303/tillsynsmail/A 11040-2023 tillsynsbegäran mail.docx", "A 11040-2023")</f>
        <v/>
      </c>
    </row>
    <row r="266" ht="15" customHeight="1">
      <c r="A266" t="inlineStr">
        <is>
          <t>A 17340-2023</t>
        </is>
      </c>
      <c r="B266" s="1" t="n">
        <v>45033</v>
      </c>
      <c r="C266" s="1" t="n">
        <v>45703</v>
      </c>
      <c r="D266" t="inlineStr">
        <is>
          <t>JÄMTLANDS LÄN</t>
        </is>
      </c>
      <c r="E266" t="inlineStr">
        <is>
          <t>RAGUNDA</t>
        </is>
      </c>
      <c r="G266" t="n">
        <v>1.6</v>
      </c>
      <c r="H266" t="n">
        <v>0</v>
      </c>
      <c r="I266" t="n">
        <v>0</v>
      </c>
      <c r="J266" t="n">
        <v>1</v>
      </c>
      <c r="K266" t="n">
        <v>0</v>
      </c>
      <c r="L266" t="n">
        <v>0</v>
      </c>
      <c r="M266" t="n">
        <v>0</v>
      </c>
      <c r="N266" t="n">
        <v>0</v>
      </c>
      <c r="O266" t="n">
        <v>1</v>
      </c>
      <c r="P266" t="n">
        <v>0</v>
      </c>
      <c r="Q266" t="n">
        <v>1</v>
      </c>
      <c r="R266" s="2" t="inlineStr">
        <is>
          <t>Vedtrappmossa</t>
        </is>
      </c>
      <c r="S266">
        <f>HYPERLINK("https://klasma.github.io/Logging_2303/artfynd/A 17340-2023 artfynd.xlsx", "A 17340-2023")</f>
        <v/>
      </c>
      <c r="T266">
        <f>HYPERLINK("https://klasma.github.io/Logging_2303/kartor/A 17340-2023 karta.png", "A 17340-2023")</f>
        <v/>
      </c>
      <c r="U266">
        <f>HYPERLINK("https://klasma.github.io/Logging_2303/knärot/A 17340-2023 karta knärot.png", "A 17340-2023")</f>
        <v/>
      </c>
      <c r="V266">
        <f>HYPERLINK("https://klasma.github.io/Logging_2303/klagomål/A 17340-2023 FSC-klagomål.docx", "A 17340-2023")</f>
        <v/>
      </c>
      <c r="W266">
        <f>HYPERLINK("https://klasma.github.io/Logging_2303/klagomålsmail/A 17340-2023 FSC-klagomål mail.docx", "A 17340-2023")</f>
        <v/>
      </c>
      <c r="X266">
        <f>HYPERLINK("https://klasma.github.io/Logging_2303/tillsyn/A 17340-2023 tillsynsbegäran.docx", "A 17340-2023")</f>
        <v/>
      </c>
      <c r="Y266">
        <f>HYPERLINK("https://klasma.github.io/Logging_2303/tillsynsmail/A 17340-2023 tillsynsbegäran mail.docx", "A 17340-2023")</f>
        <v/>
      </c>
    </row>
    <row r="267" ht="15" customHeight="1">
      <c r="A267" t="inlineStr">
        <is>
          <t>A 18985-2023</t>
        </is>
      </c>
      <c r="B267" s="1" t="n">
        <v>45044</v>
      </c>
      <c r="C267" s="1" t="n">
        <v>45703</v>
      </c>
      <c r="D267" t="inlineStr">
        <is>
          <t>JÄMTLANDS LÄN</t>
        </is>
      </c>
      <c r="E267" t="inlineStr">
        <is>
          <t>RAGUNDA</t>
        </is>
      </c>
      <c r="F267" t="inlineStr">
        <is>
          <t>SCA</t>
        </is>
      </c>
      <c r="G267" t="n">
        <v>2.6</v>
      </c>
      <c r="H267" t="n">
        <v>0</v>
      </c>
      <c r="I267" t="n">
        <v>0</v>
      </c>
      <c r="J267" t="n">
        <v>1</v>
      </c>
      <c r="K267" t="n">
        <v>0</v>
      </c>
      <c r="L267" t="n">
        <v>0</v>
      </c>
      <c r="M267" t="n">
        <v>0</v>
      </c>
      <c r="N267" t="n">
        <v>0</v>
      </c>
      <c r="O267" t="n">
        <v>1</v>
      </c>
      <c r="P267" t="n">
        <v>0</v>
      </c>
      <c r="Q267" t="n">
        <v>1</v>
      </c>
      <c r="R267" s="2" t="inlineStr">
        <is>
          <t>Doftskinn</t>
        </is>
      </c>
      <c r="S267">
        <f>HYPERLINK("https://klasma.github.io/Logging_2303/artfynd/A 18985-2023 artfynd.xlsx", "A 18985-2023")</f>
        <v/>
      </c>
      <c r="T267">
        <f>HYPERLINK("https://klasma.github.io/Logging_2303/kartor/A 18985-2023 karta.png", "A 18985-2023")</f>
        <v/>
      </c>
      <c r="V267">
        <f>HYPERLINK("https://klasma.github.io/Logging_2303/klagomål/A 18985-2023 FSC-klagomål.docx", "A 18985-2023")</f>
        <v/>
      </c>
      <c r="W267">
        <f>HYPERLINK("https://klasma.github.io/Logging_2303/klagomålsmail/A 18985-2023 FSC-klagomål mail.docx", "A 18985-2023")</f>
        <v/>
      </c>
      <c r="X267">
        <f>HYPERLINK("https://klasma.github.io/Logging_2303/tillsyn/A 18985-2023 tillsynsbegäran.docx", "A 18985-2023")</f>
        <v/>
      </c>
      <c r="Y267">
        <f>HYPERLINK("https://klasma.github.io/Logging_2303/tillsynsmail/A 18985-2023 tillsynsbegäran mail.docx", "A 18985-2023")</f>
        <v/>
      </c>
    </row>
    <row r="268" ht="15" customHeight="1">
      <c r="A268" t="inlineStr">
        <is>
          <t>A 25694-2023</t>
        </is>
      </c>
      <c r="B268" s="1" t="n">
        <v>45089</v>
      </c>
      <c r="C268" s="1" t="n">
        <v>45703</v>
      </c>
      <c r="D268" t="inlineStr">
        <is>
          <t>JÄMTLANDS LÄN</t>
        </is>
      </c>
      <c r="E268" t="inlineStr">
        <is>
          <t>RAGUNDA</t>
        </is>
      </c>
      <c r="F268" t="inlineStr">
        <is>
          <t>SCA</t>
        </is>
      </c>
      <c r="G268" t="n">
        <v>1.5</v>
      </c>
      <c r="H268" t="n">
        <v>0</v>
      </c>
      <c r="I268" t="n">
        <v>0</v>
      </c>
      <c r="J268" t="n">
        <v>1</v>
      </c>
      <c r="K268" t="n">
        <v>0</v>
      </c>
      <c r="L268" t="n">
        <v>0</v>
      </c>
      <c r="M268" t="n">
        <v>0</v>
      </c>
      <c r="N268" t="n">
        <v>0</v>
      </c>
      <c r="O268" t="n">
        <v>1</v>
      </c>
      <c r="P268" t="n">
        <v>0</v>
      </c>
      <c r="Q268" t="n">
        <v>1</v>
      </c>
      <c r="R268" s="2" t="inlineStr">
        <is>
          <t>Ullticka</t>
        </is>
      </c>
      <c r="S268">
        <f>HYPERLINK("https://klasma.github.io/Logging_2303/artfynd/A 25694-2023 artfynd.xlsx", "A 25694-2023")</f>
        <v/>
      </c>
      <c r="T268">
        <f>HYPERLINK("https://klasma.github.io/Logging_2303/kartor/A 25694-2023 karta.png", "A 25694-2023")</f>
        <v/>
      </c>
      <c r="V268">
        <f>HYPERLINK("https://klasma.github.io/Logging_2303/klagomål/A 25694-2023 FSC-klagomål.docx", "A 25694-2023")</f>
        <v/>
      </c>
      <c r="W268">
        <f>HYPERLINK("https://klasma.github.io/Logging_2303/klagomålsmail/A 25694-2023 FSC-klagomål mail.docx", "A 25694-2023")</f>
        <v/>
      </c>
      <c r="X268">
        <f>HYPERLINK("https://klasma.github.io/Logging_2303/tillsyn/A 25694-2023 tillsynsbegäran.docx", "A 25694-2023")</f>
        <v/>
      </c>
      <c r="Y268">
        <f>HYPERLINK("https://klasma.github.io/Logging_2303/tillsynsmail/A 25694-2023 tillsynsbegäran mail.docx", "A 25694-2023")</f>
        <v/>
      </c>
    </row>
    <row r="269" ht="15" customHeight="1">
      <c r="A269" t="inlineStr">
        <is>
          <t>A 27683-2023</t>
        </is>
      </c>
      <c r="B269" s="1" t="n">
        <v>45097</v>
      </c>
      <c r="C269" s="1" t="n">
        <v>45703</v>
      </c>
      <c r="D269" t="inlineStr">
        <is>
          <t>JÄMTLANDS LÄN</t>
        </is>
      </c>
      <c r="E269" t="inlineStr">
        <is>
          <t>RAGUNDA</t>
        </is>
      </c>
      <c r="F269" t="inlineStr">
        <is>
          <t>SCA</t>
        </is>
      </c>
      <c r="G269" t="n">
        <v>7.3</v>
      </c>
      <c r="H269" t="n">
        <v>0</v>
      </c>
      <c r="I269" t="n">
        <v>0</v>
      </c>
      <c r="J269" t="n">
        <v>1</v>
      </c>
      <c r="K269" t="n">
        <v>0</v>
      </c>
      <c r="L269" t="n">
        <v>0</v>
      </c>
      <c r="M269" t="n">
        <v>0</v>
      </c>
      <c r="N269" t="n">
        <v>0</v>
      </c>
      <c r="O269" t="n">
        <v>1</v>
      </c>
      <c r="P269" t="n">
        <v>0</v>
      </c>
      <c r="Q269" t="n">
        <v>1</v>
      </c>
      <c r="R269" s="2" t="inlineStr">
        <is>
          <t>Dvärgbägarlav</t>
        </is>
      </c>
      <c r="S269">
        <f>HYPERLINK("https://klasma.github.io/Logging_2303/artfynd/A 27683-2023 artfynd.xlsx", "A 27683-2023")</f>
        <v/>
      </c>
      <c r="T269">
        <f>HYPERLINK("https://klasma.github.io/Logging_2303/kartor/A 27683-2023 karta.png", "A 27683-2023")</f>
        <v/>
      </c>
      <c r="V269">
        <f>HYPERLINK("https://klasma.github.io/Logging_2303/klagomål/A 27683-2023 FSC-klagomål.docx", "A 27683-2023")</f>
        <v/>
      </c>
      <c r="W269">
        <f>HYPERLINK("https://klasma.github.io/Logging_2303/klagomålsmail/A 27683-2023 FSC-klagomål mail.docx", "A 27683-2023")</f>
        <v/>
      </c>
      <c r="X269">
        <f>HYPERLINK("https://klasma.github.io/Logging_2303/tillsyn/A 27683-2023 tillsynsbegäran.docx", "A 27683-2023")</f>
        <v/>
      </c>
      <c r="Y269">
        <f>HYPERLINK("https://klasma.github.io/Logging_2303/tillsynsmail/A 27683-2023 tillsynsbegäran mail.docx", "A 27683-2023")</f>
        <v/>
      </c>
    </row>
    <row r="270" ht="15" customHeight="1">
      <c r="A270" t="inlineStr">
        <is>
          <t>A 30283-2023</t>
        </is>
      </c>
      <c r="B270" s="1" t="n">
        <v>45111</v>
      </c>
      <c r="C270" s="1" t="n">
        <v>45703</v>
      </c>
      <c r="D270" t="inlineStr">
        <is>
          <t>JÄMTLANDS LÄN</t>
        </is>
      </c>
      <c r="E270" t="inlineStr">
        <is>
          <t>RAGUNDA</t>
        </is>
      </c>
      <c r="G270" t="n">
        <v>7.4</v>
      </c>
      <c r="H270" t="n">
        <v>0</v>
      </c>
      <c r="I270" t="n">
        <v>0</v>
      </c>
      <c r="J270" t="n">
        <v>1</v>
      </c>
      <c r="K270" t="n">
        <v>0</v>
      </c>
      <c r="L270" t="n">
        <v>0</v>
      </c>
      <c r="M270" t="n">
        <v>0</v>
      </c>
      <c r="N270" t="n">
        <v>0</v>
      </c>
      <c r="O270" t="n">
        <v>1</v>
      </c>
      <c r="P270" t="n">
        <v>0</v>
      </c>
      <c r="Q270" t="n">
        <v>1</v>
      </c>
      <c r="R270" s="2" t="inlineStr">
        <is>
          <t>Garnlav</t>
        </is>
      </c>
      <c r="S270">
        <f>HYPERLINK("https://klasma.github.io/Logging_2303/artfynd/A 30283-2023 artfynd.xlsx", "A 30283-2023")</f>
        <v/>
      </c>
      <c r="T270">
        <f>HYPERLINK("https://klasma.github.io/Logging_2303/kartor/A 30283-2023 karta.png", "A 30283-2023")</f>
        <v/>
      </c>
      <c r="V270">
        <f>HYPERLINK("https://klasma.github.io/Logging_2303/klagomål/A 30283-2023 FSC-klagomål.docx", "A 30283-2023")</f>
        <v/>
      </c>
      <c r="W270">
        <f>HYPERLINK("https://klasma.github.io/Logging_2303/klagomålsmail/A 30283-2023 FSC-klagomål mail.docx", "A 30283-2023")</f>
        <v/>
      </c>
      <c r="X270">
        <f>HYPERLINK("https://klasma.github.io/Logging_2303/tillsyn/A 30283-2023 tillsynsbegäran.docx", "A 30283-2023")</f>
        <v/>
      </c>
      <c r="Y270">
        <f>HYPERLINK("https://klasma.github.io/Logging_2303/tillsynsmail/A 30283-2023 tillsynsbegäran mail.docx", "A 30283-2023")</f>
        <v/>
      </c>
    </row>
    <row r="271" ht="15" customHeight="1">
      <c r="A271" t="inlineStr">
        <is>
          <t>A 35750-2023</t>
        </is>
      </c>
      <c r="B271" s="1" t="n">
        <v>45147</v>
      </c>
      <c r="C271" s="1" t="n">
        <v>45703</v>
      </c>
      <c r="D271" t="inlineStr">
        <is>
          <t>JÄMTLANDS LÄN</t>
        </is>
      </c>
      <c r="E271" t="inlineStr">
        <is>
          <t>RAGUNDA</t>
        </is>
      </c>
      <c r="F271" t="inlineStr">
        <is>
          <t>SCA</t>
        </is>
      </c>
      <c r="G271" t="n">
        <v>4.8</v>
      </c>
      <c r="H271" t="n">
        <v>0</v>
      </c>
      <c r="I271" t="n">
        <v>0</v>
      </c>
      <c r="J271" t="n">
        <v>1</v>
      </c>
      <c r="K271" t="n">
        <v>0</v>
      </c>
      <c r="L271" t="n">
        <v>0</v>
      </c>
      <c r="M271" t="n">
        <v>0</v>
      </c>
      <c r="N271" t="n">
        <v>0</v>
      </c>
      <c r="O271" t="n">
        <v>1</v>
      </c>
      <c r="P271" t="n">
        <v>0</v>
      </c>
      <c r="Q271" t="n">
        <v>1</v>
      </c>
      <c r="R271" s="2" t="inlineStr">
        <is>
          <t>Grantaggsvamp</t>
        </is>
      </c>
      <c r="S271">
        <f>HYPERLINK("https://klasma.github.io/Logging_2303/artfynd/A 35750-2023 artfynd.xlsx", "A 35750-2023")</f>
        <v/>
      </c>
      <c r="T271">
        <f>HYPERLINK("https://klasma.github.io/Logging_2303/kartor/A 35750-2023 karta.png", "A 35750-2023")</f>
        <v/>
      </c>
      <c r="V271">
        <f>HYPERLINK("https://klasma.github.io/Logging_2303/klagomål/A 35750-2023 FSC-klagomål.docx", "A 35750-2023")</f>
        <v/>
      </c>
      <c r="W271">
        <f>HYPERLINK("https://klasma.github.io/Logging_2303/klagomålsmail/A 35750-2023 FSC-klagomål mail.docx", "A 35750-2023")</f>
        <v/>
      </c>
      <c r="X271">
        <f>HYPERLINK("https://klasma.github.io/Logging_2303/tillsyn/A 35750-2023 tillsynsbegäran.docx", "A 35750-2023")</f>
        <v/>
      </c>
      <c r="Y271">
        <f>HYPERLINK("https://klasma.github.io/Logging_2303/tillsynsmail/A 35750-2023 tillsynsbegäran mail.docx", "A 35750-2023")</f>
        <v/>
      </c>
    </row>
    <row r="272" ht="15" customHeight="1">
      <c r="A272" t="inlineStr">
        <is>
          <t>A 36224-2023</t>
        </is>
      </c>
      <c r="B272" s="1" t="n">
        <v>45149</v>
      </c>
      <c r="C272" s="1" t="n">
        <v>45703</v>
      </c>
      <c r="D272" t="inlineStr">
        <is>
          <t>JÄMTLANDS LÄN</t>
        </is>
      </c>
      <c r="E272" t="inlineStr">
        <is>
          <t>RAGUNDA</t>
        </is>
      </c>
      <c r="F272" t="inlineStr">
        <is>
          <t>SCA</t>
        </is>
      </c>
      <c r="G272" t="n">
        <v>8.1</v>
      </c>
      <c r="H272" t="n">
        <v>0</v>
      </c>
      <c r="I272" t="n">
        <v>0</v>
      </c>
      <c r="J272" t="n">
        <v>1</v>
      </c>
      <c r="K272" t="n">
        <v>0</v>
      </c>
      <c r="L272" t="n">
        <v>0</v>
      </c>
      <c r="M272" t="n">
        <v>0</v>
      </c>
      <c r="N272" t="n">
        <v>0</v>
      </c>
      <c r="O272" t="n">
        <v>1</v>
      </c>
      <c r="P272" t="n">
        <v>0</v>
      </c>
      <c r="Q272" t="n">
        <v>1</v>
      </c>
      <c r="R272" s="2" t="inlineStr">
        <is>
          <t>Garnlav</t>
        </is>
      </c>
      <c r="S272">
        <f>HYPERLINK("https://klasma.github.io/Logging_2303/artfynd/A 36224-2023 artfynd.xlsx", "A 36224-2023")</f>
        <v/>
      </c>
      <c r="T272">
        <f>HYPERLINK("https://klasma.github.io/Logging_2303/kartor/A 36224-2023 karta.png", "A 36224-2023")</f>
        <v/>
      </c>
      <c r="V272">
        <f>HYPERLINK("https://klasma.github.io/Logging_2303/klagomål/A 36224-2023 FSC-klagomål.docx", "A 36224-2023")</f>
        <v/>
      </c>
      <c r="W272">
        <f>HYPERLINK("https://klasma.github.io/Logging_2303/klagomålsmail/A 36224-2023 FSC-klagomål mail.docx", "A 36224-2023")</f>
        <v/>
      </c>
      <c r="X272">
        <f>HYPERLINK("https://klasma.github.io/Logging_2303/tillsyn/A 36224-2023 tillsynsbegäran.docx", "A 36224-2023")</f>
        <v/>
      </c>
      <c r="Y272">
        <f>HYPERLINK("https://klasma.github.io/Logging_2303/tillsynsmail/A 36224-2023 tillsynsbegäran mail.docx", "A 36224-2023")</f>
        <v/>
      </c>
    </row>
    <row r="273" ht="15" customHeight="1">
      <c r="A273" t="inlineStr">
        <is>
          <t>A 36204-2023</t>
        </is>
      </c>
      <c r="B273" s="1" t="n">
        <v>45149</v>
      </c>
      <c r="C273" s="1" t="n">
        <v>45703</v>
      </c>
      <c r="D273" t="inlineStr">
        <is>
          <t>JÄMTLANDS LÄN</t>
        </is>
      </c>
      <c r="E273" t="inlineStr">
        <is>
          <t>RAGUNDA</t>
        </is>
      </c>
      <c r="F273" t="inlineStr">
        <is>
          <t>SCA</t>
        </is>
      </c>
      <c r="G273" t="n">
        <v>5.1</v>
      </c>
      <c r="H273" t="n">
        <v>0</v>
      </c>
      <c r="I273" t="n">
        <v>0</v>
      </c>
      <c r="J273" t="n">
        <v>1</v>
      </c>
      <c r="K273" t="n">
        <v>0</v>
      </c>
      <c r="L273" t="n">
        <v>0</v>
      </c>
      <c r="M273" t="n">
        <v>0</v>
      </c>
      <c r="N273" t="n">
        <v>0</v>
      </c>
      <c r="O273" t="n">
        <v>1</v>
      </c>
      <c r="P273" t="n">
        <v>0</v>
      </c>
      <c r="Q273" t="n">
        <v>1</v>
      </c>
      <c r="R273" s="2" t="inlineStr">
        <is>
          <t>Rosenticka</t>
        </is>
      </c>
      <c r="S273">
        <f>HYPERLINK("https://klasma.github.io/Logging_2303/artfynd/A 36204-2023 artfynd.xlsx", "A 36204-2023")</f>
        <v/>
      </c>
      <c r="T273">
        <f>HYPERLINK("https://klasma.github.io/Logging_2303/kartor/A 36204-2023 karta.png", "A 36204-2023")</f>
        <v/>
      </c>
      <c r="V273">
        <f>HYPERLINK("https://klasma.github.io/Logging_2303/klagomål/A 36204-2023 FSC-klagomål.docx", "A 36204-2023")</f>
        <v/>
      </c>
      <c r="W273">
        <f>HYPERLINK("https://klasma.github.io/Logging_2303/klagomålsmail/A 36204-2023 FSC-klagomål mail.docx", "A 36204-2023")</f>
        <v/>
      </c>
      <c r="X273">
        <f>HYPERLINK("https://klasma.github.io/Logging_2303/tillsyn/A 36204-2023 tillsynsbegäran.docx", "A 36204-2023")</f>
        <v/>
      </c>
      <c r="Y273">
        <f>HYPERLINK("https://klasma.github.io/Logging_2303/tillsynsmail/A 36204-2023 tillsynsbegäran mail.docx", "A 36204-2023")</f>
        <v/>
      </c>
    </row>
    <row r="274" ht="15" customHeight="1">
      <c r="A274" t="inlineStr">
        <is>
          <t>A 36225-2023</t>
        </is>
      </c>
      <c r="B274" s="1" t="n">
        <v>45149</v>
      </c>
      <c r="C274" s="1" t="n">
        <v>45703</v>
      </c>
      <c r="D274" t="inlineStr">
        <is>
          <t>JÄMTLANDS LÄN</t>
        </is>
      </c>
      <c r="E274" t="inlineStr">
        <is>
          <t>RAGUNDA</t>
        </is>
      </c>
      <c r="F274" t="inlineStr">
        <is>
          <t>SCA</t>
        </is>
      </c>
      <c r="G274" t="n">
        <v>3.9</v>
      </c>
      <c r="H274" t="n">
        <v>0</v>
      </c>
      <c r="I274" t="n">
        <v>0</v>
      </c>
      <c r="J274" t="n">
        <v>1</v>
      </c>
      <c r="K274" t="n">
        <v>0</v>
      </c>
      <c r="L274" t="n">
        <v>0</v>
      </c>
      <c r="M274" t="n">
        <v>0</v>
      </c>
      <c r="N274" t="n">
        <v>0</v>
      </c>
      <c r="O274" t="n">
        <v>1</v>
      </c>
      <c r="P274" t="n">
        <v>0</v>
      </c>
      <c r="Q274" t="n">
        <v>1</v>
      </c>
      <c r="R274" s="2" t="inlineStr">
        <is>
          <t>Lunglav</t>
        </is>
      </c>
      <c r="S274">
        <f>HYPERLINK("https://klasma.github.io/Logging_2303/artfynd/A 36225-2023 artfynd.xlsx", "A 36225-2023")</f>
        <v/>
      </c>
      <c r="T274">
        <f>HYPERLINK("https://klasma.github.io/Logging_2303/kartor/A 36225-2023 karta.png", "A 36225-2023")</f>
        <v/>
      </c>
      <c r="V274">
        <f>HYPERLINK("https://klasma.github.io/Logging_2303/klagomål/A 36225-2023 FSC-klagomål.docx", "A 36225-2023")</f>
        <v/>
      </c>
      <c r="W274">
        <f>HYPERLINK("https://klasma.github.io/Logging_2303/klagomålsmail/A 36225-2023 FSC-klagomål mail.docx", "A 36225-2023")</f>
        <v/>
      </c>
      <c r="X274">
        <f>HYPERLINK("https://klasma.github.io/Logging_2303/tillsyn/A 36225-2023 tillsynsbegäran.docx", "A 36225-2023")</f>
        <v/>
      </c>
      <c r="Y274">
        <f>HYPERLINK("https://klasma.github.io/Logging_2303/tillsynsmail/A 36225-2023 tillsynsbegäran mail.docx", "A 36225-2023")</f>
        <v/>
      </c>
    </row>
    <row r="275" ht="15" customHeight="1">
      <c r="A275" t="inlineStr">
        <is>
          <t>A 36758-2023</t>
        </is>
      </c>
      <c r="B275" s="1" t="n">
        <v>45153</v>
      </c>
      <c r="C275" s="1" t="n">
        <v>45703</v>
      </c>
      <c r="D275" t="inlineStr">
        <is>
          <t>JÄMTLANDS LÄN</t>
        </is>
      </c>
      <c r="E275" t="inlineStr">
        <is>
          <t>RAGUNDA</t>
        </is>
      </c>
      <c r="G275" t="n">
        <v>6</v>
      </c>
      <c r="H275" t="n">
        <v>0</v>
      </c>
      <c r="I275" t="n">
        <v>0</v>
      </c>
      <c r="J275" t="n">
        <v>1</v>
      </c>
      <c r="K275" t="n">
        <v>0</v>
      </c>
      <c r="L275" t="n">
        <v>0</v>
      </c>
      <c r="M275" t="n">
        <v>0</v>
      </c>
      <c r="N275" t="n">
        <v>0</v>
      </c>
      <c r="O275" t="n">
        <v>1</v>
      </c>
      <c r="P275" t="n">
        <v>0</v>
      </c>
      <c r="Q275" t="n">
        <v>1</v>
      </c>
      <c r="R275" s="2" t="inlineStr">
        <is>
          <t>Lunglav</t>
        </is>
      </c>
      <c r="S275">
        <f>HYPERLINK("https://klasma.github.io/Logging_2303/artfynd/A 36758-2023 artfynd.xlsx", "A 36758-2023")</f>
        <v/>
      </c>
      <c r="T275">
        <f>HYPERLINK("https://klasma.github.io/Logging_2303/kartor/A 36758-2023 karta.png", "A 36758-2023")</f>
        <v/>
      </c>
      <c r="V275">
        <f>HYPERLINK("https://klasma.github.io/Logging_2303/klagomål/A 36758-2023 FSC-klagomål.docx", "A 36758-2023")</f>
        <v/>
      </c>
      <c r="W275">
        <f>HYPERLINK("https://klasma.github.io/Logging_2303/klagomålsmail/A 36758-2023 FSC-klagomål mail.docx", "A 36758-2023")</f>
        <v/>
      </c>
      <c r="X275">
        <f>HYPERLINK("https://klasma.github.io/Logging_2303/tillsyn/A 36758-2023 tillsynsbegäran.docx", "A 36758-2023")</f>
        <v/>
      </c>
      <c r="Y275">
        <f>HYPERLINK("https://klasma.github.io/Logging_2303/tillsynsmail/A 36758-2023 tillsynsbegäran mail.docx", "A 36758-2023")</f>
        <v/>
      </c>
    </row>
    <row r="276" ht="15" customHeight="1">
      <c r="A276" t="inlineStr">
        <is>
          <t>A 36757-2023</t>
        </is>
      </c>
      <c r="B276" s="1" t="n">
        <v>45153</v>
      </c>
      <c r="C276" s="1" t="n">
        <v>45703</v>
      </c>
      <c r="D276" t="inlineStr">
        <is>
          <t>JÄMTLANDS LÄN</t>
        </is>
      </c>
      <c r="E276" t="inlineStr">
        <is>
          <t>RAGUNDA</t>
        </is>
      </c>
      <c r="G276" t="n">
        <v>0.7</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36757-2023 artfynd.xlsx", "A 36757-2023")</f>
        <v/>
      </c>
      <c r="T276">
        <f>HYPERLINK("https://klasma.github.io/Logging_2303/kartor/A 36757-2023 karta.png", "A 36757-2023")</f>
        <v/>
      </c>
      <c r="V276">
        <f>HYPERLINK("https://klasma.github.io/Logging_2303/klagomål/A 36757-2023 FSC-klagomål.docx", "A 36757-2023")</f>
        <v/>
      </c>
      <c r="W276">
        <f>HYPERLINK("https://klasma.github.io/Logging_2303/klagomålsmail/A 36757-2023 FSC-klagomål mail.docx", "A 36757-2023")</f>
        <v/>
      </c>
      <c r="X276">
        <f>HYPERLINK("https://klasma.github.io/Logging_2303/tillsyn/A 36757-2023 tillsynsbegäran.docx", "A 36757-2023")</f>
        <v/>
      </c>
      <c r="Y276">
        <f>HYPERLINK("https://klasma.github.io/Logging_2303/tillsynsmail/A 36757-2023 tillsynsbegäran mail.docx", "A 36757-2023")</f>
        <v/>
      </c>
      <c r="Z276">
        <f>HYPERLINK("https://klasma.github.io/Logging_2303/fåglar/A 36757-2023 prioriterade fågelarter.docx", "A 36757-2023")</f>
        <v/>
      </c>
    </row>
    <row r="277" ht="15" customHeight="1">
      <c r="A277" t="inlineStr">
        <is>
          <t>A 36854-2023</t>
        </is>
      </c>
      <c r="B277" s="1" t="n">
        <v>45153</v>
      </c>
      <c r="C277" s="1" t="n">
        <v>45703</v>
      </c>
      <c r="D277" t="inlineStr">
        <is>
          <t>JÄMTLANDS LÄN</t>
        </is>
      </c>
      <c r="E277" t="inlineStr">
        <is>
          <t>RAGUNDA</t>
        </is>
      </c>
      <c r="G277" t="n">
        <v>4</v>
      </c>
      <c r="H277" t="n">
        <v>1</v>
      </c>
      <c r="I277" t="n">
        <v>0</v>
      </c>
      <c r="J277" t="n">
        <v>1</v>
      </c>
      <c r="K277" t="n">
        <v>0</v>
      </c>
      <c r="L277" t="n">
        <v>0</v>
      </c>
      <c r="M277" t="n">
        <v>0</v>
      </c>
      <c r="N277" t="n">
        <v>0</v>
      </c>
      <c r="O277" t="n">
        <v>1</v>
      </c>
      <c r="P277" t="n">
        <v>0</v>
      </c>
      <c r="Q277" t="n">
        <v>1</v>
      </c>
      <c r="R277" s="2" t="inlineStr">
        <is>
          <t>Talltita</t>
        </is>
      </c>
      <c r="S277">
        <f>HYPERLINK("https://klasma.github.io/Logging_2303/artfynd/A 36854-2023 artfynd.xlsx", "A 36854-2023")</f>
        <v/>
      </c>
      <c r="T277">
        <f>HYPERLINK("https://klasma.github.io/Logging_2303/kartor/A 36854-2023 karta.png", "A 36854-2023")</f>
        <v/>
      </c>
      <c r="V277">
        <f>HYPERLINK("https://klasma.github.io/Logging_2303/klagomål/A 36854-2023 FSC-klagomål.docx", "A 36854-2023")</f>
        <v/>
      </c>
      <c r="W277">
        <f>HYPERLINK("https://klasma.github.io/Logging_2303/klagomålsmail/A 36854-2023 FSC-klagomål mail.docx", "A 36854-2023")</f>
        <v/>
      </c>
      <c r="X277">
        <f>HYPERLINK("https://klasma.github.io/Logging_2303/tillsyn/A 36854-2023 tillsynsbegäran.docx", "A 36854-2023")</f>
        <v/>
      </c>
      <c r="Y277">
        <f>HYPERLINK("https://klasma.github.io/Logging_2303/tillsynsmail/A 36854-2023 tillsynsbegäran mail.docx", "A 36854-2023")</f>
        <v/>
      </c>
      <c r="Z277">
        <f>HYPERLINK("https://klasma.github.io/Logging_2303/fåglar/A 36854-2023 prioriterade fågelarter.docx", "A 36854-2023")</f>
        <v/>
      </c>
    </row>
    <row r="278" ht="15" customHeight="1">
      <c r="A278" t="inlineStr">
        <is>
          <t>A 36975-2023</t>
        </is>
      </c>
      <c r="B278" s="1" t="n">
        <v>45154</v>
      </c>
      <c r="C278" s="1" t="n">
        <v>45703</v>
      </c>
      <c r="D278" t="inlineStr">
        <is>
          <t>JÄMTLANDS LÄN</t>
        </is>
      </c>
      <c r="E278" t="inlineStr">
        <is>
          <t>RAGUNDA</t>
        </is>
      </c>
      <c r="F278" t="inlineStr">
        <is>
          <t>SCA</t>
        </is>
      </c>
      <c r="G278" t="n">
        <v>3.8</v>
      </c>
      <c r="H278" t="n">
        <v>0</v>
      </c>
      <c r="I278" t="n">
        <v>0</v>
      </c>
      <c r="J278" t="n">
        <v>0</v>
      </c>
      <c r="K278" t="n">
        <v>1</v>
      </c>
      <c r="L278" t="n">
        <v>0</v>
      </c>
      <c r="M278" t="n">
        <v>0</v>
      </c>
      <c r="N278" t="n">
        <v>0</v>
      </c>
      <c r="O278" t="n">
        <v>1</v>
      </c>
      <c r="P278" t="n">
        <v>1</v>
      </c>
      <c r="Q278" t="n">
        <v>1</v>
      </c>
      <c r="R278" s="2" t="inlineStr">
        <is>
          <t>Gräddporing</t>
        </is>
      </c>
      <c r="S278">
        <f>HYPERLINK("https://klasma.github.io/Logging_2303/artfynd/A 36975-2023 artfynd.xlsx", "A 36975-2023")</f>
        <v/>
      </c>
      <c r="T278">
        <f>HYPERLINK("https://klasma.github.io/Logging_2303/kartor/A 36975-2023 karta.png", "A 36975-2023")</f>
        <v/>
      </c>
      <c r="V278">
        <f>HYPERLINK("https://klasma.github.io/Logging_2303/klagomål/A 36975-2023 FSC-klagomål.docx", "A 36975-2023")</f>
        <v/>
      </c>
      <c r="W278">
        <f>HYPERLINK("https://klasma.github.io/Logging_2303/klagomålsmail/A 36975-2023 FSC-klagomål mail.docx", "A 36975-2023")</f>
        <v/>
      </c>
      <c r="X278">
        <f>HYPERLINK("https://klasma.github.io/Logging_2303/tillsyn/A 36975-2023 tillsynsbegäran.docx", "A 36975-2023")</f>
        <v/>
      </c>
      <c r="Y278">
        <f>HYPERLINK("https://klasma.github.io/Logging_2303/tillsynsmail/A 36975-2023 tillsynsbegäran mail.docx", "A 36975-2023")</f>
        <v/>
      </c>
    </row>
    <row r="279" ht="15" customHeight="1">
      <c r="A279" t="inlineStr">
        <is>
          <t>A 37234-2023</t>
        </is>
      </c>
      <c r="B279" s="1" t="n">
        <v>45155</v>
      </c>
      <c r="C279" s="1" t="n">
        <v>45703</v>
      </c>
      <c r="D279" t="inlineStr">
        <is>
          <t>JÄMTLANDS LÄN</t>
        </is>
      </c>
      <c r="E279" t="inlineStr">
        <is>
          <t>RAGUNDA</t>
        </is>
      </c>
      <c r="F279" t="inlineStr">
        <is>
          <t>SCA</t>
        </is>
      </c>
      <c r="G279" t="n">
        <v>7.5</v>
      </c>
      <c r="H279" t="n">
        <v>1</v>
      </c>
      <c r="I279" t="n">
        <v>0</v>
      </c>
      <c r="J279" t="n">
        <v>0</v>
      </c>
      <c r="K279" t="n">
        <v>1</v>
      </c>
      <c r="L279" t="n">
        <v>0</v>
      </c>
      <c r="M279" t="n">
        <v>0</v>
      </c>
      <c r="N279" t="n">
        <v>0</v>
      </c>
      <c r="O279" t="n">
        <v>1</v>
      </c>
      <c r="P279" t="n">
        <v>1</v>
      </c>
      <c r="Q279" t="n">
        <v>1</v>
      </c>
      <c r="R279" s="2" t="inlineStr">
        <is>
          <t>Knärot</t>
        </is>
      </c>
      <c r="S279">
        <f>HYPERLINK("https://klasma.github.io/Logging_2303/artfynd/A 37234-2023 artfynd.xlsx", "A 37234-2023")</f>
        <v/>
      </c>
      <c r="T279">
        <f>HYPERLINK("https://klasma.github.io/Logging_2303/kartor/A 37234-2023 karta.png", "A 37234-2023")</f>
        <v/>
      </c>
      <c r="U279">
        <f>HYPERLINK("https://klasma.github.io/Logging_2303/knärot/A 37234-2023 karta knärot.png", "A 37234-2023")</f>
        <v/>
      </c>
      <c r="V279">
        <f>HYPERLINK("https://klasma.github.io/Logging_2303/klagomål/A 37234-2023 FSC-klagomål.docx", "A 37234-2023")</f>
        <v/>
      </c>
      <c r="W279">
        <f>HYPERLINK("https://klasma.github.io/Logging_2303/klagomålsmail/A 37234-2023 FSC-klagomål mail.docx", "A 37234-2023")</f>
        <v/>
      </c>
      <c r="X279">
        <f>HYPERLINK("https://klasma.github.io/Logging_2303/tillsyn/A 37234-2023 tillsynsbegäran.docx", "A 37234-2023")</f>
        <v/>
      </c>
      <c r="Y279">
        <f>HYPERLINK("https://klasma.github.io/Logging_2303/tillsynsmail/A 37234-2023 tillsynsbegäran mail.docx", "A 37234-2023")</f>
        <v/>
      </c>
    </row>
    <row r="280" ht="15" customHeight="1">
      <c r="A280" t="inlineStr">
        <is>
          <t>A 43404-2023</t>
        </is>
      </c>
      <c r="B280" s="1" t="n">
        <v>45183</v>
      </c>
      <c r="C280" s="1" t="n">
        <v>45703</v>
      </c>
      <c r="D280" t="inlineStr">
        <is>
          <t>JÄMTLANDS LÄN</t>
        </is>
      </c>
      <c r="E280" t="inlineStr">
        <is>
          <t>RAGUNDA</t>
        </is>
      </c>
      <c r="F280" t="inlineStr">
        <is>
          <t>SCA</t>
        </is>
      </c>
      <c r="G280" t="n">
        <v>0.9</v>
      </c>
      <c r="H280" t="n">
        <v>0</v>
      </c>
      <c r="I280" t="n">
        <v>1</v>
      </c>
      <c r="J280" t="n">
        <v>0</v>
      </c>
      <c r="K280" t="n">
        <v>0</v>
      </c>
      <c r="L280" t="n">
        <v>0</v>
      </c>
      <c r="M280" t="n">
        <v>0</v>
      </c>
      <c r="N280" t="n">
        <v>0</v>
      </c>
      <c r="O280" t="n">
        <v>0</v>
      </c>
      <c r="P280" t="n">
        <v>0</v>
      </c>
      <c r="Q280" t="n">
        <v>1</v>
      </c>
      <c r="R280" s="2" t="inlineStr">
        <is>
          <t>Kryddspindling</t>
        </is>
      </c>
      <c r="S280">
        <f>HYPERLINK("https://klasma.github.io/Logging_2303/artfynd/A 43404-2023 artfynd.xlsx", "A 43404-2023")</f>
        <v/>
      </c>
      <c r="T280">
        <f>HYPERLINK("https://klasma.github.io/Logging_2303/kartor/A 43404-2023 karta.png", "A 43404-2023")</f>
        <v/>
      </c>
      <c r="V280">
        <f>HYPERLINK("https://klasma.github.io/Logging_2303/klagomål/A 43404-2023 FSC-klagomål.docx", "A 43404-2023")</f>
        <v/>
      </c>
      <c r="W280">
        <f>HYPERLINK("https://klasma.github.io/Logging_2303/klagomålsmail/A 43404-2023 FSC-klagomål mail.docx", "A 43404-2023")</f>
        <v/>
      </c>
      <c r="X280">
        <f>HYPERLINK("https://klasma.github.io/Logging_2303/tillsyn/A 43404-2023 tillsynsbegäran.docx", "A 43404-2023")</f>
        <v/>
      </c>
      <c r="Y280">
        <f>HYPERLINK("https://klasma.github.io/Logging_2303/tillsynsmail/A 43404-2023 tillsynsbegäran mail.docx", "A 43404-2023")</f>
        <v/>
      </c>
    </row>
    <row r="281" ht="15" customHeight="1">
      <c r="A281" t="inlineStr">
        <is>
          <t>A 48429-2023</t>
        </is>
      </c>
      <c r="B281" s="1" t="n">
        <v>45205</v>
      </c>
      <c r="C281" s="1" t="n">
        <v>45703</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48429-2023 artfynd.xlsx", "A 48429-2023")</f>
        <v/>
      </c>
      <c r="T281">
        <f>HYPERLINK("https://klasma.github.io/Logging_2303/kartor/A 48429-2023 karta.png", "A 48429-2023")</f>
        <v/>
      </c>
      <c r="V281">
        <f>HYPERLINK("https://klasma.github.io/Logging_2303/klagomål/A 48429-2023 FSC-klagomål.docx", "A 48429-2023")</f>
        <v/>
      </c>
      <c r="W281">
        <f>HYPERLINK("https://klasma.github.io/Logging_2303/klagomålsmail/A 48429-2023 FSC-klagomål mail.docx", "A 48429-2023")</f>
        <v/>
      </c>
      <c r="X281">
        <f>HYPERLINK("https://klasma.github.io/Logging_2303/tillsyn/A 48429-2023 tillsynsbegäran.docx", "A 48429-2023")</f>
        <v/>
      </c>
      <c r="Y281">
        <f>HYPERLINK("https://klasma.github.io/Logging_2303/tillsynsmail/A 48429-2023 tillsynsbegäran mail.docx", "A 48429-2023")</f>
        <v/>
      </c>
    </row>
    <row r="282" ht="15" customHeight="1">
      <c r="A282" t="inlineStr">
        <is>
          <t>A 48477-2023</t>
        </is>
      </c>
      <c r="B282" s="1" t="n">
        <v>45206</v>
      </c>
      <c r="C282" s="1" t="n">
        <v>45703</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48477-2023 artfynd.xlsx", "A 48477-2023")</f>
        <v/>
      </c>
      <c r="T282">
        <f>HYPERLINK("https://klasma.github.io/Logging_2303/kartor/A 48477-2023 karta.png", "A 48477-2023")</f>
        <v/>
      </c>
      <c r="V282">
        <f>HYPERLINK("https://klasma.github.io/Logging_2303/klagomål/A 48477-2023 FSC-klagomål.docx", "A 48477-2023")</f>
        <v/>
      </c>
      <c r="W282">
        <f>HYPERLINK("https://klasma.github.io/Logging_2303/klagomålsmail/A 48477-2023 FSC-klagomål mail.docx", "A 48477-2023")</f>
        <v/>
      </c>
      <c r="X282">
        <f>HYPERLINK("https://klasma.github.io/Logging_2303/tillsyn/A 48477-2023 tillsynsbegäran.docx", "A 48477-2023")</f>
        <v/>
      </c>
      <c r="Y282">
        <f>HYPERLINK("https://klasma.github.io/Logging_2303/tillsynsmail/A 48477-2023 tillsynsbegäran mail.docx", "A 48477-2023")</f>
        <v/>
      </c>
    </row>
    <row r="283" ht="15" customHeight="1">
      <c r="A283" t="inlineStr">
        <is>
          <t>A 50164-2023</t>
        </is>
      </c>
      <c r="B283" s="1" t="n">
        <v>45208</v>
      </c>
      <c r="C283" s="1" t="n">
        <v>45703</v>
      </c>
      <c r="D283" t="inlineStr">
        <is>
          <t>JÄMTLANDS LÄN</t>
        </is>
      </c>
      <c r="E283" t="inlineStr">
        <is>
          <t>RAGUNDA</t>
        </is>
      </c>
      <c r="G283" t="n">
        <v>2.9</v>
      </c>
      <c r="H283" t="n">
        <v>0</v>
      </c>
      <c r="I283" t="n">
        <v>0</v>
      </c>
      <c r="J283" t="n">
        <v>0</v>
      </c>
      <c r="K283" t="n">
        <v>1</v>
      </c>
      <c r="L283" t="n">
        <v>0</v>
      </c>
      <c r="M283" t="n">
        <v>0</v>
      </c>
      <c r="N283" t="n">
        <v>0</v>
      </c>
      <c r="O283" t="n">
        <v>1</v>
      </c>
      <c r="P283" t="n">
        <v>1</v>
      </c>
      <c r="Q283" t="n">
        <v>1</v>
      </c>
      <c r="R283" s="2" t="inlineStr">
        <is>
          <t>Mindre barkplattbagge</t>
        </is>
      </c>
      <c r="S283">
        <f>HYPERLINK("https://klasma.github.io/Logging_2303/artfynd/A 50164-2023 artfynd.xlsx", "A 50164-2023")</f>
        <v/>
      </c>
      <c r="T283">
        <f>HYPERLINK("https://klasma.github.io/Logging_2303/kartor/A 50164-2023 karta.png", "A 50164-2023")</f>
        <v/>
      </c>
      <c r="V283">
        <f>HYPERLINK("https://klasma.github.io/Logging_2303/klagomål/A 50164-2023 FSC-klagomål.docx", "A 50164-2023")</f>
        <v/>
      </c>
      <c r="W283">
        <f>HYPERLINK("https://klasma.github.io/Logging_2303/klagomålsmail/A 50164-2023 FSC-klagomål mail.docx", "A 50164-2023")</f>
        <v/>
      </c>
      <c r="X283">
        <f>HYPERLINK("https://klasma.github.io/Logging_2303/tillsyn/A 50164-2023 tillsynsbegäran.docx", "A 50164-2023")</f>
        <v/>
      </c>
      <c r="Y283">
        <f>HYPERLINK("https://klasma.github.io/Logging_2303/tillsynsmail/A 50164-2023 tillsynsbegäran mail.docx", "A 50164-2023")</f>
        <v/>
      </c>
    </row>
    <row r="284" ht="15" customHeight="1">
      <c r="A284" t="inlineStr">
        <is>
          <t>A 53947-2023</t>
        </is>
      </c>
      <c r="B284" s="1" t="n">
        <v>45225</v>
      </c>
      <c r="C284" s="1" t="n">
        <v>45703</v>
      </c>
      <c r="D284" t="inlineStr">
        <is>
          <t>JÄMTLANDS LÄN</t>
        </is>
      </c>
      <c r="E284" t="inlineStr">
        <is>
          <t>RAGUNDA</t>
        </is>
      </c>
      <c r="G284" t="n">
        <v>4.4</v>
      </c>
      <c r="H284" t="n">
        <v>1</v>
      </c>
      <c r="I284" t="n">
        <v>0</v>
      </c>
      <c r="J284" t="n">
        <v>0</v>
      </c>
      <c r="K284" t="n">
        <v>0</v>
      </c>
      <c r="L284" t="n">
        <v>0</v>
      </c>
      <c r="M284" t="n">
        <v>0</v>
      </c>
      <c r="N284" t="n">
        <v>0</v>
      </c>
      <c r="O284" t="n">
        <v>0</v>
      </c>
      <c r="P284" t="n">
        <v>0</v>
      </c>
      <c r="Q284" t="n">
        <v>1</v>
      </c>
      <c r="R284" s="2" t="inlineStr">
        <is>
          <t>Nattviol</t>
        </is>
      </c>
      <c r="S284">
        <f>HYPERLINK("https://klasma.github.io/Logging_2303/artfynd/A 53947-2023 artfynd.xlsx", "A 53947-2023")</f>
        <v/>
      </c>
      <c r="T284">
        <f>HYPERLINK("https://klasma.github.io/Logging_2303/kartor/A 53947-2023 karta.png", "A 53947-2023")</f>
        <v/>
      </c>
      <c r="V284">
        <f>HYPERLINK("https://klasma.github.io/Logging_2303/klagomål/A 53947-2023 FSC-klagomål.docx", "A 53947-2023")</f>
        <v/>
      </c>
      <c r="W284">
        <f>HYPERLINK("https://klasma.github.io/Logging_2303/klagomålsmail/A 53947-2023 FSC-klagomål mail.docx", "A 53947-2023")</f>
        <v/>
      </c>
      <c r="X284">
        <f>HYPERLINK("https://klasma.github.io/Logging_2303/tillsyn/A 53947-2023 tillsynsbegäran.docx", "A 53947-2023")</f>
        <v/>
      </c>
      <c r="Y284">
        <f>HYPERLINK("https://klasma.github.io/Logging_2303/tillsynsmail/A 53947-2023 tillsynsbegäran mail.docx", "A 53947-2023")</f>
        <v/>
      </c>
    </row>
    <row r="285" ht="15" customHeight="1">
      <c r="A285" t="inlineStr">
        <is>
          <t>A 56283-2023</t>
        </is>
      </c>
      <c r="B285" s="1" t="n">
        <v>45241</v>
      </c>
      <c r="C285" s="1" t="n">
        <v>45703</v>
      </c>
      <c r="D285" t="inlineStr">
        <is>
          <t>JÄMTLANDS LÄN</t>
        </is>
      </c>
      <c r="E285" t="inlineStr">
        <is>
          <t>RAGUNDA</t>
        </is>
      </c>
      <c r="F285" t="inlineStr">
        <is>
          <t>SCA</t>
        </is>
      </c>
      <c r="G285" t="n">
        <v>7.4</v>
      </c>
      <c r="H285" t="n">
        <v>1</v>
      </c>
      <c r="I285" t="n">
        <v>0</v>
      </c>
      <c r="J285" t="n">
        <v>0</v>
      </c>
      <c r="K285" t="n">
        <v>1</v>
      </c>
      <c r="L285" t="n">
        <v>0</v>
      </c>
      <c r="M285" t="n">
        <v>0</v>
      </c>
      <c r="N285" t="n">
        <v>0</v>
      </c>
      <c r="O285" t="n">
        <v>1</v>
      </c>
      <c r="P285" t="n">
        <v>1</v>
      </c>
      <c r="Q285" t="n">
        <v>1</v>
      </c>
      <c r="R285" s="2" t="inlineStr">
        <is>
          <t>Doftticka</t>
        </is>
      </c>
      <c r="S285">
        <f>HYPERLINK("https://klasma.github.io/Logging_2303/artfynd/A 56283-2023 artfynd.xlsx", "A 56283-2023")</f>
        <v/>
      </c>
      <c r="T285">
        <f>HYPERLINK("https://klasma.github.io/Logging_2303/kartor/A 56283-2023 karta.png", "A 56283-2023")</f>
        <v/>
      </c>
      <c r="V285">
        <f>HYPERLINK("https://klasma.github.io/Logging_2303/klagomål/A 56283-2023 FSC-klagomål.docx", "A 56283-2023")</f>
        <v/>
      </c>
      <c r="W285">
        <f>HYPERLINK("https://klasma.github.io/Logging_2303/klagomålsmail/A 56283-2023 FSC-klagomål mail.docx", "A 56283-2023")</f>
        <v/>
      </c>
      <c r="X285">
        <f>HYPERLINK("https://klasma.github.io/Logging_2303/tillsyn/A 56283-2023 tillsynsbegäran.docx", "A 56283-2023")</f>
        <v/>
      </c>
      <c r="Y285">
        <f>HYPERLINK("https://klasma.github.io/Logging_2303/tillsynsmail/A 56283-2023 tillsynsbegäran mail.docx", "A 56283-2023")</f>
        <v/>
      </c>
    </row>
    <row r="286" ht="15" customHeight="1">
      <c r="A286" t="inlineStr">
        <is>
          <t>A 59104-2023</t>
        </is>
      </c>
      <c r="B286" s="1" t="n">
        <v>45253</v>
      </c>
      <c r="C286" s="1" t="n">
        <v>45703</v>
      </c>
      <c r="D286" t="inlineStr">
        <is>
          <t>JÄMTLANDS LÄN</t>
        </is>
      </c>
      <c r="E286" t="inlineStr">
        <is>
          <t>RAGUNDA</t>
        </is>
      </c>
      <c r="F286" t="inlineStr">
        <is>
          <t>SCA</t>
        </is>
      </c>
      <c r="G286" t="n">
        <v>4.2</v>
      </c>
      <c r="H286" t="n">
        <v>0</v>
      </c>
      <c r="I286" t="n">
        <v>0</v>
      </c>
      <c r="J286" t="n">
        <v>1</v>
      </c>
      <c r="K286" t="n">
        <v>0</v>
      </c>
      <c r="L286" t="n">
        <v>0</v>
      </c>
      <c r="M286" t="n">
        <v>0</v>
      </c>
      <c r="N286" t="n">
        <v>0</v>
      </c>
      <c r="O286" t="n">
        <v>1</v>
      </c>
      <c r="P286" t="n">
        <v>0</v>
      </c>
      <c r="Q286" t="n">
        <v>1</v>
      </c>
      <c r="R286" s="2" t="inlineStr">
        <is>
          <t>Ullticka</t>
        </is>
      </c>
      <c r="S286">
        <f>HYPERLINK("https://klasma.github.io/Logging_2303/artfynd/A 59104-2023 artfynd.xlsx", "A 59104-2023")</f>
        <v/>
      </c>
      <c r="T286">
        <f>HYPERLINK("https://klasma.github.io/Logging_2303/kartor/A 59104-2023 karta.png", "A 59104-2023")</f>
        <v/>
      </c>
      <c r="V286">
        <f>HYPERLINK("https://klasma.github.io/Logging_2303/klagomål/A 59104-2023 FSC-klagomål.docx", "A 59104-2023")</f>
        <v/>
      </c>
      <c r="W286">
        <f>HYPERLINK("https://klasma.github.io/Logging_2303/klagomålsmail/A 59104-2023 FSC-klagomål mail.docx", "A 59104-2023")</f>
        <v/>
      </c>
      <c r="X286">
        <f>HYPERLINK("https://klasma.github.io/Logging_2303/tillsyn/A 59104-2023 tillsynsbegäran.docx", "A 59104-2023")</f>
        <v/>
      </c>
      <c r="Y286">
        <f>HYPERLINK("https://klasma.github.io/Logging_2303/tillsynsmail/A 59104-2023 tillsynsbegäran mail.docx", "A 59104-2023")</f>
        <v/>
      </c>
    </row>
    <row r="287" ht="15" customHeight="1">
      <c r="A287" t="inlineStr">
        <is>
          <t>A 61505-2023</t>
        </is>
      </c>
      <c r="B287" s="1" t="n">
        <v>45264</v>
      </c>
      <c r="C287" s="1" t="n">
        <v>45703</v>
      </c>
      <c r="D287" t="inlineStr">
        <is>
          <t>JÄMTLANDS LÄN</t>
        </is>
      </c>
      <c r="E287" t="inlineStr">
        <is>
          <t>RAGUNDA</t>
        </is>
      </c>
      <c r="F287" t="inlineStr">
        <is>
          <t>SCA</t>
        </is>
      </c>
      <c r="G287" t="n">
        <v>38.3</v>
      </c>
      <c r="H287" t="n">
        <v>1</v>
      </c>
      <c r="I287" t="n">
        <v>0</v>
      </c>
      <c r="J287" t="n">
        <v>1</v>
      </c>
      <c r="K287" t="n">
        <v>0</v>
      </c>
      <c r="L287" t="n">
        <v>0</v>
      </c>
      <c r="M287" t="n">
        <v>0</v>
      </c>
      <c r="N287" t="n">
        <v>0</v>
      </c>
      <c r="O287" t="n">
        <v>1</v>
      </c>
      <c r="P287" t="n">
        <v>0</v>
      </c>
      <c r="Q287" t="n">
        <v>1</v>
      </c>
      <c r="R287" s="2" t="inlineStr">
        <is>
          <t>Järpe</t>
        </is>
      </c>
      <c r="S287">
        <f>HYPERLINK("https://klasma.github.io/Logging_2303/artfynd/A 61505-2023 artfynd.xlsx", "A 61505-2023")</f>
        <v/>
      </c>
      <c r="T287">
        <f>HYPERLINK("https://klasma.github.io/Logging_2303/kartor/A 61505-2023 karta.png", "A 61505-2023")</f>
        <v/>
      </c>
      <c r="V287">
        <f>HYPERLINK("https://klasma.github.io/Logging_2303/klagomål/A 61505-2023 FSC-klagomål.docx", "A 61505-2023")</f>
        <v/>
      </c>
      <c r="W287">
        <f>HYPERLINK("https://klasma.github.io/Logging_2303/klagomålsmail/A 61505-2023 FSC-klagomål mail.docx", "A 61505-2023")</f>
        <v/>
      </c>
      <c r="X287">
        <f>HYPERLINK("https://klasma.github.io/Logging_2303/tillsyn/A 61505-2023 tillsynsbegäran.docx", "A 61505-2023")</f>
        <v/>
      </c>
      <c r="Y287">
        <f>HYPERLINK("https://klasma.github.io/Logging_2303/tillsynsmail/A 61505-2023 tillsynsbegäran mail.docx", "A 61505-2023")</f>
        <v/>
      </c>
      <c r="Z287">
        <f>HYPERLINK("https://klasma.github.io/Logging_2303/fåglar/A 61505-2023 prioriterade fågelarter.docx", "A 61505-2023")</f>
        <v/>
      </c>
    </row>
    <row r="288" ht="15" customHeight="1">
      <c r="A288" t="inlineStr">
        <is>
          <t>A 62072-2023</t>
        </is>
      </c>
      <c r="B288" s="1" t="n">
        <v>45266</v>
      </c>
      <c r="C288" s="1" t="n">
        <v>45703</v>
      </c>
      <c r="D288" t="inlineStr">
        <is>
          <t>JÄMTLANDS LÄN</t>
        </is>
      </c>
      <c r="E288" t="inlineStr">
        <is>
          <t>RAGUNDA</t>
        </is>
      </c>
      <c r="G288" t="n">
        <v>4.5</v>
      </c>
      <c r="H288" t="n">
        <v>1</v>
      </c>
      <c r="I288" t="n">
        <v>0</v>
      </c>
      <c r="J288" t="n">
        <v>0</v>
      </c>
      <c r="K288" t="n">
        <v>1</v>
      </c>
      <c r="L288" t="n">
        <v>0</v>
      </c>
      <c r="M288" t="n">
        <v>0</v>
      </c>
      <c r="N288" t="n">
        <v>0</v>
      </c>
      <c r="O288" t="n">
        <v>1</v>
      </c>
      <c r="P288" t="n">
        <v>1</v>
      </c>
      <c r="Q288" t="n">
        <v>1</v>
      </c>
      <c r="R288" s="2" t="inlineStr">
        <is>
          <t>Lappuggla</t>
        </is>
      </c>
      <c r="S288">
        <f>HYPERLINK("https://klasma.github.io/Logging_2303/artfynd/A 62072-2023 artfynd.xlsx", "A 62072-2023")</f>
        <v/>
      </c>
      <c r="T288">
        <f>HYPERLINK("https://klasma.github.io/Logging_2303/kartor/A 62072-2023 karta.png", "A 62072-2023")</f>
        <v/>
      </c>
      <c r="V288">
        <f>HYPERLINK("https://klasma.github.io/Logging_2303/klagomål/A 62072-2023 FSC-klagomål.docx", "A 62072-2023")</f>
        <v/>
      </c>
      <c r="W288">
        <f>HYPERLINK("https://klasma.github.io/Logging_2303/klagomålsmail/A 62072-2023 FSC-klagomål mail.docx", "A 62072-2023")</f>
        <v/>
      </c>
      <c r="X288">
        <f>HYPERLINK("https://klasma.github.io/Logging_2303/tillsyn/A 62072-2023 tillsynsbegäran.docx", "A 62072-2023")</f>
        <v/>
      </c>
      <c r="Y288">
        <f>HYPERLINK("https://klasma.github.io/Logging_2303/tillsynsmail/A 62072-2023 tillsynsbegäran mail.docx", "A 62072-2023")</f>
        <v/>
      </c>
      <c r="Z288">
        <f>HYPERLINK("https://klasma.github.io/Logging_2303/fåglar/A 62072-2023 prioriterade fågelarter.docx", "A 62072-2023")</f>
        <v/>
      </c>
    </row>
    <row r="289" ht="15" customHeight="1">
      <c r="A289" t="inlineStr">
        <is>
          <t>A 978-2024</t>
        </is>
      </c>
      <c r="B289" s="1" t="n">
        <v>45301</v>
      </c>
      <c r="C289" s="1" t="n">
        <v>45703</v>
      </c>
      <c r="D289" t="inlineStr">
        <is>
          <t>JÄMTLANDS LÄN</t>
        </is>
      </c>
      <c r="E289" t="inlineStr">
        <is>
          <t>RAGUNDA</t>
        </is>
      </c>
      <c r="G289" t="n">
        <v>3.1</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978-2024 artfynd.xlsx", "A 978-2024")</f>
        <v/>
      </c>
      <c r="T289">
        <f>HYPERLINK("https://klasma.github.io/Logging_2303/kartor/A 978-2024 karta.png", "A 978-2024")</f>
        <v/>
      </c>
      <c r="V289">
        <f>HYPERLINK("https://klasma.github.io/Logging_2303/klagomål/A 978-2024 FSC-klagomål.docx", "A 978-2024")</f>
        <v/>
      </c>
      <c r="W289">
        <f>HYPERLINK("https://klasma.github.io/Logging_2303/klagomålsmail/A 978-2024 FSC-klagomål mail.docx", "A 978-2024")</f>
        <v/>
      </c>
      <c r="X289">
        <f>HYPERLINK("https://klasma.github.io/Logging_2303/tillsyn/A 978-2024 tillsynsbegäran.docx", "A 978-2024")</f>
        <v/>
      </c>
      <c r="Y289">
        <f>HYPERLINK("https://klasma.github.io/Logging_2303/tillsynsmail/A 978-2024 tillsynsbegäran mail.docx", "A 978-2024")</f>
        <v/>
      </c>
      <c r="Z289">
        <f>HYPERLINK("https://klasma.github.io/Logging_2303/fåglar/A 978-2024 prioriterade fågelarter.docx", "A 978-2024")</f>
        <v/>
      </c>
    </row>
    <row r="290" ht="15" customHeight="1">
      <c r="A290" t="inlineStr">
        <is>
          <t>A 1057-2024</t>
        </is>
      </c>
      <c r="B290" s="1" t="n">
        <v>45301</v>
      </c>
      <c r="C290" s="1" t="n">
        <v>45703</v>
      </c>
      <c r="D290" t="inlineStr">
        <is>
          <t>JÄMTLANDS LÄN</t>
        </is>
      </c>
      <c r="E290" t="inlineStr">
        <is>
          <t>RAGUNDA</t>
        </is>
      </c>
      <c r="F290" t="inlineStr">
        <is>
          <t>SCA</t>
        </is>
      </c>
      <c r="G290" t="n">
        <v>6.8</v>
      </c>
      <c r="H290" t="n">
        <v>0</v>
      </c>
      <c r="I290" t="n">
        <v>1</v>
      </c>
      <c r="J290" t="n">
        <v>0</v>
      </c>
      <c r="K290" t="n">
        <v>0</v>
      </c>
      <c r="L290" t="n">
        <v>0</v>
      </c>
      <c r="M290" t="n">
        <v>0</v>
      </c>
      <c r="N290" t="n">
        <v>0</v>
      </c>
      <c r="O290" t="n">
        <v>0</v>
      </c>
      <c r="P290" t="n">
        <v>0</v>
      </c>
      <c r="Q290" t="n">
        <v>1</v>
      </c>
      <c r="R290" s="2" t="inlineStr">
        <is>
          <t>Stor aspticka</t>
        </is>
      </c>
      <c r="S290">
        <f>HYPERLINK("https://klasma.github.io/Logging_2303/artfynd/A 1057-2024 artfynd.xlsx", "A 1057-2024")</f>
        <v/>
      </c>
      <c r="T290">
        <f>HYPERLINK("https://klasma.github.io/Logging_2303/kartor/A 1057-2024 karta.png", "A 1057-2024")</f>
        <v/>
      </c>
      <c r="V290">
        <f>HYPERLINK("https://klasma.github.io/Logging_2303/klagomål/A 1057-2024 FSC-klagomål.docx", "A 1057-2024")</f>
        <v/>
      </c>
      <c r="W290">
        <f>HYPERLINK("https://klasma.github.io/Logging_2303/klagomålsmail/A 1057-2024 FSC-klagomål mail.docx", "A 1057-2024")</f>
        <v/>
      </c>
      <c r="X290">
        <f>HYPERLINK("https://klasma.github.io/Logging_2303/tillsyn/A 1057-2024 tillsynsbegäran.docx", "A 1057-2024")</f>
        <v/>
      </c>
      <c r="Y290">
        <f>HYPERLINK("https://klasma.github.io/Logging_2303/tillsynsmail/A 1057-2024 tillsynsbegäran mail.docx", "A 1057-2024")</f>
        <v/>
      </c>
    </row>
    <row r="291" ht="15" customHeight="1">
      <c r="A291" t="inlineStr">
        <is>
          <t>A 2929-2024</t>
        </is>
      </c>
      <c r="B291" s="1" t="n">
        <v>45315</v>
      </c>
      <c r="C291" s="1" t="n">
        <v>45703</v>
      </c>
      <c r="D291" t="inlineStr">
        <is>
          <t>JÄMTLANDS LÄN</t>
        </is>
      </c>
      <c r="E291" t="inlineStr">
        <is>
          <t>RAGUNDA</t>
        </is>
      </c>
      <c r="G291" t="n">
        <v>1</v>
      </c>
      <c r="H291" t="n">
        <v>0</v>
      </c>
      <c r="I291" t="n">
        <v>0</v>
      </c>
      <c r="J291" t="n">
        <v>1</v>
      </c>
      <c r="K291" t="n">
        <v>0</v>
      </c>
      <c r="L291" t="n">
        <v>0</v>
      </c>
      <c r="M291" t="n">
        <v>0</v>
      </c>
      <c r="N291" t="n">
        <v>0</v>
      </c>
      <c r="O291" t="n">
        <v>1</v>
      </c>
      <c r="P291" t="n">
        <v>0</v>
      </c>
      <c r="Q291" t="n">
        <v>1</v>
      </c>
      <c r="R291" s="2" t="inlineStr">
        <is>
          <t>Klådris</t>
        </is>
      </c>
      <c r="S291">
        <f>HYPERLINK("https://klasma.github.io/Logging_2303/artfynd/A 2929-2024 artfynd.xlsx", "A 2929-2024")</f>
        <v/>
      </c>
      <c r="T291">
        <f>HYPERLINK("https://klasma.github.io/Logging_2303/kartor/A 2929-2024 karta.png", "A 2929-2024")</f>
        <v/>
      </c>
      <c r="V291">
        <f>HYPERLINK("https://klasma.github.io/Logging_2303/klagomål/A 2929-2024 FSC-klagomål.docx", "A 2929-2024")</f>
        <v/>
      </c>
      <c r="W291">
        <f>HYPERLINK("https://klasma.github.io/Logging_2303/klagomålsmail/A 2929-2024 FSC-klagomål mail.docx", "A 2929-2024")</f>
        <v/>
      </c>
      <c r="X291">
        <f>HYPERLINK("https://klasma.github.io/Logging_2303/tillsyn/A 2929-2024 tillsynsbegäran.docx", "A 2929-2024")</f>
        <v/>
      </c>
      <c r="Y291">
        <f>HYPERLINK("https://klasma.github.io/Logging_2303/tillsynsmail/A 2929-2024 tillsynsbegäran mail.docx", "A 2929-2024")</f>
        <v/>
      </c>
    </row>
    <row r="292" ht="15" customHeight="1">
      <c r="A292" t="inlineStr">
        <is>
          <t>A 6703-2024</t>
        </is>
      </c>
      <c r="B292" s="1" t="n">
        <v>45341</v>
      </c>
      <c r="C292" s="1" t="n">
        <v>45703</v>
      </c>
      <c r="D292" t="inlineStr">
        <is>
          <t>JÄMTLANDS LÄN</t>
        </is>
      </c>
      <c r="E292" t="inlineStr">
        <is>
          <t>RAGUNDA</t>
        </is>
      </c>
      <c r="F292" t="inlineStr">
        <is>
          <t>SCA</t>
        </is>
      </c>
      <c r="G292" t="n">
        <v>2.4</v>
      </c>
      <c r="H292" t="n">
        <v>0</v>
      </c>
      <c r="I292" t="n">
        <v>0</v>
      </c>
      <c r="J292" t="n">
        <v>1</v>
      </c>
      <c r="K292" t="n">
        <v>0</v>
      </c>
      <c r="L292" t="n">
        <v>0</v>
      </c>
      <c r="M292" t="n">
        <v>0</v>
      </c>
      <c r="N292" t="n">
        <v>0</v>
      </c>
      <c r="O292" t="n">
        <v>1</v>
      </c>
      <c r="P292" t="n">
        <v>0</v>
      </c>
      <c r="Q292" t="n">
        <v>1</v>
      </c>
      <c r="R292" s="2" t="inlineStr">
        <is>
          <t>Vitgrynig nållav</t>
        </is>
      </c>
      <c r="S292">
        <f>HYPERLINK("https://klasma.github.io/Logging_2303/artfynd/A 6703-2024 artfynd.xlsx", "A 6703-2024")</f>
        <v/>
      </c>
      <c r="T292">
        <f>HYPERLINK("https://klasma.github.io/Logging_2303/kartor/A 6703-2024 karta.png", "A 6703-2024")</f>
        <v/>
      </c>
      <c r="V292">
        <f>HYPERLINK("https://klasma.github.io/Logging_2303/klagomål/A 6703-2024 FSC-klagomål.docx", "A 6703-2024")</f>
        <v/>
      </c>
      <c r="W292">
        <f>HYPERLINK("https://klasma.github.io/Logging_2303/klagomålsmail/A 6703-2024 FSC-klagomål mail.docx", "A 6703-2024")</f>
        <v/>
      </c>
      <c r="X292">
        <f>HYPERLINK("https://klasma.github.io/Logging_2303/tillsyn/A 6703-2024 tillsynsbegäran.docx", "A 6703-2024")</f>
        <v/>
      </c>
      <c r="Y292">
        <f>HYPERLINK("https://klasma.github.io/Logging_2303/tillsynsmail/A 6703-2024 tillsynsbegäran mail.docx", "A 6703-2024")</f>
        <v/>
      </c>
    </row>
    <row r="293" ht="15" customHeight="1">
      <c r="A293" t="inlineStr">
        <is>
          <t>A 12584-2024</t>
        </is>
      </c>
      <c r="B293" s="1" t="n">
        <v>45379</v>
      </c>
      <c r="C293" s="1" t="n">
        <v>45703</v>
      </c>
      <c r="D293" t="inlineStr">
        <is>
          <t>JÄMTLANDS LÄN</t>
        </is>
      </c>
      <c r="E293" t="inlineStr">
        <is>
          <t>RAGUNDA</t>
        </is>
      </c>
      <c r="F293" t="inlineStr">
        <is>
          <t>SCA</t>
        </is>
      </c>
      <c r="G293" t="n">
        <v>1.3</v>
      </c>
      <c r="H293" t="n">
        <v>0</v>
      </c>
      <c r="I293" t="n">
        <v>0</v>
      </c>
      <c r="J293" t="n">
        <v>0</v>
      </c>
      <c r="K293" t="n">
        <v>1</v>
      </c>
      <c r="L293" t="n">
        <v>0</v>
      </c>
      <c r="M293" t="n">
        <v>0</v>
      </c>
      <c r="N293" t="n">
        <v>0</v>
      </c>
      <c r="O293" t="n">
        <v>1</v>
      </c>
      <c r="P293" t="n">
        <v>1</v>
      </c>
      <c r="Q293" t="n">
        <v>1</v>
      </c>
      <c r="R293" s="2" t="inlineStr">
        <is>
          <t>Rynkskinn</t>
        </is>
      </c>
      <c r="S293">
        <f>HYPERLINK("https://klasma.github.io/Logging_2303/artfynd/A 12584-2024 artfynd.xlsx", "A 12584-2024")</f>
        <v/>
      </c>
      <c r="T293">
        <f>HYPERLINK("https://klasma.github.io/Logging_2303/kartor/A 12584-2024 karta.png", "A 12584-2024")</f>
        <v/>
      </c>
      <c r="V293">
        <f>HYPERLINK("https://klasma.github.io/Logging_2303/klagomål/A 12584-2024 FSC-klagomål.docx", "A 12584-2024")</f>
        <v/>
      </c>
      <c r="W293">
        <f>HYPERLINK("https://klasma.github.io/Logging_2303/klagomålsmail/A 12584-2024 FSC-klagomål mail.docx", "A 12584-2024")</f>
        <v/>
      </c>
      <c r="X293">
        <f>HYPERLINK("https://klasma.github.io/Logging_2303/tillsyn/A 12584-2024 tillsynsbegäran.docx", "A 12584-2024")</f>
        <v/>
      </c>
      <c r="Y293">
        <f>HYPERLINK("https://klasma.github.io/Logging_2303/tillsynsmail/A 12584-2024 tillsynsbegäran mail.docx", "A 12584-2024")</f>
        <v/>
      </c>
    </row>
    <row r="294" ht="15" customHeight="1">
      <c r="A294" t="inlineStr">
        <is>
          <t>A 18609-2024</t>
        </is>
      </c>
      <c r="B294" s="1" t="n">
        <v>45426</v>
      </c>
      <c r="C294" s="1" t="n">
        <v>45703</v>
      </c>
      <c r="D294" t="inlineStr">
        <is>
          <t>JÄMTLANDS LÄN</t>
        </is>
      </c>
      <c r="E294" t="inlineStr">
        <is>
          <t>RAGUNDA</t>
        </is>
      </c>
      <c r="F294" t="inlineStr">
        <is>
          <t>SCA</t>
        </is>
      </c>
      <c r="G294" t="n">
        <v>1.2</v>
      </c>
      <c r="H294" t="n">
        <v>0</v>
      </c>
      <c r="I294" t="n">
        <v>0</v>
      </c>
      <c r="J294" t="n">
        <v>1</v>
      </c>
      <c r="K294" t="n">
        <v>0</v>
      </c>
      <c r="L294" t="n">
        <v>0</v>
      </c>
      <c r="M294" t="n">
        <v>0</v>
      </c>
      <c r="N294" t="n">
        <v>0</v>
      </c>
      <c r="O294" t="n">
        <v>1</v>
      </c>
      <c r="P294" t="n">
        <v>0</v>
      </c>
      <c r="Q294" t="n">
        <v>1</v>
      </c>
      <c r="R294" s="2" t="inlineStr">
        <is>
          <t>Ullticka</t>
        </is>
      </c>
      <c r="S294">
        <f>HYPERLINK("https://klasma.github.io/Logging_2303/artfynd/A 18609-2024 artfynd.xlsx", "A 18609-2024")</f>
        <v/>
      </c>
      <c r="T294">
        <f>HYPERLINK("https://klasma.github.io/Logging_2303/kartor/A 18609-2024 karta.png", "A 18609-2024")</f>
        <v/>
      </c>
      <c r="V294">
        <f>HYPERLINK("https://klasma.github.io/Logging_2303/klagomål/A 18609-2024 FSC-klagomål.docx", "A 18609-2024")</f>
        <v/>
      </c>
      <c r="W294">
        <f>HYPERLINK("https://klasma.github.io/Logging_2303/klagomålsmail/A 18609-2024 FSC-klagomål mail.docx", "A 18609-2024")</f>
        <v/>
      </c>
      <c r="X294">
        <f>HYPERLINK("https://klasma.github.io/Logging_2303/tillsyn/A 18609-2024 tillsynsbegäran.docx", "A 18609-2024")</f>
        <v/>
      </c>
      <c r="Y294">
        <f>HYPERLINK("https://klasma.github.io/Logging_2303/tillsynsmail/A 18609-2024 tillsynsbegäran mail.docx", "A 18609-2024")</f>
        <v/>
      </c>
    </row>
    <row r="295" ht="15" customHeight="1">
      <c r="A295" t="inlineStr">
        <is>
          <t>A 18774-2024</t>
        </is>
      </c>
      <c r="B295" s="1" t="n">
        <v>45426</v>
      </c>
      <c r="C295" s="1" t="n">
        <v>45703</v>
      </c>
      <c r="D295" t="inlineStr">
        <is>
          <t>JÄMTLANDS LÄN</t>
        </is>
      </c>
      <c r="E295" t="inlineStr">
        <is>
          <t>RAGUNDA</t>
        </is>
      </c>
      <c r="G295" t="n">
        <v>20.2</v>
      </c>
      <c r="H295" t="n">
        <v>0</v>
      </c>
      <c r="I295" t="n">
        <v>1</v>
      </c>
      <c r="J295" t="n">
        <v>0</v>
      </c>
      <c r="K295" t="n">
        <v>0</v>
      </c>
      <c r="L295" t="n">
        <v>0</v>
      </c>
      <c r="M295" t="n">
        <v>0</v>
      </c>
      <c r="N295" t="n">
        <v>0</v>
      </c>
      <c r="O295" t="n">
        <v>0</v>
      </c>
      <c r="P295" t="n">
        <v>0</v>
      </c>
      <c r="Q295" t="n">
        <v>1</v>
      </c>
      <c r="R295" s="2" t="inlineStr">
        <is>
          <t>Svart trolldruva</t>
        </is>
      </c>
      <c r="S295">
        <f>HYPERLINK("https://klasma.github.io/Logging_2303/artfynd/A 18774-2024 artfynd.xlsx", "A 18774-2024")</f>
        <v/>
      </c>
      <c r="T295">
        <f>HYPERLINK("https://klasma.github.io/Logging_2303/kartor/A 18774-2024 karta.png", "A 18774-2024")</f>
        <v/>
      </c>
      <c r="V295">
        <f>HYPERLINK("https://klasma.github.io/Logging_2303/klagomål/A 18774-2024 FSC-klagomål.docx", "A 18774-2024")</f>
        <v/>
      </c>
      <c r="W295">
        <f>HYPERLINK("https://klasma.github.io/Logging_2303/klagomålsmail/A 18774-2024 FSC-klagomål mail.docx", "A 18774-2024")</f>
        <v/>
      </c>
      <c r="X295">
        <f>HYPERLINK("https://klasma.github.io/Logging_2303/tillsyn/A 18774-2024 tillsynsbegäran.docx", "A 18774-2024")</f>
        <v/>
      </c>
      <c r="Y295">
        <f>HYPERLINK("https://klasma.github.io/Logging_2303/tillsynsmail/A 18774-2024 tillsynsbegäran mail.docx", "A 18774-2024")</f>
        <v/>
      </c>
    </row>
    <row r="296" ht="15" customHeight="1">
      <c r="A296" t="inlineStr">
        <is>
          <t>A 20553-2024</t>
        </is>
      </c>
      <c r="B296" s="1" t="n">
        <v>45436</v>
      </c>
      <c r="C296" s="1" t="n">
        <v>45703</v>
      </c>
      <c r="D296" t="inlineStr">
        <is>
          <t>JÄMTLANDS LÄN</t>
        </is>
      </c>
      <c r="E296" t="inlineStr">
        <is>
          <t>RAGUNDA</t>
        </is>
      </c>
      <c r="G296" t="n">
        <v>11.1</v>
      </c>
      <c r="H296" t="n">
        <v>0</v>
      </c>
      <c r="I296" t="n">
        <v>0</v>
      </c>
      <c r="J296" t="n">
        <v>1</v>
      </c>
      <c r="K296" t="n">
        <v>0</v>
      </c>
      <c r="L296" t="n">
        <v>0</v>
      </c>
      <c r="M296" t="n">
        <v>0</v>
      </c>
      <c r="N296" t="n">
        <v>0</v>
      </c>
      <c r="O296" t="n">
        <v>1</v>
      </c>
      <c r="P296" t="n">
        <v>0</v>
      </c>
      <c r="Q296" t="n">
        <v>1</v>
      </c>
      <c r="R296" s="2" t="inlineStr">
        <is>
          <t>Rosenticka</t>
        </is>
      </c>
      <c r="S296">
        <f>HYPERLINK("https://klasma.github.io/Logging_2303/artfynd/A 20553-2024 artfynd.xlsx", "A 20553-2024")</f>
        <v/>
      </c>
      <c r="T296">
        <f>HYPERLINK("https://klasma.github.io/Logging_2303/kartor/A 20553-2024 karta.png", "A 20553-2024")</f>
        <v/>
      </c>
      <c r="U296">
        <f>HYPERLINK("https://klasma.github.io/Logging_2303/knärot/A 20553-2024 karta knärot.png", "A 20553-2024")</f>
        <v/>
      </c>
      <c r="V296">
        <f>HYPERLINK("https://klasma.github.io/Logging_2303/klagomål/A 20553-2024 FSC-klagomål.docx", "A 20553-2024")</f>
        <v/>
      </c>
      <c r="W296">
        <f>HYPERLINK("https://klasma.github.io/Logging_2303/klagomålsmail/A 20553-2024 FSC-klagomål mail.docx", "A 20553-2024")</f>
        <v/>
      </c>
      <c r="X296">
        <f>HYPERLINK("https://klasma.github.io/Logging_2303/tillsyn/A 20553-2024 tillsynsbegäran.docx", "A 20553-2024")</f>
        <v/>
      </c>
      <c r="Y296">
        <f>HYPERLINK("https://klasma.github.io/Logging_2303/tillsynsmail/A 20553-2024 tillsynsbegäran mail.docx", "A 20553-2024")</f>
        <v/>
      </c>
    </row>
    <row r="297" ht="15" customHeight="1">
      <c r="A297" t="inlineStr">
        <is>
          <t>A 20774-2024</t>
        </is>
      </c>
      <c r="B297" s="1" t="n">
        <v>45437</v>
      </c>
      <c r="C297" s="1" t="n">
        <v>45703</v>
      </c>
      <c r="D297" t="inlineStr">
        <is>
          <t>JÄMTLANDS LÄN</t>
        </is>
      </c>
      <c r="E297" t="inlineStr">
        <is>
          <t>RAGUNDA</t>
        </is>
      </c>
      <c r="F297" t="inlineStr">
        <is>
          <t>SCA</t>
        </is>
      </c>
      <c r="G297" t="n">
        <v>2.3</v>
      </c>
      <c r="H297" t="n">
        <v>0</v>
      </c>
      <c r="I297" t="n">
        <v>1</v>
      </c>
      <c r="J297" t="n">
        <v>0</v>
      </c>
      <c r="K297" t="n">
        <v>0</v>
      </c>
      <c r="L297" t="n">
        <v>0</v>
      </c>
      <c r="M297" t="n">
        <v>0</v>
      </c>
      <c r="N297" t="n">
        <v>0</v>
      </c>
      <c r="O297" t="n">
        <v>0</v>
      </c>
      <c r="P297" t="n">
        <v>0</v>
      </c>
      <c r="Q297" t="n">
        <v>1</v>
      </c>
      <c r="R297" s="2" t="inlineStr">
        <is>
          <t>Fjällig taggsvamp s.str.</t>
        </is>
      </c>
      <c r="S297">
        <f>HYPERLINK("https://klasma.github.io/Logging_2303/artfynd/A 20774-2024 artfynd.xlsx", "A 20774-2024")</f>
        <v/>
      </c>
      <c r="T297">
        <f>HYPERLINK("https://klasma.github.io/Logging_2303/kartor/A 20774-2024 karta.png", "A 20774-2024")</f>
        <v/>
      </c>
      <c r="V297">
        <f>HYPERLINK("https://klasma.github.io/Logging_2303/klagomål/A 20774-2024 FSC-klagomål.docx", "A 20774-2024")</f>
        <v/>
      </c>
      <c r="W297">
        <f>HYPERLINK("https://klasma.github.io/Logging_2303/klagomålsmail/A 20774-2024 FSC-klagomål mail.docx", "A 20774-2024")</f>
        <v/>
      </c>
      <c r="X297">
        <f>HYPERLINK("https://klasma.github.io/Logging_2303/tillsyn/A 20774-2024 tillsynsbegäran.docx", "A 20774-2024")</f>
        <v/>
      </c>
      <c r="Y297">
        <f>HYPERLINK("https://klasma.github.io/Logging_2303/tillsynsmail/A 20774-2024 tillsynsbegäran mail.docx", "A 20774-2024")</f>
        <v/>
      </c>
    </row>
    <row r="298" ht="15" customHeight="1">
      <c r="A298" t="inlineStr">
        <is>
          <t>A 23930-2024</t>
        </is>
      </c>
      <c r="B298" s="1" t="n">
        <v>45456</v>
      </c>
      <c r="C298" s="1" t="n">
        <v>45703</v>
      </c>
      <c r="D298" t="inlineStr">
        <is>
          <t>JÄMTLANDS LÄN</t>
        </is>
      </c>
      <c r="E298" t="inlineStr">
        <is>
          <t>RAGUNDA</t>
        </is>
      </c>
      <c r="F298" t="inlineStr">
        <is>
          <t>SCA</t>
        </is>
      </c>
      <c r="G298" t="n">
        <v>4.2</v>
      </c>
      <c r="H298" t="n">
        <v>1</v>
      </c>
      <c r="I298" t="n">
        <v>1</v>
      </c>
      <c r="J298" t="n">
        <v>0</v>
      </c>
      <c r="K298" t="n">
        <v>0</v>
      </c>
      <c r="L298" t="n">
        <v>0</v>
      </c>
      <c r="M298" t="n">
        <v>0</v>
      </c>
      <c r="N298" t="n">
        <v>0</v>
      </c>
      <c r="O298" t="n">
        <v>0</v>
      </c>
      <c r="P298" t="n">
        <v>0</v>
      </c>
      <c r="Q298" t="n">
        <v>1</v>
      </c>
      <c r="R298" s="2" t="inlineStr">
        <is>
          <t>Guckusko</t>
        </is>
      </c>
      <c r="S298">
        <f>HYPERLINK("https://klasma.github.io/Logging_2303/artfynd/A 23930-2024 artfynd.xlsx", "A 23930-2024")</f>
        <v/>
      </c>
      <c r="T298">
        <f>HYPERLINK("https://klasma.github.io/Logging_2303/kartor/A 23930-2024 karta.png", "A 23930-2024")</f>
        <v/>
      </c>
      <c r="V298">
        <f>HYPERLINK("https://klasma.github.io/Logging_2303/klagomål/A 23930-2024 FSC-klagomål.docx", "A 23930-2024")</f>
        <v/>
      </c>
      <c r="W298">
        <f>HYPERLINK("https://klasma.github.io/Logging_2303/klagomålsmail/A 23930-2024 FSC-klagomål mail.docx", "A 23930-2024")</f>
        <v/>
      </c>
      <c r="X298">
        <f>HYPERLINK("https://klasma.github.io/Logging_2303/tillsyn/A 23930-2024 tillsynsbegäran.docx", "A 23930-2024")</f>
        <v/>
      </c>
      <c r="Y298">
        <f>HYPERLINK("https://klasma.github.io/Logging_2303/tillsynsmail/A 23930-2024 tillsynsbegäran mail.docx", "A 23930-2024")</f>
        <v/>
      </c>
    </row>
    <row r="299" ht="15" customHeight="1">
      <c r="A299" t="inlineStr">
        <is>
          <t>A 24443-2024</t>
        </is>
      </c>
      <c r="B299" s="1" t="n">
        <v>45458</v>
      </c>
      <c r="C299" s="1" t="n">
        <v>45703</v>
      </c>
      <c r="D299" t="inlineStr">
        <is>
          <t>JÄMTLANDS LÄN</t>
        </is>
      </c>
      <c r="E299" t="inlineStr">
        <is>
          <t>RAGUNDA</t>
        </is>
      </c>
      <c r="F299" t="inlineStr">
        <is>
          <t>SCA</t>
        </is>
      </c>
      <c r="G299" t="n">
        <v>2.1</v>
      </c>
      <c r="H299" t="n">
        <v>0</v>
      </c>
      <c r="I299" t="n">
        <v>0</v>
      </c>
      <c r="J299" t="n">
        <v>1</v>
      </c>
      <c r="K299" t="n">
        <v>0</v>
      </c>
      <c r="L299" t="n">
        <v>0</v>
      </c>
      <c r="M299" t="n">
        <v>0</v>
      </c>
      <c r="N299" t="n">
        <v>0</v>
      </c>
      <c r="O299" t="n">
        <v>1</v>
      </c>
      <c r="P299" t="n">
        <v>0</v>
      </c>
      <c r="Q299" t="n">
        <v>1</v>
      </c>
      <c r="R299" s="2" t="inlineStr">
        <is>
          <t>Lunglav</t>
        </is>
      </c>
      <c r="S299">
        <f>HYPERLINK("https://klasma.github.io/Logging_2303/artfynd/A 24443-2024 artfynd.xlsx", "A 24443-2024")</f>
        <v/>
      </c>
      <c r="T299">
        <f>HYPERLINK("https://klasma.github.io/Logging_2303/kartor/A 24443-2024 karta.png", "A 24443-2024")</f>
        <v/>
      </c>
      <c r="U299">
        <f>HYPERLINK("https://klasma.github.io/Logging_2303/knärot/A 24443-2024 karta knärot.png", "A 24443-2024")</f>
        <v/>
      </c>
      <c r="V299">
        <f>HYPERLINK("https://klasma.github.io/Logging_2303/klagomål/A 24443-2024 FSC-klagomål.docx", "A 24443-2024")</f>
        <v/>
      </c>
      <c r="W299">
        <f>HYPERLINK("https://klasma.github.io/Logging_2303/klagomålsmail/A 24443-2024 FSC-klagomål mail.docx", "A 24443-2024")</f>
        <v/>
      </c>
      <c r="X299">
        <f>HYPERLINK("https://klasma.github.io/Logging_2303/tillsyn/A 24443-2024 tillsynsbegäran.docx", "A 24443-2024")</f>
        <v/>
      </c>
      <c r="Y299">
        <f>HYPERLINK("https://klasma.github.io/Logging_2303/tillsynsmail/A 24443-2024 tillsynsbegäran mail.docx", "A 24443-2024")</f>
        <v/>
      </c>
    </row>
    <row r="300" ht="15" customHeight="1">
      <c r="A300" t="inlineStr">
        <is>
          <t>A 26317-2024</t>
        </is>
      </c>
      <c r="B300" s="1" t="n">
        <v>45468</v>
      </c>
      <c r="C300" s="1" t="n">
        <v>45703</v>
      </c>
      <c r="D300" t="inlineStr">
        <is>
          <t>JÄMTLANDS LÄN</t>
        </is>
      </c>
      <c r="E300" t="inlineStr">
        <is>
          <t>RAGUNDA</t>
        </is>
      </c>
      <c r="F300" t="inlineStr">
        <is>
          <t>SCA</t>
        </is>
      </c>
      <c r="G300" t="n">
        <v>3.8</v>
      </c>
      <c r="H300" t="n">
        <v>0</v>
      </c>
      <c r="I300" t="n">
        <v>0</v>
      </c>
      <c r="J300" t="n">
        <v>1</v>
      </c>
      <c r="K300" t="n">
        <v>0</v>
      </c>
      <c r="L300" t="n">
        <v>0</v>
      </c>
      <c r="M300" t="n">
        <v>0</v>
      </c>
      <c r="N300" t="n">
        <v>0</v>
      </c>
      <c r="O300" t="n">
        <v>1</v>
      </c>
      <c r="P300" t="n">
        <v>0</v>
      </c>
      <c r="Q300" t="n">
        <v>1</v>
      </c>
      <c r="R300" s="2" t="inlineStr">
        <is>
          <t>Kortskaftad ärgspik</t>
        </is>
      </c>
      <c r="S300">
        <f>HYPERLINK("https://klasma.github.io/Logging_2303/artfynd/A 26317-2024 artfynd.xlsx", "A 26317-2024")</f>
        <v/>
      </c>
      <c r="T300">
        <f>HYPERLINK("https://klasma.github.io/Logging_2303/kartor/A 26317-2024 karta.png", "A 26317-2024")</f>
        <v/>
      </c>
      <c r="V300">
        <f>HYPERLINK("https://klasma.github.io/Logging_2303/klagomål/A 26317-2024 FSC-klagomål.docx", "A 26317-2024")</f>
        <v/>
      </c>
      <c r="W300">
        <f>HYPERLINK("https://klasma.github.io/Logging_2303/klagomålsmail/A 26317-2024 FSC-klagomål mail.docx", "A 26317-2024")</f>
        <v/>
      </c>
      <c r="X300">
        <f>HYPERLINK("https://klasma.github.io/Logging_2303/tillsyn/A 26317-2024 tillsynsbegäran.docx", "A 26317-2024")</f>
        <v/>
      </c>
      <c r="Y300">
        <f>HYPERLINK("https://klasma.github.io/Logging_2303/tillsynsmail/A 26317-2024 tillsynsbegäran mail.docx", "A 26317-2024")</f>
        <v/>
      </c>
    </row>
    <row r="301" ht="15" customHeight="1">
      <c r="A301" t="inlineStr">
        <is>
          <t>A 26322-2024</t>
        </is>
      </c>
      <c r="B301" s="1" t="n">
        <v>45469</v>
      </c>
      <c r="C301" s="1" t="n">
        <v>45703</v>
      </c>
      <c r="D301" t="inlineStr">
        <is>
          <t>JÄMTLANDS LÄN</t>
        </is>
      </c>
      <c r="E301" t="inlineStr">
        <is>
          <t>RAGUNDA</t>
        </is>
      </c>
      <c r="F301" t="inlineStr">
        <is>
          <t>SCA</t>
        </is>
      </c>
      <c r="G301" t="n">
        <v>9.6</v>
      </c>
      <c r="H301" t="n">
        <v>0</v>
      </c>
      <c r="I301" t="n">
        <v>0</v>
      </c>
      <c r="J301" t="n">
        <v>1</v>
      </c>
      <c r="K301" t="n">
        <v>0</v>
      </c>
      <c r="L301" t="n">
        <v>0</v>
      </c>
      <c r="M301" t="n">
        <v>0</v>
      </c>
      <c r="N301" t="n">
        <v>0</v>
      </c>
      <c r="O301" t="n">
        <v>1</v>
      </c>
      <c r="P301" t="n">
        <v>0</v>
      </c>
      <c r="Q301" t="n">
        <v>1</v>
      </c>
      <c r="R301" s="2" t="inlineStr">
        <is>
          <t>Rosenticka</t>
        </is>
      </c>
      <c r="S301">
        <f>HYPERLINK("https://klasma.github.io/Logging_2303/artfynd/A 26322-2024 artfynd.xlsx", "A 26322-2024")</f>
        <v/>
      </c>
      <c r="T301">
        <f>HYPERLINK("https://klasma.github.io/Logging_2303/kartor/A 26322-2024 karta.png", "A 26322-2024")</f>
        <v/>
      </c>
      <c r="U301">
        <f>HYPERLINK("https://klasma.github.io/Logging_2303/knärot/A 26322-2024 karta knärot.png", "A 26322-2024")</f>
        <v/>
      </c>
      <c r="V301">
        <f>HYPERLINK("https://klasma.github.io/Logging_2303/klagomål/A 26322-2024 FSC-klagomål.docx", "A 26322-2024")</f>
        <v/>
      </c>
      <c r="W301">
        <f>HYPERLINK("https://klasma.github.io/Logging_2303/klagomålsmail/A 26322-2024 FSC-klagomål mail.docx", "A 26322-2024")</f>
        <v/>
      </c>
      <c r="X301">
        <f>HYPERLINK("https://klasma.github.io/Logging_2303/tillsyn/A 26322-2024 tillsynsbegäran.docx", "A 26322-2024")</f>
        <v/>
      </c>
      <c r="Y301">
        <f>HYPERLINK("https://klasma.github.io/Logging_2303/tillsynsmail/A 26322-2024 tillsynsbegäran mail.docx", "A 26322-2024")</f>
        <v/>
      </c>
    </row>
    <row r="302" ht="15" customHeight="1">
      <c r="A302" t="inlineStr">
        <is>
          <t>A 28071-2024</t>
        </is>
      </c>
      <c r="B302" s="1" t="n">
        <v>45476</v>
      </c>
      <c r="C302" s="1" t="n">
        <v>45703</v>
      </c>
      <c r="D302" t="inlineStr">
        <is>
          <t>JÄMTLANDS LÄN</t>
        </is>
      </c>
      <c r="E302" t="inlineStr">
        <is>
          <t>RAGUNDA</t>
        </is>
      </c>
      <c r="G302" t="n">
        <v>14.6</v>
      </c>
      <c r="H302" t="n">
        <v>1</v>
      </c>
      <c r="I302" t="n">
        <v>1</v>
      </c>
      <c r="J302" t="n">
        <v>0</v>
      </c>
      <c r="K302" t="n">
        <v>0</v>
      </c>
      <c r="L302" t="n">
        <v>0</v>
      </c>
      <c r="M302" t="n">
        <v>0</v>
      </c>
      <c r="N302" t="n">
        <v>0</v>
      </c>
      <c r="O302" t="n">
        <v>0</v>
      </c>
      <c r="P302" t="n">
        <v>0</v>
      </c>
      <c r="Q302" t="n">
        <v>1</v>
      </c>
      <c r="R302" s="2" t="inlineStr">
        <is>
          <t>Guckusko</t>
        </is>
      </c>
      <c r="S302">
        <f>HYPERLINK("https://klasma.github.io/Logging_2303/artfynd/A 28071-2024 artfynd.xlsx", "A 28071-2024")</f>
        <v/>
      </c>
      <c r="T302">
        <f>HYPERLINK("https://klasma.github.io/Logging_2303/kartor/A 28071-2024 karta.png", "A 28071-2024")</f>
        <v/>
      </c>
      <c r="V302">
        <f>HYPERLINK("https://klasma.github.io/Logging_2303/klagomål/A 28071-2024 FSC-klagomål.docx", "A 28071-2024")</f>
        <v/>
      </c>
      <c r="W302">
        <f>HYPERLINK("https://klasma.github.io/Logging_2303/klagomålsmail/A 28071-2024 FSC-klagomål mail.docx", "A 28071-2024")</f>
        <v/>
      </c>
      <c r="X302">
        <f>HYPERLINK("https://klasma.github.io/Logging_2303/tillsyn/A 28071-2024 tillsynsbegäran.docx", "A 28071-2024")</f>
        <v/>
      </c>
      <c r="Y302">
        <f>HYPERLINK("https://klasma.github.io/Logging_2303/tillsynsmail/A 28071-2024 tillsynsbegäran mail.docx", "A 28071-2024")</f>
        <v/>
      </c>
    </row>
    <row r="303" ht="15" customHeight="1">
      <c r="A303" t="inlineStr">
        <is>
          <t>A 29245-2024</t>
        </is>
      </c>
      <c r="B303" s="1" t="n">
        <v>45483</v>
      </c>
      <c r="C303" s="1" t="n">
        <v>45703</v>
      </c>
      <c r="D303" t="inlineStr">
        <is>
          <t>JÄMTLANDS LÄN</t>
        </is>
      </c>
      <c r="E303" t="inlineStr">
        <is>
          <t>RAGUNDA</t>
        </is>
      </c>
      <c r="F303" t="inlineStr">
        <is>
          <t>SCA</t>
        </is>
      </c>
      <c r="G303" t="n">
        <v>2.9</v>
      </c>
      <c r="H303" t="n">
        <v>1</v>
      </c>
      <c r="I303" t="n">
        <v>0</v>
      </c>
      <c r="J303" t="n">
        <v>0</v>
      </c>
      <c r="K303" t="n">
        <v>1</v>
      </c>
      <c r="L303" t="n">
        <v>0</v>
      </c>
      <c r="M303" t="n">
        <v>0</v>
      </c>
      <c r="N303" t="n">
        <v>0</v>
      </c>
      <c r="O303" t="n">
        <v>1</v>
      </c>
      <c r="P303" t="n">
        <v>1</v>
      </c>
      <c r="Q303" t="n">
        <v>1</v>
      </c>
      <c r="R303" s="2" t="inlineStr">
        <is>
          <t>Doftticka</t>
        </is>
      </c>
      <c r="S303">
        <f>HYPERLINK("https://klasma.github.io/Logging_2303/artfynd/A 29245-2024 artfynd.xlsx", "A 29245-2024")</f>
        <v/>
      </c>
      <c r="T303">
        <f>HYPERLINK("https://klasma.github.io/Logging_2303/kartor/A 29245-2024 karta.png", "A 29245-2024")</f>
        <v/>
      </c>
      <c r="V303">
        <f>HYPERLINK("https://klasma.github.io/Logging_2303/klagomål/A 29245-2024 FSC-klagomål.docx", "A 29245-2024")</f>
        <v/>
      </c>
      <c r="W303">
        <f>HYPERLINK("https://klasma.github.io/Logging_2303/klagomålsmail/A 29245-2024 FSC-klagomål mail.docx", "A 29245-2024")</f>
        <v/>
      </c>
      <c r="X303">
        <f>HYPERLINK("https://klasma.github.io/Logging_2303/tillsyn/A 29245-2024 tillsynsbegäran.docx", "A 29245-2024")</f>
        <v/>
      </c>
      <c r="Y303">
        <f>HYPERLINK("https://klasma.github.io/Logging_2303/tillsynsmail/A 29245-2024 tillsynsbegäran mail.docx", "A 29245-2024")</f>
        <v/>
      </c>
    </row>
    <row r="304" ht="15" customHeight="1">
      <c r="A304" t="inlineStr">
        <is>
          <t>A 29256-2024</t>
        </is>
      </c>
      <c r="B304" s="1" t="n">
        <v>45483</v>
      </c>
      <c r="C304" s="1" t="n">
        <v>45703</v>
      </c>
      <c r="D304" t="inlineStr">
        <is>
          <t>JÄMTLANDS LÄN</t>
        </is>
      </c>
      <c r="E304" t="inlineStr">
        <is>
          <t>RAGUNDA</t>
        </is>
      </c>
      <c r="F304" t="inlineStr">
        <is>
          <t>SCA</t>
        </is>
      </c>
      <c r="G304" t="n">
        <v>3</v>
      </c>
      <c r="H304" t="n">
        <v>0</v>
      </c>
      <c r="I304" t="n">
        <v>0</v>
      </c>
      <c r="J304" t="n">
        <v>1</v>
      </c>
      <c r="K304" t="n">
        <v>0</v>
      </c>
      <c r="L304" t="n">
        <v>0</v>
      </c>
      <c r="M304" t="n">
        <v>0</v>
      </c>
      <c r="N304" t="n">
        <v>0</v>
      </c>
      <c r="O304" t="n">
        <v>1</v>
      </c>
      <c r="P304" t="n">
        <v>0</v>
      </c>
      <c r="Q304" t="n">
        <v>1</v>
      </c>
      <c r="R304" s="2" t="inlineStr">
        <is>
          <t>Garnlav</t>
        </is>
      </c>
      <c r="S304">
        <f>HYPERLINK("https://klasma.github.io/Logging_2303/artfynd/A 29256-2024 artfynd.xlsx", "A 29256-2024")</f>
        <v/>
      </c>
      <c r="T304">
        <f>HYPERLINK("https://klasma.github.io/Logging_2303/kartor/A 29256-2024 karta.png", "A 29256-2024")</f>
        <v/>
      </c>
      <c r="V304">
        <f>HYPERLINK("https://klasma.github.io/Logging_2303/klagomål/A 29256-2024 FSC-klagomål.docx", "A 29256-2024")</f>
        <v/>
      </c>
      <c r="W304">
        <f>HYPERLINK("https://klasma.github.io/Logging_2303/klagomålsmail/A 29256-2024 FSC-klagomål mail.docx", "A 29256-2024")</f>
        <v/>
      </c>
      <c r="X304">
        <f>HYPERLINK("https://klasma.github.io/Logging_2303/tillsyn/A 29256-2024 tillsynsbegäran.docx", "A 29256-2024")</f>
        <v/>
      </c>
      <c r="Y304">
        <f>HYPERLINK("https://klasma.github.io/Logging_2303/tillsynsmail/A 29256-2024 tillsynsbegäran mail.docx", "A 29256-2024")</f>
        <v/>
      </c>
    </row>
    <row r="305" ht="15" customHeight="1">
      <c r="A305" t="inlineStr">
        <is>
          <t>A 29921-2024</t>
        </is>
      </c>
      <c r="B305" s="1" t="n">
        <v>45488</v>
      </c>
      <c r="C305" s="1" t="n">
        <v>45703</v>
      </c>
      <c r="D305" t="inlineStr">
        <is>
          <t>JÄMTLANDS LÄN</t>
        </is>
      </c>
      <c r="E305" t="inlineStr">
        <is>
          <t>RAGUNDA</t>
        </is>
      </c>
      <c r="G305" t="n">
        <v>1.6</v>
      </c>
      <c r="H305" t="n">
        <v>1</v>
      </c>
      <c r="I305" t="n">
        <v>0</v>
      </c>
      <c r="J305" t="n">
        <v>0</v>
      </c>
      <c r="K305" t="n">
        <v>1</v>
      </c>
      <c r="L305" t="n">
        <v>0</v>
      </c>
      <c r="M305" t="n">
        <v>0</v>
      </c>
      <c r="N305" t="n">
        <v>0</v>
      </c>
      <c r="O305" t="n">
        <v>1</v>
      </c>
      <c r="P305" t="n">
        <v>1</v>
      </c>
      <c r="Q305" t="n">
        <v>1</v>
      </c>
      <c r="R305" s="2" t="inlineStr">
        <is>
          <t>Knärot</t>
        </is>
      </c>
      <c r="S305">
        <f>HYPERLINK("https://klasma.github.io/Logging_2303/artfynd/A 29921-2024 artfynd.xlsx", "A 29921-2024")</f>
        <v/>
      </c>
      <c r="T305">
        <f>HYPERLINK("https://klasma.github.io/Logging_2303/kartor/A 29921-2024 karta.png", "A 29921-2024")</f>
        <v/>
      </c>
      <c r="U305">
        <f>HYPERLINK("https://klasma.github.io/Logging_2303/knärot/A 29921-2024 karta knärot.png", "A 29921-2024")</f>
        <v/>
      </c>
      <c r="V305">
        <f>HYPERLINK("https://klasma.github.io/Logging_2303/klagomål/A 29921-2024 FSC-klagomål.docx", "A 29921-2024")</f>
        <v/>
      </c>
      <c r="W305">
        <f>HYPERLINK("https://klasma.github.io/Logging_2303/klagomålsmail/A 29921-2024 FSC-klagomål mail.docx", "A 29921-2024")</f>
        <v/>
      </c>
      <c r="X305">
        <f>HYPERLINK("https://klasma.github.io/Logging_2303/tillsyn/A 29921-2024 tillsynsbegäran.docx", "A 29921-2024")</f>
        <v/>
      </c>
      <c r="Y305">
        <f>HYPERLINK("https://klasma.github.io/Logging_2303/tillsynsmail/A 29921-2024 tillsynsbegäran mail.docx", "A 29921-2024")</f>
        <v/>
      </c>
    </row>
    <row r="306" ht="15" customHeight="1">
      <c r="A306" t="inlineStr">
        <is>
          <t>A 30485-2024</t>
        </is>
      </c>
      <c r="B306" s="1" t="n">
        <v>45492</v>
      </c>
      <c r="C306" s="1" t="n">
        <v>45703</v>
      </c>
      <c r="D306" t="inlineStr">
        <is>
          <t>JÄMTLANDS LÄN</t>
        </is>
      </c>
      <c r="E306" t="inlineStr">
        <is>
          <t>RAGUNDA</t>
        </is>
      </c>
      <c r="F306" t="inlineStr">
        <is>
          <t>SCA</t>
        </is>
      </c>
      <c r="G306" t="n">
        <v>2</v>
      </c>
      <c r="H306" t="n">
        <v>0</v>
      </c>
      <c r="I306" t="n">
        <v>0</v>
      </c>
      <c r="J306" t="n">
        <v>1</v>
      </c>
      <c r="K306" t="n">
        <v>0</v>
      </c>
      <c r="L306" t="n">
        <v>0</v>
      </c>
      <c r="M306" t="n">
        <v>0</v>
      </c>
      <c r="N306" t="n">
        <v>0</v>
      </c>
      <c r="O306" t="n">
        <v>1</v>
      </c>
      <c r="P306" t="n">
        <v>0</v>
      </c>
      <c r="Q306" t="n">
        <v>1</v>
      </c>
      <c r="R306" s="2" t="inlineStr">
        <is>
          <t>Garnlav</t>
        </is>
      </c>
      <c r="S306">
        <f>HYPERLINK("https://klasma.github.io/Logging_2303/artfynd/A 30485-2024 artfynd.xlsx", "A 30485-2024")</f>
        <v/>
      </c>
      <c r="T306">
        <f>HYPERLINK("https://klasma.github.io/Logging_2303/kartor/A 30485-2024 karta.png", "A 30485-2024")</f>
        <v/>
      </c>
      <c r="V306">
        <f>HYPERLINK("https://klasma.github.io/Logging_2303/klagomål/A 30485-2024 FSC-klagomål.docx", "A 30485-2024")</f>
        <v/>
      </c>
      <c r="W306">
        <f>HYPERLINK("https://klasma.github.io/Logging_2303/klagomålsmail/A 30485-2024 FSC-klagomål mail.docx", "A 30485-2024")</f>
        <v/>
      </c>
      <c r="X306">
        <f>HYPERLINK("https://klasma.github.io/Logging_2303/tillsyn/A 30485-2024 tillsynsbegäran.docx", "A 30485-2024")</f>
        <v/>
      </c>
      <c r="Y306">
        <f>HYPERLINK("https://klasma.github.io/Logging_2303/tillsynsmail/A 30485-2024 tillsynsbegäran mail.docx", "A 30485-2024")</f>
        <v/>
      </c>
    </row>
    <row r="307" ht="15" customHeight="1">
      <c r="A307" t="inlineStr">
        <is>
          <t>A 32069-2024</t>
        </is>
      </c>
      <c r="B307" s="1" t="n">
        <v>45510</v>
      </c>
      <c r="C307" s="1" t="n">
        <v>45703</v>
      </c>
      <c r="D307" t="inlineStr">
        <is>
          <t>JÄMTLANDS LÄN</t>
        </is>
      </c>
      <c r="E307" t="inlineStr">
        <is>
          <t>RAGUNDA</t>
        </is>
      </c>
      <c r="F307" t="inlineStr">
        <is>
          <t>SCA</t>
        </is>
      </c>
      <c r="G307" t="n">
        <v>1.8</v>
      </c>
      <c r="H307" t="n">
        <v>0</v>
      </c>
      <c r="I307" t="n">
        <v>0</v>
      </c>
      <c r="J307" t="n">
        <v>1</v>
      </c>
      <c r="K307" t="n">
        <v>0</v>
      </c>
      <c r="L307" t="n">
        <v>0</v>
      </c>
      <c r="M307" t="n">
        <v>0</v>
      </c>
      <c r="N307" t="n">
        <v>0</v>
      </c>
      <c r="O307" t="n">
        <v>1</v>
      </c>
      <c r="P307" t="n">
        <v>0</v>
      </c>
      <c r="Q307" t="n">
        <v>1</v>
      </c>
      <c r="R307" s="2" t="inlineStr">
        <is>
          <t>Lunglav</t>
        </is>
      </c>
      <c r="S307">
        <f>HYPERLINK("https://klasma.github.io/Logging_2303/artfynd/A 32069-2024 artfynd.xlsx", "A 32069-2024")</f>
        <v/>
      </c>
      <c r="T307">
        <f>HYPERLINK("https://klasma.github.io/Logging_2303/kartor/A 32069-2024 karta.png", "A 32069-2024")</f>
        <v/>
      </c>
      <c r="V307">
        <f>HYPERLINK("https://klasma.github.io/Logging_2303/klagomål/A 32069-2024 FSC-klagomål.docx", "A 32069-2024")</f>
        <v/>
      </c>
      <c r="W307">
        <f>HYPERLINK("https://klasma.github.io/Logging_2303/klagomålsmail/A 32069-2024 FSC-klagomål mail.docx", "A 32069-2024")</f>
        <v/>
      </c>
      <c r="X307">
        <f>HYPERLINK("https://klasma.github.io/Logging_2303/tillsyn/A 32069-2024 tillsynsbegäran.docx", "A 32069-2024")</f>
        <v/>
      </c>
      <c r="Y307">
        <f>HYPERLINK("https://klasma.github.io/Logging_2303/tillsynsmail/A 32069-2024 tillsynsbegäran mail.docx", "A 32069-2024")</f>
        <v/>
      </c>
    </row>
    <row r="308" ht="15" customHeight="1">
      <c r="A308" t="inlineStr">
        <is>
          <t>A 49770-2024</t>
        </is>
      </c>
      <c r="B308" s="1" t="n">
        <v>45597</v>
      </c>
      <c r="C308" s="1" t="n">
        <v>45703</v>
      </c>
      <c r="D308" t="inlineStr">
        <is>
          <t>JÄMTLANDS LÄN</t>
        </is>
      </c>
      <c r="E308" t="inlineStr">
        <is>
          <t>RAGUNDA</t>
        </is>
      </c>
      <c r="F308" t="inlineStr">
        <is>
          <t>Naturvårdsverket</t>
        </is>
      </c>
      <c r="G308" t="n">
        <v>8.9</v>
      </c>
      <c r="H308" t="n">
        <v>1</v>
      </c>
      <c r="I308" t="n">
        <v>0</v>
      </c>
      <c r="J308" t="n">
        <v>0</v>
      </c>
      <c r="K308" t="n">
        <v>1</v>
      </c>
      <c r="L308" t="n">
        <v>0</v>
      </c>
      <c r="M308" t="n">
        <v>0</v>
      </c>
      <c r="N308" t="n">
        <v>0</v>
      </c>
      <c r="O308" t="n">
        <v>1</v>
      </c>
      <c r="P308" t="n">
        <v>1</v>
      </c>
      <c r="Q308" t="n">
        <v>1</v>
      </c>
      <c r="R308" s="2" t="inlineStr">
        <is>
          <t>Doftticka</t>
        </is>
      </c>
      <c r="S308">
        <f>HYPERLINK("https://klasma.github.io/Logging_2303/artfynd/A 49770-2024 artfynd.xlsx", "A 49770-2024")</f>
        <v/>
      </c>
      <c r="T308">
        <f>HYPERLINK("https://klasma.github.io/Logging_2303/kartor/A 49770-2024 karta.png", "A 49770-2024")</f>
        <v/>
      </c>
      <c r="V308">
        <f>HYPERLINK("https://klasma.github.io/Logging_2303/klagomål/A 49770-2024 FSC-klagomål.docx", "A 49770-2024")</f>
        <v/>
      </c>
      <c r="W308">
        <f>HYPERLINK("https://klasma.github.io/Logging_2303/klagomålsmail/A 49770-2024 FSC-klagomål mail.docx", "A 49770-2024")</f>
        <v/>
      </c>
      <c r="X308">
        <f>HYPERLINK("https://klasma.github.io/Logging_2303/tillsyn/A 49770-2024 tillsynsbegäran.docx", "A 49770-2024")</f>
        <v/>
      </c>
      <c r="Y308">
        <f>HYPERLINK("https://klasma.github.io/Logging_2303/tillsynsmail/A 49770-2024 tillsynsbegäran mail.docx", "A 49770-2024")</f>
        <v/>
      </c>
    </row>
    <row r="309" ht="15" customHeight="1">
      <c r="A309" t="inlineStr">
        <is>
          <t>A 50233-2024</t>
        </is>
      </c>
      <c r="B309" s="1" t="n">
        <v>45600</v>
      </c>
      <c r="C309" s="1" t="n">
        <v>45703</v>
      </c>
      <c r="D309" t="inlineStr">
        <is>
          <t>JÄMTLANDS LÄN</t>
        </is>
      </c>
      <c r="E309" t="inlineStr">
        <is>
          <t>RAGUNDA</t>
        </is>
      </c>
      <c r="F309" t="inlineStr">
        <is>
          <t>SCA</t>
        </is>
      </c>
      <c r="G309" t="n">
        <v>5.6</v>
      </c>
      <c r="H309" t="n">
        <v>0</v>
      </c>
      <c r="I309" t="n">
        <v>0</v>
      </c>
      <c r="J309" t="n">
        <v>1</v>
      </c>
      <c r="K309" t="n">
        <v>0</v>
      </c>
      <c r="L309" t="n">
        <v>0</v>
      </c>
      <c r="M309" t="n">
        <v>0</v>
      </c>
      <c r="N309" t="n">
        <v>0</v>
      </c>
      <c r="O309" t="n">
        <v>1</v>
      </c>
      <c r="P309" t="n">
        <v>0</v>
      </c>
      <c r="Q309" t="n">
        <v>1</v>
      </c>
      <c r="R309" s="2" t="inlineStr">
        <is>
          <t>Granticka</t>
        </is>
      </c>
      <c r="S309">
        <f>HYPERLINK("https://klasma.github.io/Logging_2303/artfynd/A 50233-2024 artfynd.xlsx", "A 50233-2024")</f>
        <v/>
      </c>
      <c r="T309">
        <f>HYPERLINK("https://klasma.github.io/Logging_2303/kartor/A 50233-2024 karta.png", "A 50233-2024")</f>
        <v/>
      </c>
      <c r="V309">
        <f>HYPERLINK("https://klasma.github.io/Logging_2303/klagomål/A 50233-2024 FSC-klagomål.docx", "A 50233-2024")</f>
        <v/>
      </c>
      <c r="W309">
        <f>HYPERLINK("https://klasma.github.io/Logging_2303/klagomålsmail/A 50233-2024 FSC-klagomål mail.docx", "A 50233-2024")</f>
        <v/>
      </c>
      <c r="X309">
        <f>HYPERLINK("https://klasma.github.io/Logging_2303/tillsyn/A 50233-2024 tillsynsbegäran.docx", "A 50233-2024")</f>
        <v/>
      </c>
      <c r="Y309">
        <f>HYPERLINK("https://klasma.github.io/Logging_2303/tillsynsmail/A 50233-2024 tillsynsbegäran mail.docx", "A 50233-2024")</f>
        <v/>
      </c>
    </row>
    <row r="310" ht="15" customHeight="1">
      <c r="A310" t="inlineStr">
        <is>
          <t>A 52484-2024</t>
        </is>
      </c>
      <c r="B310" s="1" t="n">
        <v>45609</v>
      </c>
      <c r="C310" s="1" t="n">
        <v>45703</v>
      </c>
      <c r="D310" t="inlineStr">
        <is>
          <t>JÄMTLANDS LÄN</t>
        </is>
      </c>
      <c r="E310" t="inlineStr">
        <is>
          <t>RAGUNDA</t>
        </is>
      </c>
      <c r="F310" t="inlineStr">
        <is>
          <t>SCA</t>
        </is>
      </c>
      <c r="G310" t="n">
        <v>30.5</v>
      </c>
      <c r="H310" t="n">
        <v>1</v>
      </c>
      <c r="I310" t="n">
        <v>0</v>
      </c>
      <c r="J310" t="n">
        <v>0</v>
      </c>
      <c r="K310" t="n">
        <v>0</v>
      </c>
      <c r="L310" t="n">
        <v>0</v>
      </c>
      <c r="M310" t="n">
        <v>0</v>
      </c>
      <c r="N310" t="n">
        <v>0</v>
      </c>
      <c r="O310" t="n">
        <v>0</v>
      </c>
      <c r="P310" t="n">
        <v>0</v>
      </c>
      <c r="Q310" t="n">
        <v>1</v>
      </c>
      <c r="R310" s="2" t="inlineStr">
        <is>
          <t>Blåsippa</t>
        </is>
      </c>
      <c r="S310">
        <f>HYPERLINK("https://klasma.github.io/Logging_2303/artfynd/A 52484-2024 artfynd.xlsx", "A 52484-2024")</f>
        <v/>
      </c>
      <c r="T310">
        <f>HYPERLINK("https://klasma.github.io/Logging_2303/kartor/A 52484-2024 karta.png", "A 52484-2024")</f>
        <v/>
      </c>
      <c r="V310">
        <f>HYPERLINK("https://klasma.github.io/Logging_2303/klagomål/A 52484-2024 FSC-klagomål.docx", "A 52484-2024")</f>
        <v/>
      </c>
      <c r="W310">
        <f>HYPERLINK("https://klasma.github.io/Logging_2303/klagomålsmail/A 52484-2024 FSC-klagomål mail.docx", "A 52484-2024")</f>
        <v/>
      </c>
      <c r="X310">
        <f>HYPERLINK("https://klasma.github.io/Logging_2303/tillsyn/A 52484-2024 tillsynsbegäran.docx", "A 52484-2024")</f>
        <v/>
      </c>
      <c r="Y310">
        <f>HYPERLINK("https://klasma.github.io/Logging_2303/tillsynsmail/A 52484-2024 tillsynsbegäran mail.docx", "A 52484-2024")</f>
        <v/>
      </c>
    </row>
    <row r="311" ht="15" customHeight="1">
      <c r="A311" t="inlineStr">
        <is>
          <t>A 55431-2024</t>
        </is>
      </c>
      <c r="B311" s="1" t="n">
        <v>45622</v>
      </c>
      <c r="C311" s="1" t="n">
        <v>45703</v>
      </c>
      <c r="D311" t="inlineStr">
        <is>
          <t>JÄMTLANDS LÄN</t>
        </is>
      </c>
      <c r="E311" t="inlineStr">
        <is>
          <t>RAGUNDA</t>
        </is>
      </c>
      <c r="G311" t="n">
        <v>6.8</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55431-2024 artfynd.xlsx", "A 55431-2024")</f>
        <v/>
      </c>
      <c r="T311">
        <f>HYPERLINK("https://klasma.github.io/Logging_2303/kartor/A 55431-2024 karta.png", "A 55431-2024")</f>
        <v/>
      </c>
      <c r="V311">
        <f>HYPERLINK("https://klasma.github.io/Logging_2303/klagomål/A 55431-2024 FSC-klagomål.docx", "A 55431-2024")</f>
        <v/>
      </c>
      <c r="W311">
        <f>HYPERLINK("https://klasma.github.io/Logging_2303/klagomålsmail/A 55431-2024 FSC-klagomål mail.docx", "A 55431-2024")</f>
        <v/>
      </c>
      <c r="X311">
        <f>HYPERLINK("https://klasma.github.io/Logging_2303/tillsyn/A 55431-2024 tillsynsbegäran.docx", "A 55431-2024")</f>
        <v/>
      </c>
      <c r="Y311">
        <f>HYPERLINK("https://klasma.github.io/Logging_2303/tillsynsmail/A 55431-2024 tillsynsbegäran mail.docx", "A 55431-2024")</f>
        <v/>
      </c>
      <c r="Z311">
        <f>HYPERLINK("https://klasma.github.io/Logging_2303/fåglar/A 55431-2024 prioriterade fågelarter.docx", "A 55431-2024")</f>
        <v/>
      </c>
    </row>
    <row r="312" ht="15" customHeight="1">
      <c r="A312" t="inlineStr">
        <is>
          <t>A 55395-2024</t>
        </is>
      </c>
      <c r="B312" s="1" t="n">
        <v>45622</v>
      </c>
      <c r="C312" s="1" t="n">
        <v>45703</v>
      </c>
      <c r="D312" t="inlineStr">
        <is>
          <t>JÄMTLANDS LÄN</t>
        </is>
      </c>
      <c r="E312" t="inlineStr">
        <is>
          <t>RAGUNDA</t>
        </is>
      </c>
      <c r="G312" t="n">
        <v>3.2</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55395-2024 artfynd.xlsx", "A 55395-2024")</f>
        <v/>
      </c>
      <c r="T312">
        <f>HYPERLINK("https://klasma.github.io/Logging_2303/kartor/A 55395-2024 karta.png", "A 55395-2024")</f>
        <v/>
      </c>
      <c r="V312">
        <f>HYPERLINK("https://klasma.github.io/Logging_2303/klagomål/A 55395-2024 FSC-klagomål.docx", "A 55395-2024")</f>
        <v/>
      </c>
      <c r="W312">
        <f>HYPERLINK("https://klasma.github.io/Logging_2303/klagomålsmail/A 55395-2024 FSC-klagomål mail.docx", "A 55395-2024")</f>
        <v/>
      </c>
      <c r="X312">
        <f>HYPERLINK("https://klasma.github.io/Logging_2303/tillsyn/A 55395-2024 tillsynsbegäran.docx", "A 55395-2024")</f>
        <v/>
      </c>
      <c r="Y312">
        <f>HYPERLINK("https://klasma.github.io/Logging_2303/tillsynsmail/A 55395-2024 tillsynsbegäran mail.docx", "A 55395-2024")</f>
        <v/>
      </c>
      <c r="Z312">
        <f>HYPERLINK("https://klasma.github.io/Logging_2303/fåglar/A 55395-2024 prioriterade fågelarter.docx", "A 55395-2024")</f>
        <v/>
      </c>
    </row>
    <row r="313" ht="15" customHeight="1">
      <c r="A313" t="inlineStr">
        <is>
          <t>A 56090-2024</t>
        </is>
      </c>
      <c r="B313" s="1" t="n">
        <v>45624</v>
      </c>
      <c r="C313" s="1" t="n">
        <v>45703</v>
      </c>
      <c r="D313" t="inlineStr">
        <is>
          <t>JÄMTLANDS LÄN</t>
        </is>
      </c>
      <c r="E313" t="inlineStr">
        <is>
          <t>RAGUNDA</t>
        </is>
      </c>
      <c r="F313" t="inlineStr">
        <is>
          <t>SCA</t>
        </is>
      </c>
      <c r="G313" t="n">
        <v>15.2</v>
      </c>
      <c r="H313" t="n">
        <v>0</v>
      </c>
      <c r="I313" t="n">
        <v>0</v>
      </c>
      <c r="J313" t="n">
        <v>1</v>
      </c>
      <c r="K313" t="n">
        <v>0</v>
      </c>
      <c r="L313" t="n">
        <v>0</v>
      </c>
      <c r="M313" t="n">
        <v>0</v>
      </c>
      <c r="N313" t="n">
        <v>0</v>
      </c>
      <c r="O313" t="n">
        <v>1</v>
      </c>
      <c r="P313" t="n">
        <v>0</v>
      </c>
      <c r="Q313" t="n">
        <v>1</v>
      </c>
      <c r="R313" s="2" t="inlineStr">
        <is>
          <t>Blanksvart spiklav</t>
        </is>
      </c>
      <c r="S313">
        <f>HYPERLINK("https://klasma.github.io/Logging_2303/artfynd/A 56090-2024 artfynd.xlsx", "A 56090-2024")</f>
        <v/>
      </c>
      <c r="T313">
        <f>HYPERLINK("https://klasma.github.io/Logging_2303/kartor/A 56090-2024 karta.png", "A 56090-2024")</f>
        <v/>
      </c>
      <c r="V313">
        <f>HYPERLINK("https://klasma.github.io/Logging_2303/klagomål/A 56090-2024 FSC-klagomål.docx", "A 56090-2024")</f>
        <v/>
      </c>
      <c r="W313">
        <f>HYPERLINK("https://klasma.github.io/Logging_2303/klagomålsmail/A 56090-2024 FSC-klagomål mail.docx", "A 56090-2024")</f>
        <v/>
      </c>
      <c r="X313">
        <f>HYPERLINK("https://klasma.github.io/Logging_2303/tillsyn/A 56090-2024 tillsynsbegäran.docx", "A 56090-2024")</f>
        <v/>
      </c>
      <c r="Y313">
        <f>HYPERLINK("https://klasma.github.io/Logging_2303/tillsynsmail/A 56090-2024 tillsynsbegäran mail.docx", "A 56090-2024")</f>
        <v/>
      </c>
    </row>
    <row r="314" ht="15" customHeight="1">
      <c r="A314" t="inlineStr">
        <is>
          <t>A 58846-2024</t>
        </is>
      </c>
      <c r="B314" s="1" t="n">
        <v>45636</v>
      </c>
      <c r="C314" s="1" t="n">
        <v>45703</v>
      </c>
      <c r="D314" t="inlineStr">
        <is>
          <t>JÄMTLANDS LÄN</t>
        </is>
      </c>
      <c r="E314" t="inlineStr">
        <is>
          <t>RAGUNDA</t>
        </is>
      </c>
      <c r="F314" t="inlineStr">
        <is>
          <t>SCA</t>
        </is>
      </c>
      <c r="G314" t="n">
        <v>1.5</v>
      </c>
      <c r="H314" t="n">
        <v>0</v>
      </c>
      <c r="I314" t="n">
        <v>0</v>
      </c>
      <c r="J314" t="n">
        <v>0</v>
      </c>
      <c r="K314" t="n">
        <v>1</v>
      </c>
      <c r="L314" t="n">
        <v>0</v>
      </c>
      <c r="M314" t="n">
        <v>0</v>
      </c>
      <c r="N314" t="n">
        <v>0</v>
      </c>
      <c r="O314" t="n">
        <v>1</v>
      </c>
      <c r="P314" t="n">
        <v>1</v>
      </c>
      <c r="Q314" t="n">
        <v>1</v>
      </c>
      <c r="R314" s="2" t="inlineStr">
        <is>
          <t>Rynkskinn</t>
        </is>
      </c>
      <c r="S314">
        <f>HYPERLINK("https://klasma.github.io/Logging_2303/artfynd/A 58846-2024 artfynd.xlsx", "A 58846-2024")</f>
        <v/>
      </c>
      <c r="T314">
        <f>HYPERLINK("https://klasma.github.io/Logging_2303/kartor/A 58846-2024 karta.png", "A 58846-2024")</f>
        <v/>
      </c>
      <c r="V314">
        <f>HYPERLINK("https://klasma.github.io/Logging_2303/klagomål/A 58846-2024 FSC-klagomål.docx", "A 58846-2024")</f>
        <v/>
      </c>
      <c r="W314">
        <f>HYPERLINK("https://klasma.github.io/Logging_2303/klagomålsmail/A 58846-2024 FSC-klagomål mail.docx", "A 58846-2024")</f>
        <v/>
      </c>
      <c r="X314">
        <f>HYPERLINK("https://klasma.github.io/Logging_2303/tillsyn/A 58846-2024 tillsynsbegäran.docx", "A 58846-2024")</f>
        <v/>
      </c>
      <c r="Y314">
        <f>HYPERLINK("https://klasma.github.io/Logging_2303/tillsynsmail/A 58846-2024 tillsynsbegäran mail.docx", "A 58846-2024")</f>
        <v/>
      </c>
    </row>
    <row r="315" ht="15" customHeight="1">
      <c r="A315" t="inlineStr">
        <is>
          <t>A 2757-2025</t>
        </is>
      </c>
      <c r="B315" s="1" t="n">
        <v>45677</v>
      </c>
      <c r="C315" s="1" t="n">
        <v>45703</v>
      </c>
      <c r="D315" t="inlineStr">
        <is>
          <t>JÄMTLANDS LÄN</t>
        </is>
      </c>
      <c r="E315" t="inlineStr">
        <is>
          <t>RAGUNDA</t>
        </is>
      </c>
      <c r="G315" t="n">
        <v>4</v>
      </c>
      <c r="H315" t="n">
        <v>0</v>
      </c>
      <c r="I315" t="n">
        <v>0</v>
      </c>
      <c r="J315" t="n">
        <v>1</v>
      </c>
      <c r="K315" t="n">
        <v>0</v>
      </c>
      <c r="L315" t="n">
        <v>0</v>
      </c>
      <c r="M315" t="n">
        <v>0</v>
      </c>
      <c r="N315" t="n">
        <v>0</v>
      </c>
      <c r="O315" t="n">
        <v>1</v>
      </c>
      <c r="P315" t="n">
        <v>0</v>
      </c>
      <c r="Q315" t="n">
        <v>1</v>
      </c>
      <c r="R315" s="2" t="inlineStr">
        <is>
          <t>Lunglav</t>
        </is>
      </c>
      <c r="S315">
        <f>HYPERLINK("https://klasma.github.io/Logging_2303/artfynd/A 2757-2025 artfynd.xlsx", "A 2757-2025")</f>
        <v/>
      </c>
      <c r="T315">
        <f>HYPERLINK("https://klasma.github.io/Logging_2303/kartor/A 2757-2025 karta.png", "A 2757-2025")</f>
        <v/>
      </c>
      <c r="V315">
        <f>HYPERLINK("https://klasma.github.io/Logging_2303/klagomål/A 2757-2025 FSC-klagomål.docx", "A 2757-2025")</f>
        <v/>
      </c>
      <c r="W315">
        <f>HYPERLINK("https://klasma.github.io/Logging_2303/klagomålsmail/A 2757-2025 FSC-klagomål mail.docx", "A 2757-2025")</f>
        <v/>
      </c>
      <c r="X315">
        <f>HYPERLINK("https://klasma.github.io/Logging_2303/tillsyn/A 2757-2025 tillsynsbegäran.docx", "A 2757-2025")</f>
        <v/>
      </c>
      <c r="Y315">
        <f>HYPERLINK("https://klasma.github.io/Logging_2303/tillsynsmail/A 2757-2025 tillsynsbegäran mail.docx", "A 2757-2025")</f>
        <v/>
      </c>
    </row>
    <row r="316" ht="15" customHeight="1">
      <c r="A316" t="inlineStr">
        <is>
          <t>A 19077-2019</t>
        </is>
      </c>
      <c r="B316" s="1" t="n">
        <v>43563</v>
      </c>
      <c r="C316" s="1" t="n">
        <v>45703</v>
      </c>
      <c r="D316" t="inlineStr">
        <is>
          <t>JÄMTLANDS LÄN</t>
        </is>
      </c>
      <c r="E316" t="inlineStr">
        <is>
          <t>RAGUNDA</t>
        </is>
      </c>
      <c r="G316" t="n">
        <v>11.5</v>
      </c>
      <c r="H316" t="n">
        <v>0</v>
      </c>
      <c r="I316" t="n">
        <v>0</v>
      </c>
      <c r="J316" t="n">
        <v>0</v>
      </c>
      <c r="K316" t="n">
        <v>0</v>
      </c>
      <c r="L316" t="n">
        <v>0</v>
      </c>
      <c r="M316" t="n">
        <v>0</v>
      </c>
      <c r="N316" t="n">
        <v>0</v>
      </c>
      <c r="O316" t="n">
        <v>0</v>
      </c>
      <c r="P316" t="n">
        <v>0</v>
      </c>
      <c r="Q316" t="n">
        <v>0</v>
      </c>
      <c r="R316" s="2" t="inlineStr"/>
    </row>
    <row r="317" ht="15" customHeight="1">
      <c r="A317" t="inlineStr">
        <is>
          <t>A 19543-2019</t>
        </is>
      </c>
      <c r="B317" s="1" t="n">
        <v>43565</v>
      </c>
      <c r="C317" s="1" t="n">
        <v>45703</v>
      </c>
      <c r="D317" t="inlineStr">
        <is>
          <t>JÄMTLANDS LÄN</t>
        </is>
      </c>
      <c r="E317" t="inlineStr">
        <is>
          <t>RAGUNDA</t>
        </is>
      </c>
      <c r="G317" t="n">
        <v>2.3</v>
      </c>
      <c r="H317" t="n">
        <v>0</v>
      </c>
      <c r="I317" t="n">
        <v>0</v>
      </c>
      <c r="J317" t="n">
        <v>0</v>
      </c>
      <c r="K317" t="n">
        <v>0</v>
      </c>
      <c r="L317" t="n">
        <v>0</v>
      </c>
      <c r="M317" t="n">
        <v>0</v>
      </c>
      <c r="N317" t="n">
        <v>0</v>
      </c>
      <c r="O317" t="n">
        <v>0</v>
      </c>
      <c r="P317" t="n">
        <v>0</v>
      </c>
      <c r="Q317" t="n">
        <v>0</v>
      </c>
      <c r="R317" s="2" t="inlineStr"/>
    </row>
    <row r="318" ht="15" customHeight="1">
      <c r="A318" t="inlineStr">
        <is>
          <t>A 21122-2019</t>
        </is>
      </c>
      <c r="B318" s="1" t="n">
        <v>43578</v>
      </c>
      <c r="C318" s="1" t="n">
        <v>45703</v>
      </c>
      <c r="D318" t="inlineStr">
        <is>
          <t>JÄMTLANDS LÄN</t>
        </is>
      </c>
      <c r="E318" t="inlineStr">
        <is>
          <t>RAGUNDA</t>
        </is>
      </c>
      <c r="F318" t="inlineStr">
        <is>
          <t>SCA</t>
        </is>
      </c>
      <c r="G318" t="n">
        <v>72.09999999999999</v>
      </c>
      <c r="H318" t="n">
        <v>0</v>
      </c>
      <c r="I318" t="n">
        <v>0</v>
      </c>
      <c r="J318" t="n">
        <v>0</v>
      </c>
      <c r="K318" t="n">
        <v>0</v>
      </c>
      <c r="L318" t="n">
        <v>0</v>
      </c>
      <c r="M318" t="n">
        <v>0</v>
      </c>
      <c r="N318" t="n">
        <v>0</v>
      </c>
      <c r="O318" t="n">
        <v>0</v>
      </c>
      <c r="P318" t="n">
        <v>0</v>
      </c>
      <c r="Q318" t="n">
        <v>0</v>
      </c>
      <c r="R318" s="2" t="inlineStr"/>
    </row>
    <row r="319" ht="15" customHeight="1">
      <c r="A319" t="inlineStr">
        <is>
          <t>A 21914-2019</t>
        </is>
      </c>
      <c r="B319" s="1" t="n">
        <v>43584</v>
      </c>
      <c r="C319" s="1" t="n">
        <v>45703</v>
      </c>
      <c r="D319" t="inlineStr">
        <is>
          <t>JÄMTLANDS LÄN</t>
        </is>
      </c>
      <c r="E319" t="inlineStr">
        <is>
          <t>RAGUNDA</t>
        </is>
      </c>
      <c r="G319" t="n">
        <v>3.1</v>
      </c>
      <c r="H319" t="n">
        <v>0</v>
      </c>
      <c r="I319" t="n">
        <v>0</v>
      </c>
      <c r="J319" t="n">
        <v>0</v>
      </c>
      <c r="K319" t="n">
        <v>0</v>
      </c>
      <c r="L319" t="n">
        <v>0</v>
      </c>
      <c r="M319" t="n">
        <v>0</v>
      </c>
      <c r="N319" t="n">
        <v>0</v>
      </c>
      <c r="O319" t="n">
        <v>0</v>
      </c>
      <c r="P319" t="n">
        <v>0</v>
      </c>
      <c r="Q319" t="n">
        <v>0</v>
      </c>
      <c r="R319" s="2" t="inlineStr"/>
    </row>
    <row r="320" ht="15" customHeight="1">
      <c r="A320" t="inlineStr">
        <is>
          <t>A 22799-2019</t>
        </is>
      </c>
      <c r="B320" s="1" t="n">
        <v>43589</v>
      </c>
      <c r="C320" s="1" t="n">
        <v>45703</v>
      </c>
      <c r="D320" t="inlineStr">
        <is>
          <t>JÄMTLANDS LÄN</t>
        </is>
      </c>
      <c r="E320" t="inlineStr">
        <is>
          <t>RAGUNDA</t>
        </is>
      </c>
      <c r="G320" t="n">
        <v>0.5</v>
      </c>
      <c r="H320" t="n">
        <v>0</v>
      </c>
      <c r="I320" t="n">
        <v>0</v>
      </c>
      <c r="J320" t="n">
        <v>0</v>
      </c>
      <c r="K320" t="n">
        <v>0</v>
      </c>
      <c r="L320" t="n">
        <v>0</v>
      </c>
      <c r="M320" t="n">
        <v>0</v>
      </c>
      <c r="N320" t="n">
        <v>0</v>
      </c>
      <c r="O320" t="n">
        <v>0</v>
      </c>
      <c r="P320" t="n">
        <v>0</v>
      </c>
      <c r="Q320" t="n">
        <v>0</v>
      </c>
      <c r="R320" s="2" t="inlineStr"/>
    </row>
    <row r="321" ht="15" customHeight="1">
      <c r="A321" t="inlineStr">
        <is>
          <t>A 23740-2019</t>
        </is>
      </c>
      <c r="B321" s="1" t="n">
        <v>43594</v>
      </c>
      <c r="C321" s="1" t="n">
        <v>45703</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23821-2019</t>
        </is>
      </c>
      <c r="B322" s="1" t="n">
        <v>43594</v>
      </c>
      <c r="C322" s="1" t="n">
        <v>45703</v>
      </c>
      <c r="D322" t="inlineStr">
        <is>
          <t>JÄMTLANDS LÄN</t>
        </is>
      </c>
      <c r="E322" t="inlineStr">
        <is>
          <t>RAGUNDA</t>
        </is>
      </c>
      <c r="G322" t="n">
        <v>0.9</v>
      </c>
      <c r="H322" t="n">
        <v>0</v>
      </c>
      <c r="I322" t="n">
        <v>0</v>
      </c>
      <c r="J322" t="n">
        <v>0</v>
      </c>
      <c r="K322" t="n">
        <v>0</v>
      </c>
      <c r="L322" t="n">
        <v>0</v>
      </c>
      <c r="M322" t="n">
        <v>0</v>
      </c>
      <c r="N322" t="n">
        <v>0</v>
      </c>
      <c r="O322" t="n">
        <v>0</v>
      </c>
      <c r="P322" t="n">
        <v>0</v>
      </c>
      <c r="Q322" t="n">
        <v>0</v>
      </c>
      <c r="R322" s="2" t="inlineStr"/>
    </row>
    <row r="323" ht="15" customHeight="1">
      <c r="A323" t="inlineStr">
        <is>
          <t>A 28251-2019</t>
        </is>
      </c>
      <c r="B323" s="1" t="n">
        <v>43622</v>
      </c>
      <c r="C323" s="1" t="n">
        <v>45703</v>
      </c>
      <c r="D323" t="inlineStr">
        <is>
          <t>JÄMTLANDS LÄN</t>
        </is>
      </c>
      <c r="E323" t="inlineStr">
        <is>
          <t>RAGUNDA</t>
        </is>
      </c>
      <c r="F323" t="inlineStr">
        <is>
          <t>SCA</t>
        </is>
      </c>
      <c r="G323" t="n">
        <v>25.7</v>
      </c>
      <c r="H323" t="n">
        <v>0</v>
      </c>
      <c r="I323" t="n">
        <v>0</v>
      </c>
      <c r="J323" t="n">
        <v>0</v>
      </c>
      <c r="K323" t="n">
        <v>0</v>
      </c>
      <c r="L323" t="n">
        <v>0</v>
      </c>
      <c r="M323" t="n">
        <v>0</v>
      </c>
      <c r="N323" t="n">
        <v>0</v>
      </c>
      <c r="O323" t="n">
        <v>0</v>
      </c>
      <c r="P323" t="n">
        <v>0</v>
      </c>
      <c r="Q323" t="n">
        <v>0</v>
      </c>
      <c r="R323" s="2" t="inlineStr"/>
    </row>
    <row r="324" ht="15" customHeight="1">
      <c r="A324" t="inlineStr">
        <is>
          <t>A 30030-2019</t>
        </is>
      </c>
      <c r="B324" s="1" t="n">
        <v>43633</v>
      </c>
      <c r="C324" s="1" t="n">
        <v>45703</v>
      </c>
      <c r="D324" t="inlineStr">
        <is>
          <t>JÄMTLANDS LÄN</t>
        </is>
      </c>
      <c r="E324" t="inlineStr">
        <is>
          <t>RAGUNDA</t>
        </is>
      </c>
      <c r="G324" t="n">
        <v>10.6</v>
      </c>
      <c r="H324" t="n">
        <v>0</v>
      </c>
      <c r="I324" t="n">
        <v>0</v>
      </c>
      <c r="J324" t="n">
        <v>0</v>
      </c>
      <c r="K324" t="n">
        <v>0</v>
      </c>
      <c r="L324" t="n">
        <v>0</v>
      </c>
      <c r="M324" t="n">
        <v>0</v>
      </c>
      <c r="N324" t="n">
        <v>0</v>
      </c>
      <c r="O324" t="n">
        <v>0</v>
      </c>
      <c r="P324" t="n">
        <v>0</v>
      </c>
      <c r="Q324" t="n">
        <v>0</v>
      </c>
      <c r="R324" s="2" t="inlineStr"/>
    </row>
    <row r="325" ht="15" customHeight="1">
      <c r="A325" t="inlineStr">
        <is>
          <t>A 30034-2019</t>
        </is>
      </c>
      <c r="B325" s="1" t="n">
        <v>43633</v>
      </c>
      <c r="C325" s="1" t="n">
        <v>45703</v>
      </c>
      <c r="D325" t="inlineStr">
        <is>
          <t>JÄMTLANDS LÄN</t>
        </is>
      </c>
      <c r="E325" t="inlineStr">
        <is>
          <t>RAGUNDA</t>
        </is>
      </c>
      <c r="G325" t="n">
        <v>5.6</v>
      </c>
      <c r="H325" t="n">
        <v>0</v>
      </c>
      <c r="I325" t="n">
        <v>0</v>
      </c>
      <c r="J325" t="n">
        <v>0</v>
      </c>
      <c r="K325" t="n">
        <v>0</v>
      </c>
      <c r="L325" t="n">
        <v>0</v>
      </c>
      <c r="M325" t="n">
        <v>0</v>
      </c>
      <c r="N325" t="n">
        <v>0</v>
      </c>
      <c r="O325" t="n">
        <v>0</v>
      </c>
      <c r="P325" t="n">
        <v>0</v>
      </c>
      <c r="Q325" t="n">
        <v>0</v>
      </c>
      <c r="R325" s="2" t="inlineStr"/>
    </row>
    <row r="326" ht="15" customHeight="1">
      <c r="A326" t="inlineStr">
        <is>
          <t>A 31299-2019</t>
        </is>
      </c>
      <c r="B326" s="1" t="n">
        <v>43640</v>
      </c>
      <c r="C326" s="1" t="n">
        <v>45703</v>
      </c>
      <c r="D326" t="inlineStr">
        <is>
          <t>JÄMTLANDS LÄN</t>
        </is>
      </c>
      <c r="E326" t="inlineStr">
        <is>
          <t>RAGUNDA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31562-2019</t>
        </is>
      </c>
      <c r="B327" s="1" t="n">
        <v>43641</v>
      </c>
      <c r="C327" s="1" t="n">
        <v>45703</v>
      </c>
      <c r="D327" t="inlineStr">
        <is>
          <t>JÄMTLANDS LÄN</t>
        </is>
      </c>
      <c r="E327" t="inlineStr">
        <is>
          <t>RAGUNDA</t>
        </is>
      </c>
      <c r="F327" t="inlineStr">
        <is>
          <t>SCA</t>
        </is>
      </c>
      <c r="G327" t="n">
        <v>10.1</v>
      </c>
      <c r="H327" t="n">
        <v>0</v>
      </c>
      <c r="I327" t="n">
        <v>0</v>
      </c>
      <c r="J327" t="n">
        <v>0</v>
      </c>
      <c r="K327" t="n">
        <v>0</v>
      </c>
      <c r="L327" t="n">
        <v>0</v>
      </c>
      <c r="M327" t="n">
        <v>0</v>
      </c>
      <c r="N327" t="n">
        <v>0</v>
      </c>
      <c r="O327" t="n">
        <v>0</v>
      </c>
      <c r="P327" t="n">
        <v>0</v>
      </c>
      <c r="Q327" t="n">
        <v>0</v>
      </c>
      <c r="R327" s="2" t="inlineStr"/>
    </row>
    <row r="328" ht="15" customHeight="1">
      <c r="A328" t="inlineStr">
        <is>
          <t>A 31563-2019</t>
        </is>
      </c>
      <c r="B328" s="1" t="n">
        <v>43641</v>
      </c>
      <c r="C328" s="1" t="n">
        <v>45703</v>
      </c>
      <c r="D328" t="inlineStr">
        <is>
          <t>JÄMTLANDS LÄN</t>
        </is>
      </c>
      <c r="E328" t="inlineStr">
        <is>
          <t>RAGUNDA</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32211-2019</t>
        </is>
      </c>
      <c r="B329" s="1" t="n">
        <v>43643</v>
      </c>
      <c r="C329" s="1" t="n">
        <v>45703</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33341-2019</t>
        </is>
      </c>
      <c r="B330" s="1" t="n">
        <v>43650</v>
      </c>
      <c r="C330" s="1" t="n">
        <v>45703</v>
      </c>
      <c r="D330" t="inlineStr">
        <is>
          <t>JÄMTLANDS LÄN</t>
        </is>
      </c>
      <c r="E330" t="inlineStr">
        <is>
          <t>RAGUNDA</t>
        </is>
      </c>
      <c r="F330" t="inlineStr">
        <is>
          <t>Kommuner</t>
        </is>
      </c>
      <c r="G330" t="n">
        <v>1.3</v>
      </c>
      <c r="H330" t="n">
        <v>0</v>
      </c>
      <c r="I330" t="n">
        <v>0</v>
      </c>
      <c r="J330" t="n">
        <v>0</v>
      </c>
      <c r="K330" t="n">
        <v>0</v>
      </c>
      <c r="L330" t="n">
        <v>0</v>
      </c>
      <c r="M330" t="n">
        <v>0</v>
      </c>
      <c r="N330" t="n">
        <v>0</v>
      </c>
      <c r="O330" t="n">
        <v>0</v>
      </c>
      <c r="P330" t="n">
        <v>0</v>
      </c>
      <c r="Q330" t="n">
        <v>0</v>
      </c>
      <c r="R330" s="2" t="inlineStr"/>
    </row>
    <row r="331" ht="15" customHeight="1">
      <c r="A331" t="inlineStr">
        <is>
          <t>A 35466-2019</t>
        </is>
      </c>
      <c r="B331" s="1" t="n">
        <v>43651</v>
      </c>
      <c r="C331" s="1" t="n">
        <v>45703</v>
      </c>
      <c r="D331" t="inlineStr">
        <is>
          <t>JÄMTLANDS LÄN</t>
        </is>
      </c>
      <c r="E331" t="inlineStr">
        <is>
          <t>RAGUNDA</t>
        </is>
      </c>
      <c r="G331" t="n">
        <v>1.7</v>
      </c>
      <c r="H331" t="n">
        <v>0</v>
      </c>
      <c r="I331" t="n">
        <v>0</v>
      </c>
      <c r="J331" t="n">
        <v>0</v>
      </c>
      <c r="K331" t="n">
        <v>0</v>
      </c>
      <c r="L331" t="n">
        <v>0</v>
      </c>
      <c r="M331" t="n">
        <v>0</v>
      </c>
      <c r="N331" t="n">
        <v>0</v>
      </c>
      <c r="O331" t="n">
        <v>0</v>
      </c>
      <c r="P331" t="n">
        <v>0</v>
      </c>
      <c r="Q331" t="n">
        <v>0</v>
      </c>
      <c r="R331" s="2" t="inlineStr"/>
    </row>
    <row r="332" ht="15" customHeight="1">
      <c r="A332" t="inlineStr">
        <is>
          <t>A 34119-2019</t>
        </is>
      </c>
      <c r="B332" s="1" t="n">
        <v>43654</v>
      </c>
      <c r="C332" s="1" t="n">
        <v>45703</v>
      </c>
      <c r="D332" t="inlineStr">
        <is>
          <t>JÄMTLANDS LÄN</t>
        </is>
      </c>
      <c r="E332" t="inlineStr">
        <is>
          <t>RAGUNDA</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34121-2019</t>
        </is>
      </c>
      <c r="B333" s="1" t="n">
        <v>43654</v>
      </c>
      <c r="C333" s="1" t="n">
        <v>45703</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34490-2019</t>
        </is>
      </c>
      <c r="B334" s="1" t="n">
        <v>43656</v>
      </c>
      <c r="C334" s="1" t="n">
        <v>45703</v>
      </c>
      <c r="D334" t="inlineStr">
        <is>
          <t>JÄMTLANDS LÄN</t>
        </is>
      </c>
      <c r="E334" t="inlineStr">
        <is>
          <t>RAGUNDA</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36230-2019</t>
        </is>
      </c>
      <c r="B335" s="1" t="n">
        <v>43669</v>
      </c>
      <c r="C335" s="1" t="n">
        <v>45703</v>
      </c>
      <c r="D335" t="inlineStr">
        <is>
          <t>JÄMTLANDS LÄN</t>
        </is>
      </c>
      <c r="E335" t="inlineStr">
        <is>
          <t>RAGUNDA</t>
        </is>
      </c>
      <c r="G335" t="n">
        <v>4.4</v>
      </c>
      <c r="H335" t="n">
        <v>0</v>
      </c>
      <c r="I335" t="n">
        <v>0</v>
      </c>
      <c r="J335" t="n">
        <v>0</v>
      </c>
      <c r="K335" t="n">
        <v>0</v>
      </c>
      <c r="L335" t="n">
        <v>0</v>
      </c>
      <c r="M335" t="n">
        <v>0</v>
      </c>
      <c r="N335" t="n">
        <v>0</v>
      </c>
      <c r="O335" t="n">
        <v>0</v>
      </c>
      <c r="P335" t="n">
        <v>0</v>
      </c>
      <c r="Q335" t="n">
        <v>0</v>
      </c>
      <c r="R335" s="2" t="inlineStr"/>
    </row>
    <row r="336" ht="15" customHeight="1">
      <c r="A336" t="inlineStr">
        <is>
          <t>A 37086-2019</t>
        </is>
      </c>
      <c r="B336" s="1" t="n">
        <v>43676</v>
      </c>
      <c r="C336" s="1" t="n">
        <v>45703</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37441-2019</t>
        </is>
      </c>
      <c r="B337" s="1" t="n">
        <v>43678</v>
      </c>
      <c r="C337" s="1" t="n">
        <v>45703</v>
      </c>
      <c r="D337" t="inlineStr">
        <is>
          <t>JÄMTLANDS LÄN</t>
        </is>
      </c>
      <c r="E337" t="inlineStr">
        <is>
          <t>RAGUNDA</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38757-2019</t>
        </is>
      </c>
      <c r="B338" s="1" t="n">
        <v>43686</v>
      </c>
      <c r="C338" s="1" t="n">
        <v>45703</v>
      </c>
      <c r="D338" t="inlineStr">
        <is>
          <t>JÄMTLANDS LÄN</t>
        </is>
      </c>
      <c r="E338" t="inlineStr">
        <is>
          <t>RAGUNDA</t>
        </is>
      </c>
      <c r="G338" t="n">
        <v>10.2</v>
      </c>
      <c r="H338" t="n">
        <v>0</v>
      </c>
      <c r="I338" t="n">
        <v>0</v>
      </c>
      <c r="J338" t="n">
        <v>0</v>
      </c>
      <c r="K338" t="n">
        <v>0</v>
      </c>
      <c r="L338" t="n">
        <v>0</v>
      </c>
      <c r="M338" t="n">
        <v>0</v>
      </c>
      <c r="N338" t="n">
        <v>0</v>
      </c>
      <c r="O338" t="n">
        <v>0</v>
      </c>
      <c r="P338" t="n">
        <v>0</v>
      </c>
      <c r="Q338" t="n">
        <v>0</v>
      </c>
      <c r="R338" s="2" t="inlineStr"/>
    </row>
    <row r="339" ht="15" customHeight="1">
      <c r="A339" t="inlineStr">
        <is>
          <t>A 42786-2019</t>
        </is>
      </c>
      <c r="B339" s="1" t="n">
        <v>43704</v>
      </c>
      <c r="C339" s="1" t="n">
        <v>45703</v>
      </c>
      <c r="D339" t="inlineStr">
        <is>
          <t>JÄMTLANDS LÄN</t>
        </is>
      </c>
      <c r="E339" t="inlineStr">
        <is>
          <t>RAGUNDA</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42788-2019</t>
        </is>
      </c>
      <c r="B340" s="1" t="n">
        <v>43704</v>
      </c>
      <c r="C340" s="1" t="n">
        <v>45703</v>
      </c>
      <c r="D340" t="inlineStr">
        <is>
          <t>JÄMTLANDS LÄN</t>
        </is>
      </c>
      <c r="E340" t="inlineStr">
        <is>
          <t>RAGUNDA</t>
        </is>
      </c>
      <c r="F340" t="inlineStr">
        <is>
          <t>SCA</t>
        </is>
      </c>
      <c r="G340" t="n">
        <v>20.3</v>
      </c>
      <c r="H340" t="n">
        <v>0</v>
      </c>
      <c r="I340" t="n">
        <v>0</v>
      </c>
      <c r="J340" t="n">
        <v>0</v>
      </c>
      <c r="K340" t="n">
        <v>0</v>
      </c>
      <c r="L340" t="n">
        <v>0</v>
      </c>
      <c r="M340" t="n">
        <v>0</v>
      </c>
      <c r="N340" t="n">
        <v>0</v>
      </c>
      <c r="O340" t="n">
        <v>0</v>
      </c>
      <c r="P340" t="n">
        <v>0</v>
      </c>
      <c r="Q340" t="n">
        <v>0</v>
      </c>
      <c r="R340" s="2" t="inlineStr"/>
    </row>
    <row r="341" ht="15" customHeight="1">
      <c r="A341" t="inlineStr">
        <is>
          <t>A 42785-2019</t>
        </is>
      </c>
      <c r="B341" s="1" t="n">
        <v>43704</v>
      </c>
      <c r="C341" s="1" t="n">
        <v>45703</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43412-2019</t>
        </is>
      </c>
      <c r="B342" s="1" t="n">
        <v>43706</v>
      </c>
      <c r="C342" s="1" t="n">
        <v>45703</v>
      </c>
      <c r="D342" t="inlineStr">
        <is>
          <t>JÄMTLANDS LÄN</t>
        </is>
      </c>
      <c r="E342" t="inlineStr">
        <is>
          <t>RAGUNDA</t>
        </is>
      </c>
      <c r="G342" t="n">
        <v>1.4</v>
      </c>
      <c r="H342" t="n">
        <v>0</v>
      </c>
      <c r="I342" t="n">
        <v>0</v>
      </c>
      <c r="J342" t="n">
        <v>0</v>
      </c>
      <c r="K342" t="n">
        <v>0</v>
      </c>
      <c r="L342" t="n">
        <v>0</v>
      </c>
      <c r="M342" t="n">
        <v>0</v>
      </c>
      <c r="N342" t="n">
        <v>0</v>
      </c>
      <c r="O342" t="n">
        <v>0</v>
      </c>
      <c r="P342" t="n">
        <v>0</v>
      </c>
      <c r="Q342" t="n">
        <v>0</v>
      </c>
      <c r="R342" s="2" t="inlineStr"/>
    </row>
    <row r="343" ht="15" customHeight="1">
      <c r="A343" t="inlineStr">
        <is>
          <t>A 45075-2019</t>
        </is>
      </c>
      <c r="B343" s="1" t="n">
        <v>43713</v>
      </c>
      <c r="C343" s="1" t="n">
        <v>45703</v>
      </c>
      <c r="D343" t="inlineStr">
        <is>
          <t>JÄMTLANDS LÄN</t>
        </is>
      </c>
      <c r="E343" t="inlineStr">
        <is>
          <t>RAGUNDA</t>
        </is>
      </c>
      <c r="G343" t="n">
        <v>1</v>
      </c>
      <c r="H343" t="n">
        <v>0</v>
      </c>
      <c r="I343" t="n">
        <v>0</v>
      </c>
      <c r="J343" t="n">
        <v>0</v>
      </c>
      <c r="K343" t="n">
        <v>0</v>
      </c>
      <c r="L343" t="n">
        <v>0</v>
      </c>
      <c r="M343" t="n">
        <v>0</v>
      </c>
      <c r="N343" t="n">
        <v>0</v>
      </c>
      <c r="O343" t="n">
        <v>0</v>
      </c>
      <c r="P343" t="n">
        <v>0</v>
      </c>
      <c r="Q343" t="n">
        <v>0</v>
      </c>
      <c r="R343" s="2" t="inlineStr"/>
    </row>
    <row r="344" ht="15" customHeight="1">
      <c r="A344" t="inlineStr">
        <is>
          <t>A 45061-2019</t>
        </is>
      </c>
      <c r="B344" s="1" t="n">
        <v>43713</v>
      </c>
      <c r="C344" s="1" t="n">
        <v>45703</v>
      </c>
      <c r="D344" t="inlineStr">
        <is>
          <t>JÄMTLANDS LÄN</t>
        </is>
      </c>
      <c r="E344" t="inlineStr">
        <is>
          <t>RAGUNDA</t>
        </is>
      </c>
      <c r="G344" t="n">
        <v>3.3</v>
      </c>
      <c r="H344" t="n">
        <v>0</v>
      </c>
      <c r="I344" t="n">
        <v>0</v>
      </c>
      <c r="J344" t="n">
        <v>0</v>
      </c>
      <c r="K344" t="n">
        <v>0</v>
      </c>
      <c r="L344" t="n">
        <v>0</v>
      </c>
      <c r="M344" t="n">
        <v>0</v>
      </c>
      <c r="N344" t="n">
        <v>0</v>
      </c>
      <c r="O344" t="n">
        <v>0</v>
      </c>
      <c r="P344" t="n">
        <v>0</v>
      </c>
      <c r="Q344" t="n">
        <v>0</v>
      </c>
      <c r="R344" s="2" t="inlineStr"/>
    </row>
    <row r="345" ht="15" customHeight="1">
      <c r="A345" t="inlineStr">
        <is>
          <t>A 48961-2019</t>
        </is>
      </c>
      <c r="B345" s="1" t="n">
        <v>43728</v>
      </c>
      <c r="C345" s="1" t="n">
        <v>45703</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49875-2019</t>
        </is>
      </c>
      <c r="B346" s="1" t="n">
        <v>43733</v>
      </c>
      <c r="C346" s="1" t="n">
        <v>45703</v>
      </c>
      <c r="D346" t="inlineStr">
        <is>
          <t>JÄMTLANDS LÄN</t>
        </is>
      </c>
      <c r="E346" t="inlineStr">
        <is>
          <t>RAGUNDA</t>
        </is>
      </c>
      <c r="G346" t="n">
        <v>1.3</v>
      </c>
      <c r="H346" t="n">
        <v>0</v>
      </c>
      <c r="I346" t="n">
        <v>0</v>
      </c>
      <c r="J346" t="n">
        <v>0</v>
      </c>
      <c r="K346" t="n">
        <v>0</v>
      </c>
      <c r="L346" t="n">
        <v>0</v>
      </c>
      <c r="M346" t="n">
        <v>0</v>
      </c>
      <c r="N346" t="n">
        <v>0</v>
      </c>
      <c r="O346" t="n">
        <v>0</v>
      </c>
      <c r="P346" t="n">
        <v>0</v>
      </c>
      <c r="Q346" t="n">
        <v>0</v>
      </c>
      <c r="R346" s="2" t="inlineStr"/>
    </row>
    <row r="347" ht="15" customHeight="1">
      <c r="A347" t="inlineStr">
        <is>
          <t>A 49945-2019</t>
        </is>
      </c>
      <c r="B347" s="1" t="n">
        <v>43733</v>
      </c>
      <c r="C347" s="1" t="n">
        <v>45703</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52098-2019</t>
        </is>
      </c>
      <c r="B348" s="1" t="n">
        <v>43735</v>
      </c>
      <c r="C348" s="1" t="n">
        <v>45703</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51661-2019</t>
        </is>
      </c>
      <c r="B349" s="1" t="n">
        <v>43740</v>
      </c>
      <c r="C349" s="1" t="n">
        <v>45703</v>
      </c>
      <c r="D349" t="inlineStr">
        <is>
          <t>JÄMTLANDS LÄN</t>
        </is>
      </c>
      <c r="E349" t="inlineStr">
        <is>
          <t>RAGUNDA</t>
        </is>
      </c>
      <c r="G349" t="n">
        <v>1.4</v>
      </c>
      <c r="H349" t="n">
        <v>0</v>
      </c>
      <c r="I349" t="n">
        <v>0</v>
      </c>
      <c r="J349" t="n">
        <v>0</v>
      </c>
      <c r="K349" t="n">
        <v>0</v>
      </c>
      <c r="L349" t="n">
        <v>0</v>
      </c>
      <c r="M349" t="n">
        <v>0</v>
      </c>
      <c r="N349" t="n">
        <v>0</v>
      </c>
      <c r="O349" t="n">
        <v>0</v>
      </c>
      <c r="P349" t="n">
        <v>0</v>
      </c>
      <c r="Q349" t="n">
        <v>0</v>
      </c>
      <c r="R349" s="2" t="inlineStr"/>
    </row>
    <row r="350" ht="15" customHeight="1">
      <c r="A350" t="inlineStr">
        <is>
          <t>A 53849-2019</t>
        </is>
      </c>
      <c r="B350" s="1" t="n">
        <v>43742</v>
      </c>
      <c r="C350" s="1" t="n">
        <v>45703</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52728-2019</t>
        </is>
      </c>
      <c r="B351" s="1" t="n">
        <v>43746</v>
      </c>
      <c r="C351" s="1" t="n">
        <v>45703</v>
      </c>
      <c r="D351" t="inlineStr">
        <is>
          <t>JÄMTLANDS LÄN</t>
        </is>
      </c>
      <c r="E351" t="inlineStr">
        <is>
          <t>RAGUNDA</t>
        </is>
      </c>
      <c r="G351" t="n">
        <v>1.6</v>
      </c>
      <c r="H351" t="n">
        <v>0</v>
      </c>
      <c r="I351" t="n">
        <v>0</v>
      </c>
      <c r="J351" t="n">
        <v>0</v>
      </c>
      <c r="K351" t="n">
        <v>0</v>
      </c>
      <c r="L351" t="n">
        <v>0</v>
      </c>
      <c r="M351" t="n">
        <v>0</v>
      </c>
      <c r="N351" t="n">
        <v>0</v>
      </c>
      <c r="O351" t="n">
        <v>0</v>
      </c>
      <c r="P351" t="n">
        <v>0</v>
      </c>
      <c r="Q351" t="n">
        <v>0</v>
      </c>
      <c r="R351" s="2" t="inlineStr"/>
    </row>
    <row r="352" ht="15" customHeight="1">
      <c r="A352" t="inlineStr">
        <is>
          <t>A 55353-2019</t>
        </is>
      </c>
      <c r="B352" s="1" t="n">
        <v>43756</v>
      </c>
      <c r="C352" s="1" t="n">
        <v>45703</v>
      </c>
      <c r="D352" t="inlineStr">
        <is>
          <t>JÄMTLANDS LÄN</t>
        </is>
      </c>
      <c r="E352" t="inlineStr">
        <is>
          <t>RAGUNDA</t>
        </is>
      </c>
      <c r="G352" t="n">
        <v>2.1</v>
      </c>
      <c r="H352" t="n">
        <v>0</v>
      </c>
      <c r="I352" t="n">
        <v>0</v>
      </c>
      <c r="J352" t="n">
        <v>0</v>
      </c>
      <c r="K352" t="n">
        <v>0</v>
      </c>
      <c r="L352" t="n">
        <v>0</v>
      </c>
      <c r="M352" t="n">
        <v>0</v>
      </c>
      <c r="N352" t="n">
        <v>0</v>
      </c>
      <c r="O352" t="n">
        <v>0</v>
      </c>
      <c r="P352" t="n">
        <v>0</v>
      </c>
      <c r="Q352" t="n">
        <v>0</v>
      </c>
      <c r="R352" s="2" t="inlineStr"/>
    </row>
    <row r="353" ht="15" customHeight="1">
      <c r="A353" t="inlineStr">
        <is>
          <t>A 55875-2019</t>
        </is>
      </c>
      <c r="B353" s="1" t="n">
        <v>43759</v>
      </c>
      <c r="C353" s="1" t="n">
        <v>45703</v>
      </c>
      <c r="D353" t="inlineStr">
        <is>
          <t>JÄMTLANDS LÄN</t>
        </is>
      </c>
      <c r="E353" t="inlineStr">
        <is>
          <t>RAGUNDA</t>
        </is>
      </c>
      <c r="G353" t="n">
        <v>2.8</v>
      </c>
      <c r="H353" t="n">
        <v>0</v>
      </c>
      <c r="I353" t="n">
        <v>0</v>
      </c>
      <c r="J353" t="n">
        <v>0</v>
      </c>
      <c r="K353" t="n">
        <v>0</v>
      </c>
      <c r="L353" t="n">
        <v>0</v>
      </c>
      <c r="M353" t="n">
        <v>0</v>
      </c>
      <c r="N353" t="n">
        <v>0</v>
      </c>
      <c r="O353" t="n">
        <v>0</v>
      </c>
      <c r="P353" t="n">
        <v>0</v>
      </c>
      <c r="Q353" t="n">
        <v>0</v>
      </c>
      <c r="R353" s="2" t="inlineStr"/>
    </row>
    <row r="354" ht="15" customHeight="1">
      <c r="A354" t="inlineStr">
        <is>
          <t>A 55653-2019</t>
        </is>
      </c>
      <c r="B354" s="1" t="n">
        <v>43760</v>
      </c>
      <c r="C354" s="1" t="n">
        <v>45703</v>
      </c>
      <c r="D354" t="inlineStr">
        <is>
          <t>JÄMTLANDS LÄN</t>
        </is>
      </c>
      <c r="E354" t="inlineStr">
        <is>
          <t>RAGUNDA</t>
        </is>
      </c>
      <c r="G354" t="n">
        <v>4.2</v>
      </c>
      <c r="H354" t="n">
        <v>0</v>
      </c>
      <c r="I354" t="n">
        <v>0</v>
      </c>
      <c r="J354" t="n">
        <v>0</v>
      </c>
      <c r="K354" t="n">
        <v>0</v>
      </c>
      <c r="L354" t="n">
        <v>0</v>
      </c>
      <c r="M354" t="n">
        <v>0</v>
      </c>
      <c r="N354" t="n">
        <v>0</v>
      </c>
      <c r="O354" t="n">
        <v>0</v>
      </c>
      <c r="P354" t="n">
        <v>0</v>
      </c>
      <c r="Q354" t="n">
        <v>0</v>
      </c>
      <c r="R354" s="2" t="inlineStr"/>
    </row>
    <row r="355" ht="15" customHeight="1">
      <c r="A355" t="inlineStr">
        <is>
          <t>A 57860-2019</t>
        </is>
      </c>
      <c r="B355" s="1" t="n">
        <v>43768</v>
      </c>
      <c r="C355" s="1" t="n">
        <v>45703</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57783-2019</t>
        </is>
      </c>
      <c r="B356" s="1" t="n">
        <v>43768</v>
      </c>
      <c r="C356" s="1" t="n">
        <v>45703</v>
      </c>
      <c r="D356" t="inlineStr">
        <is>
          <t>JÄMTLANDS LÄN</t>
        </is>
      </c>
      <c r="E356" t="inlineStr">
        <is>
          <t>RAGUNDA</t>
        </is>
      </c>
      <c r="G356" t="n">
        <v>2.9</v>
      </c>
      <c r="H356" t="n">
        <v>0</v>
      </c>
      <c r="I356" t="n">
        <v>0</v>
      </c>
      <c r="J356" t="n">
        <v>0</v>
      </c>
      <c r="K356" t="n">
        <v>0</v>
      </c>
      <c r="L356" t="n">
        <v>0</v>
      </c>
      <c r="M356" t="n">
        <v>0</v>
      </c>
      <c r="N356" t="n">
        <v>0</v>
      </c>
      <c r="O356" t="n">
        <v>0</v>
      </c>
      <c r="P356" t="n">
        <v>0</v>
      </c>
      <c r="Q356" t="n">
        <v>0</v>
      </c>
      <c r="R356" s="2" t="inlineStr"/>
    </row>
    <row r="357" ht="15" customHeight="1">
      <c r="A357" t="inlineStr">
        <is>
          <t>A 58348-2019</t>
        </is>
      </c>
      <c r="B357" s="1" t="n">
        <v>43770</v>
      </c>
      <c r="C357" s="1" t="n">
        <v>45703</v>
      </c>
      <c r="D357" t="inlineStr">
        <is>
          <t>JÄMTLANDS LÄN</t>
        </is>
      </c>
      <c r="E357" t="inlineStr">
        <is>
          <t>RAGUNDA</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58355-2019</t>
        </is>
      </c>
      <c r="B358" s="1" t="n">
        <v>43770</v>
      </c>
      <c r="C358" s="1" t="n">
        <v>45703</v>
      </c>
      <c r="D358" t="inlineStr">
        <is>
          <t>JÄMTLANDS LÄN</t>
        </is>
      </c>
      <c r="E358" t="inlineStr">
        <is>
          <t>RAGUNDA</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59484-2019</t>
        </is>
      </c>
      <c r="B359" s="1" t="n">
        <v>43773</v>
      </c>
      <c r="C359" s="1" t="n">
        <v>45703</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58795-2019</t>
        </is>
      </c>
      <c r="B360" s="1" t="n">
        <v>43773</v>
      </c>
      <c r="C360" s="1" t="n">
        <v>45703</v>
      </c>
      <c r="D360" t="inlineStr">
        <is>
          <t>JÄMTLANDS LÄN</t>
        </is>
      </c>
      <c r="E360" t="inlineStr">
        <is>
          <t>RAGUNDA</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59501-2019</t>
        </is>
      </c>
      <c r="B361" s="1" t="n">
        <v>43773</v>
      </c>
      <c r="C361" s="1" t="n">
        <v>45703</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59194-2019</t>
        </is>
      </c>
      <c r="B362" s="1" t="n">
        <v>43775</v>
      </c>
      <c r="C362" s="1" t="n">
        <v>45703</v>
      </c>
      <c r="D362" t="inlineStr">
        <is>
          <t>JÄMTLANDS LÄN</t>
        </is>
      </c>
      <c r="E362" t="inlineStr">
        <is>
          <t>RAGUNDA</t>
        </is>
      </c>
      <c r="G362" t="n">
        <v>2.7</v>
      </c>
      <c r="H362" t="n">
        <v>0</v>
      </c>
      <c r="I362" t="n">
        <v>0</v>
      </c>
      <c r="J362" t="n">
        <v>0</v>
      </c>
      <c r="K362" t="n">
        <v>0</v>
      </c>
      <c r="L362" t="n">
        <v>0</v>
      </c>
      <c r="M362" t="n">
        <v>0</v>
      </c>
      <c r="N362" t="n">
        <v>0</v>
      </c>
      <c r="O362" t="n">
        <v>0</v>
      </c>
      <c r="P362" t="n">
        <v>0</v>
      </c>
      <c r="Q362" t="n">
        <v>0</v>
      </c>
      <c r="R362" s="2" t="inlineStr"/>
    </row>
    <row r="363" ht="15" customHeight="1">
      <c r="A363" t="inlineStr">
        <is>
          <t>A 60119-2019</t>
        </is>
      </c>
      <c r="B363" s="1" t="n">
        <v>43777</v>
      </c>
      <c r="C363" s="1" t="n">
        <v>45703</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62340-2019</t>
        </is>
      </c>
      <c r="B364" s="1" t="n">
        <v>43782</v>
      </c>
      <c r="C364" s="1" t="n">
        <v>45703</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61514-2019</t>
        </is>
      </c>
      <c r="B365" s="1" t="n">
        <v>43783</v>
      </c>
      <c r="C365" s="1" t="n">
        <v>45703</v>
      </c>
      <c r="D365" t="inlineStr">
        <is>
          <t>JÄMTLANDS LÄN</t>
        </is>
      </c>
      <c r="E365" t="inlineStr">
        <is>
          <t>RAGUNDA</t>
        </is>
      </c>
      <c r="G365" t="n">
        <v>2.3</v>
      </c>
      <c r="H365" t="n">
        <v>0</v>
      </c>
      <c r="I365" t="n">
        <v>0</v>
      </c>
      <c r="J365" t="n">
        <v>0</v>
      </c>
      <c r="K365" t="n">
        <v>0</v>
      </c>
      <c r="L365" t="n">
        <v>0</v>
      </c>
      <c r="M365" t="n">
        <v>0</v>
      </c>
      <c r="N365" t="n">
        <v>0</v>
      </c>
      <c r="O365" t="n">
        <v>0</v>
      </c>
      <c r="P365" t="n">
        <v>0</v>
      </c>
      <c r="Q365" t="n">
        <v>0</v>
      </c>
      <c r="R365" s="2" t="inlineStr"/>
    </row>
    <row r="366" ht="15" customHeight="1">
      <c r="A366" t="inlineStr">
        <is>
          <t>A 62129-2019</t>
        </is>
      </c>
      <c r="B366" s="1" t="n">
        <v>43787</v>
      </c>
      <c r="C366" s="1" t="n">
        <v>45703</v>
      </c>
      <c r="D366" t="inlineStr">
        <is>
          <t>JÄMTLANDS LÄN</t>
        </is>
      </c>
      <c r="E366" t="inlineStr">
        <is>
          <t>RAGUNDA</t>
        </is>
      </c>
      <c r="G366" t="n">
        <v>1.1</v>
      </c>
      <c r="H366" t="n">
        <v>0</v>
      </c>
      <c r="I366" t="n">
        <v>0</v>
      </c>
      <c r="J366" t="n">
        <v>0</v>
      </c>
      <c r="K366" t="n">
        <v>0</v>
      </c>
      <c r="L366" t="n">
        <v>0</v>
      </c>
      <c r="M366" t="n">
        <v>0</v>
      </c>
      <c r="N366" t="n">
        <v>0</v>
      </c>
      <c r="O366" t="n">
        <v>0</v>
      </c>
      <c r="P366" t="n">
        <v>0</v>
      </c>
      <c r="Q366" t="n">
        <v>0</v>
      </c>
      <c r="R366" s="2" t="inlineStr"/>
    </row>
    <row r="367" ht="15" customHeight="1">
      <c r="A367" t="inlineStr">
        <is>
          <t>A 62484-2019</t>
        </is>
      </c>
      <c r="B367" s="1" t="n">
        <v>43788</v>
      </c>
      <c r="C367" s="1" t="n">
        <v>45703</v>
      </c>
      <c r="D367" t="inlineStr">
        <is>
          <t>JÄMTLANDS LÄN</t>
        </is>
      </c>
      <c r="E367" t="inlineStr">
        <is>
          <t>RAGUNDA</t>
        </is>
      </c>
      <c r="G367" t="n">
        <v>11.9</v>
      </c>
      <c r="H367" t="n">
        <v>0</v>
      </c>
      <c r="I367" t="n">
        <v>0</v>
      </c>
      <c r="J367" t="n">
        <v>0</v>
      </c>
      <c r="K367" t="n">
        <v>0</v>
      </c>
      <c r="L367" t="n">
        <v>0</v>
      </c>
      <c r="M367" t="n">
        <v>0</v>
      </c>
      <c r="N367" t="n">
        <v>0</v>
      </c>
      <c r="O367" t="n">
        <v>0</v>
      </c>
      <c r="P367" t="n">
        <v>0</v>
      </c>
      <c r="Q367" t="n">
        <v>0</v>
      </c>
      <c r="R367" s="2" t="inlineStr"/>
      <c r="U367">
        <f>HYPERLINK("https://klasma.github.io/Logging_2303/knärot/A 62484-2019 karta knärot.png", "A 62484-2019")</f>
        <v/>
      </c>
      <c r="V367">
        <f>HYPERLINK("https://klasma.github.io/Logging_2303/klagomål/A 62484-2019 FSC-klagomål.docx", "A 62484-2019")</f>
        <v/>
      </c>
      <c r="W367">
        <f>HYPERLINK("https://klasma.github.io/Logging_2303/klagomålsmail/A 62484-2019 FSC-klagomål mail.docx", "A 62484-2019")</f>
        <v/>
      </c>
      <c r="X367">
        <f>HYPERLINK("https://klasma.github.io/Logging_2303/tillsyn/A 62484-2019 tillsynsbegäran.docx", "A 62484-2019")</f>
        <v/>
      </c>
      <c r="Y367">
        <f>HYPERLINK("https://klasma.github.io/Logging_2303/tillsynsmail/A 62484-2019 tillsynsbegäran mail.docx", "A 62484-2019")</f>
        <v/>
      </c>
    </row>
    <row r="368" ht="15" customHeight="1">
      <c r="A368" t="inlineStr">
        <is>
          <t>A 64097-2019</t>
        </is>
      </c>
      <c r="B368" s="1" t="n">
        <v>43791</v>
      </c>
      <c r="C368" s="1" t="n">
        <v>45703</v>
      </c>
      <c r="D368" t="inlineStr">
        <is>
          <t>JÄMTLANDS LÄN</t>
        </is>
      </c>
      <c r="E368" t="inlineStr">
        <is>
          <t>RAGUNDA</t>
        </is>
      </c>
      <c r="G368" t="n">
        <v>1.3</v>
      </c>
      <c r="H368" t="n">
        <v>0</v>
      </c>
      <c r="I368" t="n">
        <v>0</v>
      </c>
      <c r="J368" t="n">
        <v>0</v>
      </c>
      <c r="K368" t="n">
        <v>0</v>
      </c>
      <c r="L368" t="n">
        <v>0</v>
      </c>
      <c r="M368" t="n">
        <v>0</v>
      </c>
      <c r="N368" t="n">
        <v>0</v>
      </c>
      <c r="O368" t="n">
        <v>0</v>
      </c>
      <c r="P368" t="n">
        <v>0</v>
      </c>
      <c r="Q368" t="n">
        <v>0</v>
      </c>
      <c r="R368" s="2" t="inlineStr"/>
    </row>
    <row r="369" ht="15" customHeight="1">
      <c r="A369" t="inlineStr">
        <is>
          <t>A 63841-2019</t>
        </is>
      </c>
      <c r="B369" s="1" t="n">
        <v>43795</v>
      </c>
      <c r="C369" s="1" t="n">
        <v>45703</v>
      </c>
      <c r="D369" t="inlineStr">
        <is>
          <t>JÄMTLANDS LÄN</t>
        </is>
      </c>
      <c r="E369" t="inlineStr">
        <is>
          <t>RAGUNDA</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64316-2019</t>
        </is>
      </c>
      <c r="B370" s="1" t="n">
        <v>43797</v>
      </c>
      <c r="C370" s="1" t="n">
        <v>45703</v>
      </c>
      <c r="D370" t="inlineStr">
        <is>
          <t>JÄMTLANDS LÄN</t>
        </is>
      </c>
      <c r="E370" t="inlineStr">
        <is>
          <t>RAGUNDA</t>
        </is>
      </c>
      <c r="G370" t="n">
        <v>1.7</v>
      </c>
      <c r="H370" t="n">
        <v>0</v>
      </c>
      <c r="I370" t="n">
        <v>0</v>
      </c>
      <c r="J370" t="n">
        <v>0</v>
      </c>
      <c r="K370" t="n">
        <v>0</v>
      </c>
      <c r="L370" t="n">
        <v>0</v>
      </c>
      <c r="M370" t="n">
        <v>0</v>
      </c>
      <c r="N370" t="n">
        <v>0</v>
      </c>
      <c r="O370" t="n">
        <v>0</v>
      </c>
      <c r="P370" t="n">
        <v>0</v>
      </c>
      <c r="Q370" t="n">
        <v>0</v>
      </c>
      <c r="R370" s="2" t="inlineStr"/>
    </row>
    <row r="371" ht="15" customHeight="1">
      <c r="A371" t="inlineStr">
        <is>
          <t>A 64432-2019</t>
        </is>
      </c>
      <c r="B371" s="1" t="n">
        <v>43797</v>
      </c>
      <c r="C371" s="1" t="n">
        <v>45703</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66475-2019</t>
        </is>
      </c>
      <c r="B372" s="1" t="n">
        <v>43803</v>
      </c>
      <c r="C372" s="1" t="n">
        <v>45703</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67122-2019</t>
        </is>
      </c>
      <c r="B373" s="1" t="n">
        <v>43805</v>
      </c>
      <c r="C373" s="1" t="n">
        <v>45703</v>
      </c>
      <c r="D373" t="inlineStr">
        <is>
          <t>JÄMTLANDS LÄN</t>
        </is>
      </c>
      <c r="E373" t="inlineStr">
        <is>
          <t>RAGUNDA</t>
        </is>
      </c>
      <c r="G373" t="n">
        <v>0.2</v>
      </c>
      <c r="H373" t="n">
        <v>0</v>
      </c>
      <c r="I373" t="n">
        <v>0</v>
      </c>
      <c r="J373" t="n">
        <v>0</v>
      </c>
      <c r="K373" t="n">
        <v>0</v>
      </c>
      <c r="L373" t="n">
        <v>0</v>
      </c>
      <c r="M373" t="n">
        <v>0</v>
      </c>
      <c r="N373" t="n">
        <v>0</v>
      </c>
      <c r="O373" t="n">
        <v>0</v>
      </c>
      <c r="P373" t="n">
        <v>0</v>
      </c>
      <c r="Q373" t="n">
        <v>0</v>
      </c>
      <c r="R373" s="2" t="inlineStr"/>
    </row>
    <row r="374" ht="15" customHeight="1">
      <c r="A374" t="inlineStr">
        <is>
          <t>A 67285-2019</t>
        </is>
      </c>
      <c r="B374" s="1" t="n">
        <v>43812</v>
      </c>
      <c r="C374" s="1" t="n">
        <v>45703</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68600-2019</t>
        </is>
      </c>
      <c r="B375" s="1" t="n">
        <v>43818</v>
      </c>
      <c r="C375" s="1" t="n">
        <v>45703</v>
      </c>
      <c r="D375" t="inlineStr">
        <is>
          <t>JÄMTLANDS LÄN</t>
        </is>
      </c>
      <c r="E375" t="inlineStr">
        <is>
          <t>RAGUNDA</t>
        </is>
      </c>
      <c r="G375" t="n">
        <v>0.2</v>
      </c>
      <c r="H375" t="n">
        <v>0</v>
      </c>
      <c r="I375" t="n">
        <v>0</v>
      </c>
      <c r="J375" t="n">
        <v>0</v>
      </c>
      <c r="K375" t="n">
        <v>0</v>
      </c>
      <c r="L375" t="n">
        <v>0</v>
      </c>
      <c r="M375" t="n">
        <v>0</v>
      </c>
      <c r="N375" t="n">
        <v>0</v>
      </c>
      <c r="O375" t="n">
        <v>0</v>
      </c>
      <c r="P375" t="n">
        <v>0</v>
      </c>
      <c r="Q375" t="n">
        <v>0</v>
      </c>
      <c r="R375" s="2" t="inlineStr"/>
    </row>
    <row r="376" ht="15" customHeight="1">
      <c r="A376" t="inlineStr">
        <is>
          <t>A 68601-2019</t>
        </is>
      </c>
      <c r="B376" s="1" t="n">
        <v>43818</v>
      </c>
      <c r="C376" s="1" t="n">
        <v>45703</v>
      </c>
      <c r="D376" t="inlineStr">
        <is>
          <t>JÄMTLANDS LÄN</t>
        </is>
      </c>
      <c r="E376" t="inlineStr">
        <is>
          <t>RAGUNDA</t>
        </is>
      </c>
      <c r="G376" t="n">
        <v>1.9</v>
      </c>
      <c r="H376" t="n">
        <v>0</v>
      </c>
      <c r="I376" t="n">
        <v>0</v>
      </c>
      <c r="J376" t="n">
        <v>0</v>
      </c>
      <c r="K376" t="n">
        <v>0</v>
      </c>
      <c r="L376" t="n">
        <v>0</v>
      </c>
      <c r="M376" t="n">
        <v>0</v>
      </c>
      <c r="N376" t="n">
        <v>0</v>
      </c>
      <c r="O376" t="n">
        <v>0</v>
      </c>
      <c r="P376" t="n">
        <v>0</v>
      </c>
      <c r="Q376" t="n">
        <v>0</v>
      </c>
      <c r="R376" s="2" t="inlineStr"/>
    </row>
    <row r="377" ht="15" customHeight="1">
      <c r="A377" t="inlineStr">
        <is>
          <t>A 68840-2019</t>
        </is>
      </c>
      <c r="B377" s="1" t="n">
        <v>43819</v>
      </c>
      <c r="C377" s="1" t="n">
        <v>45703</v>
      </c>
      <c r="D377" t="inlineStr">
        <is>
          <t>JÄMTLANDS LÄN</t>
        </is>
      </c>
      <c r="E377" t="inlineStr">
        <is>
          <t>RAGUNDA</t>
        </is>
      </c>
      <c r="G377" t="n">
        <v>2.2</v>
      </c>
      <c r="H377" t="n">
        <v>0</v>
      </c>
      <c r="I377" t="n">
        <v>0</v>
      </c>
      <c r="J377" t="n">
        <v>0</v>
      </c>
      <c r="K377" t="n">
        <v>0</v>
      </c>
      <c r="L377" t="n">
        <v>0</v>
      </c>
      <c r="M377" t="n">
        <v>0</v>
      </c>
      <c r="N377" t="n">
        <v>0</v>
      </c>
      <c r="O377" t="n">
        <v>0</v>
      </c>
      <c r="P377" t="n">
        <v>0</v>
      </c>
      <c r="Q377" t="n">
        <v>0</v>
      </c>
      <c r="R377" s="2" t="inlineStr"/>
    </row>
    <row r="378" ht="15" customHeight="1">
      <c r="A378" t="inlineStr">
        <is>
          <t>A 1784-2020</t>
        </is>
      </c>
      <c r="B378" s="1" t="n">
        <v>43833</v>
      </c>
      <c r="C378" s="1" t="n">
        <v>45703</v>
      </c>
      <c r="D378" t="inlineStr">
        <is>
          <t>JÄMTLANDS LÄN</t>
        </is>
      </c>
      <c r="E378" t="inlineStr">
        <is>
          <t>RAGUNDA</t>
        </is>
      </c>
      <c r="G378" t="n">
        <v>15.5</v>
      </c>
      <c r="H378" t="n">
        <v>0</v>
      </c>
      <c r="I378" t="n">
        <v>0</v>
      </c>
      <c r="J378" t="n">
        <v>0</v>
      </c>
      <c r="K378" t="n">
        <v>0</v>
      </c>
      <c r="L378" t="n">
        <v>0</v>
      </c>
      <c r="M378" t="n">
        <v>0</v>
      </c>
      <c r="N378" t="n">
        <v>0</v>
      </c>
      <c r="O378" t="n">
        <v>0</v>
      </c>
      <c r="P378" t="n">
        <v>0</v>
      </c>
      <c r="Q378" t="n">
        <v>0</v>
      </c>
      <c r="R378" s="2" t="inlineStr"/>
    </row>
    <row r="379" ht="15" customHeight="1">
      <c r="A379" t="inlineStr">
        <is>
          <t>A 2636-2020</t>
        </is>
      </c>
      <c r="B379" s="1" t="n">
        <v>43847</v>
      </c>
      <c r="C379" s="1" t="n">
        <v>45703</v>
      </c>
      <c r="D379" t="inlineStr">
        <is>
          <t>JÄMTLANDS LÄN</t>
        </is>
      </c>
      <c r="E379" t="inlineStr">
        <is>
          <t>RAGUNDA</t>
        </is>
      </c>
      <c r="G379" t="n">
        <v>2.9</v>
      </c>
      <c r="H379" t="n">
        <v>0</v>
      </c>
      <c r="I379" t="n">
        <v>0</v>
      </c>
      <c r="J379" t="n">
        <v>0</v>
      </c>
      <c r="K379" t="n">
        <v>0</v>
      </c>
      <c r="L379" t="n">
        <v>0</v>
      </c>
      <c r="M379" t="n">
        <v>0</v>
      </c>
      <c r="N379" t="n">
        <v>0</v>
      </c>
      <c r="O379" t="n">
        <v>0</v>
      </c>
      <c r="P379" t="n">
        <v>0</v>
      </c>
      <c r="Q379" t="n">
        <v>0</v>
      </c>
      <c r="R379" s="2" t="inlineStr"/>
    </row>
    <row r="380" ht="15" customHeight="1">
      <c r="A380" t="inlineStr">
        <is>
          <t>A 2791-2020</t>
        </is>
      </c>
      <c r="B380" s="1" t="n">
        <v>43850</v>
      </c>
      <c r="C380" s="1" t="n">
        <v>45703</v>
      </c>
      <c r="D380" t="inlineStr">
        <is>
          <t>JÄMTLANDS LÄN</t>
        </is>
      </c>
      <c r="E380" t="inlineStr">
        <is>
          <t>RAGUNDA</t>
        </is>
      </c>
      <c r="G380" t="n">
        <v>1.1</v>
      </c>
      <c r="H380" t="n">
        <v>0</v>
      </c>
      <c r="I380" t="n">
        <v>0</v>
      </c>
      <c r="J380" t="n">
        <v>0</v>
      </c>
      <c r="K380" t="n">
        <v>0</v>
      </c>
      <c r="L380" t="n">
        <v>0</v>
      </c>
      <c r="M380" t="n">
        <v>0</v>
      </c>
      <c r="N380" t="n">
        <v>0</v>
      </c>
      <c r="O380" t="n">
        <v>0</v>
      </c>
      <c r="P380" t="n">
        <v>0</v>
      </c>
      <c r="Q380" t="n">
        <v>0</v>
      </c>
      <c r="R380" s="2" t="inlineStr"/>
    </row>
    <row r="381" ht="15" customHeight="1">
      <c r="A381" t="inlineStr">
        <is>
          <t>A 6051-2020</t>
        </is>
      </c>
      <c r="B381" s="1" t="n">
        <v>43861</v>
      </c>
      <c r="C381" s="1" t="n">
        <v>45703</v>
      </c>
      <c r="D381" t="inlineStr">
        <is>
          <t>JÄMTLANDS LÄN</t>
        </is>
      </c>
      <c r="E381" t="inlineStr">
        <is>
          <t>RAGUNDA</t>
        </is>
      </c>
      <c r="G381" t="n">
        <v>3.4</v>
      </c>
      <c r="H381" t="n">
        <v>0</v>
      </c>
      <c r="I381" t="n">
        <v>0</v>
      </c>
      <c r="J381" t="n">
        <v>0</v>
      </c>
      <c r="K381" t="n">
        <v>0</v>
      </c>
      <c r="L381" t="n">
        <v>0</v>
      </c>
      <c r="M381" t="n">
        <v>0</v>
      </c>
      <c r="N381" t="n">
        <v>0</v>
      </c>
      <c r="O381" t="n">
        <v>0</v>
      </c>
      <c r="P381" t="n">
        <v>0</v>
      </c>
      <c r="Q381" t="n">
        <v>0</v>
      </c>
      <c r="R381" s="2" t="inlineStr"/>
    </row>
    <row r="382" ht="15" customHeight="1">
      <c r="A382" t="inlineStr">
        <is>
          <t>A 7071-2020</t>
        </is>
      </c>
      <c r="B382" s="1" t="n">
        <v>43868</v>
      </c>
      <c r="C382" s="1" t="n">
        <v>45703</v>
      </c>
      <c r="D382" t="inlineStr">
        <is>
          <t>JÄMTLANDS LÄN</t>
        </is>
      </c>
      <c r="E382" t="inlineStr">
        <is>
          <t>RAGUNDA</t>
        </is>
      </c>
      <c r="G382" t="n">
        <v>2.1</v>
      </c>
      <c r="H382" t="n">
        <v>0</v>
      </c>
      <c r="I382" t="n">
        <v>0</v>
      </c>
      <c r="J382" t="n">
        <v>0</v>
      </c>
      <c r="K382" t="n">
        <v>0</v>
      </c>
      <c r="L382" t="n">
        <v>0</v>
      </c>
      <c r="M382" t="n">
        <v>0</v>
      </c>
      <c r="N382" t="n">
        <v>0</v>
      </c>
      <c r="O382" t="n">
        <v>0</v>
      </c>
      <c r="P382" t="n">
        <v>0</v>
      </c>
      <c r="Q382" t="n">
        <v>0</v>
      </c>
      <c r="R382" s="2" t="inlineStr"/>
    </row>
    <row r="383" ht="15" customHeight="1">
      <c r="A383" t="inlineStr">
        <is>
          <t>A 7720-2020</t>
        </is>
      </c>
      <c r="B383" s="1" t="n">
        <v>43872</v>
      </c>
      <c r="C383" s="1" t="n">
        <v>45703</v>
      </c>
      <c r="D383" t="inlineStr">
        <is>
          <t>JÄMTLANDS LÄN</t>
        </is>
      </c>
      <c r="E383" t="inlineStr">
        <is>
          <t>RAGUNDA</t>
        </is>
      </c>
      <c r="G383" t="n">
        <v>1.5</v>
      </c>
      <c r="H383" t="n">
        <v>0</v>
      </c>
      <c r="I383" t="n">
        <v>0</v>
      </c>
      <c r="J383" t="n">
        <v>0</v>
      </c>
      <c r="K383" t="n">
        <v>0</v>
      </c>
      <c r="L383" t="n">
        <v>0</v>
      </c>
      <c r="M383" t="n">
        <v>0</v>
      </c>
      <c r="N383" t="n">
        <v>0</v>
      </c>
      <c r="O383" t="n">
        <v>0</v>
      </c>
      <c r="P383" t="n">
        <v>0</v>
      </c>
      <c r="Q383" t="n">
        <v>0</v>
      </c>
      <c r="R383" s="2" t="inlineStr"/>
    </row>
    <row r="384" ht="15" customHeight="1">
      <c r="A384" t="inlineStr">
        <is>
          <t>A 8040-2020</t>
        </is>
      </c>
      <c r="B384" s="1" t="n">
        <v>43873</v>
      </c>
      <c r="C384" s="1" t="n">
        <v>45703</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9527-2020</t>
        </is>
      </c>
      <c r="B385" s="1" t="n">
        <v>43880</v>
      </c>
      <c r="C385" s="1" t="n">
        <v>45703</v>
      </c>
      <c r="D385" t="inlineStr">
        <is>
          <t>JÄMTLANDS LÄN</t>
        </is>
      </c>
      <c r="E385" t="inlineStr">
        <is>
          <t>RAGUNDA</t>
        </is>
      </c>
      <c r="G385" t="n">
        <v>4.7</v>
      </c>
      <c r="H385" t="n">
        <v>0</v>
      </c>
      <c r="I385" t="n">
        <v>0</v>
      </c>
      <c r="J385" t="n">
        <v>0</v>
      </c>
      <c r="K385" t="n">
        <v>0</v>
      </c>
      <c r="L385" t="n">
        <v>0</v>
      </c>
      <c r="M385" t="n">
        <v>0</v>
      </c>
      <c r="N385" t="n">
        <v>0</v>
      </c>
      <c r="O385" t="n">
        <v>0</v>
      </c>
      <c r="P385" t="n">
        <v>0</v>
      </c>
      <c r="Q385" t="n">
        <v>0</v>
      </c>
      <c r="R385" s="2" t="inlineStr"/>
    </row>
    <row r="386" ht="15" customHeight="1">
      <c r="A386" t="inlineStr">
        <is>
          <t>A 9823-2020</t>
        </is>
      </c>
      <c r="B386" s="1" t="n">
        <v>43881</v>
      </c>
      <c r="C386" s="1" t="n">
        <v>45703</v>
      </c>
      <c r="D386" t="inlineStr">
        <is>
          <t>JÄMTLANDS LÄN</t>
        </is>
      </c>
      <c r="E386" t="inlineStr">
        <is>
          <t>RAGUNDA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9962-2020</t>
        </is>
      </c>
      <c r="B387" s="1" t="n">
        <v>43882</v>
      </c>
      <c r="C387" s="1" t="n">
        <v>45703</v>
      </c>
      <c r="D387" t="inlineStr">
        <is>
          <t>JÄMTLANDS LÄN</t>
        </is>
      </c>
      <c r="E387" t="inlineStr">
        <is>
          <t>RAGUNDA</t>
        </is>
      </c>
      <c r="G387" t="n">
        <v>1.2</v>
      </c>
      <c r="H387" t="n">
        <v>0</v>
      </c>
      <c r="I387" t="n">
        <v>0</v>
      </c>
      <c r="J387" t="n">
        <v>0</v>
      </c>
      <c r="K387" t="n">
        <v>0</v>
      </c>
      <c r="L387" t="n">
        <v>0</v>
      </c>
      <c r="M387" t="n">
        <v>0</v>
      </c>
      <c r="N387" t="n">
        <v>0</v>
      </c>
      <c r="O387" t="n">
        <v>0</v>
      </c>
      <c r="P387" t="n">
        <v>0</v>
      </c>
      <c r="Q387" t="n">
        <v>0</v>
      </c>
      <c r="R387" s="2" t="inlineStr"/>
    </row>
    <row r="388" ht="15" customHeight="1">
      <c r="A388" t="inlineStr">
        <is>
          <t>A 10642-2020</t>
        </is>
      </c>
      <c r="B388" s="1" t="n">
        <v>43887</v>
      </c>
      <c r="C388" s="1" t="n">
        <v>45703</v>
      </c>
      <c r="D388" t="inlineStr">
        <is>
          <t>JÄMTLANDS LÄN</t>
        </is>
      </c>
      <c r="E388" t="inlineStr">
        <is>
          <t>RAGUNDA</t>
        </is>
      </c>
      <c r="G388" t="n">
        <v>4.6</v>
      </c>
      <c r="H388" t="n">
        <v>0</v>
      </c>
      <c r="I388" t="n">
        <v>0</v>
      </c>
      <c r="J388" t="n">
        <v>0</v>
      </c>
      <c r="K388" t="n">
        <v>0</v>
      </c>
      <c r="L388" t="n">
        <v>0</v>
      </c>
      <c r="M388" t="n">
        <v>0</v>
      </c>
      <c r="N388" t="n">
        <v>0</v>
      </c>
      <c r="O388" t="n">
        <v>0</v>
      </c>
      <c r="P388" t="n">
        <v>0</v>
      </c>
      <c r="Q388" t="n">
        <v>0</v>
      </c>
      <c r="R388" s="2" t="inlineStr"/>
    </row>
    <row r="389" ht="15" customHeight="1">
      <c r="A389" t="inlineStr">
        <is>
          <t>A 13057-2020</t>
        </is>
      </c>
      <c r="B389" s="1" t="n">
        <v>43900</v>
      </c>
      <c r="C389" s="1" t="n">
        <v>45703</v>
      </c>
      <c r="D389" t="inlineStr">
        <is>
          <t>JÄMTLANDS LÄN</t>
        </is>
      </c>
      <c r="E389" t="inlineStr">
        <is>
          <t>RAGUNDA</t>
        </is>
      </c>
      <c r="G389" t="n">
        <v>10.8</v>
      </c>
      <c r="H389" t="n">
        <v>0</v>
      </c>
      <c r="I389" t="n">
        <v>0</v>
      </c>
      <c r="J389" t="n">
        <v>0</v>
      </c>
      <c r="K389" t="n">
        <v>0</v>
      </c>
      <c r="L389" t="n">
        <v>0</v>
      </c>
      <c r="M389" t="n">
        <v>0</v>
      </c>
      <c r="N389" t="n">
        <v>0</v>
      </c>
      <c r="O389" t="n">
        <v>0</v>
      </c>
      <c r="P389" t="n">
        <v>0</v>
      </c>
      <c r="Q389" t="n">
        <v>0</v>
      </c>
      <c r="R389" s="2" t="inlineStr"/>
    </row>
    <row r="390" ht="15" customHeight="1">
      <c r="A390" t="inlineStr">
        <is>
          <t>A 13202-2020</t>
        </is>
      </c>
      <c r="B390" s="1" t="n">
        <v>43901</v>
      </c>
      <c r="C390" s="1" t="n">
        <v>45703</v>
      </c>
      <c r="D390" t="inlineStr">
        <is>
          <t>JÄMTLANDS LÄN</t>
        </is>
      </c>
      <c r="E390" t="inlineStr">
        <is>
          <t>RAGUNDA</t>
        </is>
      </c>
      <c r="G390" t="n">
        <v>6.9</v>
      </c>
      <c r="H390" t="n">
        <v>0</v>
      </c>
      <c r="I390" t="n">
        <v>0</v>
      </c>
      <c r="J390" t="n">
        <v>0</v>
      </c>
      <c r="K390" t="n">
        <v>0</v>
      </c>
      <c r="L390" t="n">
        <v>0</v>
      </c>
      <c r="M390" t="n">
        <v>0</v>
      </c>
      <c r="N390" t="n">
        <v>0</v>
      </c>
      <c r="O390" t="n">
        <v>0</v>
      </c>
      <c r="P390" t="n">
        <v>0</v>
      </c>
      <c r="Q390" t="n">
        <v>0</v>
      </c>
      <c r="R390" s="2" t="inlineStr"/>
    </row>
    <row r="391" ht="15" customHeight="1">
      <c r="A391" t="inlineStr">
        <is>
          <t>A 13563-2020</t>
        </is>
      </c>
      <c r="B391" s="1" t="n">
        <v>43902</v>
      </c>
      <c r="C391" s="1" t="n">
        <v>45703</v>
      </c>
      <c r="D391" t="inlineStr">
        <is>
          <t>JÄMTLANDS LÄN</t>
        </is>
      </c>
      <c r="E391" t="inlineStr">
        <is>
          <t>RAGUNDA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14293-2020</t>
        </is>
      </c>
      <c r="B392" s="1" t="n">
        <v>43907</v>
      </c>
      <c r="C392" s="1" t="n">
        <v>45703</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15117-2020</t>
        </is>
      </c>
      <c r="B393" s="1" t="n">
        <v>43910</v>
      </c>
      <c r="C393" s="1" t="n">
        <v>45703</v>
      </c>
      <c r="D393" t="inlineStr">
        <is>
          <t>JÄMTLANDS LÄN</t>
        </is>
      </c>
      <c r="E393" t="inlineStr">
        <is>
          <t>RAGUNDA</t>
        </is>
      </c>
      <c r="G393" t="n">
        <v>0.6</v>
      </c>
      <c r="H393" t="n">
        <v>0</v>
      </c>
      <c r="I393" t="n">
        <v>0</v>
      </c>
      <c r="J393" t="n">
        <v>0</v>
      </c>
      <c r="K393" t="n">
        <v>0</v>
      </c>
      <c r="L393" t="n">
        <v>0</v>
      </c>
      <c r="M393" t="n">
        <v>0</v>
      </c>
      <c r="N393" t="n">
        <v>0</v>
      </c>
      <c r="O393" t="n">
        <v>0</v>
      </c>
      <c r="P393" t="n">
        <v>0</v>
      </c>
      <c r="Q393" t="n">
        <v>0</v>
      </c>
      <c r="R393" s="2" t="inlineStr"/>
    </row>
    <row r="394" ht="15" customHeight="1">
      <c r="A394" t="inlineStr">
        <is>
          <t>A 15118-2020</t>
        </is>
      </c>
      <c r="B394" s="1" t="n">
        <v>43910</v>
      </c>
      <c r="C394" s="1" t="n">
        <v>45703</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15345-2020</t>
        </is>
      </c>
      <c r="B395" s="1" t="n">
        <v>43913</v>
      </c>
      <c r="C395" s="1" t="n">
        <v>45703</v>
      </c>
      <c r="D395" t="inlineStr">
        <is>
          <t>JÄMTLANDS LÄN</t>
        </is>
      </c>
      <c r="E395" t="inlineStr">
        <is>
          <t>RAGUNDA</t>
        </is>
      </c>
      <c r="G395" t="n">
        <v>1.9</v>
      </c>
      <c r="H395" t="n">
        <v>0</v>
      </c>
      <c r="I395" t="n">
        <v>0</v>
      </c>
      <c r="J395" t="n">
        <v>0</v>
      </c>
      <c r="K395" t="n">
        <v>0</v>
      </c>
      <c r="L395" t="n">
        <v>0</v>
      </c>
      <c r="M395" t="n">
        <v>0</v>
      </c>
      <c r="N395" t="n">
        <v>0</v>
      </c>
      <c r="O395" t="n">
        <v>0</v>
      </c>
      <c r="P395" t="n">
        <v>0</v>
      </c>
      <c r="Q395" t="n">
        <v>0</v>
      </c>
      <c r="R395" s="2" t="inlineStr"/>
    </row>
    <row r="396" ht="15" customHeight="1">
      <c r="A396" t="inlineStr">
        <is>
          <t>A 17845-2020</t>
        </is>
      </c>
      <c r="B396" s="1" t="n">
        <v>43923</v>
      </c>
      <c r="C396" s="1" t="n">
        <v>45703</v>
      </c>
      <c r="D396" t="inlineStr">
        <is>
          <t>JÄMTLANDS LÄN</t>
        </is>
      </c>
      <c r="E396" t="inlineStr">
        <is>
          <t>RAGUNDA</t>
        </is>
      </c>
      <c r="G396" t="n">
        <v>12.1</v>
      </c>
      <c r="H396" t="n">
        <v>0</v>
      </c>
      <c r="I396" t="n">
        <v>0</v>
      </c>
      <c r="J396" t="n">
        <v>0</v>
      </c>
      <c r="K396" t="n">
        <v>0</v>
      </c>
      <c r="L396" t="n">
        <v>0</v>
      </c>
      <c r="M396" t="n">
        <v>0</v>
      </c>
      <c r="N396" t="n">
        <v>0</v>
      </c>
      <c r="O396" t="n">
        <v>0</v>
      </c>
      <c r="P396" t="n">
        <v>0</v>
      </c>
      <c r="Q396" t="n">
        <v>0</v>
      </c>
      <c r="R396" s="2" t="inlineStr"/>
    </row>
    <row r="397" ht="15" customHeight="1">
      <c r="A397" t="inlineStr">
        <is>
          <t>A 19918-2020</t>
        </is>
      </c>
      <c r="B397" s="1" t="n">
        <v>43943</v>
      </c>
      <c r="C397" s="1" t="n">
        <v>45703</v>
      </c>
      <c r="D397" t="inlineStr">
        <is>
          <t>JÄMTLANDS LÄN</t>
        </is>
      </c>
      <c r="E397" t="inlineStr">
        <is>
          <t>RAGUNDA</t>
        </is>
      </c>
      <c r="G397" t="n">
        <v>6.2</v>
      </c>
      <c r="H397" t="n">
        <v>0</v>
      </c>
      <c r="I397" t="n">
        <v>0</v>
      </c>
      <c r="J397" t="n">
        <v>0</v>
      </c>
      <c r="K397" t="n">
        <v>0</v>
      </c>
      <c r="L397" t="n">
        <v>0</v>
      </c>
      <c r="M397" t="n">
        <v>0</v>
      </c>
      <c r="N397" t="n">
        <v>0</v>
      </c>
      <c r="O397" t="n">
        <v>0</v>
      </c>
      <c r="P397" t="n">
        <v>0</v>
      </c>
      <c r="Q397" t="n">
        <v>0</v>
      </c>
      <c r="R397" s="2" t="inlineStr"/>
    </row>
    <row r="398" ht="15" customHeight="1">
      <c r="A398" t="inlineStr">
        <is>
          <t>A 20616-2020</t>
        </is>
      </c>
      <c r="B398" s="1" t="n">
        <v>43948</v>
      </c>
      <c r="C398" s="1" t="n">
        <v>45703</v>
      </c>
      <c r="D398" t="inlineStr">
        <is>
          <t>JÄMTLANDS LÄN</t>
        </is>
      </c>
      <c r="E398" t="inlineStr">
        <is>
          <t>RAGUNDA</t>
        </is>
      </c>
      <c r="G398" t="n">
        <v>4.1</v>
      </c>
      <c r="H398" t="n">
        <v>0</v>
      </c>
      <c r="I398" t="n">
        <v>0</v>
      </c>
      <c r="J398" t="n">
        <v>0</v>
      </c>
      <c r="K398" t="n">
        <v>0</v>
      </c>
      <c r="L398" t="n">
        <v>0</v>
      </c>
      <c r="M398" t="n">
        <v>0</v>
      </c>
      <c r="N398" t="n">
        <v>0</v>
      </c>
      <c r="O398" t="n">
        <v>0</v>
      </c>
      <c r="P398" t="n">
        <v>0</v>
      </c>
      <c r="Q398" t="n">
        <v>0</v>
      </c>
      <c r="R398" s="2" t="inlineStr"/>
    </row>
    <row r="399" ht="15" customHeight="1">
      <c r="A399" t="inlineStr">
        <is>
          <t>A 20815-2020</t>
        </is>
      </c>
      <c r="B399" s="1" t="n">
        <v>43949</v>
      </c>
      <c r="C399" s="1" t="n">
        <v>45703</v>
      </c>
      <c r="D399" t="inlineStr">
        <is>
          <t>JÄMTLANDS LÄN</t>
        </is>
      </c>
      <c r="E399" t="inlineStr">
        <is>
          <t>RAGUNDA</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21172-2020</t>
        </is>
      </c>
      <c r="B400" s="1" t="n">
        <v>43951</v>
      </c>
      <c r="C400" s="1" t="n">
        <v>45703</v>
      </c>
      <c r="D400" t="inlineStr">
        <is>
          <t>JÄMTLANDS LÄN</t>
        </is>
      </c>
      <c r="E400" t="inlineStr">
        <is>
          <t>RAGUNDA</t>
        </is>
      </c>
      <c r="G400" t="n">
        <v>3.6</v>
      </c>
      <c r="H400" t="n">
        <v>0</v>
      </c>
      <c r="I400" t="n">
        <v>0</v>
      </c>
      <c r="J400" t="n">
        <v>0</v>
      </c>
      <c r="K400" t="n">
        <v>0</v>
      </c>
      <c r="L400" t="n">
        <v>0</v>
      </c>
      <c r="M400" t="n">
        <v>0</v>
      </c>
      <c r="N400" t="n">
        <v>0</v>
      </c>
      <c r="O400" t="n">
        <v>0</v>
      </c>
      <c r="P400" t="n">
        <v>0</v>
      </c>
      <c r="Q400" t="n">
        <v>0</v>
      </c>
      <c r="R400" s="2" t="inlineStr"/>
    </row>
    <row r="401" ht="15" customHeight="1">
      <c r="A401" t="inlineStr">
        <is>
          <t>A 21419-2020</t>
        </is>
      </c>
      <c r="B401" s="1" t="n">
        <v>43955</v>
      </c>
      <c r="C401" s="1" t="n">
        <v>45703</v>
      </c>
      <c r="D401" t="inlineStr">
        <is>
          <t>JÄMTLANDS LÄN</t>
        </is>
      </c>
      <c r="E401" t="inlineStr">
        <is>
          <t>RAGUNDA</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21418-2020</t>
        </is>
      </c>
      <c r="B402" s="1" t="n">
        <v>43955</v>
      </c>
      <c r="C402" s="1" t="n">
        <v>45703</v>
      </c>
      <c r="D402" t="inlineStr">
        <is>
          <t>JÄMTLANDS LÄN</t>
        </is>
      </c>
      <c r="E402" t="inlineStr">
        <is>
          <t>RAGUNDA</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21420-2020</t>
        </is>
      </c>
      <c r="B403" s="1" t="n">
        <v>43955</v>
      </c>
      <c r="C403" s="1" t="n">
        <v>45703</v>
      </c>
      <c r="D403" t="inlineStr">
        <is>
          <t>JÄMTLANDS LÄN</t>
        </is>
      </c>
      <c r="E403" t="inlineStr">
        <is>
          <t>RAGUNDA</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21416-2020</t>
        </is>
      </c>
      <c r="B404" s="1" t="n">
        <v>43955</v>
      </c>
      <c r="C404" s="1" t="n">
        <v>45703</v>
      </c>
      <c r="D404" t="inlineStr">
        <is>
          <t>JÄMTLANDS LÄN</t>
        </is>
      </c>
      <c r="E404" t="inlineStr">
        <is>
          <t>RAGUNDA</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21593-2020</t>
        </is>
      </c>
      <c r="B405" s="1" t="n">
        <v>43956</v>
      </c>
      <c r="C405" s="1" t="n">
        <v>45703</v>
      </c>
      <c r="D405" t="inlineStr">
        <is>
          <t>JÄMTLANDS LÄN</t>
        </is>
      </c>
      <c r="E405" t="inlineStr">
        <is>
          <t>RAGUNDA</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21681-2020</t>
        </is>
      </c>
      <c r="B406" s="1" t="n">
        <v>43957</v>
      </c>
      <c r="C406" s="1" t="n">
        <v>45703</v>
      </c>
      <c r="D406" t="inlineStr">
        <is>
          <t>JÄMTLANDS LÄN</t>
        </is>
      </c>
      <c r="E406" t="inlineStr">
        <is>
          <t>RAGUNDA</t>
        </is>
      </c>
      <c r="G406" t="n">
        <v>0.8</v>
      </c>
      <c r="H406" t="n">
        <v>0</v>
      </c>
      <c r="I406" t="n">
        <v>0</v>
      </c>
      <c r="J406" t="n">
        <v>0</v>
      </c>
      <c r="K406" t="n">
        <v>0</v>
      </c>
      <c r="L406" t="n">
        <v>0</v>
      </c>
      <c r="M406" t="n">
        <v>0</v>
      </c>
      <c r="N406" t="n">
        <v>0</v>
      </c>
      <c r="O406" t="n">
        <v>0</v>
      </c>
      <c r="P406" t="n">
        <v>0</v>
      </c>
      <c r="Q406" t="n">
        <v>0</v>
      </c>
      <c r="R406" s="2" t="inlineStr"/>
    </row>
    <row r="407" ht="15" customHeight="1">
      <c r="A407" t="inlineStr">
        <is>
          <t>A 22108-2020</t>
        </is>
      </c>
      <c r="B407" s="1" t="n">
        <v>43960</v>
      </c>
      <c r="C407" s="1" t="n">
        <v>45703</v>
      </c>
      <c r="D407" t="inlineStr">
        <is>
          <t>JÄMTLANDS LÄN</t>
        </is>
      </c>
      <c r="E407" t="inlineStr">
        <is>
          <t>RAGUNDA</t>
        </is>
      </c>
      <c r="F407" t="inlineStr">
        <is>
          <t>SCA</t>
        </is>
      </c>
      <c r="G407" t="n">
        <v>6.2</v>
      </c>
      <c r="H407" t="n">
        <v>0</v>
      </c>
      <c r="I407" t="n">
        <v>0</v>
      </c>
      <c r="J407" t="n">
        <v>0</v>
      </c>
      <c r="K407" t="n">
        <v>0</v>
      </c>
      <c r="L407" t="n">
        <v>0</v>
      </c>
      <c r="M407" t="n">
        <v>0</v>
      </c>
      <c r="N407" t="n">
        <v>0</v>
      </c>
      <c r="O407" t="n">
        <v>0</v>
      </c>
      <c r="P407" t="n">
        <v>0</v>
      </c>
      <c r="Q407" t="n">
        <v>0</v>
      </c>
      <c r="R407" s="2" t="inlineStr"/>
    </row>
    <row r="408" ht="15" customHeight="1">
      <c r="A408" t="inlineStr">
        <is>
          <t>A 22115-2020</t>
        </is>
      </c>
      <c r="B408" s="1" t="n">
        <v>43960</v>
      </c>
      <c r="C408" s="1" t="n">
        <v>45703</v>
      </c>
      <c r="D408" t="inlineStr">
        <is>
          <t>JÄMTLANDS LÄN</t>
        </is>
      </c>
      <c r="E408" t="inlineStr">
        <is>
          <t>RAGUNDA</t>
        </is>
      </c>
      <c r="F408" t="inlineStr">
        <is>
          <t>SCA</t>
        </is>
      </c>
      <c r="G408" t="n">
        <v>8.6</v>
      </c>
      <c r="H408" t="n">
        <v>0</v>
      </c>
      <c r="I408" t="n">
        <v>0</v>
      </c>
      <c r="J408" t="n">
        <v>0</v>
      </c>
      <c r="K408" t="n">
        <v>0</v>
      </c>
      <c r="L408" t="n">
        <v>0</v>
      </c>
      <c r="M408" t="n">
        <v>0</v>
      </c>
      <c r="N408" t="n">
        <v>0</v>
      </c>
      <c r="O408" t="n">
        <v>0</v>
      </c>
      <c r="P408" t="n">
        <v>0</v>
      </c>
      <c r="Q408" t="n">
        <v>0</v>
      </c>
      <c r="R408" s="2" t="inlineStr"/>
    </row>
    <row r="409" ht="15" customHeight="1">
      <c r="A409" t="inlineStr">
        <is>
          <t>A 22948-2020</t>
        </is>
      </c>
      <c r="B409" s="1" t="n">
        <v>43965</v>
      </c>
      <c r="C409" s="1" t="n">
        <v>45703</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23633-2020</t>
        </is>
      </c>
      <c r="B410" s="1" t="n">
        <v>43969</v>
      </c>
      <c r="C410" s="1" t="n">
        <v>45703</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24033-2020</t>
        </is>
      </c>
      <c r="B411" s="1" t="n">
        <v>43971</v>
      </c>
      <c r="C411" s="1" t="n">
        <v>45703</v>
      </c>
      <c r="D411" t="inlineStr">
        <is>
          <t>JÄMTLANDS LÄN</t>
        </is>
      </c>
      <c r="E411" t="inlineStr">
        <is>
          <t>RAGUNDA</t>
        </is>
      </c>
      <c r="G411" t="n">
        <v>3.9</v>
      </c>
      <c r="H411" t="n">
        <v>0</v>
      </c>
      <c r="I411" t="n">
        <v>0</v>
      </c>
      <c r="J411" t="n">
        <v>0</v>
      </c>
      <c r="K411" t="n">
        <v>0</v>
      </c>
      <c r="L411" t="n">
        <v>0</v>
      </c>
      <c r="M411" t="n">
        <v>0</v>
      </c>
      <c r="N411" t="n">
        <v>0</v>
      </c>
      <c r="O411" t="n">
        <v>0</v>
      </c>
      <c r="P411" t="n">
        <v>0</v>
      </c>
      <c r="Q411" t="n">
        <v>0</v>
      </c>
      <c r="R411" s="2" t="inlineStr"/>
    </row>
    <row r="412" ht="15" customHeight="1">
      <c r="A412" t="inlineStr">
        <is>
          <t>A 24032-2020</t>
        </is>
      </c>
      <c r="B412" s="1" t="n">
        <v>43971</v>
      </c>
      <c r="C412" s="1" t="n">
        <v>45703</v>
      </c>
      <c r="D412" t="inlineStr">
        <is>
          <t>JÄMTLANDS LÄN</t>
        </is>
      </c>
      <c r="E412" t="inlineStr">
        <is>
          <t>RAGUNDA</t>
        </is>
      </c>
      <c r="G412" t="n">
        <v>6.9</v>
      </c>
      <c r="H412" t="n">
        <v>0</v>
      </c>
      <c r="I412" t="n">
        <v>0</v>
      </c>
      <c r="J412" t="n">
        <v>0</v>
      </c>
      <c r="K412" t="n">
        <v>0</v>
      </c>
      <c r="L412" t="n">
        <v>0</v>
      </c>
      <c r="M412" t="n">
        <v>0</v>
      </c>
      <c r="N412" t="n">
        <v>0</v>
      </c>
      <c r="O412" t="n">
        <v>0</v>
      </c>
      <c r="P412" t="n">
        <v>0</v>
      </c>
      <c r="Q412" t="n">
        <v>0</v>
      </c>
      <c r="R412" s="2" t="inlineStr"/>
    </row>
    <row r="413" ht="15" customHeight="1">
      <c r="A413" t="inlineStr">
        <is>
          <t>A 24640-2020</t>
        </is>
      </c>
      <c r="B413" s="1" t="n">
        <v>43977</v>
      </c>
      <c r="C413" s="1" t="n">
        <v>45703</v>
      </c>
      <c r="D413" t="inlineStr">
        <is>
          <t>JÄMTLANDS LÄN</t>
        </is>
      </c>
      <c r="E413" t="inlineStr">
        <is>
          <t>RAGUNDA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25115-2020</t>
        </is>
      </c>
      <c r="B414" s="1" t="n">
        <v>43979</v>
      </c>
      <c r="C414" s="1" t="n">
        <v>45703</v>
      </c>
      <c r="D414" t="inlineStr">
        <is>
          <t>JÄMTLANDS LÄN</t>
        </is>
      </c>
      <c r="E414" t="inlineStr">
        <is>
          <t>RAGUNDA</t>
        </is>
      </c>
      <c r="G414" t="n">
        <v>1</v>
      </c>
      <c r="H414" t="n">
        <v>0</v>
      </c>
      <c r="I414" t="n">
        <v>0</v>
      </c>
      <c r="J414" t="n">
        <v>0</v>
      </c>
      <c r="K414" t="n">
        <v>0</v>
      </c>
      <c r="L414" t="n">
        <v>0</v>
      </c>
      <c r="M414" t="n">
        <v>0</v>
      </c>
      <c r="N414" t="n">
        <v>0</v>
      </c>
      <c r="O414" t="n">
        <v>0</v>
      </c>
      <c r="P414" t="n">
        <v>0</v>
      </c>
      <c r="Q414" t="n">
        <v>0</v>
      </c>
      <c r="R414" s="2" t="inlineStr"/>
    </row>
    <row r="415" ht="15" customHeight="1">
      <c r="A415" t="inlineStr">
        <is>
          <t>A 25927-2020</t>
        </is>
      </c>
      <c r="B415" s="1" t="n">
        <v>43984</v>
      </c>
      <c r="C415" s="1" t="n">
        <v>45703</v>
      </c>
      <c r="D415" t="inlineStr">
        <is>
          <t>JÄMTLANDS LÄN</t>
        </is>
      </c>
      <c r="E415" t="inlineStr">
        <is>
          <t>RAGUNDA</t>
        </is>
      </c>
      <c r="F415" t="inlineStr">
        <is>
          <t>SCA</t>
        </is>
      </c>
      <c r="G415" t="n">
        <v>0.3</v>
      </c>
      <c r="H415" t="n">
        <v>0</v>
      </c>
      <c r="I415" t="n">
        <v>0</v>
      </c>
      <c r="J415" t="n">
        <v>0</v>
      </c>
      <c r="K415" t="n">
        <v>0</v>
      </c>
      <c r="L415" t="n">
        <v>0</v>
      </c>
      <c r="M415" t="n">
        <v>0</v>
      </c>
      <c r="N415" t="n">
        <v>0</v>
      </c>
      <c r="O415" t="n">
        <v>0</v>
      </c>
      <c r="P415" t="n">
        <v>0</v>
      </c>
      <c r="Q415" t="n">
        <v>0</v>
      </c>
      <c r="R415" s="2" t="inlineStr"/>
    </row>
    <row r="416" ht="15" customHeight="1">
      <c r="A416" t="inlineStr">
        <is>
          <t>A 25934-2020</t>
        </is>
      </c>
      <c r="B416" s="1" t="n">
        <v>43984</v>
      </c>
      <c r="C416" s="1" t="n">
        <v>45703</v>
      </c>
      <c r="D416" t="inlineStr">
        <is>
          <t>JÄMTLANDS LÄN</t>
        </is>
      </c>
      <c r="E416" t="inlineStr">
        <is>
          <t>RAGUNDA</t>
        </is>
      </c>
      <c r="F416" t="inlineStr">
        <is>
          <t>SCA</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26264-2020</t>
        </is>
      </c>
      <c r="B417" s="1" t="n">
        <v>43986</v>
      </c>
      <c r="C417" s="1" t="n">
        <v>45703</v>
      </c>
      <c r="D417" t="inlineStr">
        <is>
          <t>JÄMTLANDS LÄN</t>
        </is>
      </c>
      <c r="E417" t="inlineStr">
        <is>
          <t>RAGUNDA</t>
        </is>
      </c>
      <c r="F417" t="inlineStr">
        <is>
          <t>Kommuner</t>
        </is>
      </c>
      <c r="G417" t="n">
        <v>5.5</v>
      </c>
      <c r="H417" t="n">
        <v>0</v>
      </c>
      <c r="I417" t="n">
        <v>0</v>
      </c>
      <c r="J417" t="n">
        <v>0</v>
      </c>
      <c r="K417" t="n">
        <v>0</v>
      </c>
      <c r="L417" t="n">
        <v>0</v>
      </c>
      <c r="M417" t="n">
        <v>0</v>
      </c>
      <c r="N417" t="n">
        <v>0</v>
      </c>
      <c r="O417" t="n">
        <v>0</v>
      </c>
      <c r="P417" t="n">
        <v>0</v>
      </c>
      <c r="Q417" t="n">
        <v>0</v>
      </c>
      <c r="R417" s="2" t="inlineStr"/>
    </row>
    <row r="418" ht="15" customHeight="1">
      <c r="A418" t="inlineStr">
        <is>
          <t>A 26262-2020</t>
        </is>
      </c>
      <c r="B418" s="1" t="n">
        <v>43986</v>
      </c>
      <c r="C418" s="1" t="n">
        <v>45703</v>
      </c>
      <c r="D418" t="inlineStr">
        <is>
          <t>JÄMTLANDS LÄN</t>
        </is>
      </c>
      <c r="E418" t="inlineStr">
        <is>
          <t>RAGUNDA</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26966-2020</t>
        </is>
      </c>
      <c r="B419" s="1" t="n">
        <v>43990</v>
      </c>
      <c r="C419" s="1" t="n">
        <v>45703</v>
      </c>
      <c r="D419" t="inlineStr">
        <is>
          <t>JÄMTLANDS LÄN</t>
        </is>
      </c>
      <c r="E419" t="inlineStr">
        <is>
          <t>RAGUNDA</t>
        </is>
      </c>
      <c r="F419" t="inlineStr">
        <is>
          <t>SCA</t>
        </is>
      </c>
      <c r="G419" t="n">
        <v>7</v>
      </c>
      <c r="H419" t="n">
        <v>0</v>
      </c>
      <c r="I419" t="n">
        <v>0</v>
      </c>
      <c r="J419" t="n">
        <v>0</v>
      </c>
      <c r="K419" t="n">
        <v>0</v>
      </c>
      <c r="L419" t="n">
        <v>0</v>
      </c>
      <c r="M419" t="n">
        <v>0</v>
      </c>
      <c r="N419" t="n">
        <v>0</v>
      </c>
      <c r="O419" t="n">
        <v>0</v>
      </c>
      <c r="P419" t="n">
        <v>0</v>
      </c>
      <c r="Q419" t="n">
        <v>0</v>
      </c>
      <c r="R419" s="2" t="inlineStr"/>
    </row>
    <row r="420" ht="15" customHeight="1">
      <c r="A420" t="inlineStr">
        <is>
          <t>A 27366-2020</t>
        </is>
      </c>
      <c r="B420" s="1" t="n">
        <v>43992</v>
      </c>
      <c r="C420" s="1" t="n">
        <v>45703</v>
      </c>
      <c r="D420" t="inlineStr">
        <is>
          <t>JÄMTLANDS LÄN</t>
        </is>
      </c>
      <c r="E420" t="inlineStr">
        <is>
          <t>RAGUNDA</t>
        </is>
      </c>
      <c r="G420" t="n">
        <v>2.5</v>
      </c>
      <c r="H420" t="n">
        <v>0</v>
      </c>
      <c r="I420" t="n">
        <v>0</v>
      </c>
      <c r="J420" t="n">
        <v>0</v>
      </c>
      <c r="K420" t="n">
        <v>0</v>
      </c>
      <c r="L420" t="n">
        <v>0</v>
      </c>
      <c r="M420" t="n">
        <v>0</v>
      </c>
      <c r="N420" t="n">
        <v>0</v>
      </c>
      <c r="O420" t="n">
        <v>0</v>
      </c>
      <c r="P420" t="n">
        <v>0</v>
      </c>
      <c r="Q420" t="n">
        <v>0</v>
      </c>
      <c r="R420" s="2" t="inlineStr"/>
    </row>
    <row r="421" ht="15" customHeight="1">
      <c r="A421" t="inlineStr">
        <is>
          <t>A 28776-2020</t>
        </is>
      </c>
      <c r="B421" s="1" t="n">
        <v>43999</v>
      </c>
      <c r="C421" s="1" t="n">
        <v>45703</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29382-2020</t>
        </is>
      </c>
      <c r="B422" s="1" t="n">
        <v>44000</v>
      </c>
      <c r="C422" s="1" t="n">
        <v>45703</v>
      </c>
      <c r="D422" t="inlineStr">
        <is>
          <t>JÄMTLANDS LÄN</t>
        </is>
      </c>
      <c r="E422" t="inlineStr">
        <is>
          <t>RAGUNDA</t>
        </is>
      </c>
      <c r="G422" t="n">
        <v>46.1</v>
      </c>
      <c r="H422" t="n">
        <v>0</v>
      </c>
      <c r="I422" t="n">
        <v>0</v>
      </c>
      <c r="J422" t="n">
        <v>0</v>
      </c>
      <c r="K422" t="n">
        <v>0</v>
      </c>
      <c r="L422" t="n">
        <v>0</v>
      </c>
      <c r="M422" t="n">
        <v>0</v>
      </c>
      <c r="N422" t="n">
        <v>0</v>
      </c>
      <c r="O422" t="n">
        <v>0</v>
      </c>
      <c r="P422" t="n">
        <v>0</v>
      </c>
      <c r="Q422" t="n">
        <v>0</v>
      </c>
      <c r="R422" s="2" t="inlineStr"/>
    </row>
    <row r="423" ht="15" customHeight="1">
      <c r="A423" t="inlineStr">
        <is>
          <t>A 29499-2020</t>
        </is>
      </c>
      <c r="B423" s="1" t="n">
        <v>44004</v>
      </c>
      <c r="C423" s="1" t="n">
        <v>45703</v>
      </c>
      <c r="D423" t="inlineStr">
        <is>
          <t>JÄMTLANDS LÄN</t>
        </is>
      </c>
      <c r="E423" t="inlineStr">
        <is>
          <t>RAGUNDA</t>
        </is>
      </c>
      <c r="F423" t="inlineStr">
        <is>
          <t>SCA</t>
        </is>
      </c>
      <c r="G423" t="n">
        <v>0.3</v>
      </c>
      <c r="H423" t="n">
        <v>0</v>
      </c>
      <c r="I423" t="n">
        <v>0</v>
      </c>
      <c r="J423" t="n">
        <v>0</v>
      </c>
      <c r="K423" t="n">
        <v>0</v>
      </c>
      <c r="L423" t="n">
        <v>0</v>
      </c>
      <c r="M423" t="n">
        <v>0</v>
      </c>
      <c r="N423" t="n">
        <v>0</v>
      </c>
      <c r="O423" t="n">
        <v>0</v>
      </c>
      <c r="P423" t="n">
        <v>0</v>
      </c>
      <c r="Q423" t="n">
        <v>0</v>
      </c>
      <c r="R423" s="2" t="inlineStr"/>
    </row>
    <row r="424" ht="15" customHeight="1">
      <c r="A424" t="inlineStr">
        <is>
          <t>A 30110-2020</t>
        </is>
      </c>
      <c r="B424" s="1" t="n">
        <v>44006</v>
      </c>
      <c r="C424" s="1" t="n">
        <v>45703</v>
      </c>
      <c r="D424" t="inlineStr">
        <is>
          <t>JÄMTLANDS LÄN</t>
        </is>
      </c>
      <c r="E424" t="inlineStr">
        <is>
          <t>RAGUNDA</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31043-2020</t>
        </is>
      </c>
      <c r="B425" s="1" t="n">
        <v>44011</v>
      </c>
      <c r="C425" s="1" t="n">
        <v>45703</v>
      </c>
      <c r="D425" t="inlineStr">
        <is>
          <t>JÄMTLANDS LÄN</t>
        </is>
      </c>
      <c r="E425" t="inlineStr">
        <is>
          <t>RAGUNDA</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31649-2020</t>
        </is>
      </c>
      <c r="B426" s="1" t="n">
        <v>44013</v>
      </c>
      <c r="C426" s="1" t="n">
        <v>45703</v>
      </c>
      <c r="D426" t="inlineStr">
        <is>
          <t>JÄMTLANDS LÄN</t>
        </is>
      </c>
      <c r="E426" t="inlineStr">
        <is>
          <t>RAGUNDA</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31651-2020</t>
        </is>
      </c>
      <c r="B427" s="1" t="n">
        <v>44013</v>
      </c>
      <c r="C427" s="1" t="n">
        <v>45703</v>
      </c>
      <c r="D427" t="inlineStr">
        <is>
          <t>JÄMTLANDS LÄN</t>
        </is>
      </c>
      <c r="E427" t="inlineStr">
        <is>
          <t>RAGUNDA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31652-2020</t>
        </is>
      </c>
      <c r="B428" s="1" t="n">
        <v>44013</v>
      </c>
      <c r="C428" s="1" t="n">
        <v>45703</v>
      </c>
      <c r="D428" t="inlineStr">
        <is>
          <t>JÄMTLANDS LÄN</t>
        </is>
      </c>
      <c r="E428" t="inlineStr">
        <is>
          <t>RAGUNDA</t>
        </is>
      </c>
      <c r="F428" t="inlineStr">
        <is>
          <t>SCA</t>
        </is>
      </c>
      <c r="G428" t="n">
        <v>22.1</v>
      </c>
      <c r="H428" t="n">
        <v>0</v>
      </c>
      <c r="I428" t="n">
        <v>0</v>
      </c>
      <c r="J428" t="n">
        <v>0</v>
      </c>
      <c r="K428" t="n">
        <v>0</v>
      </c>
      <c r="L428" t="n">
        <v>0</v>
      </c>
      <c r="M428" t="n">
        <v>0</v>
      </c>
      <c r="N428" t="n">
        <v>0</v>
      </c>
      <c r="O428" t="n">
        <v>0</v>
      </c>
      <c r="P428" t="n">
        <v>0</v>
      </c>
      <c r="Q428" t="n">
        <v>0</v>
      </c>
      <c r="R428" s="2" t="inlineStr"/>
    </row>
    <row r="429" ht="15" customHeight="1">
      <c r="A429" t="inlineStr">
        <is>
          <t>A 32780-2020</t>
        </is>
      </c>
      <c r="B429" s="1" t="n">
        <v>44019</v>
      </c>
      <c r="C429" s="1" t="n">
        <v>45703</v>
      </c>
      <c r="D429" t="inlineStr">
        <is>
          <t>JÄMTLANDS LÄN</t>
        </is>
      </c>
      <c r="E429" t="inlineStr">
        <is>
          <t>RAGUNDA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33644-2020</t>
        </is>
      </c>
      <c r="B430" s="1" t="n">
        <v>44026</v>
      </c>
      <c r="C430" s="1" t="n">
        <v>45703</v>
      </c>
      <c r="D430" t="inlineStr">
        <is>
          <t>JÄMTLANDS LÄN</t>
        </is>
      </c>
      <c r="E430" t="inlineStr">
        <is>
          <t>RAGUNDA</t>
        </is>
      </c>
      <c r="G430" t="n">
        <v>4.8</v>
      </c>
      <c r="H430" t="n">
        <v>0</v>
      </c>
      <c r="I430" t="n">
        <v>0</v>
      </c>
      <c r="J430" t="n">
        <v>0</v>
      </c>
      <c r="K430" t="n">
        <v>0</v>
      </c>
      <c r="L430" t="n">
        <v>0</v>
      </c>
      <c r="M430" t="n">
        <v>0</v>
      </c>
      <c r="N430" t="n">
        <v>0</v>
      </c>
      <c r="O430" t="n">
        <v>0</v>
      </c>
      <c r="P430" t="n">
        <v>0</v>
      </c>
      <c r="Q430" t="n">
        <v>0</v>
      </c>
      <c r="R430" s="2" t="inlineStr"/>
    </row>
    <row r="431" ht="15" customHeight="1">
      <c r="A431" t="inlineStr">
        <is>
          <t>A 33932-2020</t>
        </is>
      </c>
      <c r="B431" s="1" t="n">
        <v>44027</v>
      </c>
      <c r="C431" s="1" t="n">
        <v>45703</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34204-2020</t>
        </is>
      </c>
      <c r="B432" s="1" t="n">
        <v>44029</v>
      </c>
      <c r="C432" s="1" t="n">
        <v>45703</v>
      </c>
      <c r="D432" t="inlineStr">
        <is>
          <t>JÄMTLANDS LÄN</t>
        </is>
      </c>
      <c r="E432" t="inlineStr">
        <is>
          <t>RAGUNDA</t>
        </is>
      </c>
      <c r="G432" t="n">
        <v>22.5</v>
      </c>
      <c r="H432" t="n">
        <v>0</v>
      </c>
      <c r="I432" t="n">
        <v>0</v>
      </c>
      <c r="J432" t="n">
        <v>0</v>
      </c>
      <c r="K432" t="n">
        <v>0</v>
      </c>
      <c r="L432" t="n">
        <v>0</v>
      </c>
      <c r="M432" t="n">
        <v>0</v>
      </c>
      <c r="N432" t="n">
        <v>0</v>
      </c>
      <c r="O432" t="n">
        <v>0</v>
      </c>
      <c r="P432" t="n">
        <v>0</v>
      </c>
      <c r="Q432" t="n">
        <v>0</v>
      </c>
      <c r="R432" s="2" t="inlineStr"/>
    </row>
    <row r="433" ht="15" customHeight="1">
      <c r="A433" t="inlineStr">
        <is>
          <t>A 34251-2020</t>
        </is>
      </c>
      <c r="B433" s="1" t="n">
        <v>44029</v>
      </c>
      <c r="C433" s="1" t="n">
        <v>45703</v>
      </c>
      <c r="D433" t="inlineStr">
        <is>
          <t>JÄMTLANDS LÄN</t>
        </is>
      </c>
      <c r="E433" t="inlineStr">
        <is>
          <t>RAGUNDA</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35193-2020</t>
        </is>
      </c>
      <c r="B434" s="1" t="n">
        <v>44040</v>
      </c>
      <c r="C434" s="1" t="n">
        <v>45703</v>
      </c>
      <c r="D434" t="inlineStr">
        <is>
          <t>JÄMTLANDS LÄN</t>
        </is>
      </c>
      <c r="E434" t="inlineStr">
        <is>
          <t>RAGUNDA</t>
        </is>
      </c>
      <c r="G434" t="n">
        <v>1.1</v>
      </c>
      <c r="H434" t="n">
        <v>0</v>
      </c>
      <c r="I434" t="n">
        <v>0</v>
      </c>
      <c r="J434" t="n">
        <v>0</v>
      </c>
      <c r="K434" t="n">
        <v>0</v>
      </c>
      <c r="L434" t="n">
        <v>0</v>
      </c>
      <c r="M434" t="n">
        <v>0</v>
      </c>
      <c r="N434" t="n">
        <v>0</v>
      </c>
      <c r="O434" t="n">
        <v>0</v>
      </c>
      <c r="P434" t="n">
        <v>0</v>
      </c>
      <c r="Q434" t="n">
        <v>0</v>
      </c>
      <c r="R434" s="2" t="inlineStr"/>
    </row>
    <row r="435" ht="15" customHeight="1">
      <c r="A435" t="inlineStr">
        <is>
          <t>A 35365-2020</t>
        </is>
      </c>
      <c r="B435" s="1" t="n">
        <v>44041</v>
      </c>
      <c r="C435" s="1" t="n">
        <v>45703</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36674-2020</t>
        </is>
      </c>
      <c r="B436" s="1" t="n">
        <v>44051</v>
      </c>
      <c r="C436" s="1" t="n">
        <v>45703</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36676-2020</t>
        </is>
      </c>
      <c r="B437" s="1" t="n">
        <v>44051</v>
      </c>
      <c r="C437" s="1" t="n">
        <v>45703</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37498-2020</t>
        </is>
      </c>
      <c r="B438" s="1" t="n">
        <v>44055</v>
      </c>
      <c r="C438" s="1" t="n">
        <v>45703</v>
      </c>
      <c r="D438" t="inlineStr">
        <is>
          <t>JÄMTLANDS LÄN</t>
        </is>
      </c>
      <c r="E438" t="inlineStr">
        <is>
          <t>RAGUNDA</t>
        </is>
      </c>
      <c r="G438" t="n">
        <v>2.4</v>
      </c>
      <c r="H438" t="n">
        <v>0</v>
      </c>
      <c r="I438" t="n">
        <v>0</v>
      </c>
      <c r="J438" t="n">
        <v>0</v>
      </c>
      <c r="K438" t="n">
        <v>0</v>
      </c>
      <c r="L438" t="n">
        <v>0</v>
      </c>
      <c r="M438" t="n">
        <v>0</v>
      </c>
      <c r="N438" t="n">
        <v>0</v>
      </c>
      <c r="O438" t="n">
        <v>0</v>
      </c>
      <c r="P438" t="n">
        <v>0</v>
      </c>
      <c r="Q438" t="n">
        <v>0</v>
      </c>
      <c r="R438" s="2" t="inlineStr"/>
    </row>
    <row r="439" ht="15" customHeight="1">
      <c r="A439" t="inlineStr">
        <is>
          <t>A 39474-2020</t>
        </is>
      </c>
      <c r="B439" s="1" t="n">
        <v>44056</v>
      </c>
      <c r="C439" s="1" t="n">
        <v>45703</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38106-2020</t>
        </is>
      </c>
      <c r="B440" s="1" t="n">
        <v>44057</v>
      </c>
      <c r="C440" s="1" t="n">
        <v>45703</v>
      </c>
      <c r="D440" t="inlineStr">
        <is>
          <t>JÄMTLANDS LÄN</t>
        </is>
      </c>
      <c r="E440" t="inlineStr">
        <is>
          <t>RAGUNDA</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38098-2020</t>
        </is>
      </c>
      <c r="B441" s="1" t="n">
        <v>44057</v>
      </c>
      <c r="C441" s="1" t="n">
        <v>45703</v>
      </c>
      <c r="D441" t="inlineStr">
        <is>
          <t>JÄMTLANDS LÄN</t>
        </is>
      </c>
      <c r="E441" t="inlineStr">
        <is>
          <t>RAGUNDA</t>
        </is>
      </c>
      <c r="G441" t="n">
        <v>1.2</v>
      </c>
      <c r="H441" t="n">
        <v>0</v>
      </c>
      <c r="I441" t="n">
        <v>0</v>
      </c>
      <c r="J441" t="n">
        <v>0</v>
      </c>
      <c r="K441" t="n">
        <v>0</v>
      </c>
      <c r="L441" t="n">
        <v>0</v>
      </c>
      <c r="M441" t="n">
        <v>0</v>
      </c>
      <c r="N441" t="n">
        <v>0</v>
      </c>
      <c r="O441" t="n">
        <v>0</v>
      </c>
      <c r="P441" t="n">
        <v>0</v>
      </c>
      <c r="Q441" t="n">
        <v>0</v>
      </c>
      <c r="R441" s="2" t="inlineStr"/>
    </row>
    <row r="442" ht="15" customHeight="1">
      <c r="A442" t="inlineStr">
        <is>
          <t>A 39040-2020</t>
        </is>
      </c>
      <c r="B442" s="1" t="n">
        <v>44062</v>
      </c>
      <c r="C442" s="1" t="n">
        <v>45703</v>
      </c>
      <c r="D442" t="inlineStr">
        <is>
          <t>JÄMTLANDS LÄN</t>
        </is>
      </c>
      <c r="E442" t="inlineStr">
        <is>
          <t>RAGUNDA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39340-2020</t>
        </is>
      </c>
      <c r="B443" s="1" t="n">
        <v>44063</v>
      </c>
      <c r="C443" s="1" t="n">
        <v>45703</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40051-2020</t>
        </is>
      </c>
      <c r="B444" s="1" t="n">
        <v>44067</v>
      </c>
      <c r="C444" s="1" t="n">
        <v>45703</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40316-2020</t>
        </is>
      </c>
      <c r="B445" s="1" t="n">
        <v>44068</v>
      </c>
      <c r="C445" s="1" t="n">
        <v>45703</v>
      </c>
      <c r="D445" t="inlineStr">
        <is>
          <t>JÄMTLANDS LÄN</t>
        </is>
      </c>
      <c r="E445" t="inlineStr">
        <is>
          <t>RAGUNDA</t>
        </is>
      </c>
      <c r="G445" t="n">
        <v>2.4</v>
      </c>
      <c r="H445" t="n">
        <v>0</v>
      </c>
      <c r="I445" t="n">
        <v>0</v>
      </c>
      <c r="J445" t="n">
        <v>0</v>
      </c>
      <c r="K445" t="n">
        <v>0</v>
      </c>
      <c r="L445" t="n">
        <v>0</v>
      </c>
      <c r="M445" t="n">
        <v>0</v>
      </c>
      <c r="N445" t="n">
        <v>0</v>
      </c>
      <c r="O445" t="n">
        <v>0</v>
      </c>
      <c r="P445" t="n">
        <v>0</v>
      </c>
      <c r="Q445" t="n">
        <v>0</v>
      </c>
      <c r="R445" s="2" t="inlineStr"/>
    </row>
    <row r="446" ht="15" customHeight="1">
      <c r="A446" t="inlineStr">
        <is>
          <t>A 40742-2020</t>
        </is>
      </c>
      <c r="B446" s="1" t="n">
        <v>44069</v>
      </c>
      <c r="C446" s="1" t="n">
        <v>45703</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41346-2020</t>
        </is>
      </c>
      <c r="B447" s="1" t="n">
        <v>44071</v>
      </c>
      <c r="C447" s="1" t="n">
        <v>45703</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41889-2020</t>
        </is>
      </c>
      <c r="B448" s="1" t="n">
        <v>44075</v>
      </c>
      <c r="C448" s="1" t="n">
        <v>45703</v>
      </c>
      <c r="D448" t="inlineStr">
        <is>
          <t>JÄMTLANDS LÄN</t>
        </is>
      </c>
      <c r="E448" t="inlineStr">
        <is>
          <t>RAGUNDA</t>
        </is>
      </c>
      <c r="F448" t="inlineStr">
        <is>
          <t>SCA</t>
        </is>
      </c>
      <c r="G448" t="n">
        <v>11.4</v>
      </c>
      <c r="H448" t="n">
        <v>0</v>
      </c>
      <c r="I448" t="n">
        <v>0</v>
      </c>
      <c r="J448" t="n">
        <v>0</v>
      </c>
      <c r="K448" t="n">
        <v>0</v>
      </c>
      <c r="L448" t="n">
        <v>0</v>
      </c>
      <c r="M448" t="n">
        <v>0</v>
      </c>
      <c r="N448" t="n">
        <v>0</v>
      </c>
      <c r="O448" t="n">
        <v>0</v>
      </c>
      <c r="P448" t="n">
        <v>0</v>
      </c>
      <c r="Q448" t="n">
        <v>0</v>
      </c>
      <c r="R448" s="2" t="inlineStr"/>
    </row>
    <row r="449" ht="15" customHeight="1">
      <c r="A449" t="inlineStr">
        <is>
          <t>A 41875-2020</t>
        </is>
      </c>
      <c r="B449" s="1" t="n">
        <v>44074</v>
      </c>
      <c r="C449" s="1" t="n">
        <v>45703</v>
      </c>
      <c r="D449" t="inlineStr">
        <is>
          <t>JÄMTLANDS LÄN</t>
        </is>
      </c>
      <c r="E449" t="inlineStr">
        <is>
          <t>RAGUNDA</t>
        </is>
      </c>
      <c r="F449" t="inlineStr">
        <is>
          <t>Naturvårdsverket</t>
        </is>
      </c>
      <c r="G449" t="n">
        <v>3.3</v>
      </c>
      <c r="H449" t="n">
        <v>0</v>
      </c>
      <c r="I449" t="n">
        <v>0</v>
      </c>
      <c r="J449" t="n">
        <v>0</v>
      </c>
      <c r="K449" t="n">
        <v>0</v>
      </c>
      <c r="L449" t="n">
        <v>0</v>
      </c>
      <c r="M449" t="n">
        <v>0</v>
      </c>
      <c r="N449" t="n">
        <v>0</v>
      </c>
      <c r="O449" t="n">
        <v>0</v>
      </c>
      <c r="P449" t="n">
        <v>0</v>
      </c>
      <c r="Q449" t="n">
        <v>0</v>
      </c>
      <c r="R449" s="2" t="inlineStr"/>
    </row>
    <row r="450" ht="15" customHeight="1">
      <c r="A450" t="inlineStr">
        <is>
          <t>A 41887-2020</t>
        </is>
      </c>
      <c r="B450" s="1" t="n">
        <v>44074</v>
      </c>
      <c r="C450" s="1" t="n">
        <v>45703</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41885-2020</t>
        </is>
      </c>
      <c r="B451" s="1" t="n">
        <v>44074</v>
      </c>
      <c r="C451" s="1" t="n">
        <v>45703</v>
      </c>
      <c r="D451" t="inlineStr">
        <is>
          <t>JÄMTLANDS LÄN</t>
        </is>
      </c>
      <c r="E451" t="inlineStr">
        <is>
          <t>RAGUNDA</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42208-2020</t>
        </is>
      </c>
      <c r="B452" s="1" t="n">
        <v>44075</v>
      </c>
      <c r="C452" s="1" t="n">
        <v>45703</v>
      </c>
      <c r="D452" t="inlineStr">
        <is>
          <t>JÄMTLANDS LÄN</t>
        </is>
      </c>
      <c r="E452" t="inlineStr">
        <is>
          <t>RAGUNDA</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42899-2020</t>
        </is>
      </c>
      <c r="B453" s="1" t="n">
        <v>44078</v>
      </c>
      <c r="C453" s="1" t="n">
        <v>45703</v>
      </c>
      <c r="D453" t="inlineStr">
        <is>
          <t>JÄMTLANDS LÄN</t>
        </is>
      </c>
      <c r="E453" t="inlineStr">
        <is>
          <t>RAGUNDA</t>
        </is>
      </c>
      <c r="G453" t="n">
        <v>0.6</v>
      </c>
      <c r="H453" t="n">
        <v>0</v>
      </c>
      <c r="I453" t="n">
        <v>0</v>
      </c>
      <c r="J453" t="n">
        <v>0</v>
      </c>
      <c r="K453" t="n">
        <v>0</v>
      </c>
      <c r="L453" t="n">
        <v>0</v>
      </c>
      <c r="M453" t="n">
        <v>0</v>
      </c>
      <c r="N453" t="n">
        <v>0</v>
      </c>
      <c r="O453" t="n">
        <v>0</v>
      </c>
      <c r="P453" t="n">
        <v>0</v>
      </c>
      <c r="Q453" t="n">
        <v>0</v>
      </c>
      <c r="R453" s="2" t="inlineStr"/>
    </row>
    <row r="454" ht="15" customHeight="1">
      <c r="A454" t="inlineStr">
        <is>
          <t>A 43828-2020</t>
        </is>
      </c>
      <c r="B454" s="1" t="n">
        <v>44082</v>
      </c>
      <c r="C454" s="1" t="n">
        <v>45703</v>
      </c>
      <c r="D454" t="inlineStr">
        <is>
          <t>JÄMTLANDS LÄN</t>
        </is>
      </c>
      <c r="E454" t="inlineStr">
        <is>
          <t>RAGUNDA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44511-2020</t>
        </is>
      </c>
      <c r="B455" s="1" t="n">
        <v>44084</v>
      </c>
      <c r="C455" s="1" t="n">
        <v>45703</v>
      </c>
      <c r="D455" t="inlineStr">
        <is>
          <t>JÄMTLANDS LÄN</t>
        </is>
      </c>
      <c r="E455" t="inlineStr">
        <is>
          <t>RAGUNDA</t>
        </is>
      </c>
      <c r="G455" t="n">
        <v>0.6</v>
      </c>
      <c r="H455" t="n">
        <v>0</v>
      </c>
      <c r="I455" t="n">
        <v>0</v>
      </c>
      <c r="J455" t="n">
        <v>0</v>
      </c>
      <c r="K455" t="n">
        <v>0</v>
      </c>
      <c r="L455" t="n">
        <v>0</v>
      </c>
      <c r="M455" t="n">
        <v>0</v>
      </c>
      <c r="N455" t="n">
        <v>0</v>
      </c>
      <c r="O455" t="n">
        <v>0</v>
      </c>
      <c r="P455" t="n">
        <v>0</v>
      </c>
      <c r="Q455" t="n">
        <v>0</v>
      </c>
      <c r="R455" s="2" t="inlineStr"/>
    </row>
    <row r="456" ht="15" customHeight="1">
      <c r="A456" t="inlineStr">
        <is>
          <t>A 44498-2020</t>
        </is>
      </c>
      <c r="B456" s="1" t="n">
        <v>44084</v>
      </c>
      <c r="C456" s="1" t="n">
        <v>45703</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45272-2020</t>
        </is>
      </c>
      <c r="B457" s="1" t="n">
        <v>44084</v>
      </c>
      <c r="C457" s="1" t="n">
        <v>45703</v>
      </c>
      <c r="D457" t="inlineStr">
        <is>
          <t>JÄMTLANDS LÄN</t>
        </is>
      </c>
      <c r="E457" t="inlineStr">
        <is>
          <t>RAGUNDA</t>
        </is>
      </c>
      <c r="G457" t="n">
        <v>4.7</v>
      </c>
      <c r="H457" t="n">
        <v>0</v>
      </c>
      <c r="I457" t="n">
        <v>0</v>
      </c>
      <c r="J457" t="n">
        <v>0</v>
      </c>
      <c r="K457" t="n">
        <v>0</v>
      </c>
      <c r="L457" t="n">
        <v>0</v>
      </c>
      <c r="M457" t="n">
        <v>0</v>
      </c>
      <c r="N457" t="n">
        <v>0</v>
      </c>
      <c r="O457" t="n">
        <v>0</v>
      </c>
      <c r="P457" t="n">
        <v>0</v>
      </c>
      <c r="Q457" t="n">
        <v>0</v>
      </c>
      <c r="R457" s="2" t="inlineStr"/>
    </row>
    <row r="458" ht="15" customHeight="1">
      <c r="A458" t="inlineStr">
        <is>
          <t>A 46920-2020</t>
        </is>
      </c>
      <c r="B458" s="1" t="n">
        <v>44090</v>
      </c>
      <c r="C458" s="1" t="n">
        <v>45703</v>
      </c>
      <c r="D458" t="inlineStr">
        <is>
          <t>JÄMTLANDS LÄN</t>
        </is>
      </c>
      <c r="E458" t="inlineStr">
        <is>
          <t>RAGUNDA</t>
        </is>
      </c>
      <c r="G458" t="n">
        <v>4</v>
      </c>
      <c r="H458" t="n">
        <v>0</v>
      </c>
      <c r="I458" t="n">
        <v>0</v>
      </c>
      <c r="J458" t="n">
        <v>0</v>
      </c>
      <c r="K458" t="n">
        <v>0</v>
      </c>
      <c r="L458" t="n">
        <v>0</v>
      </c>
      <c r="M458" t="n">
        <v>0</v>
      </c>
      <c r="N458" t="n">
        <v>0</v>
      </c>
      <c r="O458" t="n">
        <v>0</v>
      </c>
      <c r="P458" t="n">
        <v>0</v>
      </c>
      <c r="Q458" t="n">
        <v>0</v>
      </c>
      <c r="R458" s="2" t="inlineStr"/>
    </row>
    <row r="459" ht="15" customHeight="1">
      <c r="A459" t="inlineStr">
        <is>
          <t>A 46496-2020</t>
        </is>
      </c>
      <c r="B459" s="1" t="n">
        <v>44095</v>
      </c>
      <c r="C459" s="1" t="n">
        <v>45703</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47122-2020</t>
        </is>
      </c>
      <c r="B460" s="1" t="n">
        <v>44096</v>
      </c>
      <c r="C460" s="1" t="n">
        <v>45703</v>
      </c>
      <c r="D460" t="inlineStr">
        <is>
          <t>JÄMTLANDS LÄN</t>
        </is>
      </c>
      <c r="E460" t="inlineStr">
        <is>
          <t>RAGUNDA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47131-2020</t>
        </is>
      </c>
      <c r="B461" s="1" t="n">
        <v>44096</v>
      </c>
      <c r="C461" s="1" t="n">
        <v>45703</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47825-2020</t>
        </is>
      </c>
      <c r="B462" s="1" t="n">
        <v>44098</v>
      </c>
      <c r="C462" s="1" t="n">
        <v>45703</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48056-2020</t>
        </is>
      </c>
      <c r="B463" s="1" t="n">
        <v>44099</v>
      </c>
      <c r="C463" s="1" t="n">
        <v>45703</v>
      </c>
      <c r="D463" t="inlineStr">
        <is>
          <t>JÄMTLANDS LÄN</t>
        </is>
      </c>
      <c r="E463" t="inlineStr">
        <is>
          <t>RAGUNDA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48806-2020</t>
        </is>
      </c>
      <c r="B464" s="1" t="n">
        <v>44103</v>
      </c>
      <c r="C464" s="1" t="n">
        <v>45703</v>
      </c>
      <c r="D464" t="inlineStr">
        <is>
          <t>JÄMTLANDS LÄN</t>
        </is>
      </c>
      <c r="E464" t="inlineStr">
        <is>
          <t>RAGUNDA</t>
        </is>
      </c>
      <c r="F464" t="inlineStr">
        <is>
          <t>Naturvårdsverket</t>
        </is>
      </c>
      <c r="G464" t="n">
        <v>3</v>
      </c>
      <c r="H464" t="n">
        <v>0</v>
      </c>
      <c r="I464" t="n">
        <v>0</v>
      </c>
      <c r="J464" t="n">
        <v>0</v>
      </c>
      <c r="K464" t="n">
        <v>0</v>
      </c>
      <c r="L464" t="n">
        <v>0</v>
      </c>
      <c r="M464" t="n">
        <v>0</v>
      </c>
      <c r="N464" t="n">
        <v>0</v>
      </c>
      <c r="O464" t="n">
        <v>0</v>
      </c>
      <c r="P464" t="n">
        <v>0</v>
      </c>
      <c r="Q464" t="n">
        <v>0</v>
      </c>
      <c r="R464" s="2" t="inlineStr"/>
    </row>
    <row r="465" ht="15" customHeight="1">
      <c r="A465" t="inlineStr">
        <is>
          <t>A 51481-2020</t>
        </is>
      </c>
      <c r="B465" s="1" t="n">
        <v>44106</v>
      </c>
      <c r="C465" s="1" t="n">
        <v>45703</v>
      </c>
      <c r="D465" t="inlineStr">
        <is>
          <t>JÄMTLANDS LÄN</t>
        </is>
      </c>
      <c r="E465" t="inlineStr">
        <is>
          <t>RAGUNDA</t>
        </is>
      </c>
      <c r="G465" t="n">
        <v>4</v>
      </c>
      <c r="H465" t="n">
        <v>0</v>
      </c>
      <c r="I465" t="n">
        <v>0</v>
      </c>
      <c r="J465" t="n">
        <v>0</v>
      </c>
      <c r="K465" t="n">
        <v>0</v>
      </c>
      <c r="L465" t="n">
        <v>0</v>
      </c>
      <c r="M465" t="n">
        <v>0</v>
      </c>
      <c r="N465" t="n">
        <v>0</v>
      </c>
      <c r="O465" t="n">
        <v>0</v>
      </c>
      <c r="P465" t="n">
        <v>0</v>
      </c>
      <c r="Q465" t="n">
        <v>0</v>
      </c>
      <c r="R465" s="2" t="inlineStr"/>
    </row>
    <row r="466" ht="15" customHeight="1">
      <c r="A466" t="inlineStr">
        <is>
          <t>A 50988-2020</t>
        </is>
      </c>
      <c r="B466" s="1" t="n">
        <v>44111</v>
      </c>
      <c r="C466" s="1" t="n">
        <v>45703</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51016-2020</t>
        </is>
      </c>
      <c r="B467" s="1" t="n">
        <v>44111</v>
      </c>
      <c r="C467" s="1" t="n">
        <v>45703</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51004-2020</t>
        </is>
      </c>
      <c r="B468" s="1" t="n">
        <v>44111</v>
      </c>
      <c r="C468" s="1" t="n">
        <v>45703</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51685-2020</t>
        </is>
      </c>
      <c r="B469" s="1" t="n">
        <v>44113</v>
      </c>
      <c r="C469" s="1" t="n">
        <v>45703</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53522-2020</t>
        </is>
      </c>
      <c r="B470" s="1" t="n">
        <v>44124</v>
      </c>
      <c r="C470" s="1" t="n">
        <v>45703</v>
      </c>
      <c r="D470" t="inlineStr">
        <is>
          <t>JÄMTLANDS LÄN</t>
        </is>
      </c>
      <c r="E470" t="inlineStr">
        <is>
          <t>RAGUNDA</t>
        </is>
      </c>
      <c r="G470" t="n">
        <v>1.3</v>
      </c>
      <c r="H470" t="n">
        <v>0</v>
      </c>
      <c r="I470" t="n">
        <v>0</v>
      </c>
      <c r="J470" t="n">
        <v>0</v>
      </c>
      <c r="K470" t="n">
        <v>0</v>
      </c>
      <c r="L470" t="n">
        <v>0</v>
      </c>
      <c r="M470" t="n">
        <v>0</v>
      </c>
      <c r="N470" t="n">
        <v>0</v>
      </c>
      <c r="O470" t="n">
        <v>0</v>
      </c>
      <c r="P470" t="n">
        <v>0</v>
      </c>
      <c r="Q470" t="n">
        <v>0</v>
      </c>
      <c r="R470" s="2" t="inlineStr"/>
    </row>
    <row r="471" ht="15" customHeight="1">
      <c r="A471" t="inlineStr">
        <is>
          <t>A 54199-2020</t>
        </is>
      </c>
      <c r="B471" s="1" t="n">
        <v>44126</v>
      </c>
      <c r="C471" s="1" t="n">
        <v>45703</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54580-2020</t>
        </is>
      </c>
      <c r="B472" s="1" t="n">
        <v>44126</v>
      </c>
      <c r="C472" s="1" t="n">
        <v>45703</v>
      </c>
      <c r="D472" t="inlineStr">
        <is>
          <t>JÄMTLANDS LÄN</t>
        </is>
      </c>
      <c r="E472" t="inlineStr">
        <is>
          <t>RAGUNDA</t>
        </is>
      </c>
      <c r="G472" t="n">
        <v>2.8</v>
      </c>
      <c r="H472" t="n">
        <v>0</v>
      </c>
      <c r="I472" t="n">
        <v>0</v>
      </c>
      <c r="J472" t="n">
        <v>0</v>
      </c>
      <c r="K472" t="n">
        <v>0</v>
      </c>
      <c r="L472" t="n">
        <v>0</v>
      </c>
      <c r="M472" t="n">
        <v>0</v>
      </c>
      <c r="N472" t="n">
        <v>0</v>
      </c>
      <c r="O472" t="n">
        <v>0</v>
      </c>
      <c r="P472" t="n">
        <v>0</v>
      </c>
      <c r="Q472" t="n">
        <v>0</v>
      </c>
      <c r="R472" s="2" t="inlineStr"/>
    </row>
    <row r="473" ht="15" customHeight="1">
      <c r="A473" t="inlineStr">
        <is>
          <t>A 55309-2020</t>
        </is>
      </c>
      <c r="B473" s="1" t="n">
        <v>44130</v>
      </c>
      <c r="C473" s="1" t="n">
        <v>45703</v>
      </c>
      <c r="D473" t="inlineStr">
        <is>
          <t>JÄMTLANDS LÄN</t>
        </is>
      </c>
      <c r="E473" t="inlineStr">
        <is>
          <t>RAGUNDA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55926-2020</t>
        </is>
      </c>
      <c r="B474" s="1" t="n">
        <v>44132</v>
      </c>
      <c r="C474" s="1" t="n">
        <v>45703</v>
      </c>
      <c r="D474" t="inlineStr">
        <is>
          <t>JÄMTLANDS LÄN</t>
        </is>
      </c>
      <c r="E474" t="inlineStr">
        <is>
          <t>RAGUNDA</t>
        </is>
      </c>
      <c r="F474" t="inlineStr">
        <is>
          <t>SCA</t>
        </is>
      </c>
      <c r="G474" t="n">
        <v>11.5</v>
      </c>
      <c r="H474" t="n">
        <v>0</v>
      </c>
      <c r="I474" t="n">
        <v>0</v>
      </c>
      <c r="J474" t="n">
        <v>0</v>
      </c>
      <c r="K474" t="n">
        <v>0</v>
      </c>
      <c r="L474" t="n">
        <v>0</v>
      </c>
      <c r="M474" t="n">
        <v>0</v>
      </c>
      <c r="N474" t="n">
        <v>0</v>
      </c>
      <c r="O474" t="n">
        <v>0</v>
      </c>
      <c r="P474" t="n">
        <v>0</v>
      </c>
      <c r="Q474" t="n">
        <v>0</v>
      </c>
      <c r="R474" s="2" t="inlineStr"/>
    </row>
    <row r="475" ht="15" customHeight="1">
      <c r="A475" t="inlineStr">
        <is>
          <t>A 56339-2020</t>
        </is>
      </c>
      <c r="B475" s="1" t="n">
        <v>44134</v>
      </c>
      <c r="C475" s="1" t="n">
        <v>45703</v>
      </c>
      <c r="D475" t="inlineStr">
        <is>
          <t>JÄMTLANDS LÄN</t>
        </is>
      </c>
      <c r="E475" t="inlineStr">
        <is>
          <t>RAGUNDA</t>
        </is>
      </c>
      <c r="G475" t="n">
        <v>2.9</v>
      </c>
      <c r="H475" t="n">
        <v>0</v>
      </c>
      <c r="I475" t="n">
        <v>0</v>
      </c>
      <c r="J475" t="n">
        <v>0</v>
      </c>
      <c r="K475" t="n">
        <v>0</v>
      </c>
      <c r="L475" t="n">
        <v>0</v>
      </c>
      <c r="M475" t="n">
        <v>0</v>
      </c>
      <c r="N475" t="n">
        <v>0</v>
      </c>
      <c r="O475" t="n">
        <v>0</v>
      </c>
      <c r="P475" t="n">
        <v>0</v>
      </c>
      <c r="Q475" t="n">
        <v>0</v>
      </c>
      <c r="R475" s="2" t="inlineStr"/>
    </row>
    <row r="476" ht="15" customHeight="1">
      <c r="A476" t="inlineStr">
        <is>
          <t>A 56760-2020</t>
        </is>
      </c>
      <c r="B476" s="1" t="n">
        <v>44137</v>
      </c>
      <c r="C476" s="1" t="n">
        <v>45703</v>
      </c>
      <c r="D476" t="inlineStr">
        <is>
          <t>JÄMTLANDS LÄN</t>
        </is>
      </c>
      <c r="E476" t="inlineStr">
        <is>
          <t>RAGUNDA</t>
        </is>
      </c>
      <c r="G476" t="n">
        <v>1.9</v>
      </c>
      <c r="H476" t="n">
        <v>0</v>
      </c>
      <c r="I476" t="n">
        <v>0</v>
      </c>
      <c r="J476" t="n">
        <v>0</v>
      </c>
      <c r="K476" t="n">
        <v>0</v>
      </c>
      <c r="L476" t="n">
        <v>0</v>
      </c>
      <c r="M476" t="n">
        <v>0</v>
      </c>
      <c r="N476" t="n">
        <v>0</v>
      </c>
      <c r="O476" t="n">
        <v>0</v>
      </c>
      <c r="P476" t="n">
        <v>0</v>
      </c>
      <c r="Q476" t="n">
        <v>0</v>
      </c>
      <c r="R476" s="2" t="inlineStr"/>
    </row>
    <row r="477" ht="15" customHeight="1">
      <c r="A477" t="inlineStr">
        <is>
          <t>A 57246-2020</t>
        </is>
      </c>
      <c r="B477" s="1" t="n">
        <v>44138</v>
      </c>
      <c r="C477" s="1" t="n">
        <v>45703</v>
      </c>
      <c r="D477" t="inlineStr">
        <is>
          <t>JÄMTLANDS LÄN</t>
        </is>
      </c>
      <c r="E477" t="inlineStr">
        <is>
          <t>RAGUNDA</t>
        </is>
      </c>
      <c r="G477" t="n">
        <v>3.1</v>
      </c>
      <c r="H477" t="n">
        <v>0</v>
      </c>
      <c r="I477" t="n">
        <v>0</v>
      </c>
      <c r="J477" t="n">
        <v>0</v>
      </c>
      <c r="K477" t="n">
        <v>0</v>
      </c>
      <c r="L477" t="n">
        <v>0</v>
      </c>
      <c r="M477" t="n">
        <v>0</v>
      </c>
      <c r="N477" t="n">
        <v>0</v>
      </c>
      <c r="O477" t="n">
        <v>0</v>
      </c>
      <c r="P477" t="n">
        <v>0</v>
      </c>
      <c r="Q477" t="n">
        <v>0</v>
      </c>
      <c r="R477" s="2" t="inlineStr"/>
    </row>
    <row r="478" ht="15" customHeight="1">
      <c r="A478" t="inlineStr">
        <is>
          <t>A 57731-2020</t>
        </is>
      </c>
      <c r="B478" s="1" t="n">
        <v>44140</v>
      </c>
      <c r="C478" s="1" t="n">
        <v>45703</v>
      </c>
      <c r="D478" t="inlineStr">
        <is>
          <t>JÄMTLANDS LÄN</t>
        </is>
      </c>
      <c r="E478" t="inlineStr">
        <is>
          <t>RAGUNDA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57717-2020</t>
        </is>
      </c>
      <c r="B479" s="1" t="n">
        <v>44140</v>
      </c>
      <c r="C479" s="1" t="n">
        <v>45703</v>
      </c>
      <c r="D479" t="inlineStr">
        <is>
          <t>JÄMTLANDS LÄN</t>
        </is>
      </c>
      <c r="E479" t="inlineStr">
        <is>
          <t>RAGUNDA</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57730-2020</t>
        </is>
      </c>
      <c r="B480" s="1" t="n">
        <v>44140</v>
      </c>
      <c r="C480" s="1" t="n">
        <v>45703</v>
      </c>
      <c r="D480" t="inlineStr">
        <is>
          <t>JÄMTLANDS LÄN</t>
        </is>
      </c>
      <c r="E480" t="inlineStr">
        <is>
          <t>RAGUNDA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57713-2020</t>
        </is>
      </c>
      <c r="B481" s="1" t="n">
        <v>44140</v>
      </c>
      <c r="C481" s="1" t="n">
        <v>45703</v>
      </c>
      <c r="D481" t="inlineStr">
        <is>
          <t>JÄMTLANDS LÄN</t>
        </is>
      </c>
      <c r="E481" t="inlineStr">
        <is>
          <t>RAGUNDA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57941-2020</t>
        </is>
      </c>
      <c r="B482" s="1" t="n">
        <v>44141</v>
      </c>
      <c r="C482" s="1" t="n">
        <v>45703</v>
      </c>
      <c r="D482" t="inlineStr">
        <is>
          <t>JÄMTLANDS LÄN</t>
        </is>
      </c>
      <c r="E482" t="inlineStr">
        <is>
          <t>RAGUNDA</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60744-2020</t>
        </is>
      </c>
      <c r="B483" s="1" t="n">
        <v>44153</v>
      </c>
      <c r="C483" s="1" t="n">
        <v>45703</v>
      </c>
      <c r="D483" t="inlineStr">
        <is>
          <t>JÄMTLANDS LÄN</t>
        </is>
      </c>
      <c r="E483" t="inlineStr">
        <is>
          <t>RAGUNDA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61088-2020</t>
        </is>
      </c>
      <c r="B484" s="1" t="n">
        <v>44153</v>
      </c>
      <c r="C484" s="1" t="n">
        <v>45703</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61395-2020</t>
        </is>
      </c>
      <c r="B485" s="1" t="n">
        <v>44155</v>
      </c>
      <c r="C485" s="1" t="n">
        <v>45703</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61441-2020</t>
        </is>
      </c>
      <c r="B486" s="1" t="n">
        <v>44157</v>
      </c>
      <c r="C486" s="1" t="n">
        <v>45703</v>
      </c>
      <c r="D486" t="inlineStr">
        <is>
          <t>JÄMTLANDS LÄN</t>
        </is>
      </c>
      <c r="E486" t="inlineStr">
        <is>
          <t>RAGUNDA</t>
        </is>
      </c>
      <c r="G486" t="n">
        <v>0.4</v>
      </c>
      <c r="H486" t="n">
        <v>0</v>
      </c>
      <c r="I486" t="n">
        <v>0</v>
      </c>
      <c r="J486" t="n">
        <v>0</v>
      </c>
      <c r="K486" t="n">
        <v>0</v>
      </c>
      <c r="L486" t="n">
        <v>0</v>
      </c>
      <c r="M486" t="n">
        <v>0</v>
      </c>
      <c r="N486" t="n">
        <v>0</v>
      </c>
      <c r="O486" t="n">
        <v>0</v>
      </c>
      <c r="P486" t="n">
        <v>0</v>
      </c>
      <c r="Q486" t="n">
        <v>0</v>
      </c>
      <c r="R486" s="2" t="inlineStr"/>
    </row>
    <row r="487" ht="15" customHeight="1">
      <c r="A487" t="inlineStr">
        <is>
          <t>A 62228-2020</t>
        </is>
      </c>
      <c r="B487" s="1" t="n">
        <v>44159</v>
      </c>
      <c r="C487" s="1" t="n">
        <v>45703</v>
      </c>
      <c r="D487" t="inlineStr">
        <is>
          <t>JÄMTLANDS LÄN</t>
        </is>
      </c>
      <c r="E487" t="inlineStr">
        <is>
          <t>RAGUNDA</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63606-2020</t>
        </is>
      </c>
      <c r="B488" s="1" t="n">
        <v>44165</v>
      </c>
      <c r="C488" s="1" t="n">
        <v>45703</v>
      </c>
      <c r="D488" t="inlineStr">
        <is>
          <t>JÄMTLANDS LÄN</t>
        </is>
      </c>
      <c r="E488" t="inlineStr">
        <is>
          <t>RAGUNDA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63597-2020</t>
        </is>
      </c>
      <c r="B489" s="1" t="n">
        <v>44165</v>
      </c>
      <c r="C489" s="1" t="n">
        <v>45703</v>
      </c>
      <c r="D489" t="inlineStr">
        <is>
          <t>JÄMTLANDS LÄN</t>
        </is>
      </c>
      <c r="E489" t="inlineStr">
        <is>
          <t>RAGUNDA</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64187-2020</t>
        </is>
      </c>
      <c r="B490" s="1" t="n">
        <v>44167</v>
      </c>
      <c r="C490" s="1" t="n">
        <v>45703</v>
      </c>
      <c r="D490" t="inlineStr">
        <is>
          <t>JÄMTLANDS LÄN</t>
        </is>
      </c>
      <c r="E490" t="inlineStr">
        <is>
          <t>RAGUNDA</t>
        </is>
      </c>
      <c r="F490" t="inlineStr">
        <is>
          <t>SCA</t>
        </is>
      </c>
      <c r="G490" t="n">
        <v>7.8</v>
      </c>
      <c r="H490" t="n">
        <v>0</v>
      </c>
      <c r="I490" t="n">
        <v>0</v>
      </c>
      <c r="J490" t="n">
        <v>0</v>
      </c>
      <c r="K490" t="n">
        <v>0</v>
      </c>
      <c r="L490" t="n">
        <v>0</v>
      </c>
      <c r="M490" t="n">
        <v>0</v>
      </c>
      <c r="N490" t="n">
        <v>0</v>
      </c>
      <c r="O490" t="n">
        <v>0</v>
      </c>
      <c r="P490" t="n">
        <v>0</v>
      </c>
      <c r="Q490" t="n">
        <v>0</v>
      </c>
      <c r="R490" s="2" t="inlineStr"/>
    </row>
    <row r="491" ht="15" customHeight="1">
      <c r="A491" t="inlineStr">
        <is>
          <t>A 64386-2020</t>
        </is>
      </c>
      <c r="B491" s="1" t="n">
        <v>44168</v>
      </c>
      <c r="C491" s="1" t="n">
        <v>45703</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65260-2020</t>
        </is>
      </c>
      <c r="B492" s="1" t="n">
        <v>44172</v>
      </c>
      <c r="C492" s="1" t="n">
        <v>45703</v>
      </c>
      <c r="D492" t="inlineStr">
        <is>
          <t>JÄMTLANDS LÄN</t>
        </is>
      </c>
      <c r="E492" t="inlineStr">
        <is>
          <t>RAGUNDA</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65341-2020</t>
        </is>
      </c>
      <c r="B493" s="1" t="n">
        <v>44173</v>
      </c>
      <c r="C493" s="1" t="n">
        <v>45703</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65898-2020</t>
        </is>
      </c>
      <c r="B494" s="1" t="n">
        <v>44174</v>
      </c>
      <c r="C494" s="1" t="n">
        <v>45703</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66248-2020</t>
        </is>
      </c>
      <c r="B495" s="1" t="n">
        <v>44175</v>
      </c>
      <c r="C495" s="1" t="n">
        <v>45703</v>
      </c>
      <c r="D495" t="inlineStr">
        <is>
          <t>JÄMTLANDS LÄN</t>
        </is>
      </c>
      <c r="E495" t="inlineStr">
        <is>
          <t>RAGUNDA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69174-2020</t>
        </is>
      </c>
      <c r="B496" s="1" t="n">
        <v>44188</v>
      </c>
      <c r="C496" s="1" t="n">
        <v>45703</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69481-2020</t>
        </is>
      </c>
      <c r="B497" s="1" t="n">
        <v>44194</v>
      </c>
      <c r="C497" s="1" t="n">
        <v>45703</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69618-2020</t>
        </is>
      </c>
      <c r="B498" s="1" t="n">
        <v>44195</v>
      </c>
      <c r="C498" s="1" t="n">
        <v>45703</v>
      </c>
      <c r="D498" t="inlineStr">
        <is>
          <t>JÄMTLANDS LÄN</t>
        </is>
      </c>
      <c r="E498" t="inlineStr">
        <is>
          <t>RAGUNDA</t>
        </is>
      </c>
      <c r="G498" t="n">
        <v>2.4</v>
      </c>
      <c r="H498" t="n">
        <v>0</v>
      </c>
      <c r="I498" t="n">
        <v>0</v>
      </c>
      <c r="J498" t="n">
        <v>0</v>
      </c>
      <c r="K498" t="n">
        <v>0</v>
      </c>
      <c r="L498" t="n">
        <v>0</v>
      </c>
      <c r="M498" t="n">
        <v>0</v>
      </c>
      <c r="N498" t="n">
        <v>0</v>
      </c>
      <c r="O498" t="n">
        <v>0</v>
      </c>
      <c r="P498" t="n">
        <v>0</v>
      </c>
      <c r="Q498" t="n">
        <v>0</v>
      </c>
      <c r="R498" s="2" t="inlineStr"/>
    </row>
    <row r="499" ht="15" customHeight="1">
      <c r="A499" t="inlineStr">
        <is>
          <t>A 1990-2021</t>
        </is>
      </c>
      <c r="B499" s="1" t="n">
        <v>44210</v>
      </c>
      <c r="C499" s="1" t="n">
        <v>45703</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2469-2021</t>
        </is>
      </c>
      <c r="B500" s="1" t="n">
        <v>44214</v>
      </c>
      <c r="C500" s="1" t="n">
        <v>45703</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3571-2021</t>
        </is>
      </c>
      <c r="B501" s="1" t="n">
        <v>44218</v>
      </c>
      <c r="C501" s="1" t="n">
        <v>45703</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4826-2021</t>
        </is>
      </c>
      <c r="B502" s="1" t="n">
        <v>44225</v>
      </c>
      <c r="C502" s="1" t="n">
        <v>45703</v>
      </c>
      <c r="D502" t="inlineStr">
        <is>
          <t>JÄMTLANDS LÄN</t>
        </is>
      </c>
      <c r="E502" t="inlineStr">
        <is>
          <t>RAGUNDA</t>
        </is>
      </c>
      <c r="G502" t="n">
        <v>2.2</v>
      </c>
      <c r="H502" t="n">
        <v>0</v>
      </c>
      <c r="I502" t="n">
        <v>0</v>
      </c>
      <c r="J502" t="n">
        <v>0</v>
      </c>
      <c r="K502" t="n">
        <v>0</v>
      </c>
      <c r="L502" t="n">
        <v>0</v>
      </c>
      <c r="M502" t="n">
        <v>0</v>
      </c>
      <c r="N502" t="n">
        <v>0</v>
      </c>
      <c r="O502" t="n">
        <v>0</v>
      </c>
      <c r="P502" t="n">
        <v>0</v>
      </c>
      <c r="Q502" t="n">
        <v>0</v>
      </c>
      <c r="R502" s="2" t="inlineStr"/>
    </row>
    <row r="503" ht="15" customHeight="1">
      <c r="A503" t="inlineStr">
        <is>
          <t>A 5130-2021</t>
        </is>
      </c>
      <c r="B503" s="1" t="n">
        <v>44228</v>
      </c>
      <c r="C503" s="1" t="n">
        <v>45703</v>
      </c>
      <c r="D503" t="inlineStr">
        <is>
          <t>JÄMTLANDS LÄN</t>
        </is>
      </c>
      <c r="E503" t="inlineStr">
        <is>
          <t>RAGUNDA</t>
        </is>
      </c>
      <c r="G503" t="n">
        <v>1.6</v>
      </c>
      <c r="H503" t="n">
        <v>0</v>
      </c>
      <c r="I503" t="n">
        <v>0</v>
      </c>
      <c r="J503" t="n">
        <v>0</v>
      </c>
      <c r="K503" t="n">
        <v>0</v>
      </c>
      <c r="L503" t="n">
        <v>0</v>
      </c>
      <c r="M503" t="n">
        <v>0</v>
      </c>
      <c r="N503" t="n">
        <v>0</v>
      </c>
      <c r="O503" t="n">
        <v>0</v>
      </c>
      <c r="P503" t="n">
        <v>0</v>
      </c>
      <c r="Q503" t="n">
        <v>0</v>
      </c>
      <c r="R503" s="2" t="inlineStr"/>
    </row>
    <row r="504" ht="15" customHeight="1">
      <c r="A504" t="inlineStr">
        <is>
          <t>A 5462-2021</t>
        </is>
      </c>
      <c r="B504" s="1" t="n">
        <v>44229</v>
      </c>
      <c r="C504" s="1" t="n">
        <v>45703</v>
      </c>
      <c r="D504" t="inlineStr">
        <is>
          <t>JÄMTLANDS LÄN</t>
        </is>
      </c>
      <c r="E504" t="inlineStr">
        <is>
          <t>RAGUNDA</t>
        </is>
      </c>
      <c r="G504" t="n">
        <v>1.8</v>
      </c>
      <c r="H504" t="n">
        <v>0</v>
      </c>
      <c r="I504" t="n">
        <v>0</v>
      </c>
      <c r="J504" t="n">
        <v>0</v>
      </c>
      <c r="K504" t="n">
        <v>0</v>
      </c>
      <c r="L504" t="n">
        <v>0</v>
      </c>
      <c r="M504" t="n">
        <v>0</v>
      </c>
      <c r="N504" t="n">
        <v>0</v>
      </c>
      <c r="O504" t="n">
        <v>0</v>
      </c>
      <c r="P504" t="n">
        <v>0</v>
      </c>
      <c r="Q504" t="n">
        <v>0</v>
      </c>
      <c r="R504" s="2" t="inlineStr"/>
    </row>
    <row r="505" ht="15" customHeight="1">
      <c r="A505" t="inlineStr">
        <is>
          <t>A 5803-2021</t>
        </is>
      </c>
      <c r="B505" s="1" t="n">
        <v>44230</v>
      </c>
      <c r="C505" s="1" t="n">
        <v>45703</v>
      </c>
      <c r="D505" t="inlineStr">
        <is>
          <t>JÄMTLANDS LÄN</t>
        </is>
      </c>
      <c r="E505" t="inlineStr">
        <is>
          <t>RAGUNDA</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5967-2021</t>
        </is>
      </c>
      <c r="B506" s="1" t="n">
        <v>44231</v>
      </c>
      <c r="C506" s="1" t="n">
        <v>45703</v>
      </c>
      <c r="D506" t="inlineStr">
        <is>
          <t>JÄMTLANDS LÄN</t>
        </is>
      </c>
      <c r="E506" t="inlineStr">
        <is>
          <t>RAGUNDA</t>
        </is>
      </c>
      <c r="G506" t="n">
        <v>3.6</v>
      </c>
      <c r="H506" t="n">
        <v>0</v>
      </c>
      <c r="I506" t="n">
        <v>0</v>
      </c>
      <c r="J506" t="n">
        <v>0</v>
      </c>
      <c r="K506" t="n">
        <v>0</v>
      </c>
      <c r="L506" t="n">
        <v>0</v>
      </c>
      <c r="M506" t="n">
        <v>0</v>
      </c>
      <c r="N506" t="n">
        <v>0</v>
      </c>
      <c r="O506" t="n">
        <v>0</v>
      </c>
      <c r="P506" t="n">
        <v>0</v>
      </c>
      <c r="Q506" t="n">
        <v>0</v>
      </c>
      <c r="R506" s="2" t="inlineStr"/>
    </row>
    <row r="507" ht="15" customHeight="1">
      <c r="A507" t="inlineStr">
        <is>
          <t>A 5958-2021</t>
        </is>
      </c>
      <c r="B507" s="1" t="n">
        <v>44231</v>
      </c>
      <c r="C507" s="1" t="n">
        <v>45703</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6802-2021</t>
        </is>
      </c>
      <c r="B508" s="1" t="n">
        <v>44236</v>
      </c>
      <c r="C508" s="1" t="n">
        <v>45703</v>
      </c>
      <c r="D508" t="inlineStr">
        <is>
          <t>JÄMTLANDS LÄN</t>
        </is>
      </c>
      <c r="E508" t="inlineStr">
        <is>
          <t>RAGUNDA</t>
        </is>
      </c>
      <c r="G508" t="n">
        <v>11.2</v>
      </c>
      <c r="H508" t="n">
        <v>0</v>
      </c>
      <c r="I508" t="n">
        <v>0</v>
      </c>
      <c r="J508" t="n">
        <v>0</v>
      </c>
      <c r="K508" t="n">
        <v>0</v>
      </c>
      <c r="L508" t="n">
        <v>0</v>
      </c>
      <c r="M508" t="n">
        <v>0</v>
      </c>
      <c r="N508" t="n">
        <v>0</v>
      </c>
      <c r="O508" t="n">
        <v>0</v>
      </c>
      <c r="P508" t="n">
        <v>0</v>
      </c>
      <c r="Q508" t="n">
        <v>0</v>
      </c>
      <c r="R508" s="2" t="inlineStr"/>
    </row>
    <row r="509" ht="15" customHeight="1">
      <c r="A509" t="inlineStr">
        <is>
          <t>A 7575-2021</t>
        </is>
      </c>
      <c r="B509" s="1" t="n">
        <v>44239</v>
      </c>
      <c r="C509" s="1" t="n">
        <v>45703</v>
      </c>
      <c r="D509" t="inlineStr">
        <is>
          <t>JÄMTLANDS LÄN</t>
        </is>
      </c>
      <c r="E509" t="inlineStr">
        <is>
          <t>RAGUNDA</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7886-2021</t>
        </is>
      </c>
      <c r="B510" s="1" t="n">
        <v>44242</v>
      </c>
      <c r="C510" s="1" t="n">
        <v>45703</v>
      </c>
      <c r="D510" t="inlineStr">
        <is>
          <t>JÄMTLANDS LÄN</t>
        </is>
      </c>
      <c r="E510" t="inlineStr">
        <is>
          <t>RAGUNDA</t>
        </is>
      </c>
      <c r="F510" t="inlineStr">
        <is>
          <t>SCA</t>
        </is>
      </c>
      <c r="G510" t="n">
        <v>3.7</v>
      </c>
      <c r="H510" t="n">
        <v>0</v>
      </c>
      <c r="I510" t="n">
        <v>0</v>
      </c>
      <c r="J510" t="n">
        <v>0</v>
      </c>
      <c r="K510" t="n">
        <v>0</v>
      </c>
      <c r="L510" t="n">
        <v>0</v>
      </c>
      <c r="M510" t="n">
        <v>0</v>
      </c>
      <c r="N510" t="n">
        <v>0</v>
      </c>
      <c r="O510" t="n">
        <v>0</v>
      </c>
      <c r="P510" t="n">
        <v>0</v>
      </c>
      <c r="Q510" t="n">
        <v>0</v>
      </c>
      <c r="R510" s="2" t="inlineStr"/>
    </row>
    <row r="511" ht="15" customHeight="1">
      <c r="A511" t="inlineStr">
        <is>
          <t>A 8033-2021</t>
        </is>
      </c>
      <c r="B511" s="1" t="n">
        <v>44243</v>
      </c>
      <c r="C511" s="1" t="n">
        <v>45703</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8626-2021</t>
        </is>
      </c>
      <c r="B512" s="1" t="n">
        <v>44245</v>
      </c>
      <c r="C512" s="1" t="n">
        <v>45703</v>
      </c>
      <c r="D512" t="inlineStr">
        <is>
          <t>JÄMTLANDS LÄN</t>
        </is>
      </c>
      <c r="E512" t="inlineStr">
        <is>
          <t>RAGUNDA</t>
        </is>
      </c>
      <c r="G512" t="n">
        <v>3.3</v>
      </c>
      <c r="H512" t="n">
        <v>0</v>
      </c>
      <c r="I512" t="n">
        <v>0</v>
      </c>
      <c r="J512" t="n">
        <v>0</v>
      </c>
      <c r="K512" t="n">
        <v>0</v>
      </c>
      <c r="L512" t="n">
        <v>0</v>
      </c>
      <c r="M512" t="n">
        <v>0</v>
      </c>
      <c r="N512" t="n">
        <v>0</v>
      </c>
      <c r="O512" t="n">
        <v>0</v>
      </c>
      <c r="P512" t="n">
        <v>0</v>
      </c>
      <c r="Q512" t="n">
        <v>0</v>
      </c>
      <c r="R512" s="2" t="inlineStr"/>
    </row>
    <row r="513" ht="15" customHeight="1">
      <c r="A513" t="inlineStr">
        <is>
          <t>A 10938-2021</t>
        </is>
      </c>
      <c r="B513" s="1" t="n">
        <v>44259</v>
      </c>
      <c r="C513" s="1" t="n">
        <v>45703</v>
      </c>
      <c r="D513" t="inlineStr">
        <is>
          <t>JÄMTLANDS LÄN</t>
        </is>
      </c>
      <c r="E513" t="inlineStr">
        <is>
          <t>RAGUNDA</t>
        </is>
      </c>
      <c r="G513" t="n">
        <v>10.4</v>
      </c>
      <c r="H513" t="n">
        <v>0</v>
      </c>
      <c r="I513" t="n">
        <v>0</v>
      </c>
      <c r="J513" t="n">
        <v>0</v>
      </c>
      <c r="K513" t="n">
        <v>0</v>
      </c>
      <c r="L513" t="n">
        <v>0</v>
      </c>
      <c r="M513" t="n">
        <v>0</v>
      </c>
      <c r="N513" t="n">
        <v>0</v>
      </c>
      <c r="O513" t="n">
        <v>0</v>
      </c>
      <c r="P513" t="n">
        <v>0</v>
      </c>
      <c r="Q513" t="n">
        <v>0</v>
      </c>
      <c r="R513" s="2" t="inlineStr"/>
    </row>
    <row r="514" ht="15" customHeight="1">
      <c r="A514" t="inlineStr">
        <is>
          <t>A 10937-2021</t>
        </is>
      </c>
      <c r="B514" s="1" t="n">
        <v>44259</v>
      </c>
      <c r="C514" s="1" t="n">
        <v>45703</v>
      </c>
      <c r="D514" t="inlineStr">
        <is>
          <t>JÄMTLANDS LÄN</t>
        </is>
      </c>
      <c r="E514" t="inlineStr">
        <is>
          <t>RAGUNDA</t>
        </is>
      </c>
      <c r="G514" t="n">
        <v>10.8</v>
      </c>
      <c r="H514" t="n">
        <v>0</v>
      </c>
      <c r="I514" t="n">
        <v>0</v>
      </c>
      <c r="J514" t="n">
        <v>0</v>
      </c>
      <c r="K514" t="n">
        <v>0</v>
      </c>
      <c r="L514" t="n">
        <v>0</v>
      </c>
      <c r="M514" t="n">
        <v>0</v>
      </c>
      <c r="N514" t="n">
        <v>0</v>
      </c>
      <c r="O514" t="n">
        <v>0</v>
      </c>
      <c r="P514" t="n">
        <v>0</v>
      </c>
      <c r="Q514" t="n">
        <v>0</v>
      </c>
      <c r="R514" s="2" t="inlineStr"/>
    </row>
    <row r="515" ht="15" customHeight="1">
      <c r="A515" t="inlineStr">
        <is>
          <t>A 13571-2021</t>
        </is>
      </c>
      <c r="B515" s="1" t="n">
        <v>44273</v>
      </c>
      <c r="C515" s="1" t="n">
        <v>45703</v>
      </c>
      <c r="D515" t="inlineStr">
        <is>
          <t>JÄMTLANDS LÄN</t>
        </is>
      </c>
      <c r="E515" t="inlineStr">
        <is>
          <t>RAGUNDA</t>
        </is>
      </c>
      <c r="G515" t="n">
        <v>1.9</v>
      </c>
      <c r="H515" t="n">
        <v>0</v>
      </c>
      <c r="I515" t="n">
        <v>0</v>
      </c>
      <c r="J515" t="n">
        <v>0</v>
      </c>
      <c r="K515" t="n">
        <v>0</v>
      </c>
      <c r="L515" t="n">
        <v>0</v>
      </c>
      <c r="M515" t="n">
        <v>0</v>
      </c>
      <c r="N515" t="n">
        <v>0</v>
      </c>
      <c r="O515" t="n">
        <v>0</v>
      </c>
      <c r="P515" t="n">
        <v>0</v>
      </c>
      <c r="Q515" t="n">
        <v>0</v>
      </c>
      <c r="R515" s="2" t="inlineStr"/>
    </row>
    <row r="516" ht="15" customHeight="1">
      <c r="A516" t="inlineStr">
        <is>
          <t>A 13570-2021</t>
        </is>
      </c>
      <c r="B516" s="1" t="n">
        <v>44273</v>
      </c>
      <c r="C516" s="1" t="n">
        <v>45703</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13569-2021</t>
        </is>
      </c>
      <c r="B517" s="1" t="n">
        <v>44273</v>
      </c>
      <c r="C517" s="1" t="n">
        <v>45703</v>
      </c>
      <c r="D517" t="inlineStr">
        <is>
          <t>JÄMTLANDS LÄN</t>
        </is>
      </c>
      <c r="E517" t="inlineStr">
        <is>
          <t>RAGUNDA</t>
        </is>
      </c>
      <c r="G517" t="n">
        <v>2.6</v>
      </c>
      <c r="H517" t="n">
        <v>0</v>
      </c>
      <c r="I517" t="n">
        <v>0</v>
      </c>
      <c r="J517" t="n">
        <v>0</v>
      </c>
      <c r="K517" t="n">
        <v>0</v>
      </c>
      <c r="L517" t="n">
        <v>0</v>
      </c>
      <c r="M517" t="n">
        <v>0</v>
      </c>
      <c r="N517" t="n">
        <v>0</v>
      </c>
      <c r="O517" t="n">
        <v>0</v>
      </c>
      <c r="P517" t="n">
        <v>0</v>
      </c>
      <c r="Q517" t="n">
        <v>0</v>
      </c>
      <c r="R517" s="2" t="inlineStr"/>
    </row>
    <row r="518" ht="15" customHeight="1">
      <c r="A518" t="inlineStr">
        <is>
          <t>A 14790-2021</t>
        </is>
      </c>
      <c r="B518" s="1" t="n">
        <v>44280</v>
      </c>
      <c r="C518" s="1" t="n">
        <v>45703</v>
      </c>
      <c r="D518" t="inlineStr">
        <is>
          <t>JÄMTLANDS LÄN</t>
        </is>
      </c>
      <c r="E518" t="inlineStr">
        <is>
          <t>RAGUNDA</t>
        </is>
      </c>
      <c r="G518" t="n">
        <v>1</v>
      </c>
      <c r="H518" t="n">
        <v>0</v>
      </c>
      <c r="I518" t="n">
        <v>0</v>
      </c>
      <c r="J518" t="n">
        <v>0</v>
      </c>
      <c r="K518" t="n">
        <v>0</v>
      </c>
      <c r="L518" t="n">
        <v>0</v>
      </c>
      <c r="M518" t="n">
        <v>0</v>
      </c>
      <c r="N518" t="n">
        <v>0</v>
      </c>
      <c r="O518" t="n">
        <v>0</v>
      </c>
      <c r="P518" t="n">
        <v>0</v>
      </c>
      <c r="Q518" t="n">
        <v>0</v>
      </c>
      <c r="R518" s="2" t="inlineStr"/>
    </row>
    <row r="519" ht="15" customHeight="1">
      <c r="A519" t="inlineStr">
        <is>
          <t>A 14776-2021</t>
        </is>
      </c>
      <c r="B519" s="1" t="n">
        <v>44280</v>
      </c>
      <c r="C519" s="1" t="n">
        <v>45703</v>
      </c>
      <c r="D519" t="inlineStr">
        <is>
          <t>JÄMTLANDS LÄN</t>
        </is>
      </c>
      <c r="E519" t="inlineStr">
        <is>
          <t>RAGUNDA</t>
        </is>
      </c>
      <c r="G519" t="n">
        <v>0.8</v>
      </c>
      <c r="H519" t="n">
        <v>0</v>
      </c>
      <c r="I519" t="n">
        <v>0</v>
      </c>
      <c r="J519" t="n">
        <v>0</v>
      </c>
      <c r="K519" t="n">
        <v>0</v>
      </c>
      <c r="L519" t="n">
        <v>0</v>
      </c>
      <c r="M519" t="n">
        <v>0</v>
      </c>
      <c r="N519" t="n">
        <v>0</v>
      </c>
      <c r="O519" t="n">
        <v>0</v>
      </c>
      <c r="P519" t="n">
        <v>0</v>
      </c>
      <c r="Q519" t="n">
        <v>0</v>
      </c>
      <c r="R519" s="2" t="inlineStr"/>
    </row>
    <row r="520" ht="15" customHeight="1">
      <c r="A520" t="inlineStr">
        <is>
          <t>A 15102-2021</t>
        </is>
      </c>
      <c r="B520" s="1" t="n">
        <v>44281</v>
      </c>
      <c r="C520" s="1" t="n">
        <v>45703</v>
      </c>
      <c r="D520" t="inlineStr">
        <is>
          <t>JÄMTLANDS LÄN</t>
        </is>
      </c>
      <c r="E520" t="inlineStr">
        <is>
          <t>RAGUNDA</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15720-2021</t>
        </is>
      </c>
      <c r="B521" s="1" t="n">
        <v>44286</v>
      </c>
      <c r="C521" s="1" t="n">
        <v>45703</v>
      </c>
      <c r="D521" t="inlineStr">
        <is>
          <t>JÄMTLANDS LÄN</t>
        </is>
      </c>
      <c r="E521" t="inlineStr">
        <is>
          <t>RAGUNDA</t>
        </is>
      </c>
      <c r="G521" t="n">
        <v>0.5</v>
      </c>
      <c r="H521" t="n">
        <v>0</v>
      </c>
      <c r="I521" t="n">
        <v>0</v>
      </c>
      <c r="J521" t="n">
        <v>0</v>
      </c>
      <c r="K521" t="n">
        <v>0</v>
      </c>
      <c r="L521" t="n">
        <v>0</v>
      </c>
      <c r="M521" t="n">
        <v>0</v>
      </c>
      <c r="N521" t="n">
        <v>0</v>
      </c>
      <c r="O521" t="n">
        <v>0</v>
      </c>
      <c r="P521" t="n">
        <v>0</v>
      </c>
      <c r="Q521" t="n">
        <v>0</v>
      </c>
      <c r="R521" s="2" t="inlineStr"/>
    </row>
    <row r="522" ht="15" customHeight="1">
      <c r="A522" t="inlineStr">
        <is>
          <t>A 15672-2021</t>
        </is>
      </c>
      <c r="B522" s="1" t="n">
        <v>44286</v>
      </c>
      <c r="C522" s="1" t="n">
        <v>45703</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16002-2021</t>
        </is>
      </c>
      <c r="B523" s="1" t="n">
        <v>44287</v>
      </c>
      <c r="C523" s="1" t="n">
        <v>45703</v>
      </c>
      <c r="D523" t="inlineStr">
        <is>
          <t>JÄMTLANDS LÄN</t>
        </is>
      </c>
      <c r="E523" t="inlineStr">
        <is>
          <t>RAGUNDA</t>
        </is>
      </c>
      <c r="G523" t="n">
        <v>3.6</v>
      </c>
      <c r="H523" t="n">
        <v>0</v>
      </c>
      <c r="I523" t="n">
        <v>0</v>
      </c>
      <c r="J523" t="n">
        <v>0</v>
      </c>
      <c r="K523" t="n">
        <v>0</v>
      </c>
      <c r="L523" t="n">
        <v>0</v>
      </c>
      <c r="M523" t="n">
        <v>0</v>
      </c>
      <c r="N523" t="n">
        <v>0</v>
      </c>
      <c r="O523" t="n">
        <v>0</v>
      </c>
      <c r="P523" t="n">
        <v>0</v>
      </c>
      <c r="Q523" t="n">
        <v>0</v>
      </c>
      <c r="R523" s="2" t="inlineStr"/>
    </row>
    <row r="524" ht="15" customHeight="1">
      <c r="A524" t="inlineStr">
        <is>
          <t>A 16379-2021</t>
        </is>
      </c>
      <c r="B524" s="1" t="n">
        <v>44292</v>
      </c>
      <c r="C524" s="1" t="n">
        <v>45703</v>
      </c>
      <c r="D524" t="inlineStr">
        <is>
          <t>JÄMTLANDS LÄN</t>
        </is>
      </c>
      <c r="E524" t="inlineStr">
        <is>
          <t>RAGUNDA</t>
        </is>
      </c>
      <c r="G524" t="n">
        <v>2</v>
      </c>
      <c r="H524" t="n">
        <v>0</v>
      </c>
      <c r="I524" t="n">
        <v>0</v>
      </c>
      <c r="J524" t="n">
        <v>0</v>
      </c>
      <c r="K524" t="n">
        <v>0</v>
      </c>
      <c r="L524" t="n">
        <v>0</v>
      </c>
      <c r="M524" t="n">
        <v>0</v>
      </c>
      <c r="N524" t="n">
        <v>0</v>
      </c>
      <c r="O524" t="n">
        <v>0</v>
      </c>
      <c r="P524" t="n">
        <v>0</v>
      </c>
      <c r="Q524" t="n">
        <v>0</v>
      </c>
      <c r="R524" s="2" t="inlineStr"/>
    </row>
    <row r="525" ht="15" customHeight="1">
      <c r="A525" t="inlineStr">
        <is>
          <t>A 17315-2021</t>
        </is>
      </c>
      <c r="B525" s="1" t="n">
        <v>44298</v>
      </c>
      <c r="C525" s="1" t="n">
        <v>45703</v>
      </c>
      <c r="D525" t="inlineStr">
        <is>
          <t>JÄMTLANDS LÄN</t>
        </is>
      </c>
      <c r="E525" t="inlineStr">
        <is>
          <t>RAGUNDA</t>
        </is>
      </c>
      <c r="G525" t="n">
        <v>0.6</v>
      </c>
      <c r="H525" t="n">
        <v>0</v>
      </c>
      <c r="I525" t="n">
        <v>0</v>
      </c>
      <c r="J525" t="n">
        <v>0</v>
      </c>
      <c r="K525" t="n">
        <v>0</v>
      </c>
      <c r="L525" t="n">
        <v>0</v>
      </c>
      <c r="M525" t="n">
        <v>0</v>
      </c>
      <c r="N525" t="n">
        <v>0</v>
      </c>
      <c r="O525" t="n">
        <v>0</v>
      </c>
      <c r="P525" t="n">
        <v>0</v>
      </c>
      <c r="Q525" t="n">
        <v>0</v>
      </c>
      <c r="R525" s="2" t="inlineStr"/>
    </row>
    <row r="526" ht="15" customHeight="1">
      <c r="A526" t="inlineStr">
        <is>
          <t>A 17598-2021</t>
        </is>
      </c>
      <c r="B526" s="1" t="n">
        <v>44299</v>
      </c>
      <c r="C526" s="1" t="n">
        <v>45703</v>
      </c>
      <c r="D526" t="inlineStr">
        <is>
          <t>JÄMTLANDS LÄN</t>
        </is>
      </c>
      <c r="E526" t="inlineStr">
        <is>
          <t>RAGUNDA</t>
        </is>
      </c>
      <c r="G526" t="n">
        <v>4.6</v>
      </c>
      <c r="H526" t="n">
        <v>0</v>
      </c>
      <c r="I526" t="n">
        <v>0</v>
      </c>
      <c r="J526" t="n">
        <v>0</v>
      </c>
      <c r="K526" t="n">
        <v>0</v>
      </c>
      <c r="L526" t="n">
        <v>0</v>
      </c>
      <c r="M526" t="n">
        <v>0</v>
      </c>
      <c r="N526" t="n">
        <v>0</v>
      </c>
      <c r="O526" t="n">
        <v>0</v>
      </c>
      <c r="P526" t="n">
        <v>0</v>
      </c>
      <c r="Q526" t="n">
        <v>0</v>
      </c>
      <c r="R526" s="2" t="inlineStr"/>
    </row>
    <row r="527" ht="15" customHeight="1">
      <c r="A527" t="inlineStr">
        <is>
          <t>A 18454-2021</t>
        </is>
      </c>
      <c r="B527" s="1" t="n">
        <v>44306</v>
      </c>
      <c r="C527" s="1" t="n">
        <v>45703</v>
      </c>
      <c r="D527" t="inlineStr">
        <is>
          <t>JÄMTLANDS LÄN</t>
        </is>
      </c>
      <c r="E527" t="inlineStr">
        <is>
          <t>RAGUNDA</t>
        </is>
      </c>
      <c r="G527" t="n">
        <v>1.3</v>
      </c>
      <c r="H527" t="n">
        <v>0</v>
      </c>
      <c r="I527" t="n">
        <v>0</v>
      </c>
      <c r="J527" t="n">
        <v>0</v>
      </c>
      <c r="K527" t="n">
        <v>0</v>
      </c>
      <c r="L527" t="n">
        <v>0</v>
      </c>
      <c r="M527" t="n">
        <v>0</v>
      </c>
      <c r="N527" t="n">
        <v>0</v>
      </c>
      <c r="O527" t="n">
        <v>0</v>
      </c>
      <c r="P527" t="n">
        <v>0</v>
      </c>
      <c r="Q527" t="n">
        <v>0</v>
      </c>
      <c r="R527" s="2" t="inlineStr"/>
    </row>
    <row r="528" ht="15" customHeight="1">
      <c r="A528" t="inlineStr">
        <is>
          <t>A 19615-2021</t>
        </is>
      </c>
      <c r="B528" s="1" t="n">
        <v>44308</v>
      </c>
      <c r="C528" s="1" t="n">
        <v>45703</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19612-2021</t>
        </is>
      </c>
      <c r="B529" s="1" t="n">
        <v>44308</v>
      </c>
      <c r="C529" s="1" t="n">
        <v>45703</v>
      </c>
      <c r="D529" t="inlineStr">
        <is>
          <t>JÄMTLANDS LÄN</t>
        </is>
      </c>
      <c r="E529" t="inlineStr">
        <is>
          <t>RAGUNDA</t>
        </is>
      </c>
      <c r="G529" t="n">
        <v>1</v>
      </c>
      <c r="H529" t="n">
        <v>0</v>
      </c>
      <c r="I529" t="n">
        <v>0</v>
      </c>
      <c r="J529" t="n">
        <v>0</v>
      </c>
      <c r="K529" t="n">
        <v>0</v>
      </c>
      <c r="L529" t="n">
        <v>0</v>
      </c>
      <c r="M529" t="n">
        <v>0</v>
      </c>
      <c r="N529" t="n">
        <v>0</v>
      </c>
      <c r="O529" t="n">
        <v>0</v>
      </c>
      <c r="P529" t="n">
        <v>0</v>
      </c>
      <c r="Q529" t="n">
        <v>0</v>
      </c>
      <c r="R529" s="2" t="inlineStr"/>
    </row>
    <row r="530" ht="15" customHeight="1">
      <c r="A530" t="inlineStr">
        <is>
          <t>A 19600-2021</t>
        </is>
      </c>
      <c r="B530" s="1" t="n">
        <v>44308</v>
      </c>
      <c r="C530" s="1" t="n">
        <v>45703</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19595-2021</t>
        </is>
      </c>
      <c r="B531" s="1" t="n">
        <v>44308</v>
      </c>
      <c r="C531" s="1" t="n">
        <v>45703</v>
      </c>
      <c r="D531" t="inlineStr">
        <is>
          <t>JÄMTLANDS LÄN</t>
        </is>
      </c>
      <c r="E531" t="inlineStr">
        <is>
          <t>RAGUNDA</t>
        </is>
      </c>
      <c r="G531" t="n">
        <v>5.4</v>
      </c>
      <c r="H531" t="n">
        <v>0</v>
      </c>
      <c r="I531" t="n">
        <v>0</v>
      </c>
      <c r="J531" t="n">
        <v>0</v>
      </c>
      <c r="K531" t="n">
        <v>0</v>
      </c>
      <c r="L531" t="n">
        <v>0</v>
      </c>
      <c r="M531" t="n">
        <v>0</v>
      </c>
      <c r="N531" t="n">
        <v>0</v>
      </c>
      <c r="O531" t="n">
        <v>0</v>
      </c>
      <c r="P531" t="n">
        <v>0</v>
      </c>
      <c r="Q531" t="n">
        <v>0</v>
      </c>
      <c r="R531" s="2" t="inlineStr"/>
    </row>
    <row r="532" ht="15" customHeight="1">
      <c r="A532" t="inlineStr">
        <is>
          <t>A 20548-2021</t>
        </is>
      </c>
      <c r="B532" s="1" t="n">
        <v>44315</v>
      </c>
      <c r="C532" s="1" t="n">
        <v>45703</v>
      </c>
      <c r="D532" t="inlineStr">
        <is>
          <t>JÄMTLANDS LÄN</t>
        </is>
      </c>
      <c r="E532" t="inlineStr">
        <is>
          <t>RAGUNDA</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22655-2021</t>
        </is>
      </c>
      <c r="B533" s="1" t="n">
        <v>44322</v>
      </c>
      <c r="C533" s="1" t="n">
        <v>45703</v>
      </c>
      <c r="D533" t="inlineStr">
        <is>
          <t>JÄMTLANDS LÄN</t>
        </is>
      </c>
      <c r="E533" t="inlineStr">
        <is>
          <t>RAGUNDA</t>
        </is>
      </c>
      <c r="G533" t="n">
        <v>5.8</v>
      </c>
      <c r="H533" t="n">
        <v>0</v>
      </c>
      <c r="I533" t="n">
        <v>0</v>
      </c>
      <c r="J533" t="n">
        <v>0</v>
      </c>
      <c r="K533" t="n">
        <v>0</v>
      </c>
      <c r="L533" t="n">
        <v>0</v>
      </c>
      <c r="M533" t="n">
        <v>0</v>
      </c>
      <c r="N533" t="n">
        <v>0</v>
      </c>
      <c r="O533" t="n">
        <v>0</v>
      </c>
      <c r="P533" t="n">
        <v>0</v>
      </c>
      <c r="Q533" t="n">
        <v>0</v>
      </c>
      <c r="R533" s="2" t="inlineStr"/>
    </row>
    <row r="534" ht="15" customHeight="1">
      <c r="A534" t="inlineStr">
        <is>
          <t>A 22131-2021</t>
        </is>
      </c>
      <c r="B534" s="1" t="n">
        <v>44323</v>
      </c>
      <c r="C534" s="1" t="n">
        <v>45703</v>
      </c>
      <c r="D534" t="inlineStr">
        <is>
          <t>JÄMTLANDS LÄN</t>
        </is>
      </c>
      <c r="E534" t="inlineStr">
        <is>
          <t>RAGUNDA</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23169-2021</t>
        </is>
      </c>
      <c r="B535" s="1" t="n">
        <v>44332</v>
      </c>
      <c r="C535" s="1" t="n">
        <v>45703</v>
      </c>
      <c r="D535" t="inlineStr">
        <is>
          <t>JÄMTLANDS LÄN</t>
        </is>
      </c>
      <c r="E535" t="inlineStr">
        <is>
          <t>RAGUNDA</t>
        </is>
      </c>
      <c r="F535" t="inlineStr">
        <is>
          <t>SCA</t>
        </is>
      </c>
      <c r="G535" t="n">
        <v>59.9</v>
      </c>
      <c r="H535" t="n">
        <v>0</v>
      </c>
      <c r="I535" t="n">
        <v>0</v>
      </c>
      <c r="J535" t="n">
        <v>0</v>
      </c>
      <c r="K535" t="n">
        <v>0</v>
      </c>
      <c r="L535" t="n">
        <v>0</v>
      </c>
      <c r="M535" t="n">
        <v>0</v>
      </c>
      <c r="N535" t="n">
        <v>0</v>
      </c>
      <c r="O535" t="n">
        <v>0</v>
      </c>
      <c r="P535" t="n">
        <v>0</v>
      </c>
      <c r="Q535" t="n">
        <v>0</v>
      </c>
      <c r="R535" s="2" t="inlineStr"/>
    </row>
    <row r="536" ht="15" customHeight="1">
      <c r="A536" t="inlineStr">
        <is>
          <t>A 24171-2021</t>
        </is>
      </c>
      <c r="B536" s="1" t="n">
        <v>44336</v>
      </c>
      <c r="C536" s="1" t="n">
        <v>45703</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24280-2021</t>
        </is>
      </c>
      <c r="B537" s="1" t="n">
        <v>44336</v>
      </c>
      <c r="C537" s="1" t="n">
        <v>45703</v>
      </c>
      <c r="D537" t="inlineStr">
        <is>
          <t>JÄMTLANDS LÄN</t>
        </is>
      </c>
      <c r="E537" t="inlineStr">
        <is>
          <t>RAGUNDA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25811-2021</t>
        </is>
      </c>
      <c r="B538" s="1" t="n">
        <v>44344</v>
      </c>
      <c r="C538" s="1" t="n">
        <v>45703</v>
      </c>
      <c r="D538" t="inlineStr">
        <is>
          <t>JÄMTLANDS LÄN</t>
        </is>
      </c>
      <c r="E538" t="inlineStr">
        <is>
          <t>RAGUNDA</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26942-2021</t>
        </is>
      </c>
      <c r="B539" s="1" t="n">
        <v>44350</v>
      </c>
      <c r="C539" s="1" t="n">
        <v>45703</v>
      </c>
      <c r="D539" t="inlineStr">
        <is>
          <t>JÄMTLANDS LÄN</t>
        </is>
      </c>
      <c r="E539" t="inlineStr">
        <is>
          <t>RAGUNDA</t>
        </is>
      </c>
      <c r="G539" t="n">
        <v>6.2</v>
      </c>
      <c r="H539" t="n">
        <v>0</v>
      </c>
      <c r="I539" t="n">
        <v>0</v>
      </c>
      <c r="J539" t="n">
        <v>0</v>
      </c>
      <c r="K539" t="n">
        <v>0</v>
      </c>
      <c r="L539" t="n">
        <v>0</v>
      </c>
      <c r="M539" t="n">
        <v>0</v>
      </c>
      <c r="N539" t="n">
        <v>0</v>
      </c>
      <c r="O539" t="n">
        <v>0</v>
      </c>
      <c r="P539" t="n">
        <v>0</v>
      </c>
      <c r="Q539" t="n">
        <v>0</v>
      </c>
      <c r="R539" s="2" t="inlineStr"/>
    </row>
    <row r="540" ht="15" customHeight="1">
      <c r="A540" t="inlineStr">
        <is>
          <t>A 26948-2021</t>
        </is>
      </c>
      <c r="B540" s="1" t="n">
        <v>44350</v>
      </c>
      <c r="C540" s="1" t="n">
        <v>45703</v>
      </c>
      <c r="D540" t="inlineStr">
        <is>
          <t>JÄMTLANDS LÄN</t>
        </is>
      </c>
      <c r="E540" t="inlineStr">
        <is>
          <t>RAGUNDA</t>
        </is>
      </c>
      <c r="G540" t="n">
        <v>2.5</v>
      </c>
      <c r="H540" t="n">
        <v>0</v>
      </c>
      <c r="I540" t="n">
        <v>0</v>
      </c>
      <c r="J540" t="n">
        <v>0</v>
      </c>
      <c r="K540" t="n">
        <v>0</v>
      </c>
      <c r="L540" t="n">
        <v>0</v>
      </c>
      <c r="M540" t="n">
        <v>0</v>
      </c>
      <c r="N540" t="n">
        <v>0</v>
      </c>
      <c r="O540" t="n">
        <v>0</v>
      </c>
      <c r="P540" t="n">
        <v>0</v>
      </c>
      <c r="Q540" t="n">
        <v>0</v>
      </c>
      <c r="R540" s="2" t="inlineStr"/>
    </row>
    <row r="541" ht="15" customHeight="1">
      <c r="A541" t="inlineStr">
        <is>
          <t>A 26945-2021</t>
        </is>
      </c>
      <c r="B541" s="1" t="n">
        <v>44350</v>
      </c>
      <c r="C541" s="1" t="n">
        <v>45703</v>
      </c>
      <c r="D541" t="inlineStr">
        <is>
          <t>JÄMTLANDS LÄN</t>
        </is>
      </c>
      <c r="E541" t="inlineStr">
        <is>
          <t>RAGUNDA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26946-2021</t>
        </is>
      </c>
      <c r="B542" s="1" t="n">
        <v>44349</v>
      </c>
      <c r="C542" s="1" t="n">
        <v>45703</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27399-2021</t>
        </is>
      </c>
      <c r="B543" s="1" t="n">
        <v>44351</v>
      </c>
      <c r="C543" s="1" t="n">
        <v>45703</v>
      </c>
      <c r="D543" t="inlineStr">
        <is>
          <t>JÄMTLANDS LÄN</t>
        </is>
      </c>
      <c r="E543" t="inlineStr">
        <is>
          <t>RAGUNDA</t>
        </is>
      </c>
      <c r="F543" t="inlineStr">
        <is>
          <t>Kommuner</t>
        </is>
      </c>
      <c r="G543" t="n">
        <v>3.1</v>
      </c>
      <c r="H543" t="n">
        <v>0</v>
      </c>
      <c r="I543" t="n">
        <v>0</v>
      </c>
      <c r="J543" t="n">
        <v>0</v>
      </c>
      <c r="K543" t="n">
        <v>0</v>
      </c>
      <c r="L543" t="n">
        <v>0</v>
      </c>
      <c r="M543" t="n">
        <v>0</v>
      </c>
      <c r="N543" t="n">
        <v>0</v>
      </c>
      <c r="O543" t="n">
        <v>0</v>
      </c>
      <c r="P543" t="n">
        <v>0</v>
      </c>
      <c r="Q543" t="n">
        <v>0</v>
      </c>
      <c r="R543" s="2" t="inlineStr"/>
    </row>
    <row r="544" ht="15" customHeight="1">
      <c r="A544" t="inlineStr">
        <is>
          <t>A 27371-2021</t>
        </is>
      </c>
      <c r="B544" s="1" t="n">
        <v>44351</v>
      </c>
      <c r="C544" s="1" t="n">
        <v>45703</v>
      </c>
      <c r="D544" t="inlineStr">
        <is>
          <t>JÄMTLANDS LÄN</t>
        </is>
      </c>
      <c r="E544" t="inlineStr">
        <is>
          <t>RAGUNDA</t>
        </is>
      </c>
      <c r="F544" t="inlineStr">
        <is>
          <t>Kommuner</t>
        </is>
      </c>
      <c r="G544" t="n">
        <v>2.5</v>
      </c>
      <c r="H544" t="n">
        <v>0</v>
      </c>
      <c r="I544" t="n">
        <v>0</v>
      </c>
      <c r="J544" t="n">
        <v>0</v>
      </c>
      <c r="K544" t="n">
        <v>0</v>
      </c>
      <c r="L544" t="n">
        <v>0</v>
      </c>
      <c r="M544" t="n">
        <v>0</v>
      </c>
      <c r="N544" t="n">
        <v>0</v>
      </c>
      <c r="O544" t="n">
        <v>0</v>
      </c>
      <c r="P544" t="n">
        <v>0</v>
      </c>
      <c r="Q544" t="n">
        <v>0</v>
      </c>
      <c r="R544" s="2" t="inlineStr"/>
    </row>
    <row r="545" ht="15" customHeight="1">
      <c r="A545" t="inlineStr">
        <is>
          <t>A 28596-2021</t>
        </is>
      </c>
      <c r="B545" s="1" t="n">
        <v>44356</v>
      </c>
      <c r="C545" s="1" t="n">
        <v>45703</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28597-2021</t>
        </is>
      </c>
      <c r="B546" s="1" t="n">
        <v>44357</v>
      </c>
      <c r="C546" s="1" t="n">
        <v>45703</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28887-2021</t>
        </is>
      </c>
      <c r="B547" s="1" t="n">
        <v>44357</v>
      </c>
      <c r="C547" s="1" t="n">
        <v>45703</v>
      </c>
      <c r="D547" t="inlineStr">
        <is>
          <t>JÄMTLANDS LÄN</t>
        </is>
      </c>
      <c r="E547" t="inlineStr">
        <is>
          <t>RAGUNDA</t>
        </is>
      </c>
      <c r="G547" t="n">
        <v>1.8</v>
      </c>
      <c r="H547" t="n">
        <v>0</v>
      </c>
      <c r="I547" t="n">
        <v>0</v>
      </c>
      <c r="J547" t="n">
        <v>0</v>
      </c>
      <c r="K547" t="n">
        <v>0</v>
      </c>
      <c r="L547" t="n">
        <v>0</v>
      </c>
      <c r="M547" t="n">
        <v>0</v>
      </c>
      <c r="N547" t="n">
        <v>0</v>
      </c>
      <c r="O547" t="n">
        <v>0</v>
      </c>
      <c r="P547" t="n">
        <v>0</v>
      </c>
      <c r="Q547" t="n">
        <v>0</v>
      </c>
      <c r="R547" s="2" t="inlineStr"/>
    </row>
    <row r="548" ht="15" customHeight="1">
      <c r="A548" t="inlineStr">
        <is>
          <t>A 29409-2021</t>
        </is>
      </c>
      <c r="B548" s="1" t="n">
        <v>44361</v>
      </c>
      <c r="C548" s="1" t="n">
        <v>45703</v>
      </c>
      <c r="D548" t="inlineStr">
        <is>
          <t>JÄMTLANDS LÄN</t>
        </is>
      </c>
      <c r="E548" t="inlineStr">
        <is>
          <t>RAGUNDA</t>
        </is>
      </c>
      <c r="G548" t="n">
        <v>0.3</v>
      </c>
      <c r="H548" t="n">
        <v>0</v>
      </c>
      <c r="I548" t="n">
        <v>0</v>
      </c>
      <c r="J548" t="n">
        <v>0</v>
      </c>
      <c r="K548" t="n">
        <v>0</v>
      </c>
      <c r="L548" t="n">
        <v>0</v>
      </c>
      <c r="M548" t="n">
        <v>0</v>
      </c>
      <c r="N548" t="n">
        <v>0</v>
      </c>
      <c r="O548" t="n">
        <v>0</v>
      </c>
      <c r="P548" t="n">
        <v>0</v>
      </c>
      <c r="Q548" t="n">
        <v>0</v>
      </c>
      <c r="R548" s="2" t="inlineStr"/>
    </row>
    <row r="549" ht="15" customHeight="1">
      <c r="A549" t="inlineStr">
        <is>
          <t>A 30438-2021</t>
        </is>
      </c>
      <c r="B549" s="1" t="n">
        <v>44362</v>
      </c>
      <c r="C549" s="1" t="n">
        <v>45703</v>
      </c>
      <c r="D549" t="inlineStr">
        <is>
          <t>JÄMTLANDS LÄN</t>
        </is>
      </c>
      <c r="E549" t="inlineStr">
        <is>
          <t>RAGUNDA</t>
        </is>
      </c>
      <c r="G549" t="n">
        <v>5</v>
      </c>
      <c r="H549" t="n">
        <v>0</v>
      </c>
      <c r="I549" t="n">
        <v>0</v>
      </c>
      <c r="J549" t="n">
        <v>0</v>
      </c>
      <c r="K549" t="n">
        <v>0</v>
      </c>
      <c r="L549" t="n">
        <v>0</v>
      </c>
      <c r="M549" t="n">
        <v>0</v>
      </c>
      <c r="N549" t="n">
        <v>0</v>
      </c>
      <c r="O549" t="n">
        <v>0</v>
      </c>
      <c r="P549" t="n">
        <v>0</v>
      </c>
      <c r="Q549" t="n">
        <v>0</v>
      </c>
      <c r="R549" s="2" t="inlineStr"/>
    </row>
    <row r="550" ht="15" customHeight="1">
      <c r="A550" t="inlineStr">
        <is>
          <t>A 30459-2021</t>
        </is>
      </c>
      <c r="B550" s="1" t="n">
        <v>44362</v>
      </c>
      <c r="C550" s="1" t="n">
        <v>45703</v>
      </c>
      <c r="D550" t="inlineStr">
        <is>
          <t>JÄMTLANDS LÄN</t>
        </is>
      </c>
      <c r="E550" t="inlineStr">
        <is>
          <t>RAGUNDA</t>
        </is>
      </c>
      <c r="G550" t="n">
        <v>1</v>
      </c>
      <c r="H550" t="n">
        <v>0</v>
      </c>
      <c r="I550" t="n">
        <v>0</v>
      </c>
      <c r="J550" t="n">
        <v>0</v>
      </c>
      <c r="K550" t="n">
        <v>0</v>
      </c>
      <c r="L550" t="n">
        <v>0</v>
      </c>
      <c r="M550" t="n">
        <v>0</v>
      </c>
      <c r="N550" t="n">
        <v>0</v>
      </c>
      <c r="O550" t="n">
        <v>0</v>
      </c>
      <c r="P550" t="n">
        <v>0</v>
      </c>
      <c r="Q550" t="n">
        <v>0</v>
      </c>
      <c r="R550" s="2" t="inlineStr"/>
    </row>
    <row r="551" ht="15" customHeight="1">
      <c r="A551" t="inlineStr">
        <is>
          <t>A 30581-2021</t>
        </is>
      </c>
      <c r="B551" s="1" t="n">
        <v>44365</v>
      </c>
      <c r="C551" s="1" t="n">
        <v>45703</v>
      </c>
      <c r="D551" t="inlineStr">
        <is>
          <t>JÄMTLANDS LÄN</t>
        </is>
      </c>
      <c r="E551" t="inlineStr">
        <is>
          <t>RAGUNDA</t>
        </is>
      </c>
      <c r="G551" t="n">
        <v>4.2</v>
      </c>
      <c r="H551" t="n">
        <v>0</v>
      </c>
      <c r="I551" t="n">
        <v>0</v>
      </c>
      <c r="J551" t="n">
        <v>0</v>
      </c>
      <c r="K551" t="n">
        <v>0</v>
      </c>
      <c r="L551" t="n">
        <v>0</v>
      </c>
      <c r="M551" t="n">
        <v>0</v>
      </c>
      <c r="N551" t="n">
        <v>0</v>
      </c>
      <c r="O551" t="n">
        <v>0</v>
      </c>
      <c r="P551" t="n">
        <v>0</v>
      </c>
      <c r="Q551" t="n">
        <v>0</v>
      </c>
      <c r="R551" s="2" t="inlineStr"/>
    </row>
    <row r="552" ht="15" customHeight="1">
      <c r="A552" t="inlineStr">
        <is>
          <t>A 31158-2021</t>
        </is>
      </c>
      <c r="B552" s="1" t="n">
        <v>44368</v>
      </c>
      <c r="C552" s="1" t="n">
        <v>45703</v>
      </c>
      <c r="D552" t="inlineStr">
        <is>
          <t>JÄMTLANDS LÄN</t>
        </is>
      </c>
      <c r="E552" t="inlineStr">
        <is>
          <t>RAGUNDA</t>
        </is>
      </c>
      <c r="G552" t="n">
        <v>0.5</v>
      </c>
      <c r="H552" t="n">
        <v>0</v>
      </c>
      <c r="I552" t="n">
        <v>0</v>
      </c>
      <c r="J552" t="n">
        <v>0</v>
      </c>
      <c r="K552" t="n">
        <v>0</v>
      </c>
      <c r="L552" t="n">
        <v>0</v>
      </c>
      <c r="M552" t="n">
        <v>0</v>
      </c>
      <c r="N552" t="n">
        <v>0</v>
      </c>
      <c r="O552" t="n">
        <v>0</v>
      </c>
      <c r="P552" t="n">
        <v>0</v>
      </c>
      <c r="Q552" t="n">
        <v>0</v>
      </c>
      <c r="R552" s="2" t="inlineStr"/>
    </row>
    <row r="553" ht="15" customHeight="1">
      <c r="A553" t="inlineStr">
        <is>
          <t>A 31727-2021</t>
        </is>
      </c>
      <c r="B553" s="1" t="n">
        <v>44370</v>
      </c>
      <c r="C553" s="1" t="n">
        <v>45703</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32832-2021</t>
        </is>
      </c>
      <c r="B554" s="1" t="n">
        <v>44375</v>
      </c>
      <c r="C554" s="1" t="n">
        <v>45703</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34348-2021</t>
        </is>
      </c>
      <c r="B555" s="1" t="n">
        <v>44379</v>
      </c>
      <c r="C555" s="1" t="n">
        <v>45703</v>
      </c>
      <c r="D555" t="inlineStr">
        <is>
          <t>JÄMTLANDS LÄN</t>
        </is>
      </c>
      <c r="E555" t="inlineStr">
        <is>
          <t>RAGUNDA</t>
        </is>
      </c>
      <c r="G555" t="n">
        <v>8.1</v>
      </c>
      <c r="H555" t="n">
        <v>0</v>
      </c>
      <c r="I555" t="n">
        <v>0</v>
      </c>
      <c r="J555" t="n">
        <v>0</v>
      </c>
      <c r="K555" t="n">
        <v>0</v>
      </c>
      <c r="L555" t="n">
        <v>0</v>
      </c>
      <c r="M555" t="n">
        <v>0</v>
      </c>
      <c r="N555" t="n">
        <v>0</v>
      </c>
      <c r="O555" t="n">
        <v>0</v>
      </c>
      <c r="P555" t="n">
        <v>0</v>
      </c>
      <c r="Q555" t="n">
        <v>0</v>
      </c>
      <c r="R555" s="2" t="inlineStr"/>
    </row>
    <row r="556" ht="15" customHeight="1">
      <c r="A556" t="inlineStr">
        <is>
          <t>A 35537-2021</t>
        </is>
      </c>
      <c r="B556" s="1" t="n">
        <v>44384</v>
      </c>
      <c r="C556" s="1" t="n">
        <v>45703</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35386-2021</t>
        </is>
      </c>
      <c r="B557" s="1" t="n">
        <v>44385</v>
      </c>
      <c r="C557" s="1" t="n">
        <v>45703</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35988-2021</t>
        </is>
      </c>
      <c r="B558" s="1" t="n">
        <v>44385</v>
      </c>
      <c r="C558" s="1" t="n">
        <v>45703</v>
      </c>
      <c r="D558" t="inlineStr">
        <is>
          <t>JÄMTLANDS LÄN</t>
        </is>
      </c>
      <c r="E558" t="inlineStr">
        <is>
          <t>RAGUNDA</t>
        </is>
      </c>
      <c r="G558" t="n">
        <v>4.1</v>
      </c>
      <c r="H558" t="n">
        <v>0</v>
      </c>
      <c r="I558" t="n">
        <v>0</v>
      </c>
      <c r="J558" t="n">
        <v>0</v>
      </c>
      <c r="K558" t="n">
        <v>0</v>
      </c>
      <c r="L558" t="n">
        <v>0</v>
      </c>
      <c r="M558" t="n">
        <v>0</v>
      </c>
      <c r="N558" t="n">
        <v>0</v>
      </c>
      <c r="O558" t="n">
        <v>0</v>
      </c>
      <c r="P558" t="n">
        <v>0</v>
      </c>
      <c r="Q558" t="n">
        <v>0</v>
      </c>
      <c r="R558" s="2" t="inlineStr"/>
    </row>
    <row r="559" ht="15" customHeight="1">
      <c r="A559" t="inlineStr">
        <is>
          <t>A 36227-2021</t>
        </is>
      </c>
      <c r="B559" s="1" t="n">
        <v>44390</v>
      </c>
      <c r="C559" s="1" t="n">
        <v>45703</v>
      </c>
      <c r="D559" t="inlineStr">
        <is>
          <t>JÄMTLANDS LÄN</t>
        </is>
      </c>
      <c r="E559" t="inlineStr">
        <is>
          <t>RAGUNDA</t>
        </is>
      </c>
      <c r="G559" t="n">
        <v>0.7</v>
      </c>
      <c r="H559" t="n">
        <v>0</v>
      </c>
      <c r="I559" t="n">
        <v>0</v>
      </c>
      <c r="J559" t="n">
        <v>0</v>
      </c>
      <c r="K559" t="n">
        <v>0</v>
      </c>
      <c r="L559" t="n">
        <v>0</v>
      </c>
      <c r="M559" t="n">
        <v>0</v>
      </c>
      <c r="N559" t="n">
        <v>0</v>
      </c>
      <c r="O559" t="n">
        <v>0</v>
      </c>
      <c r="P559" t="n">
        <v>0</v>
      </c>
      <c r="Q559" t="n">
        <v>0</v>
      </c>
      <c r="R559" s="2" t="inlineStr"/>
    </row>
    <row r="560" ht="15" customHeight="1">
      <c r="A560" t="inlineStr">
        <is>
          <t>A 36228-2021</t>
        </is>
      </c>
      <c r="B560" s="1" t="n">
        <v>44390</v>
      </c>
      <c r="C560" s="1" t="n">
        <v>45703</v>
      </c>
      <c r="D560" t="inlineStr">
        <is>
          <t>JÄMTLANDS LÄN</t>
        </is>
      </c>
      <c r="E560" t="inlineStr">
        <is>
          <t>RAGUNDA</t>
        </is>
      </c>
      <c r="G560" t="n">
        <v>1.7</v>
      </c>
      <c r="H560" t="n">
        <v>0</v>
      </c>
      <c r="I560" t="n">
        <v>0</v>
      </c>
      <c r="J560" t="n">
        <v>0</v>
      </c>
      <c r="K560" t="n">
        <v>0</v>
      </c>
      <c r="L560" t="n">
        <v>0</v>
      </c>
      <c r="M560" t="n">
        <v>0</v>
      </c>
      <c r="N560" t="n">
        <v>0</v>
      </c>
      <c r="O560" t="n">
        <v>0</v>
      </c>
      <c r="P560" t="n">
        <v>0</v>
      </c>
      <c r="Q560" t="n">
        <v>0</v>
      </c>
      <c r="R560" s="2" t="inlineStr"/>
    </row>
    <row r="561" ht="15" customHeight="1">
      <c r="A561" t="inlineStr">
        <is>
          <t>A 36230-2021</t>
        </is>
      </c>
      <c r="B561" s="1" t="n">
        <v>44390</v>
      </c>
      <c r="C561" s="1" t="n">
        <v>45703</v>
      </c>
      <c r="D561" t="inlineStr">
        <is>
          <t>JÄMTLANDS LÄN</t>
        </is>
      </c>
      <c r="E561" t="inlineStr">
        <is>
          <t>RAGUNDA</t>
        </is>
      </c>
      <c r="G561" t="n">
        <v>1.1</v>
      </c>
      <c r="H561" t="n">
        <v>0</v>
      </c>
      <c r="I561" t="n">
        <v>0</v>
      </c>
      <c r="J561" t="n">
        <v>0</v>
      </c>
      <c r="K561" t="n">
        <v>0</v>
      </c>
      <c r="L561" t="n">
        <v>0</v>
      </c>
      <c r="M561" t="n">
        <v>0</v>
      </c>
      <c r="N561" t="n">
        <v>0</v>
      </c>
      <c r="O561" t="n">
        <v>0</v>
      </c>
      <c r="P561" t="n">
        <v>0</v>
      </c>
      <c r="Q561" t="n">
        <v>0</v>
      </c>
      <c r="R561" s="2" t="inlineStr"/>
    </row>
    <row r="562" ht="15" customHeight="1">
      <c r="A562" t="inlineStr">
        <is>
          <t>A 37227-2021</t>
        </is>
      </c>
      <c r="B562" s="1" t="n">
        <v>44396</v>
      </c>
      <c r="C562" s="1" t="n">
        <v>45703</v>
      </c>
      <c r="D562" t="inlineStr">
        <is>
          <t>JÄMTLANDS LÄN</t>
        </is>
      </c>
      <c r="E562" t="inlineStr">
        <is>
          <t>RAGUNDA</t>
        </is>
      </c>
      <c r="G562" t="n">
        <v>10.1</v>
      </c>
      <c r="H562" t="n">
        <v>0</v>
      </c>
      <c r="I562" t="n">
        <v>0</v>
      </c>
      <c r="J562" t="n">
        <v>0</v>
      </c>
      <c r="K562" t="n">
        <v>0</v>
      </c>
      <c r="L562" t="n">
        <v>0</v>
      </c>
      <c r="M562" t="n">
        <v>0</v>
      </c>
      <c r="N562" t="n">
        <v>0</v>
      </c>
      <c r="O562" t="n">
        <v>0</v>
      </c>
      <c r="P562" t="n">
        <v>0</v>
      </c>
      <c r="Q562" t="n">
        <v>0</v>
      </c>
      <c r="R562" s="2" t="inlineStr"/>
    </row>
    <row r="563" ht="15" customHeight="1">
      <c r="A563" t="inlineStr">
        <is>
          <t>A 37806-2021</t>
        </is>
      </c>
      <c r="B563" s="1" t="n">
        <v>44402</v>
      </c>
      <c r="C563" s="1" t="n">
        <v>45703</v>
      </c>
      <c r="D563" t="inlineStr">
        <is>
          <t>JÄMTLANDS LÄN</t>
        </is>
      </c>
      <c r="E563" t="inlineStr">
        <is>
          <t>RAGUNDA</t>
        </is>
      </c>
      <c r="G563" t="n">
        <v>0.3</v>
      </c>
      <c r="H563" t="n">
        <v>0</v>
      </c>
      <c r="I563" t="n">
        <v>0</v>
      </c>
      <c r="J563" t="n">
        <v>0</v>
      </c>
      <c r="K563" t="n">
        <v>0</v>
      </c>
      <c r="L563" t="n">
        <v>0</v>
      </c>
      <c r="M563" t="n">
        <v>0</v>
      </c>
      <c r="N563" t="n">
        <v>0</v>
      </c>
      <c r="O563" t="n">
        <v>0</v>
      </c>
      <c r="P563" t="n">
        <v>0</v>
      </c>
      <c r="Q563" t="n">
        <v>0</v>
      </c>
      <c r="R563" s="2" t="inlineStr"/>
    </row>
    <row r="564" ht="15" customHeight="1">
      <c r="A564" t="inlineStr">
        <is>
          <t>A 38212-2021</t>
        </is>
      </c>
      <c r="B564" s="1" t="n">
        <v>44405</v>
      </c>
      <c r="C564" s="1" t="n">
        <v>45703</v>
      </c>
      <c r="D564" t="inlineStr">
        <is>
          <t>JÄMTLANDS LÄN</t>
        </is>
      </c>
      <c r="E564" t="inlineStr">
        <is>
          <t>RAGUNDA</t>
        </is>
      </c>
      <c r="G564" t="n">
        <v>5.5</v>
      </c>
      <c r="H564" t="n">
        <v>0</v>
      </c>
      <c r="I564" t="n">
        <v>0</v>
      </c>
      <c r="J564" t="n">
        <v>0</v>
      </c>
      <c r="K564" t="n">
        <v>0</v>
      </c>
      <c r="L564" t="n">
        <v>0</v>
      </c>
      <c r="M564" t="n">
        <v>0</v>
      </c>
      <c r="N564" t="n">
        <v>0</v>
      </c>
      <c r="O564" t="n">
        <v>0</v>
      </c>
      <c r="P564" t="n">
        <v>0</v>
      </c>
      <c r="Q564" t="n">
        <v>0</v>
      </c>
      <c r="R564" s="2" t="inlineStr"/>
    </row>
    <row r="565" ht="15" customHeight="1">
      <c r="A565" t="inlineStr">
        <is>
          <t>A 38270-2021</t>
        </is>
      </c>
      <c r="B565" s="1" t="n">
        <v>44406</v>
      </c>
      <c r="C565" s="1" t="n">
        <v>45703</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38269-2021</t>
        </is>
      </c>
      <c r="B566" s="1" t="n">
        <v>44406</v>
      </c>
      <c r="C566" s="1" t="n">
        <v>45703</v>
      </c>
      <c r="D566" t="inlineStr">
        <is>
          <t>JÄMTLANDS LÄN</t>
        </is>
      </c>
      <c r="E566" t="inlineStr">
        <is>
          <t>RAGUNDA</t>
        </is>
      </c>
      <c r="G566" t="n">
        <v>2</v>
      </c>
      <c r="H566" t="n">
        <v>0</v>
      </c>
      <c r="I566" t="n">
        <v>0</v>
      </c>
      <c r="J566" t="n">
        <v>0</v>
      </c>
      <c r="K566" t="n">
        <v>0</v>
      </c>
      <c r="L566" t="n">
        <v>0</v>
      </c>
      <c r="M566" t="n">
        <v>0</v>
      </c>
      <c r="N566" t="n">
        <v>0</v>
      </c>
      <c r="O566" t="n">
        <v>0</v>
      </c>
      <c r="P566" t="n">
        <v>0</v>
      </c>
      <c r="Q566" t="n">
        <v>0</v>
      </c>
      <c r="R566" s="2" t="inlineStr"/>
    </row>
    <row r="567" ht="15" customHeight="1">
      <c r="A567" t="inlineStr">
        <is>
          <t>A 38782-2021</t>
        </is>
      </c>
      <c r="B567" s="1" t="n">
        <v>44410</v>
      </c>
      <c r="C567" s="1" t="n">
        <v>45703</v>
      </c>
      <c r="D567" t="inlineStr">
        <is>
          <t>JÄMTLANDS LÄN</t>
        </is>
      </c>
      <c r="E567" t="inlineStr">
        <is>
          <t>RAGUNDA</t>
        </is>
      </c>
      <c r="G567" t="n">
        <v>3.2</v>
      </c>
      <c r="H567" t="n">
        <v>0</v>
      </c>
      <c r="I567" t="n">
        <v>0</v>
      </c>
      <c r="J567" t="n">
        <v>0</v>
      </c>
      <c r="K567" t="n">
        <v>0</v>
      </c>
      <c r="L567" t="n">
        <v>0</v>
      </c>
      <c r="M567" t="n">
        <v>0</v>
      </c>
      <c r="N567" t="n">
        <v>0</v>
      </c>
      <c r="O567" t="n">
        <v>0</v>
      </c>
      <c r="P567" t="n">
        <v>0</v>
      </c>
      <c r="Q567" t="n">
        <v>0</v>
      </c>
      <c r="R567" s="2" t="inlineStr"/>
    </row>
    <row r="568" ht="15" customHeight="1">
      <c r="A568" t="inlineStr">
        <is>
          <t>A 39258-2021</t>
        </is>
      </c>
      <c r="B568" s="1" t="n">
        <v>44413</v>
      </c>
      <c r="C568" s="1" t="n">
        <v>45703</v>
      </c>
      <c r="D568" t="inlineStr">
        <is>
          <t>JÄMTLANDS LÄN</t>
        </is>
      </c>
      <c r="E568" t="inlineStr">
        <is>
          <t>RAGUNDA</t>
        </is>
      </c>
      <c r="G568" t="n">
        <v>4.2</v>
      </c>
      <c r="H568" t="n">
        <v>0</v>
      </c>
      <c r="I568" t="n">
        <v>0</v>
      </c>
      <c r="J568" t="n">
        <v>0</v>
      </c>
      <c r="K568" t="n">
        <v>0</v>
      </c>
      <c r="L568" t="n">
        <v>0</v>
      </c>
      <c r="M568" t="n">
        <v>0</v>
      </c>
      <c r="N568" t="n">
        <v>0</v>
      </c>
      <c r="O568" t="n">
        <v>0</v>
      </c>
      <c r="P568" t="n">
        <v>0</v>
      </c>
      <c r="Q568" t="n">
        <v>0</v>
      </c>
      <c r="R568" s="2" t="inlineStr"/>
    </row>
    <row r="569" ht="15" customHeight="1">
      <c r="A569" t="inlineStr">
        <is>
          <t>A 40213-2021</t>
        </is>
      </c>
      <c r="B569" s="1" t="n">
        <v>44419</v>
      </c>
      <c r="C569" s="1" t="n">
        <v>45703</v>
      </c>
      <c r="D569" t="inlineStr">
        <is>
          <t>JÄMTLANDS LÄN</t>
        </is>
      </c>
      <c r="E569" t="inlineStr">
        <is>
          <t>RAGUNDA</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40770-2021</t>
        </is>
      </c>
      <c r="B570" s="1" t="n">
        <v>44421</v>
      </c>
      <c r="C570" s="1" t="n">
        <v>45703</v>
      </c>
      <c r="D570" t="inlineStr">
        <is>
          <t>JÄMTLANDS LÄN</t>
        </is>
      </c>
      <c r="E570" t="inlineStr">
        <is>
          <t>RAGUNDA</t>
        </is>
      </c>
      <c r="F570" t="inlineStr">
        <is>
          <t>SCA</t>
        </is>
      </c>
      <c r="G570" t="n">
        <v>6.8</v>
      </c>
      <c r="H570" t="n">
        <v>0</v>
      </c>
      <c r="I570" t="n">
        <v>0</v>
      </c>
      <c r="J570" t="n">
        <v>0</v>
      </c>
      <c r="K570" t="n">
        <v>0</v>
      </c>
      <c r="L570" t="n">
        <v>0</v>
      </c>
      <c r="M570" t="n">
        <v>0</v>
      </c>
      <c r="N570" t="n">
        <v>0</v>
      </c>
      <c r="O570" t="n">
        <v>0</v>
      </c>
      <c r="P570" t="n">
        <v>0</v>
      </c>
      <c r="Q570" t="n">
        <v>0</v>
      </c>
      <c r="R570" s="2" t="inlineStr"/>
    </row>
    <row r="571" ht="15" customHeight="1">
      <c r="A571" t="inlineStr">
        <is>
          <t>A 41062-2021</t>
        </is>
      </c>
      <c r="B571" s="1" t="n">
        <v>44422</v>
      </c>
      <c r="C571" s="1" t="n">
        <v>45703</v>
      </c>
      <c r="D571" t="inlineStr">
        <is>
          <t>JÄMTLANDS LÄN</t>
        </is>
      </c>
      <c r="E571" t="inlineStr">
        <is>
          <t>RAGUNDA</t>
        </is>
      </c>
      <c r="F571" t="inlineStr">
        <is>
          <t>SCA</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41262-2021</t>
        </is>
      </c>
      <c r="B572" s="1" t="n">
        <v>44424</v>
      </c>
      <c r="C572" s="1" t="n">
        <v>45703</v>
      </c>
      <c r="D572" t="inlineStr">
        <is>
          <t>JÄMTLANDS LÄN</t>
        </is>
      </c>
      <c r="E572" t="inlineStr">
        <is>
          <t>RAGUNDA</t>
        </is>
      </c>
      <c r="G572" t="n">
        <v>2.6</v>
      </c>
      <c r="H572" t="n">
        <v>0</v>
      </c>
      <c r="I572" t="n">
        <v>0</v>
      </c>
      <c r="J572" t="n">
        <v>0</v>
      </c>
      <c r="K572" t="n">
        <v>0</v>
      </c>
      <c r="L572" t="n">
        <v>0</v>
      </c>
      <c r="M572" t="n">
        <v>0</v>
      </c>
      <c r="N572" t="n">
        <v>0</v>
      </c>
      <c r="O572" t="n">
        <v>0</v>
      </c>
      <c r="P572" t="n">
        <v>0</v>
      </c>
      <c r="Q572" t="n">
        <v>0</v>
      </c>
      <c r="R572" s="2" t="inlineStr"/>
    </row>
    <row r="573" ht="15" customHeight="1">
      <c r="A573" t="inlineStr">
        <is>
          <t>A 41613-2021</t>
        </is>
      </c>
      <c r="B573" s="1" t="n">
        <v>44425</v>
      </c>
      <c r="C573" s="1" t="n">
        <v>45703</v>
      </c>
      <c r="D573" t="inlineStr">
        <is>
          <t>JÄMTLANDS LÄN</t>
        </is>
      </c>
      <c r="E573" t="inlineStr">
        <is>
          <t>RAGUNDA</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41609-2021</t>
        </is>
      </c>
      <c r="B574" s="1" t="n">
        <v>44425</v>
      </c>
      <c r="C574" s="1" t="n">
        <v>45703</v>
      </c>
      <c r="D574" t="inlineStr">
        <is>
          <t>JÄMTLANDS LÄN</t>
        </is>
      </c>
      <c r="E574" t="inlineStr">
        <is>
          <t>RAGUNDA</t>
        </is>
      </c>
      <c r="F574" t="inlineStr">
        <is>
          <t>Kommuner</t>
        </is>
      </c>
      <c r="G574" t="n">
        <v>2.8</v>
      </c>
      <c r="H574" t="n">
        <v>0</v>
      </c>
      <c r="I574" t="n">
        <v>0</v>
      </c>
      <c r="J574" t="n">
        <v>0</v>
      </c>
      <c r="K574" t="n">
        <v>0</v>
      </c>
      <c r="L574" t="n">
        <v>0</v>
      </c>
      <c r="M574" t="n">
        <v>0</v>
      </c>
      <c r="N574" t="n">
        <v>0</v>
      </c>
      <c r="O574" t="n">
        <v>0</v>
      </c>
      <c r="P574" t="n">
        <v>0</v>
      </c>
      <c r="Q574" t="n">
        <v>0</v>
      </c>
      <c r="R574" s="2" t="inlineStr"/>
    </row>
    <row r="575" ht="15" customHeight="1">
      <c r="A575" t="inlineStr">
        <is>
          <t>A 41606-2021</t>
        </is>
      </c>
      <c r="B575" s="1" t="n">
        <v>44425</v>
      </c>
      <c r="C575" s="1" t="n">
        <v>45703</v>
      </c>
      <c r="D575" t="inlineStr">
        <is>
          <t>JÄMTLANDS LÄN</t>
        </is>
      </c>
      <c r="E575" t="inlineStr">
        <is>
          <t>RAGUNDA</t>
        </is>
      </c>
      <c r="F575" t="inlineStr">
        <is>
          <t>Kommuner</t>
        </is>
      </c>
      <c r="G575" t="n">
        <v>3.5</v>
      </c>
      <c r="H575" t="n">
        <v>0</v>
      </c>
      <c r="I575" t="n">
        <v>0</v>
      </c>
      <c r="J575" t="n">
        <v>0</v>
      </c>
      <c r="K575" t="n">
        <v>0</v>
      </c>
      <c r="L575" t="n">
        <v>0</v>
      </c>
      <c r="M575" t="n">
        <v>0</v>
      </c>
      <c r="N575" t="n">
        <v>0</v>
      </c>
      <c r="O575" t="n">
        <v>0</v>
      </c>
      <c r="P575" t="n">
        <v>0</v>
      </c>
      <c r="Q575" t="n">
        <v>0</v>
      </c>
      <c r="R575" s="2" t="inlineStr"/>
    </row>
    <row r="576" ht="15" customHeight="1">
      <c r="A576" t="inlineStr">
        <is>
          <t>A 42260-2021</t>
        </is>
      </c>
      <c r="B576" s="1" t="n">
        <v>44427</v>
      </c>
      <c r="C576" s="1" t="n">
        <v>45703</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42537-2021</t>
        </is>
      </c>
      <c r="B577" s="1" t="n">
        <v>44428</v>
      </c>
      <c r="C577" s="1" t="n">
        <v>45703</v>
      </c>
      <c r="D577" t="inlineStr">
        <is>
          <t>JÄMTLANDS LÄN</t>
        </is>
      </c>
      <c r="E577" t="inlineStr">
        <is>
          <t>RAGUNDA</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43040-2021</t>
        </is>
      </c>
      <c r="B578" s="1" t="n">
        <v>44431</v>
      </c>
      <c r="C578" s="1" t="n">
        <v>45703</v>
      </c>
      <c r="D578" t="inlineStr">
        <is>
          <t>JÄMTLANDS LÄN</t>
        </is>
      </c>
      <c r="E578" t="inlineStr">
        <is>
          <t>RAGUNDA</t>
        </is>
      </c>
      <c r="G578" t="n">
        <v>4.9</v>
      </c>
      <c r="H578" t="n">
        <v>0</v>
      </c>
      <c r="I578" t="n">
        <v>0</v>
      </c>
      <c r="J578" t="n">
        <v>0</v>
      </c>
      <c r="K578" t="n">
        <v>0</v>
      </c>
      <c r="L578" t="n">
        <v>0</v>
      </c>
      <c r="M578" t="n">
        <v>0</v>
      </c>
      <c r="N578" t="n">
        <v>0</v>
      </c>
      <c r="O578" t="n">
        <v>0</v>
      </c>
      <c r="P578" t="n">
        <v>0</v>
      </c>
      <c r="Q578" t="n">
        <v>0</v>
      </c>
      <c r="R578" s="2" t="inlineStr"/>
    </row>
    <row r="579" ht="15" customHeight="1">
      <c r="A579" t="inlineStr">
        <is>
          <t>A 44163-2021</t>
        </is>
      </c>
      <c r="B579" s="1" t="n">
        <v>44434</v>
      </c>
      <c r="C579" s="1" t="n">
        <v>45703</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44241-2021</t>
        </is>
      </c>
      <c r="B580" s="1" t="n">
        <v>44435</v>
      </c>
      <c r="C580" s="1" t="n">
        <v>45703</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44247-2021</t>
        </is>
      </c>
      <c r="B581" s="1" t="n">
        <v>44435</v>
      </c>
      <c r="C581" s="1" t="n">
        <v>45703</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46228-2021</t>
        </is>
      </c>
      <c r="B582" s="1" t="n">
        <v>44441</v>
      </c>
      <c r="C582" s="1" t="n">
        <v>45703</v>
      </c>
      <c r="D582" t="inlineStr">
        <is>
          <t>JÄMTLANDS LÄN</t>
        </is>
      </c>
      <c r="E582" t="inlineStr">
        <is>
          <t>RAGUNDA</t>
        </is>
      </c>
      <c r="G582" t="n">
        <v>0.8</v>
      </c>
      <c r="H582" t="n">
        <v>0</v>
      </c>
      <c r="I582" t="n">
        <v>0</v>
      </c>
      <c r="J582" t="n">
        <v>0</v>
      </c>
      <c r="K582" t="n">
        <v>0</v>
      </c>
      <c r="L582" t="n">
        <v>0</v>
      </c>
      <c r="M582" t="n">
        <v>0</v>
      </c>
      <c r="N582" t="n">
        <v>0</v>
      </c>
      <c r="O582" t="n">
        <v>0</v>
      </c>
      <c r="P582" t="n">
        <v>0</v>
      </c>
      <c r="Q582" t="n">
        <v>0</v>
      </c>
      <c r="R582" s="2" t="inlineStr"/>
    </row>
    <row r="583" ht="15" customHeight="1">
      <c r="A583" t="inlineStr">
        <is>
          <t>A 46368-2021</t>
        </is>
      </c>
      <c r="B583" s="1" t="n">
        <v>44443</v>
      </c>
      <c r="C583" s="1" t="n">
        <v>45703</v>
      </c>
      <c r="D583" t="inlineStr">
        <is>
          <t>JÄMTLANDS LÄN</t>
        </is>
      </c>
      <c r="E583" t="inlineStr">
        <is>
          <t>RAGUNDA</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46401-2021</t>
        </is>
      </c>
      <c r="B584" s="1" t="n">
        <v>44443</v>
      </c>
      <c r="C584" s="1" t="n">
        <v>45703</v>
      </c>
      <c r="D584" t="inlineStr">
        <is>
          <t>JÄMTLANDS LÄN</t>
        </is>
      </c>
      <c r="E584" t="inlineStr">
        <is>
          <t>RAGUNDA</t>
        </is>
      </c>
      <c r="G584" t="n">
        <v>7</v>
      </c>
      <c r="H584" t="n">
        <v>0</v>
      </c>
      <c r="I584" t="n">
        <v>0</v>
      </c>
      <c r="J584" t="n">
        <v>0</v>
      </c>
      <c r="K584" t="n">
        <v>0</v>
      </c>
      <c r="L584" t="n">
        <v>0</v>
      </c>
      <c r="M584" t="n">
        <v>0</v>
      </c>
      <c r="N584" t="n">
        <v>0</v>
      </c>
      <c r="O584" t="n">
        <v>0</v>
      </c>
      <c r="P584" t="n">
        <v>0</v>
      </c>
      <c r="Q584" t="n">
        <v>0</v>
      </c>
      <c r="R584" s="2" t="inlineStr"/>
    </row>
    <row r="585" ht="15" customHeight="1">
      <c r="A585" t="inlineStr">
        <is>
          <t>A 47548-2021</t>
        </is>
      </c>
      <c r="B585" s="1" t="n">
        <v>44448</v>
      </c>
      <c r="C585" s="1" t="n">
        <v>45703</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47546-2021</t>
        </is>
      </c>
      <c r="B586" s="1" t="n">
        <v>44448</v>
      </c>
      <c r="C586" s="1" t="n">
        <v>45703</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47996-2021</t>
        </is>
      </c>
      <c r="B587" s="1" t="n">
        <v>44448</v>
      </c>
      <c r="C587" s="1" t="n">
        <v>45703</v>
      </c>
      <c r="D587" t="inlineStr">
        <is>
          <t>JÄMTLANDS LÄN</t>
        </is>
      </c>
      <c r="E587" t="inlineStr">
        <is>
          <t>RAGUNDA</t>
        </is>
      </c>
      <c r="G587" t="n">
        <v>1.3</v>
      </c>
      <c r="H587" t="n">
        <v>0</v>
      </c>
      <c r="I587" t="n">
        <v>0</v>
      </c>
      <c r="J587" t="n">
        <v>0</v>
      </c>
      <c r="K587" t="n">
        <v>0</v>
      </c>
      <c r="L587" t="n">
        <v>0</v>
      </c>
      <c r="M587" t="n">
        <v>0</v>
      </c>
      <c r="N587" t="n">
        <v>0</v>
      </c>
      <c r="O587" t="n">
        <v>0</v>
      </c>
      <c r="P587" t="n">
        <v>0</v>
      </c>
      <c r="Q587" t="n">
        <v>0</v>
      </c>
      <c r="R587" s="2" t="inlineStr"/>
    </row>
    <row r="588" ht="15" customHeight="1">
      <c r="A588" t="inlineStr">
        <is>
          <t>A 48832-2021</t>
        </is>
      </c>
      <c r="B588" s="1" t="n">
        <v>44452</v>
      </c>
      <c r="C588" s="1" t="n">
        <v>45703</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49202-2021</t>
        </is>
      </c>
      <c r="B589" s="1" t="n">
        <v>44453</v>
      </c>
      <c r="C589" s="1" t="n">
        <v>45703</v>
      </c>
      <c r="D589" t="inlineStr">
        <is>
          <t>JÄMTLANDS LÄN</t>
        </is>
      </c>
      <c r="E589" t="inlineStr">
        <is>
          <t>RAGUNDA</t>
        </is>
      </c>
      <c r="G589" t="n">
        <v>23.4</v>
      </c>
      <c r="H589" t="n">
        <v>0</v>
      </c>
      <c r="I589" t="n">
        <v>0</v>
      </c>
      <c r="J589" t="n">
        <v>0</v>
      </c>
      <c r="K589" t="n">
        <v>0</v>
      </c>
      <c r="L589" t="n">
        <v>0</v>
      </c>
      <c r="M589" t="n">
        <v>0</v>
      </c>
      <c r="N589" t="n">
        <v>0</v>
      </c>
      <c r="O589" t="n">
        <v>0</v>
      </c>
      <c r="P589" t="n">
        <v>0</v>
      </c>
      <c r="Q589" t="n">
        <v>0</v>
      </c>
      <c r="R589" s="2" t="inlineStr"/>
    </row>
    <row r="590" ht="15" customHeight="1">
      <c r="A590" t="inlineStr">
        <is>
          <t>A 50168-2021</t>
        </is>
      </c>
      <c r="B590" s="1" t="n">
        <v>44457</v>
      </c>
      <c r="C590" s="1" t="n">
        <v>45703</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52334-2021</t>
        </is>
      </c>
      <c r="B591" s="1" t="n">
        <v>44464</v>
      </c>
      <c r="C591" s="1" t="n">
        <v>45703</v>
      </c>
      <c r="D591" t="inlineStr">
        <is>
          <t>JÄMTLANDS LÄN</t>
        </is>
      </c>
      <c r="E591" t="inlineStr">
        <is>
          <t>RAGUNDA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52333-2021</t>
        </is>
      </c>
      <c r="B592" s="1" t="n">
        <v>44464</v>
      </c>
      <c r="C592" s="1" t="n">
        <v>45703</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55701-2021</t>
        </is>
      </c>
      <c r="B593" s="1" t="n">
        <v>44475</v>
      </c>
      <c r="C593" s="1" t="n">
        <v>45703</v>
      </c>
      <c r="D593" t="inlineStr">
        <is>
          <t>JÄMTLANDS LÄN</t>
        </is>
      </c>
      <c r="E593" t="inlineStr">
        <is>
          <t>RAGUNDA</t>
        </is>
      </c>
      <c r="G593" t="n">
        <v>5.6</v>
      </c>
      <c r="H593" t="n">
        <v>0</v>
      </c>
      <c r="I593" t="n">
        <v>0</v>
      </c>
      <c r="J593" t="n">
        <v>0</v>
      </c>
      <c r="K593" t="n">
        <v>0</v>
      </c>
      <c r="L593" t="n">
        <v>0</v>
      </c>
      <c r="M593" t="n">
        <v>0</v>
      </c>
      <c r="N593" t="n">
        <v>0</v>
      </c>
      <c r="O593" t="n">
        <v>0</v>
      </c>
      <c r="P593" t="n">
        <v>0</v>
      </c>
      <c r="Q593" t="n">
        <v>0</v>
      </c>
      <c r="R593" s="2" t="inlineStr"/>
    </row>
    <row r="594" ht="15" customHeight="1">
      <c r="A594" t="inlineStr">
        <is>
          <t>A 55932-2021</t>
        </is>
      </c>
      <c r="B594" s="1" t="n">
        <v>44476</v>
      </c>
      <c r="C594" s="1" t="n">
        <v>45703</v>
      </c>
      <c r="D594" t="inlineStr">
        <is>
          <t>JÄMTLANDS LÄN</t>
        </is>
      </c>
      <c r="E594" t="inlineStr">
        <is>
          <t>RAGUNDA</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56055-2021</t>
        </is>
      </c>
      <c r="B595" s="1" t="n">
        <v>44477</v>
      </c>
      <c r="C595" s="1" t="n">
        <v>45703</v>
      </c>
      <c r="D595" t="inlineStr">
        <is>
          <t>JÄMTLANDS LÄN</t>
        </is>
      </c>
      <c r="E595" t="inlineStr">
        <is>
          <t>RAGUNDA</t>
        </is>
      </c>
      <c r="G595" t="n">
        <v>3.9</v>
      </c>
      <c r="H595" t="n">
        <v>0</v>
      </c>
      <c r="I595" t="n">
        <v>0</v>
      </c>
      <c r="J595" t="n">
        <v>0</v>
      </c>
      <c r="K595" t="n">
        <v>0</v>
      </c>
      <c r="L595" t="n">
        <v>0</v>
      </c>
      <c r="M595" t="n">
        <v>0</v>
      </c>
      <c r="N595" t="n">
        <v>0</v>
      </c>
      <c r="O595" t="n">
        <v>0</v>
      </c>
      <c r="P595" t="n">
        <v>0</v>
      </c>
      <c r="Q595" t="n">
        <v>0</v>
      </c>
      <c r="R595" s="2" t="inlineStr"/>
    </row>
    <row r="596" ht="15" customHeight="1">
      <c r="A596" t="inlineStr">
        <is>
          <t>A 56594-2021</t>
        </is>
      </c>
      <c r="B596" s="1" t="n">
        <v>44480</v>
      </c>
      <c r="C596" s="1" t="n">
        <v>45703</v>
      </c>
      <c r="D596" t="inlineStr">
        <is>
          <t>JÄMTLANDS LÄN</t>
        </is>
      </c>
      <c r="E596" t="inlineStr">
        <is>
          <t>RAGUNDA</t>
        </is>
      </c>
      <c r="G596" t="n">
        <v>5.4</v>
      </c>
      <c r="H596" t="n">
        <v>0</v>
      </c>
      <c r="I596" t="n">
        <v>0</v>
      </c>
      <c r="J596" t="n">
        <v>0</v>
      </c>
      <c r="K596" t="n">
        <v>0</v>
      </c>
      <c r="L596" t="n">
        <v>0</v>
      </c>
      <c r="M596" t="n">
        <v>0</v>
      </c>
      <c r="N596" t="n">
        <v>0</v>
      </c>
      <c r="O596" t="n">
        <v>0</v>
      </c>
      <c r="P596" t="n">
        <v>0</v>
      </c>
      <c r="Q596" t="n">
        <v>0</v>
      </c>
      <c r="R596" s="2" t="inlineStr"/>
    </row>
    <row r="597" ht="15" customHeight="1">
      <c r="A597" t="inlineStr">
        <is>
          <t>A 57194-2021</t>
        </is>
      </c>
      <c r="B597" s="1" t="n">
        <v>44483</v>
      </c>
      <c r="C597" s="1" t="n">
        <v>45703</v>
      </c>
      <c r="D597" t="inlineStr">
        <is>
          <t>JÄMTLANDS LÄN</t>
        </is>
      </c>
      <c r="E597" t="inlineStr">
        <is>
          <t>RAGUNDA</t>
        </is>
      </c>
      <c r="G597" t="n">
        <v>7.3</v>
      </c>
      <c r="H597" t="n">
        <v>0</v>
      </c>
      <c r="I597" t="n">
        <v>0</v>
      </c>
      <c r="J597" t="n">
        <v>0</v>
      </c>
      <c r="K597" t="n">
        <v>0</v>
      </c>
      <c r="L597" t="n">
        <v>0</v>
      </c>
      <c r="M597" t="n">
        <v>0</v>
      </c>
      <c r="N597" t="n">
        <v>0</v>
      </c>
      <c r="O597" t="n">
        <v>0</v>
      </c>
      <c r="P597" t="n">
        <v>0</v>
      </c>
      <c r="Q597" t="n">
        <v>0</v>
      </c>
      <c r="R597" s="2" t="inlineStr"/>
    </row>
    <row r="598" ht="15" customHeight="1">
      <c r="A598" t="inlineStr">
        <is>
          <t>A 58960-2021</t>
        </is>
      </c>
      <c r="B598" s="1" t="n">
        <v>44490</v>
      </c>
      <c r="C598" s="1" t="n">
        <v>45703</v>
      </c>
      <c r="D598" t="inlineStr">
        <is>
          <t>JÄMTLANDS LÄN</t>
        </is>
      </c>
      <c r="E598" t="inlineStr">
        <is>
          <t>RAGUNDA</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58984-2021</t>
        </is>
      </c>
      <c r="B599" s="1" t="n">
        <v>44490</v>
      </c>
      <c r="C599" s="1" t="n">
        <v>45703</v>
      </c>
      <c r="D599" t="inlineStr">
        <is>
          <t>JÄMTLANDS LÄN</t>
        </is>
      </c>
      <c r="E599" t="inlineStr">
        <is>
          <t>RAGUNDA</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59321-2021</t>
        </is>
      </c>
      <c r="B600" s="1" t="n">
        <v>44491</v>
      </c>
      <c r="C600" s="1" t="n">
        <v>45703</v>
      </c>
      <c r="D600" t="inlineStr">
        <is>
          <t>JÄMTLANDS LÄN</t>
        </is>
      </c>
      <c r="E600" t="inlineStr">
        <is>
          <t>RAGUNDA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59996-2021</t>
        </is>
      </c>
      <c r="B601" s="1" t="n">
        <v>44495</v>
      </c>
      <c r="C601" s="1" t="n">
        <v>45703</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60313-2021</t>
        </is>
      </c>
      <c r="B602" s="1" t="n">
        <v>44495</v>
      </c>
      <c r="C602" s="1" t="n">
        <v>45703</v>
      </c>
      <c r="D602" t="inlineStr">
        <is>
          <t>JÄMTLANDS LÄN</t>
        </is>
      </c>
      <c r="E602" t="inlineStr">
        <is>
          <t>RAGUNDA</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60312-2021</t>
        </is>
      </c>
      <c r="B603" s="1" t="n">
        <v>44496</v>
      </c>
      <c r="C603" s="1" t="n">
        <v>45703</v>
      </c>
      <c r="D603" t="inlineStr">
        <is>
          <t>JÄMTLANDS LÄN</t>
        </is>
      </c>
      <c r="E603" t="inlineStr">
        <is>
          <t>RAGUNDA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60957-2021</t>
        </is>
      </c>
      <c r="B604" s="1" t="n">
        <v>44496</v>
      </c>
      <c r="C604" s="1" t="n">
        <v>45703</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61442-2021</t>
        </is>
      </c>
      <c r="B605" s="1" t="n">
        <v>44500</v>
      </c>
      <c r="C605" s="1" t="n">
        <v>45703</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62956-2021</t>
        </is>
      </c>
      <c r="B606" s="1" t="n">
        <v>44504</v>
      </c>
      <c r="C606" s="1" t="n">
        <v>45703</v>
      </c>
      <c r="D606" t="inlineStr">
        <is>
          <t>JÄMTLANDS LÄN</t>
        </is>
      </c>
      <c r="E606" t="inlineStr">
        <is>
          <t>RAGUNDA</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63169-2021</t>
        </is>
      </c>
      <c r="B607" s="1" t="n">
        <v>44505</v>
      </c>
      <c r="C607" s="1" t="n">
        <v>45703</v>
      </c>
      <c r="D607" t="inlineStr">
        <is>
          <t>JÄMTLANDS LÄN</t>
        </is>
      </c>
      <c r="E607" t="inlineStr">
        <is>
          <t>RAGUNDA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63168-2021</t>
        </is>
      </c>
      <c r="B608" s="1" t="n">
        <v>44505</v>
      </c>
      <c r="C608" s="1" t="n">
        <v>45703</v>
      </c>
      <c r="D608" t="inlineStr">
        <is>
          <t>JÄMTLANDS LÄN</t>
        </is>
      </c>
      <c r="E608" t="inlineStr">
        <is>
          <t>RAGUNDA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64511-2021</t>
        </is>
      </c>
      <c r="B609" s="1" t="n">
        <v>44511</v>
      </c>
      <c r="C609" s="1" t="n">
        <v>45703</v>
      </c>
      <c r="D609" t="inlineStr">
        <is>
          <t>JÄMTLANDS LÄN</t>
        </is>
      </c>
      <c r="E609" t="inlineStr">
        <is>
          <t>RAGUNDA</t>
        </is>
      </c>
      <c r="G609" t="n">
        <v>19.4</v>
      </c>
      <c r="H609" t="n">
        <v>0</v>
      </c>
      <c r="I609" t="n">
        <v>0</v>
      </c>
      <c r="J609" t="n">
        <v>0</v>
      </c>
      <c r="K609" t="n">
        <v>0</v>
      </c>
      <c r="L609" t="n">
        <v>0</v>
      </c>
      <c r="M609" t="n">
        <v>0</v>
      </c>
      <c r="N609" t="n">
        <v>0</v>
      </c>
      <c r="O609" t="n">
        <v>0</v>
      </c>
      <c r="P609" t="n">
        <v>0</v>
      </c>
      <c r="Q609" t="n">
        <v>0</v>
      </c>
      <c r="R609" s="2" t="inlineStr"/>
    </row>
    <row r="610" ht="15" customHeight="1">
      <c r="A610" t="inlineStr">
        <is>
          <t>A 64629-2021</t>
        </is>
      </c>
      <c r="B610" s="1" t="n">
        <v>44511</v>
      </c>
      <c r="C610" s="1" t="n">
        <v>45703</v>
      </c>
      <c r="D610" t="inlineStr">
        <is>
          <t>JÄMTLANDS LÄN</t>
        </is>
      </c>
      <c r="E610" t="inlineStr">
        <is>
          <t>RAGUNDA</t>
        </is>
      </c>
      <c r="G610" t="n">
        <v>1.6</v>
      </c>
      <c r="H610" t="n">
        <v>0</v>
      </c>
      <c r="I610" t="n">
        <v>0</v>
      </c>
      <c r="J610" t="n">
        <v>0</v>
      </c>
      <c r="K610" t="n">
        <v>0</v>
      </c>
      <c r="L610" t="n">
        <v>0</v>
      </c>
      <c r="M610" t="n">
        <v>0</v>
      </c>
      <c r="N610" t="n">
        <v>0</v>
      </c>
      <c r="O610" t="n">
        <v>0</v>
      </c>
      <c r="P610" t="n">
        <v>0</v>
      </c>
      <c r="Q610" t="n">
        <v>0</v>
      </c>
      <c r="R610" s="2" t="inlineStr"/>
    </row>
    <row r="611" ht="15" customHeight="1">
      <c r="A611" t="inlineStr">
        <is>
          <t>A 64959-2021</t>
        </is>
      </c>
      <c r="B611" s="1" t="n">
        <v>44512</v>
      </c>
      <c r="C611" s="1" t="n">
        <v>45703</v>
      </c>
      <c r="D611" t="inlineStr">
        <is>
          <t>JÄMTLANDS LÄN</t>
        </is>
      </c>
      <c r="E611" t="inlineStr">
        <is>
          <t>RAGUNDA</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65017-2021</t>
        </is>
      </c>
      <c r="B612" s="1" t="n">
        <v>44512</v>
      </c>
      <c r="C612" s="1" t="n">
        <v>45703</v>
      </c>
      <c r="D612" t="inlineStr">
        <is>
          <t>JÄMTLANDS LÄN</t>
        </is>
      </c>
      <c r="E612" t="inlineStr">
        <is>
          <t>RAGUNDA</t>
        </is>
      </c>
      <c r="G612" t="n">
        <v>2.3</v>
      </c>
      <c r="H612" t="n">
        <v>0</v>
      </c>
      <c r="I612" t="n">
        <v>0</v>
      </c>
      <c r="J612" t="n">
        <v>0</v>
      </c>
      <c r="K612" t="n">
        <v>0</v>
      </c>
      <c r="L612" t="n">
        <v>0</v>
      </c>
      <c r="M612" t="n">
        <v>0</v>
      </c>
      <c r="N612" t="n">
        <v>0</v>
      </c>
      <c r="O612" t="n">
        <v>0</v>
      </c>
      <c r="P612" t="n">
        <v>0</v>
      </c>
      <c r="Q612" t="n">
        <v>0</v>
      </c>
      <c r="R612" s="2" t="inlineStr"/>
    </row>
    <row r="613" ht="15" customHeight="1">
      <c r="A613" t="inlineStr">
        <is>
          <t>A 65424-2021</t>
        </is>
      </c>
      <c r="B613" s="1" t="n">
        <v>44515</v>
      </c>
      <c r="C613" s="1" t="n">
        <v>45703</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66147-2021</t>
        </is>
      </c>
      <c r="B614" s="1" t="n">
        <v>44517</v>
      </c>
      <c r="C614" s="1" t="n">
        <v>45703</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66059-2021</t>
        </is>
      </c>
      <c r="B615" s="1" t="n">
        <v>44517</v>
      </c>
      <c r="C615" s="1" t="n">
        <v>45703</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66472-2021</t>
        </is>
      </c>
      <c r="B616" s="1" t="n">
        <v>44518</v>
      </c>
      <c r="C616" s="1" t="n">
        <v>45703</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66471-2021</t>
        </is>
      </c>
      <c r="B617" s="1" t="n">
        <v>44518</v>
      </c>
      <c r="C617" s="1" t="n">
        <v>45703</v>
      </c>
      <c r="D617" t="inlineStr">
        <is>
          <t>JÄMTLANDS LÄN</t>
        </is>
      </c>
      <c r="E617" t="inlineStr">
        <is>
          <t>RAGUNDA</t>
        </is>
      </c>
      <c r="G617" t="n">
        <v>13.4</v>
      </c>
      <c r="H617" t="n">
        <v>0</v>
      </c>
      <c r="I617" t="n">
        <v>0</v>
      </c>
      <c r="J617" t="n">
        <v>0</v>
      </c>
      <c r="K617" t="n">
        <v>0</v>
      </c>
      <c r="L617" t="n">
        <v>0</v>
      </c>
      <c r="M617" t="n">
        <v>0</v>
      </c>
      <c r="N617" t="n">
        <v>0</v>
      </c>
      <c r="O617" t="n">
        <v>0</v>
      </c>
      <c r="P617" t="n">
        <v>0</v>
      </c>
      <c r="Q617" t="n">
        <v>0</v>
      </c>
      <c r="R617" s="2" t="inlineStr"/>
    </row>
    <row r="618" ht="15" customHeight="1">
      <c r="A618" t="inlineStr">
        <is>
          <t>A 66489-2021</t>
        </is>
      </c>
      <c r="B618" s="1" t="n">
        <v>44518</v>
      </c>
      <c r="C618" s="1" t="n">
        <v>45703</v>
      </c>
      <c r="D618" t="inlineStr">
        <is>
          <t>JÄMTLANDS LÄN</t>
        </is>
      </c>
      <c r="E618" t="inlineStr">
        <is>
          <t>RAGUNDA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66707-2021</t>
        </is>
      </c>
      <c r="B619" s="1" t="n">
        <v>44519</v>
      </c>
      <c r="C619" s="1" t="n">
        <v>45703</v>
      </c>
      <c r="D619" t="inlineStr">
        <is>
          <t>JÄMTLANDS LÄN</t>
        </is>
      </c>
      <c r="E619" t="inlineStr">
        <is>
          <t>RAGUNDA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66706-2021</t>
        </is>
      </c>
      <c r="B620" s="1" t="n">
        <v>44519</v>
      </c>
      <c r="C620" s="1" t="n">
        <v>45703</v>
      </c>
      <c r="D620" t="inlineStr">
        <is>
          <t>JÄMTLANDS LÄN</t>
        </is>
      </c>
      <c r="E620" t="inlineStr">
        <is>
          <t>RAGUNDA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66715-2021</t>
        </is>
      </c>
      <c r="B621" s="1" t="n">
        <v>44519</v>
      </c>
      <c r="C621" s="1" t="n">
        <v>45703</v>
      </c>
      <c r="D621" t="inlineStr">
        <is>
          <t>JÄMTLANDS LÄN</t>
        </is>
      </c>
      <c r="E621" t="inlineStr">
        <is>
          <t>RAGUNDA</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69164-2021</t>
        </is>
      </c>
      <c r="B622" s="1" t="n">
        <v>44530</v>
      </c>
      <c r="C622" s="1" t="n">
        <v>45703</v>
      </c>
      <c r="D622" t="inlineStr">
        <is>
          <t>JÄMTLANDS LÄN</t>
        </is>
      </c>
      <c r="E622" t="inlineStr">
        <is>
          <t>RAGUNDA</t>
        </is>
      </c>
      <c r="F622" t="inlineStr">
        <is>
          <t>SCA</t>
        </is>
      </c>
      <c r="G622" t="n">
        <v>5.8</v>
      </c>
      <c r="H622" t="n">
        <v>0</v>
      </c>
      <c r="I622" t="n">
        <v>0</v>
      </c>
      <c r="J622" t="n">
        <v>0</v>
      </c>
      <c r="K622" t="n">
        <v>0</v>
      </c>
      <c r="L622" t="n">
        <v>0</v>
      </c>
      <c r="M622" t="n">
        <v>0</v>
      </c>
      <c r="N622" t="n">
        <v>0</v>
      </c>
      <c r="O622" t="n">
        <v>0</v>
      </c>
      <c r="P622" t="n">
        <v>0</v>
      </c>
      <c r="Q622" t="n">
        <v>0</v>
      </c>
      <c r="R622" s="2" t="inlineStr"/>
    </row>
    <row r="623" ht="15" customHeight="1">
      <c r="A623" t="inlineStr">
        <is>
          <t>A 69316-2021</t>
        </is>
      </c>
      <c r="B623" s="1" t="n">
        <v>44530</v>
      </c>
      <c r="C623" s="1" t="n">
        <v>45703</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69153-2021</t>
        </is>
      </c>
      <c r="B624" s="1" t="n">
        <v>44530</v>
      </c>
      <c r="C624" s="1" t="n">
        <v>45703</v>
      </c>
      <c r="D624" t="inlineStr">
        <is>
          <t>JÄMTLANDS LÄN</t>
        </is>
      </c>
      <c r="E624" t="inlineStr">
        <is>
          <t>RAGUNDA</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70609-2021</t>
        </is>
      </c>
      <c r="B625" s="1" t="n">
        <v>44537</v>
      </c>
      <c r="C625" s="1" t="n">
        <v>45703</v>
      </c>
      <c r="D625" t="inlineStr">
        <is>
          <t>JÄMTLANDS LÄN</t>
        </is>
      </c>
      <c r="E625" t="inlineStr">
        <is>
          <t>RAGUNDA</t>
        </is>
      </c>
      <c r="G625" t="n">
        <v>4.5</v>
      </c>
      <c r="H625" t="n">
        <v>0</v>
      </c>
      <c r="I625" t="n">
        <v>0</v>
      </c>
      <c r="J625" t="n">
        <v>0</v>
      </c>
      <c r="K625" t="n">
        <v>0</v>
      </c>
      <c r="L625" t="n">
        <v>0</v>
      </c>
      <c r="M625" t="n">
        <v>0</v>
      </c>
      <c r="N625" t="n">
        <v>0</v>
      </c>
      <c r="O625" t="n">
        <v>0</v>
      </c>
      <c r="P625" t="n">
        <v>0</v>
      </c>
      <c r="Q625" t="n">
        <v>0</v>
      </c>
      <c r="R625" s="2" t="inlineStr"/>
    </row>
    <row r="626" ht="15" customHeight="1">
      <c r="A626" t="inlineStr">
        <is>
          <t>A 71209-2021</t>
        </is>
      </c>
      <c r="B626" s="1" t="n">
        <v>44538</v>
      </c>
      <c r="C626" s="1" t="n">
        <v>45703</v>
      </c>
      <c r="D626" t="inlineStr">
        <is>
          <t>JÄMTLANDS LÄN</t>
        </is>
      </c>
      <c r="E626" t="inlineStr">
        <is>
          <t>RAGUNDA</t>
        </is>
      </c>
      <c r="G626" t="n">
        <v>8</v>
      </c>
      <c r="H626" t="n">
        <v>0</v>
      </c>
      <c r="I626" t="n">
        <v>0</v>
      </c>
      <c r="J626" t="n">
        <v>0</v>
      </c>
      <c r="K626" t="n">
        <v>0</v>
      </c>
      <c r="L626" t="n">
        <v>0</v>
      </c>
      <c r="M626" t="n">
        <v>0</v>
      </c>
      <c r="N626" t="n">
        <v>0</v>
      </c>
      <c r="O626" t="n">
        <v>0</v>
      </c>
      <c r="P626" t="n">
        <v>0</v>
      </c>
      <c r="Q626" t="n">
        <v>0</v>
      </c>
      <c r="R626" s="2" t="inlineStr"/>
    </row>
    <row r="627" ht="15" customHeight="1">
      <c r="A627" t="inlineStr">
        <is>
          <t>A 73278-2021</t>
        </is>
      </c>
      <c r="B627" s="1" t="n">
        <v>44550</v>
      </c>
      <c r="C627" s="1" t="n">
        <v>45703</v>
      </c>
      <c r="D627" t="inlineStr">
        <is>
          <t>JÄMTLANDS LÄN</t>
        </is>
      </c>
      <c r="E627" t="inlineStr">
        <is>
          <t>RAGUNDA</t>
        </is>
      </c>
      <c r="G627" t="n">
        <v>4.4</v>
      </c>
      <c r="H627" t="n">
        <v>0</v>
      </c>
      <c r="I627" t="n">
        <v>0</v>
      </c>
      <c r="J627" t="n">
        <v>0</v>
      </c>
      <c r="K627" t="n">
        <v>0</v>
      </c>
      <c r="L627" t="n">
        <v>0</v>
      </c>
      <c r="M627" t="n">
        <v>0</v>
      </c>
      <c r="N627" t="n">
        <v>0</v>
      </c>
      <c r="O627" t="n">
        <v>0</v>
      </c>
      <c r="P627" t="n">
        <v>0</v>
      </c>
      <c r="Q627" t="n">
        <v>0</v>
      </c>
      <c r="R627" s="2" t="inlineStr"/>
    </row>
    <row r="628" ht="15" customHeight="1">
      <c r="A628" t="inlineStr">
        <is>
          <t>A 891-2022</t>
        </is>
      </c>
      <c r="B628" s="1" t="n">
        <v>44571</v>
      </c>
      <c r="C628" s="1" t="n">
        <v>45703</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1540-2022</t>
        </is>
      </c>
      <c r="B629" s="1" t="n">
        <v>44573</v>
      </c>
      <c r="C629" s="1" t="n">
        <v>45703</v>
      </c>
      <c r="D629" t="inlineStr">
        <is>
          <t>JÄMTLANDS LÄN</t>
        </is>
      </c>
      <c r="E629" t="inlineStr">
        <is>
          <t>RAGUNDA</t>
        </is>
      </c>
      <c r="G629" t="n">
        <v>1.6</v>
      </c>
      <c r="H629" t="n">
        <v>0</v>
      </c>
      <c r="I629" t="n">
        <v>0</v>
      </c>
      <c r="J629" t="n">
        <v>0</v>
      </c>
      <c r="K629" t="n">
        <v>0</v>
      </c>
      <c r="L629" t="n">
        <v>0</v>
      </c>
      <c r="M629" t="n">
        <v>0</v>
      </c>
      <c r="N629" t="n">
        <v>0</v>
      </c>
      <c r="O629" t="n">
        <v>0</v>
      </c>
      <c r="P629" t="n">
        <v>0</v>
      </c>
      <c r="Q629" t="n">
        <v>0</v>
      </c>
      <c r="R629" s="2" t="inlineStr"/>
    </row>
    <row r="630" ht="15" customHeight="1">
      <c r="A630" t="inlineStr">
        <is>
          <t>A 1782-2022</t>
        </is>
      </c>
      <c r="B630" s="1" t="n">
        <v>44574</v>
      </c>
      <c r="C630" s="1" t="n">
        <v>45703</v>
      </c>
      <c r="D630" t="inlineStr">
        <is>
          <t>JÄMTLANDS LÄN</t>
        </is>
      </c>
      <c r="E630" t="inlineStr">
        <is>
          <t>RAGUNDA</t>
        </is>
      </c>
      <c r="G630" t="n">
        <v>3.7</v>
      </c>
      <c r="H630" t="n">
        <v>0</v>
      </c>
      <c r="I630" t="n">
        <v>0</v>
      </c>
      <c r="J630" t="n">
        <v>0</v>
      </c>
      <c r="K630" t="n">
        <v>0</v>
      </c>
      <c r="L630" t="n">
        <v>0</v>
      </c>
      <c r="M630" t="n">
        <v>0</v>
      </c>
      <c r="N630" t="n">
        <v>0</v>
      </c>
      <c r="O630" t="n">
        <v>0</v>
      </c>
      <c r="P630" t="n">
        <v>0</v>
      </c>
      <c r="Q630" t="n">
        <v>0</v>
      </c>
      <c r="R630" s="2" t="inlineStr"/>
    </row>
    <row r="631" ht="15" customHeight="1">
      <c r="A631" t="inlineStr">
        <is>
          <t>A 1858-2022</t>
        </is>
      </c>
      <c r="B631" s="1" t="n">
        <v>44574</v>
      </c>
      <c r="C631" s="1" t="n">
        <v>45703</v>
      </c>
      <c r="D631" t="inlineStr">
        <is>
          <t>JÄMTLANDS LÄN</t>
        </is>
      </c>
      <c r="E631" t="inlineStr">
        <is>
          <t>RAGUNDA</t>
        </is>
      </c>
      <c r="G631" t="n">
        <v>5.7</v>
      </c>
      <c r="H631" t="n">
        <v>0</v>
      </c>
      <c r="I631" t="n">
        <v>0</v>
      </c>
      <c r="J631" t="n">
        <v>0</v>
      </c>
      <c r="K631" t="n">
        <v>0</v>
      </c>
      <c r="L631" t="n">
        <v>0</v>
      </c>
      <c r="M631" t="n">
        <v>0</v>
      </c>
      <c r="N631" t="n">
        <v>0</v>
      </c>
      <c r="O631" t="n">
        <v>0</v>
      </c>
      <c r="P631" t="n">
        <v>0</v>
      </c>
      <c r="Q631" t="n">
        <v>0</v>
      </c>
      <c r="R631" s="2" t="inlineStr"/>
    </row>
    <row r="632" ht="15" customHeight="1">
      <c r="A632" t="inlineStr">
        <is>
          <t>A 2336-2022</t>
        </is>
      </c>
      <c r="B632" s="1" t="n">
        <v>44578</v>
      </c>
      <c r="C632" s="1" t="n">
        <v>45703</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2337-2022</t>
        </is>
      </c>
      <c r="B633" s="1" t="n">
        <v>44578</v>
      </c>
      <c r="C633" s="1" t="n">
        <v>45703</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2338-2022</t>
        </is>
      </c>
      <c r="B634" s="1" t="n">
        <v>44578</v>
      </c>
      <c r="C634" s="1" t="n">
        <v>45703</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2494-2022</t>
        </is>
      </c>
      <c r="B635" s="1" t="n">
        <v>44579</v>
      </c>
      <c r="C635" s="1" t="n">
        <v>45703</v>
      </c>
      <c r="D635" t="inlineStr">
        <is>
          <t>JÄMTLANDS LÄN</t>
        </is>
      </c>
      <c r="E635" t="inlineStr">
        <is>
          <t>RAGUNDA</t>
        </is>
      </c>
      <c r="G635" t="n">
        <v>0.6</v>
      </c>
      <c r="H635" t="n">
        <v>0</v>
      </c>
      <c r="I635" t="n">
        <v>0</v>
      </c>
      <c r="J635" t="n">
        <v>0</v>
      </c>
      <c r="K635" t="n">
        <v>0</v>
      </c>
      <c r="L635" t="n">
        <v>0</v>
      </c>
      <c r="M635" t="n">
        <v>0</v>
      </c>
      <c r="N635" t="n">
        <v>0</v>
      </c>
      <c r="O635" t="n">
        <v>0</v>
      </c>
      <c r="P635" t="n">
        <v>0</v>
      </c>
      <c r="Q635" t="n">
        <v>0</v>
      </c>
      <c r="R635" s="2" t="inlineStr"/>
    </row>
    <row r="636" ht="15" customHeight="1">
      <c r="A636" t="inlineStr">
        <is>
          <t>A 3796-2022</t>
        </is>
      </c>
      <c r="B636" s="1" t="n">
        <v>44586</v>
      </c>
      <c r="C636" s="1" t="n">
        <v>45703</v>
      </c>
      <c r="D636" t="inlineStr">
        <is>
          <t>JÄMTLANDS LÄN</t>
        </is>
      </c>
      <c r="E636" t="inlineStr">
        <is>
          <t>RAGUNDA</t>
        </is>
      </c>
      <c r="G636" t="n">
        <v>1.2</v>
      </c>
      <c r="H636" t="n">
        <v>0</v>
      </c>
      <c r="I636" t="n">
        <v>0</v>
      </c>
      <c r="J636" t="n">
        <v>0</v>
      </c>
      <c r="K636" t="n">
        <v>0</v>
      </c>
      <c r="L636" t="n">
        <v>0</v>
      </c>
      <c r="M636" t="n">
        <v>0</v>
      </c>
      <c r="N636" t="n">
        <v>0</v>
      </c>
      <c r="O636" t="n">
        <v>0</v>
      </c>
      <c r="P636" t="n">
        <v>0</v>
      </c>
      <c r="Q636" t="n">
        <v>0</v>
      </c>
      <c r="R636" s="2" t="inlineStr"/>
    </row>
    <row r="637" ht="15" customHeight="1">
      <c r="A637" t="inlineStr">
        <is>
          <t>A 4014-2022</t>
        </is>
      </c>
      <c r="B637" s="1" t="n">
        <v>44587</v>
      </c>
      <c r="C637" s="1" t="n">
        <v>45703</v>
      </c>
      <c r="D637" t="inlineStr">
        <is>
          <t>JÄMTLANDS LÄN</t>
        </is>
      </c>
      <c r="E637" t="inlineStr">
        <is>
          <t>RAGUNDA</t>
        </is>
      </c>
      <c r="G637" t="n">
        <v>3.6</v>
      </c>
      <c r="H637" t="n">
        <v>0</v>
      </c>
      <c r="I637" t="n">
        <v>0</v>
      </c>
      <c r="J637" t="n">
        <v>0</v>
      </c>
      <c r="K637" t="n">
        <v>0</v>
      </c>
      <c r="L637" t="n">
        <v>0</v>
      </c>
      <c r="M637" t="n">
        <v>0</v>
      </c>
      <c r="N637" t="n">
        <v>0</v>
      </c>
      <c r="O637" t="n">
        <v>0</v>
      </c>
      <c r="P637" t="n">
        <v>0</v>
      </c>
      <c r="Q637" t="n">
        <v>0</v>
      </c>
      <c r="R637" s="2" t="inlineStr"/>
    </row>
    <row r="638" ht="15" customHeight="1">
      <c r="A638" t="inlineStr">
        <is>
          <t>A 4015-2022</t>
        </is>
      </c>
      <c r="B638" s="1" t="n">
        <v>44587</v>
      </c>
      <c r="C638" s="1" t="n">
        <v>45703</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4878-2022</t>
        </is>
      </c>
      <c r="B639" s="1" t="n">
        <v>44593</v>
      </c>
      <c r="C639" s="1" t="n">
        <v>45703</v>
      </c>
      <c r="D639" t="inlineStr">
        <is>
          <t>JÄMTLANDS LÄN</t>
        </is>
      </c>
      <c r="E639" t="inlineStr">
        <is>
          <t>RAGUNDA</t>
        </is>
      </c>
      <c r="G639" t="n">
        <v>21.7</v>
      </c>
      <c r="H639" t="n">
        <v>0</v>
      </c>
      <c r="I639" t="n">
        <v>0</v>
      </c>
      <c r="J639" t="n">
        <v>0</v>
      </c>
      <c r="K639" t="n">
        <v>0</v>
      </c>
      <c r="L639" t="n">
        <v>0</v>
      </c>
      <c r="M639" t="n">
        <v>0</v>
      </c>
      <c r="N639" t="n">
        <v>0</v>
      </c>
      <c r="O639" t="n">
        <v>0</v>
      </c>
      <c r="P639" t="n">
        <v>0</v>
      </c>
      <c r="Q639" t="n">
        <v>0</v>
      </c>
      <c r="R639" s="2" t="inlineStr"/>
    </row>
    <row r="640" ht="15" customHeight="1">
      <c r="A640" t="inlineStr">
        <is>
          <t>A 5515-2022</t>
        </is>
      </c>
      <c r="B640" s="1" t="n">
        <v>44595</v>
      </c>
      <c r="C640" s="1" t="n">
        <v>45703</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5644-2022</t>
        </is>
      </c>
      <c r="B641" s="1" t="n">
        <v>44595</v>
      </c>
      <c r="C641" s="1" t="n">
        <v>45703</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5652-2022</t>
        </is>
      </c>
      <c r="B642" s="1" t="n">
        <v>44595</v>
      </c>
      <c r="C642" s="1" t="n">
        <v>45703</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6177-2022</t>
        </is>
      </c>
      <c r="B643" s="1" t="n">
        <v>44600</v>
      </c>
      <c r="C643" s="1" t="n">
        <v>45703</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6492-2022</t>
        </is>
      </c>
      <c r="B644" s="1" t="n">
        <v>44601</v>
      </c>
      <c r="C644" s="1" t="n">
        <v>45703</v>
      </c>
      <c r="D644" t="inlineStr">
        <is>
          <t>JÄMTLANDS LÄN</t>
        </is>
      </c>
      <c r="E644" t="inlineStr">
        <is>
          <t>RAGUNDA</t>
        </is>
      </c>
      <c r="G644" t="n">
        <v>0.8</v>
      </c>
      <c r="H644" t="n">
        <v>0</v>
      </c>
      <c r="I644" t="n">
        <v>0</v>
      </c>
      <c r="J644" t="n">
        <v>0</v>
      </c>
      <c r="K644" t="n">
        <v>0</v>
      </c>
      <c r="L644" t="n">
        <v>0</v>
      </c>
      <c r="M644" t="n">
        <v>0</v>
      </c>
      <c r="N644" t="n">
        <v>0</v>
      </c>
      <c r="O644" t="n">
        <v>0</v>
      </c>
      <c r="P644" t="n">
        <v>0</v>
      </c>
      <c r="Q644" t="n">
        <v>0</v>
      </c>
      <c r="R644" s="2" t="inlineStr"/>
    </row>
    <row r="645" ht="15" customHeight="1">
      <c r="A645" t="inlineStr">
        <is>
          <t>A 6490-2022</t>
        </is>
      </c>
      <c r="B645" s="1" t="n">
        <v>44601</v>
      </c>
      <c r="C645" s="1" t="n">
        <v>45703</v>
      </c>
      <c r="D645" t="inlineStr">
        <is>
          <t>JÄMTLANDS LÄN</t>
        </is>
      </c>
      <c r="E645" t="inlineStr">
        <is>
          <t>RAGUNDA</t>
        </is>
      </c>
      <c r="G645" t="n">
        <v>3.8</v>
      </c>
      <c r="H645" t="n">
        <v>0</v>
      </c>
      <c r="I645" t="n">
        <v>0</v>
      </c>
      <c r="J645" t="n">
        <v>0</v>
      </c>
      <c r="K645" t="n">
        <v>0</v>
      </c>
      <c r="L645" t="n">
        <v>0</v>
      </c>
      <c r="M645" t="n">
        <v>0</v>
      </c>
      <c r="N645" t="n">
        <v>0</v>
      </c>
      <c r="O645" t="n">
        <v>0</v>
      </c>
      <c r="P645" t="n">
        <v>0</v>
      </c>
      <c r="Q645" t="n">
        <v>0</v>
      </c>
      <c r="R645" s="2" t="inlineStr"/>
    </row>
    <row r="646" ht="15" customHeight="1">
      <c r="A646" t="inlineStr">
        <is>
          <t>A 7448-2022</t>
        </is>
      </c>
      <c r="B646" s="1" t="n">
        <v>44606</v>
      </c>
      <c r="C646" s="1" t="n">
        <v>45703</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7668-2022</t>
        </is>
      </c>
      <c r="B647" s="1" t="n">
        <v>44607</v>
      </c>
      <c r="C647" s="1" t="n">
        <v>45703</v>
      </c>
      <c r="D647" t="inlineStr">
        <is>
          <t>JÄMTLANDS LÄN</t>
        </is>
      </c>
      <c r="E647" t="inlineStr">
        <is>
          <t>RAGUNDA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7695-2022</t>
        </is>
      </c>
      <c r="B648" s="1" t="n">
        <v>44607</v>
      </c>
      <c r="C648" s="1" t="n">
        <v>45703</v>
      </c>
      <c r="D648" t="inlineStr">
        <is>
          <t>JÄMTLANDS LÄN</t>
        </is>
      </c>
      <c r="E648" t="inlineStr">
        <is>
          <t>RAGUNDA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8231-2022</t>
        </is>
      </c>
      <c r="B649" s="1" t="n">
        <v>44609</v>
      </c>
      <c r="C649" s="1" t="n">
        <v>45703</v>
      </c>
      <c r="D649" t="inlineStr">
        <is>
          <t>JÄMTLANDS LÄN</t>
        </is>
      </c>
      <c r="E649" t="inlineStr">
        <is>
          <t>RAGUNDA</t>
        </is>
      </c>
      <c r="F649" t="inlineStr">
        <is>
          <t>SCA</t>
        </is>
      </c>
      <c r="G649" t="n">
        <v>24.1</v>
      </c>
      <c r="H649" t="n">
        <v>0</v>
      </c>
      <c r="I649" t="n">
        <v>0</v>
      </c>
      <c r="J649" t="n">
        <v>0</v>
      </c>
      <c r="K649" t="n">
        <v>0</v>
      </c>
      <c r="L649" t="n">
        <v>0</v>
      </c>
      <c r="M649" t="n">
        <v>0</v>
      </c>
      <c r="N649" t="n">
        <v>0</v>
      </c>
      <c r="O649" t="n">
        <v>0</v>
      </c>
      <c r="P649" t="n">
        <v>0</v>
      </c>
      <c r="Q649" t="n">
        <v>0</v>
      </c>
      <c r="R649" s="2" t="inlineStr"/>
    </row>
    <row r="650" ht="15" customHeight="1">
      <c r="A650" t="inlineStr">
        <is>
          <t>A 8237-2022</t>
        </is>
      </c>
      <c r="B650" s="1" t="n">
        <v>44609</v>
      </c>
      <c r="C650" s="1" t="n">
        <v>45703</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8795-2022</t>
        </is>
      </c>
      <c r="B651" s="1" t="n">
        <v>44614</v>
      </c>
      <c r="C651" s="1" t="n">
        <v>45703</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8808-2022</t>
        </is>
      </c>
      <c r="B652" s="1" t="n">
        <v>44614</v>
      </c>
      <c r="C652" s="1" t="n">
        <v>45703</v>
      </c>
      <c r="D652" t="inlineStr">
        <is>
          <t>JÄMTLANDS LÄN</t>
        </is>
      </c>
      <c r="E652" t="inlineStr">
        <is>
          <t>RAGUNDA</t>
        </is>
      </c>
      <c r="G652" t="n">
        <v>3.3</v>
      </c>
      <c r="H652" t="n">
        <v>0</v>
      </c>
      <c r="I652" t="n">
        <v>0</v>
      </c>
      <c r="J652" t="n">
        <v>0</v>
      </c>
      <c r="K652" t="n">
        <v>0</v>
      </c>
      <c r="L652" t="n">
        <v>0</v>
      </c>
      <c r="M652" t="n">
        <v>0</v>
      </c>
      <c r="N652" t="n">
        <v>0</v>
      </c>
      <c r="O652" t="n">
        <v>0</v>
      </c>
      <c r="P652" t="n">
        <v>0</v>
      </c>
      <c r="Q652" t="n">
        <v>0</v>
      </c>
      <c r="R652" s="2" t="inlineStr"/>
    </row>
    <row r="653" ht="15" customHeight="1">
      <c r="A653" t="inlineStr">
        <is>
          <t>A 8802-2022</t>
        </is>
      </c>
      <c r="B653" s="1" t="n">
        <v>44614</v>
      </c>
      <c r="C653" s="1" t="n">
        <v>45703</v>
      </c>
      <c r="D653" t="inlineStr">
        <is>
          <t>JÄMTLANDS LÄN</t>
        </is>
      </c>
      <c r="E653" t="inlineStr">
        <is>
          <t>RAGUNDA</t>
        </is>
      </c>
      <c r="G653" t="n">
        <v>2.8</v>
      </c>
      <c r="H653" t="n">
        <v>0</v>
      </c>
      <c r="I653" t="n">
        <v>0</v>
      </c>
      <c r="J653" t="n">
        <v>0</v>
      </c>
      <c r="K653" t="n">
        <v>0</v>
      </c>
      <c r="L653" t="n">
        <v>0</v>
      </c>
      <c r="M653" t="n">
        <v>0</v>
      </c>
      <c r="N653" t="n">
        <v>0</v>
      </c>
      <c r="O653" t="n">
        <v>0</v>
      </c>
      <c r="P653" t="n">
        <v>0</v>
      </c>
      <c r="Q653" t="n">
        <v>0</v>
      </c>
      <c r="R653" s="2" t="inlineStr"/>
    </row>
    <row r="654" ht="15" customHeight="1">
      <c r="A654" t="inlineStr">
        <is>
          <t>A 8811-2022</t>
        </is>
      </c>
      <c r="B654" s="1" t="n">
        <v>44614</v>
      </c>
      <c r="C654" s="1" t="n">
        <v>45703</v>
      </c>
      <c r="D654" t="inlineStr">
        <is>
          <t>JÄMTLANDS LÄN</t>
        </is>
      </c>
      <c r="E654" t="inlineStr">
        <is>
          <t>RAGUNDA</t>
        </is>
      </c>
      <c r="G654" t="n">
        <v>1.4</v>
      </c>
      <c r="H654" t="n">
        <v>0</v>
      </c>
      <c r="I654" t="n">
        <v>0</v>
      </c>
      <c r="J654" t="n">
        <v>0</v>
      </c>
      <c r="K654" t="n">
        <v>0</v>
      </c>
      <c r="L654" t="n">
        <v>0</v>
      </c>
      <c r="M654" t="n">
        <v>0</v>
      </c>
      <c r="N654" t="n">
        <v>0</v>
      </c>
      <c r="O654" t="n">
        <v>0</v>
      </c>
      <c r="P654" t="n">
        <v>0</v>
      </c>
      <c r="Q654" t="n">
        <v>0</v>
      </c>
      <c r="R654" s="2" t="inlineStr"/>
    </row>
    <row r="655" ht="15" customHeight="1">
      <c r="A655" t="inlineStr">
        <is>
          <t>A 8787-2022</t>
        </is>
      </c>
      <c r="B655" s="1" t="n">
        <v>44614</v>
      </c>
      <c r="C655" s="1" t="n">
        <v>45703</v>
      </c>
      <c r="D655" t="inlineStr">
        <is>
          <t>JÄMTLANDS LÄN</t>
        </is>
      </c>
      <c r="E655" t="inlineStr">
        <is>
          <t>RAGUNDA</t>
        </is>
      </c>
      <c r="G655" t="n">
        <v>6.4</v>
      </c>
      <c r="H655" t="n">
        <v>0</v>
      </c>
      <c r="I655" t="n">
        <v>0</v>
      </c>
      <c r="J655" t="n">
        <v>0</v>
      </c>
      <c r="K655" t="n">
        <v>0</v>
      </c>
      <c r="L655" t="n">
        <v>0</v>
      </c>
      <c r="M655" t="n">
        <v>0</v>
      </c>
      <c r="N655" t="n">
        <v>0</v>
      </c>
      <c r="O655" t="n">
        <v>0</v>
      </c>
      <c r="P655" t="n">
        <v>0</v>
      </c>
      <c r="Q655" t="n">
        <v>0</v>
      </c>
      <c r="R655" s="2" t="inlineStr"/>
    </row>
    <row r="656" ht="15" customHeight="1">
      <c r="A656" t="inlineStr">
        <is>
          <t>A 9187-2022</t>
        </is>
      </c>
      <c r="B656" s="1" t="n">
        <v>44615</v>
      </c>
      <c r="C656" s="1" t="n">
        <v>45703</v>
      </c>
      <c r="D656" t="inlineStr">
        <is>
          <t>JÄMTLANDS LÄN</t>
        </is>
      </c>
      <c r="E656" t="inlineStr">
        <is>
          <t>RAGUNDA</t>
        </is>
      </c>
      <c r="G656" t="n">
        <v>2</v>
      </c>
      <c r="H656" t="n">
        <v>0</v>
      </c>
      <c r="I656" t="n">
        <v>0</v>
      </c>
      <c r="J656" t="n">
        <v>0</v>
      </c>
      <c r="K656" t="n">
        <v>0</v>
      </c>
      <c r="L656" t="n">
        <v>0</v>
      </c>
      <c r="M656" t="n">
        <v>0</v>
      </c>
      <c r="N656" t="n">
        <v>0</v>
      </c>
      <c r="O656" t="n">
        <v>0</v>
      </c>
      <c r="P656" t="n">
        <v>0</v>
      </c>
      <c r="Q656" t="n">
        <v>0</v>
      </c>
      <c r="R656" s="2" t="inlineStr"/>
    </row>
    <row r="657" ht="15" customHeight="1">
      <c r="A657" t="inlineStr">
        <is>
          <t>A 9199-2022</t>
        </is>
      </c>
      <c r="B657" s="1" t="n">
        <v>44615</v>
      </c>
      <c r="C657" s="1" t="n">
        <v>45703</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9185-2022</t>
        </is>
      </c>
      <c r="B658" s="1" t="n">
        <v>44615</v>
      </c>
      <c r="C658" s="1" t="n">
        <v>45703</v>
      </c>
      <c r="D658" t="inlineStr">
        <is>
          <t>JÄMTLANDS LÄN</t>
        </is>
      </c>
      <c r="E658" t="inlineStr">
        <is>
          <t>RAGUNDA</t>
        </is>
      </c>
      <c r="G658" t="n">
        <v>1.1</v>
      </c>
      <c r="H658" t="n">
        <v>0</v>
      </c>
      <c r="I658" t="n">
        <v>0</v>
      </c>
      <c r="J658" t="n">
        <v>0</v>
      </c>
      <c r="K658" t="n">
        <v>0</v>
      </c>
      <c r="L658" t="n">
        <v>0</v>
      </c>
      <c r="M658" t="n">
        <v>0</v>
      </c>
      <c r="N658" t="n">
        <v>0</v>
      </c>
      <c r="O658" t="n">
        <v>0</v>
      </c>
      <c r="P658" t="n">
        <v>0</v>
      </c>
      <c r="Q658" t="n">
        <v>0</v>
      </c>
      <c r="R658" s="2" t="inlineStr"/>
    </row>
    <row r="659" ht="15" customHeight="1">
      <c r="A659" t="inlineStr">
        <is>
          <t>A 10120-2022</t>
        </is>
      </c>
      <c r="B659" s="1" t="n">
        <v>44621</v>
      </c>
      <c r="C659" s="1" t="n">
        <v>45703</v>
      </c>
      <c r="D659" t="inlineStr">
        <is>
          <t>JÄMTLANDS LÄN</t>
        </is>
      </c>
      <c r="E659" t="inlineStr">
        <is>
          <t>RAGUNDA</t>
        </is>
      </c>
      <c r="G659" t="n">
        <v>0.4</v>
      </c>
      <c r="H659" t="n">
        <v>0</v>
      </c>
      <c r="I659" t="n">
        <v>0</v>
      </c>
      <c r="J659" t="n">
        <v>0</v>
      </c>
      <c r="K659" t="n">
        <v>0</v>
      </c>
      <c r="L659" t="n">
        <v>0</v>
      </c>
      <c r="M659" t="n">
        <v>0</v>
      </c>
      <c r="N659" t="n">
        <v>0</v>
      </c>
      <c r="O659" t="n">
        <v>0</v>
      </c>
      <c r="P659" t="n">
        <v>0</v>
      </c>
      <c r="Q659" t="n">
        <v>0</v>
      </c>
      <c r="R659" s="2" t="inlineStr"/>
    </row>
    <row r="660" ht="15" customHeight="1">
      <c r="A660" t="inlineStr">
        <is>
          <t>A 10905-2022</t>
        </is>
      </c>
      <c r="B660" s="1" t="n">
        <v>44627</v>
      </c>
      <c r="C660" s="1" t="n">
        <v>45703</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10972-2022</t>
        </is>
      </c>
      <c r="B661" s="1" t="n">
        <v>44628</v>
      </c>
      <c r="C661" s="1" t="n">
        <v>45703</v>
      </c>
      <c r="D661" t="inlineStr">
        <is>
          <t>JÄMTLANDS LÄN</t>
        </is>
      </c>
      <c r="E661" t="inlineStr">
        <is>
          <t>RAGUNDA</t>
        </is>
      </c>
      <c r="G661" t="n">
        <v>9.5</v>
      </c>
      <c r="H661" t="n">
        <v>0</v>
      </c>
      <c r="I661" t="n">
        <v>0</v>
      </c>
      <c r="J661" t="n">
        <v>0</v>
      </c>
      <c r="K661" t="n">
        <v>0</v>
      </c>
      <c r="L661" t="n">
        <v>0</v>
      </c>
      <c r="M661" t="n">
        <v>0</v>
      </c>
      <c r="N661" t="n">
        <v>0</v>
      </c>
      <c r="O661" t="n">
        <v>0</v>
      </c>
      <c r="P661" t="n">
        <v>0</v>
      </c>
      <c r="Q661" t="n">
        <v>0</v>
      </c>
      <c r="R661" s="2" t="inlineStr"/>
    </row>
    <row r="662" ht="15" customHeight="1">
      <c r="A662" t="inlineStr">
        <is>
          <t>A 11217-2022</t>
        </is>
      </c>
      <c r="B662" s="1" t="n">
        <v>44629</v>
      </c>
      <c r="C662" s="1" t="n">
        <v>45703</v>
      </c>
      <c r="D662" t="inlineStr">
        <is>
          <t>JÄMTLANDS LÄN</t>
        </is>
      </c>
      <c r="E662" t="inlineStr">
        <is>
          <t>RAGUNDA</t>
        </is>
      </c>
      <c r="G662" t="n">
        <v>10.2</v>
      </c>
      <c r="H662" t="n">
        <v>0</v>
      </c>
      <c r="I662" t="n">
        <v>0</v>
      </c>
      <c r="J662" t="n">
        <v>0</v>
      </c>
      <c r="K662" t="n">
        <v>0</v>
      </c>
      <c r="L662" t="n">
        <v>0</v>
      </c>
      <c r="M662" t="n">
        <v>0</v>
      </c>
      <c r="N662" t="n">
        <v>0</v>
      </c>
      <c r="O662" t="n">
        <v>0</v>
      </c>
      <c r="P662" t="n">
        <v>0</v>
      </c>
      <c r="Q662" t="n">
        <v>0</v>
      </c>
      <c r="R662" s="2" t="inlineStr"/>
    </row>
    <row r="663" ht="15" customHeight="1">
      <c r="A663" t="inlineStr">
        <is>
          <t>A 11288-2022</t>
        </is>
      </c>
      <c r="B663" s="1" t="n">
        <v>44629</v>
      </c>
      <c r="C663" s="1" t="n">
        <v>45703</v>
      </c>
      <c r="D663" t="inlineStr">
        <is>
          <t>JÄMTLANDS LÄN</t>
        </is>
      </c>
      <c r="E663" t="inlineStr">
        <is>
          <t>RAGUNDA</t>
        </is>
      </c>
      <c r="G663" t="n">
        <v>4.9</v>
      </c>
      <c r="H663" t="n">
        <v>0</v>
      </c>
      <c r="I663" t="n">
        <v>0</v>
      </c>
      <c r="J663" t="n">
        <v>0</v>
      </c>
      <c r="K663" t="n">
        <v>0</v>
      </c>
      <c r="L663" t="n">
        <v>0</v>
      </c>
      <c r="M663" t="n">
        <v>0</v>
      </c>
      <c r="N663" t="n">
        <v>0</v>
      </c>
      <c r="O663" t="n">
        <v>0</v>
      </c>
      <c r="P663" t="n">
        <v>0</v>
      </c>
      <c r="Q663" t="n">
        <v>0</v>
      </c>
      <c r="R663" s="2" t="inlineStr"/>
    </row>
    <row r="664" ht="15" customHeight="1">
      <c r="A664" t="inlineStr">
        <is>
          <t>A 11487-2022</t>
        </is>
      </c>
      <c r="B664" s="1" t="n">
        <v>44630</v>
      </c>
      <c r="C664" s="1" t="n">
        <v>45703</v>
      </c>
      <c r="D664" t="inlineStr">
        <is>
          <t>JÄMTLANDS LÄN</t>
        </is>
      </c>
      <c r="E664" t="inlineStr">
        <is>
          <t>RAGUNDA</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12024-2022</t>
        </is>
      </c>
      <c r="B665" s="1" t="n">
        <v>44635</v>
      </c>
      <c r="C665" s="1" t="n">
        <v>45703</v>
      </c>
      <c r="D665" t="inlineStr">
        <is>
          <t>JÄMTLANDS LÄN</t>
        </is>
      </c>
      <c r="E665" t="inlineStr">
        <is>
          <t>RAGUNDA</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12559-2022</t>
        </is>
      </c>
      <c r="B666" s="1" t="n">
        <v>44638</v>
      </c>
      <c r="C666" s="1" t="n">
        <v>45703</v>
      </c>
      <c r="D666" t="inlineStr">
        <is>
          <t>JÄMTLANDS LÄN</t>
        </is>
      </c>
      <c r="E666" t="inlineStr">
        <is>
          <t>RAGUNDA</t>
        </is>
      </c>
      <c r="F666" t="inlineStr">
        <is>
          <t>SCA</t>
        </is>
      </c>
      <c r="G666" t="n">
        <v>6</v>
      </c>
      <c r="H666" t="n">
        <v>0</v>
      </c>
      <c r="I666" t="n">
        <v>0</v>
      </c>
      <c r="J666" t="n">
        <v>0</v>
      </c>
      <c r="K666" t="n">
        <v>0</v>
      </c>
      <c r="L666" t="n">
        <v>0</v>
      </c>
      <c r="M666" t="n">
        <v>0</v>
      </c>
      <c r="N666" t="n">
        <v>0</v>
      </c>
      <c r="O666" t="n">
        <v>0</v>
      </c>
      <c r="P666" t="n">
        <v>0</v>
      </c>
      <c r="Q666" t="n">
        <v>0</v>
      </c>
      <c r="R666" s="2" t="inlineStr"/>
    </row>
    <row r="667" ht="15" customHeight="1">
      <c r="A667" t="inlineStr">
        <is>
          <t>A 12773-2022</t>
        </is>
      </c>
      <c r="B667" s="1" t="n">
        <v>44641</v>
      </c>
      <c r="C667" s="1" t="n">
        <v>45703</v>
      </c>
      <c r="D667" t="inlineStr">
        <is>
          <t>JÄMTLANDS LÄN</t>
        </is>
      </c>
      <c r="E667" t="inlineStr">
        <is>
          <t>RAGUNDA</t>
        </is>
      </c>
      <c r="F667" t="inlineStr">
        <is>
          <t>SCA</t>
        </is>
      </c>
      <c r="G667" t="n">
        <v>14.7</v>
      </c>
      <c r="H667" t="n">
        <v>0</v>
      </c>
      <c r="I667" t="n">
        <v>0</v>
      </c>
      <c r="J667" t="n">
        <v>0</v>
      </c>
      <c r="K667" t="n">
        <v>0</v>
      </c>
      <c r="L667" t="n">
        <v>0</v>
      </c>
      <c r="M667" t="n">
        <v>0</v>
      </c>
      <c r="N667" t="n">
        <v>0</v>
      </c>
      <c r="O667" t="n">
        <v>0</v>
      </c>
      <c r="P667" t="n">
        <v>0</v>
      </c>
      <c r="Q667" t="n">
        <v>0</v>
      </c>
      <c r="R667" s="2" t="inlineStr"/>
    </row>
    <row r="668" ht="15" customHeight="1">
      <c r="A668" t="inlineStr">
        <is>
          <t>A 12768-2022</t>
        </is>
      </c>
      <c r="B668" s="1" t="n">
        <v>44641</v>
      </c>
      <c r="C668" s="1" t="n">
        <v>45703</v>
      </c>
      <c r="D668" t="inlineStr">
        <is>
          <t>JÄMTLANDS LÄN</t>
        </is>
      </c>
      <c r="E668" t="inlineStr">
        <is>
          <t>RAGUNDA</t>
        </is>
      </c>
      <c r="F668" t="inlineStr">
        <is>
          <t>SCA</t>
        </is>
      </c>
      <c r="G668" t="n">
        <v>8</v>
      </c>
      <c r="H668" t="n">
        <v>0</v>
      </c>
      <c r="I668" t="n">
        <v>0</v>
      </c>
      <c r="J668" t="n">
        <v>0</v>
      </c>
      <c r="K668" t="n">
        <v>0</v>
      </c>
      <c r="L668" t="n">
        <v>0</v>
      </c>
      <c r="M668" t="n">
        <v>0</v>
      </c>
      <c r="N668" t="n">
        <v>0</v>
      </c>
      <c r="O668" t="n">
        <v>0</v>
      </c>
      <c r="P668" t="n">
        <v>0</v>
      </c>
      <c r="Q668" t="n">
        <v>0</v>
      </c>
      <c r="R668" s="2" t="inlineStr"/>
    </row>
    <row r="669" ht="15" customHeight="1">
      <c r="A669" t="inlineStr">
        <is>
          <t>A 13302-2022</t>
        </is>
      </c>
      <c r="B669" s="1" t="n">
        <v>44644</v>
      </c>
      <c r="C669" s="1" t="n">
        <v>45703</v>
      </c>
      <c r="D669" t="inlineStr">
        <is>
          <t>JÄMTLANDS LÄN</t>
        </is>
      </c>
      <c r="E669" t="inlineStr">
        <is>
          <t>RAGUNDA</t>
        </is>
      </c>
      <c r="F669" t="inlineStr">
        <is>
          <t>SCA</t>
        </is>
      </c>
      <c r="G669" t="n">
        <v>35.6</v>
      </c>
      <c r="H669" t="n">
        <v>0</v>
      </c>
      <c r="I669" t="n">
        <v>0</v>
      </c>
      <c r="J669" t="n">
        <v>0</v>
      </c>
      <c r="K669" t="n">
        <v>0</v>
      </c>
      <c r="L669" t="n">
        <v>0</v>
      </c>
      <c r="M669" t="n">
        <v>0</v>
      </c>
      <c r="N669" t="n">
        <v>0</v>
      </c>
      <c r="O669" t="n">
        <v>0</v>
      </c>
      <c r="P669" t="n">
        <v>0</v>
      </c>
      <c r="Q669" t="n">
        <v>0</v>
      </c>
      <c r="R669" s="2" t="inlineStr"/>
    </row>
    <row r="670" ht="15" customHeight="1">
      <c r="A670" t="inlineStr">
        <is>
          <t>A 13303-2022</t>
        </is>
      </c>
      <c r="B670" s="1" t="n">
        <v>44644</v>
      </c>
      <c r="C670" s="1" t="n">
        <v>45703</v>
      </c>
      <c r="D670" t="inlineStr">
        <is>
          <t>JÄMTLANDS LÄN</t>
        </is>
      </c>
      <c r="E670" t="inlineStr">
        <is>
          <t>RAGUNDA</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13769-2022</t>
        </is>
      </c>
      <c r="B671" s="1" t="n">
        <v>44649</v>
      </c>
      <c r="C671" s="1" t="n">
        <v>45703</v>
      </c>
      <c r="D671" t="inlineStr">
        <is>
          <t>JÄMTLANDS LÄN</t>
        </is>
      </c>
      <c r="E671" t="inlineStr">
        <is>
          <t>RAGUNDA</t>
        </is>
      </c>
      <c r="F671" t="inlineStr">
        <is>
          <t>Kommuner</t>
        </is>
      </c>
      <c r="G671" t="n">
        <v>2.5</v>
      </c>
      <c r="H671" t="n">
        <v>0</v>
      </c>
      <c r="I671" t="n">
        <v>0</v>
      </c>
      <c r="J671" t="n">
        <v>0</v>
      </c>
      <c r="K671" t="n">
        <v>0</v>
      </c>
      <c r="L671" t="n">
        <v>0</v>
      </c>
      <c r="M671" t="n">
        <v>0</v>
      </c>
      <c r="N671" t="n">
        <v>0</v>
      </c>
      <c r="O671" t="n">
        <v>0</v>
      </c>
      <c r="P671" t="n">
        <v>0</v>
      </c>
      <c r="Q671" t="n">
        <v>0</v>
      </c>
      <c r="R671" s="2" t="inlineStr"/>
    </row>
    <row r="672" ht="15" customHeight="1">
      <c r="A672" t="inlineStr">
        <is>
          <t>A 13767-2022</t>
        </is>
      </c>
      <c r="B672" s="1" t="n">
        <v>44649</v>
      </c>
      <c r="C672" s="1" t="n">
        <v>45703</v>
      </c>
      <c r="D672" t="inlineStr">
        <is>
          <t>JÄMTLANDS LÄN</t>
        </is>
      </c>
      <c r="E672" t="inlineStr">
        <is>
          <t>RAGUNDA</t>
        </is>
      </c>
      <c r="F672" t="inlineStr">
        <is>
          <t>Kommuner</t>
        </is>
      </c>
      <c r="G672" t="n">
        <v>3.1</v>
      </c>
      <c r="H672" t="n">
        <v>0</v>
      </c>
      <c r="I672" t="n">
        <v>0</v>
      </c>
      <c r="J672" t="n">
        <v>0</v>
      </c>
      <c r="K672" t="n">
        <v>0</v>
      </c>
      <c r="L672" t="n">
        <v>0</v>
      </c>
      <c r="M672" t="n">
        <v>0</v>
      </c>
      <c r="N672" t="n">
        <v>0</v>
      </c>
      <c r="O672" t="n">
        <v>0</v>
      </c>
      <c r="P672" t="n">
        <v>0</v>
      </c>
      <c r="Q672" t="n">
        <v>0</v>
      </c>
      <c r="R672" s="2" t="inlineStr"/>
    </row>
    <row r="673" ht="15" customHeight="1">
      <c r="A673" t="inlineStr">
        <is>
          <t>A 13768-2022</t>
        </is>
      </c>
      <c r="B673" s="1" t="n">
        <v>44649</v>
      </c>
      <c r="C673" s="1" t="n">
        <v>45703</v>
      </c>
      <c r="D673" t="inlineStr">
        <is>
          <t>JÄMTLANDS LÄN</t>
        </is>
      </c>
      <c r="E673" t="inlineStr">
        <is>
          <t>RAGUNDA</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13964-2022</t>
        </is>
      </c>
      <c r="B674" s="1" t="n">
        <v>44650</v>
      </c>
      <c r="C674" s="1" t="n">
        <v>45703</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13911-2022</t>
        </is>
      </c>
      <c r="B675" s="1" t="n">
        <v>44650</v>
      </c>
      <c r="C675" s="1" t="n">
        <v>45703</v>
      </c>
      <c r="D675" t="inlineStr">
        <is>
          <t>JÄMTLANDS LÄN</t>
        </is>
      </c>
      <c r="E675" t="inlineStr">
        <is>
          <t>RAGUNDA</t>
        </is>
      </c>
      <c r="G675" t="n">
        <v>0.6</v>
      </c>
      <c r="H675" t="n">
        <v>0</v>
      </c>
      <c r="I675" t="n">
        <v>0</v>
      </c>
      <c r="J675" t="n">
        <v>0</v>
      </c>
      <c r="K675" t="n">
        <v>0</v>
      </c>
      <c r="L675" t="n">
        <v>0</v>
      </c>
      <c r="M675" t="n">
        <v>0</v>
      </c>
      <c r="N675" t="n">
        <v>0</v>
      </c>
      <c r="O675" t="n">
        <v>0</v>
      </c>
      <c r="P675" t="n">
        <v>0</v>
      </c>
      <c r="Q675" t="n">
        <v>0</v>
      </c>
      <c r="R675" s="2" t="inlineStr"/>
    </row>
    <row r="676" ht="15" customHeight="1">
      <c r="A676" t="inlineStr">
        <is>
          <t>A 14435-2022</t>
        </is>
      </c>
      <c r="B676" s="1" t="n">
        <v>44652</v>
      </c>
      <c r="C676" s="1" t="n">
        <v>45703</v>
      </c>
      <c r="D676" t="inlineStr">
        <is>
          <t>JÄMTLANDS LÄN</t>
        </is>
      </c>
      <c r="E676" t="inlineStr">
        <is>
          <t>RAGUNDA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14696-2022</t>
        </is>
      </c>
      <c r="B677" s="1" t="n">
        <v>44655</v>
      </c>
      <c r="C677" s="1" t="n">
        <v>45703</v>
      </c>
      <c r="D677" t="inlineStr">
        <is>
          <t>JÄMTLANDS LÄN</t>
        </is>
      </c>
      <c r="E677" t="inlineStr">
        <is>
          <t>RAGUNDA</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14697-2022</t>
        </is>
      </c>
      <c r="B678" s="1" t="n">
        <v>44655</v>
      </c>
      <c r="C678" s="1" t="n">
        <v>45703</v>
      </c>
      <c r="D678" t="inlineStr">
        <is>
          <t>JÄMTLANDS LÄN</t>
        </is>
      </c>
      <c r="E678" t="inlineStr">
        <is>
          <t>RAGUNDA</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14898-2022</t>
        </is>
      </c>
      <c r="B679" s="1" t="n">
        <v>44656</v>
      </c>
      <c r="C679" s="1" t="n">
        <v>45703</v>
      </c>
      <c r="D679" t="inlineStr">
        <is>
          <t>JÄMTLANDS LÄN</t>
        </is>
      </c>
      <c r="E679" t="inlineStr">
        <is>
          <t>RAGUNDA</t>
        </is>
      </c>
      <c r="F679" t="inlineStr">
        <is>
          <t>SCA</t>
        </is>
      </c>
      <c r="G679" t="n">
        <v>7</v>
      </c>
      <c r="H679" t="n">
        <v>0</v>
      </c>
      <c r="I679" t="n">
        <v>0</v>
      </c>
      <c r="J679" t="n">
        <v>0</v>
      </c>
      <c r="K679" t="n">
        <v>0</v>
      </c>
      <c r="L679" t="n">
        <v>0</v>
      </c>
      <c r="M679" t="n">
        <v>0</v>
      </c>
      <c r="N679" t="n">
        <v>0</v>
      </c>
      <c r="O679" t="n">
        <v>0</v>
      </c>
      <c r="P679" t="n">
        <v>0</v>
      </c>
      <c r="Q679" t="n">
        <v>0</v>
      </c>
      <c r="R679" s="2" t="inlineStr"/>
    </row>
    <row r="680" ht="15" customHeight="1">
      <c r="A680" t="inlineStr">
        <is>
          <t>A 14907-2022</t>
        </is>
      </c>
      <c r="B680" s="1" t="n">
        <v>44657</v>
      </c>
      <c r="C680" s="1" t="n">
        <v>45703</v>
      </c>
      <c r="D680" t="inlineStr">
        <is>
          <t>JÄMTLANDS LÄN</t>
        </is>
      </c>
      <c r="E680" t="inlineStr">
        <is>
          <t>RAGUNDA</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14896-2022</t>
        </is>
      </c>
      <c r="B681" s="1" t="n">
        <v>44656</v>
      </c>
      <c r="C681" s="1" t="n">
        <v>45703</v>
      </c>
      <c r="D681" t="inlineStr">
        <is>
          <t>JÄMTLANDS LÄN</t>
        </is>
      </c>
      <c r="E681" t="inlineStr">
        <is>
          <t>RAGUNDA</t>
        </is>
      </c>
      <c r="F681" t="inlineStr">
        <is>
          <t>SCA</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14906-2022</t>
        </is>
      </c>
      <c r="B682" s="1" t="n">
        <v>44657</v>
      </c>
      <c r="C682" s="1" t="n">
        <v>45703</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14905-2022</t>
        </is>
      </c>
      <c r="B683" s="1" t="n">
        <v>44657</v>
      </c>
      <c r="C683" s="1" t="n">
        <v>45703</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15024-2022</t>
        </is>
      </c>
      <c r="B684" s="1" t="n">
        <v>44657</v>
      </c>
      <c r="C684" s="1" t="n">
        <v>45703</v>
      </c>
      <c r="D684" t="inlineStr">
        <is>
          <t>JÄMTLANDS LÄN</t>
        </is>
      </c>
      <c r="E684" t="inlineStr">
        <is>
          <t>RAGUNDA</t>
        </is>
      </c>
      <c r="G684" t="n">
        <v>1.8</v>
      </c>
      <c r="H684" t="n">
        <v>0</v>
      </c>
      <c r="I684" t="n">
        <v>0</v>
      </c>
      <c r="J684" t="n">
        <v>0</v>
      </c>
      <c r="K684" t="n">
        <v>0</v>
      </c>
      <c r="L684" t="n">
        <v>0</v>
      </c>
      <c r="M684" t="n">
        <v>0</v>
      </c>
      <c r="N684" t="n">
        <v>0</v>
      </c>
      <c r="O684" t="n">
        <v>0</v>
      </c>
      <c r="P684" t="n">
        <v>0</v>
      </c>
      <c r="Q684" t="n">
        <v>0</v>
      </c>
      <c r="R684" s="2" t="inlineStr"/>
    </row>
    <row r="685" ht="15" customHeight="1">
      <c r="A685" t="inlineStr">
        <is>
          <t>A 15664-2022</t>
        </is>
      </c>
      <c r="B685" s="1" t="n">
        <v>44662</v>
      </c>
      <c r="C685" s="1" t="n">
        <v>45703</v>
      </c>
      <c r="D685" t="inlineStr">
        <is>
          <t>JÄMTLANDS LÄN</t>
        </is>
      </c>
      <c r="E685" t="inlineStr">
        <is>
          <t>RAGUNDA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15808-2022</t>
        </is>
      </c>
      <c r="B686" s="1" t="n">
        <v>44663</v>
      </c>
      <c r="C686" s="1" t="n">
        <v>45703</v>
      </c>
      <c r="D686" t="inlineStr">
        <is>
          <t>JÄMTLANDS LÄN</t>
        </is>
      </c>
      <c r="E686" t="inlineStr">
        <is>
          <t>RAGUNDA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15969-2022</t>
        </is>
      </c>
      <c r="B687" s="1" t="n">
        <v>44665</v>
      </c>
      <c r="C687" s="1" t="n">
        <v>45703</v>
      </c>
      <c r="D687" t="inlineStr">
        <is>
          <t>JÄMTLANDS LÄN</t>
        </is>
      </c>
      <c r="E687" t="inlineStr">
        <is>
          <t>RAGUNDA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16246-2022</t>
        </is>
      </c>
      <c r="B688" s="1" t="n">
        <v>44670</v>
      </c>
      <c r="C688" s="1" t="n">
        <v>45703</v>
      </c>
      <c r="D688" t="inlineStr">
        <is>
          <t>JÄMTLANDS LÄN</t>
        </is>
      </c>
      <c r="E688" t="inlineStr">
        <is>
          <t>RAGUNDA</t>
        </is>
      </c>
      <c r="G688" t="n">
        <v>4.1</v>
      </c>
      <c r="H688" t="n">
        <v>0</v>
      </c>
      <c r="I688" t="n">
        <v>0</v>
      </c>
      <c r="J688" t="n">
        <v>0</v>
      </c>
      <c r="K688" t="n">
        <v>0</v>
      </c>
      <c r="L688" t="n">
        <v>0</v>
      </c>
      <c r="M688" t="n">
        <v>0</v>
      </c>
      <c r="N688" t="n">
        <v>0</v>
      </c>
      <c r="O688" t="n">
        <v>0</v>
      </c>
      <c r="P688" t="n">
        <v>0</v>
      </c>
      <c r="Q688" t="n">
        <v>0</v>
      </c>
      <c r="R688" s="2" t="inlineStr"/>
    </row>
    <row r="689" ht="15" customHeight="1">
      <c r="A689" t="inlineStr">
        <is>
          <t>A 16250-2022</t>
        </is>
      </c>
      <c r="B689" s="1" t="n">
        <v>44670</v>
      </c>
      <c r="C689" s="1" t="n">
        <v>45703</v>
      </c>
      <c r="D689" t="inlineStr">
        <is>
          <t>JÄMTLANDS LÄN</t>
        </is>
      </c>
      <c r="E689" t="inlineStr">
        <is>
          <t>RAGUNDA</t>
        </is>
      </c>
      <c r="G689" t="n">
        <v>1</v>
      </c>
      <c r="H689" t="n">
        <v>0</v>
      </c>
      <c r="I689" t="n">
        <v>0</v>
      </c>
      <c r="J689" t="n">
        <v>0</v>
      </c>
      <c r="K689" t="n">
        <v>0</v>
      </c>
      <c r="L689" t="n">
        <v>0</v>
      </c>
      <c r="M689" t="n">
        <v>0</v>
      </c>
      <c r="N689" t="n">
        <v>0</v>
      </c>
      <c r="O689" t="n">
        <v>0</v>
      </c>
      <c r="P689" t="n">
        <v>0</v>
      </c>
      <c r="Q689" t="n">
        <v>0</v>
      </c>
      <c r="R689" s="2" t="inlineStr"/>
    </row>
    <row r="690" ht="15" customHeight="1">
      <c r="A690" t="inlineStr">
        <is>
          <t>A 16361-2022</t>
        </is>
      </c>
      <c r="B690" s="1" t="n">
        <v>44670</v>
      </c>
      <c r="C690" s="1" t="n">
        <v>45703</v>
      </c>
      <c r="D690" t="inlineStr">
        <is>
          <t>JÄMTLANDS LÄN</t>
        </is>
      </c>
      <c r="E690" t="inlineStr">
        <is>
          <t>RAGUNDA</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16460-2022</t>
        </is>
      </c>
      <c r="B691" s="1" t="n">
        <v>44671</v>
      </c>
      <c r="C691" s="1" t="n">
        <v>45703</v>
      </c>
      <c r="D691" t="inlineStr">
        <is>
          <t>JÄMTLANDS LÄN</t>
        </is>
      </c>
      <c r="E691" t="inlineStr">
        <is>
          <t>RAGUNDA</t>
        </is>
      </c>
      <c r="G691" t="n">
        <v>1.7</v>
      </c>
      <c r="H691" t="n">
        <v>0</v>
      </c>
      <c r="I691" t="n">
        <v>0</v>
      </c>
      <c r="J691" t="n">
        <v>0</v>
      </c>
      <c r="K691" t="n">
        <v>0</v>
      </c>
      <c r="L691" t="n">
        <v>0</v>
      </c>
      <c r="M691" t="n">
        <v>0</v>
      </c>
      <c r="N691" t="n">
        <v>0</v>
      </c>
      <c r="O691" t="n">
        <v>0</v>
      </c>
      <c r="P691" t="n">
        <v>0</v>
      </c>
      <c r="Q691" t="n">
        <v>0</v>
      </c>
      <c r="R691" s="2" t="inlineStr"/>
    </row>
    <row r="692" ht="15" customHeight="1">
      <c r="A692" t="inlineStr">
        <is>
          <t>A 16529-2022</t>
        </is>
      </c>
      <c r="B692" s="1" t="n">
        <v>44671</v>
      </c>
      <c r="C692" s="1" t="n">
        <v>45703</v>
      </c>
      <c r="D692" t="inlineStr">
        <is>
          <t>JÄMTLANDS LÄN</t>
        </is>
      </c>
      <c r="E692" t="inlineStr">
        <is>
          <t>RAGUNDA</t>
        </is>
      </c>
      <c r="G692" t="n">
        <v>1.5</v>
      </c>
      <c r="H692" t="n">
        <v>0</v>
      </c>
      <c r="I692" t="n">
        <v>0</v>
      </c>
      <c r="J692" t="n">
        <v>0</v>
      </c>
      <c r="K692" t="n">
        <v>0</v>
      </c>
      <c r="L692" t="n">
        <v>0</v>
      </c>
      <c r="M692" t="n">
        <v>0</v>
      </c>
      <c r="N692" t="n">
        <v>0</v>
      </c>
      <c r="O692" t="n">
        <v>0</v>
      </c>
      <c r="P692" t="n">
        <v>0</v>
      </c>
      <c r="Q692" t="n">
        <v>0</v>
      </c>
      <c r="R692" s="2" t="inlineStr"/>
    </row>
    <row r="693" ht="15" customHeight="1">
      <c r="A693" t="inlineStr">
        <is>
          <t>A 16676-2022</t>
        </is>
      </c>
      <c r="B693" s="1" t="n">
        <v>44673</v>
      </c>
      <c r="C693" s="1" t="n">
        <v>45703</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17058-2022</t>
        </is>
      </c>
      <c r="B694" s="1" t="n">
        <v>44677</v>
      </c>
      <c r="C694" s="1" t="n">
        <v>45703</v>
      </c>
      <c r="D694" t="inlineStr">
        <is>
          <t>JÄMTLANDS LÄN</t>
        </is>
      </c>
      <c r="E694" t="inlineStr">
        <is>
          <t>RAGUNDA</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17573-2022</t>
        </is>
      </c>
      <c r="B695" s="1" t="n">
        <v>44679</v>
      </c>
      <c r="C695" s="1" t="n">
        <v>45703</v>
      </c>
      <c r="D695" t="inlineStr">
        <is>
          <t>JÄMTLANDS LÄN</t>
        </is>
      </c>
      <c r="E695" t="inlineStr">
        <is>
          <t>RAGUNDA</t>
        </is>
      </c>
      <c r="G695" t="n">
        <v>6.9</v>
      </c>
      <c r="H695" t="n">
        <v>0</v>
      </c>
      <c r="I695" t="n">
        <v>0</v>
      </c>
      <c r="J695" t="n">
        <v>0</v>
      </c>
      <c r="K695" t="n">
        <v>0</v>
      </c>
      <c r="L695" t="n">
        <v>0</v>
      </c>
      <c r="M695" t="n">
        <v>0</v>
      </c>
      <c r="N695" t="n">
        <v>0</v>
      </c>
      <c r="O695" t="n">
        <v>0</v>
      </c>
      <c r="P695" t="n">
        <v>0</v>
      </c>
      <c r="Q695" t="n">
        <v>0</v>
      </c>
      <c r="R695" s="2" t="inlineStr"/>
    </row>
    <row r="696" ht="15" customHeight="1">
      <c r="A696" t="inlineStr">
        <is>
          <t>A 17730-2022</t>
        </is>
      </c>
      <c r="B696" s="1" t="n">
        <v>44680</v>
      </c>
      <c r="C696" s="1" t="n">
        <v>45703</v>
      </c>
      <c r="D696" t="inlineStr">
        <is>
          <t>JÄMTLANDS LÄN</t>
        </is>
      </c>
      <c r="E696" t="inlineStr">
        <is>
          <t>RAGUNDA</t>
        </is>
      </c>
      <c r="G696" t="n">
        <v>3.4</v>
      </c>
      <c r="H696" t="n">
        <v>0</v>
      </c>
      <c r="I696" t="n">
        <v>0</v>
      </c>
      <c r="J696" t="n">
        <v>0</v>
      </c>
      <c r="K696" t="n">
        <v>0</v>
      </c>
      <c r="L696" t="n">
        <v>0</v>
      </c>
      <c r="M696" t="n">
        <v>0</v>
      </c>
      <c r="N696" t="n">
        <v>0</v>
      </c>
      <c r="O696" t="n">
        <v>0</v>
      </c>
      <c r="P696" t="n">
        <v>0</v>
      </c>
      <c r="Q696" t="n">
        <v>0</v>
      </c>
      <c r="R696" s="2" t="inlineStr"/>
    </row>
    <row r="697" ht="15" customHeight="1">
      <c r="A697" t="inlineStr">
        <is>
          <t>A 17742-2022</t>
        </is>
      </c>
      <c r="B697" s="1" t="n">
        <v>44681</v>
      </c>
      <c r="C697" s="1" t="n">
        <v>45703</v>
      </c>
      <c r="D697" t="inlineStr">
        <is>
          <t>JÄMTLANDS LÄN</t>
        </is>
      </c>
      <c r="E697" t="inlineStr">
        <is>
          <t>RAGUNDA</t>
        </is>
      </c>
      <c r="F697" t="inlineStr">
        <is>
          <t>SCA</t>
        </is>
      </c>
      <c r="G697" t="n">
        <v>7.2</v>
      </c>
      <c r="H697" t="n">
        <v>0</v>
      </c>
      <c r="I697" t="n">
        <v>0</v>
      </c>
      <c r="J697" t="n">
        <v>0</v>
      </c>
      <c r="K697" t="n">
        <v>0</v>
      </c>
      <c r="L697" t="n">
        <v>0</v>
      </c>
      <c r="M697" t="n">
        <v>0</v>
      </c>
      <c r="N697" t="n">
        <v>0</v>
      </c>
      <c r="O697" t="n">
        <v>0</v>
      </c>
      <c r="P697" t="n">
        <v>0</v>
      </c>
      <c r="Q697" t="n">
        <v>0</v>
      </c>
      <c r="R697" s="2" t="inlineStr"/>
    </row>
    <row r="698" ht="15" customHeight="1">
      <c r="A698" t="inlineStr">
        <is>
          <t>A 18008-2022</t>
        </is>
      </c>
      <c r="B698" s="1" t="n">
        <v>44684</v>
      </c>
      <c r="C698" s="1" t="n">
        <v>45703</v>
      </c>
      <c r="D698" t="inlineStr">
        <is>
          <t>JÄMTLANDS LÄN</t>
        </is>
      </c>
      <c r="E698" t="inlineStr">
        <is>
          <t>RAGUNDA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18193-2022</t>
        </is>
      </c>
      <c r="B699" s="1" t="n">
        <v>44685</v>
      </c>
      <c r="C699" s="1" t="n">
        <v>45703</v>
      </c>
      <c r="D699" t="inlineStr">
        <is>
          <t>JÄMTLANDS LÄN</t>
        </is>
      </c>
      <c r="E699" t="inlineStr">
        <is>
          <t>RAGUNDA</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18290-2022</t>
        </is>
      </c>
      <c r="B700" s="1" t="n">
        <v>44685</v>
      </c>
      <c r="C700" s="1" t="n">
        <v>45703</v>
      </c>
      <c r="D700" t="inlineStr">
        <is>
          <t>JÄMTLANDS LÄN</t>
        </is>
      </c>
      <c r="E700" t="inlineStr">
        <is>
          <t>RAGUNDA</t>
        </is>
      </c>
      <c r="G700" t="n">
        <v>7.7</v>
      </c>
      <c r="H700" t="n">
        <v>0</v>
      </c>
      <c r="I700" t="n">
        <v>0</v>
      </c>
      <c r="J700" t="n">
        <v>0</v>
      </c>
      <c r="K700" t="n">
        <v>0</v>
      </c>
      <c r="L700" t="n">
        <v>0</v>
      </c>
      <c r="M700" t="n">
        <v>0</v>
      </c>
      <c r="N700" t="n">
        <v>0</v>
      </c>
      <c r="O700" t="n">
        <v>0</v>
      </c>
      <c r="P700" t="n">
        <v>0</v>
      </c>
      <c r="Q700" t="n">
        <v>0</v>
      </c>
      <c r="R700" s="2" t="inlineStr"/>
    </row>
    <row r="701" ht="15" customHeight="1">
      <c r="A701" t="inlineStr">
        <is>
          <t>A 18341-2022</t>
        </is>
      </c>
      <c r="B701" s="1" t="n">
        <v>44685</v>
      </c>
      <c r="C701" s="1" t="n">
        <v>45703</v>
      </c>
      <c r="D701" t="inlineStr">
        <is>
          <t>JÄMTLANDS LÄN</t>
        </is>
      </c>
      <c r="E701" t="inlineStr">
        <is>
          <t>RAGUNDA</t>
        </is>
      </c>
      <c r="G701" t="n">
        <v>0.2</v>
      </c>
      <c r="H701" t="n">
        <v>0</v>
      </c>
      <c r="I701" t="n">
        <v>0</v>
      </c>
      <c r="J701" t="n">
        <v>0</v>
      </c>
      <c r="K701" t="n">
        <v>0</v>
      </c>
      <c r="L701" t="n">
        <v>0</v>
      </c>
      <c r="M701" t="n">
        <v>0</v>
      </c>
      <c r="N701" t="n">
        <v>0</v>
      </c>
      <c r="O701" t="n">
        <v>0</v>
      </c>
      <c r="P701" t="n">
        <v>0</v>
      </c>
      <c r="Q701" t="n">
        <v>0</v>
      </c>
      <c r="R701" s="2" t="inlineStr"/>
    </row>
    <row r="702" ht="15" customHeight="1">
      <c r="A702" t="inlineStr">
        <is>
          <t>A 18375-2022</t>
        </is>
      </c>
      <c r="B702" s="1" t="n">
        <v>44685</v>
      </c>
      <c r="C702" s="1" t="n">
        <v>45703</v>
      </c>
      <c r="D702" t="inlineStr">
        <is>
          <t>JÄMTLANDS LÄN</t>
        </is>
      </c>
      <c r="E702" t="inlineStr">
        <is>
          <t>RAGUNDA</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18548-2022</t>
        </is>
      </c>
      <c r="B703" s="1" t="n">
        <v>44687</v>
      </c>
      <c r="C703" s="1" t="n">
        <v>45703</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18974-2022</t>
        </is>
      </c>
      <c r="B704" s="1" t="n">
        <v>44690</v>
      </c>
      <c r="C704" s="1" t="n">
        <v>45703</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18980-2022</t>
        </is>
      </c>
      <c r="B705" s="1" t="n">
        <v>44690</v>
      </c>
      <c r="C705" s="1" t="n">
        <v>45703</v>
      </c>
      <c r="D705" t="inlineStr">
        <is>
          <t>JÄMTLANDS LÄN</t>
        </is>
      </c>
      <c r="E705" t="inlineStr">
        <is>
          <t>RAGUNDA</t>
        </is>
      </c>
      <c r="G705" t="n">
        <v>3.9</v>
      </c>
      <c r="H705" t="n">
        <v>0</v>
      </c>
      <c r="I705" t="n">
        <v>0</v>
      </c>
      <c r="J705" t="n">
        <v>0</v>
      </c>
      <c r="K705" t="n">
        <v>0</v>
      </c>
      <c r="L705" t="n">
        <v>0</v>
      </c>
      <c r="M705" t="n">
        <v>0</v>
      </c>
      <c r="N705" t="n">
        <v>0</v>
      </c>
      <c r="O705" t="n">
        <v>0</v>
      </c>
      <c r="P705" t="n">
        <v>0</v>
      </c>
      <c r="Q705" t="n">
        <v>0</v>
      </c>
      <c r="R705" s="2" t="inlineStr"/>
    </row>
    <row r="706" ht="15" customHeight="1">
      <c r="A706" t="inlineStr">
        <is>
          <t>A 19005-2022</t>
        </is>
      </c>
      <c r="B706" s="1" t="n">
        <v>44690</v>
      </c>
      <c r="C706" s="1" t="n">
        <v>45703</v>
      </c>
      <c r="D706" t="inlineStr">
        <is>
          <t>JÄMTLANDS LÄN</t>
        </is>
      </c>
      <c r="E706" t="inlineStr">
        <is>
          <t>RAGUNDA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19011-2022</t>
        </is>
      </c>
      <c r="B707" s="1" t="n">
        <v>44690</v>
      </c>
      <c r="C707" s="1" t="n">
        <v>45703</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19010-2022</t>
        </is>
      </c>
      <c r="B708" s="1" t="n">
        <v>44690</v>
      </c>
      <c r="C708" s="1" t="n">
        <v>45703</v>
      </c>
      <c r="D708" t="inlineStr">
        <is>
          <t>JÄMTLANDS LÄN</t>
        </is>
      </c>
      <c r="E708" t="inlineStr">
        <is>
          <t>RAGUNDA</t>
        </is>
      </c>
      <c r="F708" t="inlineStr">
        <is>
          <t>SCA</t>
        </is>
      </c>
      <c r="G708" t="n">
        <v>19.6</v>
      </c>
      <c r="H708" t="n">
        <v>0</v>
      </c>
      <c r="I708" t="n">
        <v>0</v>
      </c>
      <c r="J708" t="n">
        <v>0</v>
      </c>
      <c r="K708" t="n">
        <v>0</v>
      </c>
      <c r="L708" t="n">
        <v>0</v>
      </c>
      <c r="M708" t="n">
        <v>0</v>
      </c>
      <c r="N708" t="n">
        <v>0</v>
      </c>
      <c r="O708" t="n">
        <v>0</v>
      </c>
      <c r="P708" t="n">
        <v>0</v>
      </c>
      <c r="Q708" t="n">
        <v>0</v>
      </c>
      <c r="R708" s="2" t="inlineStr"/>
    </row>
    <row r="709" ht="15" customHeight="1">
      <c r="A709" t="inlineStr">
        <is>
          <t>A 19006-2022</t>
        </is>
      </c>
      <c r="B709" s="1" t="n">
        <v>44690</v>
      </c>
      <c r="C709" s="1" t="n">
        <v>45703</v>
      </c>
      <c r="D709" t="inlineStr">
        <is>
          <t>JÄMTLANDS LÄN</t>
        </is>
      </c>
      <c r="E709" t="inlineStr">
        <is>
          <t>RAGUNDA</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19596-2022</t>
        </is>
      </c>
      <c r="B710" s="1" t="n">
        <v>44694</v>
      </c>
      <c r="C710" s="1" t="n">
        <v>45703</v>
      </c>
      <c r="D710" t="inlineStr">
        <is>
          <t>JÄMTLANDS LÄN</t>
        </is>
      </c>
      <c r="E710" t="inlineStr">
        <is>
          <t>RAGUNDA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19801-2022</t>
        </is>
      </c>
      <c r="B711" s="1" t="n">
        <v>44695</v>
      </c>
      <c r="C711" s="1" t="n">
        <v>45703</v>
      </c>
      <c r="D711" t="inlineStr">
        <is>
          <t>JÄMTLANDS LÄN</t>
        </is>
      </c>
      <c r="E711" t="inlineStr">
        <is>
          <t>RAGUNDA</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19850-2022</t>
        </is>
      </c>
      <c r="B712" s="1" t="n">
        <v>44697</v>
      </c>
      <c r="C712" s="1" t="n">
        <v>45703</v>
      </c>
      <c r="D712" t="inlineStr">
        <is>
          <t>JÄMTLANDS LÄN</t>
        </is>
      </c>
      <c r="E712" t="inlineStr">
        <is>
          <t>RAGUNDA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20967-2022</t>
        </is>
      </c>
      <c r="B713" s="1" t="n">
        <v>44702</v>
      </c>
      <c r="C713" s="1" t="n">
        <v>45703</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20961-2022</t>
        </is>
      </c>
      <c r="B714" s="1" t="n">
        <v>44702</v>
      </c>
      <c r="C714" s="1" t="n">
        <v>45703</v>
      </c>
      <c r="D714" t="inlineStr">
        <is>
          <t>JÄMTLANDS LÄN</t>
        </is>
      </c>
      <c r="E714" t="inlineStr">
        <is>
          <t>RAGUNDA</t>
        </is>
      </c>
      <c r="F714" t="inlineStr">
        <is>
          <t>SCA</t>
        </is>
      </c>
      <c r="G714" t="n">
        <v>9.4</v>
      </c>
      <c r="H714" t="n">
        <v>0</v>
      </c>
      <c r="I714" t="n">
        <v>0</v>
      </c>
      <c r="J714" t="n">
        <v>0</v>
      </c>
      <c r="K714" t="n">
        <v>0</v>
      </c>
      <c r="L714" t="n">
        <v>0</v>
      </c>
      <c r="M714" t="n">
        <v>0</v>
      </c>
      <c r="N714" t="n">
        <v>0</v>
      </c>
      <c r="O714" t="n">
        <v>0</v>
      </c>
      <c r="P714" t="n">
        <v>0</v>
      </c>
      <c r="Q714" t="n">
        <v>0</v>
      </c>
      <c r="R714" s="2" t="inlineStr"/>
    </row>
    <row r="715" ht="15" customHeight="1">
      <c r="A715" t="inlineStr">
        <is>
          <t>A 21194-2022</t>
        </is>
      </c>
      <c r="B715" s="1" t="n">
        <v>44705</v>
      </c>
      <c r="C715" s="1" t="n">
        <v>45703</v>
      </c>
      <c r="D715" t="inlineStr">
        <is>
          <t>JÄMTLANDS LÄN</t>
        </is>
      </c>
      <c r="E715" t="inlineStr">
        <is>
          <t>RAGUNDA</t>
        </is>
      </c>
      <c r="F715" t="inlineStr">
        <is>
          <t>SCA</t>
        </is>
      </c>
      <c r="G715" t="n">
        <v>10.6</v>
      </c>
      <c r="H715" t="n">
        <v>0</v>
      </c>
      <c r="I715" t="n">
        <v>0</v>
      </c>
      <c r="J715" t="n">
        <v>0</v>
      </c>
      <c r="K715" t="n">
        <v>0</v>
      </c>
      <c r="L715" t="n">
        <v>0</v>
      </c>
      <c r="M715" t="n">
        <v>0</v>
      </c>
      <c r="N715" t="n">
        <v>0</v>
      </c>
      <c r="O715" t="n">
        <v>0</v>
      </c>
      <c r="P715" t="n">
        <v>0</v>
      </c>
      <c r="Q715" t="n">
        <v>0</v>
      </c>
      <c r="R715" s="2" t="inlineStr"/>
    </row>
    <row r="716" ht="15" customHeight="1">
      <c r="A716" t="inlineStr">
        <is>
          <t>A 21196-2022</t>
        </is>
      </c>
      <c r="B716" s="1" t="n">
        <v>44705</v>
      </c>
      <c r="C716" s="1" t="n">
        <v>45703</v>
      </c>
      <c r="D716" t="inlineStr">
        <is>
          <t>JÄMTLANDS LÄN</t>
        </is>
      </c>
      <c r="E716" t="inlineStr">
        <is>
          <t>RAGUNDA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21195-2022</t>
        </is>
      </c>
      <c r="B717" s="1" t="n">
        <v>44705</v>
      </c>
      <c r="C717" s="1" t="n">
        <v>45703</v>
      </c>
      <c r="D717" t="inlineStr">
        <is>
          <t>JÄMTLANDS LÄN</t>
        </is>
      </c>
      <c r="E717" t="inlineStr">
        <is>
          <t>RAGUNDA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21193-2022</t>
        </is>
      </c>
      <c r="B718" s="1" t="n">
        <v>44705</v>
      </c>
      <c r="C718" s="1" t="n">
        <v>45703</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21984-2022</t>
        </is>
      </c>
      <c r="B719" s="1" t="n">
        <v>44704</v>
      </c>
      <c r="C719" s="1" t="n">
        <v>45703</v>
      </c>
      <c r="D719" t="inlineStr">
        <is>
          <t>JÄMTLANDS LÄN</t>
        </is>
      </c>
      <c r="E719" t="inlineStr">
        <is>
          <t>RAGUNDA</t>
        </is>
      </c>
      <c r="G719" t="n">
        <v>0.5</v>
      </c>
      <c r="H719" t="n">
        <v>0</v>
      </c>
      <c r="I719" t="n">
        <v>0</v>
      </c>
      <c r="J719" t="n">
        <v>0</v>
      </c>
      <c r="K719" t="n">
        <v>0</v>
      </c>
      <c r="L719" t="n">
        <v>0</v>
      </c>
      <c r="M719" t="n">
        <v>0</v>
      </c>
      <c r="N719" t="n">
        <v>0</v>
      </c>
      <c r="O719" t="n">
        <v>0</v>
      </c>
      <c r="P719" t="n">
        <v>0</v>
      </c>
      <c r="Q719" t="n">
        <v>0</v>
      </c>
      <c r="R719" s="2" t="inlineStr"/>
    </row>
    <row r="720" ht="15" customHeight="1">
      <c r="A720" t="inlineStr">
        <is>
          <t>A 21413-2022</t>
        </is>
      </c>
      <c r="B720" s="1" t="n">
        <v>44705</v>
      </c>
      <c r="C720" s="1" t="n">
        <v>45703</v>
      </c>
      <c r="D720" t="inlineStr">
        <is>
          <t>JÄMTLANDS LÄN</t>
        </is>
      </c>
      <c r="E720" t="inlineStr">
        <is>
          <t>RAGUNDA</t>
        </is>
      </c>
      <c r="G720" t="n">
        <v>2.4</v>
      </c>
      <c r="H720" t="n">
        <v>0</v>
      </c>
      <c r="I720" t="n">
        <v>0</v>
      </c>
      <c r="J720" t="n">
        <v>0</v>
      </c>
      <c r="K720" t="n">
        <v>0</v>
      </c>
      <c r="L720" t="n">
        <v>0</v>
      </c>
      <c r="M720" t="n">
        <v>0</v>
      </c>
      <c r="N720" t="n">
        <v>0</v>
      </c>
      <c r="O720" t="n">
        <v>0</v>
      </c>
      <c r="P720" t="n">
        <v>0</v>
      </c>
      <c r="Q720" t="n">
        <v>0</v>
      </c>
      <c r="R720" s="2" t="inlineStr"/>
    </row>
    <row r="721" ht="15" customHeight="1">
      <c r="A721" t="inlineStr">
        <is>
          <t>A 21500-2022</t>
        </is>
      </c>
      <c r="B721" s="1" t="n">
        <v>44706</v>
      </c>
      <c r="C721" s="1" t="n">
        <v>45703</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22329-2022</t>
        </is>
      </c>
      <c r="B722" s="1" t="n">
        <v>44713</v>
      </c>
      <c r="C722" s="1" t="n">
        <v>45703</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22327-2022</t>
        </is>
      </c>
      <c r="B723" s="1" t="n">
        <v>44713</v>
      </c>
      <c r="C723" s="1" t="n">
        <v>45703</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22686-2022</t>
        </is>
      </c>
      <c r="B724" s="1" t="n">
        <v>44714</v>
      </c>
      <c r="C724" s="1" t="n">
        <v>45703</v>
      </c>
      <c r="D724" t="inlineStr">
        <is>
          <t>JÄMTLANDS LÄN</t>
        </is>
      </c>
      <c r="E724" t="inlineStr">
        <is>
          <t>RAGUNDA</t>
        </is>
      </c>
      <c r="G724" t="n">
        <v>2.8</v>
      </c>
      <c r="H724" t="n">
        <v>0</v>
      </c>
      <c r="I724" t="n">
        <v>0</v>
      </c>
      <c r="J724" t="n">
        <v>0</v>
      </c>
      <c r="K724" t="n">
        <v>0</v>
      </c>
      <c r="L724" t="n">
        <v>0</v>
      </c>
      <c r="M724" t="n">
        <v>0</v>
      </c>
      <c r="N724" t="n">
        <v>0</v>
      </c>
      <c r="O724" t="n">
        <v>0</v>
      </c>
      <c r="P724" t="n">
        <v>0</v>
      </c>
      <c r="Q724" t="n">
        <v>0</v>
      </c>
      <c r="R724" s="2" t="inlineStr"/>
    </row>
    <row r="725" ht="15" customHeight="1">
      <c r="A725" t="inlineStr">
        <is>
          <t>A 22772-2022</t>
        </is>
      </c>
      <c r="B725" s="1" t="n">
        <v>44715</v>
      </c>
      <c r="C725" s="1" t="n">
        <v>45703</v>
      </c>
      <c r="D725" t="inlineStr">
        <is>
          <t>JÄMTLANDS LÄN</t>
        </is>
      </c>
      <c r="E725" t="inlineStr">
        <is>
          <t>RAGUNDA</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22695-2022</t>
        </is>
      </c>
      <c r="B726" s="1" t="n">
        <v>44714</v>
      </c>
      <c r="C726" s="1" t="n">
        <v>45703</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22770-2022</t>
        </is>
      </c>
      <c r="B727" s="1" t="n">
        <v>44714</v>
      </c>
      <c r="C727" s="1" t="n">
        <v>45703</v>
      </c>
      <c r="D727" t="inlineStr">
        <is>
          <t>JÄMTLANDS LÄN</t>
        </is>
      </c>
      <c r="E727" t="inlineStr">
        <is>
          <t>RAGUNDA</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23668-2022</t>
        </is>
      </c>
      <c r="B728" s="1" t="n">
        <v>44722</v>
      </c>
      <c r="C728" s="1" t="n">
        <v>45703</v>
      </c>
      <c r="D728" t="inlineStr">
        <is>
          <t>JÄMTLANDS LÄN</t>
        </is>
      </c>
      <c r="E728" t="inlineStr">
        <is>
          <t>RAGUNDA</t>
        </is>
      </c>
      <c r="G728" t="n">
        <v>3.9</v>
      </c>
      <c r="H728" t="n">
        <v>0</v>
      </c>
      <c r="I728" t="n">
        <v>0</v>
      </c>
      <c r="J728" t="n">
        <v>0</v>
      </c>
      <c r="K728" t="n">
        <v>0</v>
      </c>
      <c r="L728" t="n">
        <v>0</v>
      </c>
      <c r="M728" t="n">
        <v>0</v>
      </c>
      <c r="N728" t="n">
        <v>0</v>
      </c>
      <c r="O728" t="n">
        <v>0</v>
      </c>
      <c r="P728" t="n">
        <v>0</v>
      </c>
      <c r="Q728" t="n">
        <v>0</v>
      </c>
      <c r="R728" s="2" t="inlineStr"/>
    </row>
    <row r="729" ht="15" customHeight="1">
      <c r="A729" t="inlineStr">
        <is>
          <t>A 24359-2022</t>
        </is>
      </c>
      <c r="B729" s="1" t="n">
        <v>44725</v>
      </c>
      <c r="C729" s="1" t="n">
        <v>45703</v>
      </c>
      <c r="D729" t="inlineStr">
        <is>
          <t>JÄMTLANDS LÄN</t>
        </is>
      </c>
      <c r="E729" t="inlineStr">
        <is>
          <t>RAGUNDA</t>
        </is>
      </c>
      <c r="G729" t="n">
        <v>11.4</v>
      </c>
      <c r="H729" t="n">
        <v>0</v>
      </c>
      <c r="I729" t="n">
        <v>0</v>
      </c>
      <c r="J729" t="n">
        <v>0</v>
      </c>
      <c r="K729" t="n">
        <v>0</v>
      </c>
      <c r="L729" t="n">
        <v>0</v>
      </c>
      <c r="M729" t="n">
        <v>0</v>
      </c>
      <c r="N729" t="n">
        <v>0</v>
      </c>
      <c r="O729" t="n">
        <v>0</v>
      </c>
      <c r="P729" t="n">
        <v>0</v>
      </c>
      <c r="Q729" t="n">
        <v>0</v>
      </c>
      <c r="R729" s="2" t="inlineStr"/>
    </row>
    <row r="730" ht="15" customHeight="1">
      <c r="A730" t="inlineStr">
        <is>
          <t>A 24720-2022</t>
        </is>
      </c>
      <c r="B730" s="1" t="n">
        <v>44728</v>
      </c>
      <c r="C730" s="1" t="n">
        <v>45703</v>
      </c>
      <c r="D730" t="inlineStr">
        <is>
          <t>JÄMTLANDS LÄN</t>
        </is>
      </c>
      <c r="E730" t="inlineStr">
        <is>
          <t>RAGUNDA</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24741-2022</t>
        </is>
      </c>
      <c r="B731" s="1" t="n">
        <v>44727</v>
      </c>
      <c r="C731" s="1" t="n">
        <v>45703</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25028-2022</t>
        </is>
      </c>
      <c r="B732" s="1" t="n">
        <v>44729</v>
      </c>
      <c r="C732" s="1" t="n">
        <v>45703</v>
      </c>
      <c r="D732" t="inlineStr">
        <is>
          <t>JÄMTLANDS LÄN</t>
        </is>
      </c>
      <c r="E732" t="inlineStr">
        <is>
          <t>RAGUNDA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25027-2022</t>
        </is>
      </c>
      <c r="B733" s="1" t="n">
        <v>44729</v>
      </c>
      <c r="C733" s="1" t="n">
        <v>45703</v>
      </c>
      <c r="D733" t="inlineStr">
        <is>
          <t>JÄMTLANDS LÄN</t>
        </is>
      </c>
      <c r="E733" t="inlineStr">
        <is>
          <t>RAGUNDA</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25253-2022</t>
        </is>
      </c>
      <c r="B734" s="1" t="n">
        <v>44730</v>
      </c>
      <c r="C734" s="1" t="n">
        <v>45703</v>
      </c>
      <c r="D734" t="inlineStr">
        <is>
          <t>JÄMTLANDS LÄN</t>
        </is>
      </c>
      <c r="E734" t="inlineStr">
        <is>
          <t>RAGUNDA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25342-2022</t>
        </is>
      </c>
      <c r="B735" s="1" t="n">
        <v>44732</v>
      </c>
      <c r="C735" s="1" t="n">
        <v>45703</v>
      </c>
      <c r="D735" t="inlineStr">
        <is>
          <t>JÄMTLANDS LÄN</t>
        </is>
      </c>
      <c r="E735" t="inlineStr">
        <is>
          <t>RAGUNDA</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25433-2022</t>
        </is>
      </c>
      <c r="B736" s="1" t="n">
        <v>44732</v>
      </c>
      <c r="C736" s="1" t="n">
        <v>45703</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25962-2022</t>
        </is>
      </c>
      <c r="B737" s="1" t="n">
        <v>44734</v>
      </c>
      <c r="C737" s="1" t="n">
        <v>45703</v>
      </c>
      <c r="D737" t="inlineStr">
        <is>
          <t>JÄMTLANDS LÄN</t>
        </is>
      </c>
      <c r="E737" t="inlineStr">
        <is>
          <t>RAGUNDA</t>
        </is>
      </c>
      <c r="G737" t="n">
        <v>1.4</v>
      </c>
      <c r="H737" t="n">
        <v>0</v>
      </c>
      <c r="I737" t="n">
        <v>0</v>
      </c>
      <c r="J737" t="n">
        <v>0</v>
      </c>
      <c r="K737" t="n">
        <v>0</v>
      </c>
      <c r="L737" t="n">
        <v>0</v>
      </c>
      <c r="M737" t="n">
        <v>0</v>
      </c>
      <c r="N737" t="n">
        <v>0</v>
      </c>
      <c r="O737" t="n">
        <v>0</v>
      </c>
      <c r="P737" t="n">
        <v>0</v>
      </c>
      <c r="Q737" t="n">
        <v>0</v>
      </c>
      <c r="R737" s="2" t="inlineStr"/>
    </row>
    <row r="738" ht="15" customHeight="1">
      <c r="A738" t="inlineStr">
        <is>
          <t>A 26122-2022</t>
        </is>
      </c>
      <c r="B738" s="1" t="n">
        <v>44735</v>
      </c>
      <c r="C738" s="1" t="n">
        <v>45703</v>
      </c>
      <c r="D738" t="inlineStr">
        <is>
          <t>JÄMTLANDS LÄN</t>
        </is>
      </c>
      <c r="E738" t="inlineStr">
        <is>
          <t>RAGUNDA</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26123-2022</t>
        </is>
      </c>
      <c r="B739" s="1" t="n">
        <v>44735</v>
      </c>
      <c r="C739" s="1" t="n">
        <v>45703</v>
      </c>
      <c r="D739" t="inlineStr">
        <is>
          <t>JÄMTLANDS LÄN</t>
        </is>
      </c>
      <c r="E739" t="inlineStr">
        <is>
          <t>RAGUNDA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27291-2022</t>
        </is>
      </c>
      <c r="B740" s="1" t="n">
        <v>44742</v>
      </c>
      <c r="C740" s="1" t="n">
        <v>45703</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27302-2022</t>
        </is>
      </c>
      <c r="B741" s="1" t="n">
        <v>44741</v>
      </c>
      <c r="C741" s="1" t="n">
        <v>45703</v>
      </c>
      <c r="D741" t="inlineStr">
        <is>
          <t>JÄMTLANDS LÄN</t>
        </is>
      </c>
      <c r="E741" t="inlineStr">
        <is>
          <t>RAGUNDA</t>
        </is>
      </c>
      <c r="G741" t="n">
        <v>1.6</v>
      </c>
      <c r="H741" t="n">
        <v>0</v>
      </c>
      <c r="I741" t="n">
        <v>0</v>
      </c>
      <c r="J741" t="n">
        <v>0</v>
      </c>
      <c r="K741" t="n">
        <v>0</v>
      </c>
      <c r="L741" t="n">
        <v>0</v>
      </c>
      <c r="M741" t="n">
        <v>0</v>
      </c>
      <c r="N741" t="n">
        <v>0</v>
      </c>
      <c r="O741" t="n">
        <v>0</v>
      </c>
      <c r="P741" t="n">
        <v>0</v>
      </c>
      <c r="Q741" t="n">
        <v>0</v>
      </c>
      <c r="R741" s="2" t="inlineStr"/>
    </row>
    <row r="742" ht="15" customHeight="1">
      <c r="A742" t="inlineStr">
        <is>
          <t>A 27292-2022</t>
        </is>
      </c>
      <c r="B742" s="1" t="n">
        <v>44742</v>
      </c>
      <c r="C742" s="1" t="n">
        <v>45703</v>
      </c>
      <c r="D742" t="inlineStr">
        <is>
          <t>JÄMTLANDS LÄN</t>
        </is>
      </c>
      <c r="E742" t="inlineStr">
        <is>
          <t>RAGUNDA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27777-2022</t>
        </is>
      </c>
      <c r="B743" s="1" t="n">
        <v>44743</v>
      </c>
      <c r="C743" s="1" t="n">
        <v>45703</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27939-2022</t>
        </is>
      </c>
      <c r="B744" s="1" t="n">
        <v>44744</v>
      </c>
      <c r="C744" s="1" t="n">
        <v>45703</v>
      </c>
      <c r="D744" t="inlineStr">
        <is>
          <t>JÄMTLANDS LÄN</t>
        </is>
      </c>
      <c r="E744" t="inlineStr">
        <is>
          <t>RAGUNDA</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28081-2022</t>
        </is>
      </c>
      <c r="B745" s="1" t="n">
        <v>44746</v>
      </c>
      <c r="C745" s="1" t="n">
        <v>45703</v>
      </c>
      <c r="D745" t="inlineStr">
        <is>
          <t>JÄMTLANDS LÄN</t>
        </is>
      </c>
      <c r="E745" t="inlineStr">
        <is>
          <t>RAGUNDA</t>
        </is>
      </c>
      <c r="G745" t="n">
        <v>7</v>
      </c>
      <c r="H745" t="n">
        <v>0</v>
      </c>
      <c r="I745" t="n">
        <v>0</v>
      </c>
      <c r="J745" t="n">
        <v>0</v>
      </c>
      <c r="K745" t="n">
        <v>0</v>
      </c>
      <c r="L745" t="n">
        <v>0</v>
      </c>
      <c r="M745" t="n">
        <v>0</v>
      </c>
      <c r="N745" t="n">
        <v>0</v>
      </c>
      <c r="O745" t="n">
        <v>0</v>
      </c>
      <c r="P745" t="n">
        <v>0</v>
      </c>
      <c r="Q745" t="n">
        <v>0</v>
      </c>
      <c r="R745" s="2" t="inlineStr"/>
    </row>
    <row r="746" ht="15" customHeight="1">
      <c r="A746" t="inlineStr">
        <is>
          <t>A 28283-2022</t>
        </is>
      </c>
      <c r="B746" s="1" t="n">
        <v>44746</v>
      </c>
      <c r="C746" s="1" t="n">
        <v>45703</v>
      </c>
      <c r="D746" t="inlineStr">
        <is>
          <t>JÄMTLANDS LÄN</t>
        </is>
      </c>
      <c r="E746" t="inlineStr">
        <is>
          <t>RAGUNDA</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28277-2022</t>
        </is>
      </c>
      <c r="B747" s="1" t="n">
        <v>44747</v>
      </c>
      <c r="C747" s="1" t="n">
        <v>45703</v>
      </c>
      <c r="D747" t="inlineStr">
        <is>
          <t>JÄMTLANDS LÄN</t>
        </is>
      </c>
      <c r="E747" t="inlineStr">
        <is>
          <t>RAGUNDA</t>
        </is>
      </c>
      <c r="G747" t="n">
        <v>4</v>
      </c>
      <c r="H747" t="n">
        <v>0</v>
      </c>
      <c r="I747" t="n">
        <v>0</v>
      </c>
      <c r="J747" t="n">
        <v>0</v>
      </c>
      <c r="K747" t="n">
        <v>0</v>
      </c>
      <c r="L747" t="n">
        <v>0</v>
      </c>
      <c r="M747" t="n">
        <v>0</v>
      </c>
      <c r="N747" t="n">
        <v>0</v>
      </c>
      <c r="O747" t="n">
        <v>0</v>
      </c>
      <c r="P747" t="n">
        <v>0</v>
      </c>
      <c r="Q747" t="n">
        <v>0</v>
      </c>
      <c r="R747" s="2" t="inlineStr"/>
    </row>
    <row r="748" ht="15" customHeight="1">
      <c r="A748" t="inlineStr">
        <is>
          <t>A 28292-2022</t>
        </is>
      </c>
      <c r="B748" s="1" t="n">
        <v>44747</v>
      </c>
      <c r="C748" s="1" t="n">
        <v>45703</v>
      </c>
      <c r="D748" t="inlineStr">
        <is>
          <t>JÄMTLANDS LÄN</t>
        </is>
      </c>
      <c r="E748" t="inlineStr">
        <is>
          <t>RAGUNDA</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28737-2022</t>
        </is>
      </c>
      <c r="B749" s="1" t="n">
        <v>44749</v>
      </c>
      <c r="C749" s="1" t="n">
        <v>45703</v>
      </c>
      <c r="D749" t="inlineStr">
        <is>
          <t>JÄMTLANDS LÄN</t>
        </is>
      </c>
      <c r="E749" t="inlineStr">
        <is>
          <t>RAGUNDA</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29537-2022</t>
        </is>
      </c>
      <c r="B750" s="1" t="n">
        <v>44754</v>
      </c>
      <c r="C750" s="1" t="n">
        <v>45703</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30609-2022</t>
        </is>
      </c>
      <c r="B751" s="1" t="n">
        <v>44761</v>
      </c>
      <c r="C751" s="1" t="n">
        <v>45703</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c r="U751">
        <f>HYPERLINK("https://klasma.github.io/Logging_2303/knärot/A 30609-2022 karta knärot.png", "A 30609-2022")</f>
        <v/>
      </c>
      <c r="V751">
        <f>HYPERLINK("https://klasma.github.io/Logging_2303/klagomål/A 30609-2022 FSC-klagomål.docx", "A 30609-2022")</f>
        <v/>
      </c>
      <c r="W751">
        <f>HYPERLINK("https://klasma.github.io/Logging_2303/klagomålsmail/A 30609-2022 FSC-klagomål mail.docx", "A 30609-2022")</f>
        <v/>
      </c>
      <c r="X751">
        <f>HYPERLINK("https://klasma.github.io/Logging_2303/tillsyn/A 30609-2022 tillsynsbegäran.docx", "A 30609-2022")</f>
        <v/>
      </c>
      <c r="Y751">
        <f>HYPERLINK("https://klasma.github.io/Logging_2303/tillsynsmail/A 30609-2022 tillsynsbegäran mail.docx", "A 30609-2022")</f>
        <v/>
      </c>
    </row>
    <row r="752" ht="15" customHeight="1">
      <c r="A752" t="inlineStr">
        <is>
          <t>A 30931-2022</t>
        </is>
      </c>
      <c r="B752" s="1" t="n">
        <v>44768</v>
      </c>
      <c r="C752" s="1" t="n">
        <v>45703</v>
      </c>
      <c r="D752" t="inlineStr">
        <is>
          <t>JÄMTLANDS LÄN</t>
        </is>
      </c>
      <c r="E752" t="inlineStr">
        <is>
          <t>RAGUNDA</t>
        </is>
      </c>
      <c r="G752" t="n">
        <v>6</v>
      </c>
      <c r="H752" t="n">
        <v>0</v>
      </c>
      <c r="I752" t="n">
        <v>0</v>
      </c>
      <c r="J752" t="n">
        <v>0</v>
      </c>
      <c r="K752" t="n">
        <v>0</v>
      </c>
      <c r="L752" t="n">
        <v>0</v>
      </c>
      <c r="M752" t="n">
        <v>0</v>
      </c>
      <c r="N752" t="n">
        <v>0</v>
      </c>
      <c r="O752" t="n">
        <v>0</v>
      </c>
      <c r="P752" t="n">
        <v>0</v>
      </c>
      <c r="Q752" t="n">
        <v>0</v>
      </c>
      <c r="R752" s="2" t="inlineStr"/>
    </row>
    <row r="753" ht="15" customHeight="1">
      <c r="A753" t="inlineStr">
        <is>
          <t>A 31436-2022</t>
        </is>
      </c>
      <c r="B753" s="1" t="n">
        <v>44774</v>
      </c>
      <c r="C753" s="1" t="n">
        <v>45703</v>
      </c>
      <c r="D753" t="inlineStr">
        <is>
          <t>JÄMTLANDS LÄN</t>
        </is>
      </c>
      <c r="E753" t="inlineStr">
        <is>
          <t>RAGUNDA</t>
        </is>
      </c>
      <c r="G753" t="n">
        <v>2</v>
      </c>
      <c r="H753" t="n">
        <v>0</v>
      </c>
      <c r="I753" t="n">
        <v>0</v>
      </c>
      <c r="J753" t="n">
        <v>0</v>
      </c>
      <c r="K753" t="n">
        <v>0</v>
      </c>
      <c r="L753" t="n">
        <v>0</v>
      </c>
      <c r="M753" t="n">
        <v>0</v>
      </c>
      <c r="N753" t="n">
        <v>0</v>
      </c>
      <c r="O753" t="n">
        <v>0</v>
      </c>
      <c r="P753" t="n">
        <v>0</v>
      </c>
      <c r="Q753" t="n">
        <v>0</v>
      </c>
      <c r="R753" s="2" t="inlineStr"/>
    </row>
    <row r="754" ht="15" customHeight="1">
      <c r="A754" t="inlineStr">
        <is>
          <t>A 31484-2022</t>
        </is>
      </c>
      <c r="B754" s="1" t="n">
        <v>44775</v>
      </c>
      <c r="C754" s="1" t="n">
        <v>45703</v>
      </c>
      <c r="D754" t="inlineStr">
        <is>
          <t>JÄMTLANDS LÄN</t>
        </is>
      </c>
      <c r="E754" t="inlineStr">
        <is>
          <t>RAGUNDA</t>
        </is>
      </c>
      <c r="F754" t="inlineStr">
        <is>
          <t>SCA</t>
        </is>
      </c>
      <c r="G754" t="n">
        <v>5</v>
      </c>
      <c r="H754" t="n">
        <v>0</v>
      </c>
      <c r="I754" t="n">
        <v>0</v>
      </c>
      <c r="J754" t="n">
        <v>0</v>
      </c>
      <c r="K754" t="n">
        <v>0</v>
      </c>
      <c r="L754" t="n">
        <v>0</v>
      </c>
      <c r="M754" t="n">
        <v>0</v>
      </c>
      <c r="N754" t="n">
        <v>0</v>
      </c>
      <c r="O754" t="n">
        <v>0</v>
      </c>
      <c r="P754" t="n">
        <v>0</v>
      </c>
      <c r="Q754" t="n">
        <v>0</v>
      </c>
      <c r="R754" s="2" t="inlineStr"/>
    </row>
    <row r="755" ht="15" customHeight="1">
      <c r="A755" t="inlineStr">
        <is>
          <t>A 31435-2022</t>
        </is>
      </c>
      <c r="B755" s="1" t="n">
        <v>44774</v>
      </c>
      <c r="C755" s="1" t="n">
        <v>45703</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31854-2022</t>
        </is>
      </c>
      <c r="B756" s="1" t="n">
        <v>44776</v>
      </c>
      <c r="C756" s="1" t="n">
        <v>45703</v>
      </c>
      <c r="D756" t="inlineStr">
        <is>
          <t>JÄMTLANDS LÄN</t>
        </is>
      </c>
      <c r="E756" t="inlineStr">
        <is>
          <t>RAGUNDA</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31841-2022</t>
        </is>
      </c>
      <c r="B757" s="1" t="n">
        <v>44776</v>
      </c>
      <c r="C757" s="1" t="n">
        <v>45703</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31970-2022</t>
        </is>
      </c>
      <c r="B758" s="1" t="n">
        <v>44777</v>
      </c>
      <c r="C758" s="1" t="n">
        <v>45703</v>
      </c>
      <c r="D758" t="inlineStr">
        <is>
          <t>JÄMTLANDS LÄN</t>
        </is>
      </c>
      <c r="E758" t="inlineStr">
        <is>
          <t>RAGUNDA</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31972-2022</t>
        </is>
      </c>
      <c r="B759" s="1" t="n">
        <v>44778</v>
      </c>
      <c r="C759" s="1" t="n">
        <v>45703</v>
      </c>
      <c r="D759" t="inlineStr">
        <is>
          <t>JÄMTLANDS LÄN</t>
        </is>
      </c>
      <c r="E759" t="inlineStr">
        <is>
          <t>RAGUNDA</t>
        </is>
      </c>
      <c r="F759" t="inlineStr">
        <is>
          <t>Naturvårdsverket</t>
        </is>
      </c>
      <c r="G759" t="n">
        <v>0.8</v>
      </c>
      <c r="H759" t="n">
        <v>0</v>
      </c>
      <c r="I759" t="n">
        <v>0</v>
      </c>
      <c r="J759" t="n">
        <v>0</v>
      </c>
      <c r="K759" t="n">
        <v>0</v>
      </c>
      <c r="L759" t="n">
        <v>0</v>
      </c>
      <c r="M759" t="n">
        <v>0</v>
      </c>
      <c r="N759" t="n">
        <v>0</v>
      </c>
      <c r="O759" t="n">
        <v>0</v>
      </c>
      <c r="P759" t="n">
        <v>0</v>
      </c>
      <c r="Q759" t="n">
        <v>0</v>
      </c>
      <c r="R759" s="2" t="inlineStr"/>
    </row>
    <row r="760" ht="15" customHeight="1">
      <c r="A760" t="inlineStr">
        <is>
          <t>A 32135-2022</t>
        </is>
      </c>
      <c r="B760" s="1" t="n">
        <v>44778</v>
      </c>
      <c r="C760" s="1" t="n">
        <v>45703</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32288-2022</t>
        </is>
      </c>
      <c r="B761" s="1" t="n">
        <v>44781</v>
      </c>
      <c r="C761" s="1" t="n">
        <v>45703</v>
      </c>
      <c r="D761" t="inlineStr">
        <is>
          <t>JÄMTLANDS LÄN</t>
        </is>
      </c>
      <c r="E761" t="inlineStr">
        <is>
          <t>RAGUNDA</t>
        </is>
      </c>
      <c r="G761" t="n">
        <v>0.8</v>
      </c>
      <c r="H761" t="n">
        <v>0</v>
      </c>
      <c r="I761" t="n">
        <v>0</v>
      </c>
      <c r="J761" t="n">
        <v>0</v>
      </c>
      <c r="K761" t="n">
        <v>0</v>
      </c>
      <c r="L761" t="n">
        <v>0</v>
      </c>
      <c r="M761" t="n">
        <v>0</v>
      </c>
      <c r="N761" t="n">
        <v>0</v>
      </c>
      <c r="O761" t="n">
        <v>0</v>
      </c>
      <c r="P761" t="n">
        <v>0</v>
      </c>
      <c r="Q761" t="n">
        <v>0</v>
      </c>
      <c r="R761" s="2" t="inlineStr"/>
    </row>
    <row r="762" ht="15" customHeight="1">
      <c r="A762" t="inlineStr">
        <is>
          <t>A 32526-2022</t>
        </is>
      </c>
      <c r="B762" s="1" t="n">
        <v>44782</v>
      </c>
      <c r="C762" s="1" t="n">
        <v>45703</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32780-2022</t>
        </is>
      </c>
      <c r="B763" s="1" t="n">
        <v>44783</v>
      </c>
      <c r="C763" s="1" t="n">
        <v>45703</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32979-2022</t>
        </is>
      </c>
      <c r="B764" s="1" t="n">
        <v>44785</v>
      </c>
      <c r="C764" s="1" t="n">
        <v>45703</v>
      </c>
      <c r="D764" t="inlineStr">
        <is>
          <t>JÄMTLANDS LÄN</t>
        </is>
      </c>
      <c r="E764" t="inlineStr">
        <is>
          <t>RAGUNDA</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32986-2022</t>
        </is>
      </c>
      <c r="B765" s="1" t="n">
        <v>44785</v>
      </c>
      <c r="C765" s="1" t="n">
        <v>45703</v>
      </c>
      <c r="D765" t="inlineStr">
        <is>
          <t>JÄMTLANDS LÄN</t>
        </is>
      </c>
      <c r="E765" t="inlineStr">
        <is>
          <t>RAGUNDA</t>
        </is>
      </c>
      <c r="F765" t="inlineStr">
        <is>
          <t>SCA</t>
        </is>
      </c>
      <c r="G765" t="n">
        <v>6.7</v>
      </c>
      <c r="H765" t="n">
        <v>0</v>
      </c>
      <c r="I765" t="n">
        <v>0</v>
      </c>
      <c r="J765" t="n">
        <v>0</v>
      </c>
      <c r="K765" t="n">
        <v>0</v>
      </c>
      <c r="L765" t="n">
        <v>0</v>
      </c>
      <c r="M765" t="n">
        <v>0</v>
      </c>
      <c r="N765" t="n">
        <v>0</v>
      </c>
      <c r="O765" t="n">
        <v>0</v>
      </c>
      <c r="P765" t="n">
        <v>0</v>
      </c>
      <c r="Q765" t="n">
        <v>0</v>
      </c>
      <c r="R765" s="2" t="inlineStr"/>
    </row>
    <row r="766" ht="15" customHeight="1">
      <c r="A766" t="inlineStr">
        <is>
          <t>A 33218-2022</t>
        </is>
      </c>
      <c r="B766" s="1" t="n">
        <v>44786</v>
      </c>
      <c r="C766" s="1" t="n">
        <v>45703</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33278-2022</t>
        </is>
      </c>
      <c r="B767" s="1" t="n">
        <v>44788</v>
      </c>
      <c r="C767" s="1" t="n">
        <v>45703</v>
      </c>
      <c r="D767" t="inlineStr">
        <is>
          <t>JÄMTLANDS LÄN</t>
        </is>
      </c>
      <c r="E767" t="inlineStr">
        <is>
          <t>RAGUNDA</t>
        </is>
      </c>
      <c r="G767" t="n">
        <v>3.2</v>
      </c>
      <c r="H767" t="n">
        <v>0</v>
      </c>
      <c r="I767" t="n">
        <v>0</v>
      </c>
      <c r="J767" t="n">
        <v>0</v>
      </c>
      <c r="K767" t="n">
        <v>0</v>
      </c>
      <c r="L767" t="n">
        <v>0</v>
      </c>
      <c r="M767" t="n">
        <v>0</v>
      </c>
      <c r="N767" t="n">
        <v>0</v>
      </c>
      <c r="O767" t="n">
        <v>0</v>
      </c>
      <c r="P767" t="n">
        <v>0</v>
      </c>
      <c r="Q767" t="n">
        <v>0</v>
      </c>
      <c r="R767" s="2" t="inlineStr"/>
    </row>
    <row r="768" ht="15" customHeight="1">
      <c r="A768" t="inlineStr">
        <is>
          <t>A 33279-2022</t>
        </is>
      </c>
      <c r="B768" s="1" t="n">
        <v>44788</v>
      </c>
      <c r="C768" s="1" t="n">
        <v>45703</v>
      </c>
      <c r="D768" t="inlineStr">
        <is>
          <t>JÄMTLANDS LÄN</t>
        </is>
      </c>
      <c r="E768" t="inlineStr">
        <is>
          <t>RAGUNDA</t>
        </is>
      </c>
      <c r="G768" t="n">
        <v>17</v>
      </c>
      <c r="H768" t="n">
        <v>0</v>
      </c>
      <c r="I768" t="n">
        <v>0</v>
      </c>
      <c r="J768" t="n">
        <v>0</v>
      </c>
      <c r="K768" t="n">
        <v>0</v>
      </c>
      <c r="L768" t="n">
        <v>0</v>
      </c>
      <c r="M768" t="n">
        <v>0</v>
      </c>
      <c r="N768" t="n">
        <v>0</v>
      </c>
      <c r="O768" t="n">
        <v>0</v>
      </c>
      <c r="P768" t="n">
        <v>0</v>
      </c>
      <c r="Q768" t="n">
        <v>0</v>
      </c>
      <c r="R768" s="2" t="inlineStr"/>
    </row>
    <row r="769" ht="15" customHeight="1">
      <c r="A769" t="inlineStr">
        <is>
          <t>A 35018-2022</t>
        </is>
      </c>
      <c r="B769" s="1" t="n">
        <v>44797</v>
      </c>
      <c r="C769" s="1" t="n">
        <v>45703</v>
      </c>
      <c r="D769" t="inlineStr">
        <is>
          <t>JÄMTLANDS LÄN</t>
        </is>
      </c>
      <c r="E769" t="inlineStr">
        <is>
          <t>RAGUNDA</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35235-2022</t>
        </is>
      </c>
      <c r="B770" s="1" t="n">
        <v>44797</v>
      </c>
      <c r="C770" s="1" t="n">
        <v>45703</v>
      </c>
      <c r="D770" t="inlineStr">
        <is>
          <t>JÄMTLANDS LÄN</t>
        </is>
      </c>
      <c r="E770" t="inlineStr">
        <is>
          <t>RAGUNDA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35495-2022</t>
        </is>
      </c>
      <c r="B771" s="1" t="n">
        <v>44798</v>
      </c>
      <c r="C771" s="1" t="n">
        <v>45703</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35492-2022</t>
        </is>
      </c>
      <c r="B772" s="1" t="n">
        <v>44799</v>
      </c>
      <c r="C772" s="1" t="n">
        <v>45703</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35757-2022</t>
        </is>
      </c>
      <c r="B773" s="1" t="n">
        <v>44799</v>
      </c>
      <c r="C773" s="1" t="n">
        <v>45703</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35749-2022</t>
        </is>
      </c>
      <c r="B774" s="1" t="n">
        <v>44800</v>
      </c>
      <c r="C774" s="1" t="n">
        <v>45703</v>
      </c>
      <c r="D774" t="inlineStr">
        <is>
          <t>JÄMTLANDS LÄN</t>
        </is>
      </c>
      <c r="E774" t="inlineStr">
        <is>
          <t>RAGUNDA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35998-2022</t>
        </is>
      </c>
      <c r="B775" s="1" t="n">
        <v>44802</v>
      </c>
      <c r="C775" s="1" t="n">
        <v>45703</v>
      </c>
      <c r="D775" t="inlineStr">
        <is>
          <t>JÄMTLANDS LÄN</t>
        </is>
      </c>
      <c r="E775" t="inlineStr">
        <is>
          <t>RAGUNDA</t>
        </is>
      </c>
      <c r="G775" t="n">
        <v>25.4</v>
      </c>
      <c r="H775" t="n">
        <v>0</v>
      </c>
      <c r="I775" t="n">
        <v>0</v>
      </c>
      <c r="J775" t="n">
        <v>0</v>
      </c>
      <c r="K775" t="n">
        <v>0</v>
      </c>
      <c r="L775" t="n">
        <v>0</v>
      </c>
      <c r="M775" t="n">
        <v>0</v>
      </c>
      <c r="N775" t="n">
        <v>0</v>
      </c>
      <c r="O775" t="n">
        <v>0</v>
      </c>
      <c r="P775" t="n">
        <v>0</v>
      </c>
      <c r="Q775" t="n">
        <v>0</v>
      </c>
      <c r="R775" s="2" t="inlineStr"/>
    </row>
    <row r="776" ht="15" customHeight="1">
      <c r="A776" t="inlineStr">
        <is>
          <t>A 36084-2022</t>
        </is>
      </c>
      <c r="B776" s="1" t="n">
        <v>44802</v>
      </c>
      <c r="C776" s="1" t="n">
        <v>45703</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36106-2022</t>
        </is>
      </c>
      <c r="B777" s="1" t="n">
        <v>44803</v>
      </c>
      <c r="C777" s="1" t="n">
        <v>45703</v>
      </c>
      <c r="D777" t="inlineStr">
        <is>
          <t>JÄMTLANDS LÄN</t>
        </is>
      </c>
      <c r="E777" t="inlineStr">
        <is>
          <t>RAGUNDA</t>
        </is>
      </c>
      <c r="F777" t="inlineStr">
        <is>
          <t>SCA</t>
        </is>
      </c>
      <c r="G777" t="n">
        <v>7.3</v>
      </c>
      <c r="H777" t="n">
        <v>0</v>
      </c>
      <c r="I777" t="n">
        <v>0</v>
      </c>
      <c r="J777" t="n">
        <v>0</v>
      </c>
      <c r="K777" t="n">
        <v>0</v>
      </c>
      <c r="L777" t="n">
        <v>0</v>
      </c>
      <c r="M777" t="n">
        <v>0</v>
      </c>
      <c r="N777" t="n">
        <v>0</v>
      </c>
      <c r="O777" t="n">
        <v>0</v>
      </c>
      <c r="P777" t="n">
        <v>0</v>
      </c>
      <c r="Q777" t="n">
        <v>0</v>
      </c>
      <c r="R777" s="2" t="inlineStr"/>
    </row>
    <row r="778" ht="15" customHeight="1">
      <c r="A778" t="inlineStr">
        <is>
          <t>A 36375-2022</t>
        </is>
      </c>
      <c r="B778" s="1" t="n">
        <v>44804</v>
      </c>
      <c r="C778" s="1" t="n">
        <v>45703</v>
      </c>
      <c r="D778" t="inlineStr">
        <is>
          <t>JÄMTLANDS LÄN</t>
        </is>
      </c>
      <c r="E778" t="inlineStr">
        <is>
          <t>RAGUNDA</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36612-2022</t>
        </is>
      </c>
      <c r="B779" s="1" t="n">
        <v>44804</v>
      </c>
      <c r="C779" s="1" t="n">
        <v>45703</v>
      </c>
      <c r="D779" t="inlineStr">
        <is>
          <t>JÄMTLANDS LÄN</t>
        </is>
      </c>
      <c r="E779" t="inlineStr">
        <is>
          <t>RAGUNDA</t>
        </is>
      </c>
      <c r="G779" t="n">
        <v>2.1</v>
      </c>
      <c r="H779" t="n">
        <v>0</v>
      </c>
      <c r="I779" t="n">
        <v>0</v>
      </c>
      <c r="J779" t="n">
        <v>0</v>
      </c>
      <c r="K779" t="n">
        <v>0</v>
      </c>
      <c r="L779" t="n">
        <v>0</v>
      </c>
      <c r="M779" t="n">
        <v>0</v>
      </c>
      <c r="N779" t="n">
        <v>0</v>
      </c>
      <c r="O779" t="n">
        <v>0</v>
      </c>
      <c r="P779" t="n">
        <v>0</v>
      </c>
      <c r="Q779" t="n">
        <v>0</v>
      </c>
      <c r="R779" s="2" t="inlineStr"/>
    </row>
    <row r="780" ht="15" customHeight="1">
      <c r="A780" t="inlineStr">
        <is>
          <t>A 36692-2022</t>
        </is>
      </c>
      <c r="B780" s="1" t="n">
        <v>44804</v>
      </c>
      <c r="C780" s="1" t="n">
        <v>45703</v>
      </c>
      <c r="D780" t="inlineStr">
        <is>
          <t>JÄMTLANDS LÄN</t>
        </is>
      </c>
      <c r="E780" t="inlineStr">
        <is>
          <t>RAGUNDA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36696-2022</t>
        </is>
      </c>
      <c r="B781" s="1" t="n">
        <v>44805</v>
      </c>
      <c r="C781" s="1" t="n">
        <v>45703</v>
      </c>
      <c r="D781" t="inlineStr">
        <is>
          <t>JÄMTLANDS LÄN</t>
        </is>
      </c>
      <c r="E781" t="inlineStr">
        <is>
          <t>RAGUNDA</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36922-2022</t>
        </is>
      </c>
      <c r="B782" s="1" t="n">
        <v>44806</v>
      </c>
      <c r="C782" s="1" t="n">
        <v>45703</v>
      </c>
      <c r="D782" t="inlineStr">
        <is>
          <t>JÄMTLANDS LÄN</t>
        </is>
      </c>
      <c r="E782" t="inlineStr">
        <is>
          <t>RAGUNDA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36941-2022</t>
        </is>
      </c>
      <c r="B783" s="1" t="n">
        <v>44805</v>
      </c>
      <c r="C783" s="1" t="n">
        <v>45703</v>
      </c>
      <c r="D783" t="inlineStr">
        <is>
          <t>JÄMTLANDS LÄN</t>
        </is>
      </c>
      <c r="E783" t="inlineStr">
        <is>
          <t>RAGUNDA</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37324-2022</t>
        </is>
      </c>
      <c r="B784" s="1" t="n">
        <v>44806</v>
      </c>
      <c r="C784" s="1" t="n">
        <v>45703</v>
      </c>
      <c r="D784" t="inlineStr">
        <is>
          <t>JÄMTLANDS LÄN</t>
        </is>
      </c>
      <c r="E784" t="inlineStr">
        <is>
          <t>RAGUNDA</t>
        </is>
      </c>
      <c r="G784" t="n">
        <v>2.3</v>
      </c>
      <c r="H784" t="n">
        <v>0</v>
      </c>
      <c r="I784" t="n">
        <v>0</v>
      </c>
      <c r="J784" t="n">
        <v>0</v>
      </c>
      <c r="K784" t="n">
        <v>0</v>
      </c>
      <c r="L784" t="n">
        <v>0</v>
      </c>
      <c r="M784" t="n">
        <v>0</v>
      </c>
      <c r="N784" t="n">
        <v>0</v>
      </c>
      <c r="O784" t="n">
        <v>0</v>
      </c>
      <c r="P784" t="n">
        <v>0</v>
      </c>
      <c r="Q784" t="n">
        <v>0</v>
      </c>
      <c r="R784" s="2" t="inlineStr"/>
    </row>
    <row r="785" ht="15" customHeight="1">
      <c r="A785" t="inlineStr">
        <is>
          <t>A 38426-2022</t>
        </is>
      </c>
      <c r="B785" s="1" t="n">
        <v>44812</v>
      </c>
      <c r="C785" s="1" t="n">
        <v>45703</v>
      </c>
      <c r="D785" t="inlineStr">
        <is>
          <t>JÄMTLANDS LÄN</t>
        </is>
      </c>
      <c r="E785" t="inlineStr">
        <is>
          <t>RAGUNDA</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38425-2022</t>
        </is>
      </c>
      <c r="B786" s="1" t="n">
        <v>44813</v>
      </c>
      <c r="C786" s="1" t="n">
        <v>45703</v>
      </c>
      <c r="D786" t="inlineStr">
        <is>
          <t>JÄMTLANDS LÄN</t>
        </is>
      </c>
      <c r="E786" t="inlineStr">
        <is>
          <t>RAGUNDA</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38683-2022</t>
        </is>
      </c>
      <c r="B787" s="1" t="n">
        <v>44813</v>
      </c>
      <c r="C787" s="1" t="n">
        <v>45703</v>
      </c>
      <c r="D787" t="inlineStr">
        <is>
          <t>JÄMTLANDS LÄN</t>
        </is>
      </c>
      <c r="E787" t="inlineStr">
        <is>
          <t>RAGUNDA</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38664-2022</t>
        </is>
      </c>
      <c r="B788" s="1" t="n">
        <v>44813</v>
      </c>
      <c r="C788" s="1" t="n">
        <v>45703</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38733-2022</t>
        </is>
      </c>
      <c r="B789" s="1" t="n">
        <v>44815</v>
      </c>
      <c r="C789" s="1" t="n">
        <v>45703</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39003-2022</t>
        </is>
      </c>
      <c r="B790" s="1" t="n">
        <v>44817</v>
      </c>
      <c r="C790" s="1" t="n">
        <v>45703</v>
      </c>
      <c r="D790" t="inlineStr">
        <is>
          <t>JÄMTLANDS LÄN</t>
        </is>
      </c>
      <c r="E790" t="inlineStr">
        <is>
          <t>RAGUNDA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39011-2022</t>
        </is>
      </c>
      <c r="B791" s="1" t="n">
        <v>44816</v>
      </c>
      <c r="C791" s="1" t="n">
        <v>45703</v>
      </c>
      <c r="D791" t="inlineStr">
        <is>
          <t>JÄMTLANDS LÄN</t>
        </is>
      </c>
      <c r="E791" t="inlineStr">
        <is>
          <t>RAGUNDA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39004-2022</t>
        </is>
      </c>
      <c r="B792" s="1" t="n">
        <v>44816</v>
      </c>
      <c r="C792" s="1" t="n">
        <v>45703</v>
      </c>
      <c r="D792" t="inlineStr">
        <is>
          <t>JÄMTLANDS LÄN</t>
        </is>
      </c>
      <c r="E792" t="inlineStr">
        <is>
          <t>RAGUNDA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39402-2022</t>
        </is>
      </c>
      <c r="B793" s="1" t="n">
        <v>44818</v>
      </c>
      <c r="C793" s="1" t="n">
        <v>45703</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39408-2022</t>
        </is>
      </c>
      <c r="B794" s="1" t="n">
        <v>44817</v>
      </c>
      <c r="C794" s="1" t="n">
        <v>45703</v>
      </c>
      <c r="D794" t="inlineStr">
        <is>
          <t>JÄMTLANDS LÄN</t>
        </is>
      </c>
      <c r="E794" t="inlineStr">
        <is>
          <t>RAGUNDA</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39693-2022</t>
        </is>
      </c>
      <c r="B795" s="1" t="n">
        <v>44819</v>
      </c>
      <c r="C795" s="1" t="n">
        <v>45703</v>
      </c>
      <c r="D795" t="inlineStr">
        <is>
          <t>JÄMTLANDS LÄN</t>
        </is>
      </c>
      <c r="E795" t="inlineStr">
        <is>
          <t>RAGUNDA</t>
        </is>
      </c>
      <c r="F795" t="inlineStr">
        <is>
          <t>SCA</t>
        </is>
      </c>
      <c r="G795" t="n">
        <v>0.3</v>
      </c>
      <c r="H795" t="n">
        <v>0</v>
      </c>
      <c r="I795" t="n">
        <v>0</v>
      </c>
      <c r="J795" t="n">
        <v>0</v>
      </c>
      <c r="K795" t="n">
        <v>0</v>
      </c>
      <c r="L795" t="n">
        <v>0</v>
      </c>
      <c r="M795" t="n">
        <v>0</v>
      </c>
      <c r="N795" t="n">
        <v>0</v>
      </c>
      <c r="O795" t="n">
        <v>0</v>
      </c>
      <c r="P795" t="n">
        <v>0</v>
      </c>
      <c r="Q795" t="n">
        <v>0</v>
      </c>
      <c r="R795" s="2" t="inlineStr"/>
    </row>
    <row r="796" ht="15" customHeight="1">
      <c r="A796" t="inlineStr">
        <is>
          <t>A 40200-2022</t>
        </is>
      </c>
      <c r="B796" s="1" t="n">
        <v>44818</v>
      </c>
      <c r="C796" s="1" t="n">
        <v>45703</v>
      </c>
      <c r="D796" t="inlineStr">
        <is>
          <t>JÄMTLANDS LÄN</t>
        </is>
      </c>
      <c r="E796" t="inlineStr">
        <is>
          <t>RAGUNDA</t>
        </is>
      </c>
      <c r="G796" t="n">
        <v>1.8</v>
      </c>
      <c r="H796" t="n">
        <v>0</v>
      </c>
      <c r="I796" t="n">
        <v>0</v>
      </c>
      <c r="J796" t="n">
        <v>0</v>
      </c>
      <c r="K796" t="n">
        <v>0</v>
      </c>
      <c r="L796" t="n">
        <v>0</v>
      </c>
      <c r="M796" t="n">
        <v>0</v>
      </c>
      <c r="N796" t="n">
        <v>0</v>
      </c>
      <c r="O796" t="n">
        <v>0</v>
      </c>
      <c r="P796" t="n">
        <v>0</v>
      </c>
      <c r="Q796" t="n">
        <v>0</v>
      </c>
      <c r="R796" s="2" t="inlineStr"/>
    </row>
    <row r="797" ht="15" customHeight="1">
      <c r="A797" t="inlineStr">
        <is>
          <t>A 39698-2022</t>
        </is>
      </c>
      <c r="B797" s="1" t="n">
        <v>44818</v>
      </c>
      <c r="C797" s="1" t="n">
        <v>45703</v>
      </c>
      <c r="D797" t="inlineStr">
        <is>
          <t>JÄMTLANDS LÄN</t>
        </is>
      </c>
      <c r="E797" t="inlineStr">
        <is>
          <t>RAGUNDA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40265-2022</t>
        </is>
      </c>
      <c r="B798" s="1" t="n">
        <v>44821</v>
      </c>
      <c r="C798" s="1" t="n">
        <v>45703</v>
      </c>
      <c r="D798" t="inlineStr">
        <is>
          <t>JÄMTLANDS LÄN</t>
        </is>
      </c>
      <c r="E798" t="inlineStr">
        <is>
          <t>RAGUNDA</t>
        </is>
      </c>
      <c r="G798" t="n">
        <v>3.7</v>
      </c>
      <c r="H798" t="n">
        <v>0</v>
      </c>
      <c r="I798" t="n">
        <v>0</v>
      </c>
      <c r="J798" t="n">
        <v>0</v>
      </c>
      <c r="K798" t="n">
        <v>0</v>
      </c>
      <c r="L798" t="n">
        <v>0</v>
      </c>
      <c r="M798" t="n">
        <v>0</v>
      </c>
      <c r="N798" t="n">
        <v>0</v>
      </c>
      <c r="O798" t="n">
        <v>0</v>
      </c>
      <c r="P798" t="n">
        <v>0</v>
      </c>
      <c r="Q798" t="n">
        <v>0</v>
      </c>
      <c r="R798" s="2" t="inlineStr"/>
    </row>
    <row r="799" ht="15" customHeight="1">
      <c r="A799" t="inlineStr">
        <is>
          <t>A 40269-2022</t>
        </is>
      </c>
      <c r="B799" s="1" t="n">
        <v>44820</v>
      </c>
      <c r="C799" s="1" t="n">
        <v>45703</v>
      </c>
      <c r="D799" t="inlineStr">
        <is>
          <t>JÄMTLANDS LÄN</t>
        </is>
      </c>
      <c r="E799" t="inlineStr">
        <is>
          <t>RAGUNDA</t>
        </is>
      </c>
      <c r="F799" t="inlineStr">
        <is>
          <t>SCA</t>
        </is>
      </c>
      <c r="G799" t="n">
        <v>77.8</v>
      </c>
      <c r="H799" t="n">
        <v>0</v>
      </c>
      <c r="I799" t="n">
        <v>0</v>
      </c>
      <c r="J799" t="n">
        <v>0</v>
      </c>
      <c r="K799" t="n">
        <v>0</v>
      </c>
      <c r="L799" t="n">
        <v>0</v>
      </c>
      <c r="M799" t="n">
        <v>0</v>
      </c>
      <c r="N799" t="n">
        <v>0</v>
      </c>
      <c r="O799" t="n">
        <v>0</v>
      </c>
      <c r="P799" t="n">
        <v>0</v>
      </c>
      <c r="Q799" t="n">
        <v>0</v>
      </c>
      <c r="R799" s="2" t="inlineStr"/>
    </row>
    <row r="800" ht="15" customHeight="1">
      <c r="A800" t="inlineStr">
        <is>
          <t>A 40267-2022</t>
        </is>
      </c>
      <c r="B800" s="1" t="n">
        <v>44820</v>
      </c>
      <c r="C800" s="1" t="n">
        <v>45703</v>
      </c>
      <c r="D800" t="inlineStr">
        <is>
          <t>JÄMTLANDS LÄN</t>
        </is>
      </c>
      <c r="E800" t="inlineStr">
        <is>
          <t>RAGUNDA</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40266-2022</t>
        </is>
      </c>
      <c r="B801" s="1" t="n">
        <v>44820</v>
      </c>
      <c r="C801" s="1" t="n">
        <v>45703</v>
      </c>
      <c r="D801" t="inlineStr">
        <is>
          <t>JÄMTLANDS LÄN</t>
        </is>
      </c>
      <c r="E801" t="inlineStr">
        <is>
          <t>RAGUNDA</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40951-2022</t>
        </is>
      </c>
      <c r="B802" s="1" t="n">
        <v>44820</v>
      </c>
      <c r="C802" s="1" t="n">
        <v>45703</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40436-2022</t>
        </is>
      </c>
      <c r="B803" s="1" t="n">
        <v>44823</v>
      </c>
      <c r="C803" s="1" t="n">
        <v>45703</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40612-2022</t>
        </is>
      </c>
      <c r="B804" s="1" t="n">
        <v>44824</v>
      </c>
      <c r="C804" s="1" t="n">
        <v>45703</v>
      </c>
      <c r="D804" t="inlineStr">
        <is>
          <t>JÄMTLANDS LÄN</t>
        </is>
      </c>
      <c r="E804" t="inlineStr">
        <is>
          <t>RAGUNDA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40978-2022</t>
        </is>
      </c>
      <c r="B805" s="1" t="n">
        <v>44823</v>
      </c>
      <c r="C805" s="1" t="n">
        <v>45703</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40829-2022</t>
        </is>
      </c>
      <c r="B806" s="1" t="n">
        <v>44825</v>
      </c>
      <c r="C806" s="1" t="n">
        <v>45703</v>
      </c>
      <c r="D806" t="inlineStr">
        <is>
          <t>JÄMTLANDS LÄN</t>
        </is>
      </c>
      <c r="E806" t="inlineStr">
        <is>
          <t>RAGUNDA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41180-2022</t>
        </is>
      </c>
      <c r="B807" s="1" t="n">
        <v>44825</v>
      </c>
      <c r="C807" s="1" t="n">
        <v>45703</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41179-2022</t>
        </is>
      </c>
      <c r="B808" s="1" t="n">
        <v>44825</v>
      </c>
      <c r="C808" s="1" t="n">
        <v>45703</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42267-2022</t>
        </is>
      </c>
      <c r="B809" s="1" t="n">
        <v>44830</v>
      </c>
      <c r="C809" s="1" t="n">
        <v>45703</v>
      </c>
      <c r="D809" t="inlineStr">
        <is>
          <t>JÄMTLANDS LÄN</t>
        </is>
      </c>
      <c r="E809" t="inlineStr">
        <is>
          <t>RAGUNDA</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42266-2022</t>
        </is>
      </c>
      <c r="B810" s="1" t="n">
        <v>44831</v>
      </c>
      <c r="C810" s="1" t="n">
        <v>45703</v>
      </c>
      <c r="D810" t="inlineStr">
        <is>
          <t>JÄMTLANDS LÄN</t>
        </is>
      </c>
      <c r="E810" t="inlineStr">
        <is>
          <t>RAGUNDA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42652-2022</t>
        </is>
      </c>
      <c r="B811" s="1" t="n">
        <v>44832</v>
      </c>
      <c r="C811" s="1" t="n">
        <v>45703</v>
      </c>
      <c r="D811" t="inlineStr">
        <is>
          <t>JÄMTLANDS LÄN</t>
        </is>
      </c>
      <c r="E811" t="inlineStr">
        <is>
          <t>RAGUNDA</t>
        </is>
      </c>
      <c r="F811" t="inlineStr">
        <is>
          <t>SCA</t>
        </is>
      </c>
      <c r="G811" t="n">
        <v>5.6</v>
      </c>
      <c r="H811" t="n">
        <v>0</v>
      </c>
      <c r="I811" t="n">
        <v>0</v>
      </c>
      <c r="J811" t="n">
        <v>0</v>
      </c>
      <c r="K811" t="n">
        <v>0</v>
      </c>
      <c r="L811" t="n">
        <v>0</v>
      </c>
      <c r="M811" t="n">
        <v>0</v>
      </c>
      <c r="N811" t="n">
        <v>0</v>
      </c>
      <c r="O811" t="n">
        <v>0</v>
      </c>
      <c r="P811" t="n">
        <v>0</v>
      </c>
      <c r="Q811" t="n">
        <v>0</v>
      </c>
      <c r="R811" s="2" t="inlineStr"/>
    </row>
    <row r="812" ht="15" customHeight="1">
      <c r="A812" t="inlineStr">
        <is>
          <t>A 42644-2022</t>
        </is>
      </c>
      <c r="B812" s="1" t="n">
        <v>44831</v>
      </c>
      <c r="C812" s="1" t="n">
        <v>45703</v>
      </c>
      <c r="D812" t="inlineStr">
        <is>
          <t>JÄMTLANDS LÄN</t>
        </is>
      </c>
      <c r="E812" t="inlineStr">
        <is>
          <t>RAGUNDA</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42655-2022</t>
        </is>
      </c>
      <c r="B813" s="1" t="n">
        <v>44831</v>
      </c>
      <c r="C813" s="1" t="n">
        <v>45703</v>
      </c>
      <c r="D813" t="inlineStr">
        <is>
          <t>JÄMTLANDS LÄN</t>
        </is>
      </c>
      <c r="E813" t="inlineStr">
        <is>
          <t>RAGUNDA</t>
        </is>
      </c>
      <c r="F813" t="inlineStr">
        <is>
          <t>Naturvårdsverket</t>
        </is>
      </c>
      <c r="G813" t="n">
        <v>2</v>
      </c>
      <c r="H813" t="n">
        <v>0</v>
      </c>
      <c r="I813" t="n">
        <v>0</v>
      </c>
      <c r="J813" t="n">
        <v>0</v>
      </c>
      <c r="K813" t="n">
        <v>0</v>
      </c>
      <c r="L813" t="n">
        <v>0</v>
      </c>
      <c r="M813" t="n">
        <v>0</v>
      </c>
      <c r="N813" t="n">
        <v>0</v>
      </c>
      <c r="O813" t="n">
        <v>0</v>
      </c>
      <c r="P813" t="n">
        <v>0</v>
      </c>
      <c r="Q813" t="n">
        <v>0</v>
      </c>
      <c r="R813" s="2" t="inlineStr"/>
    </row>
    <row r="814" ht="15" customHeight="1">
      <c r="A814" t="inlineStr">
        <is>
          <t>A 42653-2022</t>
        </is>
      </c>
      <c r="B814" s="1" t="n">
        <v>44832</v>
      </c>
      <c r="C814" s="1" t="n">
        <v>45703</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42882-2022</t>
        </is>
      </c>
      <c r="B815" s="1" t="n">
        <v>44833</v>
      </c>
      <c r="C815" s="1" t="n">
        <v>45703</v>
      </c>
      <c r="D815" t="inlineStr">
        <is>
          <t>JÄMTLANDS LÄN</t>
        </is>
      </c>
      <c r="E815" t="inlineStr">
        <is>
          <t>RAGUNDA</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42892-2022</t>
        </is>
      </c>
      <c r="B816" s="1" t="n">
        <v>44832</v>
      </c>
      <c r="C816" s="1" t="n">
        <v>45703</v>
      </c>
      <c r="D816" t="inlineStr">
        <is>
          <t>JÄMTLANDS LÄN</t>
        </is>
      </c>
      <c r="E816" t="inlineStr">
        <is>
          <t>RAGUNDA</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42893-2022</t>
        </is>
      </c>
      <c r="B817" s="1" t="n">
        <v>44832</v>
      </c>
      <c r="C817" s="1" t="n">
        <v>45703</v>
      </c>
      <c r="D817" t="inlineStr">
        <is>
          <t>JÄMTLANDS LÄN</t>
        </is>
      </c>
      <c r="E817" t="inlineStr">
        <is>
          <t>RAGUNDA</t>
        </is>
      </c>
      <c r="F817" t="inlineStr">
        <is>
          <t>SCA</t>
        </is>
      </c>
      <c r="G817" t="n">
        <v>28.4</v>
      </c>
      <c r="H817" t="n">
        <v>0</v>
      </c>
      <c r="I817" t="n">
        <v>0</v>
      </c>
      <c r="J817" t="n">
        <v>0</v>
      </c>
      <c r="K817" t="n">
        <v>0</v>
      </c>
      <c r="L817" t="n">
        <v>0</v>
      </c>
      <c r="M817" t="n">
        <v>0</v>
      </c>
      <c r="N817" t="n">
        <v>0</v>
      </c>
      <c r="O817" t="n">
        <v>0</v>
      </c>
      <c r="P817" t="n">
        <v>0</v>
      </c>
      <c r="Q817" t="n">
        <v>0</v>
      </c>
      <c r="R817" s="2" t="inlineStr"/>
    </row>
    <row r="818" ht="15" customHeight="1">
      <c r="A818" t="inlineStr">
        <is>
          <t>A 42900-2022</t>
        </is>
      </c>
      <c r="B818" s="1" t="n">
        <v>44833</v>
      </c>
      <c r="C818" s="1" t="n">
        <v>45703</v>
      </c>
      <c r="D818" t="inlineStr">
        <is>
          <t>JÄMTLANDS LÄN</t>
        </is>
      </c>
      <c r="E818" t="inlineStr">
        <is>
          <t>RAGUNDA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42901-2022</t>
        </is>
      </c>
      <c r="B819" s="1" t="n">
        <v>44832</v>
      </c>
      <c r="C819" s="1" t="n">
        <v>45703</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43147-2022</t>
        </is>
      </c>
      <c r="B820" s="1" t="n">
        <v>44834</v>
      </c>
      <c r="C820" s="1" t="n">
        <v>45703</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43163-2022</t>
        </is>
      </c>
      <c r="B821" s="1" t="n">
        <v>44834</v>
      </c>
      <c r="C821" s="1" t="n">
        <v>45703</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43478-2022</t>
        </is>
      </c>
      <c r="B822" s="1" t="n">
        <v>44837</v>
      </c>
      <c r="C822" s="1" t="n">
        <v>45703</v>
      </c>
      <c r="D822" t="inlineStr">
        <is>
          <t>JÄMTLANDS LÄN</t>
        </is>
      </c>
      <c r="E822" t="inlineStr">
        <is>
          <t>RAGUNDA</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43793-2022</t>
        </is>
      </c>
      <c r="B823" s="1" t="n">
        <v>44837</v>
      </c>
      <c r="C823" s="1" t="n">
        <v>45703</v>
      </c>
      <c r="D823" t="inlineStr">
        <is>
          <t>JÄMTLANDS LÄN</t>
        </is>
      </c>
      <c r="E823" t="inlineStr">
        <is>
          <t>RAGUNDA</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43794-2022</t>
        </is>
      </c>
      <c r="B824" s="1" t="n">
        <v>44837</v>
      </c>
      <c r="C824" s="1" t="n">
        <v>45703</v>
      </c>
      <c r="D824" t="inlineStr">
        <is>
          <t>JÄMTLANDS LÄN</t>
        </is>
      </c>
      <c r="E824" t="inlineStr">
        <is>
          <t>RAGUNDA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44050-2022</t>
        </is>
      </c>
      <c r="B825" s="1" t="n">
        <v>44838</v>
      </c>
      <c r="C825" s="1" t="n">
        <v>45703</v>
      </c>
      <c r="D825" t="inlineStr">
        <is>
          <t>JÄMTLANDS LÄN</t>
        </is>
      </c>
      <c r="E825" t="inlineStr">
        <is>
          <t>RAGUNDA</t>
        </is>
      </c>
      <c r="F825" t="inlineStr">
        <is>
          <t>SCA</t>
        </is>
      </c>
      <c r="G825" t="n">
        <v>9.6</v>
      </c>
      <c r="H825" t="n">
        <v>0</v>
      </c>
      <c r="I825" t="n">
        <v>0</v>
      </c>
      <c r="J825" t="n">
        <v>0</v>
      </c>
      <c r="K825" t="n">
        <v>0</v>
      </c>
      <c r="L825" t="n">
        <v>0</v>
      </c>
      <c r="M825" t="n">
        <v>0</v>
      </c>
      <c r="N825" t="n">
        <v>0</v>
      </c>
      <c r="O825" t="n">
        <v>0</v>
      </c>
      <c r="P825" t="n">
        <v>0</v>
      </c>
      <c r="Q825" t="n">
        <v>0</v>
      </c>
      <c r="R825" s="2" t="inlineStr"/>
    </row>
    <row r="826" ht="15" customHeight="1">
      <c r="A826" t="inlineStr">
        <is>
          <t>A 44536-2022</t>
        </is>
      </c>
      <c r="B826" s="1" t="n">
        <v>44839</v>
      </c>
      <c r="C826" s="1" t="n">
        <v>45703</v>
      </c>
      <c r="D826" t="inlineStr">
        <is>
          <t>JÄMTLANDS LÄN</t>
        </is>
      </c>
      <c r="E826" t="inlineStr">
        <is>
          <t>RAGUNDA</t>
        </is>
      </c>
      <c r="G826" t="n">
        <v>4</v>
      </c>
      <c r="H826" t="n">
        <v>0</v>
      </c>
      <c r="I826" t="n">
        <v>0</v>
      </c>
      <c r="J826" t="n">
        <v>0</v>
      </c>
      <c r="K826" t="n">
        <v>0</v>
      </c>
      <c r="L826" t="n">
        <v>0</v>
      </c>
      <c r="M826" t="n">
        <v>0</v>
      </c>
      <c r="N826" t="n">
        <v>0</v>
      </c>
      <c r="O826" t="n">
        <v>0</v>
      </c>
      <c r="P826" t="n">
        <v>0</v>
      </c>
      <c r="Q826" t="n">
        <v>0</v>
      </c>
      <c r="R826" s="2" t="inlineStr"/>
    </row>
    <row r="827" ht="15" customHeight="1">
      <c r="A827" t="inlineStr">
        <is>
          <t>A 44600-2022</t>
        </is>
      </c>
      <c r="B827" s="1" t="n">
        <v>44839</v>
      </c>
      <c r="C827" s="1" t="n">
        <v>45703</v>
      </c>
      <c r="D827" t="inlineStr">
        <is>
          <t>JÄMTLANDS LÄN</t>
        </is>
      </c>
      <c r="E827" t="inlineStr">
        <is>
          <t>RAGUNDA</t>
        </is>
      </c>
      <c r="G827" t="n">
        <v>1.6</v>
      </c>
      <c r="H827" t="n">
        <v>0</v>
      </c>
      <c r="I827" t="n">
        <v>0</v>
      </c>
      <c r="J827" t="n">
        <v>0</v>
      </c>
      <c r="K827" t="n">
        <v>0</v>
      </c>
      <c r="L827" t="n">
        <v>0</v>
      </c>
      <c r="M827" t="n">
        <v>0</v>
      </c>
      <c r="N827" t="n">
        <v>0</v>
      </c>
      <c r="O827" t="n">
        <v>0</v>
      </c>
      <c r="P827" t="n">
        <v>0</v>
      </c>
      <c r="Q827" t="n">
        <v>0</v>
      </c>
      <c r="R827" s="2" t="inlineStr"/>
    </row>
    <row r="828" ht="15" customHeight="1">
      <c r="A828" t="inlineStr">
        <is>
          <t>A 44767-2022</t>
        </is>
      </c>
      <c r="B828" s="1" t="n">
        <v>44840</v>
      </c>
      <c r="C828" s="1" t="n">
        <v>45703</v>
      </c>
      <c r="D828" t="inlineStr">
        <is>
          <t>JÄMTLANDS LÄN</t>
        </is>
      </c>
      <c r="E828" t="inlineStr">
        <is>
          <t>RAGUNDA</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44766-2022</t>
        </is>
      </c>
      <c r="B829" s="1" t="n">
        <v>44841</v>
      </c>
      <c r="C829" s="1" t="n">
        <v>45703</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45437-2022</t>
        </is>
      </c>
      <c r="B830" s="1" t="n">
        <v>44844</v>
      </c>
      <c r="C830" s="1" t="n">
        <v>45703</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45438-2022</t>
        </is>
      </c>
      <c r="B831" s="1" t="n">
        <v>44845</v>
      </c>
      <c r="C831" s="1" t="n">
        <v>45703</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45708-2022</t>
        </is>
      </c>
      <c r="B832" s="1" t="n">
        <v>44846</v>
      </c>
      <c r="C832" s="1" t="n">
        <v>45703</v>
      </c>
      <c r="D832" t="inlineStr">
        <is>
          <t>JÄMTLANDS LÄN</t>
        </is>
      </c>
      <c r="E832" t="inlineStr">
        <is>
          <t>RAGUNDA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45712-2022</t>
        </is>
      </c>
      <c r="B833" s="1" t="n">
        <v>44845</v>
      </c>
      <c r="C833" s="1" t="n">
        <v>45703</v>
      </c>
      <c r="D833" t="inlineStr">
        <is>
          <t>JÄMTLANDS LÄN</t>
        </is>
      </c>
      <c r="E833" t="inlineStr">
        <is>
          <t>RAGUNDA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45710-2022</t>
        </is>
      </c>
      <c r="B834" s="1" t="n">
        <v>44845</v>
      </c>
      <c r="C834" s="1" t="n">
        <v>45703</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45718-2022</t>
        </is>
      </c>
      <c r="B835" s="1" t="n">
        <v>44845</v>
      </c>
      <c r="C835" s="1" t="n">
        <v>45703</v>
      </c>
      <c r="D835" t="inlineStr">
        <is>
          <t>JÄMTLANDS LÄN</t>
        </is>
      </c>
      <c r="E835" t="inlineStr">
        <is>
          <t>RAGUNDA</t>
        </is>
      </c>
      <c r="F835" t="inlineStr">
        <is>
          <t>SCA</t>
        </is>
      </c>
      <c r="G835" t="n">
        <v>19.3</v>
      </c>
      <c r="H835" t="n">
        <v>0</v>
      </c>
      <c r="I835" t="n">
        <v>0</v>
      </c>
      <c r="J835" t="n">
        <v>0</v>
      </c>
      <c r="K835" t="n">
        <v>0</v>
      </c>
      <c r="L835" t="n">
        <v>0</v>
      </c>
      <c r="M835" t="n">
        <v>0</v>
      </c>
      <c r="N835" t="n">
        <v>0</v>
      </c>
      <c r="O835" t="n">
        <v>0</v>
      </c>
      <c r="P835" t="n">
        <v>0</v>
      </c>
      <c r="Q835" t="n">
        <v>0</v>
      </c>
      <c r="R835" s="2" t="inlineStr"/>
    </row>
    <row r="836" ht="15" customHeight="1">
      <c r="A836" t="inlineStr">
        <is>
          <t>A 45715-2022</t>
        </is>
      </c>
      <c r="B836" s="1" t="n">
        <v>44845</v>
      </c>
      <c r="C836" s="1" t="n">
        <v>45703</v>
      </c>
      <c r="D836" t="inlineStr">
        <is>
          <t>JÄMTLANDS LÄN</t>
        </is>
      </c>
      <c r="E836" t="inlineStr">
        <is>
          <t>RAGUNDA</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46047-2022</t>
        </is>
      </c>
      <c r="B837" s="1" t="n">
        <v>44847</v>
      </c>
      <c r="C837" s="1" t="n">
        <v>45703</v>
      </c>
      <c r="D837" t="inlineStr">
        <is>
          <t>JÄMTLANDS LÄN</t>
        </is>
      </c>
      <c r="E837" t="inlineStr">
        <is>
          <t>RAGUNDA</t>
        </is>
      </c>
      <c r="F837" t="inlineStr">
        <is>
          <t>SCA</t>
        </is>
      </c>
      <c r="G837" t="n">
        <v>6.7</v>
      </c>
      <c r="H837" t="n">
        <v>0</v>
      </c>
      <c r="I837" t="n">
        <v>0</v>
      </c>
      <c r="J837" t="n">
        <v>0</v>
      </c>
      <c r="K837" t="n">
        <v>0</v>
      </c>
      <c r="L837" t="n">
        <v>0</v>
      </c>
      <c r="M837" t="n">
        <v>0</v>
      </c>
      <c r="N837" t="n">
        <v>0</v>
      </c>
      <c r="O837" t="n">
        <v>0</v>
      </c>
      <c r="P837" t="n">
        <v>0</v>
      </c>
      <c r="Q837" t="n">
        <v>0</v>
      </c>
      <c r="R837" s="2" t="inlineStr"/>
    </row>
    <row r="838" ht="15" customHeight="1">
      <c r="A838" t="inlineStr">
        <is>
          <t>A 46040-2022</t>
        </is>
      </c>
      <c r="B838" s="1" t="n">
        <v>44847</v>
      </c>
      <c r="C838" s="1" t="n">
        <v>45703</v>
      </c>
      <c r="D838" t="inlineStr">
        <is>
          <t>JÄMTLANDS LÄN</t>
        </is>
      </c>
      <c r="E838" t="inlineStr">
        <is>
          <t>RAGUNDA</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46050-2022</t>
        </is>
      </c>
      <c r="B839" s="1" t="n">
        <v>44846</v>
      </c>
      <c r="C839" s="1" t="n">
        <v>45703</v>
      </c>
      <c r="D839" t="inlineStr">
        <is>
          <t>JÄMTLANDS LÄN</t>
        </is>
      </c>
      <c r="E839" t="inlineStr">
        <is>
          <t>RAGUNDA</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46049-2022</t>
        </is>
      </c>
      <c r="B840" s="1" t="n">
        <v>44847</v>
      </c>
      <c r="C840" s="1" t="n">
        <v>45703</v>
      </c>
      <c r="D840" t="inlineStr">
        <is>
          <t>JÄMTLANDS LÄN</t>
        </is>
      </c>
      <c r="E840" t="inlineStr">
        <is>
          <t>RAGUNDA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46048-2022</t>
        </is>
      </c>
      <c r="B841" s="1" t="n">
        <v>44846</v>
      </c>
      <c r="C841" s="1" t="n">
        <v>45703</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46991-2022</t>
        </is>
      </c>
      <c r="B842" s="1" t="n">
        <v>44852</v>
      </c>
      <c r="C842" s="1" t="n">
        <v>45703</v>
      </c>
      <c r="D842" t="inlineStr">
        <is>
          <t>JÄMTLANDS LÄN</t>
        </is>
      </c>
      <c r="E842" t="inlineStr">
        <is>
          <t>RAGUNDA</t>
        </is>
      </c>
      <c r="F842" t="inlineStr">
        <is>
          <t>SCA</t>
        </is>
      </c>
      <c r="G842" t="n">
        <v>17.3</v>
      </c>
      <c r="H842" t="n">
        <v>0</v>
      </c>
      <c r="I842" t="n">
        <v>0</v>
      </c>
      <c r="J842" t="n">
        <v>0</v>
      </c>
      <c r="K842" t="n">
        <v>0</v>
      </c>
      <c r="L842" t="n">
        <v>0</v>
      </c>
      <c r="M842" t="n">
        <v>0</v>
      </c>
      <c r="N842" t="n">
        <v>0</v>
      </c>
      <c r="O842" t="n">
        <v>0</v>
      </c>
      <c r="P842" t="n">
        <v>0</v>
      </c>
      <c r="Q842" t="n">
        <v>0</v>
      </c>
      <c r="R842" s="2" t="inlineStr"/>
    </row>
    <row r="843" ht="15" customHeight="1">
      <c r="A843" t="inlineStr">
        <is>
          <t>A 46992-2022</t>
        </is>
      </c>
      <c r="B843" s="1" t="n">
        <v>44852</v>
      </c>
      <c r="C843" s="1" t="n">
        <v>45703</v>
      </c>
      <c r="D843" t="inlineStr">
        <is>
          <t>JÄMTLANDS LÄN</t>
        </is>
      </c>
      <c r="E843" t="inlineStr">
        <is>
          <t>RAGUNDA</t>
        </is>
      </c>
      <c r="F843" t="inlineStr">
        <is>
          <t>SCA</t>
        </is>
      </c>
      <c r="G843" t="n">
        <v>26.4</v>
      </c>
      <c r="H843" t="n">
        <v>0</v>
      </c>
      <c r="I843" t="n">
        <v>0</v>
      </c>
      <c r="J843" t="n">
        <v>0</v>
      </c>
      <c r="K843" t="n">
        <v>0</v>
      </c>
      <c r="L843" t="n">
        <v>0</v>
      </c>
      <c r="M843" t="n">
        <v>0</v>
      </c>
      <c r="N843" t="n">
        <v>0</v>
      </c>
      <c r="O843" t="n">
        <v>0</v>
      </c>
      <c r="P843" t="n">
        <v>0</v>
      </c>
      <c r="Q843" t="n">
        <v>0</v>
      </c>
      <c r="R843" s="2" t="inlineStr"/>
    </row>
    <row r="844" ht="15" customHeight="1">
      <c r="A844" t="inlineStr">
        <is>
          <t>A 47262-2022</t>
        </is>
      </c>
      <c r="B844" s="1" t="n">
        <v>44852</v>
      </c>
      <c r="C844" s="1" t="n">
        <v>45703</v>
      </c>
      <c r="D844" t="inlineStr">
        <is>
          <t>JÄMTLANDS LÄN</t>
        </is>
      </c>
      <c r="E844" t="inlineStr">
        <is>
          <t>RAGUNDA</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47280-2022</t>
        </is>
      </c>
      <c r="B845" s="1" t="n">
        <v>44852</v>
      </c>
      <c r="C845" s="1" t="n">
        <v>45703</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47278-2022</t>
        </is>
      </c>
      <c r="B846" s="1" t="n">
        <v>44852</v>
      </c>
      <c r="C846" s="1" t="n">
        <v>45703</v>
      </c>
      <c r="D846" t="inlineStr">
        <is>
          <t>JÄMTLANDS LÄN</t>
        </is>
      </c>
      <c r="E846" t="inlineStr">
        <is>
          <t>RAGUNDA</t>
        </is>
      </c>
      <c r="F846" t="inlineStr">
        <is>
          <t>SCA</t>
        </is>
      </c>
      <c r="G846" t="n">
        <v>10.1</v>
      </c>
      <c r="H846" t="n">
        <v>0</v>
      </c>
      <c r="I846" t="n">
        <v>0</v>
      </c>
      <c r="J846" t="n">
        <v>0</v>
      </c>
      <c r="K846" t="n">
        <v>0</v>
      </c>
      <c r="L846" t="n">
        <v>0</v>
      </c>
      <c r="M846" t="n">
        <v>0</v>
      </c>
      <c r="N846" t="n">
        <v>0</v>
      </c>
      <c r="O846" t="n">
        <v>0</v>
      </c>
      <c r="P846" t="n">
        <v>0</v>
      </c>
      <c r="Q846" t="n">
        <v>0</v>
      </c>
      <c r="R846" s="2" t="inlineStr"/>
    </row>
    <row r="847" ht="15" customHeight="1">
      <c r="A847" t="inlineStr">
        <is>
          <t>A 47567-2022</t>
        </is>
      </c>
      <c r="B847" s="1" t="n">
        <v>44853</v>
      </c>
      <c r="C847" s="1" t="n">
        <v>45703</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47568-2022</t>
        </is>
      </c>
      <c r="B848" s="1" t="n">
        <v>44854</v>
      </c>
      <c r="C848" s="1" t="n">
        <v>45703</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47801-2022</t>
        </is>
      </c>
      <c r="B849" s="1" t="n">
        <v>44854</v>
      </c>
      <c r="C849" s="1" t="n">
        <v>45703</v>
      </c>
      <c r="D849" t="inlineStr">
        <is>
          <t>JÄMTLANDS LÄN</t>
        </is>
      </c>
      <c r="E849" t="inlineStr">
        <is>
          <t>RAGUNDA</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47803-2022</t>
        </is>
      </c>
      <c r="B850" s="1" t="n">
        <v>44855</v>
      </c>
      <c r="C850" s="1" t="n">
        <v>45703</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48060-2022</t>
        </is>
      </c>
      <c r="B851" s="1" t="n">
        <v>44856</v>
      </c>
      <c r="C851" s="1" t="n">
        <v>45703</v>
      </c>
      <c r="D851" t="inlineStr">
        <is>
          <t>JÄMTLANDS LÄN</t>
        </is>
      </c>
      <c r="E851" t="inlineStr">
        <is>
          <t>RAGUNDA</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48055-2022</t>
        </is>
      </c>
      <c r="B852" s="1" t="n">
        <v>44856</v>
      </c>
      <c r="C852" s="1" t="n">
        <v>45703</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48058-2022</t>
        </is>
      </c>
      <c r="B853" s="1" t="n">
        <v>44856</v>
      </c>
      <c r="C853" s="1" t="n">
        <v>45703</v>
      </c>
      <c r="D853" t="inlineStr">
        <is>
          <t>JÄMTLANDS LÄN</t>
        </is>
      </c>
      <c r="E853" t="inlineStr">
        <is>
          <t>RAGUNDA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48066-2022</t>
        </is>
      </c>
      <c r="B854" s="1" t="n">
        <v>44855</v>
      </c>
      <c r="C854" s="1" t="n">
        <v>45703</v>
      </c>
      <c r="D854" t="inlineStr">
        <is>
          <t>JÄMTLANDS LÄN</t>
        </is>
      </c>
      <c r="E854" t="inlineStr">
        <is>
          <t>RAGUNDA</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48076-2022</t>
        </is>
      </c>
      <c r="B855" s="1" t="n">
        <v>44856</v>
      </c>
      <c r="C855" s="1" t="n">
        <v>45703</v>
      </c>
      <c r="D855" t="inlineStr">
        <is>
          <t>JÄMTLANDS LÄN</t>
        </is>
      </c>
      <c r="E855" t="inlineStr">
        <is>
          <t>RAGUNDA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48053-2022</t>
        </is>
      </c>
      <c r="B856" s="1" t="n">
        <v>44856</v>
      </c>
      <c r="C856" s="1" t="n">
        <v>45703</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48075-2022</t>
        </is>
      </c>
      <c r="B857" s="1" t="n">
        <v>44855</v>
      </c>
      <c r="C857" s="1" t="n">
        <v>45703</v>
      </c>
      <c r="D857" t="inlineStr">
        <is>
          <t>JÄMTLANDS LÄN</t>
        </is>
      </c>
      <c r="E857" t="inlineStr">
        <is>
          <t>RAGUNDA</t>
        </is>
      </c>
      <c r="F857" t="inlineStr">
        <is>
          <t>SCA</t>
        </is>
      </c>
      <c r="G857" t="n">
        <v>7.5</v>
      </c>
      <c r="H857" t="n">
        <v>0</v>
      </c>
      <c r="I857" t="n">
        <v>0</v>
      </c>
      <c r="J857" t="n">
        <v>0</v>
      </c>
      <c r="K857" t="n">
        <v>0</v>
      </c>
      <c r="L857" t="n">
        <v>0</v>
      </c>
      <c r="M857" t="n">
        <v>0</v>
      </c>
      <c r="N857" t="n">
        <v>0</v>
      </c>
      <c r="O857" t="n">
        <v>0</v>
      </c>
      <c r="P857" t="n">
        <v>0</v>
      </c>
      <c r="Q857" t="n">
        <v>0</v>
      </c>
      <c r="R857" s="2" t="inlineStr"/>
    </row>
    <row r="858" ht="15" customHeight="1">
      <c r="A858" t="inlineStr">
        <is>
          <t>A 48086-2022</t>
        </is>
      </c>
      <c r="B858" s="1" t="n">
        <v>44856</v>
      </c>
      <c r="C858" s="1" t="n">
        <v>45703</v>
      </c>
      <c r="D858" t="inlineStr">
        <is>
          <t>JÄMTLANDS LÄN</t>
        </is>
      </c>
      <c r="E858" t="inlineStr">
        <is>
          <t>RAGUNDA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48085-2022</t>
        </is>
      </c>
      <c r="B859" s="1" t="n">
        <v>44855</v>
      </c>
      <c r="C859" s="1" t="n">
        <v>45703</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48536-2022</t>
        </is>
      </c>
      <c r="B860" s="1" t="n">
        <v>44858</v>
      </c>
      <c r="C860" s="1" t="n">
        <v>45703</v>
      </c>
      <c r="D860" t="inlineStr">
        <is>
          <t>JÄMTLANDS LÄN</t>
        </is>
      </c>
      <c r="E860" t="inlineStr">
        <is>
          <t>RAGUNDA</t>
        </is>
      </c>
      <c r="F860" t="inlineStr">
        <is>
          <t>SCA</t>
        </is>
      </c>
      <c r="G860" t="n">
        <v>9.5</v>
      </c>
      <c r="H860" t="n">
        <v>0</v>
      </c>
      <c r="I860" t="n">
        <v>0</v>
      </c>
      <c r="J860" t="n">
        <v>0</v>
      </c>
      <c r="K860" t="n">
        <v>0</v>
      </c>
      <c r="L860" t="n">
        <v>0</v>
      </c>
      <c r="M860" t="n">
        <v>0</v>
      </c>
      <c r="N860" t="n">
        <v>0</v>
      </c>
      <c r="O860" t="n">
        <v>0</v>
      </c>
      <c r="P860" t="n">
        <v>0</v>
      </c>
      <c r="Q860" t="n">
        <v>0</v>
      </c>
      <c r="R860" s="2" t="inlineStr"/>
    </row>
    <row r="861" ht="15" customHeight="1">
      <c r="A861" t="inlineStr">
        <is>
          <t>A 48538-2022</t>
        </is>
      </c>
      <c r="B861" s="1" t="n">
        <v>44858</v>
      </c>
      <c r="C861" s="1" t="n">
        <v>45703</v>
      </c>
      <c r="D861" t="inlineStr">
        <is>
          <t>JÄMTLANDS LÄN</t>
        </is>
      </c>
      <c r="E861" t="inlineStr">
        <is>
          <t>RAGUNDA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48522-2022</t>
        </is>
      </c>
      <c r="B862" s="1" t="n">
        <v>44859</v>
      </c>
      <c r="C862" s="1" t="n">
        <v>45703</v>
      </c>
      <c r="D862" t="inlineStr">
        <is>
          <t>JÄMTLANDS LÄN</t>
        </is>
      </c>
      <c r="E862" t="inlineStr">
        <is>
          <t>RAGUNDA</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48534-2022</t>
        </is>
      </c>
      <c r="B863" s="1" t="n">
        <v>44859</v>
      </c>
      <c r="C863" s="1" t="n">
        <v>45703</v>
      </c>
      <c r="D863" t="inlineStr">
        <is>
          <t>JÄMTLANDS LÄN</t>
        </is>
      </c>
      <c r="E863" t="inlineStr">
        <is>
          <t>RAGUNDA</t>
        </is>
      </c>
      <c r="F863" t="inlineStr">
        <is>
          <t>SCA</t>
        </is>
      </c>
      <c r="G863" t="n">
        <v>6.7</v>
      </c>
      <c r="H863" t="n">
        <v>0</v>
      </c>
      <c r="I863" t="n">
        <v>0</v>
      </c>
      <c r="J863" t="n">
        <v>0</v>
      </c>
      <c r="K863" t="n">
        <v>0</v>
      </c>
      <c r="L863" t="n">
        <v>0</v>
      </c>
      <c r="M863" t="n">
        <v>0</v>
      </c>
      <c r="N863" t="n">
        <v>0</v>
      </c>
      <c r="O863" t="n">
        <v>0</v>
      </c>
      <c r="P863" t="n">
        <v>0</v>
      </c>
      <c r="Q863" t="n">
        <v>0</v>
      </c>
      <c r="R863" s="2" t="inlineStr"/>
    </row>
    <row r="864" ht="15" customHeight="1">
      <c r="A864" t="inlineStr">
        <is>
          <t>A 48938-2022</t>
        </is>
      </c>
      <c r="B864" s="1" t="n">
        <v>44860</v>
      </c>
      <c r="C864" s="1" t="n">
        <v>45703</v>
      </c>
      <c r="D864" t="inlineStr">
        <is>
          <t>JÄMTLANDS LÄN</t>
        </is>
      </c>
      <c r="E864" t="inlineStr">
        <is>
          <t>RAGUNDA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49183-2022</t>
        </is>
      </c>
      <c r="B865" s="1" t="n">
        <v>44860</v>
      </c>
      <c r="C865" s="1" t="n">
        <v>45703</v>
      </c>
      <c r="D865" t="inlineStr">
        <is>
          <t>JÄMTLANDS LÄN</t>
        </is>
      </c>
      <c r="E865" t="inlineStr">
        <is>
          <t>RAGUNDA</t>
        </is>
      </c>
      <c r="F865" t="inlineStr">
        <is>
          <t>SCA</t>
        </is>
      </c>
      <c r="G865" t="n">
        <v>10.3</v>
      </c>
      <c r="H865" t="n">
        <v>0</v>
      </c>
      <c r="I865" t="n">
        <v>0</v>
      </c>
      <c r="J865" t="n">
        <v>0</v>
      </c>
      <c r="K865" t="n">
        <v>0</v>
      </c>
      <c r="L865" t="n">
        <v>0</v>
      </c>
      <c r="M865" t="n">
        <v>0</v>
      </c>
      <c r="N865" t="n">
        <v>0</v>
      </c>
      <c r="O865" t="n">
        <v>0</v>
      </c>
      <c r="P865" t="n">
        <v>0</v>
      </c>
      <c r="Q865" t="n">
        <v>0</v>
      </c>
      <c r="R865" s="2" t="inlineStr"/>
    </row>
    <row r="866" ht="15" customHeight="1">
      <c r="A866" t="inlineStr">
        <is>
          <t>A 49182-2022</t>
        </is>
      </c>
      <c r="B866" s="1" t="n">
        <v>44861</v>
      </c>
      <c r="C866" s="1" t="n">
        <v>45703</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49197-2022</t>
        </is>
      </c>
      <c r="B867" s="1" t="n">
        <v>44860</v>
      </c>
      <c r="C867" s="1" t="n">
        <v>45703</v>
      </c>
      <c r="D867" t="inlineStr">
        <is>
          <t>JÄMTLANDS LÄN</t>
        </is>
      </c>
      <c r="E867" t="inlineStr">
        <is>
          <t>RAGUNDA</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49531-2022</t>
        </is>
      </c>
      <c r="B868" s="1" t="n">
        <v>44861</v>
      </c>
      <c r="C868" s="1" t="n">
        <v>45703</v>
      </c>
      <c r="D868" t="inlineStr">
        <is>
          <t>JÄMTLANDS LÄN</t>
        </is>
      </c>
      <c r="E868" t="inlineStr">
        <is>
          <t>RAGUNDA</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49530-2022</t>
        </is>
      </c>
      <c r="B869" s="1" t="n">
        <v>44861</v>
      </c>
      <c r="C869" s="1" t="n">
        <v>45703</v>
      </c>
      <c r="D869" t="inlineStr">
        <is>
          <t>JÄMTLANDS LÄN</t>
        </is>
      </c>
      <c r="E869" t="inlineStr">
        <is>
          <t>RAGUNDA</t>
        </is>
      </c>
      <c r="F869" t="inlineStr">
        <is>
          <t>SCA</t>
        </is>
      </c>
      <c r="G869" t="n">
        <v>13.4</v>
      </c>
      <c r="H869" t="n">
        <v>0</v>
      </c>
      <c r="I869" t="n">
        <v>0</v>
      </c>
      <c r="J869" t="n">
        <v>0</v>
      </c>
      <c r="K869" t="n">
        <v>0</v>
      </c>
      <c r="L869" t="n">
        <v>0</v>
      </c>
      <c r="M869" t="n">
        <v>0</v>
      </c>
      <c r="N869" t="n">
        <v>0</v>
      </c>
      <c r="O869" t="n">
        <v>0</v>
      </c>
      <c r="P869" t="n">
        <v>0</v>
      </c>
      <c r="Q869" t="n">
        <v>0</v>
      </c>
      <c r="R869" s="2" t="inlineStr"/>
    </row>
    <row r="870" ht="15" customHeight="1">
      <c r="A870" t="inlineStr">
        <is>
          <t>A 49544-2022</t>
        </is>
      </c>
      <c r="B870" s="1" t="n">
        <v>44862</v>
      </c>
      <c r="C870" s="1" t="n">
        <v>45703</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49543-2022</t>
        </is>
      </c>
      <c r="B871" s="1" t="n">
        <v>44862</v>
      </c>
      <c r="C871" s="1" t="n">
        <v>45703</v>
      </c>
      <c r="D871" t="inlineStr">
        <is>
          <t>JÄMTLANDS LÄN</t>
        </is>
      </c>
      <c r="E871" t="inlineStr">
        <is>
          <t>RAGUNDA</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49844-2022</t>
        </is>
      </c>
      <c r="B872" s="1" t="n">
        <v>44863</v>
      </c>
      <c r="C872" s="1" t="n">
        <v>45703</v>
      </c>
      <c r="D872" t="inlineStr">
        <is>
          <t>JÄMTLANDS LÄN</t>
        </is>
      </c>
      <c r="E872" t="inlineStr">
        <is>
          <t>RAGUNDA</t>
        </is>
      </c>
      <c r="G872" t="n">
        <v>3.9</v>
      </c>
      <c r="H872" t="n">
        <v>0</v>
      </c>
      <c r="I872" t="n">
        <v>0</v>
      </c>
      <c r="J872" t="n">
        <v>0</v>
      </c>
      <c r="K872" t="n">
        <v>0</v>
      </c>
      <c r="L872" t="n">
        <v>0</v>
      </c>
      <c r="M872" t="n">
        <v>0</v>
      </c>
      <c r="N872" t="n">
        <v>0</v>
      </c>
      <c r="O872" t="n">
        <v>0</v>
      </c>
      <c r="P872" t="n">
        <v>0</v>
      </c>
      <c r="Q872" t="n">
        <v>0</v>
      </c>
      <c r="R872" s="2" t="inlineStr"/>
    </row>
    <row r="873" ht="15" customHeight="1">
      <c r="A873" t="inlineStr">
        <is>
          <t>A 49904-2022</t>
        </is>
      </c>
      <c r="B873" s="1" t="n">
        <v>44864</v>
      </c>
      <c r="C873" s="1" t="n">
        <v>45703</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45703</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45703</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45703</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45703</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45703</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45703</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45703</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45703</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45703</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45703</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45703</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45703</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45703</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45703</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45703</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45703</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45703</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45703</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45703</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45703</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45703</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45703</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45703</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45703</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45703</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45703</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45703</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45703</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45703</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45703</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45703</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45703</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45703</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45703</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45703</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45703</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45703</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45703</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45703</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45703</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45703</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45703</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45703</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45703</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45703</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45703</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45703</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45703</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45703</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45703</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45703</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45703</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45703</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45703</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45703</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45703</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45703</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45703</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45703</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45703</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45703</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45703</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45703</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45703</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45703</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45703</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45703</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45703</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45703</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45703</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45703</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45703</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45703</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45703</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45703</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45703</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45703</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45703</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45703</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45703</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45703</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45703</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45703</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45703</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45703</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45703</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45703</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45703</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45703</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45703</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45703</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45703</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45703</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45703</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45703</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45703</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45703</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45703</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45703</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45703</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45703</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45703</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45703</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45703</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45703</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45703</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45703</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45703</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45703</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45703</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45703</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45703</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45703</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45703</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45703</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45703</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45703</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45703</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45703</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45703</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45703</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45703</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45703</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45703</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45703</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45703</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45703</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45703</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45703</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45703</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45703</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45703</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45703</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45703</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45703</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45703</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45703</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45703</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45703</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45703</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45703</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45703</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45703</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45703</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45703</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45703</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45703</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45703</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45703</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45703</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45703</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45703</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45703</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45703</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45703</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45703</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45703</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45703</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45703</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45703</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45703</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45703</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45703</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45703</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45703</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45703</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45703</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45703</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45703</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45703</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45703</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45703</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45703</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45703</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45703</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45703</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45703</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45703</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45703</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45703</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45703</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45703</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45703</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45703</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45703</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45703</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45703</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45703</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45703</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45703</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45703</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45703</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45703</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45703</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45703</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45703</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45703</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45703</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45703</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45703</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45703</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45703</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45703</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45703</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45703</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45703</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45703</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45703</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45703</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45703</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45703</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45703</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45703</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45703</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45703</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45703</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45703</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45703</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45703</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45703</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45703</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45703</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45703</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45703</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45703</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45703</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45703</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45703</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45703</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45703</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45703</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45703</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45703</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45703</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45703</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45703</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45703</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45703</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45703</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45703</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45703</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45703</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45703</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45703</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45703</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45703</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45703</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45703</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45703</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45703</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45703</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45703</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45703</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45703</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45703</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45703</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45703</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45703</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45703</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45703</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45703</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45703</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45703</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45703</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45703</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45703</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45703</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45703</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45703</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45703</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45703</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45703</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45703</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45703</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45703</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45703</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45703</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45703</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45703</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45703</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45703</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45703</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45703</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45703</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45703</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45703</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45703</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45703</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45703</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45703</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45703</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45703</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45703</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45703</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45703</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45703</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45703</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45703</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45703</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45703</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45703</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45703</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45703</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45703</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45703</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45703</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45703</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45703</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45703</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45703</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45703</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45703</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45703</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45703</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45703</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45703</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45703</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45703</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45703</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45703</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45703</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45703</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45703</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45703</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45703</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45703</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45703</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45703</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45703</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45703</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45703</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45703</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45703</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45703</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45703</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45703</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45703</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45703</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45703</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45703</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45703</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45703</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45703</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45703</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45703</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45703</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45703</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45703</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45703</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45703</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45703</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45703</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45703</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45703</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45703</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45703</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45703</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45703</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45703</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45703</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45703</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45703</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45703</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45703</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45703</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45703</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45703</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45703</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45703</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45703</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45703</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45703</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45703</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45703</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45703</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45703</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45703</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45703</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45703</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45703</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45703</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45703</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45703</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45703</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45703</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45703</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45703</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45703</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45703</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45703</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45703</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45703</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45703</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45703</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45703</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45703</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45703</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45703</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45703</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45703</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45703</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45703</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45703</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45703</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45703</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45703</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45703</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45703</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45703</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45703</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45703</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45703</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45703</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45703</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45703</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45703</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45703</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45703</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45703</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45703</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45703</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45703</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45703</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45703</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45703</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45703</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45703</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45703</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45703</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45703</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45703</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45703</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45703</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45703</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45703</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45703</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45703</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45703</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45703</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45703</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45703</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45703</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45703</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45703</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45703</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45703</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45703</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45703</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45703</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45703</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45703</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45703</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45703</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45703</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45703</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45703</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45703</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45703</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45703</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45703</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45703</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45703</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45703</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45703</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45703</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45703</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45703</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45703</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45703</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45703</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45703</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45703</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45703</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45703</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45703</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45703</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45703</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45703</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45703</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45703</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45703</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45703</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45703</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45703</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45703</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45703</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45703</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45703</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45703</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45703</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45703</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45703</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45703</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45703</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45703</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45703</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45703</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45703</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45703</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45703</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45703</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45703</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45703</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45703</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45703</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45703</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45703</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45703</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45703</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45703</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45703</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45703</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45703</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45703</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45703</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45703</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45703</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45703</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45703</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45703</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45703</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45703</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45703</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45703</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45703</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45703</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45703</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45703</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45703</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45703</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45703</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45703</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45703</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45703</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45703</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45703</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45703</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45703</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45703</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45703</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45703</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45703</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45703</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45703</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45703</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45703</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45703</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45703</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45703</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45703</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45703</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45703</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45703</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45703</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45703</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45703</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45703</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45703</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45703</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45703</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45703</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45703</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45703</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45703</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45703</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45703</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45703</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45703</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45703</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45703</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45703</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45703</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45703</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45703</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45703</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45703</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45703</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45703</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45703</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45703</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45703</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45703</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45703</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45703</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45703</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45703</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45703</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45703</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45703</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45703</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45703</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45703</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45703</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45703</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45703</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45703</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45703</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45703</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45703</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45703</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45703</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45703</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45703</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45703</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45703</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45703</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45703</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45703</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45703</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45703</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45703</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45703</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45703</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45703</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45703</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45703</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45703</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45703</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45703</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45703</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45703</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45703</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45703</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45703</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45703</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45703</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45703</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45703</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45703</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45703</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45703</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45703</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45703</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45703</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45703</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45703</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45703</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45703</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45703</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45703</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45703</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45703</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45703</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45703</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45703</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45703</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45703</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45703</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45703</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45703</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45703</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45703</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45703</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45703</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45703</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45703</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45703</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45703</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45703</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45703</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45703</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45703</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45703</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45703</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45703</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45703</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45703</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45703</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45703</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45703</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45703</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45703</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45703</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45703</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45703</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45703</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45703</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45703</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45703</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45703</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45703</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45703</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45703</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45703</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45703</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45703</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45703</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45703</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45703</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45703</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45703</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45703</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45703</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45703</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45703</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45703</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45703</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45703</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45703</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45703</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45703</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45703</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45703</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45703</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45703</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45703</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45703</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45703</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45703</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45703</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45703</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45703</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45703</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45703</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45703</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45703</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45703</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45703</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45703</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45703</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45703</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45703</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45703</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45703</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45703</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45703</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45703</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45703</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45703</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45703</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45703</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45703</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45703</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45703</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45703</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45703</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45703</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45703</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45703</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45703</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45703</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45703</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45703</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45703</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45703</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45703</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45703</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45703</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45703</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45703</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45703</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45703</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45703</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45703</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45703</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45703</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45703</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45703</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45703</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45703</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45703</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45703</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45703</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45703</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45703</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45703</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45703</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45703</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45703</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45703</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45703</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45703</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45703</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45703</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45703</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45703</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45703</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45703</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45703</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45703</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45703</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45703</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45703</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45703</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45703</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45703</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45703</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45703</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45703</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45703</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45703</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45703</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45703</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45703</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45703</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45703</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45703</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45703</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45703</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45703</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45703</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45703</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45703</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45703</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45703</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45703</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45703</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45703</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45703</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45703</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45703</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45703</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45703</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45703</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45703</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45703</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45703</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45703</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45703</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45703</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45703</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45703</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45703</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45703</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45703</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45703</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45703</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45703</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45703</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45703</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45703</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45703</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45703</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45703</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45703</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45703</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45703</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45703</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45703</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45703</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45703</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45703</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45703</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45703</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45703</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45703</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45703</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45703</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45703</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45703</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45703</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45703</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45703</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45703</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45703</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45703</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45703</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45703</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45703</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45703</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45703</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45703</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45703</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45703</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45703</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45703</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45703</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45703</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45703</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45703</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45703</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45703</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45703</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45703</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45703</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45703</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45703</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45703</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45703</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45703</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45703</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45703</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45703</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45703</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45703</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45703</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45703</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45703</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45703</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45703</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45703</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45703</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45703</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45703</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45703</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45703</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45703</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45703</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45703</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45703</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45703</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45703</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45703</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45703</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45703</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45703</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45703</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45703</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45703</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45703</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45703</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45703</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45703</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45703</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45703</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45703</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45703</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45703</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45703</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45703</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45703</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45703</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45703</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45703</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45703</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45703</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45703</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1911-2025</t>
        </is>
      </c>
      <c r="B1801" s="1" t="n">
        <v>45671</v>
      </c>
      <c r="C1801" s="1" t="n">
        <v>45703</v>
      </c>
      <c r="D1801" t="inlineStr">
        <is>
          <t>JÄMTLANDS LÄN</t>
        </is>
      </c>
      <c r="E1801" t="inlineStr">
        <is>
          <t>RAGUNDA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1837-2025</t>
        </is>
      </c>
      <c r="B1802" s="1" t="n">
        <v>45671</v>
      </c>
      <c r="C1802" s="1" t="n">
        <v>45703</v>
      </c>
      <c r="D1802" t="inlineStr">
        <is>
          <t>JÄMTLANDS LÄN</t>
        </is>
      </c>
      <c r="E1802" t="inlineStr">
        <is>
          <t>RAGUNDA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45703</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2001-2025</t>
        </is>
      </c>
      <c r="B1804" s="1" t="n">
        <v>45672</v>
      </c>
      <c r="C1804" s="1" t="n">
        <v>45703</v>
      </c>
      <c r="D1804" t="inlineStr">
        <is>
          <t>JÄMTLANDS LÄN</t>
        </is>
      </c>
      <c r="E1804" t="inlineStr">
        <is>
          <t>RAGUNDA</t>
        </is>
      </c>
      <c r="F1804" t="inlineStr">
        <is>
          <t>SCA</t>
        </is>
      </c>
      <c r="G1804" t="n">
        <v>16.2</v>
      </c>
      <c r="H1804" t="n">
        <v>0</v>
      </c>
      <c r="I1804" t="n">
        <v>0</v>
      </c>
      <c r="J1804" t="n">
        <v>0</v>
      </c>
      <c r="K1804" t="n">
        <v>0</v>
      </c>
      <c r="L1804" t="n">
        <v>0</v>
      </c>
      <c r="M1804" t="n">
        <v>0</v>
      </c>
      <c r="N1804" t="n">
        <v>0</v>
      </c>
      <c r="O1804" t="n">
        <v>0</v>
      </c>
      <c r="P1804" t="n">
        <v>0</v>
      </c>
      <c r="Q1804" t="n">
        <v>0</v>
      </c>
      <c r="R1804" s="2" t="inlineStr"/>
    </row>
    <row r="1805" ht="15" customHeight="1">
      <c r="A1805" t="inlineStr">
        <is>
          <t>A 1985-2025</t>
        </is>
      </c>
      <c r="B1805" s="1" t="n">
        <v>45672</v>
      </c>
      <c r="C1805" s="1" t="n">
        <v>45703</v>
      </c>
      <c r="D1805" t="inlineStr">
        <is>
          <t>JÄMTLANDS LÄN</t>
        </is>
      </c>
      <c r="E1805" t="inlineStr">
        <is>
          <t>RAGUNDA</t>
        </is>
      </c>
      <c r="F1805" t="inlineStr">
        <is>
          <t>SCA</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45703</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2339-2025</t>
        </is>
      </c>
      <c r="B1807" s="1" t="n">
        <v>45673</v>
      </c>
      <c r="C1807" s="1" t="n">
        <v>45703</v>
      </c>
      <c r="D1807" t="inlineStr">
        <is>
          <t>JÄMTLANDS LÄN</t>
        </is>
      </c>
      <c r="E1807" t="inlineStr">
        <is>
          <t>RAGUNDA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2288-2025</t>
        </is>
      </c>
      <c r="B1808" s="1" t="n">
        <v>45673</v>
      </c>
      <c r="C1808" s="1" t="n">
        <v>45703</v>
      </c>
      <c r="D1808" t="inlineStr">
        <is>
          <t>JÄMTLANDS LÄN</t>
        </is>
      </c>
      <c r="E1808" t="inlineStr">
        <is>
          <t>RAGUNDA</t>
        </is>
      </c>
      <c r="G1808" t="n">
        <v>10.5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45703</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45703</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45703</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45703</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45703</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3765-2025</t>
        </is>
      </c>
      <c r="B1814" s="1" t="n">
        <v>45681</v>
      </c>
      <c r="C1814" s="1" t="n">
        <v>45703</v>
      </c>
      <c r="D1814" t="inlineStr">
        <is>
          <t>JÄMTLANDS LÄN</t>
        </is>
      </c>
      <c r="E1814" t="inlineStr">
        <is>
          <t>RAGUNDA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3770-2025</t>
        </is>
      </c>
      <c r="B1815" s="1" t="n">
        <v>45681</v>
      </c>
      <c r="C1815" s="1" t="n">
        <v>45703</v>
      </c>
      <c r="D1815" t="inlineStr">
        <is>
          <t>JÄMTLANDS LÄN</t>
        </is>
      </c>
      <c r="E1815" t="inlineStr">
        <is>
          <t>RAGUNDA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3720-2025</t>
        </is>
      </c>
      <c r="B1816" s="1" t="n">
        <v>45681</v>
      </c>
      <c r="C1816" s="1" t="n">
        <v>45703</v>
      </c>
      <c r="D1816" t="inlineStr">
        <is>
          <t>JÄMTLANDS LÄN</t>
        </is>
      </c>
      <c r="E1816" t="inlineStr">
        <is>
          <t>RAGUNDA</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3767-2025</t>
        </is>
      </c>
      <c r="B1817" s="1" t="n">
        <v>45681</v>
      </c>
      <c r="C1817" s="1" t="n">
        <v>45703</v>
      </c>
      <c r="D1817" t="inlineStr">
        <is>
          <t>JÄMTLANDS LÄN</t>
        </is>
      </c>
      <c r="E1817" t="inlineStr">
        <is>
          <t>RAGUNDA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45703</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45703</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4866-2025</t>
        </is>
      </c>
      <c r="B1820" s="1" t="n">
        <v>45688</v>
      </c>
      <c r="C1820" s="1" t="n">
        <v>45703</v>
      </c>
      <c r="D1820" t="inlineStr">
        <is>
          <t>JÄMTLANDS LÄN</t>
        </is>
      </c>
      <c r="E1820" t="inlineStr">
        <is>
          <t>RAGUNDA</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45703</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4922-2025</t>
        </is>
      </c>
      <c r="B1822" s="1" t="n">
        <v>45688</v>
      </c>
      <c r="C1822" s="1" t="n">
        <v>45703</v>
      </c>
      <c r="D1822" t="inlineStr">
        <is>
          <t>JÄMTLANDS LÄN</t>
        </is>
      </c>
      <c r="E1822" t="inlineStr">
        <is>
          <t>RAGUNDA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4885-2025</t>
        </is>
      </c>
      <c r="B1823" s="1" t="n">
        <v>45688</v>
      </c>
      <c r="C1823" s="1" t="n">
        <v>45703</v>
      </c>
      <c r="D1823" t="inlineStr">
        <is>
          <t>JÄMTLANDS LÄN</t>
        </is>
      </c>
      <c r="E1823" t="inlineStr">
        <is>
          <t>RAGUNDA</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4907-2025</t>
        </is>
      </c>
      <c r="B1824" s="1" t="n">
        <v>45688</v>
      </c>
      <c r="C1824" s="1" t="n">
        <v>45703</v>
      </c>
      <c r="D1824" t="inlineStr">
        <is>
          <t>JÄMTLANDS LÄN</t>
        </is>
      </c>
      <c r="E1824" t="inlineStr">
        <is>
          <t>RAGUNDA</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45703</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5313-2025</t>
        </is>
      </c>
      <c r="B1826" s="1" t="n">
        <v>45692</v>
      </c>
      <c r="C1826" s="1" t="n">
        <v>45703</v>
      </c>
      <c r="D1826" t="inlineStr">
        <is>
          <t>JÄMTLANDS LÄN</t>
        </is>
      </c>
      <c r="E1826" t="inlineStr">
        <is>
          <t>RAGUNDA</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5308-2025</t>
        </is>
      </c>
      <c r="B1827" s="1" t="n">
        <v>45692</v>
      </c>
      <c r="C1827" s="1" t="n">
        <v>45703</v>
      </c>
      <c r="D1827" t="inlineStr">
        <is>
          <t>JÄMTLANDS LÄN</t>
        </is>
      </c>
      <c r="E1827" t="inlineStr">
        <is>
          <t>RAGUNDA</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5357-2025</t>
        </is>
      </c>
      <c r="B1828" s="1" t="n">
        <v>45692</v>
      </c>
      <c r="C1828" s="1" t="n">
        <v>45703</v>
      </c>
      <c r="D1828" t="inlineStr">
        <is>
          <t>JÄMTLANDS LÄN</t>
        </is>
      </c>
      <c r="E1828" t="inlineStr">
        <is>
          <t>RAGUNDA</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5307-2025</t>
        </is>
      </c>
      <c r="B1829" s="1" t="n">
        <v>45692</v>
      </c>
      <c r="C1829" s="1" t="n">
        <v>45703</v>
      </c>
      <c r="D1829" t="inlineStr">
        <is>
          <t>JÄMTLANDS LÄN</t>
        </is>
      </c>
      <c r="E1829" t="inlineStr">
        <is>
          <t>RAGUNDA</t>
        </is>
      </c>
      <c r="F1829" t="inlineStr">
        <is>
          <t>SCA</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45703</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5930-2025</t>
        </is>
      </c>
      <c r="B1831" s="1" t="n">
        <v>45695</v>
      </c>
      <c r="C1831" s="1" t="n">
        <v>45703</v>
      </c>
      <c r="D1831" t="inlineStr">
        <is>
          <t>JÄMTLANDS LÄN</t>
        </is>
      </c>
      <c r="E1831" t="inlineStr">
        <is>
          <t>RAGUNDA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5938-2025</t>
        </is>
      </c>
      <c r="B1832" s="1" t="n">
        <v>45695</v>
      </c>
      <c r="C1832" s="1" t="n">
        <v>45703</v>
      </c>
      <c r="D1832" t="inlineStr">
        <is>
          <t>JÄMTLANDS LÄN</t>
        </is>
      </c>
      <c r="E1832" t="inlineStr">
        <is>
          <t>RAGUNDA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45703</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6257-2025</t>
        </is>
      </c>
      <c r="B1834" s="1" t="n">
        <v>45698</v>
      </c>
      <c r="C1834" s="1" t="n">
        <v>45703</v>
      </c>
      <c r="D1834" t="inlineStr">
        <is>
          <t>JÄMTLANDS LÄN</t>
        </is>
      </c>
      <c r="E1834" t="inlineStr">
        <is>
          <t>RAGUNDA</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6716-2025</t>
        </is>
      </c>
      <c r="B1835" s="1" t="n">
        <v>45700</v>
      </c>
      <c r="C1835" s="1" t="n">
        <v>45703</v>
      </c>
      <c r="D1835" t="inlineStr">
        <is>
          <t>JÄMTLANDS LÄN</t>
        </is>
      </c>
      <c r="E1835" t="inlineStr">
        <is>
          <t>RAGUNDA</t>
        </is>
      </c>
      <c r="F1835" t="inlineStr">
        <is>
          <t>SCA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6611-2025</t>
        </is>
      </c>
      <c r="B1836" s="1" t="n">
        <v>45700</v>
      </c>
      <c r="C1836" s="1" t="n">
        <v>45703</v>
      </c>
      <c r="D1836" t="inlineStr">
        <is>
          <t>JÄMTLANDS LÄN</t>
        </is>
      </c>
      <c r="E1836" t="inlineStr">
        <is>
          <t>RAGUNDA</t>
        </is>
      </c>
      <c r="F1836" t="inlineStr">
        <is>
          <t>SCA</t>
        </is>
      </c>
      <c r="G1836" t="n">
        <v>22.5</v>
      </c>
      <c r="H1836" t="n">
        <v>0</v>
      </c>
      <c r="I1836" t="n">
        <v>0</v>
      </c>
      <c r="J1836" t="n">
        <v>0</v>
      </c>
      <c r="K1836" t="n">
        <v>0</v>
      </c>
      <c r="L1836" t="n">
        <v>0</v>
      </c>
      <c r="M1836" t="n">
        <v>0</v>
      </c>
      <c r="N1836" t="n">
        <v>0</v>
      </c>
      <c r="O1836" t="n">
        <v>0</v>
      </c>
      <c r="P1836" t="n">
        <v>0</v>
      </c>
      <c r="Q1836" t="n">
        <v>0</v>
      </c>
      <c r="R1836" s="2" t="inlineStr"/>
    </row>
    <row r="1837" ht="15" customHeight="1">
      <c r="A1837" t="inlineStr">
        <is>
          <t>A 6821-2025</t>
        </is>
      </c>
      <c r="B1837" s="1" t="n">
        <v>45700</v>
      </c>
      <c r="C1837" s="1" t="n">
        <v>45703</v>
      </c>
      <c r="D1837" t="inlineStr">
        <is>
          <t>JÄMTLANDS LÄN</t>
        </is>
      </c>
      <c r="E1837" t="inlineStr">
        <is>
          <t>RAGUNDA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6694-2025</t>
        </is>
      </c>
      <c r="B1838" s="1" t="n">
        <v>45700</v>
      </c>
      <c r="C1838" s="1" t="n">
        <v>45703</v>
      </c>
      <c r="D1838" t="inlineStr">
        <is>
          <t>JÄMTLANDS LÄN</t>
        </is>
      </c>
      <c r="E1838" t="inlineStr">
        <is>
          <t>RAGUNDA</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6881-2025</t>
        </is>
      </c>
      <c r="B1839" s="1" t="n">
        <v>45701</v>
      </c>
      <c r="C1839" s="1" t="n">
        <v>45703</v>
      </c>
      <c r="D1839" t="inlineStr">
        <is>
          <t>JÄMTLANDS LÄN</t>
        </is>
      </c>
      <c r="E1839" t="inlineStr">
        <is>
          <t>RAGUNDA</t>
        </is>
      </c>
      <c r="F1839" t="inlineStr">
        <is>
          <t>SCA</t>
        </is>
      </c>
      <c r="G1839" t="n">
        <v>18.4</v>
      </c>
      <c r="H1839" t="n">
        <v>0</v>
      </c>
      <c r="I1839" t="n">
        <v>0</v>
      </c>
      <c r="J1839" t="n">
        <v>0</v>
      </c>
      <c r="K1839" t="n">
        <v>0</v>
      </c>
      <c r="L1839" t="n">
        <v>0</v>
      </c>
      <c r="M1839" t="n">
        <v>0</v>
      </c>
      <c r="N1839" t="n">
        <v>0</v>
      </c>
      <c r="O1839" t="n">
        <v>0</v>
      </c>
      <c r="P1839" t="n">
        <v>0</v>
      </c>
      <c r="Q1839" t="n">
        <v>0</v>
      </c>
      <c r="R1839" s="2" t="inlineStr"/>
    </row>
    <row r="1840" ht="15" customHeight="1">
      <c r="A1840" t="inlineStr">
        <is>
          <t>A 7284-2025</t>
        </is>
      </c>
      <c r="B1840" s="1" t="n">
        <v>45702</v>
      </c>
      <c r="C1840" s="1" t="n">
        <v>45703</v>
      </c>
      <c r="D1840" t="inlineStr">
        <is>
          <t>JÄMTLANDS LÄN</t>
        </is>
      </c>
      <c r="E1840" t="inlineStr">
        <is>
          <t>RAGUNDA</t>
        </is>
      </c>
      <c r="F1840" t="inlineStr">
        <is>
          <t>SCA</t>
        </is>
      </c>
      <c r="G1840" t="n">
        <v>0.3</v>
      </c>
      <c r="H1840" t="n">
        <v>0</v>
      </c>
      <c r="I1840" t="n">
        <v>0</v>
      </c>
      <c r="J1840" t="n">
        <v>0</v>
      </c>
      <c r="K1840" t="n">
        <v>0</v>
      </c>
      <c r="L1840" t="n">
        <v>0</v>
      </c>
      <c r="M1840" t="n">
        <v>0</v>
      </c>
      <c r="N1840" t="n">
        <v>0</v>
      </c>
      <c r="O1840" t="n">
        <v>0</v>
      </c>
      <c r="P1840" t="n">
        <v>0</v>
      </c>
      <c r="Q1840" t="n">
        <v>0</v>
      </c>
      <c r="R1840" s="2" t="inlineStr"/>
    </row>
    <row r="1841">
      <c r="A1841" t="inlineStr">
        <is>
          <t>A 7281-2025</t>
        </is>
      </c>
      <c r="B1841" s="1" t="n">
        <v>45702</v>
      </c>
      <c r="C1841" s="1" t="n">
        <v>45703</v>
      </c>
      <c r="D1841" t="inlineStr">
        <is>
          <t>JÄMTLANDS LÄN</t>
        </is>
      </c>
      <c r="E1841" t="inlineStr">
        <is>
          <t>RAGUNDA</t>
        </is>
      </c>
      <c r="F1841" t="inlineStr">
        <is>
          <t>SCA</t>
        </is>
      </c>
      <c r="G1841" t="n">
        <v>1.4</v>
      </c>
      <c r="H1841" t="n">
        <v>0</v>
      </c>
      <c r="I1841" t="n">
        <v>0</v>
      </c>
      <c r="J1841" t="n">
        <v>0</v>
      </c>
      <c r="K1841" t="n">
        <v>0</v>
      </c>
      <c r="L1841" t="n">
        <v>0</v>
      </c>
      <c r="M1841" t="n">
        <v>0</v>
      </c>
      <c r="N1841" t="n">
        <v>0</v>
      </c>
      <c r="O1841" t="n">
        <v>0</v>
      </c>
      <c r="P1841" t="n">
        <v>0</v>
      </c>
      <c r="Q1841" t="n">
        <v>0</v>
      </c>
      <c r="R1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2025-02-15T16:14:45Z</dcterms:created>
  <dcterms:modified xmlns:dcterms="http://purl.org/dc/terms/" xmlns:xsi="http://www.w3.org/2001/XMLSchema-instance" xsi:type="dcterms:W3CDTF">2025-02-15T16:14:47Z</dcterms:modified>
</cp:coreProperties>
</file>