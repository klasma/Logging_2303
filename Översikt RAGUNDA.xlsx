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46022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46022</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46022</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46022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46022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46022</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46022</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46022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46022</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46022</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46022</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46022</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46022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46022</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46022</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46022</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46022</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46022</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46022</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46022</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46022</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46022</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46022</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46022</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46022</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46022</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46022</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46022</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46022</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46022</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46022</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46022</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46022</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4146-2025</t>
        </is>
      </c>
      <c r="B35" s="1" t="n">
        <v>45685.36501157407</v>
      </c>
      <c r="C35" s="1" t="n">
        <v>46022</v>
      </c>
      <c r="D35" t="inlineStr">
        <is>
          <t>JÄMTLANDS LÄN</t>
        </is>
      </c>
      <c r="E35" t="inlineStr">
        <is>
          <t>RAGUNDA</t>
        </is>
      </c>
      <c r="G35" t="n">
        <v>10.7</v>
      </c>
      <c r="H35" t="n">
        <v>1</v>
      </c>
      <c r="I35" t="n">
        <v>5</v>
      </c>
      <c r="J35" t="n">
        <v>2</v>
      </c>
      <c r="K35" t="n">
        <v>2</v>
      </c>
      <c r="L35" t="n">
        <v>0</v>
      </c>
      <c r="M35" t="n">
        <v>0</v>
      </c>
      <c r="N35" t="n">
        <v>0</v>
      </c>
      <c r="O35" t="n">
        <v>4</v>
      </c>
      <c r="P35" t="n">
        <v>2</v>
      </c>
      <c r="Q35" t="n">
        <v>9</v>
      </c>
      <c r="R35" s="2" t="inlineStr">
        <is>
          <t>Knärot
Kopparspindling
Kolflarnlav
Lunglav
Dropptaggsvamp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33822-2023</t>
        </is>
      </c>
      <c r="B36" s="1" t="n">
        <v>45121</v>
      </c>
      <c r="C36" s="1" t="n">
        <v>46022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46022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46022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46022</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46022</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46022</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58876-2025</t>
        </is>
      </c>
      <c r="B42" s="1" t="n">
        <v>45987.46929398148</v>
      </c>
      <c r="C42" s="1" t="n">
        <v>46022</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42393-2025</t>
        </is>
      </c>
      <c r="B43" s="1" t="n">
        <v>45905</v>
      </c>
      <c r="C43" s="1" t="n">
        <v>46022</v>
      </c>
      <c r="D43" t="inlineStr">
        <is>
          <t>JÄMTLANDS LÄN</t>
        </is>
      </c>
      <c r="E43" t="inlineStr">
        <is>
          <t>RAGUNDA</t>
        </is>
      </c>
      <c r="G43" t="n">
        <v>8.800000000000001</v>
      </c>
      <c r="H43" t="n">
        <v>6</v>
      </c>
      <c r="I43" t="n">
        <v>0</v>
      </c>
      <c r="J43" t="n">
        <v>4</v>
      </c>
      <c r="K43" t="n">
        <v>2</v>
      </c>
      <c r="L43" t="n">
        <v>0</v>
      </c>
      <c r="M43" t="n">
        <v>0</v>
      </c>
      <c r="N43" t="n">
        <v>0</v>
      </c>
      <c r="O43" t="n">
        <v>6</v>
      </c>
      <c r="P43" t="n">
        <v>2</v>
      </c>
      <c r="Q43" t="n">
        <v>9</v>
      </c>
      <c r="R43" s="2" t="inlineStr">
        <is>
          <t>Doftticka
Knärot
Garnlav
Lunglav
Tallticka
Tretåig hackspett
Lavskrika
Fläcknycklar
Blåsippa</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45008-2023</t>
        </is>
      </c>
      <c r="B44" s="1" t="n">
        <v>45190.96092592592</v>
      </c>
      <c r="C44" s="1" t="n">
        <v>46022</v>
      </c>
      <c r="D44" t="inlineStr">
        <is>
          <t>JÄMTLANDS LÄN</t>
        </is>
      </c>
      <c r="E44" t="inlineStr">
        <is>
          <t>RAGUNDA</t>
        </is>
      </c>
      <c r="F44" t="inlineStr">
        <is>
          <t>SCA</t>
        </is>
      </c>
      <c r="G44" t="n">
        <v>3.5</v>
      </c>
      <c r="H44" t="n">
        <v>0</v>
      </c>
      <c r="I44" t="n">
        <v>4</v>
      </c>
      <c r="J44" t="n">
        <v>4</v>
      </c>
      <c r="K44" t="n">
        <v>1</v>
      </c>
      <c r="L44" t="n">
        <v>0</v>
      </c>
      <c r="M44" t="n">
        <v>0</v>
      </c>
      <c r="N44" t="n">
        <v>0</v>
      </c>
      <c r="O44" t="n">
        <v>5</v>
      </c>
      <c r="P44" t="n">
        <v>1</v>
      </c>
      <c r="Q44" t="n">
        <v>9</v>
      </c>
      <c r="R44" s="2" t="inlineStr">
        <is>
          <t>Rynkskinn
Garnlav
Granticka
Lunglav
Stiftgelélav
Bårdlav
Gytterlav
Skinnlav
Stor aspticka</t>
        </is>
      </c>
      <c r="S44">
        <f>HYPERLINK("https://klasma.github.io/Logging_2303/artfynd/A 45008-2023 artfynd.xlsx", "A 45008-2023")</f>
        <v/>
      </c>
      <c r="T44">
        <f>HYPERLINK("https://klasma.github.io/Logging_2303/kartor/A 45008-2023 karta.png", "A 45008-2023")</f>
        <v/>
      </c>
      <c r="V44">
        <f>HYPERLINK("https://klasma.github.io/Logging_2303/klagomål/A 45008-2023 FSC-klagomål.docx", "A 45008-2023")</f>
        <v/>
      </c>
      <c r="W44">
        <f>HYPERLINK("https://klasma.github.io/Logging_2303/klagomålsmail/A 45008-2023 FSC-klagomål mail.docx", "A 45008-2023")</f>
        <v/>
      </c>
      <c r="X44">
        <f>HYPERLINK("https://klasma.github.io/Logging_2303/tillsyn/A 45008-2023 tillsynsbegäran.docx", "A 45008-2023")</f>
        <v/>
      </c>
      <c r="Y44">
        <f>HYPERLINK("https://klasma.github.io/Logging_2303/tillsynsmail/A 45008-2023 tillsynsbegäran mail.docx", "A 45008-2023")</f>
        <v/>
      </c>
    </row>
    <row r="45" ht="15" customHeight="1">
      <c r="A45" t="inlineStr">
        <is>
          <t>A 62948-2021</t>
        </is>
      </c>
      <c r="B45" s="1" t="n">
        <v>44504</v>
      </c>
      <c r="C45" s="1" t="n">
        <v>46022</v>
      </c>
      <c r="D45" t="inlineStr">
        <is>
          <t>JÄMTLANDS LÄN</t>
        </is>
      </c>
      <c r="E45" t="inlineStr">
        <is>
          <t>RAGUNDA</t>
        </is>
      </c>
      <c r="F45" t="inlineStr">
        <is>
          <t>SCA</t>
        </is>
      </c>
      <c r="G45" t="n">
        <v>3.5</v>
      </c>
      <c r="H45" t="n">
        <v>2</v>
      </c>
      <c r="I45" t="n">
        <v>5</v>
      </c>
      <c r="J45" t="n">
        <v>4</v>
      </c>
      <c r="K45" t="n">
        <v>0</v>
      </c>
      <c r="L45" t="n">
        <v>0</v>
      </c>
      <c r="M45" t="n">
        <v>0</v>
      </c>
      <c r="N45" t="n">
        <v>0</v>
      </c>
      <c r="O45" t="n">
        <v>4</v>
      </c>
      <c r="P45" t="n">
        <v>0</v>
      </c>
      <c r="Q45" t="n">
        <v>9</v>
      </c>
      <c r="R45" s="2" t="inlineStr">
        <is>
          <t>Brunpudrad nållav
Garnlav
Ullticka
Vitgrynig nållav
Dropptaggsvamp
Grönkulla
Guckusko
Gulnål
Tibast</t>
        </is>
      </c>
      <c r="S45">
        <f>HYPERLINK("https://klasma.github.io/Logging_2303/artfynd/A 62948-2021 artfynd.xlsx", "A 62948-2021")</f>
        <v/>
      </c>
      <c r="T45">
        <f>HYPERLINK("https://klasma.github.io/Logging_2303/kartor/A 62948-2021 karta.png", "A 62948-2021")</f>
        <v/>
      </c>
      <c r="U45">
        <f>HYPERLINK("https://klasma.github.io/Logging_2303/knärot/A 62948-2021 karta knärot.png", "A 62948-2021")</f>
        <v/>
      </c>
      <c r="V45">
        <f>HYPERLINK("https://klasma.github.io/Logging_2303/klagomål/A 62948-2021 FSC-klagomål.docx", "A 62948-2021")</f>
        <v/>
      </c>
      <c r="W45">
        <f>HYPERLINK("https://klasma.github.io/Logging_2303/klagomålsmail/A 62948-2021 FSC-klagomål mail.docx", "A 62948-2021")</f>
        <v/>
      </c>
      <c r="X45">
        <f>HYPERLINK("https://klasma.github.io/Logging_2303/tillsyn/A 62948-2021 tillsynsbegäran.docx", "A 62948-2021")</f>
        <v/>
      </c>
      <c r="Y45">
        <f>HYPERLINK("https://klasma.github.io/Logging_2303/tillsynsmail/A 62948-2021 tillsynsbegäran mail.docx", "A 62948-2021")</f>
        <v/>
      </c>
    </row>
    <row r="46" ht="15" customHeight="1">
      <c r="A46" t="inlineStr">
        <is>
          <t>A 12372-2024</t>
        </is>
      </c>
      <c r="B46" s="1" t="n">
        <v>45378</v>
      </c>
      <c r="C46" s="1" t="n">
        <v>46022</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3634-2024</t>
        </is>
      </c>
      <c r="B47" s="1" t="n">
        <v>45320</v>
      </c>
      <c r="C47" s="1" t="n">
        <v>46022</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46022</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46022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32475-2023</t>
        </is>
      </c>
      <c r="B50" s="1" t="n">
        <v>45120</v>
      </c>
      <c r="C50" s="1" t="n">
        <v>46022</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59107-2025</t>
        </is>
      </c>
      <c r="B51" s="1" t="n">
        <v>45988.46924768519</v>
      </c>
      <c r="C51" s="1" t="n">
        <v>46022</v>
      </c>
      <c r="D51" t="inlineStr">
        <is>
          <t>JÄMTLANDS LÄN</t>
        </is>
      </c>
      <c r="E51" t="inlineStr">
        <is>
          <t>RAGUNDA</t>
        </is>
      </c>
      <c r="F51" t="inlineStr">
        <is>
          <t>SCA</t>
        </is>
      </c>
      <c r="G51" t="n">
        <v>22.6</v>
      </c>
      <c r="H51" t="n">
        <v>1</v>
      </c>
      <c r="I51" t="n">
        <v>4</v>
      </c>
      <c r="J51" t="n">
        <v>4</v>
      </c>
      <c r="K51" t="n">
        <v>0</v>
      </c>
      <c r="L51" t="n">
        <v>0</v>
      </c>
      <c r="M51" t="n">
        <v>0</v>
      </c>
      <c r="N51" t="n">
        <v>0</v>
      </c>
      <c r="O51" t="n">
        <v>4</v>
      </c>
      <c r="P51" t="n">
        <v>0</v>
      </c>
      <c r="Q51" t="n">
        <v>8</v>
      </c>
      <c r="R51" s="2" t="inlineStr">
        <is>
          <t>Garnlav
Lunglav
Skrovellav
Tretåig hackspett
Bårdlav
Luddlav
Skinnlav
Stuplav</t>
        </is>
      </c>
      <c r="S51">
        <f>HYPERLINK("https://klasma.github.io/Logging_2303/artfynd/A 59107-2025 artfynd.xlsx", "A 59107-2025")</f>
        <v/>
      </c>
      <c r="T51">
        <f>HYPERLINK("https://klasma.github.io/Logging_2303/kartor/A 59107-2025 karta.png", "A 59107-2025")</f>
        <v/>
      </c>
      <c r="V51">
        <f>HYPERLINK("https://klasma.github.io/Logging_2303/klagomål/A 59107-2025 FSC-klagomål.docx", "A 59107-2025")</f>
        <v/>
      </c>
      <c r="W51">
        <f>HYPERLINK("https://klasma.github.io/Logging_2303/klagomålsmail/A 59107-2025 FSC-klagomål mail.docx", "A 59107-2025")</f>
        <v/>
      </c>
      <c r="X51">
        <f>HYPERLINK("https://klasma.github.io/Logging_2303/tillsyn/A 59107-2025 tillsynsbegäran.docx", "A 59107-2025")</f>
        <v/>
      </c>
      <c r="Y51">
        <f>HYPERLINK("https://klasma.github.io/Logging_2303/tillsynsmail/A 59107-2025 tillsynsbegäran mail.docx", "A 59107-2025")</f>
        <v/>
      </c>
      <c r="Z51">
        <f>HYPERLINK("https://klasma.github.io/Logging_2303/fåglar/A 59107-2025 prioriterade fågelarter.docx", "A 59107-2025")</f>
        <v/>
      </c>
    </row>
    <row r="52" ht="15" customHeight="1">
      <c r="A52" t="inlineStr">
        <is>
          <t>A 51037-2025</t>
        </is>
      </c>
      <c r="B52" s="1" t="n">
        <v>45947.40729166667</v>
      </c>
      <c r="C52" s="1" t="n">
        <v>46022</v>
      </c>
      <c r="D52" t="inlineStr">
        <is>
          <t>JÄMTLANDS LÄN</t>
        </is>
      </c>
      <c r="E52" t="inlineStr">
        <is>
          <t>RAGUNDA</t>
        </is>
      </c>
      <c r="F52" t="inlineStr">
        <is>
          <t>SCA</t>
        </is>
      </c>
      <c r="G52" t="n">
        <v>3.8</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51037-2025 artfynd.xlsx", "A 51037-2025")</f>
        <v/>
      </c>
      <c r="T52">
        <f>HYPERLINK("https://klasma.github.io/Logging_2303/kartor/A 51037-2025 karta.png", "A 51037-2025")</f>
        <v/>
      </c>
      <c r="U52">
        <f>HYPERLINK("https://klasma.github.io/Logging_2303/knärot/A 51037-2025 karta knärot.png", "A 51037-2025")</f>
        <v/>
      </c>
      <c r="V52">
        <f>HYPERLINK("https://klasma.github.io/Logging_2303/klagomål/A 51037-2025 FSC-klagomål.docx", "A 51037-2025")</f>
        <v/>
      </c>
      <c r="W52">
        <f>HYPERLINK("https://klasma.github.io/Logging_2303/klagomålsmail/A 51037-2025 FSC-klagomål mail.docx", "A 51037-2025")</f>
        <v/>
      </c>
      <c r="X52">
        <f>HYPERLINK("https://klasma.github.io/Logging_2303/tillsyn/A 51037-2025 tillsynsbegäran.docx", "A 51037-2025")</f>
        <v/>
      </c>
      <c r="Y52">
        <f>HYPERLINK("https://klasma.github.io/Logging_2303/tillsynsmail/A 51037-2025 tillsynsbegäran mail.docx", "A 51037-2025")</f>
        <v/>
      </c>
    </row>
    <row r="53" ht="15" customHeight="1">
      <c r="A53" t="inlineStr">
        <is>
          <t>A 60129-2025</t>
        </is>
      </c>
      <c r="B53" s="1" t="n">
        <v>45994.34461805555</v>
      </c>
      <c r="C53" s="1" t="n">
        <v>46022</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62738-2025</t>
        </is>
      </c>
      <c r="B54" s="1" t="n">
        <v>46008.57341435185</v>
      </c>
      <c r="C54" s="1" t="n">
        <v>46022</v>
      </c>
      <c r="D54" t="inlineStr">
        <is>
          <t>JÄMTLANDS LÄN</t>
        </is>
      </c>
      <c r="E54" t="inlineStr">
        <is>
          <t>RAGUNDA</t>
        </is>
      </c>
      <c r="F54" t="inlineStr">
        <is>
          <t>SCA</t>
        </is>
      </c>
      <c r="G54" t="n">
        <v>2.2</v>
      </c>
      <c r="H54" t="n">
        <v>1</v>
      </c>
      <c r="I54" t="n">
        <v>3</v>
      </c>
      <c r="J54" t="n">
        <v>4</v>
      </c>
      <c r="K54" t="n">
        <v>1</v>
      </c>
      <c r="L54" t="n">
        <v>0</v>
      </c>
      <c r="M54" t="n">
        <v>0</v>
      </c>
      <c r="N54" t="n">
        <v>0</v>
      </c>
      <c r="O54" t="n">
        <v>5</v>
      </c>
      <c r="P54" t="n">
        <v>1</v>
      </c>
      <c r="Q54" t="n">
        <v>8</v>
      </c>
      <c r="R54" s="2" t="inlineStr">
        <is>
          <t>Knärot
Garnlav
Ullticka
Vedflamlav
Vedtrappmossa
Dropptaggsvamp
Gullgröppa
Gulnål</t>
        </is>
      </c>
      <c r="S54">
        <f>HYPERLINK("https://klasma.github.io/Logging_2303/artfynd/A 62738-2025 artfynd.xlsx", "A 62738-2025")</f>
        <v/>
      </c>
      <c r="T54">
        <f>HYPERLINK("https://klasma.github.io/Logging_2303/kartor/A 62738-2025 karta.png", "A 62738-2025")</f>
        <v/>
      </c>
      <c r="U54">
        <f>HYPERLINK("https://klasma.github.io/Logging_2303/knärot/A 62738-2025 karta knärot.png", "A 62738-2025")</f>
        <v/>
      </c>
      <c r="V54">
        <f>HYPERLINK("https://klasma.github.io/Logging_2303/klagomål/A 62738-2025 FSC-klagomål.docx", "A 62738-2025")</f>
        <v/>
      </c>
      <c r="W54">
        <f>HYPERLINK("https://klasma.github.io/Logging_2303/klagomålsmail/A 62738-2025 FSC-klagomål mail.docx", "A 62738-2025")</f>
        <v/>
      </c>
      <c r="X54">
        <f>HYPERLINK("https://klasma.github.io/Logging_2303/tillsyn/A 62738-2025 tillsynsbegäran.docx", "A 62738-2025")</f>
        <v/>
      </c>
      <c r="Y54">
        <f>HYPERLINK("https://klasma.github.io/Logging_2303/tillsynsmail/A 62738-2025 tillsynsbegäran mail.docx", "A 62738-2025")</f>
        <v/>
      </c>
    </row>
    <row r="55" ht="15" customHeight="1">
      <c r="A55" t="inlineStr">
        <is>
          <t>A 15665-2022</t>
        </is>
      </c>
      <c r="B55" s="1" t="n">
        <v>44662</v>
      </c>
      <c r="C55" s="1" t="n">
        <v>46022</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46022</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46022</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11829-2023</t>
        </is>
      </c>
      <c r="B58" s="1" t="n">
        <v>44994</v>
      </c>
      <c r="C58" s="1" t="n">
        <v>46022</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26750-2025</t>
        </is>
      </c>
      <c r="B59" s="1" t="n">
        <v>45810.55061342593</v>
      </c>
      <c r="C59" s="1" t="n">
        <v>46022</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26750-2025 artfynd.xlsx", "A 26750-2025")</f>
        <v/>
      </c>
      <c r="T59">
        <f>HYPERLINK("https://klasma.github.io/Logging_2303/kartor/A 26750-2025 karta.png", "A 26750-2025")</f>
        <v/>
      </c>
      <c r="V59">
        <f>HYPERLINK("https://klasma.github.io/Logging_2303/klagomål/A 26750-2025 FSC-klagomål.docx", "A 26750-2025")</f>
        <v/>
      </c>
      <c r="W59">
        <f>HYPERLINK("https://klasma.github.io/Logging_2303/klagomålsmail/A 26750-2025 FSC-klagomål mail.docx", "A 26750-2025")</f>
        <v/>
      </c>
      <c r="X59">
        <f>HYPERLINK("https://klasma.github.io/Logging_2303/tillsyn/A 26750-2025 tillsynsbegäran.docx", "A 26750-2025")</f>
        <v/>
      </c>
      <c r="Y59">
        <f>HYPERLINK("https://klasma.github.io/Logging_2303/tillsynsmail/A 26750-2025 tillsynsbegäran mail.docx", "A 26750-2025")</f>
        <v/>
      </c>
    </row>
    <row r="60" ht="15" customHeight="1">
      <c r="A60" t="inlineStr">
        <is>
          <t>A 33806-2023</t>
        </is>
      </c>
      <c r="B60" s="1" t="n">
        <v>45121</v>
      </c>
      <c r="C60" s="1" t="n">
        <v>46022</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41929-2023</t>
        </is>
      </c>
      <c r="B61" s="1" t="n">
        <v>45176</v>
      </c>
      <c r="C61" s="1" t="n">
        <v>46022</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46022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19399-2025</t>
        </is>
      </c>
      <c r="B63" s="1" t="n">
        <v>45769.67740740741</v>
      </c>
      <c r="C63" s="1" t="n">
        <v>46022</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27913-2024</t>
        </is>
      </c>
      <c r="B64" s="1" t="n">
        <v>45475.94796296296</v>
      </c>
      <c r="C64" s="1" t="n">
        <v>46022</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46022</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46022</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46022</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46022</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46022</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46022</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46022</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49291-2025</t>
        </is>
      </c>
      <c r="B72" s="1" t="n">
        <v>45938.53188657408</v>
      </c>
      <c r="C72" s="1" t="n">
        <v>46022</v>
      </c>
      <c r="D72" t="inlineStr">
        <is>
          <t>JÄMTLANDS LÄN</t>
        </is>
      </c>
      <c r="E72" t="inlineStr">
        <is>
          <t>RAGUNDA</t>
        </is>
      </c>
      <c r="F72" t="inlineStr">
        <is>
          <t>SCA</t>
        </is>
      </c>
      <c r="G72" t="n">
        <v>4.2</v>
      </c>
      <c r="H72" t="n">
        <v>1</v>
      </c>
      <c r="I72" t="n">
        <v>3</v>
      </c>
      <c r="J72" t="n">
        <v>2</v>
      </c>
      <c r="K72" t="n">
        <v>0</v>
      </c>
      <c r="L72" t="n">
        <v>0</v>
      </c>
      <c r="M72" t="n">
        <v>0</v>
      </c>
      <c r="N72" t="n">
        <v>0</v>
      </c>
      <c r="O72" t="n">
        <v>2</v>
      </c>
      <c r="P72" t="n">
        <v>0</v>
      </c>
      <c r="Q72" t="n">
        <v>6</v>
      </c>
      <c r="R72" s="2" t="inlineStr">
        <is>
          <t>Kolflarnlav
Lunglav
Korallblylav
Skinnlav
Vårärt
Blåsippa</t>
        </is>
      </c>
      <c r="S72">
        <f>HYPERLINK("https://klasma.github.io/Logging_2303/artfynd/A 49291-2025 artfynd.xlsx", "A 49291-2025")</f>
        <v/>
      </c>
      <c r="T72">
        <f>HYPERLINK("https://klasma.github.io/Logging_2303/kartor/A 49291-2025 karta.png", "A 49291-2025")</f>
        <v/>
      </c>
      <c r="V72">
        <f>HYPERLINK("https://klasma.github.io/Logging_2303/klagomål/A 49291-2025 FSC-klagomål.docx", "A 49291-2025")</f>
        <v/>
      </c>
      <c r="W72">
        <f>HYPERLINK("https://klasma.github.io/Logging_2303/klagomålsmail/A 49291-2025 FSC-klagomål mail.docx", "A 49291-2025")</f>
        <v/>
      </c>
      <c r="X72">
        <f>HYPERLINK("https://klasma.github.io/Logging_2303/tillsyn/A 49291-2025 tillsynsbegäran.docx", "A 49291-2025")</f>
        <v/>
      </c>
      <c r="Y72">
        <f>HYPERLINK("https://klasma.github.io/Logging_2303/tillsynsmail/A 49291-2025 tillsynsbegäran mail.docx", "A 49291-2025")</f>
        <v/>
      </c>
    </row>
    <row r="73" ht="15" customHeight="1">
      <c r="A73" t="inlineStr">
        <is>
          <t>A 30637-2024</t>
        </is>
      </c>
      <c r="B73" s="1" t="n">
        <v>45495.56244212963</v>
      </c>
      <c r="C73" s="1" t="n">
        <v>46022</v>
      </c>
      <c r="D73" t="inlineStr">
        <is>
          <t>JÄMTLANDS LÄN</t>
        </is>
      </c>
      <c r="E73" t="inlineStr">
        <is>
          <t>RAGUNDA</t>
        </is>
      </c>
      <c r="G73" t="n">
        <v>4.1</v>
      </c>
      <c r="H73" t="n">
        <v>5</v>
      </c>
      <c r="I73" t="n">
        <v>0</v>
      </c>
      <c r="J73" t="n">
        <v>4</v>
      </c>
      <c r="K73" t="n">
        <v>1</v>
      </c>
      <c r="L73" t="n">
        <v>0</v>
      </c>
      <c r="M73" t="n">
        <v>0</v>
      </c>
      <c r="N73" t="n">
        <v>0</v>
      </c>
      <c r="O73" t="n">
        <v>5</v>
      </c>
      <c r="P73" t="n">
        <v>1</v>
      </c>
      <c r="Q73" t="n">
        <v>6</v>
      </c>
      <c r="R73" s="2" t="inlineStr">
        <is>
          <t>Knärot
Lunglav
Spillkråka
Talltita
Tretåig hackspett
Vanlig groda</t>
        </is>
      </c>
      <c r="S73">
        <f>HYPERLINK("https://klasma.github.io/Logging_2303/artfynd/A 30637-2024 artfynd.xlsx", "A 30637-2024")</f>
        <v/>
      </c>
      <c r="T73">
        <f>HYPERLINK("https://klasma.github.io/Logging_2303/kartor/A 30637-2024 karta.png", "A 30637-2024")</f>
        <v/>
      </c>
      <c r="U73">
        <f>HYPERLINK("https://klasma.github.io/Logging_2303/knärot/A 30637-2024 karta knärot.png", "A 30637-2024")</f>
        <v/>
      </c>
      <c r="V73">
        <f>HYPERLINK("https://klasma.github.io/Logging_2303/klagomål/A 30637-2024 FSC-klagomål.docx", "A 30637-2024")</f>
        <v/>
      </c>
      <c r="W73">
        <f>HYPERLINK("https://klasma.github.io/Logging_2303/klagomålsmail/A 30637-2024 FSC-klagomål mail.docx", "A 30637-2024")</f>
        <v/>
      </c>
      <c r="X73">
        <f>HYPERLINK("https://klasma.github.io/Logging_2303/tillsyn/A 30637-2024 tillsynsbegäran.docx", "A 30637-2024")</f>
        <v/>
      </c>
      <c r="Y73">
        <f>HYPERLINK("https://klasma.github.io/Logging_2303/tillsynsmail/A 30637-2024 tillsynsbegäran mail.docx", "A 30637-2024")</f>
        <v/>
      </c>
      <c r="Z73">
        <f>HYPERLINK("https://klasma.github.io/Logging_2303/fåglar/A 30637-2024 prioriterade fågelarter.docx", "A 30637-2024")</f>
        <v/>
      </c>
    </row>
    <row r="74" ht="15" customHeight="1">
      <c r="A74" t="inlineStr">
        <is>
          <t>A 55646-2023</t>
        </is>
      </c>
      <c r="B74" s="1" t="n">
        <v>45238</v>
      </c>
      <c r="C74" s="1" t="n">
        <v>46022</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19402-2025</t>
        </is>
      </c>
      <c r="B75" s="1" t="n">
        <v>45769.67778935185</v>
      </c>
      <c r="C75" s="1" t="n">
        <v>46022</v>
      </c>
      <c r="D75" t="inlineStr">
        <is>
          <t>JÄMTLANDS LÄN</t>
        </is>
      </c>
      <c r="E75" t="inlineStr">
        <is>
          <t>RAGUNDA</t>
        </is>
      </c>
      <c r="F75" t="inlineStr">
        <is>
          <t>SCA</t>
        </is>
      </c>
      <c r="G75" t="n">
        <v>3.1</v>
      </c>
      <c r="H75" t="n">
        <v>2</v>
      </c>
      <c r="I75" t="n">
        <v>3</v>
      </c>
      <c r="J75" t="n">
        <v>3</v>
      </c>
      <c r="K75" t="n">
        <v>0</v>
      </c>
      <c r="L75" t="n">
        <v>0</v>
      </c>
      <c r="M75" t="n">
        <v>0</v>
      </c>
      <c r="N75" t="n">
        <v>0</v>
      </c>
      <c r="O75" t="n">
        <v>3</v>
      </c>
      <c r="P75" t="n">
        <v>0</v>
      </c>
      <c r="Q75" t="n">
        <v>6</v>
      </c>
      <c r="R75" s="2" t="inlineStr">
        <is>
          <t>Garnlav
Lunglav
Tretåig hackspett
Bårdlav
Spindelblomster
Stuplav</t>
        </is>
      </c>
      <c r="S75">
        <f>HYPERLINK("https://klasma.github.io/Logging_2303/artfynd/A 19402-2025 artfynd.xlsx", "A 19402-2025")</f>
        <v/>
      </c>
      <c r="T75">
        <f>HYPERLINK("https://klasma.github.io/Logging_2303/kartor/A 19402-2025 karta.png", "A 19402-2025")</f>
        <v/>
      </c>
      <c r="V75">
        <f>HYPERLINK("https://klasma.github.io/Logging_2303/klagomål/A 19402-2025 FSC-klagomål.docx", "A 19402-2025")</f>
        <v/>
      </c>
      <c r="W75">
        <f>HYPERLINK("https://klasma.github.io/Logging_2303/klagomålsmail/A 19402-2025 FSC-klagomål mail.docx", "A 19402-2025")</f>
        <v/>
      </c>
      <c r="X75">
        <f>HYPERLINK("https://klasma.github.io/Logging_2303/tillsyn/A 19402-2025 tillsynsbegäran.docx", "A 19402-2025")</f>
        <v/>
      </c>
      <c r="Y75">
        <f>HYPERLINK("https://klasma.github.io/Logging_2303/tillsynsmail/A 19402-2025 tillsynsbegäran mail.docx", "A 19402-2025")</f>
        <v/>
      </c>
      <c r="Z75">
        <f>HYPERLINK("https://klasma.github.io/Logging_2303/fåglar/A 19402-2025 prioriterade fågelarter.docx", "A 19402-2025")</f>
        <v/>
      </c>
    </row>
    <row r="76" ht="15" customHeight="1">
      <c r="A76" t="inlineStr">
        <is>
          <t>A 30884-2025</t>
        </is>
      </c>
      <c r="B76" s="1" t="n">
        <v>45832.34564814815</v>
      </c>
      <c r="C76" s="1" t="n">
        <v>46022</v>
      </c>
      <c r="D76" t="inlineStr">
        <is>
          <t>JÄMTLANDS LÄN</t>
        </is>
      </c>
      <c r="E76" t="inlineStr">
        <is>
          <t>RAGUNDA</t>
        </is>
      </c>
      <c r="F76" t="inlineStr">
        <is>
          <t>SCA</t>
        </is>
      </c>
      <c r="G76" t="n">
        <v>5.7</v>
      </c>
      <c r="H76" t="n">
        <v>0</v>
      </c>
      <c r="I76" t="n">
        <v>1</v>
      </c>
      <c r="J76" t="n">
        <v>5</v>
      </c>
      <c r="K76" t="n">
        <v>0</v>
      </c>
      <c r="L76" t="n">
        <v>0</v>
      </c>
      <c r="M76" t="n">
        <v>0</v>
      </c>
      <c r="N76" t="n">
        <v>0</v>
      </c>
      <c r="O76" t="n">
        <v>5</v>
      </c>
      <c r="P76" t="n">
        <v>0</v>
      </c>
      <c r="Q76" t="n">
        <v>6</v>
      </c>
      <c r="R76" s="2" t="inlineStr">
        <is>
          <t>Garnlav
Granticka
Rosenticka
Stjärntagging
Ullticka
Rödgul trumpetsvamp</t>
        </is>
      </c>
      <c r="S76">
        <f>HYPERLINK("https://klasma.github.io/Logging_2303/artfynd/A 30884-2025 artfynd.xlsx", "A 30884-2025")</f>
        <v/>
      </c>
      <c r="T76">
        <f>HYPERLINK("https://klasma.github.io/Logging_2303/kartor/A 30884-2025 karta.png", "A 30884-2025")</f>
        <v/>
      </c>
      <c r="V76">
        <f>HYPERLINK("https://klasma.github.io/Logging_2303/klagomål/A 30884-2025 FSC-klagomål.docx", "A 30884-2025")</f>
        <v/>
      </c>
      <c r="W76">
        <f>HYPERLINK("https://klasma.github.io/Logging_2303/klagomålsmail/A 30884-2025 FSC-klagomål mail.docx", "A 30884-2025")</f>
        <v/>
      </c>
      <c r="X76">
        <f>HYPERLINK("https://klasma.github.io/Logging_2303/tillsyn/A 30884-2025 tillsynsbegäran.docx", "A 30884-2025")</f>
        <v/>
      </c>
      <c r="Y76">
        <f>HYPERLINK("https://klasma.github.io/Logging_2303/tillsynsmail/A 30884-2025 tillsynsbegäran mail.docx", "A 30884-2025")</f>
        <v/>
      </c>
    </row>
    <row r="77" ht="15" customHeight="1">
      <c r="A77" t="inlineStr">
        <is>
          <t>A 53021-2022</t>
        </is>
      </c>
      <c r="B77" s="1" t="n">
        <v>44875</v>
      </c>
      <c r="C77" s="1" t="n">
        <v>46022</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36276-2025</t>
        </is>
      </c>
      <c r="B78" s="1" t="n">
        <v>45867.63619212963</v>
      </c>
      <c r="C78" s="1" t="n">
        <v>46022</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45929.67459490741</v>
      </c>
      <c r="C79" s="1" t="n">
        <v>46022</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46022</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46022</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46022</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46022</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46022</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46022</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46022</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46022</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39974-2025</t>
        </is>
      </c>
      <c r="B88" s="1" t="n">
        <v>45893.38599537037</v>
      </c>
      <c r="C88" s="1" t="n">
        <v>46022</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46022</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46022</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27313-2024</t>
        </is>
      </c>
      <c r="B91" s="1" t="n">
        <v>45471.94623842592</v>
      </c>
      <c r="C91" s="1" t="n">
        <v>46022</v>
      </c>
      <c r="D91" t="inlineStr">
        <is>
          <t>JÄMTLANDS LÄN</t>
        </is>
      </c>
      <c r="E91" t="inlineStr">
        <is>
          <t>RAGUNDA</t>
        </is>
      </c>
      <c r="G91" t="n">
        <v>2.1</v>
      </c>
      <c r="H91" t="n">
        <v>2</v>
      </c>
      <c r="I91" t="n">
        <v>0</v>
      </c>
      <c r="J91" t="n">
        <v>3</v>
      </c>
      <c r="K91" t="n">
        <v>1</v>
      </c>
      <c r="L91" t="n">
        <v>0</v>
      </c>
      <c r="M91" t="n">
        <v>0</v>
      </c>
      <c r="N91" t="n">
        <v>0</v>
      </c>
      <c r="O91" t="n">
        <v>4</v>
      </c>
      <c r="P91" t="n">
        <v>1</v>
      </c>
      <c r="Q91" t="n">
        <v>5</v>
      </c>
      <c r="R91" s="2" t="inlineStr">
        <is>
          <t>Knärot
Gammelgransskål
Garnlav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30886-2025</t>
        </is>
      </c>
      <c r="B92" s="1" t="n">
        <v>45832.34578703704</v>
      </c>
      <c r="C92" s="1" t="n">
        <v>46022</v>
      </c>
      <c r="D92" t="inlineStr">
        <is>
          <t>JÄMTLANDS LÄN</t>
        </is>
      </c>
      <c r="E92" t="inlineStr">
        <is>
          <t>RAGUNDA</t>
        </is>
      </c>
      <c r="F92" t="inlineStr">
        <is>
          <t>SCA</t>
        </is>
      </c>
      <c r="G92" t="n">
        <v>4.4</v>
      </c>
      <c r="H92" t="n">
        <v>3</v>
      </c>
      <c r="I92" t="n">
        <v>1</v>
      </c>
      <c r="J92" t="n">
        <v>2</v>
      </c>
      <c r="K92" t="n">
        <v>1</v>
      </c>
      <c r="L92" t="n">
        <v>0</v>
      </c>
      <c r="M92" t="n">
        <v>0</v>
      </c>
      <c r="N92" t="n">
        <v>0</v>
      </c>
      <c r="O92" t="n">
        <v>3</v>
      </c>
      <c r="P92" t="n">
        <v>1</v>
      </c>
      <c r="Q92" t="n">
        <v>5</v>
      </c>
      <c r="R92" s="2" t="inlineStr">
        <is>
          <t>Knärot
Järpe
Lunglav
Ögonpyrola
Nattviol</t>
        </is>
      </c>
      <c r="S92">
        <f>HYPERLINK("https://klasma.github.io/Logging_2303/artfynd/A 30886-2025 artfynd.xlsx", "A 30886-2025")</f>
        <v/>
      </c>
      <c r="T92">
        <f>HYPERLINK("https://klasma.github.io/Logging_2303/kartor/A 30886-2025 karta.png", "A 30886-2025")</f>
        <v/>
      </c>
      <c r="U92">
        <f>HYPERLINK("https://klasma.github.io/Logging_2303/knärot/A 30886-2025 karta knärot.png", "A 30886-2025")</f>
        <v/>
      </c>
      <c r="V92">
        <f>HYPERLINK("https://klasma.github.io/Logging_2303/klagomål/A 30886-2025 FSC-klagomål.docx", "A 30886-2025")</f>
        <v/>
      </c>
      <c r="W92">
        <f>HYPERLINK("https://klasma.github.io/Logging_2303/klagomålsmail/A 30886-2025 FSC-klagomål mail.docx", "A 30886-2025")</f>
        <v/>
      </c>
      <c r="X92">
        <f>HYPERLINK("https://klasma.github.io/Logging_2303/tillsyn/A 30886-2025 tillsynsbegäran.docx", "A 30886-2025")</f>
        <v/>
      </c>
      <c r="Y92">
        <f>HYPERLINK("https://klasma.github.io/Logging_2303/tillsynsmail/A 30886-2025 tillsynsbegäran mail.docx", "A 30886-2025")</f>
        <v/>
      </c>
      <c r="Z92">
        <f>HYPERLINK("https://klasma.github.io/Logging_2303/fåglar/A 30886-2025 prioriterade fågelarter.docx", "A 30886-2025")</f>
        <v/>
      </c>
    </row>
    <row r="93" ht="15" customHeight="1">
      <c r="A93" t="inlineStr">
        <is>
          <t>A 35344-2025</t>
        </is>
      </c>
      <c r="B93" s="1" t="n">
        <v>45854.61494212963</v>
      </c>
      <c r="C93" s="1" t="n">
        <v>46022</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46022</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46022</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46022</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46022</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46022</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46022</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46022</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46022</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46022</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46022</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46022</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46022</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46022</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21372-2025</t>
        </is>
      </c>
      <c r="B107" s="1" t="n">
        <v>45782.44871527778</v>
      </c>
      <c r="C107" s="1" t="n">
        <v>46022</v>
      </c>
      <c r="D107" t="inlineStr">
        <is>
          <t>JÄMTLANDS LÄN</t>
        </is>
      </c>
      <c r="E107" t="inlineStr">
        <is>
          <t>RAGUNDA</t>
        </is>
      </c>
      <c r="F107" t="inlineStr">
        <is>
          <t>SCA</t>
        </is>
      </c>
      <c r="G107" t="n">
        <v>2.7</v>
      </c>
      <c r="H107" t="n">
        <v>1</v>
      </c>
      <c r="I107" t="n">
        <v>1</v>
      </c>
      <c r="J107" t="n">
        <v>2</v>
      </c>
      <c r="K107" t="n">
        <v>0</v>
      </c>
      <c r="L107" t="n">
        <v>0</v>
      </c>
      <c r="M107" t="n">
        <v>0</v>
      </c>
      <c r="N107" t="n">
        <v>0</v>
      </c>
      <c r="O107" t="n">
        <v>2</v>
      </c>
      <c r="P107" t="n">
        <v>0</v>
      </c>
      <c r="Q107" t="n">
        <v>4</v>
      </c>
      <c r="R107" s="2" t="inlineStr">
        <is>
          <t>Garnlav
Lunglav
Stuplav
Tjäder</t>
        </is>
      </c>
      <c r="S107">
        <f>HYPERLINK("https://klasma.github.io/Logging_2303/artfynd/A 21372-2025 artfynd.xlsx", "A 21372-2025")</f>
        <v/>
      </c>
      <c r="T107">
        <f>HYPERLINK("https://klasma.github.io/Logging_2303/kartor/A 21372-2025 karta.png", "A 21372-2025")</f>
        <v/>
      </c>
      <c r="V107">
        <f>HYPERLINK("https://klasma.github.io/Logging_2303/klagomål/A 21372-2025 FSC-klagomål.docx", "A 21372-2025")</f>
        <v/>
      </c>
      <c r="W107">
        <f>HYPERLINK("https://klasma.github.io/Logging_2303/klagomålsmail/A 21372-2025 FSC-klagomål mail.docx", "A 21372-2025")</f>
        <v/>
      </c>
      <c r="X107">
        <f>HYPERLINK("https://klasma.github.io/Logging_2303/tillsyn/A 21372-2025 tillsynsbegäran.docx", "A 21372-2025")</f>
        <v/>
      </c>
      <c r="Y107">
        <f>HYPERLINK("https://klasma.github.io/Logging_2303/tillsynsmail/A 21372-2025 tillsynsbegäran mail.docx", "A 21372-2025")</f>
        <v/>
      </c>
      <c r="Z107">
        <f>HYPERLINK("https://klasma.github.io/Logging_2303/fåglar/A 21372-2025 prioriterade fågelarter.docx", "A 21372-2025")</f>
        <v/>
      </c>
    </row>
    <row r="108" ht="15" customHeight="1">
      <c r="A108" t="inlineStr">
        <is>
          <t>A 23682-2021</t>
        </is>
      </c>
      <c r="B108" s="1" t="n">
        <v>44334</v>
      </c>
      <c r="C108" s="1" t="n">
        <v>46022</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46022</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12640-2024</t>
        </is>
      </c>
      <c r="B110" s="1" t="n">
        <v>45384</v>
      </c>
      <c r="C110" s="1" t="n">
        <v>46022</v>
      </c>
      <c r="D110" t="inlineStr">
        <is>
          <t>JÄMTLANDS LÄN</t>
        </is>
      </c>
      <c r="E110" t="inlineStr">
        <is>
          <t>RAGUNDA</t>
        </is>
      </c>
      <c r="G110" t="n">
        <v>3.3</v>
      </c>
      <c r="H110" t="n">
        <v>0</v>
      </c>
      <c r="I110" t="n">
        <v>2</v>
      </c>
      <c r="J110" t="n">
        <v>1</v>
      </c>
      <c r="K110" t="n">
        <v>1</v>
      </c>
      <c r="L110" t="n">
        <v>0</v>
      </c>
      <c r="M110" t="n">
        <v>0</v>
      </c>
      <c r="N110" t="n">
        <v>0</v>
      </c>
      <c r="O110" t="n">
        <v>2</v>
      </c>
      <c r="P110" t="n">
        <v>1</v>
      </c>
      <c r="Q110" t="n">
        <v>4</v>
      </c>
      <c r="R110" s="2" t="inlineStr">
        <is>
          <t>Spadskinn
Vedskivlav
Dropptaggsvamp
Skarp dropptaggsvamp</t>
        </is>
      </c>
      <c r="S110">
        <f>HYPERLINK("https://klasma.github.io/Logging_2303/artfynd/A 12640-2024 artfynd.xlsx", "A 12640-2024")</f>
        <v/>
      </c>
      <c r="T110">
        <f>HYPERLINK("https://klasma.github.io/Logging_2303/kartor/A 12640-2024 karta.png", "A 12640-2024")</f>
        <v/>
      </c>
      <c r="V110">
        <f>HYPERLINK("https://klasma.github.io/Logging_2303/klagomål/A 12640-2024 FSC-klagomål.docx", "A 12640-2024")</f>
        <v/>
      </c>
      <c r="W110">
        <f>HYPERLINK("https://klasma.github.io/Logging_2303/klagomålsmail/A 12640-2024 FSC-klagomål mail.docx", "A 12640-2024")</f>
        <v/>
      </c>
      <c r="X110">
        <f>HYPERLINK("https://klasma.github.io/Logging_2303/tillsyn/A 12640-2024 tillsynsbegäran.docx", "A 12640-2024")</f>
        <v/>
      </c>
      <c r="Y110">
        <f>HYPERLINK("https://klasma.github.io/Logging_2303/tillsynsmail/A 12640-2024 tillsynsbegäran mail.docx", "A 12640-2024")</f>
        <v/>
      </c>
    </row>
    <row r="111" ht="15" customHeight="1">
      <c r="A111" t="inlineStr">
        <is>
          <t>A 12268-2024</t>
        </is>
      </c>
      <c r="B111" s="1" t="n">
        <v>45378</v>
      </c>
      <c r="C111" s="1" t="n">
        <v>46022</v>
      </c>
      <c r="D111" t="inlineStr">
        <is>
          <t>JÄMTLANDS LÄN</t>
        </is>
      </c>
      <c r="E111" t="inlineStr">
        <is>
          <t>RAGUNDA</t>
        </is>
      </c>
      <c r="F111" t="inlineStr">
        <is>
          <t>Kommuner</t>
        </is>
      </c>
      <c r="G111" t="n">
        <v>15.7</v>
      </c>
      <c r="H111" t="n">
        <v>0</v>
      </c>
      <c r="I111" t="n">
        <v>0</v>
      </c>
      <c r="J111" t="n">
        <v>4</v>
      </c>
      <c r="K111" t="n">
        <v>0</v>
      </c>
      <c r="L111" t="n">
        <v>0</v>
      </c>
      <c r="M111" t="n">
        <v>0</v>
      </c>
      <c r="N111" t="n">
        <v>0</v>
      </c>
      <c r="O111" t="n">
        <v>4</v>
      </c>
      <c r="P111" t="n">
        <v>0</v>
      </c>
      <c r="Q111" t="n">
        <v>4</v>
      </c>
      <c r="R111" s="2" t="inlineStr">
        <is>
          <t>Granticka
Mörk kolflarnlav
Vedskivlav
Vitgrynig nållav</t>
        </is>
      </c>
      <c r="S111">
        <f>HYPERLINK("https://klasma.github.io/Logging_2303/artfynd/A 12268-2024 artfynd.xlsx", "A 12268-2024")</f>
        <v/>
      </c>
      <c r="T111">
        <f>HYPERLINK("https://klasma.github.io/Logging_2303/kartor/A 12268-2024 karta.png", "A 12268-2024")</f>
        <v/>
      </c>
      <c r="V111">
        <f>HYPERLINK("https://klasma.github.io/Logging_2303/klagomål/A 12268-2024 FSC-klagomål.docx", "A 12268-2024")</f>
        <v/>
      </c>
      <c r="W111">
        <f>HYPERLINK("https://klasma.github.io/Logging_2303/klagomålsmail/A 12268-2024 FSC-klagomål mail.docx", "A 12268-2024")</f>
        <v/>
      </c>
      <c r="X111">
        <f>HYPERLINK("https://klasma.github.io/Logging_2303/tillsyn/A 12268-2024 tillsynsbegäran.docx", "A 12268-2024")</f>
        <v/>
      </c>
      <c r="Y111">
        <f>HYPERLINK("https://klasma.github.io/Logging_2303/tillsynsmail/A 12268-2024 tillsynsbegäran mail.docx", "A 12268-2024")</f>
        <v/>
      </c>
    </row>
    <row r="112" ht="15" customHeight="1">
      <c r="A112" t="inlineStr">
        <is>
          <t>A 32903-2024</t>
        </is>
      </c>
      <c r="B112" s="1" t="n">
        <v>45516.94723379629</v>
      </c>
      <c r="C112" s="1" t="n">
        <v>46022</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40653-2025</t>
        </is>
      </c>
      <c r="B113" s="1" t="n">
        <v>45896.63618055556</v>
      </c>
      <c r="C113" s="1" t="n">
        <v>46022</v>
      </c>
      <c r="D113" t="inlineStr">
        <is>
          <t>JÄMTLANDS LÄN</t>
        </is>
      </c>
      <c r="E113" t="inlineStr">
        <is>
          <t>RAGUNDA</t>
        </is>
      </c>
      <c r="F113" t="inlineStr">
        <is>
          <t>SCA</t>
        </is>
      </c>
      <c r="G113" t="n">
        <v>3.9</v>
      </c>
      <c r="H113" t="n">
        <v>0</v>
      </c>
      <c r="I113" t="n">
        <v>1</v>
      </c>
      <c r="J113" t="n">
        <v>3</v>
      </c>
      <c r="K113" t="n">
        <v>0</v>
      </c>
      <c r="L113" t="n">
        <v>0</v>
      </c>
      <c r="M113" t="n">
        <v>0</v>
      </c>
      <c r="N113" t="n">
        <v>0</v>
      </c>
      <c r="O113" t="n">
        <v>3</v>
      </c>
      <c r="P113" t="n">
        <v>0</v>
      </c>
      <c r="Q113" t="n">
        <v>4</v>
      </c>
      <c r="R113" s="2" t="inlineStr">
        <is>
          <t>Blå taggsvamp
Garnlav
Mörk kolflarnlav
Dropptaggsvamp</t>
        </is>
      </c>
      <c r="S113">
        <f>HYPERLINK("https://klasma.github.io/Logging_2303/artfynd/A 40653-2025 artfynd.xlsx", "A 40653-2025")</f>
        <v/>
      </c>
      <c r="T113">
        <f>HYPERLINK("https://klasma.github.io/Logging_2303/kartor/A 40653-2025 karta.png", "A 40653-2025")</f>
        <v/>
      </c>
      <c r="V113">
        <f>HYPERLINK("https://klasma.github.io/Logging_2303/klagomål/A 40653-2025 FSC-klagomål.docx", "A 40653-2025")</f>
        <v/>
      </c>
      <c r="W113">
        <f>HYPERLINK("https://klasma.github.io/Logging_2303/klagomålsmail/A 40653-2025 FSC-klagomål mail.docx", "A 40653-2025")</f>
        <v/>
      </c>
      <c r="X113">
        <f>HYPERLINK("https://klasma.github.io/Logging_2303/tillsyn/A 40653-2025 tillsynsbegäran.docx", "A 40653-2025")</f>
        <v/>
      </c>
      <c r="Y113">
        <f>HYPERLINK("https://klasma.github.io/Logging_2303/tillsynsmail/A 40653-2025 tillsynsbegäran mail.docx", "A 40653-2025")</f>
        <v/>
      </c>
    </row>
    <row r="114" ht="15" customHeight="1">
      <c r="A114" t="inlineStr">
        <is>
          <t>A 26082-2025</t>
        </is>
      </c>
      <c r="B114" s="1" t="n">
        <v>45805.34415509259</v>
      </c>
      <c r="C114" s="1" t="n">
        <v>46022</v>
      </c>
      <c r="D114" t="inlineStr">
        <is>
          <t>JÄMTLANDS LÄN</t>
        </is>
      </c>
      <c r="E114" t="inlineStr">
        <is>
          <t>RAGUNDA</t>
        </is>
      </c>
      <c r="F114" t="inlineStr">
        <is>
          <t>SCA</t>
        </is>
      </c>
      <c r="G114" t="n">
        <v>5</v>
      </c>
      <c r="H114" t="n">
        <v>1</v>
      </c>
      <c r="I114" t="n">
        <v>0</v>
      </c>
      <c r="J114" t="n">
        <v>3</v>
      </c>
      <c r="K114" t="n">
        <v>1</v>
      </c>
      <c r="L114" t="n">
        <v>0</v>
      </c>
      <c r="M114" t="n">
        <v>0</v>
      </c>
      <c r="N114" t="n">
        <v>0</v>
      </c>
      <c r="O114" t="n">
        <v>4</v>
      </c>
      <c r="P114" t="n">
        <v>1</v>
      </c>
      <c r="Q114" t="n">
        <v>4</v>
      </c>
      <c r="R114" s="2" t="inlineStr">
        <is>
          <t>Knärot
Gammelgransskål
Lunglav
Vitgrynig nållav</t>
        </is>
      </c>
      <c r="S114">
        <f>HYPERLINK("https://klasma.github.io/Logging_2303/artfynd/A 26082-2025 artfynd.xlsx", "A 26082-2025")</f>
        <v/>
      </c>
      <c r="T114">
        <f>HYPERLINK("https://klasma.github.io/Logging_2303/kartor/A 26082-2025 karta.png", "A 26082-2025")</f>
        <v/>
      </c>
      <c r="U114">
        <f>HYPERLINK("https://klasma.github.io/Logging_2303/knärot/A 26082-2025 karta knärot.png", "A 26082-2025")</f>
        <v/>
      </c>
      <c r="V114">
        <f>HYPERLINK("https://klasma.github.io/Logging_2303/klagomål/A 26082-2025 FSC-klagomål.docx", "A 26082-2025")</f>
        <v/>
      </c>
      <c r="W114">
        <f>HYPERLINK("https://klasma.github.io/Logging_2303/klagomålsmail/A 26082-2025 FSC-klagomål mail.docx", "A 26082-2025")</f>
        <v/>
      </c>
      <c r="X114">
        <f>HYPERLINK("https://klasma.github.io/Logging_2303/tillsyn/A 26082-2025 tillsynsbegäran.docx", "A 26082-2025")</f>
        <v/>
      </c>
      <c r="Y114">
        <f>HYPERLINK("https://klasma.github.io/Logging_2303/tillsynsmail/A 26082-2025 tillsynsbegäran mail.docx", "A 26082-2025")</f>
        <v/>
      </c>
    </row>
    <row r="115" ht="15" customHeight="1">
      <c r="A115" t="inlineStr">
        <is>
          <t>A 43960-2023</t>
        </is>
      </c>
      <c r="B115" s="1" t="n">
        <v>45187</v>
      </c>
      <c r="C115" s="1" t="n">
        <v>46022</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30483-2024</t>
        </is>
      </c>
      <c r="B116" s="1" t="n">
        <v>45491</v>
      </c>
      <c r="C116" s="1" t="n">
        <v>46022</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23931-2024</t>
        </is>
      </c>
      <c r="B117" s="1" t="n">
        <v>45455.96195601852</v>
      </c>
      <c r="C117" s="1" t="n">
        <v>46022</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32067-2024</t>
        </is>
      </c>
      <c r="B118" s="1" t="n">
        <v>45510</v>
      </c>
      <c r="C118" s="1" t="n">
        <v>46022</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30465-2024</t>
        </is>
      </c>
      <c r="B119" s="1" t="n">
        <v>45491</v>
      </c>
      <c r="C119" s="1" t="n">
        <v>46022</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52168-2025</t>
        </is>
      </c>
      <c r="B120" s="1" t="n">
        <v>45953.365625</v>
      </c>
      <c r="C120" s="1" t="n">
        <v>46022</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15836-2024</t>
        </is>
      </c>
      <c r="B121" s="1" t="n">
        <v>45404</v>
      </c>
      <c r="C121" s="1" t="n">
        <v>46022</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50342-2025</t>
        </is>
      </c>
      <c r="B122" s="1" t="n">
        <v>45944.53186342592</v>
      </c>
      <c r="C122" s="1" t="n">
        <v>46022</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52644-2024</t>
        </is>
      </c>
      <c r="B123" s="1" t="n">
        <v>45610.34415509259</v>
      </c>
      <c r="C123" s="1" t="n">
        <v>46022</v>
      </c>
      <c r="D123" t="inlineStr">
        <is>
          <t>JÄMTLANDS LÄN</t>
        </is>
      </c>
      <c r="E123" t="inlineStr">
        <is>
          <t>RAGUNDA</t>
        </is>
      </c>
      <c r="F123" t="inlineStr">
        <is>
          <t>SCA</t>
        </is>
      </c>
      <c r="G123" t="n">
        <v>6.6</v>
      </c>
      <c r="H123" t="n">
        <v>2</v>
      </c>
      <c r="I123" t="n">
        <v>1</v>
      </c>
      <c r="J123" t="n">
        <v>2</v>
      </c>
      <c r="K123" t="n">
        <v>1</v>
      </c>
      <c r="L123" t="n">
        <v>0</v>
      </c>
      <c r="M123" t="n">
        <v>0</v>
      </c>
      <c r="N123" t="n">
        <v>0</v>
      </c>
      <c r="O123" t="n">
        <v>3</v>
      </c>
      <c r="P123" t="n">
        <v>1</v>
      </c>
      <c r="Q123" t="n">
        <v>4</v>
      </c>
      <c r="R123" s="2" t="inlineStr">
        <is>
          <t>Doftticka
Gammelgransskål
Lunglav
Guckusko</t>
        </is>
      </c>
      <c r="S123">
        <f>HYPERLINK("https://klasma.github.io/Logging_2303/artfynd/A 52644-2024 artfynd.xlsx", "A 52644-2024")</f>
        <v/>
      </c>
      <c r="T123">
        <f>HYPERLINK("https://klasma.github.io/Logging_2303/kartor/A 52644-2024 karta.png", "A 52644-2024")</f>
        <v/>
      </c>
      <c r="V123">
        <f>HYPERLINK("https://klasma.github.io/Logging_2303/klagomål/A 52644-2024 FSC-klagomål.docx", "A 52644-2024")</f>
        <v/>
      </c>
      <c r="W123">
        <f>HYPERLINK("https://klasma.github.io/Logging_2303/klagomålsmail/A 52644-2024 FSC-klagomål mail.docx", "A 52644-2024")</f>
        <v/>
      </c>
      <c r="X123">
        <f>HYPERLINK("https://klasma.github.io/Logging_2303/tillsyn/A 52644-2024 tillsynsbegäran.docx", "A 52644-2024")</f>
        <v/>
      </c>
      <c r="Y123">
        <f>HYPERLINK("https://klasma.github.io/Logging_2303/tillsynsmail/A 52644-2024 tillsynsbegäran mail.docx", "A 52644-2024")</f>
        <v/>
      </c>
    </row>
    <row r="124" ht="15" customHeight="1">
      <c r="A124" t="inlineStr">
        <is>
          <t>A 19401-2025</t>
        </is>
      </c>
      <c r="B124" s="1" t="n">
        <v>45769.67767361111</v>
      </c>
      <c r="C124" s="1" t="n">
        <v>46022</v>
      </c>
      <c r="D124" t="inlineStr">
        <is>
          <t>JÄMTLANDS LÄN</t>
        </is>
      </c>
      <c r="E124" t="inlineStr">
        <is>
          <t>RAGUNDA</t>
        </is>
      </c>
      <c r="F124" t="inlineStr">
        <is>
          <t>SCA</t>
        </is>
      </c>
      <c r="G124" t="n">
        <v>4.3</v>
      </c>
      <c r="H124" t="n">
        <v>1</v>
      </c>
      <c r="I124" t="n">
        <v>0</v>
      </c>
      <c r="J124" t="n">
        <v>2</v>
      </c>
      <c r="K124" t="n">
        <v>2</v>
      </c>
      <c r="L124" t="n">
        <v>0</v>
      </c>
      <c r="M124" t="n">
        <v>0</v>
      </c>
      <c r="N124" t="n">
        <v>0</v>
      </c>
      <c r="O124" t="n">
        <v>4</v>
      </c>
      <c r="P124" t="n">
        <v>2</v>
      </c>
      <c r="Q124" t="n">
        <v>4</v>
      </c>
      <c r="R124" s="2" t="inlineStr">
        <is>
          <t>Knärot
Rynkskinn
Rosenticka
Vitgrynig nållav</t>
        </is>
      </c>
      <c r="S124">
        <f>HYPERLINK("https://klasma.github.io/Logging_2303/artfynd/A 19401-2025 artfynd.xlsx", "A 19401-2025")</f>
        <v/>
      </c>
      <c r="T124">
        <f>HYPERLINK("https://klasma.github.io/Logging_2303/kartor/A 19401-2025 karta.png", "A 19401-2025")</f>
        <v/>
      </c>
      <c r="U124">
        <f>HYPERLINK("https://klasma.github.io/Logging_2303/knärot/A 19401-2025 karta knärot.png", "A 19401-2025")</f>
        <v/>
      </c>
      <c r="V124">
        <f>HYPERLINK("https://klasma.github.io/Logging_2303/klagomål/A 19401-2025 FSC-klagomål.docx", "A 19401-2025")</f>
        <v/>
      </c>
      <c r="W124">
        <f>HYPERLINK("https://klasma.github.io/Logging_2303/klagomålsmail/A 19401-2025 FSC-klagomål mail.docx", "A 19401-2025")</f>
        <v/>
      </c>
      <c r="X124">
        <f>HYPERLINK("https://klasma.github.io/Logging_2303/tillsyn/A 19401-2025 tillsynsbegäran.docx", "A 19401-2025")</f>
        <v/>
      </c>
      <c r="Y124">
        <f>HYPERLINK("https://klasma.github.io/Logging_2303/tillsynsmail/A 19401-2025 tillsynsbegäran mail.docx", "A 19401-2025")</f>
        <v/>
      </c>
    </row>
    <row r="125" ht="15" customHeight="1">
      <c r="A125" t="inlineStr">
        <is>
          <t>A 17092-2022</t>
        </is>
      </c>
      <c r="B125" s="1" t="n">
        <v>44677</v>
      </c>
      <c r="C125" s="1" t="n">
        <v>46022</v>
      </c>
      <c r="D125" t="inlineStr">
        <is>
          <t>JÄMTLANDS LÄN</t>
        </is>
      </c>
      <c r="E125" t="inlineStr">
        <is>
          <t>RAGUNDA</t>
        </is>
      </c>
      <c r="G125" t="n">
        <v>21.2</v>
      </c>
      <c r="H125" t="n">
        <v>1</v>
      </c>
      <c r="I125" t="n">
        <v>0</v>
      </c>
      <c r="J125" t="n">
        <v>3</v>
      </c>
      <c r="K125" t="n">
        <v>1</v>
      </c>
      <c r="L125" t="n">
        <v>0</v>
      </c>
      <c r="M125" t="n">
        <v>0</v>
      </c>
      <c r="N125" t="n">
        <v>0</v>
      </c>
      <c r="O125" t="n">
        <v>4</v>
      </c>
      <c r="P125" t="n">
        <v>1</v>
      </c>
      <c r="Q125" t="n">
        <v>4</v>
      </c>
      <c r="R125" s="2" t="inlineStr">
        <is>
          <t>Knärot
Garnlav
Lunglav
Ullticka</t>
        </is>
      </c>
      <c r="S125">
        <f>HYPERLINK("https://klasma.github.io/Logging_2303/artfynd/A 17092-2022 artfynd.xlsx", "A 17092-2022")</f>
        <v/>
      </c>
      <c r="T125">
        <f>HYPERLINK("https://klasma.github.io/Logging_2303/kartor/A 17092-2022 karta.png", "A 17092-2022")</f>
        <v/>
      </c>
      <c r="U125">
        <f>HYPERLINK("https://klasma.github.io/Logging_2303/knärot/A 17092-2022 karta knärot.png", "A 17092-2022")</f>
        <v/>
      </c>
      <c r="V125">
        <f>HYPERLINK("https://klasma.github.io/Logging_2303/klagomål/A 17092-2022 FSC-klagomål.docx", "A 17092-2022")</f>
        <v/>
      </c>
      <c r="W125">
        <f>HYPERLINK("https://klasma.github.io/Logging_2303/klagomålsmail/A 17092-2022 FSC-klagomål mail.docx", "A 17092-2022")</f>
        <v/>
      </c>
      <c r="X125">
        <f>HYPERLINK("https://klasma.github.io/Logging_2303/tillsyn/A 17092-2022 tillsynsbegäran.docx", "A 17092-2022")</f>
        <v/>
      </c>
      <c r="Y125">
        <f>HYPERLINK("https://klasma.github.io/Logging_2303/tillsynsmail/A 17092-2022 tillsynsbegäran mail.docx", "A 17092-2022")</f>
        <v/>
      </c>
    </row>
    <row r="126" ht="15" customHeight="1">
      <c r="A126" t="inlineStr">
        <is>
          <t>A 48052-2022</t>
        </is>
      </c>
      <c r="B126" s="1" t="n">
        <v>44855</v>
      </c>
      <c r="C126" s="1" t="n">
        <v>46022</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46022</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46022</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46022</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21248-2025</t>
        </is>
      </c>
      <c r="B130" s="1" t="n">
        <v>45779.57392361111</v>
      </c>
      <c r="C130" s="1" t="n">
        <v>46022</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52345-2024</t>
        </is>
      </c>
      <c r="B131" s="1" t="n">
        <v>45609.34412037037</v>
      </c>
      <c r="C131" s="1" t="n">
        <v>46022</v>
      </c>
      <c r="D131" t="inlineStr">
        <is>
          <t>JÄMTLANDS LÄN</t>
        </is>
      </c>
      <c r="E131" t="inlineStr">
        <is>
          <t>RAGUNDA</t>
        </is>
      </c>
      <c r="F131" t="inlineStr">
        <is>
          <t>SCA</t>
        </is>
      </c>
      <c r="G131" t="n">
        <v>10.3</v>
      </c>
      <c r="H131" t="n">
        <v>1</v>
      </c>
      <c r="I131" t="n">
        <v>0</v>
      </c>
      <c r="J131" t="n">
        <v>2</v>
      </c>
      <c r="K131" t="n">
        <v>0</v>
      </c>
      <c r="L131" t="n">
        <v>0</v>
      </c>
      <c r="M131" t="n">
        <v>0</v>
      </c>
      <c r="N131" t="n">
        <v>0</v>
      </c>
      <c r="O131" t="n">
        <v>2</v>
      </c>
      <c r="P131" t="n">
        <v>0</v>
      </c>
      <c r="Q131" t="n">
        <v>3</v>
      </c>
      <c r="R131" s="2" t="inlineStr">
        <is>
          <t>Doftskinn
Koralltaggsvamp
Blåsippa</t>
        </is>
      </c>
      <c r="S131">
        <f>HYPERLINK("https://klasma.github.io/Logging_2303/artfynd/A 52345-2024 artfynd.xlsx", "A 52345-2024")</f>
        <v/>
      </c>
      <c r="T131">
        <f>HYPERLINK("https://klasma.github.io/Logging_2303/kartor/A 52345-2024 karta.png", "A 52345-2024")</f>
        <v/>
      </c>
      <c r="V131">
        <f>HYPERLINK("https://klasma.github.io/Logging_2303/klagomål/A 52345-2024 FSC-klagomål.docx", "A 52345-2024")</f>
        <v/>
      </c>
      <c r="W131">
        <f>HYPERLINK("https://klasma.github.io/Logging_2303/klagomålsmail/A 52345-2024 FSC-klagomål mail.docx", "A 52345-2024")</f>
        <v/>
      </c>
      <c r="X131">
        <f>HYPERLINK("https://klasma.github.io/Logging_2303/tillsyn/A 52345-2024 tillsynsbegäran.docx", "A 52345-2024")</f>
        <v/>
      </c>
      <c r="Y131">
        <f>HYPERLINK("https://klasma.github.io/Logging_2303/tillsynsmail/A 52345-2024 tillsynsbegäran mail.docx", "A 52345-2024")</f>
        <v/>
      </c>
    </row>
    <row r="132" ht="15" customHeight="1">
      <c r="A132" t="inlineStr">
        <is>
          <t>A 53022-2022</t>
        </is>
      </c>
      <c r="B132" s="1" t="n">
        <v>44875</v>
      </c>
      <c r="C132" s="1" t="n">
        <v>46022</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25769-2025</t>
        </is>
      </c>
      <c r="B133" s="1" t="n">
        <v>45804.34474537037</v>
      </c>
      <c r="C133" s="1" t="n">
        <v>46022</v>
      </c>
      <c r="D133" t="inlineStr">
        <is>
          <t>JÄMTLANDS LÄN</t>
        </is>
      </c>
      <c r="E133" t="inlineStr">
        <is>
          <t>RAGUNDA</t>
        </is>
      </c>
      <c r="F133" t="inlineStr">
        <is>
          <t>SCA</t>
        </is>
      </c>
      <c r="G133" t="n">
        <v>5.3</v>
      </c>
      <c r="H133" t="n">
        <v>2</v>
      </c>
      <c r="I133" t="n">
        <v>0</v>
      </c>
      <c r="J133" t="n">
        <v>3</v>
      </c>
      <c r="K133" t="n">
        <v>0</v>
      </c>
      <c r="L133" t="n">
        <v>0</v>
      </c>
      <c r="M133" t="n">
        <v>0</v>
      </c>
      <c r="N133" t="n">
        <v>0</v>
      </c>
      <c r="O133" t="n">
        <v>3</v>
      </c>
      <c r="P133" t="n">
        <v>0</v>
      </c>
      <c r="Q133" t="n">
        <v>3</v>
      </c>
      <c r="R133" s="2" t="inlineStr">
        <is>
          <t>Garnlav
Rödvingetrast
Tretåig hackspett</t>
        </is>
      </c>
      <c r="S133">
        <f>HYPERLINK("https://klasma.github.io/Logging_2303/artfynd/A 25769-2025 artfynd.xlsx", "A 25769-2025")</f>
        <v/>
      </c>
      <c r="T133">
        <f>HYPERLINK("https://klasma.github.io/Logging_2303/kartor/A 25769-2025 karta.png", "A 25769-2025")</f>
        <v/>
      </c>
      <c r="V133">
        <f>HYPERLINK("https://klasma.github.io/Logging_2303/klagomål/A 25769-2025 FSC-klagomål.docx", "A 25769-2025")</f>
        <v/>
      </c>
      <c r="W133">
        <f>HYPERLINK("https://klasma.github.io/Logging_2303/klagomålsmail/A 25769-2025 FSC-klagomål mail.docx", "A 25769-2025")</f>
        <v/>
      </c>
      <c r="X133">
        <f>HYPERLINK("https://klasma.github.io/Logging_2303/tillsyn/A 25769-2025 tillsynsbegäran.docx", "A 25769-2025")</f>
        <v/>
      </c>
      <c r="Y133">
        <f>HYPERLINK("https://klasma.github.io/Logging_2303/tillsynsmail/A 25769-2025 tillsynsbegäran mail.docx", "A 25769-2025")</f>
        <v/>
      </c>
      <c r="Z133">
        <f>HYPERLINK("https://klasma.github.io/Logging_2303/fåglar/A 25769-2025 prioriterade fågelarter.docx", "A 25769-2025")</f>
        <v/>
      </c>
    </row>
    <row r="134" ht="15" customHeight="1">
      <c r="A134" t="inlineStr">
        <is>
          <t>A 30470-2024</t>
        </is>
      </c>
      <c r="B134" s="1" t="n">
        <v>45491.94715277778</v>
      </c>
      <c r="C134" s="1" t="n">
        <v>46022</v>
      </c>
      <c r="D134" t="inlineStr">
        <is>
          <t>JÄMTLANDS LÄN</t>
        </is>
      </c>
      <c r="E134" t="inlineStr">
        <is>
          <t>RAGUNDA</t>
        </is>
      </c>
      <c r="F134" t="inlineStr">
        <is>
          <t>SCA</t>
        </is>
      </c>
      <c r="G134" t="n">
        <v>1.4</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HYPERLINK("https://klasma.github.io/Logging_2303/artfynd/A 30470-2024 artfynd.xlsx", "A 30470-2024")</f>
        <v/>
      </c>
      <c r="T134">
        <f>HYPERLINK("https://klasma.github.io/Logging_2303/kartor/A 30470-2024 karta.png", "A 30470-2024")</f>
        <v/>
      </c>
      <c r="U134">
        <f>HYPERLINK("https://klasma.github.io/Logging_2303/knärot/A 30470-2024 karta knärot.png", "A 30470-2024")</f>
        <v/>
      </c>
      <c r="V134">
        <f>HYPERLINK("https://klasma.github.io/Logging_2303/klagomål/A 30470-2024 FSC-klagomål.docx", "A 30470-2024")</f>
        <v/>
      </c>
      <c r="W134">
        <f>HYPERLINK("https://klasma.github.io/Logging_2303/klagomålsmail/A 30470-2024 FSC-klagomål mail.docx", "A 30470-2024")</f>
        <v/>
      </c>
      <c r="X134">
        <f>HYPERLINK("https://klasma.github.io/Logging_2303/tillsyn/A 30470-2024 tillsynsbegäran.docx", "A 30470-2024")</f>
        <v/>
      </c>
      <c r="Y134">
        <f>HYPERLINK("https://klasma.github.io/Logging_2303/tillsynsmail/A 30470-2024 tillsynsbegäran mail.docx", "A 30470-2024")</f>
        <v/>
      </c>
      <c r="Z134">
        <f>HYPERLINK("https://klasma.github.io/Logging_2303/fåglar/A 30470-2024 prioriterade fågelarter.docx", "A 30470-2024")</f>
        <v/>
      </c>
    </row>
    <row r="135" ht="15" customHeight="1">
      <c r="A135" t="inlineStr">
        <is>
          <t>A 58737-2022</t>
        </is>
      </c>
      <c r="B135" s="1" t="n">
        <v>44902</v>
      </c>
      <c r="C135" s="1" t="n">
        <v>46022</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57667-2025</t>
        </is>
      </c>
      <c r="B136" s="1" t="n">
        <v>45981.42767361111</v>
      </c>
      <c r="C136" s="1" t="n">
        <v>46022</v>
      </c>
      <c r="D136" t="inlineStr">
        <is>
          <t>JÄMTLANDS LÄN</t>
        </is>
      </c>
      <c r="E136" t="inlineStr">
        <is>
          <t>RAGUNDA</t>
        </is>
      </c>
      <c r="F136" t="inlineStr">
        <is>
          <t>SCA</t>
        </is>
      </c>
      <c r="G136" t="n">
        <v>1.7</v>
      </c>
      <c r="H136" t="n">
        <v>0</v>
      </c>
      <c r="I136" t="n">
        <v>2</v>
      </c>
      <c r="J136" t="n">
        <v>1</v>
      </c>
      <c r="K136" t="n">
        <v>0</v>
      </c>
      <c r="L136" t="n">
        <v>0</v>
      </c>
      <c r="M136" t="n">
        <v>0</v>
      </c>
      <c r="N136" t="n">
        <v>0</v>
      </c>
      <c r="O136" t="n">
        <v>1</v>
      </c>
      <c r="P136" t="n">
        <v>0</v>
      </c>
      <c r="Q136" t="n">
        <v>3</v>
      </c>
      <c r="R136" s="2" t="inlineStr">
        <is>
          <t>Lunglav
Korallblylav
Luddlav</t>
        </is>
      </c>
      <c r="S136">
        <f>HYPERLINK("https://klasma.github.io/Logging_2303/artfynd/A 57667-2025 artfynd.xlsx", "A 57667-2025")</f>
        <v/>
      </c>
      <c r="T136">
        <f>HYPERLINK("https://klasma.github.io/Logging_2303/kartor/A 57667-2025 karta.png", "A 57667-2025")</f>
        <v/>
      </c>
      <c r="V136">
        <f>HYPERLINK("https://klasma.github.io/Logging_2303/klagomål/A 57667-2025 FSC-klagomål.docx", "A 57667-2025")</f>
        <v/>
      </c>
      <c r="W136">
        <f>HYPERLINK("https://klasma.github.io/Logging_2303/klagomålsmail/A 57667-2025 FSC-klagomål mail.docx", "A 57667-2025")</f>
        <v/>
      </c>
      <c r="X136">
        <f>HYPERLINK("https://klasma.github.io/Logging_2303/tillsyn/A 57667-2025 tillsynsbegäran.docx", "A 57667-2025")</f>
        <v/>
      </c>
      <c r="Y136">
        <f>HYPERLINK("https://klasma.github.io/Logging_2303/tillsynsmail/A 57667-2025 tillsynsbegäran mail.docx", "A 57667-2025")</f>
        <v/>
      </c>
    </row>
    <row r="137" ht="15" customHeight="1">
      <c r="A137" t="inlineStr">
        <is>
          <t>A 22571-2025</t>
        </is>
      </c>
      <c r="B137" s="1" t="n">
        <v>45789.36503472222</v>
      </c>
      <c r="C137" s="1" t="n">
        <v>46022</v>
      </c>
      <c r="D137" t="inlineStr">
        <is>
          <t>JÄMTLANDS LÄN</t>
        </is>
      </c>
      <c r="E137" t="inlineStr">
        <is>
          <t>RAGUNDA</t>
        </is>
      </c>
      <c r="F137" t="inlineStr">
        <is>
          <t>SCA</t>
        </is>
      </c>
      <c r="G137" t="n">
        <v>18.2</v>
      </c>
      <c r="H137" t="n">
        <v>2</v>
      </c>
      <c r="I137" t="n">
        <v>0</v>
      </c>
      <c r="J137" t="n">
        <v>2</v>
      </c>
      <c r="K137" t="n">
        <v>0</v>
      </c>
      <c r="L137" t="n">
        <v>0</v>
      </c>
      <c r="M137" t="n">
        <v>0</v>
      </c>
      <c r="N137" t="n">
        <v>0</v>
      </c>
      <c r="O137" t="n">
        <v>2</v>
      </c>
      <c r="P137" t="n">
        <v>0</v>
      </c>
      <c r="Q137" t="n">
        <v>3</v>
      </c>
      <c r="R137" s="2" t="inlineStr">
        <is>
          <t>Garnlav
Tretåig hackspett
Nattviol</t>
        </is>
      </c>
      <c r="S137">
        <f>HYPERLINK("https://klasma.github.io/Logging_2303/artfynd/A 22571-2025 artfynd.xlsx", "A 22571-2025")</f>
        <v/>
      </c>
      <c r="T137">
        <f>HYPERLINK("https://klasma.github.io/Logging_2303/kartor/A 22571-2025 karta.png", "A 22571-2025")</f>
        <v/>
      </c>
      <c r="V137">
        <f>HYPERLINK("https://klasma.github.io/Logging_2303/klagomål/A 22571-2025 FSC-klagomål.docx", "A 22571-2025")</f>
        <v/>
      </c>
      <c r="W137">
        <f>HYPERLINK("https://klasma.github.io/Logging_2303/klagomålsmail/A 22571-2025 FSC-klagomål mail.docx", "A 22571-2025")</f>
        <v/>
      </c>
      <c r="X137">
        <f>HYPERLINK("https://klasma.github.io/Logging_2303/tillsyn/A 22571-2025 tillsynsbegäran.docx", "A 22571-2025")</f>
        <v/>
      </c>
      <c r="Y137">
        <f>HYPERLINK("https://klasma.github.io/Logging_2303/tillsynsmail/A 22571-2025 tillsynsbegäran mail.docx", "A 22571-2025")</f>
        <v/>
      </c>
      <c r="Z137">
        <f>HYPERLINK("https://klasma.github.io/Logging_2303/fåglar/A 22571-2025 prioriterade fågelarter.docx", "A 22571-2025")</f>
        <v/>
      </c>
    </row>
    <row r="138" ht="15" customHeight="1">
      <c r="A138" t="inlineStr">
        <is>
          <t>A 59179-2025</t>
        </is>
      </c>
      <c r="B138" s="1" t="n">
        <v>45988.57350694444</v>
      </c>
      <c r="C138" s="1" t="n">
        <v>46022</v>
      </c>
      <c r="D138" t="inlineStr">
        <is>
          <t>JÄMTLANDS LÄN</t>
        </is>
      </c>
      <c r="E138" t="inlineStr">
        <is>
          <t>RAGUNDA</t>
        </is>
      </c>
      <c r="F138" t="inlineStr">
        <is>
          <t>SCA</t>
        </is>
      </c>
      <c r="G138" t="n">
        <v>2.3</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HYPERLINK("https://klasma.github.io/Logging_2303/artfynd/A 59179-2025 artfynd.xlsx", "A 59179-2025")</f>
        <v/>
      </c>
      <c r="T138">
        <f>HYPERLINK("https://klasma.github.io/Logging_2303/kartor/A 59179-2025 karta.png", "A 59179-2025")</f>
        <v/>
      </c>
      <c r="V138">
        <f>HYPERLINK("https://klasma.github.io/Logging_2303/klagomål/A 59179-2025 FSC-klagomål.docx", "A 59179-2025")</f>
        <v/>
      </c>
      <c r="W138">
        <f>HYPERLINK("https://klasma.github.io/Logging_2303/klagomålsmail/A 59179-2025 FSC-klagomål mail.docx", "A 59179-2025")</f>
        <v/>
      </c>
      <c r="X138">
        <f>HYPERLINK("https://klasma.github.io/Logging_2303/tillsyn/A 59179-2025 tillsynsbegäran.docx", "A 59179-2025")</f>
        <v/>
      </c>
      <c r="Y138">
        <f>HYPERLINK("https://klasma.github.io/Logging_2303/tillsynsmail/A 59179-2025 tillsynsbegäran mail.docx", "A 59179-2025")</f>
        <v/>
      </c>
    </row>
    <row r="139" ht="15" customHeight="1">
      <c r="A139" t="inlineStr">
        <is>
          <t>A 34585-2025</t>
        </is>
      </c>
      <c r="B139" s="1" t="n">
        <v>45847.61498842593</v>
      </c>
      <c r="C139" s="1" t="n">
        <v>46022</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34585-2025 artfynd.xlsx", "A 34585-2025")</f>
        <v/>
      </c>
      <c r="T139">
        <f>HYPERLINK("https://klasma.github.io/Logging_2303/kartor/A 34585-2025 karta.png", "A 34585-2025")</f>
        <v/>
      </c>
      <c r="V139">
        <f>HYPERLINK("https://klasma.github.io/Logging_2303/klagomål/A 34585-2025 FSC-klagomål.docx", "A 34585-2025")</f>
        <v/>
      </c>
      <c r="W139">
        <f>HYPERLINK("https://klasma.github.io/Logging_2303/klagomålsmail/A 34585-2025 FSC-klagomål mail.docx", "A 34585-2025")</f>
        <v/>
      </c>
      <c r="X139">
        <f>HYPERLINK("https://klasma.github.io/Logging_2303/tillsyn/A 34585-2025 tillsynsbegäran.docx", "A 34585-2025")</f>
        <v/>
      </c>
      <c r="Y139">
        <f>HYPERLINK("https://klasma.github.io/Logging_2303/tillsynsmail/A 34585-2025 tillsynsbegäran mail.docx", "A 34585-2025")</f>
        <v/>
      </c>
    </row>
    <row r="140" ht="15" customHeight="1">
      <c r="A140" t="inlineStr">
        <is>
          <t>A 28178-2023</t>
        </is>
      </c>
      <c r="B140" s="1" t="n">
        <v>45093</v>
      </c>
      <c r="C140" s="1" t="n">
        <v>46022</v>
      </c>
      <c r="D140" t="inlineStr">
        <is>
          <t>JÄMTLANDS LÄN</t>
        </is>
      </c>
      <c r="E140" t="inlineStr">
        <is>
          <t>RAGUNDA</t>
        </is>
      </c>
      <c r="G140" t="n">
        <v>5.6</v>
      </c>
      <c r="H140" t="n">
        <v>0</v>
      </c>
      <c r="I140" t="n">
        <v>0</v>
      </c>
      <c r="J140" t="n">
        <v>3</v>
      </c>
      <c r="K140" t="n">
        <v>0</v>
      </c>
      <c r="L140" t="n">
        <v>0</v>
      </c>
      <c r="M140" t="n">
        <v>0</v>
      </c>
      <c r="N140" t="n">
        <v>0</v>
      </c>
      <c r="O140" t="n">
        <v>3</v>
      </c>
      <c r="P140" t="n">
        <v>0</v>
      </c>
      <c r="Q140" t="n">
        <v>3</v>
      </c>
      <c r="R140" s="2" t="inlineStr">
        <is>
          <t>Garnlav
Gultoppig fingersvamp
Violettgrå tagellav</t>
        </is>
      </c>
      <c r="S140">
        <f>HYPERLINK("https://klasma.github.io/Logging_2303/artfynd/A 28178-2023 artfynd.xlsx", "A 28178-2023")</f>
        <v/>
      </c>
      <c r="T140">
        <f>HYPERLINK("https://klasma.github.io/Logging_2303/kartor/A 28178-2023 karta.png", "A 28178-2023")</f>
        <v/>
      </c>
      <c r="V140">
        <f>HYPERLINK("https://klasma.github.io/Logging_2303/klagomål/A 28178-2023 FSC-klagomål.docx", "A 28178-2023")</f>
        <v/>
      </c>
      <c r="W140">
        <f>HYPERLINK("https://klasma.github.io/Logging_2303/klagomålsmail/A 28178-2023 FSC-klagomål mail.docx", "A 28178-2023")</f>
        <v/>
      </c>
      <c r="X140">
        <f>HYPERLINK("https://klasma.github.io/Logging_2303/tillsyn/A 28178-2023 tillsynsbegäran.docx", "A 28178-2023")</f>
        <v/>
      </c>
      <c r="Y140">
        <f>HYPERLINK("https://klasma.github.io/Logging_2303/tillsynsmail/A 28178-2023 tillsynsbegäran mail.docx", "A 28178-2023")</f>
        <v/>
      </c>
    </row>
    <row r="141" ht="15" customHeight="1">
      <c r="A141" t="inlineStr">
        <is>
          <t>A 32416-2025</t>
        </is>
      </c>
      <c r="B141" s="1" t="n">
        <v>45838</v>
      </c>
      <c r="C141" s="1" t="n">
        <v>46022</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49047-2023</t>
        </is>
      </c>
      <c r="B142" s="1" t="n">
        <v>45209</v>
      </c>
      <c r="C142" s="1" t="n">
        <v>46022</v>
      </c>
      <c r="D142" t="inlineStr">
        <is>
          <t>JÄMTLANDS LÄN</t>
        </is>
      </c>
      <c r="E142" t="inlineStr">
        <is>
          <t>RAGUNDA</t>
        </is>
      </c>
      <c r="F142" t="inlineStr">
        <is>
          <t>SCA</t>
        </is>
      </c>
      <c r="G142" t="n">
        <v>6.9</v>
      </c>
      <c r="H142" t="n">
        <v>0</v>
      </c>
      <c r="I142" t="n">
        <v>0</v>
      </c>
      <c r="J142" t="n">
        <v>3</v>
      </c>
      <c r="K142" t="n">
        <v>0</v>
      </c>
      <c r="L142" t="n">
        <v>0</v>
      </c>
      <c r="M142" t="n">
        <v>0</v>
      </c>
      <c r="N142" t="n">
        <v>0</v>
      </c>
      <c r="O142" t="n">
        <v>3</v>
      </c>
      <c r="P142" t="n">
        <v>0</v>
      </c>
      <c r="Q142" t="n">
        <v>3</v>
      </c>
      <c r="R142" s="2" t="inlineStr">
        <is>
          <t>Lunglav
Rosenticka
Skrovellav</t>
        </is>
      </c>
      <c r="S142">
        <f>HYPERLINK("https://klasma.github.io/Logging_2303/artfynd/A 49047-2023 artfynd.xlsx", "A 49047-2023")</f>
        <v/>
      </c>
      <c r="T142">
        <f>HYPERLINK("https://klasma.github.io/Logging_2303/kartor/A 49047-2023 karta.png", "A 49047-2023")</f>
        <v/>
      </c>
      <c r="V142">
        <f>HYPERLINK("https://klasma.github.io/Logging_2303/klagomål/A 49047-2023 FSC-klagomål.docx", "A 49047-2023")</f>
        <v/>
      </c>
      <c r="W142">
        <f>HYPERLINK("https://klasma.github.io/Logging_2303/klagomålsmail/A 49047-2023 FSC-klagomål mail.docx", "A 49047-2023")</f>
        <v/>
      </c>
      <c r="X142">
        <f>HYPERLINK("https://klasma.github.io/Logging_2303/tillsyn/A 49047-2023 tillsynsbegäran.docx", "A 49047-2023")</f>
        <v/>
      </c>
      <c r="Y142">
        <f>HYPERLINK("https://klasma.github.io/Logging_2303/tillsynsmail/A 49047-2023 tillsynsbegäran mail.docx", "A 49047-2023")</f>
        <v/>
      </c>
    </row>
    <row r="143" ht="15" customHeight="1">
      <c r="A143" t="inlineStr">
        <is>
          <t>A 14814-2024</t>
        </is>
      </c>
      <c r="B143" s="1" t="n">
        <v>45397.95748842593</v>
      </c>
      <c r="C143" s="1" t="n">
        <v>46022</v>
      </c>
      <c r="D143" t="inlineStr">
        <is>
          <t>JÄMTLANDS LÄN</t>
        </is>
      </c>
      <c r="E143" t="inlineStr">
        <is>
          <t>RAGUNDA</t>
        </is>
      </c>
      <c r="F143" t="inlineStr">
        <is>
          <t>SCA</t>
        </is>
      </c>
      <c r="G143" t="n">
        <v>10.5</v>
      </c>
      <c r="H143" t="n">
        <v>0</v>
      </c>
      <c r="I143" t="n">
        <v>2</v>
      </c>
      <c r="J143" t="n">
        <v>1</v>
      </c>
      <c r="K143" t="n">
        <v>0</v>
      </c>
      <c r="L143" t="n">
        <v>0</v>
      </c>
      <c r="M143" t="n">
        <v>0</v>
      </c>
      <c r="N143" t="n">
        <v>0</v>
      </c>
      <c r="O143" t="n">
        <v>1</v>
      </c>
      <c r="P143" t="n">
        <v>0</v>
      </c>
      <c r="Q143" t="n">
        <v>3</v>
      </c>
      <c r="R143" s="2" t="inlineStr">
        <is>
          <t>Rosenticka
Svart trolldruva
Tibast</t>
        </is>
      </c>
      <c r="S143">
        <f>HYPERLINK("https://klasma.github.io/Logging_2303/artfynd/A 14814-2024 artfynd.xlsx", "A 14814-2024")</f>
        <v/>
      </c>
      <c r="T143">
        <f>HYPERLINK("https://klasma.github.io/Logging_2303/kartor/A 14814-2024 karta.png", "A 14814-2024")</f>
        <v/>
      </c>
      <c r="V143">
        <f>HYPERLINK("https://klasma.github.io/Logging_2303/klagomål/A 14814-2024 FSC-klagomål.docx", "A 14814-2024")</f>
        <v/>
      </c>
      <c r="W143">
        <f>HYPERLINK("https://klasma.github.io/Logging_2303/klagomålsmail/A 14814-2024 FSC-klagomål mail.docx", "A 14814-2024")</f>
        <v/>
      </c>
      <c r="X143">
        <f>HYPERLINK("https://klasma.github.io/Logging_2303/tillsyn/A 14814-2024 tillsynsbegäran.docx", "A 14814-2024")</f>
        <v/>
      </c>
      <c r="Y143">
        <f>HYPERLINK("https://klasma.github.io/Logging_2303/tillsynsmail/A 14814-2024 tillsynsbegäran mail.docx", "A 14814-2024")</f>
        <v/>
      </c>
    </row>
    <row r="144" ht="15" customHeight="1">
      <c r="A144" t="inlineStr">
        <is>
          <t>A 33278-2022</t>
        </is>
      </c>
      <c r="B144" s="1" t="n">
        <v>44788</v>
      </c>
      <c r="C144" s="1" t="n">
        <v>46022</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61954-2025</t>
        </is>
      </c>
      <c r="B145" s="1" t="n">
        <v>46003.57381944444</v>
      </c>
      <c r="C145" s="1" t="n">
        <v>46022</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57941-2024</t>
        </is>
      </c>
      <c r="B146" s="1" t="n">
        <v>45631</v>
      </c>
      <c r="C146" s="1" t="n">
        <v>46022</v>
      </c>
      <c r="D146" t="inlineStr">
        <is>
          <t>JÄMTLANDS LÄN</t>
        </is>
      </c>
      <c r="E146" t="inlineStr">
        <is>
          <t>RAGUNDA</t>
        </is>
      </c>
      <c r="F146" t="inlineStr">
        <is>
          <t>SCA</t>
        </is>
      </c>
      <c r="G146" t="n">
        <v>4.2</v>
      </c>
      <c r="H146" t="n">
        <v>1</v>
      </c>
      <c r="I146" t="n">
        <v>0</v>
      </c>
      <c r="J146" t="n">
        <v>3</v>
      </c>
      <c r="K146" t="n">
        <v>0</v>
      </c>
      <c r="L146" t="n">
        <v>0</v>
      </c>
      <c r="M146" t="n">
        <v>0</v>
      </c>
      <c r="N146" t="n">
        <v>0</v>
      </c>
      <c r="O146" t="n">
        <v>3</v>
      </c>
      <c r="P146" t="n">
        <v>0</v>
      </c>
      <c r="Q146" t="n">
        <v>3</v>
      </c>
      <c r="R146" s="2" t="inlineStr">
        <is>
          <t>Garnlav
Lunglav
Tretåig hackspett</t>
        </is>
      </c>
      <c r="S146">
        <f>HYPERLINK("https://klasma.github.io/Logging_2303/artfynd/A 57941-2024 artfynd.xlsx", "A 57941-2024")</f>
        <v/>
      </c>
      <c r="T146">
        <f>HYPERLINK("https://klasma.github.io/Logging_2303/kartor/A 57941-2024 karta.png", "A 57941-2024")</f>
        <v/>
      </c>
      <c r="V146">
        <f>HYPERLINK("https://klasma.github.io/Logging_2303/klagomål/A 57941-2024 FSC-klagomål.docx", "A 57941-2024")</f>
        <v/>
      </c>
      <c r="W146">
        <f>HYPERLINK("https://klasma.github.io/Logging_2303/klagomålsmail/A 57941-2024 FSC-klagomål mail.docx", "A 57941-2024")</f>
        <v/>
      </c>
      <c r="X146">
        <f>HYPERLINK("https://klasma.github.io/Logging_2303/tillsyn/A 57941-2024 tillsynsbegäran.docx", "A 57941-2024")</f>
        <v/>
      </c>
      <c r="Y146">
        <f>HYPERLINK("https://klasma.github.io/Logging_2303/tillsynsmail/A 57941-2024 tillsynsbegäran mail.docx", "A 57941-2024")</f>
        <v/>
      </c>
      <c r="Z146">
        <f>HYPERLINK("https://klasma.github.io/Logging_2303/fåglar/A 57941-2024 prioriterade fågelarter.docx", "A 57941-2024")</f>
        <v/>
      </c>
    </row>
    <row r="147" ht="15" customHeight="1">
      <c r="A147" t="inlineStr">
        <is>
          <t>A 7519-2023</t>
        </is>
      </c>
      <c r="B147" s="1" t="n">
        <v>44971</v>
      </c>
      <c r="C147" s="1" t="n">
        <v>46022</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12737-2025</t>
        </is>
      </c>
      <c r="B148" s="1" t="n">
        <v>45733</v>
      </c>
      <c r="C148" s="1" t="n">
        <v>46022</v>
      </c>
      <c r="D148" t="inlineStr">
        <is>
          <t>JÄMTLANDS LÄN</t>
        </is>
      </c>
      <c r="E148" t="inlineStr">
        <is>
          <t>RAGUNDA</t>
        </is>
      </c>
      <c r="G148" t="n">
        <v>16.1</v>
      </c>
      <c r="H148" t="n">
        <v>2</v>
      </c>
      <c r="I148" t="n">
        <v>2</v>
      </c>
      <c r="J148" t="n">
        <v>0</v>
      </c>
      <c r="K148" t="n">
        <v>1</v>
      </c>
      <c r="L148" t="n">
        <v>0</v>
      </c>
      <c r="M148" t="n">
        <v>0</v>
      </c>
      <c r="N148" t="n">
        <v>0</v>
      </c>
      <c r="O148" t="n">
        <v>1</v>
      </c>
      <c r="P148" t="n">
        <v>1</v>
      </c>
      <c r="Q148" t="n">
        <v>3</v>
      </c>
      <c r="R148" s="2" t="inlineStr">
        <is>
          <t>Knärot
Plattlummer
Skarp dropptaggsvamp</t>
        </is>
      </c>
      <c r="S148">
        <f>HYPERLINK("https://klasma.github.io/Logging_2303/artfynd/A 12737-2025 artfynd.xlsx", "A 12737-2025")</f>
        <v/>
      </c>
      <c r="T148">
        <f>HYPERLINK("https://klasma.github.io/Logging_2303/kartor/A 12737-2025 karta.png", "A 12737-2025")</f>
        <v/>
      </c>
      <c r="U148">
        <f>HYPERLINK("https://klasma.github.io/Logging_2303/knärot/A 12737-2025 karta knärot.png", "A 12737-2025")</f>
        <v/>
      </c>
      <c r="V148">
        <f>HYPERLINK("https://klasma.github.io/Logging_2303/klagomål/A 12737-2025 FSC-klagomål.docx", "A 12737-2025")</f>
        <v/>
      </c>
      <c r="W148">
        <f>HYPERLINK("https://klasma.github.io/Logging_2303/klagomålsmail/A 12737-2025 FSC-klagomål mail.docx", "A 12737-2025")</f>
        <v/>
      </c>
      <c r="X148">
        <f>HYPERLINK("https://klasma.github.io/Logging_2303/tillsyn/A 12737-2025 tillsynsbegäran.docx", "A 12737-2025")</f>
        <v/>
      </c>
      <c r="Y148">
        <f>HYPERLINK("https://klasma.github.io/Logging_2303/tillsynsmail/A 12737-2025 tillsynsbegäran mail.docx", "A 12737-2025")</f>
        <v/>
      </c>
    </row>
    <row r="149" ht="15" customHeight="1">
      <c r="A149" t="inlineStr">
        <is>
          <t>A 5048-2025</t>
        </is>
      </c>
      <c r="B149" s="1" t="n">
        <v>45691.44769675926</v>
      </c>
      <c r="C149" s="1" t="n">
        <v>46022</v>
      </c>
      <c r="D149" t="inlineStr">
        <is>
          <t>JÄMTLANDS LÄN</t>
        </is>
      </c>
      <c r="E149" t="inlineStr">
        <is>
          <t>RAGUNDA</t>
        </is>
      </c>
      <c r="F149" t="inlineStr">
        <is>
          <t>SCA</t>
        </is>
      </c>
      <c r="G149" t="n">
        <v>1.8</v>
      </c>
      <c r="H149" t="n">
        <v>3</v>
      </c>
      <c r="I149" t="n">
        <v>2</v>
      </c>
      <c r="J149" t="n">
        <v>0</v>
      </c>
      <c r="K149" t="n">
        <v>0</v>
      </c>
      <c r="L149" t="n">
        <v>0</v>
      </c>
      <c r="M149" t="n">
        <v>0</v>
      </c>
      <c r="N149" t="n">
        <v>0</v>
      </c>
      <c r="O149" t="n">
        <v>0</v>
      </c>
      <c r="P149" t="n">
        <v>0</v>
      </c>
      <c r="Q149" t="n">
        <v>3</v>
      </c>
      <c r="R149" s="2" t="inlineStr">
        <is>
          <t>Guckusko
Tvåblad
Fläcknycklar</t>
        </is>
      </c>
      <c r="S149">
        <f>HYPERLINK("https://klasma.github.io/Logging_2303/artfynd/A 5048-2025 artfynd.xlsx", "A 5048-2025")</f>
        <v/>
      </c>
      <c r="T149">
        <f>HYPERLINK("https://klasma.github.io/Logging_2303/kartor/A 5048-2025 karta.png", "A 5048-2025")</f>
        <v/>
      </c>
      <c r="V149">
        <f>HYPERLINK("https://klasma.github.io/Logging_2303/klagomål/A 5048-2025 FSC-klagomål.docx", "A 5048-2025")</f>
        <v/>
      </c>
      <c r="W149">
        <f>HYPERLINK("https://klasma.github.io/Logging_2303/klagomålsmail/A 5048-2025 FSC-klagomål mail.docx", "A 5048-2025")</f>
        <v/>
      </c>
      <c r="X149">
        <f>HYPERLINK("https://klasma.github.io/Logging_2303/tillsyn/A 5048-2025 tillsynsbegäran.docx", "A 5048-2025")</f>
        <v/>
      </c>
      <c r="Y149">
        <f>HYPERLINK("https://klasma.github.io/Logging_2303/tillsynsmail/A 5048-2025 tillsynsbegäran mail.docx", "A 5048-2025")</f>
        <v/>
      </c>
    </row>
    <row r="150" ht="15" customHeight="1">
      <c r="A150" t="inlineStr">
        <is>
          <t>A 61790-2023</t>
        </is>
      </c>
      <c r="B150" s="1" t="n">
        <v>45265</v>
      </c>
      <c r="C150" s="1" t="n">
        <v>46022</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48054-2022</t>
        </is>
      </c>
      <c r="B151" s="1" t="n">
        <v>44855</v>
      </c>
      <c r="C151" s="1" t="n">
        <v>46022</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20776-2024</t>
        </is>
      </c>
      <c r="B152" s="1" t="n">
        <v>45436.94686342592</v>
      </c>
      <c r="C152" s="1" t="n">
        <v>46022</v>
      </c>
      <c r="D152" t="inlineStr">
        <is>
          <t>JÄMTLANDS LÄN</t>
        </is>
      </c>
      <c r="E152" t="inlineStr">
        <is>
          <t>RAGUNDA</t>
        </is>
      </c>
      <c r="F152" t="inlineStr">
        <is>
          <t>SCA</t>
        </is>
      </c>
      <c r="G152" t="n">
        <v>5.2</v>
      </c>
      <c r="H152" t="n">
        <v>0</v>
      </c>
      <c r="I152" t="n">
        <v>0</v>
      </c>
      <c r="J152" t="n">
        <v>2</v>
      </c>
      <c r="K152" t="n">
        <v>1</v>
      </c>
      <c r="L152" t="n">
        <v>0</v>
      </c>
      <c r="M152" t="n">
        <v>0</v>
      </c>
      <c r="N152" t="n">
        <v>0</v>
      </c>
      <c r="O152" t="n">
        <v>3</v>
      </c>
      <c r="P152" t="n">
        <v>1</v>
      </c>
      <c r="Q152" t="n">
        <v>3</v>
      </c>
      <c r="R152" s="2" t="inlineStr">
        <is>
          <t>Liten hornflikmossa
Garnlav
Vedtrappmossa</t>
        </is>
      </c>
      <c r="S152">
        <f>HYPERLINK("https://klasma.github.io/Logging_2303/artfynd/A 20776-2024 artfynd.xlsx", "A 20776-2024")</f>
        <v/>
      </c>
      <c r="T152">
        <f>HYPERLINK("https://klasma.github.io/Logging_2303/kartor/A 20776-2024 karta.png", "A 20776-2024")</f>
        <v/>
      </c>
      <c r="V152">
        <f>HYPERLINK("https://klasma.github.io/Logging_2303/klagomål/A 20776-2024 FSC-klagomål.docx", "A 20776-2024")</f>
        <v/>
      </c>
      <c r="W152">
        <f>HYPERLINK("https://klasma.github.io/Logging_2303/klagomålsmail/A 20776-2024 FSC-klagomål mail.docx", "A 20776-2024")</f>
        <v/>
      </c>
      <c r="X152">
        <f>HYPERLINK("https://klasma.github.io/Logging_2303/tillsyn/A 20776-2024 tillsynsbegäran.docx", "A 20776-2024")</f>
        <v/>
      </c>
      <c r="Y152">
        <f>HYPERLINK("https://klasma.github.io/Logging_2303/tillsynsmail/A 20776-2024 tillsynsbegäran mail.docx", "A 20776-2024")</f>
        <v/>
      </c>
    </row>
    <row r="153" ht="15" customHeight="1">
      <c r="A153" t="inlineStr">
        <is>
          <t>A 36504-2023</t>
        </is>
      </c>
      <c r="B153" s="1" t="n">
        <v>45152</v>
      </c>
      <c r="C153" s="1" t="n">
        <v>46022</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16305-2025</t>
        </is>
      </c>
      <c r="B154" s="1" t="n">
        <v>45751.34650462963</v>
      </c>
      <c r="C154" s="1" t="n">
        <v>46022</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22730-2023</t>
        </is>
      </c>
      <c r="B155" s="1" t="n">
        <v>45071</v>
      </c>
      <c r="C155" s="1" t="n">
        <v>46022</v>
      </c>
      <c r="D155" t="inlineStr">
        <is>
          <t>JÄMTLANDS LÄN</t>
        </is>
      </c>
      <c r="E155" t="inlineStr">
        <is>
          <t>RAGUNDA</t>
        </is>
      </c>
      <c r="G155" t="n">
        <v>3.6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HYPERLINK("https://klasma.github.io/Logging_2303/artfynd/A 22730-2023 artfynd.xlsx", "A 22730-2023")</f>
        <v/>
      </c>
      <c r="T155">
        <f>HYPERLINK("https://klasma.github.io/Logging_2303/kartor/A 22730-2023 karta.png", "A 22730-2023")</f>
        <v/>
      </c>
      <c r="V155">
        <f>HYPERLINK("https://klasma.github.io/Logging_2303/klagomål/A 22730-2023 FSC-klagomål.docx", "A 22730-2023")</f>
        <v/>
      </c>
      <c r="W155">
        <f>HYPERLINK("https://klasma.github.io/Logging_2303/klagomålsmail/A 22730-2023 FSC-klagomål mail.docx", "A 22730-2023")</f>
        <v/>
      </c>
      <c r="X155">
        <f>HYPERLINK("https://klasma.github.io/Logging_2303/tillsyn/A 22730-2023 tillsynsbegäran.docx", "A 22730-2023")</f>
        <v/>
      </c>
      <c r="Y155">
        <f>HYPERLINK("https://klasma.github.io/Logging_2303/tillsynsmail/A 22730-2023 tillsynsbegäran mail.docx", "A 22730-2023")</f>
        <v/>
      </c>
    </row>
    <row r="156" ht="15" customHeight="1">
      <c r="A156" t="inlineStr">
        <is>
          <t>A 33432-2023</t>
        </is>
      </c>
      <c r="B156" s="1" t="n">
        <v>45128</v>
      </c>
      <c r="C156" s="1" t="n">
        <v>46022</v>
      </c>
      <c r="D156" t="inlineStr">
        <is>
          <t>JÄMTLANDS LÄN</t>
        </is>
      </c>
      <c r="E156" t="inlineStr">
        <is>
          <t>RAGUNDA</t>
        </is>
      </c>
      <c r="F156" t="inlineStr">
        <is>
          <t>SCA</t>
        </is>
      </c>
      <c r="G156" t="n">
        <v>10</v>
      </c>
      <c r="H156" t="n">
        <v>1</v>
      </c>
      <c r="I156" t="n">
        <v>0</v>
      </c>
      <c r="J156" t="n">
        <v>3</v>
      </c>
      <c r="K156" t="n">
        <v>0</v>
      </c>
      <c r="L156" t="n">
        <v>0</v>
      </c>
      <c r="M156" t="n">
        <v>0</v>
      </c>
      <c r="N156" t="n">
        <v>0</v>
      </c>
      <c r="O156" t="n">
        <v>3</v>
      </c>
      <c r="P156" t="n">
        <v>0</v>
      </c>
      <c r="Q156" t="n">
        <v>3</v>
      </c>
      <c r="R156" s="2" t="inlineStr">
        <is>
          <t>Garnlav
Lunglav
Tretåig hackspett</t>
        </is>
      </c>
      <c r="S156">
        <f>HYPERLINK("https://klasma.github.io/Logging_2303/artfynd/A 33432-2023 artfynd.xlsx", "A 33432-2023")</f>
        <v/>
      </c>
      <c r="T156">
        <f>HYPERLINK("https://klasma.github.io/Logging_2303/kartor/A 33432-2023 karta.png", "A 33432-2023")</f>
        <v/>
      </c>
      <c r="V156">
        <f>HYPERLINK("https://klasma.github.io/Logging_2303/klagomål/A 33432-2023 FSC-klagomål.docx", "A 33432-2023")</f>
        <v/>
      </c>
      <c r="W156">
        <f>HYPERLINK("https://klasma.github.io/Logging_2303/klagomålsmail/A 33432-2023 FSC-klagomål mail.docx", "A 33432-2023")</f>
        <v/>
      </c>
      <c r="X156">
        <f>HYPERLINK("https://klasma.github.io/Logging_2303/tillsyn/A 33432-2023 tillsynsbegäran.docx", "A 33432-2023")</f>
        <v/>
      </c>
      <c r="Y156">
        <f>HYPERLINK("https://klasma.github.io/Logging_2303/tillsynsmail/A 33432-2023 tillsynsbegäran mail.docx", "A 33432-2023")</f>
        <v/>
      </c>
      <c r="Z156">
        <f>HYPERLINK("https://klasma.github.io/Logging_2303/fåglar/A 33432-2023 prioriterade fågelarter.docx", "A 33432-2023")</f>
        <v/>
      </c>
    </row>
    <row r="157" ht="15" customHeight="1">
      <c r="A157" t="inlineStr">
        <is>
          <t>A 17043-2022</t>
        </is>
      </c>
      <c r="B157" s="1" t="n">
        <v>44676</v>
      </c>
      <c r="C157" s="1" t="n">
        <v>46022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46022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21245-2025</t>
        </is>
      </c>
      <c r="B159" s="1" t="n">
        <v>45779.57350694444</v>
      </c>
      <c r="C159" s="1" t="n">
        <v>46022</v>
      </c>
      <c r="D159" t="inlineStr">
        <is>
          <t>JÄMTLANDS LÄN</t>
        </is>
      </c>
      <c r="E159" t="inlineStr">
        <is>
          <t>RAGUNDA</t>
        </is>
      </c>
      <c r="F159" t="inlineStr">
        <is>
          <t>SCA</t>
        </is>
      </c>
      <c r="G159" t="n">
        <v>3.7</v>
      </c>
      <c r="H159" t="n">
        <v>1</v>
      </c>
      <c r="I159" t="n">
        <v>0</v>
      </c>
      <c r="J159" t="n">
        <v>1</v>
      </c>
      <c r="K159" t="n">
        <v>0</v>
      </c>
      <c r="L159" t="n">
        <v>0</v>
      </c>
      <c r="M159" t="n">
        <v>0</v>
      </c>
      <c r="N159" t="n">
        <v>0</v>
      </c>
      <c r="O159" t="n">
        <v>1</v>
      </c>
      <c r="P159" t="n">
        <v>0</v>
      </c>
      <c r="Q159" t="n">
        <v>2</v>
      </c>
      <c r="R159" s="2" t="inlineStr">
        <is>
          <t>Garnlav
Tjäder</t>
        </is>
      </c>
      <c r="S159">
        <f>HYPERLINK("https://klasma.github.io/Logging_2303/artfynd/A 21245-2025 artfynd.xlsx", "A 21245-2025")</f>
        <v/>
      </c>
      <c r="T159">
        <f>HYPERLINK("https://klasma.github.io/Logging_2303/kartor/A 21245-2025 karta.png", "A 21245-2025")</f>
        <v/>
      </c>
      <c r="V159">
        <f>HYPERLINK("https://klasma.github.io/Logging_2303/klagomål/A 21245-2025 FSC-klagomål.docx", "A 21245-2025")</f>
        <v/>
      </c>
      <c r="W159">
        <f>HYPERLINK("https://klasma.github.io/Logging_2303/klagomålsmail/A 21245-2025 FSC-klagomål mail.docx", "A 21245-2025")</f>
        <v/>
      </c>
      <c r="X159">
        <f>HYPERLINK("https://klasma.github.io/Logging_2303/tillsyn/A 21245-2025 tillsynsbegäran.docx", "A 21245-2025")</f>
        <v/>
      </c>
      <c r="Y159">
        <f>HYPERLINK("https://klasma.github.io/Logging_2303/tillsynsmail/A 21245-2025 tillsynsbegäran mail.docx", "A 21245-2025")</f>
        <v/>
      </c>
      <c r="Z159">
        <f>HYPERLINK("https://klasma.github.io/Logging_2303/fåglar/A 21245-2025 prioriterade fågelarter.docx", "A 21245-2025")</f>
        <v/>
      </c>
    </row>
    <row r="160" ht="15" customHeight="1">
      <c r="A160" t="inlineStr">
        <is>
          <t>A 47850-2025</t>
        </is>
      </c>
      <c r="B160" s="1" t="n">
        <v>45932.38626157407</v>
      </c>
      <c r="C160" s="1" t="n">
        <v>46022</v>
      </c>
      <c r="D160" t="inlineStr">
        <is>
          <t>JÄMTLANDS LÄN</t>
        </is>
      </c>
      <c r="E160" t="inlineStr">
        <is>
          <t>RAGUNDA</t>
        </is>
      </c>
      <c r="F160" t="inlineStr">
        <is>
          <t>SCA</t>
        </is>
      </c>
      <c r="G160" t="n">
        <v>2.4</v>
      </c>
      <c r="H160" t="n">
        <v>1</v>
      </c>
      <c r="I160" t="n">
        <v>0</v>
      </c>
      <c r="J160" t="n">
        <v>1</v>
      </c>
      <c r="K160" t="n">
        <v>0</v>
      </c>
      <c r="L160" t="n">
        <v>0</v>
      </c>
      <c r="M160" t="n">
        <v>0</v>
      </c>
      <c r="N160" t="n">
        <v>0</v>
      </c>
      <c r="O160" t="n">
        <v>1</v>
      </c>
      <c r="P160" t="n">
        <v>0</v>
      </c>
      <c r="Q160" t="n">
        <v>2</v>
      </c>
      <c r="R160" s="2" t="inlineStr">
        <is>
          <t>Kolflarnlav
Blåsippa</t>
        </is>
      </c>
      <c r="S160">
        <f>HYPERLINK("https://klasma.github.io/Logging_2303/artfynd/A 47850-2025 artfynd.xlsx", "A 47850-2025")</f>
        <v/>
      </c>
      <c r="T160">
        <f>HYPERLINK("https://klasma.github.io/Logging_2303/kartor/A 47850-2025 karta.png", "A 47850-2025")</f>
        <v/>
      </c>
      <c r="V160">
        <f>HYPERLINK("https://klasma.github.io/Logging_2303/klagomål/A 47850-2025 FSC-klagomål.docx", "A 47850-2025")</f>
        <v/>
      </c>
      <c r="W160">
        <f>HYPERLINK("https://klasma.github.io/Logging_2303/klagomålsmail/A 47850-2025 FSC-klagomål mail.docx", "A 47850-2025")</f>
        <v/>
      </c>
      <c r="X160">
        <f>HYPERLINK("https://klasma.github.io/Logging_2303/tillsyn/A 47850-2025 tillsynsbegäran.docx", "A 47850-2025")</f>
        <v/>
      </c>
      <c r="Y160">
        <f>HYPERLINK("https://klasma.github.io/Logging_2303/tillsynsmail/A 47850-2025 tillsynsbegäran mail.docx", "A 47850-2025")</f>
        <v/>
      </c>
    </row>
    <row r="161" ht="15" customHeight="1">
      <c r="A161" t="inlineStr">
        <is>
          <t>A 19384-2025</t>
        </is>
      </c>
      <c r="B161" s="1" t="n">
        <v>45769.65692129629</v>
      </c>
      <c r="C161" s="1" t="n">
        <v>46022</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25155-2025</t>
        </is>
      </c>
      <c r="B162" s="1" t="n">
        <v>45800.42782407408</v>
      </c>
      <c r="C162" s="1" t="n">
        <v>46022</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Leptoporus mollis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32736-2023</t>
        </is>
      </c>
      <c r="B163" s="1" t="n">
        <v>45121</v>
      </c>
      <c r="C163" s="1" t="n">
        <v>46022</v>
      </c>
      <c r="D163" t="inlineStr">
        <is>
          <t>JÄMTLANDS LÄN</t>
        </is>
      </c>
      <c r="E163" t="inlineStr">
        <is>
          <t>RAGUNDA</t>
        </is>
      </c>
      <c r="F163" t="inlineStr">
        <is>
          <t>SCA</t>
        </is>
      </c>
      <c r="G163" t="n">
        <v>2.5</v>
      </c>
      <c r="H163" t="n">
        <v>0</v>
      </c>
      <c r="I163" t="n">
        <v>1</v>
      </c>
      <c r="J163" t="n">
        <v>1</v>
      </c>
      <c r="K163" t="n">
        <v>0</v>
      </c>
      <c r="L163" t="n">
        <v>0</v>
      </c>
      <c r="M163" t="n">
        <v>0</v>
      </c>
      <c r="N163" t="n">
        <v>0</v>
      </c>
      <c r="O163" t="n">
        <v>1</v>
      </c>
      <c r="P163" t="n">
        <v>0</v>
      </c>
      <c r="Q163" t="n">
        <v>2</v>
      </c>
      <c r="R163" s="2" t="inlineStr">
        <is>
          <t>Vedtrappmossa
Stor aspticka</t>
        </is>
      </c>
      <c r="S163">
        <f>HYPERLINK("https://klasma.github.io/Logging_2303/artfynd/A 32736-2023 artfynd.xlsx", "A 32736-2023")</f>
        <v/>
      </c>
      <c r="T163">
        <f>HYPERLINK("https://klasma.github.io/Logging_2303/kartor/A 32736-2023 karta.png", "A 32736-2023")</f>
        <v/>
      </c>
      <c r="V163">
        <f>HYPERLINK("https://klasma.github.io/Logging_2303/klagomål/A 32736-2023 FSC-klagomål.docx", "A 32736-2023")</f>
        <v/>
      </c>
      <c r="W163">
        <f>HYPERLINK("https://klasma.github.io/Logging_2303/klagomålsmail/A 32736-2023 FSC-klagomål mail.docx", "A 32736-2023")</f>
        <v/>
      </c>
      <c r="X163">
        <f>HYPERLINK("https://klasma.github.io/Logging_2303/tillsyn/A 32736-2023 tillsynsbegäran.docx", "A 32736-2023")</f>
        <v/>
      </c>
      <c r="Y163">
        <f>HYPERLINK("https://klasma.github.io/Logging_2303/tillsynsmail/A 32736-2023 tillsynsbegäran mail.docx", "A 32736-2023")</f>
        <v/>
      </c>
    </row>
    <row r="164" ht="15" customHeight="1">
      <c r="A164" t="inlineStr">
        <is>
          <t>A 55647-2023</t>
        </is>
      </c>
      <c r="B164" s="1" t="n">
        <v>45238</v>
      </c>
      <c r="C164" s="1" t="n">
        <v>46022</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47267-2022</t>
        </is>
      </c>
      <c r="B165" s="1" t="n">
        <v>44852</v>
      </c>
      <c r="C165" s="1" t="n">
        <v>46022</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45021-2023</t>
        </is>
      </c>
      <c r="B166" s="1" t="n">
        <v>45190</v>
      </c>
      <c r="C166" s="1" t="n">
        <v>46022</v>
      </c>
      <c r="D166" t="inlineStr">
        <is>
          <t>JÄMTLANDS LÄN</t>
        </is>
      </c>
      <c r="E166" t="inlineStr">
        <is>
          <t>RAGUNDA</t>
        </is>
      </c>
      <c r="F166" t="inlineStr">
        <is>
          <t>SCA</t>
        </is>
      </c>
      <c r="G166" t="n">
        <v>1.6</v>
      </c>
      <c r="H166" t="n">
        <v>1</v>
      </c>
      <c r="I166" t="n">
        <v>0</v>
      </c>
      <c r="J166" t="n">
        <v>1</v>
      </c>
      <c r="K166" t="n">
        <v>0</v>
      </c>
      <c r="L166" t="n">
        <v>0</v>
      </c>
      <c r="M166" t="n">
        <v>0</v>
      </c>
      <c r="N166" t="n">
        <v>0</v>
      </c>
      <c r="O166" t="n">
        <v>1</v>
      </c>
      <c r="P166" t="n">
        <v>0</v>
      </c>
      <c r="Q166" t="n">
        <v>2</v>
      </c>
      <c r="R166" s="2" t="inlineStr">
        <is>
          <t>Lunglav
Fläcknycklar</t>
        </is>
      </c>
      <c r="S166">
        <f>HYPERLINK("https://klasma.github.io/Logging_2303/artfynd/A 45021-2023 artfynd.xlsx", "A 45021-2023")</f>
        <v/>
      </c>
      <c r="T166">
        <f>HYPERLINK("https://klasma.github.io/Logging_2303/kartor/A 45021-2023 karta.png", "A 45021-2023")</f>
        <v/>
      </c>
      <c r="V166">
        <f>HYPERLINK("https://klasma.github.io/Logging_2303/klagomål/A 45021-2023 FSC-klagomål.docx", "A 45021-2023")</f>
        <v/>
      </c>
      <c r="W166">
        <f>HYPERLINK("https://klasma.github.io/Logging_2303/klagomålsmail/A 45021-2023 FSC-klagomål mail.docx", "A 45021-2023")</f>
        <v/>
      </c>
      <c r="X166">
        <f>HYPERLINK("https://klasma.github.io/Logging_2303/tillsyn/A 45021-2023 tillsynsbegäran.docx", "A 45021-2023")</f>
        <v/>
      </c>
      <c r="Y166">
        <f>HYPERLINK("https://klasma.github.io/Logging_2303/tillsynsmail/A 45021-2023 tillsynsbegäran mail.docx", "A 45021-2023")</f>
        <v/>
      </c>
    </row>
    <row r="167" ht="15" customHeight="1">
      <c r="A167" t="inlineStr">
        <is>
          <t>A 48427-2023</t>
        </is>
      </c>
      <c r="B167" s="1" t="n">
        <v>45205</v>
      </c>
      <c r="C167" s="1" t="n">
        <v>46022</v>
      </c>
      <c r="D167" t="inlineStr">
        <is>
          <t>JÄMTLANDS LÄN</t>
        </is>
      </c>
      <c r="E167" t="inlineStr">
        <is>
          <t>RAGUNDA</t>
        </is>
      </c>
      <c r="F167" t="inlineStr">
        <is>
          <t>SCA</t>
        </is>
      </c>
      <c r="G167" t="n">
        <v>10.1</v>
      </c>
      <c r="H167" t="n">
        <v>0</v>
      </c>
      <c r="I167" t="n">
        <v>1</v>
      </c>
      <c r="J167" t="n">
        <v>1</v>
      </c>
      <c r="K167" t="n">
        <v>0</v>
      </c>
      <c r="L167" t="n">
        <v>0</v>
      </c>
      <c r="M167" t="n">
        <v>0</v>
      </c>
      <c r="N167" t="n">
        <v>0</v>
      </c>
      <c r="O167" t="n">
        <v>1</v>
      </c>
      <c r="P167" t="n">
        <v>0</v>
      </c>
      <c r="Q167" t="n">
        <v>2</v>
      </c>
      <c r="R167" s="2" t="inlineStr">
        <is>
          <t>Lunglav
Luddlav</t>
        </is>
      </c>
      <c r="S167">
        <f>HYPERLINK("https://klasma.github.io/Logging_2303/artfynd/A 48427-2023 artfynd.xlsx", "A 48427-2023")</f>
        <v/>
      </c>
      <c r="T167">
        <f>HYPERLINK("https://klasma.github.io/Logging_2303/kartor/A 48427-2023 karta.png", "A 48427-2023")</f>
        <v/>
      </c>
      <c r="V167">
        <f>HYPERLINK("https://klasma.github.io/Logging_2303/klagomål/A 48427-2023 FSC-klagomål.docx", "A 48427-2023")</f>
        <v/>
      </c>
      <c r="W167">
        <f>HYPERLINK("https://klasma.github.io/Logging_2303/klagomålsmail/A 48427-2023 FSC-klagomål mail.docx", "A 48427-2023")</f>
        <v/>
      </c>
      <c r="X167">
        <f>HYPERLINK("https://klasma.github.io/Logging_2303/tillsyn/A 48427-2023 tillsynsbegäran.docx", "A 48427-2023")</f>
        <v/>
      </c>
      <c r="Y167">
        <f>HYPERLINK("https://klasma.github.io/Logging_2303/tillsynsmail/A 48427-2023 tillsynsbegäran mail.docx", "A 48427-2023")</f>
        <v/>
      </c>
    </row>
    <row r="168" ht="15" customHeight="1">
      <c r="A168" t="inlineStr">
        <is>
          <t>A 31960-2025</t>
        </is>
      </c>
      <c r="B168" s="1" t="n">
        <v>45835.344375</v>
      </c>
      <c r="C168" s="1" t="n">
        <v>46022</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35131-2025</t>
        </is>
      </c>
      <c r="B169" s="1" t="n">
        <v>45852.63597222222</v>
      </c>
      <c r="C169" s="1" t="n">
        <v>46022</v>
      </c>
      <c r="D169" t="inlineStr">
        <is>
          <t>JÄMTLANDS LÄN</t>
        </is>
      </c>
      <c r="E169" t="inlineStr">
        <is>
          <t>RAGUNDA</t>
        </is>
      </c>
      <c r="F169" t="inlineStr">
        <is>
          <t>SCA</t>
        </is>
      </c>
      <c r="G169" t="n">
        <v>6.9</v>
      </c>
      <c r="H169" t="n">
        <v>1</v>
      </c>
      <c r="I169" t="n">
        <v>1</v>
      </c>
      <c r="J169" t="n">
        <v>0</v>
      </c>
      <c r="K169" t="n">
        <v>0</v>
      </c>
      <c r="L169" t="n">
        <v>0</v>
      </c>
      <c r="M169" t="n">
        <v>0</v>
      </c>
      <c r="N169" t="n">
        <v>0</v>
      </c>
      <c r="O169" t="n">
        <v>0</v>
      </c>
      <c r="P169" t="n">
        <v>0</v>
      </c>
      <c r="Q169" t="n">
        <v>2</v>
      </c>
      <c r="R169" s="2" t="inlineStr">
        <is>
          <t>Ögonpyrola
Nattviol</t>
        </is>
      </c>
      <c r="S169">
        <f>HYPERLINK("https://klasma.github.io/Logging_2303/artfynd/A 35131-2025 artfynd.xlsx", "A 35131-2025")</f>
        <v/>
      </c>
      <c r="T169">
        <f>HYPERLINK("https://klasma.github.io/Logging_2303/kartor/A 35131-2025 karta.png", "A 35131-2025")</f>
        <v/>
      </c>
      <c r="V169">
        <f>HYPERLINK("https://klasma.github.io/Logging_2303/klagomål/A 35131-2025 FSC-klagomål.docx", "A 35131-2025")</f>
        <v/>
      </c>
      <c r="W169">
        <f>HYPERLINK("https://klasma.github.io/Logging_2303/klagomålsmail/A 35131-2025 FSC-klagomål mail.docx", "A 35131-2025")</f>
        <v/>
      </c>
      <c r="X169">
        <f>HYPERLINK("https://klasma.github.io/Logging_2303/tillsyn/A 35131-2025 tillsynsbegäran.docx", "A 35131-2025")</f>
        <v/>
      </c>
      <c r="Y169">
        <f>HYPERLINK("https://klasma.github.io/Logging_2303/tillsynsmail/A 35131-2025 tillsynsbegäran mail.docx", "A 35131-2025")</f>
        <v/>
      </c>
    </row>
    <row r="170" ht="15" customHeight="1">
      <c r="A170" t="inlineStr">
        <is>
          <t>A 30053-2024</t>
        </is>
      </c>
      <c r="B170" s="1" t="n">
        <v>45488.94747685185</v>
      </c>
      <c r="C170" s="1" t="n">
        <v>46022</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46022</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11086-2025</t>
        </is>
      </c>
      <c r="B172" s="1" t="n">
        <v>45723.57329861111</v>
      </c>
      <c r="C172" s="1" t="n">
        <v>46022</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46022</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57940-2024</t>
        </is>
      </c>
      <c r="B174" s="1" t="n">
        <v>45631</v>
      </c>
      <c r="C174" s="1" t="n">
        <v>46022</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41490-2022</t>
        </is>
      </c>
      <c r="B175" s="1" t="n">
        <v>44826.94976851852</v>
      </c>
      <c r="C175" s="1" t="n">
        <v>46022</v>
      </c>
      <c r="D175" t="inlineStr">
        <is>
          <t>JÄMTLANDS LÄN</t>
        </is>
      </c>
      <c r="E175" t="inlineStr">
        <is>
          <t>RAGUNDA</t>
        </is>
      </c>
      <c r="F175" t="inlineStr">
        <is>
          <t>SCA</t>
        </is>
      </c>
      <c r="G175" t="n">
        <v>2.7</v>
      </c>
      <c r="H175" t="n">
        <v>0</v>
      </c>
      <c r="I175" t="n">
        <v>1</v>
      </c>
      <c r="J175" t="n">
        <v>1</v>
      </c>
      <c r="K175" t="n">
        <v>0</v>
      </c>
      <c r="L175" t="n">
        <v>0</v>
      </c>
      <c r="M175" t="n">
        <v>0</v>
      </c>
      <c r="N175" t="n">
        <v>0</v>
      </c>
      <c r="O175" t="n">
        <v>1</v>
      </c>
      <c r="P175" t="n">
        <v>0</v>
      </c>
      <c r="Q175" t="n">
        <v>2</v>
      </c>
      <c r="R175" s="2" t="inlineStr">
        <is>
          <t>Lunglav
Skinnlav</t>
        </is>
      </c>
      <c r="S175">
        <f>HYPERLINK("https://klasma.github.io/Logging_2303/artfynd/A 41490-2022 artfynd.xlsx", "A 41490-2022")</f>
        <v/>
      </c>
      <c r="T175">
        <f>HYPERLINK("https://klasma.github.io/Logging_2303/kartor/A 41490-2022 karta.png", "A 41490-2022")</f>
        <v/>
      </c>
      <c r="V175">
        <f>HYPERLINK("https://klasma.github.io/Logging_2303/klagomål/A 41490-2022 FSC-klagomål.docx", "A 41490-2022")</f>
        <v/>
      </c>
      <c r="W175">
        <f>HYPERLINK("https://klasma.github.io/Logging_2303/klagomålsmail/A 41490-2022 FSC-klagomål mail.docx", "A 41490-2022")</f>
        <v/>
      </c>
      <c r="X175">
        <f>HYPERLINK("https://klasma.github.io/Logging_2303/tillsyn/A 41490-2022 tillsynsbegäran.docx", "A 41490-2022")</f>
        <v/>
      </c>
      <c r="Y175">
        <f>HYPERLINK("https://klasma.github.io/Logging_2303/tillsynsmail/A 41490-2022 tillsynsbegäran mail.docx", "A 41490-2022")</f>
        <v/>
      </c>
    </row>
    <row r="176" ht="15" customHeight="1">
      <c r="A176" t="inlineStr">
        <is>
          <t>A 14502-2024</t>
        </is>
      </c>
      <c r="B176" s="1" t="n">
        <v>45394</v>
      </c>
      <c r="C176" s="1" t="n">
        <v>46022</v>
      </c>
      <c r="D176" t="inlineStr">
        <is>
          <t>JÄMTLANDS LÄN</t>
        </is>
      </c>
      <c r="E176" t="inlineStr">
        <is>
          <t>RAGUNDA</t>
        </is>
      </c>
      <c r="G176" t="n">
        <v>11.6</v>
      </c>
      <c r="H176" t="n">
        <v>0</v>
      </c>
      <c r="I176" t="n">
        <v>0</v>
      </c>
      <c r="J176" t="n">
        <v>2</v>
      </c>
      <c r="K176" t="n">
        <v>0</v>
      </c>
      <c r="L176" t="n">
        <v>0</v>
      </c>
      <c r="M176" t="n">
        <v>0</v>
      </c>
      <c r="N176" t="n">
        <v>0</v>
      </c>
      <c r="O176" t="n">
        <v>2</v>
      </c>
      <c r="P176" t="n">
        <v>0</v>
      </c>
      <c r="Q176" t="n">
        <v>2</v>
      </c>
      <c r="R176" s="2" t="inlineStr">
        <is>
          <t>Garnlav
Stjärntagging</t>
        </is>
      </c>
      <c r="S176">
        <f>HYPERLINK("https://klasma.github.io/Logging_2303/artfynd/A 14502-2024 artfynd.xlsx", "A 14502-2024")</f>
        <v/>
      </c>
      <c r="T176">
        <f>HYPERLINK("https://klasma.github.io/Logging_2303/kartor/A 14502-2024 karta.png", "A 14502-2024")</f>
        <v/>
      </c>
      <c r="V176">
        <f>HYPERLINK("https://klasma.github.io/Logging_2303/klagomål/A 14502-2024 FSC-klagomål.docx", "A 14502-2024")</f>
        <v/>
      </c>
      <c r="W176">
        <f>HYPERLINK("https://klasma.github.io/Logging_2303/klagomålsmail/A 14502-2024 FSC-klagomål mail.docx", "A 14502-2024")</f>
        <v/>
      </c>
      <c r="X176">
        <f>HYPERLINK("https://klasma.github.io/Logging_2303/tillsyn/A 14502-2024 tillsynsbegäran.docx", "A 14502-2024")</f>
        <v/>
      </c>
      <c r="Y176">
        <f>HYPERLINK("https://klasma.github.io/Logging_2303/tillsynsmail/A 14502-2024 tillsynsbegäran mail.docx", "A 14502-2024")</f>
        <v/>
      </c>
    </row>
    <row r="177" ht="15" customHeight="1">
      <c r="A177" t="inlineStr">
        <is>
          <t>A 62636-2025</t>
        </is>
      </c>
      <c r="B177" s="1" t="n">
        <v>46008.3653587963</v>
      </c>
      <c r="C177" s="1" t="n">
        <v>46022</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46771-2024</t>
        </is>
      </c>
      <c r="B178" s="1" t="n">
        <v>45583.49642361111</v>
      </c>
      <c r="C178" s="1" t="n">
        <v>46022</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46022</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56634-2025</t>
        </is>
      </c>
      <c r="B180" s="1" t="n">
        <v>45975.61619212963</v>
      </c>
      <c r="C180" s="1" t="n">
        <v>46022</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12271-2024</t>
        </is>
      </c>
      <c r="B181" s="1" t="n">
        <v>45378</v>
      </c>
      <c r="C181" s="1" t="n">
        <v>46022</v>
      </c>
      <c r="D181" t="inlineStr">
        <is>
          <t>JÄMTLANDS LÄN</t>
        </is>
      </c>
      <c r="E181" t="inlineStr">
        <is>
          <t>RAGUNDA</t>
        </is>
      </c>
      <c r="F181" t="inlineStr">
        <is>
          <t>Kommuner</t>
        </is>
      </c>
      <c r="G181" t="n">
        <v>6.1</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12271-2024 artfynd.xlsx", "A 12271-2024")</f>
        <v/>
      </c>
      <c r="T181">
        <f>HYPERLINK("https://klasma.github.io/Logging_2303/kartor/A 12271-2024 karta.png", "A 12271-2024")</f>
        <v/>
      </c>
      <c r="V181">
        <f>HYPERLINK("https://klasma.github.io/Logging_2303/klagomål/A 12271-2024 FSC-klagomål.docx", "A 12271-2024")</f>
        <v/>
      </c>
      <c r="W181">
        <f>HYPERLINK("https://klasma.github.io/Logging_2303/klagomålsmail/A 12271-2024 FSC-klagomål mail.docx", "A 12271-2024")</f>
        <v/>
      </c>
      <c r="X181">
        <f>HYPERLINK("https://klasma.github.io/Logging_2303/tillsyn/A 12271-2024 tillsynsbegäran.docx", "A 12271-2024")</f>
        <v/>
      </c>
      <c r="Y181">
        <f>HYPERLINK("https://klasma.github.io/Logging_2303/tillsynsmail/A 12271-2024 tillsynsbegäran mail.docx", "A 12271-2024")</f>
        <v/>
      </c>
    </row>
    <row r="182" ht="15" customHeight="1">
      <c r="A182" t="inlineStr">
        <is>
          <t>A 34715-2024</t>
        </is>
      </c>
      <c r="B182" s="1" t="n">
        <v>45526.56393518519</v>
      </c>
      <c r="C182" s="1" t="n">
        <v>46022</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10866-2025</t>
        </is>
      </c>
      <c r="B183" s="1" t="n">
        <v>45722.61543981481</v>
      </c>
      <c r="C183" s="1" t="n">
        <v>46022</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10884-2025</t>
        </is>
      </c>
      <c r="B184" s="1" t="n">
        <v>45722.65670138889</v>
      </c>
      <c r="C184" s="1" t="n">
        <v>46022</v>
      </c>
      <c r="D184" t="inlineStr">
        <is>
          <t>JÄMTLANDS LÄN</t>
        </is>
      </c>
      <c r="E184" t="inlineStr">
        <is>
          <t>RAGUNDA</t>
        </is>
      </c>
      <c r="F184" t="inlineStr">
        <is>
          <t>SCA</t>
        </is>
      </c>
      <c r="G184" t="n">
        <v>5.4</v>
      </c>
      <c r="H184" t="n">
        <v>0</v>
      </c>
      <c r="I184" t="n">
        <v>1</v>
      </c>
      <c r="J184" t="n">
        <v>1</v>
      </c>
      <c r="K184" t="n">
        <v>0</v>
      </c>
      <c r="L184" t="n">
        <v>0</v>
      </c>
      <c r="M184" t="n">
        <v>0</v>
      </c>
      <c r="N184" t="n">
        <v>0</v>
      </c>
      <c r="O184" t="n">
        <v>1</v>
      </c>
      <c r="P184" t="n">
        <v>0</v>
      </c>
      <c r="Q184" t="n">
        <v>2</v>
      </c>
      <c r="R184" s="2" t="inlineStr">
        <is>
          <t>Vitgrynig nållav
Dropptaggsvamp</t>
        </is>
      </c>
      <c r="S184">
        <f>HYPERLINK("https://klasma.github.io/Logging_2303/artfynd/A 10884-2025 artfynd.xlsx", "A 10884-2025")</f>
        <v/>
      </c>
      <c r="T184">
        <f>HYPERLINK("https://klasma.github.io/Logging_2303/kartor/A 10884-2025 karta.png", "A 10884-2025")</f>
        <v/>
      </c>
      <c r="V184">
        <f>HYPERLINK("https://klasma.github.io/Logging_2303/klagomål/A 10884-2025 FSC-klagomål.docx", "A 10884-2025")</f>
        <v/>
      </c>
      <c r="W184">
        <f>HYPERLINK("https://klasma.github.io/Logging_2303/klagomålsmail/A 10884-2025 FSC-klagomål mail.docx", "A 10884-2025")</f>
        <v/>
      </c>
      <c r="X184">
        <f>HYPERLINK("https://klasma.github.io/Logging_2303/tillsyn/A 10884-2025 tillsynsbegäran.docx", "A 10884-2025")</f>
        <v/>
      </c>
      <c r="Y184">
        <f>HYPERLINK("https://klasma.github.io/Logging_2303/tillsynsmail/A 10884-2025 tillsynsbegäran mail.docx", "A 10884-2025")</f>
        <v/>
      </c>
    </row>
    <row r="185" ht="15" customHeight="1">
      <c r="A185" t="inlineStr">
        <is>
          <t>A 3838-2024</t>
        </is>
      </c>
      <c r="B185" s="1" t="n">
        <v>45321</v>
      </c>
      <c r="C185" s="1" t="n">
        <v>46022</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46022</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46022</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46022</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46022</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46022</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46022</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46022</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46022</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46022</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46022</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46022</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51916-2021</t>
        </is>
      </c>
      <c r="B197" s="1" t="n">
        <v>44462</v>
      </c>
      <c r="C197" s="1" t="n">
        <v>46022</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46022</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46022</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46022</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46022</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46022</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46022</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46022</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46022</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46022</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36757-2023</t>
        </is>
      </c>
      <c r="B207" s="1" t="n">
        <v>45153</v>
      </c>
      <c r="C207" s="1" t="n">
        <v>46022</v>
      </c>
      <c r="D207" t="inlineStr">
        <is>
          <t>JÄMTLANDS LÄN</t>
        </is>
      </c>
      <c r="E207" t="inlineStr">
        <is>
          <t>RAGUNDA</t>
        </is>
      </c>
      <c r="G207" t="n">
        <v>0.7</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36757-2023 artfynd.xlsx", "A 36757-2023")</f>
        <v/>
      </c>
      <c r="T207">
        <f>HYPERLINK("https://klasma.github.io/Logging_2303/kartor/A 36757-2023 karta.png", "A 36757-2023")</f>
        <v/>
      </c>
      <c r="V207">
        <f>HYPERLINK("https://klasma.github.io/Logging_2303/klagomål/A 36757-2023 FSC-klagomål.docx", "A 36757-2023")</f>
        <v/>
      </c>
      <c r="W207">
        <f>HYPERLINK("https://klasma.github.io/Logging_2303/klagomålsmail/A 36757-2023 FSC-klagomål mail.docx", "A 36757-2023")</f>
        <v/>
      </c>
      <c r="X207">
        <f>HYPERLINK("https://klasma.github.io/Logging_2303/tillsyn/A 36757-2023 tillsynsbegäran.docx", "A 36757-2023")</f>
        <v/>
      </c>
      <c r="Y207">
        <f>HYPERLINK("https://klasma.github.io/Logging_2303/tillsynsmail/A 36757-2023 tillsynsbegäran mail.docx", "A 36757-2023")</f>
        <v/>
      </c>
      <c r="Z207">
        <f>HYPERLINK("https://klasma.github.io/Logging_2303/fåglar/A 36757-2023 prioriterade fågelarter.docx", "A 36757-2023")</f>
        <v/>
      </c>
    </row>
    <row r="208" ht="15" customHeight="1">
      <c r="A208" t="inlineStr">
        <is>
          <t>A 25694-2023</t>
        </is>
      </c>
      <c r="B208" s="1" t="n">
        <v>45089</v>
      </c>
      <c r="C208" s="1" t="n">
        <v>46022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21212-2025</t>
        </is>
      </c>
      <c r="B209" s="1" t="n">
        <v>45779.48993055556</v>
      </c>
      <c r="C209" s="1" t="n">
        <v>46022</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Garnlav</t>
        </is>
      </c>
      <c r="S209">
        <f>HYPERLINK("https://klasma.github.io/Logging_2303/artfynd/A 21212-2025 artfynd.xlsx", "A 21212-2025")</f>
        <v/>
      </c>
      <c r="T209">
        <f>HYPERLINK("https://klasma.github.io/Logging_2303/kartor/A 21212-2025 karta.png", "A 21212-2025")</f>
        <v/>
      </c>
      <c r="V209">
        <f>HYPERLINK("https://klasma.github.io/Logging_2303/klagomål/A 21212-2025 FSC-klagomål.docx", "A 21212-2025")</f>
        <v/>
      </c>
      <c r="W209">
        <f>HYPERLINK("https://klasma.github.io/Logging_2303/klagomålsmail/A 21212-2025 FSC-klagomål mail.docx", "A 21212-2025")</f>
        <v/>
      </c>
      <c r="X209">
        <f>HYPERLINK("https://klasma.github.io/Logging_2303/tillsyn/A 21212-2025 tillsynsbegäran.docx", "A 21212-2025")</f>
        <v/>
      </c>
      <c r="Y209">
        <f>HYPERLINK("https://klasma.github.io/Logging_2303/tillsynsmail/A 21212-2025 tillsynsbegäran mail.docx", "A 21212-2025")</f>
        <v/>
      </c>
    </row>
    <row r="210" ht="15" customHeight="1">
      <c r="A210" t="inlineStr">
        <is>
          <t>A 11040-2023</t>
        </is>
      </c>
      <c r="B210" s="1" t="n">
        <v>44991</v>
      </c>
      <c r="C210" s="1" t="n">
        <v>46022</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29921-2024</t>
        </is>
      </c>
      <c r="B211" s="1" t="n">
        <v>45487.92863425926</v>
      </c>
      <c r="C211" s="1" t="n">
        <v>46022</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36975-2023</t>
        </is>
      </c>
      <c r="B212" s="1" t="n">
        <v>45154</v>
      </c>
      <c r="C212" s="1" t="n">
        <v>46022</v>
      </c>
      <c r="D212" t="inlineStr">
        <is>
          <t>JÄMTLANDS LÄN</t>
        </is>
      </c>
      <c r="E212" t="inlineStr">
        <is>
          <t>RAGUNDA</t>
        </is>
      </c>
      <c r="F212" t="inlineStr">
        <is>
          <t>SCA</t>
        </is>
      </c>
      <c r="G212" t="n">
        <v>3.8</v>
      </c>
      <c r="H212" t="n">
        <v>0</v>
      </c>
      <c r="I212" t="n">
        <v>0</v>
      </c>
      <c r="J212" t="n">
        <v>0</v>
      </c>
      <c r="K212" t="n">
        <v>1</v>
      </c>
      <c r="L212" t="n">
        <v>0</v>
      </c>
      <c r="M212" t="n">
        <v>0</v>
      </c>
      <c r="N212" t="n">
        <v>0</v>
      </c>
      <c r="O212" t="n">
        <v>1</v>
      </c>
      <c r="P212" t="n">
        <v>1</v>
      </c>
      <c r="Q212" t="n">
        <v>1</v>
      </c>
      <c r="R212" s="2" t="inlineStr">
        <is>
          <t>Gräddporing</t>
        </is>
      </c>
      <c r="S212">
        <f>HYPERLINK("https://klasma.github.io/Logging_2303/artfynd/A 36975-2023 artfynd.xlsx", "A 36975-2023")</f>
        <v/>
      </c>
      <c r="T212">
        <f>HYPERLINK("https://klasma.github.io/Logging_2303/kartor/A 36975-2023 karta.png", "A 36975-2023")</f>
        <v/>
      </c>
      <c r="V212">
        <f>HYPERLINK("https://klasma.github.io/Logging_2303/klagomål/A 36975-2023 FSC-klagomål.docx", "A 36975-2023")</f>
        <v/>
      </c>
      <c r="W212">
        <f>HYPERLINK("https://klasma.github.io/Logging_2303/klagomålsmail/A 36975-2023 FSC-klagomål mail.docx", "A 36975-2023")</f>
        <v/>
      </c>
      <c r="X212">
        <f>HYPERLINK("https://klasma.github.io/Logging_2303/tillsyn/A 36975-2023 tillsynsbegäran.docx", "A 36975-2023")</f>
        <v/>
      </c>
      <c r="Y212">
        <f>HYPERLINK("https://klasma.github.io/Logging_2303/tillsynsmail/A 36975-2023 tillsynsbegäran mail.docx", "A 36975-2023")</f>
        <v/>
      </c>
    </row>
    <row r="213" ht="15" customHeight="1">
      <c r="A213" t="inlineStr">
        <is>
          <t>A 44066-2024</t>
        </is>
      </c>
      <c r="B213" s="1" t="n">
        <v>45572.60363425926</v>
      </c>
      <c r="C213" s="1" t="n">
        <v>46022</v>
      </c>
      <c r="D213" t="inlineStr">
        <is>
          <t>JÄMTLANDS LÄN</t>
        </is>
      </c>
      <c r="E213" t="inlineStr">
        <is>
          <t>RAGUNDA</t>
        </is>
      </c>
      <c r="G213" t="n">
        <v>6.4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44066-2024 artfynd.xlsx", "A 44066-2024")</f>
        <v/>
      </c>
      <c r="T213">
        <f>HYPERLINK("https://klasma.github.io/Logging_2303/kartor/A 44066-2024 karta.png", "A 44066-2024")</f>
        <v/>
      </c>
      <c r="V213">
        <f>HYPERLINK("https://klasma.github.io/Logging_2303/klagomål/A 44066-2024 FSC-klagomål.docx", "A 44066-2024")</f>
        <v/>
      </c>
      <c r="W213">
        <f>HYPERLINK("https://klasma.github.io/Logging_2303/klagomålsmail/A 44066-2024 FSC-klagomål mail.docx", "A 44066-2024")</f>
        <v/>
      </c>
      <c r="X213">
        <f>HYPERLINK("https://klasma.github.io/Logging_2303/tillsyn/A 44066-2024 tillsynsbegäran.docx", "A 44066-2024")</f>
        <v/>
      </c>
      <c r="Y213">
        <f>HYPERLINK("https://klasma.github.io/Logging_2303/tillsynsmail/A 44066-2024 tillsynsbegäran mail.docx", "A 44066-2024")</f>
        <v/>
      </c>
      <c r="Z213">
        <f>HYPERLINK("https://klasma.github.io/Logging_2303/fåglar/A 44066-2024 prioriterade fågelarter.docx", "A 44066-2024")</f>
        <v/>
      </c>
    </row>
    <row r="214" ht="15" customHeight="1">
      <c r="A214" t="inlineStr">
        <is>
          <t>A 50233-2024</t>
        </is>
      </c>
      <c r="B214" s="1" t="n">
        <v>45600.55265046296</v>
      </c>
      <c r="C214" s="1" t="n">
        <v>46022</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40841-2025</t>
        </is>
      </c>
      <c r="B215" s="1" t="n">
        <v>45897.531875</v>
      </c>
      <c r="C215" s="1" t="n">
        <v>46022</v>
      </c>
      <c r="D215" t="inlineStr">
        <is>
          <t>JÄMTLANDS LÄN</t>
        </is>
      </c>
      <c r="E215" t="inlineStr">
        <is>
          <t>RAGUNDA</t>
        </is>
      </c>
      <c r="F215" t="inlineStr">
        <is>
          <t>SCA</t>
        </is>
      </c>
      <c r="G215" t="n">
        <v>1.1</v>
      </c>
      <c r="H215" t="n">
        <v>0</v>
      </c>
      <c r="I215" t="n">
        <v>0</v>
      </c>
      <c r="J215" t="n">
        <v>1</v>
      </c>
      <c r="K215" t="n">
        <v>0</v>
      </c>
      <c r="L215" t="n">
        <v>0</v>
      </c>
      <c r="M215" t="n">
        <v>0</v>
      </c>
      <c r="N215" t="n">
        <v>0</v>
      </c>
      <c r="O215" t="n">
        <v>1</v>
      </c>
      <c r="P215" t="n">
        <v>0</v>
      </c>
      <c r="Q215" t="n">
        <v>1</v>
      </c>
      <c r="R215" s="2" t="inlineStr">
        <is>
          <t>Garnlav</t>
        </is>
      </c>
      <c r="S215">
        <f>HYPERLINK("https://klasma.github.io/Logging_2303/artfynd/A 40841-2025 artfynd.xlsx", "A 40841-2025")</f>
        <v/>
      </c>
      <c r="T215">
        <f>HYPERLINK("https://klasma.github.io/Logging_2303/kartor/A 40841-2025 karta.png", "A 40841-2025")</f>
        <v/>
      </c>
      <c r="V215">
        <f>HYPERLINK("https://klasma.github.io/Logging_2303/klagomål/A 40841-2025 FSC-klagomål.docx", "A 40841-2025")</f>
        <v/>
      </c>
      <c r="W215">
        <f>HYPERLINK("https://klasma.github.io/Logging_2303/klagomålsmail/A 40841-2025 FSC-klagomål mail.docx", "A 40841-2025")</f>
        <v/>
      </c>
      <c r="X215">
        <f>HYPERLINK("https://klasma.github.io/Logging_2303/tillsyn/A 40841-2025 tillsynsbegäran.docx", "A 40841-2025")</f>
        <v/>
      </c>
      <c r="Y215">
        <f>HYPERLINK("https://klasma.github.io/Logging_2303/tillsynsmail/A 40841-2025 tillsynsbegäran mail.docx", "A 40841-2025")</f>
        <v/>
      </c>
    </row>
    <row r="216" ht="15" customHeight="1">
      <c r="A216" t="inlineStr">
        <is>
          <t>A 36224-2023</t>
        </is>
      </c>
      <c r="B216" s="1" t="n">
        <v>45149</v>
      </c>
      <c r="C216" s="1" t="n">
        <v>46022</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57479-2025</t>
        </is>
      </c>
      <c r="B217" s="1" t="n">
        <v>45980.5737037037</v>
      </c>
      <c r="C217" s="1" t="n">
        <v>46022</v>
      </c>
      <c r="D217" t="inlineStr">
        <is>
          <t>JÄMTLANDS LÄN</t>
        </is>
      </c>
      <c r="E217" t="inlineStr">
        <is>
          <t>RAGUNDA</t>
        </is>
      </c>
      <c r="F217" t="inlineStr">
        <is>
          <t>SCA</t>
        </is>
      </c>
      <c r="G217" t="n">
        <v>12</v>
      </c>
      <c r="H217" t="n">
        <v>0</v>
      </c>
      <c r="I217" t="n">
        <v>0</v>
      </c>
      <c r="J217" t="n">
        <v>1</v>
      </c>
      <c r="K217" t="n">
        <v>0</v>
      </c>
      <c r="L217" t="n">
        <v>0</v>
      </c>
      <c r="M217" t="n">
        <v>0</v>
      </c>
      <c r="N217" t="n">
        <v>0</v>
      </c>
      <c r="O217" t="n">
        <v>1</v>
      </c>
      <c r="P217" t="n">
        <v>0</v>
      </c>
      <c r="Q217" t="n">
        <v>1</v>
      </c>
      <c r="R217" s="2" t="inlineStr">
        <is>
          <t>Kolflarnlav</t>
        </is>
      </c>
      <c r="S217">
        <f>HYPERLINK("https://klasma.github.io/Logging_2303/artfynd/A 57479-2025 artfynd.xlsx", "A 57479-2025")</f>
        <v/>
      </c>
      <c r="T217">
        <f>HYPERLINK("https://klasma.github.io/Logging_2303/kartor/A 57479-2025 karta.png", "A 57479-2025")</f>
        <v/>
      </c>
      <c r="V217">
        <f>HYPERLINK("https://klasma.github.io/Logging_2303/klagomål/A 57479-2025 FSC-klagomål.docx", "A 57479-2025")</f>
        <v/>
      </c>
      <c r="W217">
        <f>HYPERLINK("https://klasma.github.io/Logging_2303/klagomålsmail/A 57479-2025 FSC-klagomål mail.docx", "A 57479-2025")</f>
        <v/>
      </c>
      <c r="X217">
        <f>HYPERLINK("https://klasma.github.io/Logging_2303/tillsyn/A 57479-2025 tillsynsbegäran.docx", "A 57479-2025")</f>
        <v/>
      </c>
      <c r="Y217">
        <f>HYPERLINK("https://klasma.github.io/Logging_2303/tillsynsmail/A 57479-2025 tillsynsbegäran mail.docx", "A 57479-2025")</f>
        <v/>
      </c>
    </row>
    <row r="218" ht="15" customHeight="1">
      <c r="A218" t="inlineStr">
        <is>
          <t>A 43526-2025</t>
        </is>
      </c>
      <c r="B218" s="1" t="n">
        <v>45911</v>
      </c>
      <c r="C218" s="1" t="n">
        <v>46022</v>
      </c>
      <c r="D218" t="inlineStr">
        <is>
          <t>JÄMTLANDS LÄN</t>
        </is>
      </c>
      <c r="E218" t="inlineStr">
        <is>
          <t>RAGUNDA</t>
        </is>
      </c>
      <c r="G218" t="n">
        <v>5.5</v>
      </c>
      <c r="H218" t="n">
        <v>0</v>
      </c>
      <c r="I218" t="n">
        <v>0</v>
      </c>
      <c r="J218" t="n">
        <v>1</v>
      </c>
      <c r="K218" t="n">
        <v>0</v>
      </c>
      <c r="L218" t="n">
        <v>0</v>
      </c>
      <c r="M218" t="n">
        <v>0</v>
      </c>
      <c r="N218" t="n">
        <v>0</v>
      </c>
      <c r="O218" t="n">
        <v>1</v>
      </c>
      <c r="P218" t="n">
        <v>0</v>
      </c>
      <c r="Q218" t="n">
        <v>1</v>
      </c>
      <c r="R218" s="2" t="inlineStr">
        <is>
          <t>Lunglav</t>
        </is>
      </c>
      <c r="S218">
        <f>HYPERLINK("https://klasma.github.io/Logging_2303/artfynd/A 43526-2025 artfynd.xlsx", "A 43526-2025")</f>
        <v/>
      </c>
      <c r="T218">
        <f>HYPERLINK("https://klasma.github.io/Logging_2303/kartor/A 43526-2025 karta.png", "A 43526-2025")</f>
        <v/>
      </c>
      <c r="V218">
        <f>HYPERLINK("https://klasma.github.io/Logging_2303/klagomål/A 43526-2025 FSC-klagomål.docx", "A 43526-2025")</f>
        <v/>
      </c>
      <c r="W218">
        <f>HYPERLINK("https://klasma.github.io/Logging_2303/klagomålsmail/A 43526-2025 FSC-klagomål mail.docx", "A 43526-2025")</f>
        <v/>
      </c>
      <c r="X218">
        <f>HYPERLINK("https://klasma.github.io/Logging_2303/tillsyn/A 43526-2025 tillsynsbegäran.docx", "A 43526-2025")</f>
        <v/>
      </c>
      <c r="Y218">
        <f>HYPERLINK("https://klasma.github.io/Logging_2303/tillsynsmail/A 43526-2025 tillsynsbegäran mail.docx", "A 43526-2025")</f>
        <v/>
      </c>
    </row>
    <row r="219" ht="15" customHeight="1">
      <c r="A219" t="inlineStr">
        <is>
          <t>A 43404-2023</t>
        </is>
      </c>
      <c r="B219" s="1" t="n">
        <v>45183</v>
      </c>
      <c r="C219" s="1" t="n">
        <v>46022</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57478-2025</t>
        </is>
      </c>
      <c r="B220" s="1" t="n">
        <v>45980.57349537037</v>
      </c>
      <c r="C220" s="1" t="n">
        <v>46022</v>
      </c>
      <c r="D220" t="inlineStr">
        <is>
          <t>JÄMTLANDS LÄN</t>
        </is>
      </c>
      <c r="E220" t="inlineStr">
        <is>
          <t>RAGUNDA</t>
        </is>
      </c>
      <c r="F220" t="inlineStr">
        <is>
          <t>SCA</t>
        </is>
      </c>
      <c r="G220" t="n">
        <v>3.3</v>
      </c>
      <c r="H220" t="n">
        <v>0</v>
      </c>
      <c r="I220" t="n">
        <v>0</v>
      </c>
      <c r="J220" t="n">
        <v>1</v>
      </c>
      <c r="K220" t="n">
        <v>0</v>
      </c>
      <c r="L220" t="n">
        <v>0</v>
      </c>
      <c r="M220" t="n">
        <v>0</v>
      </c>
      <c r="N220" t="n">
        <v>0</v>
      </c>
      <c r="O220" t="n">
        <v>1</v>
      </c>
      <c r="P220" t="n">
        <v>0</v>
      </c>
      <c r="Q220" t="n">
        <v>1</v>
      </c>
      <c r="R220" s="2" t="inlineStr">
        <is>
          <t>Lunglav</t>
        </is>
      </c>
      <c r="S220">
        <f>HYPERLINK("https://klasma.github.io/Logging_2303/artfynd/A 57478-2025 artfynd.xlsx", "A 57478-2025")</f>
        <v/>
      </c>
      <c r="T220">
        <f>HYPERLINK("https://klasma.github.io/Logging_2303/kartor/A 57478-2025 karta.png", "A 57478-2025")</f>
        <v/>
      </c>
      <c r="V220">
        <f>HYPERLINK("https://klasma.github.io/Logging_2303/klagomål/A 57478-2025 FSC-klagomål.docx", "A 57478-2025")</f>
        <v/>
      </c>
      <c r="W220">
        <f>HYPERLINK("https://klasma.github.io/Logging_2303/klagomålsmail/A 57478-2025 FSC-klagomål mail.docx", "A 57478-2025")</f>
        <v/>
      </c>
      <c r="X220">
        <f>HYPERLINK("https://klasma.github.io/Logging_2303/tillsyn/A 57478-2025 tillsynsbegäran.docx", "A 57478-2025")</f>
        <v/>
      </c>
      <c r="Y220">
        <f>HYPERLINK("https://klasma.github.io/Logging_2303/tillsynsmail/A 57478-2025 tillsynsbegäran mail.docx", "A 57478-2025")</f>
        <v/>
      </c>
    </row>
    <row r="221" ht="15" customHeight="1">
      <c r="A221" t="inlineStr">
        <is>
          <t>A 24443-2024</t>
        </is>
      </c>
      <c r="B221" s="1" t="n">
        <v>45457.9640625</v>
      </c>
      <c r="C221" s="1" t="n">
        <v>46022</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46022</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49053-2025</t>
        </is>
      </c>
      <c r="B223" s="1" t="n">
        <v>45937.64009259259</v>
      </c>
      <c r="C223" s="1" t="n">
        <v>46022</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27573-2025</t>
        </is>
      </c>
      <c r="B224" s="1" t="n">
        <v>45813.49061342593</v>
      </c>
      <c r="C224" s="1" t="n">
        <v>46022</v>
      </c>
      <c r="D224" t="inlineStr">
        <is>
          <t>JÄMTLANDS LÄN</t>
        </is>
      </c>
      <c r="E224" t="inlineStr">
        <is>
          <t>RAGUNDA</t>
        </is>
      </c>
      <c r="F224" t="inlineStr">
        <is>
          <t>SCA</t>
        </is>
      </c>
      <c r="G224" t="n">
        <v>14.9</v>
      </c>
      <c r="H224" t="n">
        <v>0</v>
      </c>
      <c r="I224" t="n">
        <v>1</v>
      </c>
      <c r="J224" t="n">
        <v>0</v>
      </c>
      <c r="K224" t="n">
        <v>0</v>
      </c>
      <c r="L224" t="n">
        <v>0</v>
      </c>
      <c r="M224" t="n">
        <v>0</v>
      </c>
      <c r="N224" t="n">
        <v>0</v>
      </c>
      <c r="O224" t="n">
        <v>0</v>
      </c>
      <c r="P224" t="n">
        <v>0</v>
      </c>
      <c r="Q224" t="n">
        <v>1</v>
      </c>
      <c r="R224" s="2" t="inlineStr">
        <is>
          <t>Skinnlav</t>
        </is>
      </c>
      <c r="S224">
        <f>HYPERLINK("https://klasma.github.io/Logging_2303/artfynd/A 27573-2025 artfynd.xlsx", "A 27573-2025")</f>
        <v/>
      </c>
      <c r="T224">
        <f>HYPERLINK("https://klasma.github.io/Logging_2303/kartor/A 27573-2025 karta.png", "A 27573-2025")</f>
        <v/>
      </c>
      <c r="U224">
        <f>HYPERLINK("https://klasma.github.io/Logging_2303/knärot/A 27573-2025 karta knärot.png", "A 27573-2025")</f>
        <v/>
      </c>
      <c r="V224">
        <f>HYPERLINK("https://klasma.github.io/Logging_2303/klagomål/A 27573-2025 FSC-klagomål.docx", "A 27573-2025")</f>
        <v/>
      </c>
      <c r="W224">
        <f>HYPERLINK("https://klasma.github.io/Logging_2303/klagomålsmail/A 27573-2025 FSC-klagomål mail.docx", "A 27573-2025")</f>
        <v/>
      </c>
      <c r="X224">
        <f>HYPERLINK("https://klasma.github.io/Logging_2303/tillsyn/A 27573-2025 tillsynsbegäran.docx", "A 27573-2025")</f>
        <v/>
      </c>
      <c r="Y224">
        <f>HYPERLINK("https://klasma.github.io/Logging_2303/tillsynsmail/A 27573-2025 tillsynsbegäran mail.docx", "A 27573-2025")</f>
        <v/>
      </c>
    </row>
    <row r="225" ht="15" customHeight="1">
      <c r="A225" t="inlineStr">
        <is>
          <t>A 30390-2025</t>
        </is>
      </c>
      <c r="B225" s="1" t="n">
        <v>45827.57371527778</v>
      </c>
      <c r="C225" s="1" t="n">
        <v>46022</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22054-2025</t>
        </is>
      </c>
      <c r="B226" s="1" t="n">
        <v>45785.36525462963</v>
      </c>
      <c r="C226" s="1" t="n">
        <v>46022</v>
      </c>
      <c r="D226" t="inlineStr">
        <is>
          <t>JÄMTLANDS LÄN</t>
        </is>
      </c>
      <c r="E226" t="inlineStr">
        <is>
          <t>RAGUNDA</t>
        </is>
      </c>
      <c r="F226" t="inlineStr">
        <is>
          <t>SCA</t>
        </is>
      </c>
      <c r="G226" t="n">
        <v>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22054-2025 artfynd.xlsx", "A 22054-2025")</f>
        <v/>
      </c>
      <c r="T226">
        <f>HYPERLINK("https://klasma.github.io/Logging_2303/kartor/A 22054-2025 karta.png", "A 22054-2025")</f>
        <v/>
      </c>
      <c r="V226">
        <f>HYPERLINK("https://klasma.github.io/Logging_2303/klagomål/A 22054-2025 FSC-klagomål.docx", "A 22054-2025")</f>
        <v/>
      </c>
      <c r="W226">
        <f>HYPERLINK("https://klasma.github.io/Logging_2303/klagomålsmail/A 22054-2025 FSC-klagomål mail.docx", "A 22054-2025")</f>
        <v/>
      </c>
      <c r="X226">
        <f>HYPERLINK("https://klasma.github.io/Logging_2303/tillsyn/A 22054-2025 tillsynsbegäran.docx", "A 22054-2025")</f>
        <v/>
      </c>
      <c r="Y226">
        <f>HYPERLINK("https://klasma.github.io/Logging_2303/tillsynsmail/A 22054-2025 tillsynsbegäran mail.docx", "A 22054-2025")</f>
        <v/>
      </c>
      <c r="Z226">
        <f>HYPERLINK("https://klasma.github.io/Logging_2303/fåglar/A 22054-2025 prioriterade fågelarter.docx", "A 22054-2025")</f>
        <v/>
      </c>
    </row>
    <row r="227" ht="15" customHeight="1">
      <c r="A227" t="inlineStr">
        <is>
          <t>A 978-2024</t>
        </is>
      </c>
      <c r="B227" s="1" t="n">
        <v>45301</v>
      </c>
      <c r="C227" s="1" t="n">
        <v>46022</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46022</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32445-2025</t>
        </is>
      </c>
      <c r="B229" s="1" t="n">
        <v>45838.38627314815</v>
      </c>
      <c r="C229" s="1" t="n">
        <v>46022</v>
      </c>
      <c r="D229" t="inlineStr">
        <is>
          <t>JÄMTLANDS LÄN</t>
        </is>
      </c>
      <c r="E229" t="inlineStr">
        <is>
          <t>RAGUNDA</t>
        </is>
      </c>
      <c r="F229" t="inlineStr">
        <is>
          <t>SCA</t>
        </is>
      </c>
      <c r="G229" t="n">
        <v>1.6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32445-2025 artfynd.xlsx", "A 32445-2025")</f>
        <v/>
      </c>
      <c r="T229">
        <f>HYPERLINK("https://klasma.github.io/Logging_2303/kartor/A 32445-2025 karta.png", "A 32445-2025")</f>
        <v/>
      </c>
      <c r="V229">
        <f>HYPERLINK("https://klasma.github.io/Logging_2303/klagomål/A 32445-2025 FSC-klagomål.docx", "A 32445-2025")</f>
        <v/>
      </c>
      <c r="W229">
        <f>HYPERLINK("https://klasma.github.io/Logging_2303/klagomålsmail/A 32445-2025 FSC-klagomål mail.docx", "A 32445-2025")</f>
        <v/>
      </c>
      <c r="X229">
        <f>HYPERLINK("https://klasma.github.io/Logging_2303/tillsyn/A 32445-2025 tillsynsbegäran.docx", "A 32445-2025")</f>
        <v/>
      </c>
      <c r="Y229">
        <f>HYPERLINK("https://klasma.github.io/Logging_2303/tillsynsmail/A 32445-2025 tillsynsbegäran mail.docx", "A 32445-2025")</f>
        <v/>
      </c>
      <c r="Z229">
        <f>HYPERLINK("https://klasma.github.io/Logging_2303/fåglar/A 32445-2025 prioriterade fågelarter.docx", "A 32445-2025")</f>
        <v/>
      </c>
    </row>
    <row r="230" ht="15" customHeight="1">
      <c r="A230" t="inlineStr">
        <is>
          <t>A 31773-2021</t>
        </is>
      </c>
      <c r="B230" s="1" t="n">
        <v>44369</v>
      </c>
      <c r="C230" s="1" t="n">
        <v>46022</v>
      </c>
      <c r="D230" t="inlineStr">
        <is>
          <t>JÄMTLANDS LÄN</t>
        </is>
      </c>
      <c r="E230" t="inlineStr">
        <is>
          <t>RAGUNDA</t>
        </is>
      </c>
      <c r="G230" t="n">
        <v>0.8</v>
      </c>
      <c r="H230" t="n">
        <v>0</v>
      </c>
      <c r="I230" t="n">
        <v>0</v>
      </c>
      <c r="J230" t="n">
        <v>0</v>
      </c>
      <c r="K230" t="n">
        <v>1</v>
      </c>
      <c r="L230" t="n">
        <v>0</v>
      </c>
      <c r="M230" t="n">
        <v>0</v>
      </c>
      <c r="N230" t="n">
        <v>0</v>
      </c>
      <c r="O230" t="n">
        <v>1</v>
      </c>
      <c r="P230" t="n">
        <v>1</v>
      </c>
      <c r="Q230" t="n">
        <v>1</v>
      </c>
      <c r="R230" s="2" t="inlineStr">
        <is>
          <t>Strandsandjägare</t>
        </is>
      </c>
      <c r="S230">
        <f>HYPERLINK("https://klasma.github.io/Logging_2303/artfynd/A 31773-2021 artfynd.xlsx", "A 31773-2021")</f>
        <v/>
      </c>
      <c r="T230">
        <f>HYPERLINK("https://klasma.github.io/Logging_2303/kartor/A 31773-2021 karta.png", "A 31773-2021")</f>
        <v/>
      </c>
      <c r="V230">
        <f>HYPERLINK("https://klasma.github.io/Logging_2303/klagomål/A 31773-2021 FSC-klagomål.docx", "A 31773-2021")</f>
        <v/>
      </c>
      <c r="W230">
        <f>HYPERLINK("https://klasma.github.io/Logging_2303/klagomålsmail/A 31773-2021 FSC-klagomål mail.docx", "A 31773-2021")</f>
        <v/>
      </c>
      <c r="X230">
        <f>HYPERLINK("https://klasma.github.io/Logging_2303/tillsyn/A 31773-2021 tillsynsbegäran.docx", "A 31773-2021")</f>
        <v/>
      </c>
      <c r="Y230">
        <f>HYPERLINK("https://klasma.github.io/Logging_2303/tillsynsmail/A 31773-2021 tillsynsbegäran mail.docx", "A 31773-2021")</f>
        <v/>
      </c>
    </row>
    <row r="231" ht="15" customHeight="1">
      <c r="A231" t="inlineStr">
        <is>
          <t>A 34474-2025</t>
        </is>
      </c>
      <c r="B231" s="1" t="n">
        <v>45847.36528935185</v>
      </c>
      <c r="C231" s="1" t="n">
        <v>46022</v>
      </c>
      <c r="D231" t="inlineStr">
        <is>
          <t>JÄMTLANDS LÄN</t>
        </is>
      </c>
      <c r="E231" t="inlineStr">
        <is>
          <t>RAGUNDA</t>
        </is>
      </c>
      <c r="F231" t="inlineStr">
        <is>
          <t>SCA</t>
        </is>
      </c>
      <c r="G231" t="n">
        <v>9.699999999999999</v>
      </c>
      <c r="H231" t="n">
        <v>1</v>
      </c>
      <c r="I231" t="n">
        <v>0</v>
      </c>
      <c r="J231" t="n">
        <v>1</v>
      </c>
      <c r="K231" t="n">
        <v>0</v>
      </c>
      <c r="L231" t="n">
        <v>0</v>
      </c>
      <c r="M231" t="n">
        <v>0</v>
      </c>
      <c r="N231" t="n">
        <v>0</v>
      </c>
      <c r="O231" t="n">
        <v>1</v>
      </c>
      <c r="P231" t="n">
        <v>0</v>
      </c>
      <c r="Q231" t="n">
        <v>1</v>
      </c>
      <c r="R231" s="2" t="inlineStr">
        <is>
          <t>Fjällvråk</t>
        </is>
      </c>
      <c r="S231">
        <f>HYPERLINK("https://klasma.github.io/Logging_2303/artfynd/A 34474-2025 artfynd.xlsx", "A 34474-2025")</f>
        <v/>
      </c>
      <c r="T231">
        <f>HYPERLINK("https://klasma.github.io/Logging_2303/kartor/A 34474-2025 karta.png", "A 34474-2025")</f>
        <v/>
      </c>
      <c r="V231">
        <f>HYPERLINK("https://klasma.github.io/Logging_2303/klagomål/A 34474-2025 FSC-klagomål.docx", "A 34474-2025")</f>
        <v/>
      </c>
      <c r="W231">
        <f>HYPERLINK("https://klasma.github.io/Logging_2303/klagomålsmail/A 34474-2025 FSC-klagomål mail.docx", "A 34474-2025")</f>
        <v/>
      </c>
      <c r="X231">
        <f>HYPERLINK("https://klasma.github.io/Logging_2303/tillsyn/A 34474-2025 tillsynsbegäran.docx", "A 34474-2025")</f>
        <v/>
      </c>
      <c r="Y231">
        <f>HYPERLINK("https://klasma.github.io/Logging_2303/tillsynsmail/A 34474-2025 tillsynsbegäran mail.docx", "A 34474-2025")</f>
        <v/>
      </c>
      <c r="Z231">
        <f>HYPERLINK("https://klasma.github.io/Logging_2303/fåglar/A 34474-2025 prioriterade fågelarter.docx", "A 34474-2025")</f>
        <v/>
      </c>
    </row>
    <row r="232" ht="15" customHeight="1">
      <c r="A232" t="inlineStr">
        <is>
          <t>A 58990-2025</t>
        </is>
      </c>
      <c r="B232" s="1" t="n">
        <v>45987</v>
      </c>
      <c r="C232" s="1" t="n">
        <v>46022</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26317-2024</t>
        </is>
      </c>
      <c r="B233" s="1" t="n">
        <v>45468</v>
      </c>
      <c r="C233" s="1" t="n">
        <v>46022</v>
      </c>
      <c r="D233" t="inlineStr">
        <is>
          <t>JÄMTLANDS LÄN</t>
        </is>
      </c>
      <c r="E233" t="inlineStr">
        <is>
          <t>RAGUNDA</t>
        </is>
      </c>
      <c r="F233" t="inlineStr">
        <is>
          <t>SCA</t>
        </is>
      </c>
      <c r="G233" t="n">
        <v>3.8</v>
      </c>
      <c r="H233" t="n">
        <v>0</v>
      </c>
      <c r="I233" t="n">
        <v>0</v>
      </c>
      <c r="J233" t="n">
        <v>1</v>
      </c>
      <c r="K233" t="n">
        <v>0</v>
      </c>
      <c r="L233" t="n">
        <v>0</v>
      </c>
      <c r="M233" t="n">
        <v>0</v>
      </c>
      <c r="N233" t="n">
        <v>0</v>
      </c>
      <c r="O233" t="n">
        <v>1</v>
      </c>
      <c r="P233" t="n">
        <v>0</v>
      </c>
      <c r="Q233" t="n">
        <v>1</v>
      </c>
      <c r="R233" s="2" t="inlineStr">
        <is>
          <t>Kortskaftad ärgspik</t>
        </is>
      </c>
      <c r="S233">
        <f>HYPERLINK("https://klasma.github.io/Logging_2303/artfynd/A 26317-2024 artfynd.xlsx", "A 26317-2024")</f>
        <v/>
      </c>
      <c r="T233">
        <f>HYPERLINK("https://klasma.github.io/Logging_2303/kartor/A 26317-2024 karta.png", "A 26317-2024")</f>
        <v/>
      </c>
      <c r="V233">
        <f>HYPERLINK("https://klasma.github.io/Logging_2303/klagomål/A 26317-2024 FSC-klagomål.docx", "A 26317-2024")</f>
        <v/>
      </c>
      <c r="W233">
        <f>HYPERLINK("https://klasma.github.io/Logging_2303/klagomålsmail/A 26317-2024 FSC-klagomål mail.docx", "A 26317-2024")</f>
        <v/>
      </c>
      <c r="X233">
        <f>HYPERLINK("https://klasma.github.io/Logging_2303/tillsyn/A 26317-2024 tillsynsbegäran.docx", "A 26317-2024")</f>
        <v/>
      </c>
      <c r="Y233">
        <f>HYPERLINK("https://klasma.github.io/Logging_2303/tillsynsmail/A 26317-2024 tillsynsbegäran mail.docx", "A 26317-2024")</f>
        <v/>
      </c>
    </row>
    <row r="234" ht="15" customHeight="1">
      <c r="A234" t="inlineStr">
        <is>
          <t>A 49091-2022</t>
        </is>
      </c>
      <c r="B234" s="1" t="n">
        <v>44860</v>
      </c>
      <c r="C234" s="1" t="n">
        <v>46022</v>
      </c>
      <c r="D234" t="inlineStr">
        <is>
          <t>JÄMTLANDS LÄN</t>
        </is>
      </c>
      <c r="E234" t="inlineStr">
        <is>
          <t>RAGUNDA</t>
        </is>
      </c>
      <c r="G234" t="n">
        <v>3.5</v>
      </c>
      <c r="H234" t="n">
        <v>1</v>
      </c>
      <c r="I234" t="n">
        <v>0</v>
      </c>
      <c r="J234" t="n">
        <v>0</v>
      </c>
      <c r="K234" t="n">
        <v>1</v>
      </c>
      <c r="L234" t="n">
        <v>0</v>
      </c>
      <c r="M234" t="n">
        <v>0</v>
      </c>
      <c r="N234" t="n">
        <v>0</v>
      </c>
      <c r="O234" t="n">
        <v>1</v>
      </c>
      <c r="P234" t="n">
        <v>1</v>
      </c>
      <c r="Q234" t="n">
        <v>1</v>
      </c>
      <c r="R234" s="2" t="inlineStr">
        <is>
          <t>Doftticka</t>
        </is>
      </c>
      <c r="S234">
        <f>HYPERLINK("https://klasma.github.io/Logging_2303/artfynd/A 49091-2022 artfynd.xlsx", "A 49091-2022")</f>
        <v/>
      </c>
      <c r="T234">
        <f>HYPERLINK("https://klasma.github.io/Logging_2303/kartor/A 49091-2022 karta.png", "A 49091-2022")</f>
        <v/>
      </c>
      <c r="V234">
        <f>HYPERLINK("https://klasma.github.io/Logging_2303/klagomål/A 49091-2022 FSC-klagomål.docx", "A 49091-2022")</f>
        <v/>
      </c>
      <c r="W234">
        <f>HYPERLINK("https://klasma.github.io/Logging_2303/klagomålsmail/A 49091-2022 FSC-klagomål mail.docx", "A 49091-2022")</f>
        <v/>
      </c>
      <c r="X234">
        <f>HYPERLINK("https://klasma.github.io/Logging_2303/tillsyn/A 49091-2022 tillsynsbegäran.docx", "A 49091-2022")</f>
        <v/>
      </c>
      <c r="Y234">
        <f>HYPERLINK("https://klasma.github.io/Logging_2303/tillsynsmail/A 49091-2022 tillsynsbegäran mail.docx", "A 49091-2022")</f>
        <v/>
      </c>
    </row>
    <row r="235" ht="15" customHeight="1">
      <c r="A235" t="inlineStr">
        <is>
          <t>A 51912-2025</t>
        </is>
      </c>
      <c r="B235" s="1" t="n">
        <v>45952.46939814815</v>
      </c>
      <c r="C235" s="1" t="n">
        <v>46022</v>
      </c>
      <c r="D235" t="inlineStr">
        <is>
          <t>JÄMTLANDS LÄN</t>
        </is>
      </c>
      <c r="E235" t="inlineStr">
        <is>
          <t>RAGUNDA</t>
        </is>
      </c>
      <c r="F235" t="inlineStr">
        <is>
          <t>SCA</t>
        </is>
      </c>
      <c r="G235" t="n">
        <v>24.2</v>
      </c>
      <c r="H235" t="n">
        <v>1</v>
      </c>
      <c r="I235" t="n">
        <v>0</v>
      </c>
      <c r="J235" t="n">
        <v>0</v>
      </c>
      <c r="K235" t="n">
        <v>1</v>
      </c>
      <c r="L235" t="n">
        <v>0</v>
      </c>
      <c r="M235" t="n">
        <v>0</v>
      </c>
      <c r="N235" t="n">
        <v>0</v>
      </c>
      <c r="O235" t="n">
        <v>1</v>
      </c>
      <c r="P235" t="n">
        <v>1</v>
      </c>
      <c r="Q235" t="n">
        <v>1</v>
      </c>
      <c r="R235" s="2" t="inlineStr">
        <is>
          <t>Norna</t>
        </is>
      </c>
      <c r="S235">
        <f>HYPERLINK("https://klasma.github.io/Logging_2303/artfynd/A 51912-2025 artfynd.xlsx", "A 51912-2025")</f>
        <v/>
      </c>
      <c r="T235">
        <f>HYPERLINK("https://klasma.github.io/Logging_2303/kartor/A 51912-2025 karta.png", "A 51912-2025")</f>
        <v/>
      </c>
      <c r="V235">
        <f>HYPERLINK("https://klasma.github.io/Logging_2303/klagomål/A 51912-2025 FSC-klagomål.docx", "A 51912-2025")</f>
        <v/>
      </c>
      <c r="W235">
        <f>HYPERLINK("https://klasma.github.io/Logging_2303/klagomålsmail/A 51912-2025 FSC-klagomål mail.docx", "A 51912-2025")</f>
        <v/>
      </c>
      <c r="X235">
        <f>HYPERLINK("https://klasma.github.io/Logging_2303/tillsyn/A 51912-2025 tillsynsbegäran.docx", "A 51912-2025")</f>
        <v/>
      </c>
      <c r="Y235">
        <f>HYPERLINK("https://klasma.github.io/Logging_2303/tillsynsmail/A 51912-2025 tillsynsbegäran mail.docx", "A 51912-2025")</f>
        <v/>
      </c>
    </row>
    <row r="236" ht="15" customHeight="1">
      <c r="A236" t="inlineStr">
        <is>
          <t>A 48429-2023</t>
        </is>
      </c>
      <c r="B236" s="1" t="n">
        <v>45205</v>
      </c>
      <c r="C236" s="1" t="n">
        <v>46022</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17340-2023</t>
        </is>
      </c>
      <c r="B237" s="1" t="n">
        <v>45033</v>
      </c>
      <c r="C237" s="1" t="n">
        <v>46022</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50164-2023</t>
        </is>
      </c>
      <c r="B238" s="1" t="n">
        <v>45208</v>
      </c>
      <c r="C238" s="1" t="n">
        <v>46022</v>
      </c>
      <c r="D238" t="inlineStr">
        <is>
          <t>JÄMTLANDS LÄN</t>
        </is>
      </c>
      <c r="E238" t="inlineStr">
        <is>
          <t>RAGUNDA</t>
        </is>
      </c>
      <c r="G238" t="n">
        <v>2.9</v>
      </c>
      <c r="H238" t="n">
        <v>0</v>
      </c>
      <c r="I238" t="n">
        <v>0</v>
      </c>
      <c r="J238" t="n">
        <v>0</v>
      </c>
      <c r="K238" t="n">
        <v>1</v>
      </c>
      <c r="L238" t="n">
        <v>0</v>
      </c>
      <c r="M238" t="n">
        <v>0</v>
      </c>
      <c r="N238" t="n">
        <v>0</v>
      </c>
      <c r="O238" t="n">
        <v>1</v>
      </c>
      <c r="P238" t="n">
        <v>1</v>
      </c>
      <c r="Q238" t="n">
        <v>1</v>
      </c>
      <c r="R238" s="2" t="inlineStr">
        <is>
          <t>Mindre barkplattbagge</t>
        </is>
      </c>
      <c r="S238">
        <f>HYPERLINK("https://klasma.github.io/Logging_2303/artfynd/A 50164-2023 artfynd.xlsx", "A 50164-2023")</f>
        <v/>
      </c>
      <c r="T238">
        <f>HYPERLINK("https://klasma.github.io/Logging_2303/kartor/A 50164-2023 karta.png", "A 50164-2023")</f>
        <v/>
      </c>
      <c r="V238">
        <f>HYPERLINK("https://klasma.github.io/Logging_2303/klagomål/A 50164-2023 FSC-klagomål.docx", "A 50164-2023")</f>
        <v/>
      </c>
      <c r="W238">
        <f>HYPERLINK("https://klasma.github.io/Logging_2303/klagomålsmail/A 50164-2023 FSC-klagomål mail.docx", "A 50164-2023")</f>
        <v/>
      </c>
      <c r="X238">
        <f>HYPERLINK("https://klasma.github.io/Logging_2303/tillsyn/A 50164-2023 tillsynsbegäran.docx", "A 50164-2023")</f>
        <v/>
      </c>
      <c r="Y238">
        <f>HYPERLINK("https://klasma.github.io/Logging_2303/tillsynsmail/A 50164-2023 tillsynsbegäran mail.docx", "A 50164-2023")</f>
        <v/>
      </c>
    </row>
    <row r="239" ht="15" customHeight="1">
      <c r="A239" t="inlineStr">
        <is>
          <t>A 26322-2024</t>
        </is>
      </c>
      <c r="B239" s="1" t="n">
        <v>45468.97461805555</v>
      </c>
      <c r="C239" s="1" t="n">
        <v>46022</v>
      </c>
      <c r="D239" t="inlineStr">
        <is>
          <t>JÄMTLANDS LÄN</t>
        </is>
      </c>
      <c r="E239" t="inlineStr">
        <is>
          <t>RAGUNDA</t>
        </is>
      </c>
      <c r="F239" t="inlineStr">
        <is>
          <t>SCA</t>
        </is>
      </c>
      <c r="G239" t="n">
        <v>9.6</v>
      </c>
      <c r="H239" t="n">
        <v>0</v>
      </c>
      <c r="I239" t="n">
        <v>0</v>
      </c>
      <c r="J239" t="n">
        <v>1</v>
      </c>
      <c r="K239" t="n">
        <v>0</v>
      </c>
      <c r="L239" t="n">
        <v>0</v>
      </c>
      <c r="M239" t="n">
        <v>0</v>
      </c>
      <c r="N239" t="n">
        <v>0</v>
      </c>
      <c r="O239" t="n">
        <v>1</v>
      </c>
      <c r="P239" t="n">
        <v>0</v>
      </c>
      <c r="Q239" t="n">
        <v>1</v>
      </c>
      <c r="R239" s="2" t="inlineStr">
        <is>
          <t>Rosenticka</t>
        </is>
      </c>
      <c r="S239">
        <f>HYPERLINK("https://klasma.github.io/Logging_2303/artfynd/A 26322-2024 artfynd.xlsx", "A 26322-2024")</f>
        <v/>
      </c>
      <c r="T239">
        <f>HYPERLINK("https://klasma.github.io/Logging_2303/kartor/A 26322-2024 karta.png", "A 26322-2024")</f>
        <v/>
      </c>
      <c r="U239">
        <f>HYPERLINK("https://klasma.github.io/Logging_2303/knärot/A 26322-2024 karta knärot.png", "A 26322-2024")</f>
        <v/>
      </c>
      <c r="V239">
        <f>HYPERLINK("https://klasma.github.io/Logging_2303/klagomål/A 26322-2024 FSC-klagomål.docx", "A 26322-2024")</f>
        <v/>
      </c>
      <c r="W239">
        <f>HYPERLINK("https://klasma.github.io/Logging_2303/klagomålsmail/A 26322-2024 FSC-klagomål mail.docx", "A 26322-2024")</f>
        <v/>
      </c>
      <c r="X239">
        <f>HYPERLINK("https://klasma.github.io/Logging_2303/tillsyn/A 26322-2024 tillsynsbegäran.docx", "A 26322-2024")</f>
        <v/>
      </c>
      <c r="Y239">
        <f>HYPERLINK("https://klasma.github.io/Logging_2303/tillsynsmail/A 26322-2024 tillsynsbegäran mail.docx", "A 26322-2024")</f>
        <v/>
      </c>
    </row>
    <row r="240" ht="15" customHeight="1">
      <c r="A240" t="inlineStr">
        <is>
          <t>A 48477-2023</t>
        </is>
      </c>
      <c r="B240" s="1" t="n">
        <v>45206</v>
      </c>
      <c r="C240" s="1" t="n">
        <v>46022</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46022</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49770-2024</t>
        </is>
      </c>
      <c r="B242" s="1" t="n">
        <v>45597.34461805555</v>
      </c>
      <c r="C242" s="1" t="n">
        <v>46022</v>
      </c>
      <c r="D242" t="inlineStr">
        <is>
          <t>JÄMTLANDS LÄN</t>
        </is>
      </c>
      <c r="E242" t="inlineStr">
        <is>
          <t>RAGUNDA</t>
        </is>
      </c>
      <c r="F242" t="inlineStr">
        <is>
          <t>Naturvårdsverket</t>
        </is>
      </c>
      <c r="G242" t="n">
        <v>8.9</v>
      </c>
      <c r="H242" t="n">
        <v>1</v>
      </c>
      <c r="I242" t="n">
        <v>0</v>
      </c>
      <c r="J242" t="n">
        <v>0</v>
      </c>
      <c r="K242" t="n">
        <v>1</v>
      </c>
      <c r="L242" t="n">
        <v>0</v>
      </c>
      <c r="M242" t="n">
        <v>0</v>
      </c>
      <c r="N242" t="n">
        <v>0</v>
      </c>
      <c r="O242" t="n">
        <v>1</v>
      </c>
      <c r="P242" t="n">
        <v>1</v>
      </c>
      <c r="Q242" t="n">
        <v>1</v>
      </c>
      <c r="R242" s="2" t="inlineStr">
        <is>
          <t>Doftticka</t>
        </is>
      </c>
      <c r="S242">
        <f>HYPERLINK("https://klasma.github.io/Logging_2303/artfynd/A 49770-2024 artfynd.xlsx", "A 49770-2024")</f>
        <v/>
      </c>
      <c r="T242">
        <f>HYPERLINK("https://klasma.github.io/Logging_2303/kartor/A 49770-2024 karta.png", "A 49770-2024")</f>
        <v/>
      </c>
      <c r="V242">
        <f>HYPERLINK("https://klasma.github.io/Logging_2303/klagomål/A 49770-2024 FSC-klagomål.docx", "A 49770-2024")</f>
        <v/>
      </c>
      <c r="W242">
        <f>HYPERLINK("https://klasma.github.io/Logging_2303/klagomålsmail/A 49770-2024 FSC-klagomål mail.docx", "A 49770-2024")</f>
        <v/>
      </c>
      <c r="X242">
        <f>HYPERLINK("https://klasma.github.io/Logging_2303/tillsyn/A 49770-2024 tillsynsbegäran.docx", "A 49770-2024")</f>
        <v/>
      </c>
      <c r="Y242">
        <f>HYPERLINK("https://klasma.github.io/Logging_2303/tillsynsmail/A 49770-2024 tillsynsbegäran mail.docx", "A 49770-2024")</f>
        <v/>
      </c>
    </row>
    <row r="243" ht="15" customHeight="1">
      <c r="A243" t="inlineStr">
        <is>
          <t>A 55756-2025</t>
        </is>
      </c>
      <c r="B243" s="1" t="n">
        <v>45972.59438657408</v>
      </c>
      <c r="C243" s="1" t="n">
        <v>46022</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Garnlav</t>
        </is>
      </c>
      <c r="S243">
        <f>HYPERLINK("https://klasma.github.io/Logging_2303/artfynd/A 55756-2025 artfynd.xlsx", "A 55756-2025")</f>
        <v/>
      </c>
      <c r="T243">
        <f>HYPERLINK("https://klasma.github.io/Logging_2303/kartor/A 55756-2025 karta.png", "A 55756-2025")</f>
        <v/>
      </c>
      <c r="V243">
        <f>HYPERLINK("https://klasma.github.io/Logging_2303/klagomål/A 55756-2025 FSC-klagomål.docx", "A 55756-2025")</f>
        <v/>
      </c>
      <c r="W243">
        <f>HYPERLINK("https://klasma.github.io/Logging_2303/klagomålsmail/A 55756-2025 FSC-klagomål mail.docx", "A 55756-2025")</f>
        <v/>
      </c>
      <c r="X243">
        <f>HYPERLINK("https://klasma.github.io/Logging_2303/tillsyn/A 55756-2025 tillsynsbegäran.docx", "A 55756-2025")</f>
        <v/>
      </c>
      <c r="Y243">
        <f>HYPERLINK("https://klasma.github.io/Logging_2303/tillsynsmail/A 55756-2025 tillsynsbegäran mail.docx", "A 55756-2025")</f>
        <v/>
      </c>
    </row>
    <row r="244" ht="15" customHeight="1">
      <c r="A244" t="inlineStr">
        <is>
          <t>A 56599-2025</t>
        </is>
      </c>
      <c r="B244" s="1" t="n">
        <v>45975.5734837963</v>
      </c>
      <c r="C244" s="1" t="n">
        <v>46022</v>
      </c>
      <c r="D244" t="inlineStr">
        <is>
          <t>JÄMTLANDS LÄN</t>
        </is>
      </c>
      <c r="E244" t="inlineStr">
        <is>
          <t>RAGUNDA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HYPERLINK("https://klasma.github.io/Logging_2303/artfynd/A 56599-2025 artfynd.xlsx", "A 56599-2025")</f>
        <v/>
      </c>
      <c r="T244">
        <f>HYPERLINK("https://klasma.github.io/Logging_2303/kartor/A 56599-2025 karta.png", "A 56599-2025")</f>
        <v/>
      </c>
      <c r="V244">
        <f>HYPERLINK("https://klasma.github.io/Logging_2303/klagomål/A 56599-2025 FSC-klagomål.docx", "A 56599-2025")</f>
        <v/>
      </c>
      <c r="W244">
        <f>HYPERLINK("https://klasma.github.io/Logging_2303/klagomålsmail/A 56599-2025 FSC-klagomål mail.docx", "A 56599-2025")</f>
        <v/>
      </c>
      <c r="X244">
        <f>HYPERLINK("https://klasma.github.io/Logging_2303/tillsyn/A 56599-2025 tillsynsbegäran.docx", "A 56599-2025")</f>
        <v/>
      </c>
      <c r="Y244">
        <f>HYPERLINK("https://klasma.github.io/Logging_2303/tillsynsmail/A 56599-2025 tillsynsbegäran mail.docx", "A 56599-2025")</f>
        <v/>
      </c>
    </row>
    <row r="245" ht="15" customHeight="1">
      <c r="A245" t="inlineStr">
        <is>
          <t>A 57253-2025</t>
        </is>
      </c>
      <c r="B245" s="1" t="n">
        <v>45979.64381944444</v>
      </c>
      <c r="C245" s="1" t="n">
        <v>46022</v>
      </c>
      <c r="D245" t="inlineStr">
        <is>
          <t>JÄMTLANDS LÄN</t>
        </is>
      </c>
      <c r="E245" t="inlineStr">
        <is>
          <t>RAGUNDA</t>
        </is>
      </c>
      <c r="G245" t="n">
        <v>1.2</v>
      </c>
      <c r="H245" t="n">
        <v>0</v>
      </c>
      <c r="I245" t="n">
        <v>1</v>
      </c>
      <c r="J245" t="n">
        <v>0</v>
      </c>
      <c r="K245" t="n">
        <v>0</v>
      </c>
      <c r="L245" t="n">
        <v>0</v>
      </c>
      <c r="M245" t="n">
        <v>0</v>
      </c>
      <c r="N245" t="n">
        <v>0</v>
      </c>
      <c r="O245" t="n">
        <v>0</v>
      </c>
      <c r="P245" t="n">
        <v>0</v>
      </c>
      <c r="Q245" t="n">
        <v>1</v>
      </c>
      <c r="R245" s="2" t="inlineStr">
        <is>
          <t>Skinnlav</t>
        </is>
      </c>
      <c r="S245">
        <f>HYPERLINK("https://klasma.github.io/Logging_2303/artfynd/A 57253-2025 artfynd.xlsx", "A 57253-2025")</f>
        <v/>
      </c>
      <c r="T245">
        <f>HYPERLINK("https://klasma.github.io/Logging_2303/kartor/A 57253-2025 karta.png", "A 57253-2025")</f>
        <v/>
      </c>
      <c r="V245">
        <f>HYPERLINK("https://klasma.github.io/Logging_2303/klagomål/A 57253-2025 FSC-klagomål.docx", "A 57253-2025")</f>
        <v/>
      </c>
      <c r="W245">
        <f>HYPERLINK("https://klasma.github.io/Logging_2303/klagomålsmail/A 57253-2025 FSC-klagomål mail.docx", "A 57253-2025")</f>
        <v/>
      </c>
      <c r="X245">
        <f>HYPERLINK("https://klasma.github.io/Logging_2303/tillsyn/A 57253-2025 tillsynsbegäran.docx", "A 57253-2025")</f>
        <v/>
      </c>
      <c r="Y245">
        <f>HYPERLINK("https://klasma.github.io/Logging_2303/tillsynsmail/A 57253-2025 tillsynsbegäran mail.docx", "A 57253-2025")</f>
        <v/>
      </c>
    </row>
    <row r="246" ht="15" customHeight="1">
      <c r="A246" t="inlineStr">
        <is>
          <t>A 61324-2024</t>
        </is>
      </c>
      <c r="B246" s="1" t="n">
        <v>45646.34438657408</v>
      </c>
      <c r="C246" s="1" t="n">
        <v>46022</v>
      </c>
      <c r="D246" t="inlineStr">
        <is>
          <t>JÄMTLANDS LÄN</t>
        </is>
      </c>
      <c r="E246" t="inlineStr">
        <is>
          <t>RAGUNDA</t>
        </is>
      </c>
      <c r="F246" t="inlineStr">
        <is>
          <t>SCA</t>
        </is>
      </c>
      <c r="G246" t="n">
        <v>11.2</v>
      </c>
      <c r="H246" t="n">
        <v>1</v>
      </c>
      <c r="I246" t="n">
        <v>0</v>
      </c>
      <c r="J246" t="n">
        <v>0</v>
      </c>
      <c r="K246" t="n">
        <v>0</v>
      </c>
      <c r="L246" t="n">
        <v>0</v>
      </c>
      <c r="M246" t="n">
        <v>0</v>
      </c>
      <c r="N246" t="n">
        <v>0</v>
      </c>
      <c r="O246" t="n">
        <v>0</v>
      </c>
      <c r="P246" t="n">
        <v>0</v>
      </c>
      <c r="Q246" t="n">
        <v>1</v>
      </c>
      <c r="R246" s="2" t="inlineStr">
        <is>
          <t>Trana</t>
        </is>
      </c>
      <c r="S246">
        <f>HYPERLINK("https://klasma.github.io/Logging_2303/artfynd/A 61324-2024 artfynd.xlsx", "A 61324-2024")</f>
        <v/>
      </c>
      <c r="T246">
        <f>HYPERLINK("https://klasma.github.io/Logging_2303/kartor/A 61324-2024 karta.png", "A 61324-2024")</f>
        <v/>
      </c>
      <c r="V246">
        <f>HYPERLINK("https://klasma.github.io/Logging_2303/klagomål/A 61324-2024 FSC-klagomål.docx", "A 61324-2024")</f>
        <v/>
      </c>
      <c r="W246">
        <f>HYPERLINK("https://klasma.github.io/Logging_2303/klagomålsmail/A 61324-2024 FSC-klagomål mail.docx", "A 61324-2024")</f>
        <v/>
      </c>
      <c r="X246">
        <f>HYPERLINK("https://klasma.github.io/Logging_2303/tillsyn/A 61324-2024 tillsynsbegäran.docx", "A 61324-2024")</f>
        <v/>
      </c>
      <c r="Y246">
        <f>HYPERLINK("https://klasma.github.io/Logging_2303/tillsynsmail/A 61324-2024 tillsynsbegäran mail.docx", "A 61324-2024")</f>
        <v/>
      </c>
      <c r="Z246">
        <f>HYPERLINK("https://klasma.github.io/Logging_2303/fåglar/A 61324-2024 prioriterade fågelarter.docx", "A 61324-2024")</f>
        <v/>
      </c>
    </row>
    <row r="247" ht="15" customHeight="1">
      <c r="A247" t="inlineStr">
        <is>
          <t>A 32069-2024</t>
        </is>
      </c>
      <c r="B247" s="1" t="n">
        <v>45510</v>
      </c>
      <c r="C247" s="1" t="n">
        <v>46022</v>
      </c>
      <c r="D247" t="inlineStr">
        <is>
          <t>JÄMTLANDS LÄN</t>
        </is>
      </c>
      <c r="E247" t="inlineStr">
        <is>
          <t>RAGUNDA</t>
        </is>
      </c>
      <c r="F247" t="inlineStr">
        <is>
          <t>SCA</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HYPERLINK("https://klasma.github.io/Logging_2303/artfynd/A 32069-2024 artfynd.xlsx", "A 32069-2024")</f>
        <v/>
      </c>
      <c r="T247">
        <f>HYPERLINK("https://klasma.github.io/Logging_2303/kartor/A 32069-2024 karta.png", "A 32069-2024")</f>
        <v/>
      </c>
      <c r="V247">
        <f>HYPERLINK("https://klasma.github.io/Logging_2303/klagomål/A 32069-2024 FSC-klagomål.docx", "A 32069-2024")</f>
        <v/>
      </c>
      <c r="W247">
        <f>HYPERLINK("https://klasma.github.io/Logging_2303/klagomålsmail/A 32069-2024 FSC-klagomål mail.docx", "A 32069-2024")</f>
        <v/>
      </c>
      <c r="X247">
        <f>HYPERLINK("https://klasma.github.io/Logging_2303/tillsyn/A 32069-2024 tillsynsbegäran.docx", "A 32069-2024")</f>
        <v/>
      </c>
      <c r="Y247">
        <f>HYPERLINK("https://klasma.github.io/Logging_2303/tillsynsmail/A 32069-2024 tillsynsbegäran mail.docx", "A 32069-2024")</f>
        <v/>
      </c>
    </row>
    <row r="248" ht="15" customHeight="1">
      <c r="A248" t="inlineStr">
        <is>
          <t>A 19751-2025</t>
        </is>
      </c>
      <c r="B248" s="1" t="n">
        <v>45771.3859837963</v>
      </c>
      <c r="C248" s="1" t="n">
        <v>46022</v>
      </c>
      <c r="D248" t="inlineStr">
        <is>
          <t>JÄMTLANDS LÄN</t>
        </is>
      </c>
      <c r="E248" t="inlineStr">
        <is>
          <t>RAGUNDA</t>
        </is>
      </c>
      <c r="F248" t="inlineStr">
        <is>
          <t>SCA</t>
        </is>
      </c>
      <c r="G248" t="n">
        <v>1.1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19751-2025 artfynd.xlsx", "A 19751-2025")</f>
        <v/>
      </c>
      <c r="T248">
        <f>HYPERLINK("https://klasma.github.io/Logging_2303/kartor/A 19751-2025 karta.png", "A 19751-2025")</f>
        <v/>
      </c>
      <c r="V248">
        <f>HYPERLINK("https://klasma.github.io/Logging_2303/klagomål/A 19751-2025 FSC-klagomål.docx", "A 19751-2025")</f>
        <v/>
      </c>
      <c r="W248">
        <f>HYPERLINK("https://klasma.github.io/Logging_2303/klagomålsmail/A 19751-2025 FSC-klagomål mail.docx", "A 19751-2025")</f>
        <v/>
      </c>
      <c r="X248">
        <f>HYPERLINK("https://klasma.github.io/Logging_2303/tillsyn/A 19751-2025 tillsynsbegäran.docx", "A 19751-2025")</f>
        <v/>
      </c>
      <c r="Y248">
        <f>HYPERLINK("https://klasma.github.io/Logging_2303/tillsynsmail/A 19751-2025 tillsynsbegäran mail.docx", "A 19751-2025")</f>
        <v/>
      </c>
      <c r="Z248">
        <f>HYPERLINK("https://klasma.github.io/Logging_2303/fåglar/A 19751-2025 prioriterade fågelarter.docx", "A 19751-2025")</f>
        <v/>
      </c>
    </row>
    <row r="249" ht="15" customHeight="1">
      <c r="A249" t="inlineStr">
        <is>
          <t>A 19387-2025</t>
        </is>
      </c>
      <c r="B249" s="1" t="n">
        <v>45769.65736111111</v>
      </c>
      <c r="C249" s="1" t="n">
        <v>46022</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2929-2024</t>
        </is>
      </c>
      <c r="B250" s="1" t="n">
        <v>45315</v>
      </c>
      <c r="C250" s="1" t="n">
        <v>46022</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58846-2024</t>
        </is>
      </c>
      <c r="B251" s="1" t="n">
        <v>45636.3863425926</v>
      </c>
      <c r="C251" s="1" t="n">
        <v>46022</v>
      </c>
      <c r="D251" t="inlineStr">
        <is>
          <t>JÄMTLANDS LÄN</t>
        </is>
      </c>
      <c r="E251" t="inlineStr">
        <is>
          <t>RAGUNDA</t>
        </is>
      </c>
      <c r="F251" t="inlineStr">
        <is>
          <t>SCA</t>
        </is>
      </c>
      <c r="G251" t="n">
        <v>1.5</v>
      </c>
      <c r="H251" t="n">
        <v>0</v>
      </c>
      <c r="I251" t="n">
        <v>0</v>
      </c>
      <c r="J251" t="n">
        <v>0</v>
      </c>
      <c r="K251" t="n">
        <v>1</v>
      </c>
      <c r="L251" t="n">
        <v>0</v>
      </c>
      <c r="M251" t="n">
        <v>0</v>
      </c>
      <c r="N251" t="n">
        <v>0</v>
      </c>
      <c r="O251" t="n">
        <v>1</v>
      </c>
      <c r="P251" t="n">
        <v>1</v>
      </c>
      <c r="Q251" t="n">
        <v>1</v>
      </c>
      <c r="R251" s="2" t="inlineStr">
        <is>
          <t>Rynkskinn</t>
        </is>
      </c>
      <c r="S251">
        <f>HYPERLINK("https://klasma.github.io/Logging_2303/artfynd/A 58846-2024 artfynd.xlsx", "A 58846-2024")</f>
        <v/>
      </c>
      <c r="T251">
        <f>HYPERLINK("https://klasma.github.io/Logging_2303/kartor/A 58846-2024 karta.png", "A 58846-2024")</f>
        <v/>
      </c>
      <c r="V251">
        <f>HYPERLINK("https://klasma.github.io/Logging_2303/klagomål/A 58846-2024 FSC-klagomål.docx", "A 58846-2024")</f>
        <v/>
      </c>
      <c r="W251">
        <f>HYPERLINK("https://klasma.github.io/Logging_2303/klagomålsmail/A 58846-2024 FSC-klagomål mail.docx", "A 58846-2024")</f>
        <v/>
      </c>
      <c r="X251">
        <f>HYPERLINK("https://klasma.github.io/Logging_2303/tillsyn/A 58846-2024 tillsynsbegäran.docx", "A 58846-2024")</f>
        <v/>
      </c>
      <c r="Y251">
        <f>HYPERLINK("https://klasma.github.io/Logging_2303/tillsynsmail/A 58846-2024 tillsynsbegäran mail.docx", "A 58846-2024")</f>
        <v/>
      </c>
    </row>
    <row r="252" ht="15" customHeight="1">
      <c r="A252" t="inlineStr">
        <is>
          <t>A 36854-2023</t>
        </is>
      </c>
      <c r="B252" s="1" t="n">
        <v>45153</v>
      </c>
      <c r="C252" s="1" t="n">
        <v>46022</v>
      </c>
      <c r="D252" t="inlineStr">
        <is>
          <t>JÄMTLANDS LÄN</t>
        </is>
      </c>
      <c r="E252" t="inlineStr">
        <is>
          <t>RAGUNDA</t>
        </is>
      </c>
      <c r="G252" t="n">
        <v>4</v>
      </c>
      <c r="H252" t="n">
        <v>1</v>
      </c>
      <c r="I252" t="n">
        <v>0</v>
      </c>
      <c r="J252" t="n">
        <v>1</v>
      </c>
      <c r="K252" t="n">
        <v>0</v>
      </c>
      <c r="L252" t="n">
        <v>0</v>
      </c>
      <c r="M252" t="n">
        <v>0</v>
      </c>
      <c r="N252" t="n">
        <v>0</v>
      </c>
      <c r="O252" t="n">
        <v>1</v>
      </c>
      <c r="P252" t="n">
        <v>0</v>
      </c>
      <c r="Q252" t="n">
        <v>1</v>
      </c>
      <c r="R252" s="2" t="inlineStr">
        <is>
          <t>Talltita</t>
        </is>
      </c>
      <c r="S252">
        <f>HYPERLINK("https://klasma.github.io/Logging_2303/artfynd/A 36854-2023 artfynd.xlsx", "A 36854-2023")</f>
        <v/>
      </c>
      <c r="T252">
        <f>HYPERLINK("https://klasma.github.io/Logging_2303/kartor/A 36854-2023 karta.png", "A 36854-2023")</f>
        <v/>
      </c>
      <c r="V252">
        <f>HYPERLINK("https://klasma.github.io/Logging_2303/klagomål/A 36854-2023 FSC-klagomål.docx", "A 36854-2023")</f>
        <v/>
      </c>
      <c r="W252">
        <f>HYPERLINK("https://klasma.github.io/Logging_2303/klagomålsmail/A 36854-2023 FSC-klagomål mail.docx", "A 36854-2023")</f>
        <v/>
      </c>
      <c r="X252">
        <f>HYPERLINK("https://klasma.github.io/Logging_2303/tillsyn/A 36854-2023 tillsynsbegäran.docx", "A 36854-2023")</f>
        <v/>
      </c>
      <c r="Y252">
        <f>HYPERLINK("https://klasma.github.io/Logging_2303/tillsynsmail/A 36854-2023 tillsynsbegäran mail.docx", "A 36854-2023")</f>
        <v/>
      </c>
      <c r="Z252">
        <f>HYPERLINK("https://klasma.github.io/Logging_2303/fåglar/A 36854-2023 prioriterade fågelarter.docx", "A 36854-2023")</f>
        <v/>
      </c>
    </row>
    <row r="253" ht="15" customHeight="1">
      <c r="A253" t="inlineStr">
        <is>
          <t>A 18985-2023</t>
        </is>
      </c>
      <c r="B253" s="1" t="n">
        <v>45044</v>
      </c>
      <c r="C253" s="1" t="n">
        <v>46022</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30485-2024</t>
        </is>
      </c>
      <c r="B254" s="1" t="n">
        <v>45491.95008101852</v>
      </c>
      <c r="C254" s="1" t="n">
        <v>46022</v>
      </c>
      <c r="D254" t="inlineStr">
        <is>
          <t>JÄMTLANDS LÄN</t>
        </is>
      </c>
      <c r="E254" t="inlineStr">
        <is>
          <t>RAGUNDA</t>
        </is>
      </c>
      <c r="F254" t="inlineStr">
        <is>
          <t>SCA</t>
        </is>
      </c>
      <c r="G254" t="n">
        <v>2</v>
      </c>
      <c r="H254" t="n">
        <v>0</v>
      </c>
      <c r="I254" t="n">
        <v>0</v>
      </c>
      <c r="J254" t="n">
        <v>1</v>
      </c>
      <c r="K254" t="n">
        <v>0</v>
      </c>
      <c r="L254" t="n">
        <v>0</v>
      </c>
      <c r="M254" t="n">
        <v>0</v>
      </c>
      <c r="N254" t="n">
        <v>0</v>
      </c>
      <c r="O254" t="n">
        <v>1</v>
      </c>
      <c r="P254" t="n">
        <v>0</v>
      </c>
      <c r="Q254" t="n">
        <v>1</v>
      </c>
      <c r="R254" s="2" t="inlineStr">
        <is>
          <t>Garnlav</t>
        </is>
      </c>
      <c r="S254">
        <f>HYPERLINK("https://klasma.github.io/Logging_2303/artfynd/A 30485-2024 artfynd.xlsx", "A 30485-2024")</f>
        <v/>
      </c>
      <c r="T254">
        <f>HYPERLINK("https://klasma.github.io/Logging_2303/kartor/A 30485-2024 karta.png", "A 30485-2024")</f>
        <v/>
      </c>
      <c r="V254">
        <f>HYPERLINK("https://klasma.github.io/Logging_2303/klagomål/A 30485-2024 FSC-klagomål.docx", "A 30485-2024")</f>
        <v/>
      </c>
      <c r="W254">
        <f>HYPERLINK("https://klasma.github.io/Logging_2303/klagomålsmail/A 30485-2024 FSC-klagomål mail.docx", "A 30485-2024")</f>
        <v/>
      </c>
      <c r="X254">
        <f>HYPERLINK("https://klasma.github.io/Logging_2303/tillsyn/A 30485-2024 tillsynsbegäran.docx", "A 30485-2024")</f>
        <v/>
      </c>
      <c r="Y254">
        <f>HYPERLINK("https://klasma.github.io/Logging_2303/tillsynsmail/A 30485-2024 tillsynsbegäran mail.docx", "A 30485-2024")</f>
        <v/>
      </c>
    </row>
    <row r="255" ht="15" customHeight="1">
      <c r="A255" t="inlineStr">
        <is>
          <t>A 35750-2023</t>
        </is>
      </c>
      <c r="B255" s="1" t="n">
        <v>45147</v>
      </c>
      <c r="C255" s="1" t="n">
        <v>46022</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46022</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46022</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2469-2021</t>
        </is>
      </c>
      <c r="B258" s="1" t="n">
        <v>44214</v>
      </c>
      <c r="C258" s="1" t="n">
        <v>46022</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46022</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46022</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46022</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46022</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46022</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46022</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46022</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46022</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46022</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46022</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46022</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46022</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46022</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46022</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46022</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46022</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46022</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46022</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46022</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46022</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46047-2022</t>
        </is>
      </c>
      <c r="B279" s="1" t="n">
        <v>44846.9522337963</v>
      </c>
      <c r="C279" s="1" t="n">
        <v>46022</v>
      </c>
      <c r="D279" t="inlineStr">
        <is>
          <t>JÄMTLANDS LÄN</t>
        </is>
      </c>
      <c r="E279" t="inlineStr">
        <is>
          <t>RAGUNDA</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46022</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46022</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46022</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46022</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46022</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46022</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46022</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46022</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46022</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46022</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46022</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46022</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46022</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46022</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46022</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46022</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46022</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46022</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46022</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46022</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46022</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46022</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46022</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46022</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46022</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46022</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46022</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46022</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46022</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46022</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46022</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48832-2021</t>
        </is>
      </c>
      <c r="B311" s="1" t="n">
        <v>44452</v>
      </c>
      <c r="C311" s="1" t="n">
        <v>46022</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46022</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15102-2021</t>
        </is>
      </c>
      <c r="B313" s="1" t="n">
        <v>44281</v>
      </c>
      <c r="C313" s="1" t="n">
        <v>46022</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16002-2021</t>
        </is>
      </c>
      <c r="B314" s="1" t="n">
        <v>44287</v>
      </c>
      <c r="C314" s="1" t="n">
        <v>46022</v>
      </c>
      <c r="D314" t="inlineStr">
        <is>
          <t>JÄMTLANDS LÄN</t>
        </is>
      </c>
      <c r="E314" t="inlineStr">
        <is>
          <t>RAGUNDA</t>
        </is>
      </c>
      <c r="G314" t="n">
        <v>3.6</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46022</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46022</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46022</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46022</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46022</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46022</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46022</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46022</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46022</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46022</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46022</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46022</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46022</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46022</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46022</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46022</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46022</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46022</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46022</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46022</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46022</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46022</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46022</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46022</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46022</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46022</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46022</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46022</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46022</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46022</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46022</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46022</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46022</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46022</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46022</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46022</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46022</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46022</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46022</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46022</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46022</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46022</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46022</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46022</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46022</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46022</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46022</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46022</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46022</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46022</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46022</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46022</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46022</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46022</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46022</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46022</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46022</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46022</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46022</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46022</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46022</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46022</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46022</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46022</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46022</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46022</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46022</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44241-2021</t>
        </is>
      </c>
      <c r="B382" s="1" t="n">
        <v>44434.94517361111</v>
      </c>
      <c r="C382" s="1" t="n">
        <v>46022</v>
      </c>
      <c r="D382" t="inlineStr">
        <is>
          <t>JÄMTLANDS LÄN</t>
        </is>
      </c>
      <c r="E382" t="inlineStr">
        <is>
          <t>RAGUNDA</t>
        </is>
      </c>
      <c r="G382" t="n">
        <v>0.8</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46022</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46022</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46022</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46022</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46022</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46022</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46022</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46022</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46022</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46022</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46022</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46022</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46022</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46022</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46022</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46022</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46022</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46022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46022</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46022</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46022</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46022</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14896-2022</t>
        </is>
      </c>
      <c r="B405" s="1" t="n">
        <v>44656</v>
      </c>
      <c r="C405" s="1" t="n">
        <v>46022</v>
      </c>
      <c r="D405" t="inlineStr">
        <is>
          <t>JÄMTLANDS LÄN</t>
        </is>
      </c>
      <c r="E405" t="inlineStr">
        <is>
          <t>RAGUNDA</t>
        </is>
      </c>
      <c r="F405" t="inlineStr">
        <is>
          <t>SCA</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58537-2022</t>
        </is>
      </c>
      <c r="B406" s="1" t="n">
        <v>44894</v>
      </c>
      <c r="C406" s="1" t="n">
        <v>46022</v>
      </c>
      <c r="D406" t="inlineStr">
        <is>
          <t>JÄMTLANDS LÄN</t>
        </is>
      </c>
      <c r="E406" t="inlineStr">
        <is>
          <t>RAGUNDA</t>
        </is>
      </c>
      <c r="G406" t="n">
        <v>1.2</v>
      </c>
      <c r="H406" t="n">
        <v>0</v>
      </c>
      <c r="I406" t="n">
        <v>0</v>
      </c>
      <c r="J406" t="n">
        <v>0</v>
      </c>
      <c r="K406" t="n">
        <v>0</v>
      </c>
      <c r="L406" t="n">
        <v>0</v>
      </c>
      <c r="M406" t="n">
        <v>0</v>
      </c>
      <c r="N406" t="n">
        <v>0</v>
      </c>
      <c r="O406" t="n">
        <v>0</v>
      </c>
      <c r="P406" t="n">
        <v>0</v>
      </c>
      <c r="Q406" t="n">
        <v>0</v>
      </c>
      <c r="R406" s="2" t="inlineStr"/>
    </row>
    <row r="407" ht="15" customHeight="1">
      <c r="A407" t="inlineStr">
        <is>
          <t>A 20574-2025</t>
        </is>
      </c>
      <c r="B407" s="1" t="n">
        <v>45775.67747685185</v>
      </c>
      <c r="C407" s="1" t="n">
        <v>46022</v>
      </c>
      <c r="D407" t="inlineStr">
        <is>
          <t>JÄMTLANDS LÄN</t>
        </is>
      </c>
      <c r="E407" t="inlineStr">
        <is>
          <t>RAGUNDA</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24197-2024</t>
        </is>
      </c>
      <c r="B408" s="1" t="n">
        <v>45456.96601851852</v>
      </c>
      <c r="C408" s="1" t="n">
        <v>46022</v>
      </c>
      <c r="D408" t="inlineStr">
        <is>
          <t>JÄMTLANDS LÄN</t>
        </is>
      </c>
      <c r="E408" t="inlineStr">
        <is>
          <t>RAGUNDA</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35153-2024</t>
        </is>
      </c>
      <c r="B409" s="1" t="n">
        <v>45530</v>
      </c>
      <c r="C409" s="1" t="n">
        <v>46022</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46022</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46022</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46022</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46022</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46022</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20088-2023</t>
        </is>
      </c>
      <c r="B415" s="1" t="n">
        <v>45054</v>
      </c>
      <c r="C415" s="1" t="n">
        <v>46022</v>
      </c>
      <c r="D415" t="inlineStr">
        <is>
          <t>JÄMTLANDS LÄN</t>
        </is>
      </c>
      <c r="E415" t="inlineStr">
        <is>
          <t>RAGUNDA</t>
        </is>
      </c>
      <c r="F415" t="inlineStr">
        <is>
          <t>SCA</t>
        </is>
      </c>
      <c r="G415" t="n">
        <v>23.4</v>
      </c>
      <c r="H415" t="n">
        <v>0</v>
      </c>
      <c r="I415" t="n">
        <v>0</v>
      </c>
      <c r="J415" t="n">
        <v>0</v>
      </c>
      <c r="K415" t="n">
        <v>0</v>
      </c>
      <c r="L415" t="n">
        <v>0</v>
      </c>
      <c r="M415" t="n">
        <v>0</v>
      </c>
      <c r="N415" t="n">
        <v>0</v>
      </c>
      <c r="O415" t="n">
        <v>0</v>
      </c>
      <c r="P415" t="n">
        <v>0</v>
      </c>
      <c r="Q415" t="n">
        <v>0</v>
      </c>
      <c r="R415" s="2" t="inlineStr"/>
    </row>
    <row r="416" ht="15" customHeight="1">
      <c r="A416" t="inlineStr">
        <is>
          <t>A 16635-2025</t>
        </is>
      </c>
      <c r="B416" s="1" t="n">
        <v>45754</v>
      </c>
      <c r="C416" s="1" t="n">
        <v>46022</v>
      </c>
      <c r="D416" t="inlineStr">
        <is>
          <t>JÄMTLANDS LÄN</t>
        </is>
      </c>
      <c r="E416" t="inlineStr">
        <is>
          <t>RAGUNDA</t>
        </is>
      </c>
      <c r="F416" t="inlineStr">
        <is>
          <t>SCA</t>
        </is>
      </c>
      <c r="G416" t="n">
        <v>55.4</v>
      </c>
      <c r="H416" t="n">
        <v>0</v>
      </c>
      <c r="I416" t="n">
        <v>0</v>
      </c>
      <c r="J416" t="n">
        <v>0</v>
      </c>
      <c r="K416" t="n">
        <v>0</v>
      </c>
      <c r="L416" t="n">
        <v>0</v>
      </c>
      <c r="M416" t="n">
        <v>0</v>
      </c>
      <c r="N416" t="n">
        <v>0</v>
      </c>
      <c r="O416" t="n">
        <v>0</v>
      </c>
      <c r="P416" t="n">
        <v>0</v>
      </c>
      <c r="Q416" t="n">
        <v>0</v>
      </c>
      <c r="R416" s="2" t="inlineStr"/>
    </row>
    <row r="417" ht="15" customHeight="1">
      <c r="A417" t="inlineStr">
        <is>
          <t>A 4014-2022</t>
        </is>
      </c>
      <c r="B417" s="1" t="n">
        <v>44587.92144675926</v>
      </c>
      <c r="C417" s="1" t="n">
        <v>46022</v>
      </c>
      <c r="D417" t="inlineStr">
        <is>
          <t>JÄMTLANDS LÄN</t>
        </is>
      </c>
      <c r="E417" t="inlineStr">
        <is>
          <t>RAGUNDA</t>
        </is>
      </c>
      <c r="G417" t="n">
        <v>3.6</v>
      </c>
      <c r="H417" t="n">
        <v>0</v>
      </c>
      <c r="I417" t="n">
        <v>0</v>
      </c>
      <c r="J417" t="n">
        <v>0</v>
      </c>
      <c r="K417" t="n">
        <v>0</v>
      </c>
      <c r="L417" t="n">
        <v>0</v>
      </c>
      <c r="M417" t="n">
        <v>0</v>
      </c>
      <c r="N417" t="n">
        <v>0</v>
      </c>
      <c r="O417" t="n">
        <v>0</v>
      </c>
      <c r="P417" t="n">
        <v>0</v>
      </c>
      <c r="Q417" t="n">
        <v>0</v>
      </c>
      <c r="R417" s="2" t="inlineStr"/>
    </row>
    <row r="418" ht="15" customHeight="1">
      <c r="A418" t="inlineStr">
        <is>
          <t>A 4882-2023</t>
        </is>
      </c>
      <c r="B418" s="1" t="n">
        <v>44957.94075231482</v>
      </c>
      <c r="C418" s="1" t="n">
        <v>46022</v>
      </c>
      <c r="D418" t="inlineStr">
        <is>
          <t>JÄMTLANDS LÄN</t>
        </is>
      </c>
      <c r="E418" t="inlineStr">
        <is>
          <t>RAGUNDA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15554-2025</t>
        </is>
      </c>
      <c r="B419" s="1" t="n">
        <v>45747.67739583334</v>
      </c>
      <c r="C419" s="1" t="n">
        <v>46022</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65216-2023</t>
        </is>
      </c>
      <c r="B420" s="1" t="n">
        <v>45289</v>
      </c>
      <c r="C420" s="1" t="n">
        <v>46022</v>
      </c>
      <c r="D420" t="inlineStr">
        <is>
          <t>JÄMTLANDS LÄN</t>
        </is>
      </c>
      <c r="E420" t="inlineStr">
        <is>
          <t>RAGUNDA</t>
        </is>
      </c>
      <c r="G420" t="n">
        <v>2.9</v>
      </c>
      <c r="H420" t="n">
        <v>0</v>
      </c>
      <c r="I420" t="n">
        <v>0</v>
      </c>
      <c r="J420" t="n">
        <v>0</v>
      </c>
      <c r="K420" t="n">
        <v>0</v>
      </c>
      <c r="L420" t="n">
        <v>0</v>
      </c>
      <c r="M420" t="n">
        <v>0</v>
      </c>
      <c r="N420" t="n">
        <v>0</v>
      </c>
      <c r="O420" t="n">
        <v>0</v>
      </c>
      <c r="P420" t="n">
        <v>0</v>
      </c>
      <c r="Q420" t="n">
        <v>0</v>
      </c>
      <c r="R420" s="2" t="inlineStr"/>
    </row>
    <row r="421" ht="15" customHeight="1">
      <c r="A421" t="inlineStr">
        <is>
          <t>A 1554-2024</t>
        </is>
      </c>
      <c r="B421" s="1" t="n">
        <v>45306</v>
      </c>
      <c r="C421" s="1" t="n">
        <v>46022</v>
      </c>
      <c r="D421" t="inlineStr">
        <is>
          <t>JÄMTLANDS LÄN</t>
        </is>
      </c>
      <c r="E421" t="inlineStr">
        <is>
          <t>RAGUNDA</t>
        </is>
      </c>
      <c r="G421" t="n">
        <v>4.3</v>
      </c>
      <c r="H421" t="n">
        <v>0</v>
      </c>
      <c r="I421" t="n">
        <v>0</v>
      </c>
      <c r="J421" t="n">
        <v>0</v>
      </c>
      <c r="K421" t="n">
        <v>0</v>
      </c>
      <c r="L421" t="n">
        <v>0</v>
      </c>
      <c r="M421" t="n">
        <v>0</v>
      </c>
      <c r="N421" t="n">
        <v>0</v>
      </c>
      <c r="O421" t="n">
        <v>0</v>
      </c>
      <c r="P421" t="n">
        <v>0</v>
      </c>
      <c r="Q421" t="n">
        <v>0</v>
      </c>
      <c r="R421" s="2" t="inlineStr"/>
    </row>
    <row r="422" ht="15" customHeight="1">
      <c r="A422" t="inlineStr">
        <is>
          <t>A 52148-2024</t>
        </is>
      </c>
      <c r="B422" s="1" t="n">
        <v>45608.52354166667</v>
      </c>
      <c r="C422" s="1" t="n">
        <v>46022</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38782-2021</t>
        </is>
      </c>
      <c r="B423" s="1" t="n">
        <v>44410</v>
      </c>
      <c r="C423" s="1" t="n">
        <v>46022</v>
      </c>
      <c r="D423" t="inlineStr">
        <is>
          <t>JÄMTLANDS LÄN</t>
        </is>
      </c>
      <c r="E423" t="inlineStr">
        <is>
          <t>RAGUNDA</t>
        </is>
      </c>
      <c r="G423" t="n">
        <v>3.2</v>
      </c>
      <c r="H423" t="n">
        <v>0</v>
      </c>
      <c r="I423" t="n">
        <v>0</v>
      </c>
      <c r="J423" t="n">
        <v>0</v>
      </c>
      <c r="K423" t="n">
        <v>0</v>
      </c>
      <c r="L423" t="n">
        <v>0</v>
      </c>
      <c r="M423" t="n">
        <v>0</v>
      </c>
      <c r="N423" t="n">
        <v>0</v>
      </c>
      <c r="O423" t="n">
        <v>0</v>
      </c>
      <c r="P423" t="n">
        <v>0</v>
      </c>
      <c r="Q423" t="n">
        <v>0</v>
      </c>
      <c r="R423" s="2" t="inlineStr"/>
    </row>
    <row r="424" ht="15" customHeight="1">
      <c r="A424" t="inlineStr">
        <is>
          <t>A 44630-2023</t>
        </is>
      </c>
      <c r="B424" s="1" t="n">
        <v>45184</v>
      </c>
      <c r="C424" s="1" t="n">
        <v>46022</v>
      </c>
      <c r="D424" t="inlineStr">
        <is>
          <t>JÄMTLANDS LÄN</t>
        </is>
      </c>
      <c r="E424" t="inlineStr">
        <is>
          <t>RAGUNDA</t>
        </is>
      </c>
      <c r="G424" t="n">
        <v>3.4</v>
      </c>
      <c r="H424" t="n">
        <v>0</v>
      </c>
      <c r="I424" t="n">
        <v>0</v>
      </c>
      <c r="J424" t="n">
        <v>0</v>
      </c>
      <c r="K424" t="n">
        <v>0</v>
      </c>
      <c r="L424" t="n">
        <v>0</v>
      </c>
      <c r="M424" t="n">
        <v>0</v>
      </c>
      <c r="N424" t="n">
        <v>0</v>
      </c>
      <c r="O424" t="n">
        <v>0</v>
      </c>
      <c r="P424" t="n">
        <v>0</v>
      </c>
      <c r="Q424" t="n">
        <v>0</v>
      </c>
      <c r="R424" s="2" t="inlineStr"/>
    </row>
    <row r="425" ht="15" customHeight="1">
      <c r="A425" t="inlineStr">
        <is>
          <t>A 20728-2025</t>
        </is>
      </c>
      <c r="B425" s="1" t="n">
        <v>45776.51130787037</v>
      </c>
      <c r="C425" s="1" t="n">
        <v>46022</v>
      </c>
      <c r="D425" t="inlineStr">
        <is>
          <t>JÄMTLANDS LÄN</t>
        </is>
      </c>
      <c r="E425" t="inlineStr">
        <is>
          <t>RAGUNDA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47229-2025</t>
        </is>
      </c>
      <c r="B426" s="1" t="n">
        <v>45930.40166666666</v>
      </c>
      <c r="C426" s="1" t="n">
        <v>46022</v>
      </c>
      <c r="D426" t="inlineStr">
        <is>
          <t>JÄMTLANDS LÄN</t>
        </is>
      </c>
      <c r="E426" t="inlineStr">
        <is>
          <t>RAGUNDA</t>
        </is>
      </c>
      <c r="G426" t="n">
        <v>1.8</v>
      </c>
      <c r="H426" t="n">
        <v>0</v>
      </c>
      <c r="I426" t="n">
        <v>0</v>
      </c>
      <c r="J426" t="n">
        <v>0</v>
      </c>
      <c r="K426" t="n">
        <v>0</v>
      </c>
      <c r="L426" t="n">
        <v>0</v>
      </c>
      <c r="M426" t="n">
        <v>0</v>
      </c>
      <c r="N426" t="n">
        <v>0</v>
      </c>
      <c r="O426" t="n">
        <v>0</v>
      </c>
      <c r="P426" t="n">
        <v>0</v>
      </c>
      <c r="Q426" t="n">
        <v>0</v>
      </c>
      <c r="R426" s="2" t="inlineStr"/>
    </row>
    <row r="427" ht="15" customHeight="1">
      <c r="A427" t="inlineStr">
        <is>
          <t>A 13276-2025</t>
        </is>
      </c>
      <c r="B427" s="1" t="n">
        <v>45735.5517824074</v>
      </c>
      <c r="C427" s="1" t="n">
        <v>46022</v>
      </c>
      <c r="D427" t="inlineStr">
        <is>
          <t>JÄMTLANDS LÄN</t>
        </is>
      </c>
      <c r="E427" t="inlineStr">
        <is>
          <t>RAGUNDA</t>
        </is>
      </c>
      <c r="G427" t="n">
        <v>16.6</v>
      </c>
      <c r="H427" t="n">
        <v>0</v>
      </c>
      <c r="I427" t="n">
        <v>0</v>
      </c>
      <c r="J427" t="n">
        <v>0</v>
      </c>
      <c r="K427" t="n">
        <v>0</v>
      </c>
      <c r="L427" t="n">
        <v>0</v>
      </c>
      <c r="M427" t="n">
        <v>0</v>
      </c>
      <c r="N427" t="n">
        <v>0</v>
      </c>
      <c r="O427" t="n">
        <v>0</v>
      </c>
      <c r="P427" t="n">
        <v>0</v>
      </c>
      <c r="Q427" t="n">
        <v>0</v>
      </c>
      <c r="R427" s="2" t="inlineStr"/>
    </row>
    <row r="428" ht="15" customHeight="1">
      <c r="A428" t="inlineStr">
        <is>
          <t>A 45335-2023</t>
        </is>
      </c>
      <c r="B428" s="1" t="n">
        <v>45191</v>
      </c>
      <c r="C428" s="1" t="n">
        <v>46022</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20653-2025</t>
        </is>
      </c>
      <c r="B429" s="1" t="n">
        <v>45776.40311342593</v>
      </c>
      <c r="C429" s="1" t="n">
        <v>46022</v>
      </c>
      <c r="D429" t="inlineStr">
        <is>
          <t>JÄMTLANDS LÄN</t>
        </is>
      </c>
      <c r="E429" t="inlineStr">
        <is>
          <t>RAGUNDA</t>
        </is>
      </c>
      <c r="G429" t="n">
        <v>10.8</v>
      </c>
      <c r="H429" t="n">
        <v>0</v>
      </c>
      <c r="I429" t="n">
        <v>0</v>
      </c>
      <c r="J429" t="n">
        <v>0</v>
      </c>
      <c r="K429" t="n">
        <v>0</v>
      </c>
      <c r="L429" t="n">
        <v>0</v>
      </c>
      <c r="M429" t="n">
        <v>0</v>
      </c>
      <c r="N429" t="n">
        <v>0</v>
      </c>
      <c r="O429" t="n">
        <v>0</v>
      </c>
      <c r="P429" t="n">
        <v>0</v>
      </c>
      <c r="Q429" t="n">
        <v>0</v>
      </c>
      <c r="R429" s="2" t="inlineStr"/>
    </row>
    <row r="430" ht="15" customHeight="1">
      <c r="A430" t="inlineStr">
        <is>
          <t>A 47748-2025</t>
        </is>
      </c>
      <c r="B430" s="1" t="n">
        <v>45931.65693287037</v>
      </c>
      <c r="C430" s="1" t="n">
        <v>46022</v>
      </c>
      <c r="D430" t="inlineStr">
        <is>
          <t>JÄMTLANDS LÄN</t>
        </is>
      </c>
      <c r="E430" t="inlineStr">
        <is>
          <t>RAGUNDA</t>
        </is>
      </c>
      <c r="F430" t="inlineStr">
        <is>
          <t>SCA</t>
        </is>
      </c>
      <c r="G430" t="n">
        <v>8.6</v>
      </c>
      <c r="H430" t="n">
        <v>0</v>
      </c>
      <c r="I430" t="n">
        <v>0</v>
      </c>
      <c r="J430" t="n">
        <v>0</v>
      </c>
      <c r="K430" t="n">
        <v>0</v>
      </c>
      <c r="L430" t="n">
        <v>0</v>
      </c>
      <c r="M430" t="n">
        <v>0</v>
      </c>
      <c r="N430" t="n">
        <v>0</v>
      </c>
      <c r="O430" t="n">
        <v>0</v>
      </c>
      <c r="P430" t="n">
        <v>0</v>
      </c>
      <c r="Q430" t="n">
        <v>0</v>
      </c>
      <c r="R430" s="2" t="inlineStr"/>
    </row>
    <row r="431" ht="15" customHeight="1">
      <c r="A431" t="inlineStr">
        <is>
          <t>A 20722-2025</t>
        </is>
      </c>
      <c r="B431" s="1" t="n">
        <v>45776.50651620371</v>
      </c>
      <c r="C431" s="1" t="n">
        <v>46022</v>
      </c>
      <c r="D431" t="inlineStr">
        <is>
          <t>JÄMTLANDS LÄN</t>
        </is>
      </c>
      <c r="E431" t="inlineStr">
        <is>
          <t>RAGUNDA</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55487-2023</t>
        </is>
      </c>
      <c r="B432" s="1" t="n">
        <v>45238</v>
      </c>
      <c r="C432" s="1" t="n">
        <v>46022</v>
      </c>
      <c r="D432" t="inlineStr">
        <is>
          <t>JÄMTLANDS LÄN</t>
        </is>
      </c>
      <c r="E432" t="inlineStr">
        <is>
          <t>RAGUNDA</t>
        </is>
      </c>
      <c r="G432" t="n">
        <v>3</v>
      </c>
      <c r="H432" t="n">
        <v>0</v>
      </c>
      <c r="I432" t="n">
        <v>0</v>
      </c>
      <c r="J432" t="n">
        <v>0</v>
      </c>
      <c r="K432" t="n">
        <v>0</v>
      </c>
      <c r="L432" t="n">
        <v>0</v>
      </c>
      <c r="M432" t="n">
        <v>0</v>
      </c>
      <c r="N432" t="n">
        <v>0</v>
      </c>
      <c r="O432" t="n">
        <v>0</v>
      </c>
      <c r="P432" t="n">
        <v>0</v>
      </c>
      <c r="Q432" t="n">
        <v>0</v>
      </c>
      <c r="R432" s="2" t="inlineStr"/>
    </row>
    <row r="433" ht="15" customHeight="1">
      <c r="A433" t="inlineStr">
        <is>
          <t>A 20777-2025</t>
        </is>
      </c>
      <c r="B433" s="1" t="n">
        <v>45776.59422453704</v>
      </c>
      <c r="C433" s="1" t="n">
        <v>46022</v>
      </c>
      <c r="D433" t="inlineStr">
        <is>
          <t>JÄMTLANDS LÄN</t>
        </is>
      </c>
      <c r="E433" t="inlineStr">
        <is>
          <t>RAGUNDA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18454-2021</t>
        </is>
      </c>
      <c r="B434" s="1" t="n">
        <v>44305.92047453704</v>
      </c>
      <c r="C434" s="1" t="n">
        <v>46022</v>
      </c>
      <c r="D434" t="inlineStr">
        <is>
          <t>JÄMTLANDS LÄN</t>
        </is>
      </c>
      <c r="E434" t="inlineStr">
        <is>
          <t>RAGUNDA</t>
        </is>
      </c>
      <c r="G434" t="n">
        <v>1.3</v>
      </c>
      <c r="H434" t="n">
        <v>0</v>
      </c>
      <c r="I434" t="n">
        <v>0</v>
      </c>
      <c r="J434" t="n">
        <v>0</v>
      </c>
      <c r="K434" t="n">
        <v>0</v>
      </c>
      <c r="L434" t="n">
        <v>0</v>
      </c>
      <c r="M434" t="n">
        <v>0</v>
      </c>
      <c r="N434" t="n">
        <v>0</v>
      </c>
      <c r="O434" t="n">
        <v>0</v>
      </c>
      <c r="P434" t="n">
        <v>0</v>
      </c>
      <c r="Q434" t="n">
        <v>0</v>
      </c>
      <c r="R434" s="2" t="inlineStr"/>
    </row>
    <row r="435" ht="15" customHeight="1">
      <c r="A435" t="inlineStr">
        <is>
          <t>A 21150-2025</t>
        </is>
      </c>
      <c r="B435" s="1" t="n">
        <v>45779.34417824074</v>
      </c>
      <c r="C435" s="1" t="n">
        <v>46022</v>
      </c>
      <c r="D435" t="inlineStr">
        <is>
          <t>JÄMTLANDS LÄN</t>
        </is>
      </c>
      <c r="E435" t="inlineStr">
        <is>
          <t>RAGUNDA</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21214-2025</t>
        </is>
      </c>
      <c r="B436" s="1" t="n">
        <v>45779.49025462963</v>
      </c>
      <c r="C436" s="1" t="n">
        <v>46022</v>
      </c>
      <c r="D436" t="inlineStr">
        <is>
          <t>JÄMTLANDS LÄN</t>
        </is>
      </c>
      <c r="E436" t="inlineStr">
        <is>
          <t>RAGUNDA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22941-2024</t>
        </is>
      </c>
      <c r="B437" s="1" t="n">
        <v>45448.94520833333</v>
      </c>
      <c r="C437" s="1" t="n">
        <v>46022</v>
      </c>
      <c r="D437" t="inlineStr">
        <is>
          <t>JÄMTLANDS LÄN</t>
        </is>
      </c>
      <c r="E437" t="inlineStr">
        <is>
          <t>RAGUNDA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21332-2025</t>
        </is>
      </c>
      <c r="B438" s="1" t="n">
        <v>45782.36506944444</v>
      </c>
      <c r="C438" s="1" t="n">
        <v>46022</v>
      </c>
      <c r="D438" t="inlineStr">
        <is>
          <t>JÄMTLANDS LÄN</t>
        </is>
      </c>
      <c r="E438" t="inlineStr">
        <is>
          <t>RAGUNDA</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9360-2023</t>
        </is>
      </c>
      <c r="B439" s="1" t="n">
        <v>44980.93865740741</v>
      </c>
      <c r="C439" s="1" t="n">
        <v>46022</v>
      </c>
      <c r="D439" t="inlineStr">
        <is>
          <t>JÄMTLANDS LÄN</t>
        </is>
      </c>
      <c r="E439" t="inlineStr">
        <is>
          <t>RAGUNDA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21430-2025</t>
        </is>
      </c>
      <c r="B440" s="1" t="n">
        <v>45782.51099537037</v>
      </c>
      <c r="C440" s="1" t="n">
        <v>46022</v>
      </c>
      <c r="D440" t="inlineStr">
        <is>
          <t>JÄMTLANDS LÄN</t>
        </is>
      </c>
      <c r="E440" t="inlineStr">
        <is>
          <t>RAGUNDA</t>
        </is>
      </c>
      <c r="F440" t="inlineStr">
        <is>
          <t>SCA</t>
        </is>
      </c>
      <c r="G440" t="n">
        <v>7.1</v>
      </c>
      <c r="H440" t="n">
        <v>0</v>
      </c>
      <c r="I440" t="n">
        <v>0</v>
      </c>
      <c r="J440" t="n">
        <v>0</v>
      </c>
      <c r="K440" t="n">
        <v>0</v>
      </c>
      <c r="L440" t="n">
        <v>0</v>
      </c>
      <c r="M440" t="n">
        <v>0</v>
      </c>
      <c r="N440" t="n">
        <v>0</v>
      </c>
      <c r="O440" t="n">
        <v>0</v>
      </c>
      <c r="P440" t="n">
        <v>0</v>
      </c>
      <c r="Q440" t="n">
        <v>0</v>
      </c>
      <c r="R440" s="2" t="inlineStr"/>
    </row>
    <row r="441" ht="15" customHeight="1">
      <c r="A441" t="inlineStr">
        <is>
          <t>A 13767-2022</t>
        </is>
      </c>
      <c r="B441" s="1" t="n">
        <v>44649.47048611111</v>
      </c>
      <c r="C441" s="1" t="n">
        <v>46022</v>
      </c>
      <c r="D441" t="inlineStr">
        <is>
          <t>JÄMTLANDS LÄN</t>
        </is>
      </c>
      <c r="E441" t="inlineStr">
        <is>
          <t>RAGUNDA</t>
        </is>
      </c>
      <c r="F441" t="inlineStr">
        <is>
          <t>Kommuner</t>
        </is>
      </c>
      <c r="G441" t="n">
        <v>3.1</v>
      </c>
      <c r="H441" t="n">
        <v>0</v>
      </c>
      <c r="I441" t="n">
        <v>0</v>
      </c>
      <c r="J441" t="n">
        <v>0</v>
      </c>
      <c r="K441" t="n">
        <v>0</v>
      </c>
      <c r="L441" t="n">
        <v>0</v>
      </c>
      <c r="M441" t="n">
        <v>0</v>
      </c>
      <c r="N441" t="n">
        <v>0</v>
      </c>
      <c r="O441" t="n">
        <v>0</v>
      </c>
      <c r="P441" t="n">
        <v>0</v>
      </c>
      <c r="Q441" t="n">
        <v>0</v>
      </c>
      <c r="R441" s="2" t="inlineStr"/>
    </row>
    <row r="442" ht="15" customHeight="1">
      <c r="A442" t="inlineStr">
        <is>
          <t>A 44881-2023</t>
        </is>
      </c>
      <c r="B442" s="1" t="n">
        <v>45187</v>
      </c>
      <c r="C442" s="1" t="n">
        <v>46022</v>
      </c>
      <c r="D442" t="inlineStr">
        <is>
          <t>JÄMTLANDS LÄN</t>
        </is>
      </c>
      <c r="E442" t="inlineStr">
        <is>
          <t>RAGUNDA</t>
        </is>
      </c>
      <c r="G442" t="n">
        <v>2.4</v>
      </c>
      <c r="H442" t="n">
        <v>0</v>
      </c>
      <c r="I442" t="n">
        <v>0</v>
      </c>
      <c r="J442" t="n">
        <v>0</v>
      </c>
      <c r="K442" t="n">
        <v>0</v>
      </c>
      <c r="L442" t="n">
        <v>0</v>
      </c>
      <c r="M442" t="n">
        <v>0</v>
      </c>
      <c r="N442" t="n">
        <v>0</v>
      </c>
      <c r="O442" t="n">
        <v>0</v>
      </c>
      <c r="P442" t="n">
        <v>0</v>
      </c>
      <c r="Q442" t="n">
        <v>0</v>
      </c>
      <c r="R442" s="2" t="inlineStr"/>
    </row>
    <row r="443" ht="15" customHeight="1">
      <c r="A443" t="inlineStr">
        <is>
          <t>A 1308-2025</t>
        </is>
      </c>
      <c r="B443" s="1" t="n">
        <v>45667.55239583334</v>
      </c>
      <c r="C443" s="1" t="n">
        <v>46022</v>
      </c>
      <c r="D443" t="inlineStr">
        <is>
          <t>JÄMTLANDS LÄN</t>
        </is>
      </c>
      <c r="E443" t="inlineStr">
        <is>
          <t>RAGUNDA</t>
        </is>
      </c>
      <c r="F443" t="inlineStr">
        <is>
          <t>SCA</t>
        </is>
      </c>
      <c r="G443" t="n">
        <v>6.4</v>
      </c>
      <c r="H443" t="n">
        <v>0</v>
      </c>
      <c r="I443" t="n">
        <v>0</v>
      </c>
      <c r="J443" t="n">
        <v>0</v>
      </c>
      <c r="K443" t="n">
        <v>0</v>
      </c>
      <c r="L443" t="n">
        <v>0</v>
      </c>
      <c r="M443" t="n">
        <v>0</v>
      </c>
      <c r="N443" t="n">
        <v>0</v>
      </c>
      <c r="O443" t="n">
        <v>0</v>
      </c>
      <c r="P443" t="n">
        <v>0</v>
      </c>
      <c r="Q443" t="n">
        <v>0</v>
      </c>
      <c r="R443" s="2" t="inlineStr"/>
    </row>
    <row r="444" ht="15" customHeight="1">
      <c r="A444" t="inlineStr">
        <is>
          <t>A 21451-2025</t>
        </is>
      </c>
      <c r="B444" s="1" t="n">
        <v>45782.55287037037</v>
      </c>
      <c r="C444" s="1" t="n">
        <v>46022</v>
      </c>
      <c r="D444" t="inlineStr">
        <is>
          <t>JÄMTLANDS LÄN</t>
        </is>
      </c>
      <c r="E444" t="inlineStr">
        <is>
          <t>RAGUNDA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11252-2025</t>
        </is>
      </c>
      <c r="B445" s="1" t="n">
        <v>45726.38615740741</v>
      </c>
      <c r="C445" s="1" t="n">
        <v>46022</v>
      </c>
      <c r="D445" t="inlineStr">
        <is>
          <t>JÄMTLANDS LÄN</t>
        </is>
      </c>
      <c r="E445" t="inlineStr">
        <is>
          <t>RAGUNDA</t>
        </is>
      </c>
      <c r="G445" t="n">
        <v>1.9</v>
      </c>
      <c r="H445" t="n">
        <v>0</v>
      </c>
      <c r="I445" t="n">
        <v>0</v>
      </c>
      <c r="J445" t="n">
        <v>0</v>
      </c>
      <c r="K445" t="n">
        <v>0</v>
      </c>
      <c r="L445" t="n">
        <v>0</v>
      </c>
      <c r="M445" t="n">
        <v>0</v>
      </c>
      <c r="N445" t="n">
        <v>0</v>
      </c>
      <c r="O445" t="n">
        <v>0</v>
      </c>
      <c r="P445" t="n">
        <v>0</v>
      </c>
      <c r="Q445" t="n">
        <v>0</v>
      </c>
      <c r="R445" s="2" t="inlineStr"/>
    </row>
    <row r="446" ht="15" customHeight="1">
      <c r="A446" t="inlineStr">
        <is>
          <t>A 22569-2023</t>
        </is>
      </c>
      <c r="B446" s="1" t="n">
        <v>45069</v>
      </c>
      <c r="C446" s="1" t="n">
        <v>46022</v>
      </c>
      <c r="D446" t="inlineStr">
        <is>
          <t>JÄMTLANDS LÄN</t>
        </is>
      </c>
      <c r="E446" t="inlineStr">
        <is>
          <t>RAGUNDA</t>
        </is>
      </c>
      <c r="G446" t="n">
        <v>6.6</v>
      </c>
      <c r="H446" t="n">
        <v>0</v>
      </c>
      <c r="I446" t="n">
        <v>0</v>
      </c>
      <c r="J446" t="n">
        <v>0</v>
      </c>
      <c r="K446" t="n">
        <v>0</v>
      </c>
      <c r="L446" t="n">
        <v>0</v>
      </c>
      <c r="M446" t="n">
        <v>0</v>
      </c>
      <c r="N446" t="n">
        <v>0</v>
      </c>
      <c r="O446" t="n">
        <v>0</v>
      </c>
      <c r="P446" t="n">
        <v>0</v>
      </c>
      <c r="Q446" t="n">
        <v>0</v>
      </c>
      <c r="R446" s="2" t="inlineStr"/>
    </row>
    <row r="447" ht="15" customHeight="1">
      <c r="A447" t="inlineStr">
        <is>
          <t>A 21432-2025</t>
        </is>
      </c>
      <c r="B447" s="1" t="n">
        <v>45782.51109953703</v>
      </c>
      <c r="C447" s="1" t="n">
        <v>46022</v>
      </c>
      <c r="D447" t="inlineStr">
        <is>
          <t>JÄMTLANDS LÄN</t>
        </is>
      </c>
      <c r="E447" t="inlineStr">
        <is>
          <t>RAGUNDA</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21331-2025</t>
        </is>
      </c>
      <c r="B448" s="1" t="n">
        <v>45782.36494212963</v>
      </c>
      <c r="C448" s="1" t="n">
        <v>46022</v>
      </c>
      <c r="D448" t="inlineStr">
        <is>
          <t>JÄMTLANDS LÄN</t>
        </is>
      </c>
      <c r="E448" t="inlineStr">
        <is>
          <t>RAGUNDA</t>
        </is>
      </c>
      <c r="F448" t="inlineStr">
        <is>
          <t>SCA</t>
        </is>
      </c>
      <c r="G448" t="n">
        <v>23.1</v>
      </c>
      <c r="H448" t="n">
        <v>0</v>
      </c>
      <c r="I448" t="n">
        <v>0</v>
      </c>
      <c r="J448" t="n">
        <v>0</v>
      </c>
      <c r="K448" t="n">
        <v>0</v>
      </c>
      <c r="L448" t="n">
        <v>0</v>
      </c>
      <c r="M448" t="n">
        <v>0</v>
      </c>
      <c r="N448" t="n">
        <v>0</v>
      </c>
      <c r="O448" t="n">
        <v>0</v>
      </c>
      <c r="P448" t="n">
        <v>0</v>
      </c>
      <c r="Q448" t="n">
        <v>0</v>
      </c>
      <c r="R448" s="2" t="inlineStr"/>
      <c r="U448">
        <f>HYPERLINK("https://klasma.github.io/Logging_2303/knärot/A 21331-2025 karta knärot.png", "A 21331-2025")</f>
        <v/>
      </c>
      <c r="V448">
        <f>HYPERLINK("https://klasma.github.io/Logging_2303/klagomål/A 21331-2025 FSC-klagomål.docx", "A 21331-2025")</f>
        <v/>
      </c>
      <c r="W448">
        <f>HYPERLINK("https://klasma.github.io/Logging_2303/klagomålsmail/A 21331-2025 FSC-klagomål mail.docx", "A 21331-2025")</f>
        <v/>
      </c>
      <c r="X448">
        <f>HYPERLINK("https://klasma.github.io/Logging_2303/tillsyn/A 21331-2025 tillsynsbegäran.docx", "A 21331-2025")</f>
        <v/>
      </c>
      <c r="Y448">
        <f>HYPERLINK("https://klasma.github.io/Logging_2303/tillsynsmail/A 21331-2025 tillsynsbegäran mail.docx", "A 21331-2025")</f>
        <v/>
      </c>
    </row>
    <row r="449" ht="15" customHeight="1">
      <c r="A449" t="inlineStr">
        <is>
          <t>A 11048-2023</t>
        </is>
      </c>
      <c r="B449" s="1" t="n">
        <v>44991</v>
      </c>
      <c r="C449" s="1" t="n">
        <v>46022</v>
      </c>
      <c r="D449" t="inlineStr">
        <is>
          <t>JÄMTLANDS LÄN</t>
        </is>
      </c>
      <c r="E449" t="inlineStr">
        <is>
          <t>RAGUNDA</t>
        </is>
      </c>
      <c r="F449" t="inlineStr">
        <is>
          <t>SCA</t>
        </is>
      </c>
      <c r="G449" t="n">
        <v>13.5</v>
      </c>
      <c r="H449" t="n">
        <v>0</v>
      </c>
      <c r="I449" t="n">
        <v>0</v>
      </c>
      <c r="J449" t="n">
        <v>0</v>
      </c>
      <c r="K449" t="n">
        <v>0</v>
      </c>
      <c r="L449" t="n">
        <v>0</v>
      </c>
      <c r="M449" t="n">
        <v>0</v>
      </c>
      <c r="N449" t="n">
        <v>0</v>
      </c>
      <c r="O449" t="n">
        <v>0</v>
      </c>
      <c r="P449" t="n">
        <v>0</v>
      </c>
      <c r="Q449" t="n">
        <v>0</v>
      </c>
      <c r="R449" s="2" t="inlineStr"/>
    </row>
    <row r="450" ht="15" customHeight="1">
      <c r="A450" t="inlineStr">
        <is>
          <t>A 11062-2023</t>
        </is>
      </c>
      <c r="B450" s="1" t="n">
        <v>44991</v>
      </c>
      <c r="C450" s="1" t="n">
        <v>46022</v>
      </c>
      <c r="D450" t="inlineStr">
        <is>
          <t>JÄMTLANDS LÄN</t>
        </is>
      </c>
      <c r="E450" t="inlineStr">
        <is>
          <t>RAGUNDA</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21550-2025</t>
        </is>
      </c>
      <c r="B451" s="1" t="n">
        <v>45782.67758101852</v>
      </c>
      <c r="C451" s="1" t="n">
        <v>46022</v>
      </c>
      <c r="D451" t="inlineStr">
        <is>
          <t>JÄMTLANDS LÄN</t>
        </is>
      </c>
      <c r="E451" t="inlineStr">
        <is>
          <t>RAGUNDA</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57064-2024</t>
        </is>
      </c>
      <c r="B452" s="1" t="n">
        <v>45629.35326388889</v>
      </c>
      <c r="C452" s="1" t="n">
        <v>46022</v>
      </c>
      <c r="D452" t="inlineStr">
        <is>
          <t>JÄMTLANDS LÄN</t>
        </is>
      </c>
      <c r="E452" t="inlineStr">
        <is>
          <t>RAGUNDA</t>
        </is>
      </c>
      <c r="F452" t="inlineStr">
        <is>
          <t>Naturvårdsverket</t>
        </is>
      </c>
      <c r="G452" t="n">
        <v>0.5</v>
      </c>
      <c r="H452" t="n">
        <v>0</v>
      </c>
      <c r="I452" t="n">
        <v>0</v>
      </c>
      <c r="J452" t="n">
        <v>0</v>
      </c>
      <c r="K452" t="n">
        <v>0</v>
      </c>
      <c r="L452" t="n">
        <v>0</v>
      </c>
      <c r="M452" t="n">
        <v>0</v>
      </c>
      <c r="N452" t="n">
        <v>0</v>
      </c>
      <c r="O452" t="n">
        <v>0</v>
      </c>
      <c r="P452" t="n">
        <v>0</v>
      </c>
      <c r="Q452" t="n">
        <v>0</v>
      </c>
      <c r="R452" s="2" t="inlineStr"/>
    </row>
    <row r="453" ht="15" customHeight="1">
      <c r="A453" t="inlineStr">
        <is>
          <t>A 55524-2024</t>
        </is>
      </c>
      <c r="B453" s="1" t="n">
        <v>45622.47435185185</v>
      </c>
      <c r="C453" s="1" t="n">
        <v>46022</v>
      </c>
      <c r="D453" t="inlineStr">
        <is>
          <t>JÄMTLANDS LÄN</t>
        </is>
      </c>
      <c r="E453" t="inlineStr">
        <is>
          <t>RAGUNDA</t>
        </is>
      </c>
      <c r="G453" t="n">
        <v>1.4</v>
      </c>
      <c r="H453" t="n">
        <v>0</v>
      </c>
      <c r="I453" t="n">
        <v>0</v>
      </c>
      <c r="J453" t="n">
        <v>0</v>
      </c>
      <c r="K453" t="n">
        <v>0</v>
      </c>
      <c r="L453" t="n">
        <v>0</v>
      </c>
      <c r="M453" t="n">
        <v>0</v>
      </c>
      <c r="N453" t="n">
        <v>0</v>
      </c>
      <c r="O453" t="n">
        <v>0</v>
      </c>
      <c r="P453" t="n">
        <v>0</v>
      </c>
      <c r="Q453" t="n">
        <v>0</v>
      </c>
      <c r="R453" s="2" t="inlineStr"/>
    </row>
    <row r="454" ht="15" customHeight="1">
      <c r="A454" t="inlineStr">
        <is>
          <t>A 25332-2023</t>
        </is>
      </c>
      <c r="B454" s="1" t="n">
        <v>45086.94010416666</v>
      </c>
      <c r="C454" s="1" t="n">
        <v>46022</v>
      </c>
      <c r="D454" t="inlineStr">
        <is>
          <t>JÄMTLANDS LÄN</t>
        </is>
      </c>
      <c r="E454" t="inlineStr">
        <is>
          <t>RAGUNDA</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29920-2024</t>
        </is>
      </c>
      <c r="B455" s="1" t="n">
        <v>45487.92856481481</v>
      </c>
      <c r="C455" s="1" t="n">
        <v>46022</v>
      </c>
      <c r="D455" t="inlineStr">
        <is>
          <t>JÄMTLANDS LÄN</t>
        </is>
      </c>
      <c r="E455" t="inlineStr">
        <is>
          <t>RAGUNDA</t>
        </is>
      </c>
      <c r="G455" t="n">
        <v>3.4</v>
      </c>
      <c r="H455" t="n">
        <v>0</v>
      </c>
      <c r="I455" t="n">
        <v>0</v>
      </c>
      <c r="J455" t="n">
        <v>0</v>
      </c>
      <c r="K455" t="n">
        <v>0</v>
      </c>
      <c r="L455" t="n">
        <v>0</v>
      </c>
      <c r="M455" t="n">
        <v>0</v>
      </c>
      <c r="N455" t="n">
        <v>0</v>
      </c>
      <c r="O455" t="n">
        <v>0</v>
      </c>
      <c r="P455" t="n">
        <v>0</v>
      </c>
      <c r="Q455" t="n">
        <v>0</v>
      </c>
      <c r="R455" s="2" t="inlineStr"/>
    </row>
    <row r="456" ht="15" customHeight="1">
      <c r="A456" t="inlineStr">
        <is>
          <t>A 39192-2025</t>
        </is>
      </c>
      <c r="B456" s="1" t="n">
        <v>45888.6775</v>
      </c>
      <c r="C456" s="1" t="n">
        <v>46022</v>
      </c>
      <c r="D456" t="inlineStr">
        <is>
          <t>JÄMTLANDS LÄN</t>
        </is>
      </c>
      <c r="E456" t="inlineStr">
        <is>
          <t>RAGUNDA</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3767-2025</t>
        </is>
      </c>
      <c r="B457" s="1" t="n">
        <v>45681.60203703704</v>
      </c>
      <c r="C457" s="1" t="n">
        <v>46022</v>
      </c>
      <c r="D457" t="inlineStr">
        <is>
          <t>JÄMTLANDS LÄN</t>
        </is>
      </c>
      <c r="E457" t="inlineStr">
        <is>
          <t>RAGUNDA</t>
        </is>
      </c>
      <c r="G457" t="n">
        <v>4.9</v>
      </c>
      <c r="H457" t="n">
        <v>0</v>
      </c>
      <c r="I457" t="n">
        <v>0</v>
      </c>
      <c r="J457" t="n">
        <v>0</v>
      </c>
      <c r="K457" t="n">
        <v>0</v>
      </c>
      <c r="L457" t="n">
        <v>0</v>
      </c>
      <c r="M457" t="n">
        <v>0</v>
      </c>
      <c r="N457" t="n">
        <v>0</v>
      </c>
      <c r="O457" t="n">
        <v>0</v>
      </c>
      <c r="P457" t="n">
        <v>0</v>
      </c>
      <c r="Q457" t="n">
        <v>0</v>
      </c>
      <c r="R457" s="2" t="inlineStr"/>
    </row>
    <row r="458" ht="15" customHeight="1">
      <c r="A458" t="inlineStr">
        <is>
          <t>A 7280-2024</t>
        </is>
      </c>
      <c r="B458" s="1" t="n">
        <v>45344</v>
      </c>
      <c r="C458" s="1" t="n">
        <v>46022</v>
      </c>
      <c r="D458" t="inlineStr">
        <is>
          <t>JÄMTLANDS LÄN</t>
        </is>
      </c>
      <c r="E458" t="inlineStr">
        <is>
          <t>RAGUNDA</t>
        </is>
      </c>
      <c r="G458" t="n">
        <v>1.6</v>
      </c>
      <c r="H458" t="n">
        <v>0</v>
      </c>
      <c r="I458" t="n">
        <v>0</v>
      </c>
      <c r="J458" t="n">
        <v>0</v>
      </c>
      <c r="K458" t="n">
        <v>0</v>
      </c>
      <c r="L458" t="n">
        <v>0</v>
      </c>
      <c r="M458" t="n">
        <v>0</v>
      </c>
      <c r="N458" t="n">
        <v>0</v>
      </c>
      <c r="O458" t="n">
        <v>0</v>
      </c>
      <c r="P458" t="n">
        <v>0</v>
      </c>
      <c r="Q458" t="n">
        <v>0</v>
      </c>
      <c r="R458" s="2" t="inlineStr"/>
    </row>
    <row r="459" ht="15" customHeight="1">
      <c r="A459" t="inlineStr">
        <is>
          <t>A 44778-2024</t>
        </is>
      </c>
      <c r="B459" s="1" t="n">
        <v>45574.63355324074</v>
      </c>
      <c r="C459" s="1" t="n">
        <v>46022</v>
      </c>
      <c r="D459" t="inlineStr">
        <is>
          <t>JÄMTLANDS LÄN</t>
        </is>
      </c>
      <c r="E459" t="inlineStr">
        <is>
          <t>RAGUNDA</t>
        </is>
      </c>
      <c r="G459" t="n">
        <v>5.5</v>
      </c>
      <c r="H459" t="n">
        <v>0</v>
      </c>
      <c r="I459" t="n">
        <v>0</v>
      </c>
      <c r="J459" t="n">
        <v>0</v>
      </c>
      <c r="K459" t="n">
        <v>0</v>
      </c>
      <c r="L459" t="n">
        <v>0</v>
      </c>
      <c r="M459" t="n">
        <v>0</v>
      </c>
      <c r="N459" t="n">
        <v>0</v>
      </c>
      <c r="O459" t="n">
        <v>0</v>
      </c>
      <c r="P459" t="n">
        <v>0</v>
      </c>
      <c r="Q459" t="n">
        <v>0</v>
      </c>
      <c r="R459" s="2" t="inlineStr"/>
    </row>
    <row r="460" ht="15" customHeight="1">
      <c r="A460" t="inlineStr">
        <is>
          <t>A 2673-2024</t>
        </is>
      </c>
      <c r="B460" s="1" t="n">
        <v>45314</v>
      </c>
      <c r="C460" s="1" t="n">
        <v>46022</v>
      </c>
      <c r="D460" t="inlineStr">
        <is>
          <t>JÄMTLANDS LÄN</t>
        </is>
      </c>
      <c r="E460" t="inlineStr">
        <is>
          <t>RAGUNDA</t>
        </is>
      </c>
      <c r="G460" t="n">
        <v>0.9</v>
      </c>
      <c r="H460" t="n">
        <v>0</v>
      </c>
      <c r="I460" t="n">
        <v>0</v>
      </c>
      <c r="J460" t="n">
        <v>0</v>
      </c>
      <c r="K460" t="n">
        <v>0</v>
      </c>
      <c r="L460" t="n">
        <v>0</v>
      </c>
      <c r="M460" t="n">
        <v>0</v>
      </c>
      <c r="N460" t="n">
        <v>0</v>
      </c>
      <c r="O460" t="n">
        <v>0</v>
      </c>
      <c r="P460" t="n">
        <v>0</v>
      </c>
      <c r="Q460" t="n">
        <v>0</v>
      </c>
      <c r="R460" s="2" t="inlineStr"/>
    </row>
    <row r="461" ht="15" customHeight="1">
      <c r="A461" t="inlineStr">
        <is>
          <t>A 64492-2023</t>
        </is>
      </c>
      <c r="B461" s="1" t="n">
        <v>45280.92645833334</v>
      </c>
      <c r="C461" s="1" t="n">
        <v>46022</v>
      </c>
      <c r="D461" t="inlineStr">
        <is>
          <t>JÄMTLANDS LÄN</t>
        </is>
      </c>
      <c r="E461" t="inlineStr">
        <is>
          <t>RAGUNDA</t>
        </is>
      </c>
      <c r="G461" t="n">
        <v>0.6</v>
      </c>
      <c r="H461" t="n">
        <v>0</v>
      </c>
      <c r="I461" t="n">
        <v>0</v>
      </c>
      <c r="J461" t="n">
        <v>0</v>
      </c>
      <c r="K461" t="n">
        <v>0</v>
      </c>
      <c r="L461" t="n">
        <v>0</v>
      </c>
      <c r="M461" t="n">
        <v>0</v>
      </c>
      <c r="N461" t="n">
        <v>0</v>
      </c>
      <c r="O461" t="n">
        <v>0</v>
      </c>
      <c r="P461" t="n">
        <v>0</v>
      </c>
      <c r="Q461" t="n">
        <v>0</v>
      </c>
      <c r="R461" s="2" t="inlineStr"/>
    </row>
    <row r="462" ht="15" customHeight="1">
      <c r="A462" t="inlineStr">
        <is>
          <t>A 39384-2025</t>
        </is>
      </c>
      <c r="B462" s="1" t="n">
        <v>45889.61517361111</v>
      </c>
      <c r="C462" s="1" t="n">
        <v>46022</v>
      </c>
      <c r="D462" t="inlineStr">
        <is>
          <t>JÄMTLANDS LÄN</t>
        </is>
      </c>
      <c r="E462" t="inlineStr">
        <is>
          <t>RAGUNDA</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28216-2025</t>
        </is>
      </c>
      <c r="B463" s="1" t="n">
        <v>45818.46898148148</v>
      </c>
      <c r="C463" s="1" t="n">
        <v>46022</v>
      </c>
      <c r="D463" t="inlineStr">
        <is>
          <t>JÄMTLANDS LÄN</t>
        </is>
      </c>
      <c r="E463" t="inlineStr">
        <is>
          <t>RAGUNDA</t>
        </is>
      </c>
      <c r="G463" t="n">
        <v>6.6</v>
      </c>
      <c r="H463" t="n">
        <v>0</v>
      </c>
      <c r="I463" t="n">
        <v>0</v>
      </c>
      <c r="J463" t="n">
        <v>0</v>
      </c>
      <c r="K463" t="n">
        <v>0</v>
      </c>
      <c r="L463" t="n">
        <v>0</v>
      </c>
      <c r="M463" t="n">
        <v>0</v>
      </c>
      <c r="N463" t="n">
        <v>0</v>
      </c>
      <c r="O463" t="n">
        <v>0</v>
      </c>
      <c r="P463" t="n">
        <v>0</v>
      </c>
      <c r="Q463" t="n">
        <v>0</v>
      </c>
      <c r="R463" s="2" t="inlineStr"/>
    </row>
    <row r="464" ht="15" customHeight="1">
      <c r="A464" t="inlineStr">
        <is>
          <t>A 14368-2024</t>
        </is>
      </c>
      <c r="B464" s="1" t="n">
        <v>45393.94431712963</v>
      </c>
      <c r="C464" s="1" t="n">
        <v>46022</v>
      </c>
      <c r="D464" t="inlineStr">
        <is>
          <t>JÄMTLANDS LÄN</t>
        </is>
      </c>
      <c r="E464" t="inlineStr">
        <is>
          <t>RAGUNDA</t>
        </is>
      </c>
      <c r="F464" t="inlineStr">
        <is>
          <t>Naturvårdsverket</t>
        </is>
      </c>
      <c r="G464" t="n">
        <v>1.6</v>
      </c>
      <c r="H464" t="n">
        <v>0</v>
      </c>
      <c r="I464" t="n">
        <v>0</v>
      </c>
      <c r="J464" t="n">
        <v>0</v>
      </c>
      <c r="K464" t="n">
        <v>0</v>
      </c>
      <c r="L464" t="n">
        <v>0</v>
      </c>
      <c r="M464" t="n">
        <v>0</v>
      </c>
      <c r="N464" t="n">
        <v>0</v>
      </c>
      <c r="O464" t="n">
        <v>0</v>
      </c>
      <c r="P464" t="n">
        <v>0</v>
      </c>
      <c r="Q464" t="n">
        <v>0</v>
      </c>
      <c r="R464" s="2" t="inlineStr"/>
    </row>
    <row r="465" ht="15" customHeight="1">
      <c r="A465" t="inlineStr">
        <is>
          <t>A 57889-2024</t>
        </is>
      </c>
      <c r="B465" s="1" t="n">
        <v>45631.46665509259</v>
      </c>
      <c r="C465" s="1" t="n">
        <v>46022</v>
      </c>
      <c r="D465" t="inlineStr">
        <is>
          <t>JÄMTLANDS LÄN</t>
        </is>
      </c>
      <c r="E465" t="inlineStr">
        <is>
          <t>RAGUNDA</t>
        </is>
      </c>
      <c r="G465" t="n">
        <v>11.1</v>
      </c>
      <c r="H465" t="n">
        <v>0</v>
      </c>
      <c r="I465" t="n">
        <v>0</v>
      </c>
      <c r="J465" t="n">
        <v>0</v>
      </c>
      <c r="K465" t="n">
        <v>0</v>
      </c>
      <c r="L465" t="n">
        <v>0</v>
      </c>
      <c r="M465" t="n">
        <v>0</v>
      </c>
      <c r="N465" t="n">
        <v>0</v>
      </c>
      <c r="O465" t="n">
        <v>0</v>
      </c>
      <c r="P465" t="n">
        <v>0</v>
      </c>
      <c r="Q465" t="n">
        <v>0</v>
      </c>
      <c r="R465" s="2" t="inlineStr"/>
    </row>
    <row r="466" ht="15" customHeight="1">
      <c r="A466" t="inlineStr">
        <is>
          <t>A 12783-2023</t>
        </is>
      </c>
      <c r="B466" s="1" t="n">
        <v>45000</v>
      </c>
      <c r="C466" s="1" t="n">
        <v>46022</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53171-2024</t>
        </is>
      </c>
      <c r="B467" s="1" t="n">
        <v>45611.65679398148</v>
      </c>
      <c r="C467" s="1" t="n">
        <v>46022</v>
      </c>
      <c r="D467" t="inlineStr">
        <is>
          <t>JÄMTLANDS LÄN</t>
        </is>
      </c>
      <c r="E467" t="inlineStr">
        <is>
          <t>RAGUNDA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7279-2024</t>
        </is>
      </c>
      <c r="B468" s="1" t="n">
        <v>45344.92822916667</v>
      </c>
      <c r="C468" s="1" t="n">
        <v>46022</v>
      </c>
      <c r="D468" t="inlineStr">
        <is>
          <t>JÄMTLANDS LÄN</t>
        </is>
      </c>
      <c r="E468" t="inlineStr">
        <is>
          <t>RAGUNDA</t>
        </is>
      </c>
      <c r="G468" t="n">
        <v>2.1</v>
      </c>
      <c r="H468" t="n">
        <v>0</v>
      </c>
      <c r="I468" t="n">
        <v>0</v>
      </c>
      <c r="J468" t="n">
        <v>0</v>
      </c>
      <c r="K468" t="n">
        <v>0</v>
      </c>
      <c r="L468" t="n">
        <v>0</v>
      </c>
      <c r="M468" t="n">
        <v>0</v>
      </c>
      <c r="N468" t="n">
        <v>0</v>
      </c>
      <c r="O468" t="n">
        <v>0</v>
      </c>
      <c r="P468" t="n">
        <v>0</v>
      </c>
      <c r="Q468" t="n">
        <v>0</v>
      </c>
      <c r="R468" s="2" t="inlineStr"/>
    </row>
    <row r="469" ht="15" customHeight="1">
      <c r="A469" t="inlineStr">
        <is>
          <t>A 60629-2023</t>
        </is>
      </c>
      <c r="B469" s="1" t="n">
        <v>45259</v>
      </c>
      <c r="C469" s="1" t="n">
        <v>46022</v>
      </c>
      <c r="D469" t="inlineStr">
        <is>
          <t>JÄMTLANDS LÄN</t>
        </is>
      </c>
      <c r="E469" t="inlineStr">
        <is>
          <t>RAGUNDA</t>
        </is>
      </c>
      <c r="G469" t="n">
        <v>3.4</v>
      </c>
      <c r="H469" t="n">
        <v>0</v>
      </c>
      <c r="I469" t="n">
        <v>0</v>
      </c>
      <c r="J469" t="n">
        <v>0</v>
      </c>
      <c r="K469" t="n">
        <v>0</v>
      </c>
      <c r="L469" t="n">
        <v>0</v>
      </c>
      <c r="M469" t="n">
        <v>0</v>
      </c>
      <c r="N469" t="n">
        <v>0</v>
      </c>
      <c r="O469" t="n">
        <v>0</v>
      </c>
      <c r="P469" t="n">
        <v>0</v>
      </c>
      <c r="Q469" t="n">
        <v>0</v>
      </c>
      <c r="R469" s="2" t="inlineStr"/>
    </row>
    <row r="470" ht="15" customHeight="1">
      <c r="A470" t="inlineStr">
        <is>
          <t>A 54599-2023</t>
        </is>
      </c>
      <c r="B470" s="1" t="n">
        <v>45233.92591435185</v>
      </c>
      <c r="C470" s="1" t="n">
        <v>46022</v>
      </c>
      <c r="D470" t="inlineStr">
        <is>
          <t>JÄMTLANDS LÄN</t>
        </is>
      </c>
      <c r="E470" t="inlineStr">
        <is>
          <t>RAGUNDA</t>
        </is>
      </c>
      <c r="G470" t="n">
        <v>3.7</v>
      </c>
      <c r="H470" t="n">
        <v>0</v>
      </c>
      <c r="I470" t="n">
        <v>0</v>
      </c>
      <c r="J470" t="n">
        <v>0</v>
      </c>
      <c r="K470" t="n">
        <v>0</v>
      </c>
      <c r="L470" t="n">
        <v>0</v>
      </c>
      <c r="M470" t="n">
        <v>0</v>
      </c>
      <c r="N470" t="n">
        <v>0</v>
      </c>
      <c r="O470" t="n">
        <v>0</v>
      </c>
      <c r="P470" t="n">
        <v>0</v>
      </c>
      <c r="Q470" t="n">
        <v>0</v>
      </c>
      <c r="R470" s="2" t="inlineStr"/>
    </row>
    <row r="471" ht="15" customHeight="1">
      <c r="A471" t="inlineStr">
        <is>
          <t>A 39947-2025</t>
        </is>
      </c>
      <c r="B471" s="1" t="n">
        <v>45892.34438657408</v>
      </c>
      <c r="C471" s="1" t="n">
        <v>46022</v>
      </c>
      <c r="D471" t="inlineStr">
        <is>
          <t>JÄMTLANDS LÄN</t>
        </is>
      </c>
      <c r="E471" t="inlineStr">
        <is>
          <t>RAGUNDA</t>
        </is>
      </c>
      <c r="G471" t="n">
        <v>6.6</v>
      </c>
      <c r="H471" t="n">
        <v>0</v>
      </c>
      <c r="I471" t="n">
        <v>0</v>
      </c>
      <c r="J471" t="n">
        <v>0</v>
      </c>
      <c r="K471" t="n">
        <v>0</v>
      </c>
      <c r="L471" t="n">
        <v>0</v>
      </c>
      <c r="M471" t="n">
        <v>0</v>
      </c>
      <c r="N471" t="n">
        <v>0</v>
      </c>
      <c r="O471" t="n">
        <v>0</v>
      </c>
      <c r="P471" t="n">
        <v>0</v>
      </c>
      <c r="Q471" t="n">
        <v>0</v>
      </c>
      <c r="R471" s="2" t="inlineStr"/>
    </row>
    <row r="472" ht="15" customHeight="1">
      <c r="A472" t="inlineStr">
        <is>
          <t>A 39951-2025</t>
        </is>
      </c>
      <c r="B472" s="1" t="n">
        <v>45892.38657407407</v>
      </c>
      <c r="C472" s="1" t="n">
        <v>46022</v>
      </c>
      <c r="D472" t="inlineStr">
        <is>
          <t>JÄMTLANDS LÄN</t>
        </is>
      </c>
      <c r="E472" t="inlineStr">
        <is>
          <t>RAGUNDA</t>
        </is>
      </c>
      <c r="G472" t="n">
        <v>2.3</v>
      </c>
      <c r="H472" t="n">
        <v>0</v>
      </c>
      <c r="I472" t="n">
        <v>0</v>
      </c>
      <c r="J472" t="n">
        <v>0</v>
      </c>
      <c r="K472" t="n">
        <v>0</v>
      </c>
      <c r="L472" t="n">
        <v>0</v>
      </c>
      <c r="M472" t="n">
        <v>0</v>
      </c>
      <c r="N472" t="n">
        <v>0</v>
      </c>
      <c r="O472" t="n">
        <v>0</v>
      </c>
      <c r="P472" t="n">
        <v>0</v>
      </c>
      <c r="Q472" t="n">
        <v>0</v>
      </c>
      <c r="R472" s="2" t="inlineStr"/>
    </row>
    <row r="473" ht="15" customHeight="1">
      <c r="A473" t="inlineStr">
        <is>
          <t>A 12660-2024</t>
        </is>
      </c>
      <c r="B473" s="1" t="n">
        <v>45384</v>
      </c>
      <c r="C473" s="1" t="n">
        <v>46022</v>
      </c>
      <c r="D473" t="inlineStr">
        <is>
          <t>JÄMTLANDS LÄN</t>
        </is>
      </c>
      <c r="E473" t="inlineStr">
        <is>
          <t>RAGUNDA</t>
        </is>
      </c>
      <c r="G473" t="n">
        <v>1.3</v>
      </c>
      <c r="H473" t="n">
        <v>0</v>
      </c>
      <c r="I473" t="n">
        <v>0</v>
      </c>
      <c r="J473" t="n">
        <v>0</v>
      </c>
      <c r="K473" t="n">
        <v>0</v>
      </c>
      <c r="L473" t="n">
        <v>0</v>
      </c>
      <c r="M473" t="n">
        <v>0</v>
      </c>
      <c r="N473" t="n">
        <v>0</v>
      </c>
      <c r="O473" t="n">
        <v>0</v>
      </c>
      <c r="P473" t="n">
        <v>0</v>
      </c>
      <c r="Q473" t="n">
        <v>0</v>
      </c>
      <c r="R473" s="2" t="inlineStr"/>
    </row>
    <row r="474" ht="15" customHeight="1">
      <c r="A474" t="inlineStr">
        <is>
          <t>A 39948-2025</t>
        </is>
      </c>
      <c r="B474" s="1" t="n">
        <v>45892.38591435185</v>
      </c>
      <c r="C474" s="1" t="n">
        <v>46022</v>
      </c>
      <c r="D474" t="inlineStr">
        <is>
          <t>JÄMTLANDS LÄN</t>
        </is>
      </c>
      <c r="E474" t="inlineStr">
        <is>
          <t>RAGUNDA</t>
        </is>
      </c>
      <c r="G474" t="n">
        <v>5</v>
      </c>
      <c r="H474" t="n">
        <v>0</v>
      </c>
      <c r="I474" t="n">
        <v>0</v>
      </c>
      <c r="J474" t="n">
        <v>0</v>
      </c>
      <c r="K474" t="n">
        <v>0</v>
      </c>
      <c r="L474" t="n">
        <v>0</v>
      </c>
      <c r="M474" t="n">
        <v>0</v>
      </c>
      <c r="N474" t="n">
        <v>0</v>
      </c>
      <c r="O474" t="n">
        <v>0</v>
      </c>
      <c r="P474" t="n">
        <v>0</v>
      </c>
      <c r="Q474" t="n">
        <v>0</v>
      </c>
      <c r="R474" s="2" t="inlineStr"/>
    </row>
    <row r="475" ht="15" customHeight="1">
      <c r="A475" t="inlineStr">
        <is>
          <t>A 39946-2025</t>
        </is>
      </c>
      <c r="B475" s="1" t="n">
        <v>45892.34423611111</v>
      </c>
      <c r="C475" s="1" t="n">
        <v>46022</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39950-2025</t>
        </is>
      </c>
      <c r="B476" s="1" t="n">
        <v>45892.38641203703</v>
      </c>
      <c r="C476" s="1" t="n">
        <v>46022</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39955-2025</t>
        </is>
      </c>
      <c r="B477" s="1" t="n">
        <v>45892.44824074074</v>
      </c>
      <c r="C477" s="1" t="n">
        <v>46022</v>
      </c>
      <c r="D477" t="inlineStr">
        <is>
          <t>JÄMTLANDS LÄN</t>
        </is>
      </c>
      <c r="E477" t="inlineStr">
        <is>
          <t>RAGUNDA</t>
        </is>
      </c>
      <c r="G477" t="n">
        <v>1.4</v>
      </c>
      <c r="H477" t="n">
        <v>0</v>
      </c>
      <c r="I477" t="n">
        <v>0</v>
      </c>
      <c r="J477" t="n">
        <v>0</v>
      </c>
      <c r="K477" t="n">
        <v>0</v>
      </c>
      <c r="L477" t="n">
        <v>0</v>
      </c>
      <c r="M477" t="n">
        <v>0</v>
      </c>
      <c r="N477" t="n">
        <v>0</v>
      </c>
      <c r="O477" t="n">
        <v>0</v>
      </c>
      <c r="P477" t="n">
        <v>0</v>
      </c>
      <c r="Q477" t="n">
        <v>0</v>
      </c>
      <c r="R477" s="2" t="inlineStr"/>
    </row>
    <row r="478" ht="15" customHeight="1">
      <c r="A478" t="inlineStr">
        <is>
          <t>A 39956-2025</t>
        </is>
      </c>
      <c r="B478" s="1" t="n">
        <v>45892.44840277778</v>
      </c>
      <c r="C478" s="1" t="n">
        <v>46022</v>
      </c>
      <c r="D478" t="inlineStr">
        <is>
          <t>JÄMTLANDS LÄN</t>
        </is>
      </c>
      <c r="E478" t="inlineStr">
        <is>
          <t>RAGUNDA</t>
        </is>
      </c>
      <c r="G478" t="n">
        <v>3.6</v>
      </c>
      <c r="H478" t="n">
        <v>0</v>
      </c>
      <c r="I478" t="n">
        <v>0</v>
      </c>
      <c r="J478" t="n">
        <v>0</v>
      </c>
      <c r="K478" t="n">
        <v>0</v>
      </c>
      <c r="L478" t="n">
        <v>0</v>
      </c>
      <c r="M478" t="n">
        <v>0</v>
      </c>
      <c r="N478" t="n">
        <v>0</v>
      </c>
      <c r="O478" t="n">
        <v>0</v>
      </c>
      <c r="P478" t="n">
        <v>0</v>
      </c>
      <c r="Q478" t="n">
        <v>0</v>
      </c>
      <c r="R478" s="2" t="inlineStr"/>
    </row>
    <row r="479" ht="15" customHeight="1">
      <c r="A479" t="inlineStr">
        <is>
          <t>A 22388-2025</t>
        </is>
      </c>
      <c r="B479" s="1" t="n">
        <v>45786.51077546296</v>
      </c>
      <c r="C479" s="1" t="n">
        <v>46022</v>
      </c>
      <c r="D479" t="inlineStr">
        <is>
          <t>JÄMTLANDS LÄN</t>
        </is>
      </c>
      <c r="E479" t="inlineStr">
        <is>
          <t>RAGUNDA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55649-2023</t>
        </is>
      </c>
      <c r="B480" s="1" t="n">
        <v>45238</v>
      </c>
      <c r="C480" s="1" t="n">
        <v>46022</v>
      </c>
      <c r="D480" t="inlineStr">
        <is>
          <t>JÄMTLANDS LÄN</t>
        </is>
      </c>
      <c r="E480" t="inlineStr">
        <is>
          <t>RAGUNDA</t>
        </is>
      </c>
      <c r="F480" t="inlineStr">
        <is>
          <t>SCA</t>
        </is>
      </c>
      <c r="G480" t="n">
        <v>6</v>
      </c>
      <c r="H480" t="n">
        <v>0</v>
      </c>
      <c r="I480" t="n">
        <v>0</v>
      </c>
      <c r="J480" t="n">
        <v>0</v>
      </c>
      <c r="K480" t="n">
        <v>0</v>
      </c>
      <c r="L480" t="n">
        <v>0</v>
      </c>
      <c r="M480" t="n">
        <v>0</v>
      </c>
      <c r="N480" t="n">
        <v>0</v>
      </c>
      <c r="O480" t="n">
        <v>0</v>
      </c>
      <c r="P480" t="n">
        <v>0</v>
      </c>
      <c r="Q480" t="n">
        <v>0</v>
      </c>
      <c r="R480" s="2" t="inlineStr"/>
    </row>
    <row r="481" ht="15" customHeight="1">
      <c r="A481" t="inlineStr">
        <is>
          <t>A 48748-2025</t>
        </is>
      </c>
      <c r="B481" s="1" t="n">
        <v>45936.67912037037</v>
      </c>
      <c r="C481" s="1" t="n">
        <v>46022</v>
      </c>
      <c r="D481" t="inlineStr">
        <is>
          <t>JÄMTLANDS LÄN</t>
        </is>
      </c>
      <c r="E481" t="inlineStr">
        <is>
          <t>RAGUNDA</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39949-2025</t>
        </is>
      </c>
      <c r="B482" s="1" t="n">
        <v>45892.38619212963</v>
      </c>
      <c r="C482" s="1" t="n">
        <v>46022</v>
      </c>
      <c r="D482" t="inlineStr">
        <is>
          <t>JÄMTLANDS LÄN</t>
        </is>
      </c>
      <c r="E482" t="inlineStr">
        <is>
          <t>RAGUNDA</t>
        </is>
      </c>
      <c r="G482" t="n">
        <v>1.4</v>
      </c>
      <c r="H482" t="n">
        <v>0</v>
      </c>
      <c r="I482" t="n">
        <v>0</v>
      </c>
      <c r="J482" t="n">
        <v>0</v>
      </c>
      <c r="K482" t="n">
        <v>0</v>
      </c>
      <c r="L482" t="n">
        <v>0</v>
      </c>
      <c r="M482" t="n">
        <v>0</v>
      </c>
      <c r="N482" t="n">
        <v>0</v>
      </c>
      <c r="O482" t="n">
        <v>0</v>
      </c>
      <c r="P482" t="n">
        <v>0</v>
      </c>
      <c r="Q482" t="n">
        <v>0</v>
      </c>
      <c r="R482" s="2" t="inlineStr"/>
    </row>
    <row r="483" ht="15" customHeight="1">
      <c r="A483" t="inlineStr">
        <is>
          <t>A 48528-2025</t>
        </is>
      </c>
      <c r="B483" s="1" t="n">
        <v>45936.40758101852</v>
      </c>
      <c r="C483" s="1" t="n">
        <v>46022</v>
      </c>
      <c r="D483" t="inlineStr">
        <is>
          <t>JÄMTLANDS LÄN</t>
        </is>
      </c>
      <c r="E483" t="inlineStr">
        <is>
          <t>RAGUNDA</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48742-2025</t>
        </is>
      </c>
      <c r="B484" s="1" t="n">
        <v>45936.67810185185</v>
      </c>
      <c r="C484" s="1" t="n">
        <v>46022</v>
      </c>
      <c r="D484" t="inlineStr">
        <is>
          <t>JÄMTLANDS LÄN</t>
        </is>
      </c>
      <c r="E484" t="inlineStr">
        <is>
          <t>RAGUNDA</t>
        </is>
      </c>
      <c r="F484" t="inlineStr">
        <is>
          <t>SCA</t>
        </is>
      </c>
      <c r="G484" t="n">
        <v>8.9</v>
      </c>
      <c r="H484" t="n">
        <v>0</v>
      </c>
      <c r="I484" t="n">
        <v>0</v>
      </c>
      <c r="J484" t="n">
        <v>0</v>
      </c>
      <c r="K484" t="n">
        <v>0</v>
      </c>
      <c r="L484" t="n">
        <v>0</v>
      </c>
      <c r="M484" t="n">
        <v>0</v>
      </c>
      <c r="N484" t="n">
        <v>0</v>
      </c>
      <c r="O484" t="n">
        <v>0</v>
      </c>
      <c r="P484" t="n">
        <v>0</v>
      </c>
      <c r="Q484" t="n">
        <v>0</v>
      </c>
      <c r="R484" s="2" t="inlineStr"/>
    </row>
    <row r="485" ht="15" customHeight="1">
      <c r="A485" t="inlineStr">
        <is>
          <t>A 12521-2023</t>
        </is>
      </c>
      <c r="B485" s="1" t="n">
        <v>45000</v>
      </c>
      <c r="C485" s="1" t="n">
        <v>46022</v>
      </c>
      <c r="D485" t="inlineStr">
        <is>
          <t>JÄMTLANDS LÄN</t>
        </is>
      </c>
      <c r="E485" t="inlineStr">
        <is>
          <t>RAGUNDA</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29319-2023</t>
        </is>
      </c>
      <c r="B486" s="1" t="n">
        <v>45105</v>
      </c>
      <c r="C486" s="1" t="n">
        <v>46022</v>
      </c>
      <c r="D486" t="inlineStr">
        <is>
          <t>JÄMTLANDS LÄN</t>
        </is>
      </c>
      <c r="E486" t="inlineStr">
        <is>
          <t>RAGUNDA</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22898-2025</t>
        </is>
      </c>
      <c r="B487" s="1" t="n">
        <v>45790.40670138889</v>
      </c>
      <c r="C487" s="1" t="n">
        <v>46022</v>
      </c>
      <c r="D487" t="inlineStr">
        <is>
          <t>JÄMTLANDS LÄN</t>
        </is>
      </c>
      <c r="E487" t="inlineStr">
        <is>
          <t>RAGUNDA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18612-2024</t>
        </is>
      </c>
      <c r="B488" s="1" t="n">
        <v>45425.96239583333</v>
      </c>
      <c r="C488" s="1" t="n">
        <v>46022</v>
      </c>
      <c r="D488" t="inlineStr">
        <is>
          <t>JÄMTLANDS LÄN</t>
        </is>
      </c>
      <c r="E488" t="inlineStr">
        <is>
          <t>RAGUNDA</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40586-2025</t>
        </is>
      </c>
      <c r="B489" s="1" t="n">
        <v>45896.52478009259</v>
      </c>
      <c r="C489" s="1" t="n">
        <v>46022</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464-2023</t>
        </is>
      </c>
      <c r="B490" s="1" t="n">
        <v>44929.92489583333</v>
      </c>
      <c r="C490" s="1" t="n">
        <v>46022</v>
      </c>
      <c r="D490" t="inlineStr">
        <is>
          <t>JÄMTLANDS LÄN</t>
        </is>
      </c>
      <c r="E490" t="inlineStr">
        <is>
          <t>RAGUNDA</t>
        </is>
      </c>
      <c r="G490" t="n">
        <v>1.4</v>
      </c>
      <c r="H490" t="n">
        <v>0</v>
      </c>
      <c r="I490" t="n">
        <v>0</v>
      </c>
      <c r="J490" t="n">
        <v>0</v>
      </c>
      <c r="K490" t="n">
        <v>0</v>
      </c>
      <c r="L490" t="n">
        <v>0</v>
      </c>
      <c r="M490" t="n">
        <v>0</v>
      </c>
      <c r="N490" t="n">
        <v>0</v>
      </c>
      <c r="O490" t="n">
        <v>0</v>
      </c>
      <c r="P490" t="n">
        <v>0</v>
      </c>
      <c r="Q490" t="n">
        <v>0</v>
      </c>
      <c r="R490" s="2" t="inlineStr"/>
    </row>
    <row r="491" ht="15" customHeight="1">
      <c r="A491" t="inlineStr">
        <is>
          <t>A 48746-2025</t>
        </is>
      </c>
      <c r="B491" s="1" t="n">
        <v>45936.67878472222</v>
      </c>
      <c r="C491" s="1" t="n">
        <v>46022</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53769-2023</t>
        </is>
      </c>
      <c r="B492" s="1" t="n">
        <v>45230</v>
      </c>
      <c r="C492" s="1" t="n">
        <v>46022</v>
      </c>
      <c r="D492" t="inlineStr">
        <is>
          <t>JÄMTLANDS LÄN</t>
        </is>
      </c>
      <c r="E492" t="inlineStr">
        <is>
          <t>RAGUNDA</t>
        </is>
      </c>
      <c r="F492" t="inlineStr">
        <is>
          <t>SCA</t>
        </is>
      </c>
      <c r="G492" t="n">
        <v>11.6</v>
      </c>
      <c r="H492" t="n">
        <v>0</v>
      </c>
      <c r="I492" t="n">
        <v>0</v>
      </c>
      <c r="J492" t="n">
        <v>0</v>
      </c>
      <c r="K492" t="n">
        <v>0</v>
      </c>
      <c r="L492" t="n">
        <v>0</v>
      </c>
      <c r="M492" t="n">
        <v>0</v>
      </c>
      <c r="N492" t="n">
        <v>0</v>
      </c>
      <c r="O492" t="n">
        <v>0</v>
      </c>
      <c r="P492" t="n">
        <v>0</v>
      </c>
      <c r="Q492" t="n">
        <v>0</v>
      </c>
      <c r="R492" s="2" t="inlineStr"/>
    </row>
    <row r="493" ht="15" customHeight="1">
      <c r="A493" t="inlineStr">
        <is>
          <t>A 52228-2024</t>
        </is>
      </c>
      <c r="B493" s="1" t="n">
        <v>45608.6078587963</v>
      </c>
      <c r="C493" s="1" t="n">
        <v>46022</v>
      </c>
      <c r="D493" t="inlineStr">
        <is>
          <t>JÄMTLANDS LÄN</t>
        </is>
      </c>
      <c r="E493" t="inlineStr">
        <is>
          <t>RAGUNDA</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23253-2025</t>
        </is>
      </c>
      <c r="B494" s="1" t="n">
        <v>45791.53238425926</v>
      </c>
      <c r="C494" s="1" t="n">
        <v>46022</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23413-2025</t>
        </is>
      </c>
      <c r="B495" s="1" t="n">
        <v>45792.34606481482</v>
      </c>
      <c r="C495" s="1" t="n">
        <v>46022</v>
      </c>
      <c r="D495" t="inlineStr">
        <is>
          <t>JÄMTLANDS LÄN</t>
        </is>
      </c>
      <c r="E495" t="inlineStr">
        <is>
          <t>RAGUNDA</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41161-2025</t>
        </is>
      </c>
      <c r="B496" s="1" t="n">
        <v>45898.53193287037</v>
      </c>
      <c r="C496" s="1" t="n">
        <v>46022</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23586-2025</t>
        </is>
      </c>
      <c r="B497" s="1" t="n">
        <v>45792.63584490741</v>
      </c>
      <c r="C497" s="1" t="n">
        <v>46022</v>
      </c>
      <c r="D497" t="inlineStr">
        <is>
          <t>JÄMTLANDS LÄN</t>
        </is>
      </c>
      <c r="E497" t="inlineStr">
        <is>
          <t>RAGUNDA</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23841-2025</t>
        </is>
      </c>
      <c r="B498" s="1" t="n">
        <v>45793.61523148148</v>
      </c>
      <c r="C498" s="1" t="n">
        <v>46022</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41233-2025</t>
        </is>
      </c>
      <c r="B499" s="1" t="n">
        <v>45898.59295138889</v>
      </c>
      <c r="C499" s="1" t="n">
        <v>46022</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2242-2024</t>
        </is>
      </c>
      <c r="B500" s="1" t="n">
        <v>45309</v>
      </c>
      <c r="C500" s="1" t="n">
        <v>46022</v>
      </c>
      <c r="D500" t="inlineStr">
        <is>
          <t>JÄMTLANDS LÄN</t>
        </is>
      </c>
      <c r="E500" t="inlineStr">
        <is>
          <t>RAGUNDA</t>
        </is>
      </c>
      <c r="G500" t="n">
        <v>0.9</v>
      </c>
      <c r="H500" t="n">
        <v>0</v>
      </c>
      <c r="I500" t="n">
        <v>0</v>
      </c>
      <c r="J500" t="n">
        <v>0</v>
      </c>
      <c r="K500" t="n">
        <v>0</v>
      </c>
      <c r="L500" t="n">
        <v>0</v>
      </c>
      <c r="M500" t="n">
        <v>0</v>
      </c>
      <c r="N500" t="n">
        <v>0</v>
      </c>
      <c r="O500" t="n">
        <v>0</v>
      </c>
      <c r="P500" t="n">
        <v>0</v>
      </c>
      <c r="Q500" t="n">
        <v>0</v>
      </c>
      <c r="R500" s="2" t="inlineStr"/>
    </row>
    <row r="501" ht="15" customHeight="1">
      <c r="A501" t="inlineStr">
        <is>
          <t>A 2248-2024</t>
        </is>
      </c>
      <c r="B501" s="1" t="n">
        <v>45309</v>
      </c>
      <c r="C501" s="1" t="n">
        <v>46022</v>
      </c>
      <c r="D501" t="inlineStr">
        <is>
          <t>JÄMTLANDS LÄN</t>
        </is>
      </c>
      <c r="E501" t="inlineStr">
        <is>
          <t>RAGUNDA</t>
        </is>
      </c>
      <c r="G501" t="n">
        <v>4.2</v>
      </c>
      <c r="H501" t="n">
        <v>0</v>
      </c>
      <c r="I501" t="n">
        <v>0</v>
      </c>
      <c r="J501" t="n">
        <v>0</v>
      </c>
      <c r="K501" t="n">
        <v>0</v>
      </c>
      <c r="L501" t="n">
        <v>0</v>
      </c>
      <c r="M501" t="n">
        <v>0</v>
      </c>
      <c r="N501" t="n">
        <v>0</v>
      </c>
      <c r="O501" t="n">
        <v>0</v>
      </c>
      <c r="P501" t="n">
        <v>0</v>
      </c>
      <c r="Q501" t="n">
        <v>0</v>
      </c>
      <c r="R501" s="2" t="inlineStr"/>
    </row>
    <row r="502" ht="15" customHeight="1">
      <c r="A502" t="inlineStr">
        <is>
          <t>A 23507-2025</t>
        </is>
      </c>
      <c r="B502" s="1" t="n">
        <v>45792.49023148148</v>
      </c>
      <c r="C502" s="1" t="n">
        <v>46022</v>
      </c>
      <c r="D502" t="inlineStr">
        <is>
          <t>JÄMTLANDS LÄN</t>
        </is>
      </c>
      <c r="E502" t="inlineStr">
        <is>
          <t>RAGUNDA</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23840-2025</t>
        </is>
      </c>
      <c r="B503" s="1" t="n">
        <v>45793</v>
      </c>
      <c r="C503" s="1" t="n">
        <v>46022</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23654-2025</t>
        </is>
      </c>
      <c r="B504" s="1" t="n">
        <v>45792.71905092592</v>
      </c>
      <c r="C504" s="1" t="n">
        <v>46022</v>
      </c>
      <c r="D504" t="inlineStr">
        <is>
          <t>JÄMTLANDS LÄN</t>
        </is>
      </c>
      <c r="E504" t="inlineStr">
        <is>
          <t>RAGUNDA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41262-2025</t>
        </is>
      </c>
      <c r="B505" s="1" t="n">
        <v>45898.61502314815</v>
      </c>
      <c r="C505" s="1" t="n">
        <v>46022</v>
      </c>
      <c r="D505" t="inlineStr">
        <is>
          <t>JÄMTLANDS LÄN</t>
        </is>
      </c>
      <c r="E505" t="inlineStr">
        <is>
          <t>RAGUNDA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23405-2025</t>
        </is>
      </c>
      <c r="B506" s="1" t="n">
        <v>45792.34527777778</v>
      </c>
      <c r="C506" s="1" t="n">
        <v>46022</v>
      </c>
      <c r="D506" t="inlineStr">
        <is>
          <t>JÄMTLANDS LÄN</t>
        </is>
      </c>
      <c r="E506" t="inlineStr">
        <is>
          <t>RAGUNDA</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19264-2025</t>
        </is>
      </c>
      <c r="B507" s="1" t="n">
        <v>45769.51087962963</v>
      </c>
      <c r="C507" s="1" t="n">
        <v>46022</v>
      </c>
      <c r="D507" t="inlineStr">
        <is>
          <t>JÄMTLANDS LÄN</t>
        </is>
      </c>
      <c r="E507" t="inlineStr">
        <is>
          <t>RAGUNDA</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41423-2025</t>
        </is>
      </c>
      <c r="B508" s="1" t="n">
        <v>45901.38578703703</v>
      </c>
      <c r="C508" s="1" t="n">
        <v>46022</v>
      </c>
      <c r="D508" t="inlineStr">
        <is>
          <t>JÄMTLANDS LÄN</t>
        </is>
      </c>
      <c r="E508" t="inlineStr">
        <is>
          <t>RAGUNDA</t>
        </is>
      </c>
      <c r="G508" t="n">
        <v>0.7</v>
      </c>
      <c r="H508" t="n">
        <v>0</v>
      </c>
      <c r="I508" t="n">
        <v>0</v>
      </c>
      <c r="J508" t="n">
        <v>0</v>
      </c>
      <c r="K508" t="n">
        <v>0</v>
      </c>
      <c r="L508" t="n">
        <v>0</v>
      </c>
      <c r="M508" t="n">
        <v>0</v>
      </c>
      <c r="N508" t="n">
        <v>0</v>
      </c>
      <c r="O508" t="n">
        <v>0</v>
      </c>
      <c r="P508" t="n">
        <v>0</v>
      </c>
      <c r="Q508" t="n">
        <v>0</v>
      </c>
      <c r="R508" s="2" t="inlineStr"/>
    </row>
    <row r="509" ht="15" customHeight="1">
      <c r="A509" t="inlineStr">
        <is>
          <t>A 29263-2024</t>
        </is>
      </c>
      <c r="B509" s="1" t="n">
        <v>45482.94891203703</v>
      </c>
      <c r="C509" s="1" t="n">
        <v>46022</v>
      </c>
      <c r="D509" t="inlineStr">
        <is>
          <t>JÄMTLANDS LÄN</t>
        </is>
      </c>
      <c r="E509" t="inlineStr">
        <is>
          <t>RAGUNDA</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8800-2025</t>
        </is>
      </c>
      <c r="B510" s="1" t="n">
        <v>45712.65671296296</v>
      </c>
      <c r="C510" s="1" t="n">
        <v>46022</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18284-2025</t>
        </is>
      </c>
      <c r="B511" s="1" t="n">
        <v>45762.39876157408</v>
      </c>
      <c r="C511" s="1" t="n">
        <v>46022</v>
      </c>
      <c r="D511" t="inlineStr">
        <is>
          <t>JÄMTLANDS LÄN</t>
        </is>
      </c>
      <c r="E511" t="inlineStr">
        <is>
          <t>RAGUNDA</t>
        </is>
      </c>
      <c r="G511" t="n">
        <v>0.2</v>
      </c>
      <c r="H511" t="n">
        <v>0</v>
      </c>
      <c r="I511" t="n">
        <v>0</v>
      </c>
      <c r="J511" t="n">
        <v>0</v>
      </c>
      <c r="K511" t="n">
        <v>0</v>
      </c>
      <c r="L511" t="n">
        <v>0</v>
      </c>
      <c r="M511" t="n">
        <v>0</v>
      </c>
      <c r="N511" t="n">
        <v>0</v>
      </c>
      <c r="O511" t="n">
        <v>0</v>
      </c>
      <c r="P511" t="n">
        <v>0</v>
      </c>
      <c r="Q511" t="n">
        <v>0</v>
      </c>
      <c r="R511" s="2" t="inlineStr"/>
      <c r="U511">
        <f>HYPERLINK("https://klasma.github.io/Logging_2303/knärot/A 18284-2025 karta knärot.png", "A 18284-2025")</f>
        <v/>
      </c>
      <c r="V511">
        <f>HYPERLINK("https://klasma.github.io/Logging_2303/klagomål/A 18284-2025 FSC-klagomål.docx", "A 18284-2025")</f>
        <v/>
      </c>
      <c r="W511">
        <f>HYPERLINK("https://klasma.github.io/Logging_2303/klagomålsmail/A 18284-2025 FSC-klagomål mail.docx", "A 18284-2025")</f>
        <v/>
      </c>
      <c r="X511">
        <f>HYPERLINK("https://klasma.github.io/Logging_2303/tillsyn/A 18284-2025 tillsynsbegäran.docx", "A 18284-2025")</f>
        <v/>
      </c>
      <c r="Y511">
        <f>HYPERLINK("https://klasma.github.io/Logging_2303/tillsynsmail/A 18284-2025 tillsynsbegäran mail.docx", "A 18284-2025")</f>
        <v/>
      </c>
    </row>
    <row r="512" ht="15" customHeight="1">
      <c r="A512" t="inlineStr">
        <is>
          <t>A 29265-2024</t>
        </is>
      </c>
      <c r="B512" s="1" t="n">
        <v>45482.9491087963</v>
      </c>
      <c r="C512" s="1" t="n">
        <v>46022</v>
      </c>
      <c r="D512" t="inlineStr">
        <is>
          <t>JÄMTLANDS LÄN</t>
        </is>
      </c>
      <c r="E512" t="inlineStr">
        <is>
          <t>RAGUNDA</t>
        </is>
      </c>
      <c r="F512" t="inlineStr">
        <is>
          <t>SCA</t>
        </is>
      </c>
      <c r="G512" t="n">
        <v>11.6</v>
      </c>
      <c r="H512" t="n">
        <v>0</v>
      </c>
      <c r="I512" t="n">
        <v>0</v>
      </c>
      <c r="J512" t="n">
        <v>0</v>
      </c>
      <c r="K512" t="n">
        <v>0</v>
      </c>
      <c r="L512" t="n">
        <v>0</v>
      </c>
      <c r="M512" t="n">
        <v>0</v>
      </c>
      <c r="N512" t="n">
        <v>0</v>
      </c>
      <c r="O512" t="n">
        <v>0</v>
      </c>
      <c r="P512" t="n">
        <v>0</v>
      </c>
      <c r="Q512" t="n">
        <v>0</v>
      </c>
      <c r="R512" s="2" t="inlineStr"/>
    </row>
    <row r="513" ht="15" customHeight="1">
      <c r="A513" t="inlineStr">
        <is>
          <t>A 41424-2025</t>
        </is>
      </c>
      <c r="B513" s="1" t="n">
        <v>45901.38584490741</v>
      </c>
      <c r="C513" s="1" t="n">
        <v>46022</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27291-2022</t>
        </is>
      </c>
      <c r="B514" s="1" t="n">
        <v>44741.94070601852</v>
      </c>
      <c r="C514" s="1" t="n">
        <v>46022</v>
      </c>
      <c r="D514" t="inlineStr">
        <is>
          <t>JÄMTLANDS LÄN</t>
        </is>
      </c>
      <c r="E514" t="inlineStr">
        <is>
          <t>RAGUNDA</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19263-2025</t>
        </is>
      </c>
      <c r="B515" s="1" t="n">
        <v>45769.51075231482</v>
      </c>
      <c r="C515" s="1" t="n">
        <v>46022</v>
      </c>
      <c r="D515" t="inlineStr">
        <is>
          <t>JÄMTLANDS LÄN</t>
        </is>
      </c>
      <c r="E515" t="inlineStr">
        <is>
          <t>RAGUNDA</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41140-2025</t>
        </is>
      </c>
      <c r="B516" s="1" t="n">
        <v>45898.49012731481</v>
      </c>
      <c r="C516" s="1" t="n">
        <v>46022</v>
      </c>
      <c r="D516" t="inlineStr">
        <is>
          <t>JÄMTLANDS LÄN</t>
        </is>
      </c>
      <c r="E516" t="inlineStr">
        <is>
          <t>RAGUNDA</t>
        </is>
      </c>
      <c r="F516" t="inlineStr">
        <is>
          <t>SCA</t>
        </is>
      </c>
      <c r="G516" t="n">
        <v>3.7</v>
      </c>
      <c r="H516" t="n">
        <v>0</v>
      </c>
      <c r="I516" t="n">
        <v>0</v>
      </c>
      <c r="J516" t="n">
        <v>0</v>
      </c>
      <c r="K516" t="n">
        <v>0</v>
      </c>
      <c r="L516" t="n">
        <v>0</v>
      </c>
      <c r="M516" t="n">
        <v>0</v>
      </c>
      <c r="N516" t="n">
        <v>0</v>
      </c>
      <c r="O516" t="n">
        <v>0</v>
      </c>
      <c r="P516" t="n">
        <v>0</v>
      </c>
      <c r="Q516" t="n">
        <v>0</v>
      </c>
      <c r="R516" s="2" t="inlineStr"/>
    </row>
    <row r="517" ht="15" customHeight="1">
      <c r="A517" t="inlineStr">
        <is>
          <t>A 8776-2025</t>
        </is>
      </c>
      <c r="B517" s="1" t="n">
        <v>45712.61510416667</v>
      </c>
      <c r="C517" s="1" t="n">
        <v>46022</v>
      </c>
      <c r="D517" t="inlineStr">
        <is>
          <t>JÄMTLANDS LÄN</t>
        </is>
      </c>
      <c r="E517" t="inlineStr">
        <is>
          <t>RAGUNDA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41422-2025</t>
        </is>
      </c>
      <c r="B518" s="1" t="n">
        <v>45901.38572916666</v>
      </c>
      <c r="C518" s="1" t="n">
        <v>46022</v>
      </c>
      <c r="D518" t="inlineStr">
        <is>
          <t>JÄMTLANDS LÄN</t>
        </is>
      </c>
      <c r="E518" t="inlineStr">
        <is>
          <t>RAGUNDA</t>
        </is>
      </c>
      <c r="G518" t="n">
        <v>4.3</v>
      </c>
      <c r="H518" t="n">
        <v>0</v>
      </c>
      <c r="I518" t="n">
        <v>0</v>
      </c>
      <c r="J518" t="n">
        <v>0</v>
      </c>
      <c r="K518" t="n">
        <v>0</v>
      </c>
      <c r="L518" t="n">
        <v>0</v>
      </c>
      <c r="M518" t="n">
        <v>0</v>
      </c>
      <c r="N518" t="n">
        <v>0</v>
      </c>
      <c r="O518" t="n">
        <v>0</v>
      </c>
      <c r="P518" t="n">
        <v>0</v>
      </c>
      <c r="Q518" t="n">
        <v>0</v>
      </c>
      <c r="R518" s="2" t="inlineStr"/>
    </row>
    <row r="519" ht="15" customHeight="1">
      <c r="A519" t="inlineStr">
        <is>
          <t>A 24158-2025</t>
        </is>
      </c>
      <c r="B519" s="1" t="n">
        <v>45796</v>
      </c>
      <c r="C519" s="1" t="n">
        <v>46022</v>
      </c>
      <c r="D519" t="inlineStr">
        <is>
          <t>JÄMTLANDS LÄN</t>
        </is>
      </c>
      <c r="E519" t="inlineStr">
        <is>
          <t>RAGUNDA</t>
        </is>
      </c>
      <c r="G519" t="n">
        <v>2.9</v>
      </c>
      <c r="H519" t="n">
        <v>0</v>
      </c>
      <c r="I519" t="n">
        <v>0</v>
      </c>
      <c r="J519" t="n">
        <v>0</v>
      </c>
      <c r="K519" t="n">
        <v>0</v>
      </c>
      <c r="L519" t="n">
        <v>0</v>
      </c>
      <c r="M519" t="n">
        <v>0</v>
      </c>
      <c r="N519" t="n">
        <v>0</v>
      </c>
      <c r="O519" t="n">
        <v>0</v>
      </c>
      <c r="P519" t="n">
        <v>0</v>
      </c>
      <c r="Q519" t="n">
        <v>0</v>
      </c>
      <c r="R519" s="2" t="inlineStr"/>
      <c r="U519">
        <f>HYPERLINK("https://klasma.github.io/Logging_2303/knärot/A 24158-2025 karta knärot.png", "A 24158-2025")</f>
        <v/>
      </c>
      <c r="V519">
        <f>HYPERLINK("https://klasma.github.io/Logging_2303/klagomål/A 24158-2025 FSC-klagomål.docx", "A 24158-2025")</f>
        <v/>
      </c>
      <c r="W519">
        <f>HYPERLINK("https://klasma.github.io/Logging_2303/klagomålsmail/A 24158-2025 FSC-klagomål mail.docx", "A 24158-2025")</f>
        <v/>
      </c>
      <c r="X519">
        <f>HYPERLINK("https://klasma.github.io/Logging_2303/tillsyn/A 24158-2025 tillsynsbegäran.docx", "A 24158-2025")</f>
        <v/>
      </c>
      <c r="Y519">
        <f>HYPERLINK("https://klasma.github.io/Logging_2303/tillsynsmail/A 24158-2025 tillsynsbegäran mail.docx", "A 24158-2025")</f>
        <v/>
      </c>
    </row>
    <row r="520" ht="15" customHeight="1">
      <c r="A520" t="inlineStr">
        <is>
          <t>A 24161-2025</t>
        </is>
      </c>
      <c r="B520" s="1" t="n">
        <v>45796</v>
      </c>
      <c r="C520" s="1" t="n">
        <v>46022</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41876-2025</t>
        </is>
      </c>
      <c r="B521" s="1" t="n">
        <v>45903.34555555556</v>
      </c>
      <c r="C521" s="1" t="n">
        <v>46022</v>
      </c>
      <c r="D521" t="inlineStr">
        <is>
          <t>JÄMTLANDS LÄN</t>
        </is>
      </c>
      <c r="E521" t="inlineStr">
        <is>
          <t>RAGUNDA</t>
        </is>
      </c>
      <c r="G521" t="n">
        <v>2</v>
      </c>
      <c r="H521" t="n">
        <v>0</v>
      </c>
      <c r="I521" t="n">
        <v>0</v>
      </c>
      <c r="J521" t="n">
        <v>0</v>
      </c>
      <c r="K521" t="n">
        <v>0</v>
      </c>
      <c r="L521" t="n">
        <v>0</v>
      </c>
      <c r="M521" t="n">
        <v>0</v>
      </c>
      <c r="N521" t="n">
        <v>0</v>
      </c>
      <c r="O521" t="n">
        <v>0</v>
      </c>
      <c r="P521" t="n">
        <v>0</v>
      </c>
      <c r="Q521" t="n">
        <v>0</v>
      </c>
      <c r="R521" s="2" t="inlineStr"/>
    </row>
    <row r="522" ht="15" customHeight="1">
      <c r="A522" t="inlineStr">
        <is>
          <t>A 14821-2025</t>
        </is>
      </c>
      <c r="B522" s="1" t="n">
        <v>45743.36</v>
      </c>
      <c r="C522" s="1" t="n">
        <v>46022</v>
      </c>
      <c r="D522" t="inlineStr">
        <is>
          <t>JÄMTLANDS LÄN</t>
        </is>
      </c>
      <c r="E522" t="inlineStr">
        <is>
          <t>RAGUNDA</t>
        </is>
      </c>
      <c r="F522" t="inlineStr">
        <is>
          <t>Kyrkan</t>
        </is>
      </c>
      <c r="G522" t="n">
        <v>6.4</v>
      </c>
      <c r="H522" t="n">
        <v>0</v>
      </c>
      <c r="I522" t="n">
        <v>0</v>
      </c>
      <c r="J522" t="n">
        <v>0</v>
      </c>
      <c r="K522" t="n">
        <v>0</v>
      </c>
      <c r="L522" t="n">
        <v>0</v>
      </c>
      <c r="M522" t="n">
        <v>0</v>
      </c>
      <c r="N522" t="n">
        <v>0</v>
      </c>
      <c r="O522" t="n">
        <v>0</v>
      </c>
      <c r="P522" t="n">
        <v>0</v>
      </c>
      <c r="Q522" t="n">
        <v>0</v>
      </c>
      <c r="R522" s="2" t="inlineStr"/>
    </row>
    <row r="523" ht="15" customHeight="1">
      <c r="A523" t="inlineStr">
        <is>
          <t>A 41656-2025</t>
        </is>
      </c>
      <c r="B523" s="1" t="n">
        <v>45902.34423611111</v>
      </c>
      <c r="C523" s="1" t="n">
        <v>46022</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36375-2022</t>
        </is>
      </c>
      <c r="B524" s="1" t="n">
        <v>44803.94351851852</v>
      </c>
      <c r="C524" s="1" t="n">
        <v>46022</v>
      </c>
      <c r="D524" t="inlineStr">
        <is>
          <t>JÄMTLANDS LÄN</t>
        </is>
      </c>
      <c r="E524" t="inlineStr">
        <is>
          <t>RAGUNDA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8679-2023</t>
        </is>
      </c>
      <c r="B525" s="1" t="n">
        <v>44977.98670138889</v>
      </c>
      <c r="C525" s="1" t="n">
        <v>46022</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24159-2025</t>
        </is>
      </c>
      <c r="B526" s="1" t="n">
        <v>45796</v>
      </c>
      <c r="C526" s="1" t="n">
        <v>46022</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24391-2025</t>
        </is>
      </c>
      <c r="B527" s="1" t="n">
        <v>45797.63627314815</v>
      </c>
      <c r="C527" s="1" t="n">
        <v>46022</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9325-2024</t>
        </is>
      </c>
      <c r="B528" s="1" t="n">
        <v>45358.95813657407</v>
      </c>
      <c r="C528" s="1" t="n">
        <v>46022</v>
      </c>
      <c r="D528" t="inlineStr">
        <is>
          <t>JÄMTLANDS LÄN</t>
        </is>
      </c>
      <c r="E528" t="inlineStr">
        <is>
          <t>RAGUNDA</t>
        </is>
      </c>
      <c r="G528" t="n">
        <v>3.1</v>
      </c>
      <c r="H528" t="n">
        <v>0</v>
      </c>
      <c r="I528" t="n">
        <v>0</v>
      </c>
      <c r="J528" t="n">
        <v>0</v>
      </c>
      <c r="K528" t="n">
        <v>0</v>
      </c>
      <c r="L528" t="n">
        <v>0</v>
      </c>
      <c r="M528" t="n">
        <v>0</v>
      </c>
      <c r="N528" t="n">
        <v>0</v>
      </c>
      <c r="O528" t="n">
        <v>0</v>
      </c>
      <c r="P528" t="n">
        <v>0</v>
      </c>
      <c r="Q528" t="n">
        <v>0</v>
      </c>
      <c r="R528" s="2" t="inlineStr"/>
    </row>
    <row r="529" ht="15" customHeight="1">
      <c r="A529" t="inlineStr">
        <is>
          <t>A 5930-2025</t>
        </is>
      </c>
      <c r="B529" s="1" t="n">
        <v>45695.44724537037</v>
      </c>
      <c r="C529" s="1" t="n">
        <v>46022</v>
      </c>
      <c r="D529" t="inlineStr">
        <is>
          <t>JÄMTLANDS LÄN</t>
        </is>
      </c>
      <c r="E529" t="inlineStr">
        <is>
          <t>RAGUNDA</t>
        </is>
      </c>
      <c r="G529" t="n">
        <v>0.7</v>
      </c>
      <c r="H529" t="n">
        <v>0</v>
      </c>
      <c r="I529" t="n">
        <v>0</v>
      </c>
      <c r="J529" t="n">
        <v>0</v>
      </c>
      <c r="K529" t="n">
        <v>0</v>
      </c>
      <c r="L529" t="n">
        <v>0</v>
      </c>
      <c r="M529" t="n">
        <v>0</v>
      </c>
      <c r="N529" t="n">
        <v>0</v>
      </c>
      <c r="O529" t="n">
        <v>0</v>
      </c>
      <c r="P529" t="n">
        <v>0</v>
      </c>
      <c r="Q529" t="n">
        <v>0</v>
      </c>
      <c r="R529" s="2" t="inlineStr"/>
    </row>
    <row r="530" ht="15" customHeight="1">
      <c r="A530" t="inlineStr">
        <is>
          <t>A 57170-2024</t>
        </is>
      </c>
      <c r="B530" s="1" t="n">
        <v>45629.42759259259</v>
      </c>
      <c r="C530" s="1" t="n">
        <v>46022</v>
      </c>
      <c r="D530" t="inlineStr">
        <is>
          <t>JÄMTLANDS LÄN</t>
        </is>
      </c>
      <c r="E530" t="inlineStr">
        <is>
          <t>RAGUNDA</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57833-2025</t>
        </is>
      </c>
      <c r="B531" s="1" t="n">
        <v>45981.61541666667</v>
      </c>
      <c r="C531" s="1" t="n">
        <v>46022</v>
      </c>
      <c r="D531" t="inlineStr">
        <is>
          <t>JÄMTLANDS LÄN</t>
        </is>
      </c>
      <c r="E531" t="inlineStr">
        <is>
          <t>RAGUNDA</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62407-2023</t>
        </is>
      </c>
      <c r="B532" s="1" t="n">
        <v>45266</v>
      </c>
      <c r="C532" s="1" t="n">
        <v>46022</v>
      </c>
      <c r="D532" t="inlineStr">
        <is>
          <t>JÄMTLANDS LÄN</t>
        </is>
      </c>
      <c r="E532" t="inlineStr">
        <is>
          <t>RAGUNDA</t>
        </is>
      </c>
      <c r="G532" t="n">
        <v>1.6</v>
      </c>
      <c r="H532" t="n">
        <v>0</v>
      </c>
      <c r="I532" t="n">
        <v>0</v>
      </c>
      <c r="J532" t="n">
        <v>0</v>
      </c>
      <c r="K532" t="n">
        <v>0</v>
      </c>
      <c r="L532" t="n">
        <v>0</v>
      </c>
      <c r="M532" t="n">
        <v>0</v>
      </c>
      <c r="N532" t="n">
        <v>0</v>
      </c>
      <c r="O532" t="n">
        <v>0</v>
      </c>
      <c r="P532" t="n">
        <v>0</v>
      </c>
      <c r="Q532" t="n">
        <v>0</v>
      </c>
      <c r="R532" s="2" t="inlineStr"/>
    </row>
    <row r="533" ht="15" customHeight="1">
      <c r="A533" t="inlineStr">
        <is>
          <t>A 49639-2025</t>
        </is>
      </c>
      <c r="B533" s="1" t="n">
        <v>45939.61253472222</v>
      </c>
      <c r="C533" s="1" t="n">
        <v>46022</v>
      </c>
      <c r="D533" t="inlineStr">
        <is>
          <t>JÄMTLANDS LÄN</t>
        </is>
      </c>
      <c r="E533" t="inlineStr">
        <is>
          <t>RAGUNDA</t>
        </is>
      </c>
      <c r="F533" t="inlineStr">
        <is>
          <t>Kommuner</t>
        </is>
      </c>
      <c r="G533" t="n">
        <v>13.6</v>
      </c>
      <c r="H533" t="n">
        <v>0</v>
      </c>
      <c r="I533" t="n">
        <v>0</v>
      </c>
      <c r="J533" t="n">
        <v>0</v>
      </c>
      <c r="K533" t="n">
        <v>0</v>
      </c>
      <c r="L533" t="n">
        <v>0</v>
      </c>
      <c r="M533" t="n">
        <v>0</v>
      </c>
      <c r="N533" t="n">
        <v>0</v>
      </c>
      <c r="O533" t="n">
        <v>0</v>
      </c>
      <c r="P533" t="n">
        <v>0</v>
      </c>
      <c r="Q533" t="n">
        <v>0</v>
      </c>
      <c r="R533" s="2" t="inlineStr"/>
    </row>
    <row r="534" ht="15" customHeight="1">
      <c r="A534" t="inlineStr">
        <is>
          <t>A 21524-2024</t>
        </is>
      </c>
      <c r="B534" s="1" t="n">
        <v>45441</v>
      </c>
      <c r="C534" s="1" t="n">
        <v>46022</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42269-2025</t>
        </is>
      </c>
      <c r="B535" s="1" t="n">
        <v>45904.60431712963</v>
      </c>
      <c r="C535" s="1" t="n">
        <v>46022</v>
      </c>
      <c r="D535" t="inlineStr">
        <is>
          <t>JÄMTLANDS LÄN</t>
        </is>
      </c>
      <c r="E535" t="inlineStr">
        <is>
          <t>RAGUNDA</t>
        </is>
      </c>
      <c r="G535" t="n">
        <v>4.3</v>
      </c>
      <c r="H535" t="n">
        <v>0</v>
      </c>
      <c r="I535" t="n">
        <v>0</v>
      </c>
      <c r="J535" t="n">
        <v>0</v>
      </c>
      <c r="K535" t="n">
        <v>0</v>
      </c>
      <c r="L535" t="n">
        <v>0</v>
      </c>
      <c r="M535" t="n">
        <v>0</v>
      </c>
      <c r="N535" t="n">
        <v>0</v>
      </c>
      <c r="O535" t="n">
        <v>0</v>
      </c>
      <c r="P535" t="n">
        <v>0</v>
      </c>
      <c r="Q535" t="n">
        <v>0</v>
      </c>
      <c r="R535" s="2" t="inlineStr"/>
    </row>
    <row r="536" ht="15" customHeight="1">
      <c r="A536" t="inlineStr">
        <is>
          <t>A 38191-2024</t>
        </is>
      </c>
      <c r="B536" s="1" t="n">
        <v>45545.49078703704</v>
      </c>
      <c r="C536" s="1" t="n">
        <v>46022</v>
      </c>
      <c r="D536" t="inlineStr">
        <is>
          <t>JÄMTLANDS LÄN</t>
        </is>
      </c>
      <c r="E536" t="inlineStr">
        <is>
          <t>RAGUNDA</t>
        </is>
      </c>
      <c r="G536" t="n">
        <v>1.6</v>
      </c>
      <c r="H536" t="n">
        <v>0</v>
      </c>
      <c r="I536" t="n">
        <v>0</v>
      </c>
      <c r="J536" t="n">
        <v>0</v>
      </c>
      <c r="K536" t="n">
        <v>0</v>
      </c>
      <c r="L536" t="n">
        <v>0</v>
      </c>
      <c r="M536" t="n">
        <v>0</v>
      </c>
      <c r="N536" t="n">
        <v>0</v>
      </c>
      <c r="O536" t="n">
        <v>0</v>
      </c>
      <c r="P536" t="n">
        <v>0</v>
      </c>
      <c r="Q536" t="n">
        <v>0</v>
      </c>
      <c r="R536" s="2" t="inlineStr"/>
    </row>
    <row r="537" ht="15" customHeight="1">
      <c r="A537" t="inlineStr">
        <is>
          <t>A 8795-2022</t>
        </is>
      </c>
      <c r="B537" s="1" t="n">
        <v>44614</v>
      </c>
      <c r="C537" s="1" t="n">
        <v>46022</v>
      </c>
      <c r="D537" t="inlineStr">
        <is>
          <t>JÄMTLANDS LÄN</t>
        </is>
      </c>
      <c r="E537" t="inlineStr">
        <is>
          <t>RAGUNDA</t>
        </is>
      </c>
      <c r="G537" t="n">
        <v>3.9</v>
      </c>
      <c r="H537" t="n">
        <v>0</v>
      </c>
      <c r="I537" t="n">
        <v>0</v>
      </c>
      <c r="J537" t="n">
        <v>0</v>
      </c>
      <c r="K537" t="n">
        <v>0</v>
      </c>
      <c r="L537" t="n">
        <v>0</v>
      </c>
      <c r="M537" t="n">
        <v>0</v>
      </c>
      <c r="N537" t="n">
        <v>0</v>
      </c>
      <c r="O537" t="n">
        <v>0</v>
      </c>
      <c r="P537" t="n">
        <v>0</v>
      </c>
      <c r="Q537" t="n">
        <v>0</v>
      </c>
      <c r="R537" s="2" t="inlineStr"/>
    </row>
    <row r="538" ht="15" customHeight="1">
      <c r="A538" t="inlineStr">
        <is>
          <t>A 35265-2023</t>
        </is>
      </c>
      <c r="B538" s="1" t="n">
        <v>45145.95326388889</v>
      </c>
      <c r="C538" s="1" t="n">
        <v>46022</v>
      </c>
      <c r="D538" t="inlineStr">
        <is>
          <t>JÄMTLANDS LÄN</t>
        </is>
      </c>
      <c r="E538" t="inlineStr">
        <is>
          <t>RAGUNDA</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5148-2023</t>
        </is>
      </c>
      <c r="B539" s="1" t="n">
        <v>44958</v>
      </c>
      <c r="C539" s="1" t="n">
        <v>46022</v>
      </c>
      <c r="D539" t="inlineStr">
        <is>
          <t>JÄMTLANDS LÄN</t>
        </is>
      </c>
      <c r="E539" t="inlineStr">
        <is>
          <t>RAGUNDA</t>
        </is>
      </c>
      <c r="G539" t="n">
        <v>2.9</v>
      </c>
      <c r="H539" t="n">
        <v>0</v>
      </c>
      <c r="I539" t="n">
        <v>0</v>
      </c>
      <c r="J539" t="n">
        <v>0</v>
      </c>
      <c r="K539" t="n">
        <v>0</v>
      </c>
      <c r="L539" t="n">
        <v>0</v>
      </c>
      <c r="M539" t="n">
        <v>0</v>
      </c>
      <c r="N539" t="n">
        <v>0</v>
      </c>
      <c r="O539" t="n">
        <v>0</v>
      </c>
      <c r="P539" t="n">
        <v>0</v>
      </c>
      <c r="Q539" t="n">
        <v>0</v>
      </c>
      <c r="R539" s="2" t="inlineStr"/>
    </row>
    <row r="540" ht="15" customHeight="1">
      <c r="A540" t="inlineStr">
        <is>
          <t>A 66471-2021</t>
        </is>
      </c>
      <c r="B540" s="1" t="n">
        <v>44518</v>
      </c>
      <c r="C540" s="1" t="n">
        <v>46022</v>
      </c>
      <c r="D540" t="inlineStr">
        <is>
          <t>JÄMTLANDS LÄN</t>
        </is>
      </c>
      <c r="E540" t="inlineStr">
        <is>
          <t>RAGUNDA</t>
        </is>
      </c>
      <c r="G540" t="n">
        <v>13.4</v>
      </c>
      <c r="H540" t="n">
        <v>0</v>
      </c>
      <c r="I540" t="n">
        <v>0</v>
      </c>
      <c r="J540" t="n">
        <v>0</v>
      </c>
      <c r="K540" t="n">
        <v>0</v>
      </c>
      <c r="L540" t="n">
        <v>0</v>
      </c>
      <c r="M540" t="n">
        <v>0</v>
      </c>
      <c r="N540" t="n">
        <v>0</v>
      </c>
      <c r="O540" t="n">
        <v>0</v>
      </c>
      <c r="P540" t="n">
        <v>0</v>
      </c>
      <c r="Q540" t="n">
        <v>0</v>
      </c>
      <c r="R540" s="2" t="inlineStr"/>
    </row>
    <row r="541" ht="15" customHeight="1">
      <c r="A541" t="inlineStr">
        <is>
          <t>A 18778-2024</t>
        </is>
      </c>
      <c r="B541" s="1" t="n">
        <v>45426</v>
      </c>
      <c r="C541" s="1" t="n">
        <v>46022</v>
      </c>
      <c r="D541" t="inlineStr">
        <is>
          <t>JÄMTLANDS LÄN</t>
        </is>
      </c>
      <c r="E541" t="inlineStr">
        <is>
          <t>RAGUNDA</t>
        </is>
      </c>
      <c r="G541" t="n">
        <v>0.9</v>
      </c>
      <c r="H541" t="n">
        <v>0</v>
      </c>
      <c r="I541" t="n">
        <v>0</v>
      </c>
      <c r="J541" t="n">
        <v>0</v>
      </c>
      <c r="K541" t="n">
        <v>0</v>
      </c>
      <c r="L541" t="n">
        <v>0</v>
      </c>
      <c r="M541" t="n">
        <v>0</v>
      </c>
      <c r="N541" t="n">
        <v>0</v>
      </c>
      <c r="O541" t="n">
        <v>0</v>
      </c>
      <c r="P541" t="n">
        <v>0</v>
      </c>
      <c r="Q541" t="n">
        <v>0</v>
      </c>
      <c r="R541" s="2" t="inlineStr"/>
    </row>
    <row r="542" ht="15" customHeight="1">
      <c r="A542" t="inlineStr">
        <is>
          <t>A 59556-2024</t>
        </is>
      </c>
      <c r="B542" s="1" t="n">
        <v>45638.63600694444</v>
      </c>
      <c r="C542" s="1" t="n">
        <v>46022</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25631-2025</t>
        </is>
      </c>
      <c r="B543" s="1" t="n">
        <v>45803.5946875</v>
      </c>
      <c r="C543" s="1" t="n">
        <v>46022</v>
      </c>
      <c r="D543" t="inlineStr">
        <is>
          <t>JÄMTLANDS LÄN</t>
        </is>
      </c>
      <c r="E543" t="inlineStr">
        <is>
          <t>RAGUNDA</t>
        </is>
      </c>
      <c r="G543" t="n">
        <v>1.1</v>
      </c>
      <c r="H543" t="n">
        <v>0</v>
      </c>
      <c r="I543" t="n">
        <v>0</v>
      </c>
      <c r="J543" t="n">
        <v>0</v>
      </c>
      <c r="K543" t="n">
        <v>0</v>
      </c>
      <c r="L543" t="n">
        <v>0</v>
      </c>
      <c r="M543" t="n">
        <v>0</v>
      </c>
      <c r="N543" t="n">
        <v>0</v>
      </c>
      <c r="O543" t="n">
        <v>0</v>
      </c>
      <c r="P543" t="n">
        <v>0</v>
      </c>
      <c r="Q543" t="n">
        <v>0</v>
      </c>
      <c r="R543" s="2" t="inlineStr"/>
    </row>
    <row r="544" ht="15" customHeight="1">
      <c r="A544" t="inlineStr">
        <is>
          <t>A 33763-2025</t>
        </is>
      </c>
      <c r="B544" s="1" t="n">
        <v>45842.38579861111</v>
      </c>
      <c r="C544" s="1" t="n">
        <v>46022</v>
      </c>
      <c r="D544" t="inlineStr">
        <is>
          <t>JÄMTLANDS LÄN</t>
        </is>
      </c>
      <c r="E544" t="inlineStr">
        <is>
          <t>RAGUNDA</t>
        </is>
      </c>
      <c r="F544" t="inlineStr">
        <is>
          <t>SCA</t>
        </is>
      </c>
      <c r="G544" t="n">
        <v>13.4</v>
      </c>
      <c r="H544" t="n">
        <v>0</v>
      </c>
      <c r="I544" t="n">
        <v>0</v>
      </c>
      <c r="J544" t="n">
        <v>0</v>
      </c>
      <c r="K544" t="n">
        <v>0</v>
      </c>
      <c r="L544" t="n">
        <v>0</v>
      </c>
      <c r="M544" t="n">
        <v>0</v>
      </c>
      <c r="N544" t="n">
        <v>0</v>
      </c>
      <c r="O544" t="n">
        <v>0</v>
      </c>
      <c r="P544" t="n">
        <v>0</v>
      </c>
      <c r="Q544" t="n">
        <v>0</v>
      </c>
      <c r="R544" s="2" t="inlineStr"/>
    </row>
    <row r="545" ht="15" customHeight="1">
      <c r="A545" t="inlineStr">
        <is>
          <t>A 49059-2025</t>
        </is>
      </c>
      <c r="B545" s="1" t="n">
        <v>45937.64123842592</v>
      </c>
      <c r="C545" s="1" t="n">
        <v>46022</v>
      </c>
      <c r="D545" t="inlineStr">
        <is>
          <t>JÄMTLANDS LÄN</t>
        </is>
      </c>
      <c r="E545" t="inlineStr">
        <is>
          <t>RAGUNDA</t>
        </is>
      </c>
      <c r="G545" t="n">
        <v>2.1</v>
      </c>
      <c r="H545" t="n">
        <v>0</v>
      </c>
      <c r="I545" t="n">
        <v>0</v>
      </c>
      <c r="J545" t="n">
        <v>0</v>
      </c>
      <c r="K545" t="n">
        <v>0</v>
      </c>
      <c r="L545" t="n">
        <v>0</v>
      </c>
      <c r="M545" t="n">
        <v>0</v>
      </c>
      <c r="N545" t="n">
        <v>0</v>
      </c>
      <c r="O545" t="n">
        <v>0</v>
      </c>
      <c r="P545" t="n">
        <v>0</v>
      </c>
      <c r="Q545" t="n">
        <v>0</v>
      </c>
      <c r="R545" s="2" t="inlineStr"/>
    </row>
    <row r="546" ht="15" customHeight="1">
      <c r="A546" t="inlineStr">
        <is>
          <t>A 25376-2025</t>
        </is>
      </c>
      <c r="B546" s="1" t="n">
        <v>45800.63619212963</v>
      </c>
      <c r="C546" s="1" t="n">
        <v>46022</v>
      </c>
      <c r="D546" t="inlineStr">
        <is>
          <t>JÄMTLANDS LÄN</t>
        </is>
      </c>
      <c r="E546" t="inlineStr">
        <is>
          <t>RAGUNDA</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16529-2022</t>
        </is>
      </c>
      <c r="B547" s="1" t="n">
        <v>44671</v>
      </c>
      <c r="C547" s="1" t="n">
        <v>46022</v>
      </c>
      <c r="D547" t="inlineStr">
        <is>
          <t>JÄMTLANDS LÄN</t>
        </is>
      </c>
      <c r="E547" t="inlineStr">
        <is>
          <t>RAGUNDA</t>
        </is>
      </c>
      <c r="G547" t="n">
        <v>1.5</v>
      </c>
      <c r="H547" t="n">
        <v>0</v>
      </c>
      <c r="I547" t="n">
        <v>0</v>
      </c>
      <c r="J547" t="n">
        <v>0</v>
      </c>
      <c r="K547" t="n">
        <v>0</v>
      </c>
      <c r="L547" t="n">
        <v>0</v>
      </c>
      <c r="M547" t="n">
        <v>0</v>
      </c>
      <c r="N547" t="n">
        <v>0</v>
      </c>
      <c r="O547" t="n">
        <v>0</v>
      </c>
      <c r="P547" t="n">
        <v>0</v>
      </c>
      <c r="Q547" t="n">
        <v>0</v>
      </c>
      <c r="R547" s="2" t="inlineStr"/>
    </row>
    <row r="548" ht="15" customHeight="1">
      <c r="A548" t="inlineStr">
        <is>
          <t>A 57332-2025</t>
        </is>
      </c>
      <c r="B548" s="1" t="n">
        <v>45980.34467592592</v>
      </c>
      <c r="C548" s="1" t="n">
        <v>46022</v>
      </c>
      <c r="D548" t="inlineStr">
        <is>
          <t>JÄMTLANDS LÄN</t>
        </is>
      </c>
      <c r="E548" t="inlineStr">
        <is>
          <t>RAGUNDA</t>
        </is>
      </c>
      <c r="F548" t="inlineStr">
        <is>
          <t>SCA</t>
        </is>
      </c>
      <c r="G548" t="n">
        <v>22.6</v>
      </c>
      <c r="H548" t="n">
        <v>0</v>
      </c>
      <c r="I548" t="n">
        <v>0</v>
      </c>
      <c r="J548" t="n">
        <v>0</v>
      </c>
      <c r="K548" t="n">
        <v>0</v>
      </c>
      <c r="L548" t="n">
        <v>0</v>
      </c>
      <c r="M548" t="n">
        <v>0</v>
      </c>
      <c r="N548" t="n">
        <v>0</v>
      </c>
      <c r="O548" t="n">
        <v>0</v>
      </c>
      <c r="P548" t="n">
        <v>0</v>
      </c>
      <c r="Q548" t="n">
        <v>0</v>
      </c>
      <c r="R548" s="2" t="inlineStr"/>
    </row>
    <row r="549" ht="15" customHeight="1">
      <c r="A549" t="inlineStr">
        <is>
          <t>A 25175-2025</t>
        </is>
      </c>
      <c r="B549" s="1" t="n">
        <v>45800.44822916666</v>
      </c>
      <c r="C549" s="1" t="n">
        <v>46022</v>
      </c>
      <c r="D549" t="inlineStr">
        <is>
          <t>JÄMTLANDS LÄN</t>
        </is>
      </c>
      <c r="E549" t="inlineStr">
        <is>
          <t>RAGUNDA</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25177-2025</t>
        </is>
      </c>
      <c r="B550" s="1" t="n">
        <v>45800.44862268519</v>
      </c>
      <c r="C550" s="1" t="n">
        <v>46022</v>
      </c>
      <c r="D550" t="inlineStr">
        <is>
          <t>JÄMTLANDS LÄN</t>
        </is>
      </c>
      <c r="E550" t="inlineStr">
        <is>
          <t>RAGUNDA</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43177-2025</t>
        </is>
      </c>
      <c r="B551" s="1" t="n">
        <v>45910.40667824074</v>
      </c>
      <c r="C551" s="1" t="n">
        <v>46022</v>
      </c>
      <c r="D551" t="inlineStr">
        <is>
          <t>JÄMTLANDS LÄN</t>
        </is>
      </c>
      <c r="E551" t="inlineStr">
        <is>
          <t>RAGUNDA</t>
        </is>
      </c>
      <c r="F551" t="inlineStr">
        <is>
          <t>SCA</t>
        </is>
      </c>
      <c r="G551" t="n">
        <v>4.9</v>
      </c>
      <c r="H551" t="n">
        <v>0</v>
      </c>
      <c r="I551" t="n">
        <v>0</v>
      </c>
      <c r="J551" t="n">
        <v>0</v>
      </c>
      <c r="K551" t="n">
        <v>0</v>
      </c>
      <c r="L551" t="n">
        <v>0</v>
      </c>
      <c r="M551" t="n">
        <v>0</v>
      </c>
      <c r="N551" t="n">
        <v>0</v>
      </c>
      <c r="O551" t="n">
        <v>0</v>
      </c>
      <c r="P551" t="n">
        <v>0</v>
      </c>
      <c r="Q551" t="n">
        <v>0</v>
      </c>
      <c r="R551" s="2" t="inlineStr"/>
    </row>
    <row r="552" ht="15" customHeight="1">
      <c r="A552" t="inlineStr">
        <is>
          <t>A 43181-2025</t>
        </is>
      </c>
      <c r="B552" s="1" t="n">
        <v>45910.40721064815</v>
      </c>
      <c r="C552" s="1" t="n">
        <v>46022</v>
      </c>
      <c r="D552" t="inlineStr">
        <is>
          <t>JÄMTLANDS LÄN</t>
        </is>
      </c>
      <c r="E552" t="inlineStr">
        <is>
          <t>RAGUNDA</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25659-2025</t>
        </is>
      </c>
      <c r="B553" s="1" t="n">
        <v>45803.61552083334</v>
      </c>
      <c r="C553" s="1" t="n">
        <v>46022</v>
      </c>
      <c r="D553" t="inlineStr">
        <is>
          <t>JÄMTLANDS LÄN</t>
        </is>
      </c>
      <c r="E553" t="inlineStr">
        <is>
          <t>RAGUNDA</t>
        </is>
      </c>
      <c r="G553" t="n">
        <v>1.5</v>
      </c>
      <c r="H553" t="n">
        <v>0</v>
      </c>
      <c r="I553" t="n">
        <v>0</v>
      </c>
      <c r="J553" t="n">
        <v>0</v>
      </c>
      <c r="K553" t="n">
        <v>0</v>
      </c>
      <c r="L553" t="n">
        <v>0</v>
      </c>
      <c r="M553" t="n">
        <v>0</v>
      </c>
      <c r="N553" t="n">
        <v>0</v>
      </c>
      <c r="O553" t="n">
        <v>0</v>
      </c>
      <c r="P553" t="n">
        <v>0</v>
      </c>
      <c r="Q553" t="n">
        <v>0</v>
      </c>
      <c r="R553" s="2" t="inlineStr"/>
    </row>
    <row r="554" ht="15" customHeight="1">
      <c r="A554" t="inlineStr">
        <is>
          <t>A 25661-2025</t>
        </is>
      </c>
      <c r="B554" s="1" t="n">
        <v>45803.61557870371</v>
      </c>
      <c r="C554" s="1" t="n">
        <v>46022</v>
      </c>
      <c r="D554" t="inlineStr">
        <is>
          <t>JÄMTLANDS LÄN</t>
        </is>
      </c>
      <c r="E554" t="inlineStr">
        <is>
          <t>RAGUNDA</t>
        </is>
      </c>
      <c r="G554" t="n">
        <v>1.4</v>
      </c>
      <c r="H554" t="n">
        <v>0</v>
      </c>
      <c r="I554" t="n">
        <v>0</v>
      </c>
      <c r="J554" t="n">
        <v>0</v>
      </c>
      <c r="K554" t="n">
        <v>0</v>
      </c>
      <c r="L554" t="n">
        <v>0</v>
      </c>
      <c r="M554" t="n">
        <v>0</v>
      </c>
      <c r="N554" t="n">
        <v>0</v>
      </c>
      <c r="O554" t="n">
        <v>0</v>
      </c>
      <c r="P554" t="n">
        <v>0</v>
      </c>
      <c r="Q554" t="n">
        <v>0</v>
      </c>
      <c r="R554" s="2" t="inlineStr"/>
    </row>
    <row r="555" ht="15" customHeight="1">
      <c r="A555" t="inlineStr">
        <is>
          <t>A 49193-2025</t>
        </is>
      </c>
      <c r="B555" s="1" t="n">
        <v>45938.40831018519</v>
      </c>
      <c r="C555" s="1" t="n">
        <v>46022</v>
      </c>
      <c r="D555" t="inlineStr">
        <is>
          <t>JÄMTLANDS LÄN</t>
        </is>
      </c>
      <c r="E555" t="inlineStr">
        <is>
          <t>RAGUNDA</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61934-2022</t>
        </is>
      </c>
      <c r="B556" s="1" t="n">
        <v>44917</v>
      </c>
      <c r="C556" s="1" t="n">
        <v>46022</v>
      </c>
      <c r="D556" t="inlineStr">
        <is>
          <t>JÄMTLANDS LÄN</t>
        </is>
      </c>
      <c r="E556" t="inlineStr">
        <is>
          <t>RAGUNDA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25350-2025</t>
        </is>
      </c>
      <c r="B557" s="1" t="n">
        <v>45800</v>
      </c>
      <c r="C557" s="1" t="n">
        <v>46022</v>
      </c>
      <c r="D557" t="inlineStr">
        <is>
          <t>JÄMTLANDS LÄN</t>
        </is>
      </c>
      <c r="E557" t="inlineStr">
        <is>
          <t>RAGUNDA</t>
        </is>
      </c>
      <c r="G557" t="n">
        <v>2.4</v>
      </c>
      <c r="H557" t="n">
        <v>0</v>
      </c>
      <c r="I557" t="n">
        <v>0</v>
      </c>
      <c r="J557" t="n">
        <v>0</v>
      </c>
      <c r="K557" t="n">
        <v>0</v>
      </c>
      <c r="L557" t="n">
        <v>0</v>
      </c>
      <c r="M557" t="n">
        <v>0</v>
      </c>
      <c r="N557" t="n">
        <v>0</v>
      </c>
      <c r="O557" t="n">
        <v>0</v>
      </c>
      <c r="P557" t="n">
        <v>0</v>
      </c>
      <c r="Q557" t="n">
        <v>0</v>
      </c>
      <c r="R557" s="2" t="inlineStr"/>
    </row>
    <row r="558" ht="15" customHeight="1">
      <c r="A558" t="inlineStr">
        <is>
          <t>A 43330-2025</t>
        </is>
      </c>
      <c r="B558" s="1" t="n">
        <v>45910.67766203704</v>
      </c>
      <c r="C558" s="1" t="n">
        <v>46022</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8678-2023</t>
        </is>
      </c>
      <c r="B559" s="1" t="n">
        <v>44977.98660879629</v>
      </c>
      <c r="C559" s="1" t="n">
        <v>46022</v>
      </c>
      <c r="D559" t="inlineStr">
        <is>
          <t>JÄMTLANDS LÄN</t>
        </is>
      </c>
      <c r="E559" t="inlineStr">
        <is>
          <t>RAGUNDA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25152-2025</t>
        </is>
      </c>
      <c r="B560" s="1" t="n">
        <v>45800.42743055556</v>
      </c>
      <c r="C560" s="1" t="n">
        <v>46022</v>
      </c>
      <c r="D560" t="inlineStr">
        <is>
          <t>JÄMTLANDS LÄN</t>
        </is>
      </c>
      <c r="E560" t="inlineStr">
        <is>
          <t>RAGUNDA</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19613-2023</t>
        </is>
      </c>
      <c r="B561" s="1" t="n">
        <v>45050.94020833333</v>
      </c>
      <c r="C561" s="1" t="n">
        <v>46022</v>
      </c>
      <c r="D561" t="inlineStr">
        <is>
          <t>JÄMTLANDS LÄN</t>
        </is>
      </c>
      <c r="E561" t="inlineStr">
        <is>
          <t>RAGUNDA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25814-2025</t>
        </is>
      </c>
      <c r="B562" s="1" t="n">
        <v>45804.42642361111</v>
      </c>
      <c r="C562" s="1" t="n">
        <v>46022</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25944-2025</t>
        </is>
      </c>
      <c r="B563" s="1" t="n">
        <v>45804.59487268519</v>
      </c>
      <c r="C563" s="1" t="n">
        <v>46022</v>
      </c>
      <c r="D563" t="inlineStr">
        <is>
          <t>JÄMTLANDS LÄN</t>
        </is>
      </c>
      <c r="E563" t="inlineStr">
        <is>
          <t>RAGUNDA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26283-2025</t>
        </is>
      </c>
      <c r="B564" s="1" t="n">
        <v>45805.61495370371</v>
      </c>
      <c r="C564" s="1" t="n">
        <v>46022</v>
      </c>
      <c r="D564" t="inlineStr">
        <is>
          <t>JÄMTLANDS LÄN</t>
        </is>
      </c>
      <c r="E564" t="inlineStr">
        <is>
          <t>RAGUNDA</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10788-2025</t>
        </is>
      </c>
      <c r="B565" s="1" t="n">
        <v>45722.48982638889</v>
      </c>
      <c r="C565" s="1" t="n">
        <v>46022</v>
      </c>
      <c r="D565" t="inlineStr">
        <is>
          <t>JÄMTLANDS LÄN</t>
        </is>
      </c>
      <c r="E565" t="inlineStr">
        <is>
          <t>RAGUNDA</t>
        </is>
      </c>
      <c r="G565" t="n">
        <v>3.5</v>
      </c>
      <c r="H565" t="n">
        <v>0</v>
      </c>
      <c r="I565" t="n">
        <v>0</v>
      </c>
      <c r="J565" t="n">
        <v>0</v>
      </c>
      <c r="K565" t="n">
        <v>0</v>
      </c>
      <c r="L565" t="n">
        <v>0</v>
      </c>
      <c r="M565" t="n">
        <v>0</v>
      </c>
      <c r="N565" t="n">
        <v>0</v>
      </c>
      <c r="O565" t="n">
        <v>0</v>
      </c>
      <c r="P565" t="n">
        <v>0</v>
      </c>
      <c r="Q565" t="n">
        <v>0</v>
      </c>
      <c r="R565" s="2" t="inlineStr"/>
    </row>
    <row r="566" ht="15" customHeight="1">
      <c r="A566" t="inlineStr">
        <is>
          <t>A 28742-2023</t>
        </is>
      </c>
      <c r="B566" s="1" t="n">
        <v>45103</v>
      </c>
      <c r="C566" s="1" t="n">
        <v>46022</v>
      </c>
      <c r="D566" t="inlineStr">
        <is>
          <t>JÄMTLANDS LÄN</t>
        </is>
      </c>
      <c r="E566" t="inlineStr">
        <is>
          <t>RAGUNDA</t>
        </is>
      </c>
      <c r="G566" t="n">
        <v>1.8</v>
      </c>
      <c r="H566" t="n">
        <v>0</v>
      </c>
      <c r="I566" t="n">
        <v>0</v>
      </c>
      <c r="J566" t="n">
        <v>0</v>
      </c>
      <c r="K566" t="n">
        <v>0</v>
      </c>
      <c r="L566" t="n">
        <v>0</v>
      </c>
      <c r="M566" t="n">
        <v>0</v>
      </c>
      <c r="N566" t="n">
        <v>0</v>
      </c>
      <c r="O566" t="n">
        <v>0</v>
      </c>
      <c r="P566" t="n">
        <v>0</v>
      </c>
      <c r="Q566" t="n">
        <v>0</v>
      </c>
      <c r="R566" s="2" t="inlineStr"/>
    </row>
    <row r="567" ht="15" customHeight="1">
      <c r="A567" t="inlineStr">
        <is>
          <t>A 24258-2025</t>
        </is>
      </c>
      <c r="B567" s="1" t="n">
        <v>45797.40800925926</v>
      </c>
      <c r="C567" s="1" t="n">
        <v>46022</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17323-2025</t>
        </is>
      </c>
      <c r="B568" s="1" t="n">
        <v>45756.63601851852</v>
      </c>
      <c r="C568" s="1" t="n">
        <v>46022</v>
      </c>
      <c r="D568" t="inlineStr">
        <is>
          <t>JÄMTLANDS LÄN</t>
        </is>
      </c>
      <c r="E568" t="inlineStr">
        <is>
          <t>RAGUNDA</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25994-2025</t>
        </is>
      </c>
      <c r="B569" s="1" t="n">
        <v>45804.65672453704</v>
      </c>
      <c r="C569" s="1" t="n">
        <v>46022</v>
      </c>
      <c r="D569" t="inlineStr">
        <is>
          <t>JÄMTLANDS LÄN</t>
        </is>
      </c>
      <c r="E569" t="inlineStr">
        <is>
          <t>RAGUNDA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26172-2025</t>
        </is>
      </c>
      <c r="B570" s="1" t="n">
        <v>45805.46613425926</v>
      </c>
      <c r="C570" s="1" t="n">
        <v>46022</v>
      </c>
      <c r="D570" t="inlineStr">
        <is>
          <t>JÄMTLANDS LÄN</t>
        </is>
      </c>
      <c r="E570" t="inlineStr">
        <is>
          <t>RAGUNDA</t>
        </is>
      </c>
      <c r="G570" t="n">
        <v>2.1</v>
      </c>
      <c r="H570" t="n">
        <v>0</v>
      </c>
      <c r="I570" t="n">
        <v>0</v>
      </c>
      <c r="J570" t="n">
        <v>0</v>
      </c>
      <c r="K570" t="n">
        <v>0</v>
      </c>
      <c r="L570" t="n">
        <v>0</v>
      </c>
      <c r="M570" t="n">
        <v>0</v>
      </c>
      <c r="N570" t="n">
        <v>0</v>
      </c>
      <c r="O570" t="n">
        <v>0</v>
      </c>
      <c r="P570" t="n">
        <v>0</v>
      </c>
      <c r="Q570" t="n">
        <v>0</v>
      </c>
      <c r="R570" s="2" t="inlineStr"/>
    </row>
    <row r="571" ht="15" customHeight="1">
      <c r="A571" t="inlineStr">
        <is>
          <t>A 16364-2023</t>
        </is>
      </c>
      <c r="B571" s="1" t="n">
        <v>45028</v>
      </c>
      <c r="C571" s="1" t="n">
        <v>46022</v>
      </c>
      <c r="D571" t="inlineStr">
        <is>
          <t>JÄMTLANDS LÄN</t>
        </is>
      </c>
      <c r="E571" t="inlineStr">
        <is>
          <t>RAGUNDA</t>
        </is>
      </c>
      <c r="G571" t="n">
        <v>0.5</v>
      </c>
      <c r="H571" t="n">
        <v>0</v>
      </c>
      <c r="I571" t="n">
        <v>0</v>
      </c>
      <c r="J571" t="n">
        <v>0</v>
      </c>
      <c r="K571" t="n">
        <v>0</v>
      </c>
      <c r="L571" t="n">
        <v>0</v>
      </c>
      <c r="M571" t="n">
        <v>0</v>
      </c>
      <c r="N571" t="n">
        <v>0</v>
      </c>
      <c r="O571" t="n">
        <v>0</v>
      </c>
      <c r="P571" t="n">
        <v>0</v>
      </c>
      <c r="Q571" t="n">
        <v>0</v>
      </c>
      <c r="R571" s="2" t="inlineStr"/>
    </row>
    <row r="572" ht="15" customHeight="1">
      <c r="A572" t="inlineStr">
        <is>
          <t>A 59136-2023</t>
        </is>
      </c>
      <c r="B572" s="1" t="n">
        <v>45251</v>
      </c>
      <c r="C572" s="1" t="n">
        <v>46022</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26246-2025</t>
        </is>
      </c>
      <c r="B573" s="1" t="n">
        <v>45805.57390046296</v>
      </c>
      <c r="C573" s="1" t="n">
        <v>46022</v>
      </c>
      <c r="D573" t="inlineStr">
        <is>
          <t>JÄMTLANDS LÄN</t>
        </is>
      </c>
      <c r="E573" t="inlineStr">
        <is>
          <t>RAGUNDA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43776-2025</t>
        </is>
      </c>
      <c r="B574" s="1" t="n">
        <v>45912.51086805556</v>
      </c>
      <c r="C574" s="1" t="n">
        <v>46022</v>
      </c>
      <c r="D574" t="inlineStr">
        <is>
          <t>JÄMTLANDS LÄN</t>
        </is>
      </c>
      <c r="E574" t="inlineStr">
        <is>
          <t>RAGUNDA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43971-2025</t>
        </is>
      </c>
      <c r="B575" s="1" t="n">
        <v>45915.40694444445</v>
      </c>
      <c r="C575" s="1" t="n">
        <v>46022</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43804-2025</t>
        </is>
      </c>
      <c r="B576" s="1" t="n">
        <v>45912.57373842593</v>
      </c>
      <c r="C576" s="1" t="n">
        <v>46022</v>
      </c>
      <c r="D576" t="inlineStr">
        <is>
          <t>JÄMTLANDS LÄN</t>
        </is>
      </c>
      <c r="E576" t="inlineStr">
        <is>
          <t>RAGUNDA</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49659-2023</t>
        </is>
      </c>
      <c r="B577" s="1" t="n">
        <v>45211.95134259259</v>
      </c>
      <c r="C577" s="1" t="n">
        <v>46022</v>
      </c>
      <c r="D577" t="inlineStr">
        <is>
          <t>JÄMTLANDS LÄN</t>
        </is>
      </c>
      <c r="E577" t="inlineStr">
        <is>
          <t>RAGUNDA</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44550.92168981482</v>
      </c>
      <c r="C578" s="1" t="n">
        <v>46022</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57560-2025</t>
        </is>
      </c>
      <c r="B579" s="1" t="n">
        <v>45980.6987962963</v>
      </c>
      <c r="C579" s="1" t="n">
        <v>46022</v>
      </c>
      <c r="D579" t="inlineStr">
        <is>
          <t>JÄMTLANDS LÄN</t>
        </is>
      </c>
      <c r="E579" t="inlineStr">
        <is>
          <t>RAGUNDA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51396-2024</t>
        </is>
      </c>
      <c r="B580" s="1" t="n">
        <v>45604.4190625</v>
      </c>
      <c r="C580" s="1" t="n">
        <v>46022</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50521-2024</t>
        </is>
      </c>
      <c r="B581" s="1" t="n">
        <v>45601.55331018518</v>
      </c>
      <c r="C581" s="1" t="n">
        <v>46022</v>
      </c>
      <c r="D581" t="inlineStr">
        <is>
          <t>JÄMTLANDS LÄN</t>
        </is>
      </c>
      <c r="E581" t="inlineStr">
        <is>
          <t>RAGUNDA</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57785-2025</t>
        </is>
      </c>
      <c r="B582" s="1" t="n">
        <v>45981.57393518519</v>
      </c>
      <c r="C582" s="1" t="n">
        <v>46022</v>
      </c>
      <c r="D582" t="inlineStr">
        <is>
          <t>JÄMTLANDS LÄN</t>
        </is>
      </c>
      <c r="E582" t="inlineStr">
        <is>
          <t>RAGUNDA</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26640-2025</t>
        </is>
      </c>
      <c r="B583" s="1" t="n">
        <v>45810.36495370371</v>
      </c>
      <c r="C583" s="1" t="n">
        <v>46022</v>
      </c>
      <c r="D583" t="inlineStr">
        <is>
          <t>JÄMTLANDS LÄN</t>
        </is>
      </c>
      <c r="E583" t="inlineStr">
        <is>
          <t>RAGUNDA</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4916-2025</t>
        </is>
      </c>
      <c r="B584" s="1" t="n">
        <v>45688.68196759259</v>
      </c>
      <c r="C584" s="1" t="n">
        <v>46022</v>
      </c>
      <c r="D584" t="inlineStr">
        <is>
          <t>JÄMTLANDS LÄN</t>
        </is>
      </c>
      <c r="E584" t="inlineStr">
        <is>
          <t>RAGUNDA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59557-2023</t>
        </is>
      </c>
      <c r="B585" s="1" t="n">
        <v>45253</v>
      </c>
      <c r="C585" s="1" t="n">
        <v>46022</v>
      </c>
      <c r="D585" t="inlineStr">
        <is>
          <t>JÄMTLANDS LÄN</t>
        </is>
      </c>
      <c r="E585" t="inlineStr">
        <is>
          <t>RAGUNDA</t>
        </is>
      </c>
      <c r="G585" t="n">
        <v>1</v>
      </c>
      <c r="H585" t="n">
        <v>0</v>
      </c>
      <c r="I585" t="n">
        <v>0</v>
      </c>
      <c r="J585" t="n">
        <v>0</v>
      </c>
      <c r="K585" t="n">
        <v>0</v>
      </c>
      <c r="L585" t="n">
        <v>0</v>
      </c>
      <c r="M585" t="n">
        <v>0</v>
      </c>
      <c r="N585" t="n">
        <v>0</v>
      </c>
      <c r="O585" t="n">
        <v>0</v>
      </c>
      <c r="P585" t="n">
        <v>0</v>
      </c>
      <c r="Q585" t="n">
        <v>0</v>
      </c>
      <c r="R585" s="2" t="inlineStr"/>
    </row>
    <row r="586" ht="15" customHeight="1">
      <c r="A586" t="inlineStr">
        <is>
          <t>A 57112-2024</t>
        </is>
      </c>
      <c r="B586" s="1" t="n">
        <v>45629.36486111111</v>
      </c>
      <c r="C586" s="1" t="n">
        <v>46022</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53136-2024</t>
        </is>
      </c>
      <c r="B587" s="1" t="n">
        <v>45611.5953125</v>
      </c>
      <c r="C587" s="1" t="n">
        <v>46022</v>
      </c>
      <c r="D587" t="inlineStr">
        <is>
          <t>JÄMTLANDS LÄN</t>
        </is>
      </c>
      <c r="E587" t="inlineStr">
        <is>
          <t>RAGUNDA</t>
        </is>
      </c>
      <c r="G587" t="n">
        <v>3.8</v>
      </c>
      <c r="H587" t="n">
        <v>0</v>
      </c>
      <c r="I587" t="n">
        <v>0</v>
      </c>
      <c r="J587" t="n">
        <v>0</v>
      </c>
      <c r="K587" t="n">
        <v>0</v>
      </c>
      <c r="L587" t="n">
        <v>0</v>
      </c>
      <c r="M587" t="n">
        <v>0</v>
      </c>
      <c r="N587" t="n">
        <v>0</v>
      </c>
      <c r="O587" t="n">
        <v>0</v>
      </c>
      <c r="P587" t="n">
        <v>0</v>
      </c>
      <c r="Q587" t="n">
        <v>0</v>
      </c>
      <c r="R587" s="2" t="inlineStr"/>
    </row>
    <row r="588" ht="15" customHeight="1">
      <c r="A588" t="inlineStr">
        <is>
          <t>A 33621-2023</t>
        </is>
      </c>
      <c r="B588" s="1" t="n">
        <v>45119</v>
      </c>
      <c r="C588" s="1" t="n">
        <v>46022</v>
      </c>
      <c r="D588" t="inlineStr">
        <is>
          <t>JÄMTLANDS LÄN</t>
        </is>
      </c>
      <c r="E588" t="inlineStr">
        <is>
          <t>RAGUNDA</t>
        </is>
      </c>
      <c r="G588" t="n">
        <v>0.5</v>
      </c>
      <c r="H588" t="n">
        <v>0</v>
      </c>
      <c r="I588" t="n">
        <v>0</v>
      </c>
      <c r="J588" t="n">
        <v>0</v>
      </c>
      <c r="K588" t="n">
        <v>0</v>
      </c>
      <c r="L588" t="n">
        <v>0</v>
      </c>
      <c r="M588" t="n">
        <v>0</v>
      </c>
      <c r="N588" t="n">
        <v>0</v>
      </c>
      <c r="O588" t="n">
        <v>0</v>
      </c>
      <c r="P588" t="n">
        <v>0</v>
      </c>
      <c r="Q588" t="n">
        <v>0</v>
      </c>
      <c r="R588" s="2" t="inlineStr"/>
    </row>
    <row r="589" ht="15" customHeight="1">
      <c r="A589" t="inlineStr">
        <is>
          <t>A 6694-2024</t>
        </is>
      </c>
      <c r="B589" s="1" t="n">
        <v>45341.95381944445</v>
      </c>
      <c r="C589" s="1" t="n">
        <v>46022</v>
      </c>
      <c r="D589" t="inlineStr">
        <is>
          <t>JÄMTLANDS LÄN</t>
        </is>
      </c>
      <c r="E589" t="inlineStr">
        <is>
          <t>RAGUNDA</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45279-2025</t>
        </is>
      </c>
      <c r="B590" s="1" t="n">
        <v>45919.71912037037</v>
      </c>
      <c r="C590" s="1" t="n">
        <v>46022</v>
      </c>
      <c r="D590" t="inlineStr">
        <is>
          <t>JÄMTLANDS LÄN</t>
        </is>
      </c>
      <c r="E590" t="inlineStr">
        <is>
          <t>RAGUNDA</t>
        </is>
      </c>
      <c r="F590" t="inlineStr">
        <is>
          <t>SCA</t>
        </is>
      </c>
      <c r="G590" t="n">
        <v>11.5</v>
      </c>
      <c r="H590" t="n">
        <v>0</v>
      </c>
      <c r="I590" t="n">
        <v>0</v>
      </c>
      <c r="J590" t="n">
        <v>0</v>
      </c>
      <c r="K590" t="n">
        <v>0</v>
      </c>
      <c r="L590" t="n">
        <v>0</v>
      </c>
      <c r="M590" t="n">
        <v>0</v>
      </c>
      <c r="N590" t="n">
        <v>0</v>
      </c>
      <c r="O590" t="n">
        <v>0</v>
      </c>
      <c r="P590" t="n">
        <v>0</v>
      </c>
      <c r="Q590" t="n">
        <v>0</v>
      </c>
      <c r="R590" s="2" t="inlineStr"/>
    </row>
    <row r="591" ht="15" customHeight="1">
      <c r="A591" t="inlineStr">
        <is>
          <t>A 2001-2025</t>
        </is>
      </c>
      <c r="B591" s="1" t="n">
        <v>45672.44898148148</v>
      </c>
      <c r="C591" s="1" t="n">
        <v>46022</v>
      </c>
      <c r="D591" t="inlineStr">
        <is>
          <t>JÄMTLANDS LÄN</t>
        </is>
      </c>
      <c r="E591" t="inlineStr">
        <is>
          <t>RAGUNDA</t>
        </is>
      </c>
      <c r="F591" t="inlineStr">
        <is>
          <t>SCA</t>
        </is>
      </c>
      <c r="G591" t="n">
        <v>16.2</v>
      </c>
      <c r="H591" t="n">
        <v>0</v>
      </c>
      <c r="I591" t="n">
        <v>0</v>
      </c>
      <c r="J591" t="n">
        <v>0</v>
      </c>
      <c r="K591" t="n">
        <v>0</v>
      </c>
      <c r="L591" t="n">
        <v>0</v>
      </c>
      <c r="M591" t="n">
        <v>0</v>
      </c>
      <c r="N591" t="n">
        <v>0</v>
      </c>
      <c r="O591" t="n">
        <v>0</v>
      </c>
      <c r="P591" t="n">
        <v>0</v>
      </c>
      <c r="Q591" t="n">
        <v>0</v>
      </c>
      <c r="R591" s="2" t="inlineStr"/>
    </row>
    <row r="592" ht="15" customHeight="1">
      <c r="A592" t="inlineStr">
        <is>
          <t>A 53762-2023</t>
        </is>
      </c>
      <c r="B592" s="1" t="n">
        <v>45230.96376157407</v>
      </c>
      <c r="C592" s="1" t="n">
        <v>46022</v>
      </c>
      <c r="D592" t="inlineStr">
        <is>
          <t>JÄMTLANDS LÄN</t>
        </is>
      </c>
      <c r="E592" t="inlineStr">
        <is>
          <t>RAGUNDA</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1537-2024</t>
        </is>
      </c>
      <c r="B593" s="1" t="n">
        <v>45306</v>
      </c>
      <c r="C593" s="1" t="n">
        <v>46022</v>
      </c>
      <c r="D593" t="inlineStr">
        <is>
          <t>JÄMTLANDS LÄN</t>
        </is>
      </c>
      <c r="E593" t="inlineStr">
        <is>
          <t>RAGUNDA</t>
        </is>
      </c>
      <c r="G593" t="n">
        <v>0.2</v>
      </c>
      <c r="H593" t="n">
        <v>0</v>
      </c>
      <c r="I593" t="n">
        <v>0</v>
      </c>
      <c r="J593" t="n">
        <v>0</v>
      </c>
      <c r="K593" t="n">
        <v>0</v>
      </c>
      <c r="L593" t="n">
        <v>0</v>
      </c>
      <c r="M593" t="n">
        <v>0</v>
      </c>
      <c r="N593" t="n">
        <v>0</v>
      </c>
      <c r="O593" t="n">
        <v>0</v>
      </c>
      <c r="P593" t="n">
        <v>0</v>
      </c>
      <c r="Q593" t="n">
        <v>0</v>
      </c>
      <c r="R593" s="2" t="inlineStr"/>
    </row>
    <row r="594" ht="15" customHeight="1">
      <c r="A594" t="inlineStr">
        <is>
          <t>A 60935-2024</t>
        </is>
      </c>
      <c r="B594" s="1" t="n">
        <v>45645.36740740741</v>
      </c>
      <c r="C594" s="1" t="n">
        <v>46022</v>
      </c>
      <c r="D594" t="inlineStr">
        <is>
          <t>JÄMTLANDS LÄN</t>
        </is>
      </c>
      <c r="E594" t="inlineStr">
        <is>
          <t>RAGUNDA</t>
        </is>
      </c>
      <c r="G594" t="n">
        <v>2.6</v>
      </c>
      <c r="H594" t="n">
        <v>0</v>
      </c>
      <c r="I594" t="n">
        <v>0</v>
      </c>
      <c r="J594" t="n">
        <v>0</v>
      </c>
      <c r="K594" t="n">
        <v>0</v>
      </c>
      <c r="L594" t="n">
        <v>0</v>
      </c>
      <c r="M594" t="n">
        <v>0</v>
      </c>
      <c r="N594" t="n">
        <v>0</v>
      </c>
      <c r="O594" t="n">
        <v>0</v>
      </c>
      <c r="P594" t="n">
        <v>0</v>
      </c>
      <c r="Q594" t="n">
        <v>0</v>
      </c>
      <c r="R594" s="2" t="inlineStr"/>
    </row>
    <row r="595" ht="15" customHeight="1">
      <c r="A595" t="inlineStr">
        <is>
          <t>A 44954-2025</t>
        </is>
      </c>
      <c r="B595" s="1" t="n">
        <v>45918.61203703703</v>
      </c>
      <c r="C595" s="1" t="n">
        <v>46022</v>
      </c>
      <c r="D595" t="inlineStr">
        <is>
          <t>JÄMTLANDS LÄN</t>
        </is>
      </c>
      <c r="E595" t="inlineStr">
        <is>
          <t>RAGUNDA</t>
        </is>
      </c>
      <c r="G595" t="n">
        <v>3</v>
      </c>
      <c r="H595" t="n">
        <v>0</v>
      </c>
      <c r="I595" t="n">
        <v>0</v>
      </c>
      <c r="J595" t="n">
        <v>0</v>
      </c>
      <c r="K595" t="n">
        <v>0</v>
      </c>
      <c r="L595" t="n">
        <v>0</v>
      </c>
      <c r="M595" t="n">
        <v>0</v>
      </c>
      <c r="N595" t="n">
        <v>0</v>
      </c>
      <c r="O595" t="n">
        <v>0</v>
      </c>
      <c r="P595" t="n">
        <v>0</v>
      </c>
      <c r="Q595" t="n">
        <v>0</v>
      </c>
      <c r="R595" s="2" t="inlineStr"/>
    </row>
    <row r="596" ht="15" customHeight="1">
      <c r="A596" t="inlineStr">
        <is>
          <t>A 19089-2024</t>
        </is>
      </c>
      <c r="B596" s="1" t="n">
        <v>45428.00471064815</v>
      </c>
      <c r="C596" s="1" t="n">
        <v>46022</v>
      </c>
      <c r="D596" t="inlineStr">
        <is>
          <t>JÄMTLANDS LÄN</t>
        </is>
      </c>
      <c r="E596" t="inlineStr">
        <is>
          <t>RAGUNDA</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6257-2025</t>
        </is>
      </c>
      <c r="B597" s="1" t="n">
        <v>45698.59409722222</v>
      </c>
      <c r="C597" s="1" t="n">
        <v>46022</v>
      </c>
      <c r="D597" t="inlineStr">
        <is>
          <t>JÄMTLANDS LÄN</t>
        </is>
      </c>
      <c r="E597" t="inlineStr">
        <is>
          <t>RAGUNDA</t>
        </is>
      </c>
      <c r="F597" t="inlineStr">
        <is>
          <t>SCA</t>
        </is>
      </c>
      <c r="G597" t="n">
        <v>7</v>
      </c>
      <c r="H597" t="n">
        <v>0</v>
      </c>
      <c r="I597" t="n">
        <v>0</v>
      </c>
      <c r="J597" t="n">
        <v>0</v>
      </c>
      <c r="K597" t="n">
        <v>0</v>
      </c>
      <c r="L597" t="n">
        <v>0</v>
      </c>
      <c r="M597" t="n">
        <v>0</v>
      </c>
      <c r="N597" t="n">
        <v>0</v>
      </c>
      <c r="O597" t="n">
        <v>0</v>
      </c>
      <c r="P597" t="n">
        <v>0</v>
      </c>
      <c r="Q597" t="n">
        <v>0</v>
      </c>
      <c r="R597" s="2" t="inlineStr"/>
    </row>
    <row r="598" ht="15" customHeight="1">
      <c r="A598" t="inlineStr">
        <is>
          <t>A 14074-2023</t>
        </is>
      </c>
      <c r="B598" s="1" t="n">
        <v>45009.089375</v>
      </c>
      <c r="C598" s="1" t="n">
        <v>46022</v>
      </c>
      <c r="D598" t="inlineStr">
        <is>
          <t>JÄMTLANDS LÄN</t>
        </is>
      </c>
      <c r="E598" t="inlineStr">
        <is>
          <t>RAGUNDA</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37265-2024</t>
        </is>
      </c>
      <c r="B599" s="1" t="n">
        <v>45540.38564814815</v>
      </c>
      <c r="C599" s="1" t="n">
        <v>46022</v>
      </c>
      <c r="D599" t="inlineStr">
        <is>
          <t>JÄMTLANDS LÄN</t>
        </is>
      </c>
      <c r="E599" t="inlineStr">
        <is>
          <t>RAGUNDA</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18777-2024</t>
        </is>
      </c>
      <c r="B600" s="1" t="n">
        <v>45426</v>
      </c>
      <c r="C600" s="1" t="n">
        <v>46022</v>
      </c>
      <c r="D600" t="inlineStr">
        <is>
          <t>JÄMTLANDS LÄN</t>
        </is>
      </c>
      <c r="E600" t="inlineStr">
        <is>
          <t>RAGUNDA</t>
        </is>
      </c>
      <c r="G600" t="n">
        <v>1.9</v>
      </c>
      <c r="H600" t="n">
        <v>0</v>
      </c>
      <c r="I600" t="n">
        <v>0</v>
      </c>
      <c r="J600" t="n">
        <v>0</v>
      </c>
      <c r="K600" t="n">
        <v>0</v>
      </c>
      <c r="L600" t="n">
        <v>0</v>
      </c>
      <c r="M600" t="n">
        <v>0</v>
      </c>
      <c r="N600" t="n">
        <v>0</v>
      </c>
      <c r="O600" t="n">
        <v>0</v>
      </c>
      <c r="P600" t="n">
        <v>0</v>
      </c>
      <c r="Q600" t="n">
        <v>0</v>
      </c>
      <c r="R600" s="2" t="inlineStr"/>
    </row>
    <row r="601" ht="15" customHeight="1">
      <c r="A601" t="inlineStr">
        <is>
          <t>A 27510-2025</t>
        </is>
      </c>
      <c r="B601" s="1" t="n">
        <v>45813.42790509259</v>
      </c>
      <c r="C601" s="1" t="n">
        <v>46022</v>
      </c>
      <c r="D601" t="inlineStr">
        <is>
          <t>JÄMTLANDS LÄN</t>
        </is>
      </c>
      <c r="E601" t="inlineStr">
        <is>
          <t>RAGUNDA</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19404-2025</t>
        </is>
      </c>
      <c r="B602" s="1" t="n">
        <v>45769.67802083334</v>
      </c>
      <c r="C602" s="1" t="n">
        <v>46022</v>
      </c>
      <c r="D602" t="inlineStr">
        <is>
          <t>JÄMTLANDS LÄN</t>
        </is>
      </c>
      <c r="E602" t="inlineStr">
        <is>
          <t>RAGUNDA</t>
        </is>
      </c>
      <c r="F602" t="inlineStr">
        <is>
          <t>SCA</t>
        </is>
      </c>
      <c r="G602" t="n">
        <v>3</v>
      </c>
      <c r="H602" t="n">
        <v>0</v>
      </c>
      <c r="I602" t="n">
        <v>0</v>
      </c>
      <c r="J602" t="n">
        <v>0</v>
      </c>
      <c r="K602" t="n">
        <v>0</v>
      </c>
      <c r="L602" t="n">
        <v>0</v>
      </c>
      <c r="M602" t="n">
        <v>0</v>
      </c>
      <c r="N602" t="n">
        <v>0</v>
      </c>
      <c r="O602" t="n">
        <v>0</v>
      </c>
      <c r="P602" t="n">
        <v>0</v>
      </c>
      <c r="Q602" t="n">
        <v>0</v>
      </c>
      <c r="R602" s="2" t="inlineStr"/>
      <c r="U602">
        <f>HYPERLINK("https://klasma.github.io/Logging_2303/knärot/A 19404-2025 karta knärot.png", "A 19404-2025")</f>
        <v/>
      </c>
      <c r="V602">
        <f>HYPERLINK("https://klasma.github.io/Logging_2303/klagomål/A 19404-2025 FSC-klagomål.docx", "A 19404-2025")</f>
        <v/>
      </c>
      <c r="W602">
        <f>HYPERLINK("https://klasma.github.io/Logging_2303/klagomålsmail/A 19404-2025 FSC-klagomål mail.docx", "A 19404-2025")</f>
        <v/>
      </c>
      <c r="X602">
        <f>HYPERLINK("https://klasma.github.io/Logging_2303/tillsyn/A 19404-2025 tillsynsbegäran.docx", "A 19404-2025")</f>
        <v/>
      </c>
      <c r="Y602">
        <f>HYPERLINK("https://klasma.github.io/Logging_2303/tillsynsmail/A 19404-2025 tillsynsbegäran mail.docx", "A 19404-2025")</f>
        <v/>
      </c>
    </row>
    <row r="603" ht="15" customHeight="1">
      <c r="A603" t="inlineStr">
        <is>
          <t>A 58564-2024</t>
        </is>
      </c>
      <c r="B603" s="1" t="n">
        <v>45635.47243055556</v>
      </c>
      <c r="C603" s="1" t="n">
        <v>46022</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57561-2025</t>
        </is>
      </c>
      <c r="B604" s="1" t="n">
        <v>45980.69885416667</v>
      </c>
      <c r="C604" s="1" t="n">
        <v>46022</v>
      </c>
      <c r="D604" t="inlineStr">
        <is>
          <t>JÄMTLANDS LÄN</t>
        </is>
      </c>
      <c r="E604" t="inlineStr">
        <is>
          <t>RAGUNDA</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45894-2025</t>
        </is>
      </c>
      <c r="B605" s="1" t="n">
        <v>45923.67765046296</v>
      </c>
      <c r="C605" s="1" t="n">
        <v>46022</v>
      </c>
      <c r="D605" t="inlineStr">
        <is>
          <t>JÄMTLANDS LÄN</t>
        </is>
      </c>
      <c r="E605" t="inlineStr">
        <is>
          <t>RAGUNDA</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8243-2024</t>
        </is>
      </c>
      <c r="B606" s="1" t="n">
        <v>45351.98532407408</v>
      </c>
      <c r="C606" s="1" t="n">
        <v>46022</v>
      </c>
      <c r="D606" t="inlineStr">
        <is>
          <t>JÄMTLANDS LÄN</t>
        </is>
      </c>
      <c r="E606" t="inlineStr">
        <is>
          <t>RAGUNDA</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46192-2025</t>
        </is>
      </c>
      <c r="B607" s="1" t="n">
        <v>45924.67789351852</v>
      </c>
      <c r="C607" s="1" t="n">
        <v>46022</v>
      </c>
      <c r="D607" t="inlineStr">
        <is>
          <t>JÄMTLANDS LÄN</t>
        </is>
      </c>
      <c r="E607" t="inlineStr">
        <is>
          <t>RAGUNDA</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1325-2025</t>
        </is>
      </c>
      <c r="B608" s="1" t="n">
        <v>45667.57342592593</v>
      </c>
      <c r="C608" s="1" t="n">
        <v>46022</v>
      </c>
      <c r="D608" t="inlineStr">
        <is>
          <t>JÄMTLANDS LÄN</t>
        </is>
      </c>
      <c r="E608" t="inlineStr">
        <is>
          <t>RAGUNDA</t>
        </is>
      </c>
      <c r="F608" t="inlineStr">
        <is>
          <t>SCA</t>
        </is>
      </c>
      <c r="G608" t="n">
        <v>20.2</v>
      </c>
      <c r="H608" t="n">
        <v>0</v>
      </c>
      <c r="I608" t="n">
        <v>0</v>
      </c>
      <c r="J608" t="n">
        <v>0</v>
      </c>
      <c r="K608" t="n">
        <v>0</v>
      </c>
      <c r="L608" t="n">
        <v>0</v>
      </c>
      <c r="M608" t="n">
        <v>0</v>
      </c>
      <c r="N608" t="n">
        <v>0</v>
      </c>
      <c r="O608" t="n">
        <v>0</v>
      </c>
      <c r="P608" t="n">
        <v>0</v>
      </c>
      <c r="Q608" t="n">
        <v>0</v>
      </c>
      <c r="R608" s="2" t="inlineStr"/>
    </row>
    <row r="609" ht="15" customHeight="1">
      <c r="A609" t="inlineStr">
        <is>
          <t>A 18159-2023</t>
        </is>
      </c>
      <c r="B609" s="1" t="n">
        <v>45040.94277777777</v>
      </c>
      <c r="C609" s="1" t="n">
        <v>46022</v>
      </c>
      <c r="D609" t="inlineStr">
        <is>
          <t>JÄMTLANDS LÄN</t>
        </is>
      </c>
      <c r="E609" t="inlineStr">
        <is>
          <t>RAGUNDA</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19486-2024</t>
        </is>
      </c>
      <c r="B610" s="1" t="n">
        <v>45429</v>
      </c>
      <c r="C610" s="1" t="n">
        <v>46022</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1326-2025</t>
        </is>
      </c>
      <c r="B611" s="1" t="n">
        <v>45667.57347222222</v>
      </c>
      <c r="C611" s="1" t="n">
        <v>46022</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18989-2025</t>
        </is>
      </c>
      <c r="B612" s="1" t="n">
        <v>45764</v>
      </c>
      <c r="C612" s="1" t="n">
        <v>46022</v>
      </c>
      <c r="D612" t="inlineStr">
        <is>
          <t>JÄMTLANDS LÄN</t>
        </is>
      </c>
      <c r="E612" t="inlineStr">
        <is>
          <t>RAGUNDA</t>
        </is>
      </c>
      <c r="G612" t="n">
        <v>0.9</v>
      </c>
      <c r="H612" t="n">
        <v>0</v>
      </c>
      <c r="I612" t="n">
        <v>0</v>
      </c>
      <c r="J612" t="n">
        <v>0</v>
      </c>
      <c r="K612" t="n">
        <v>0</v>
      </c>
      <c r="L612" t="n">
        <v>0</v>
      </c>
      <c r="M612" t="n">
        <v>0</v>
      </c>
      <c r="N612" t="n">
        <v>0</v>
      </c>
      <c r="O612" t="n">
        <v>0</v>
      </c>
      <c r="P612" t="n">
        <v>0</v>
      </c>
      <c r="Q612" t="n">
        <v>0</v>
      </c>
      <c r="R612" s="2" t="inlineStr"/>
    </row>
    <row r="613" ht="15" customHeight="1">
      <c r="A613" t="inlineStr">
        <is>
          <t>A 30642-2024</t>
        </is>
      </c>
      <c r="B613" s="1" t="n">
        <v>45495.57677083334</v>
      </c>
      <c r="C613" s="1" t="n">
        <v>46022</v>
      </c>
      <c r="D613" t="inlineStr">
        <is>
          <t>JÄMTLANDS LÄN</t>
        </is>
      </c>
      <c r="E613" t="inlineStr">
        <is>
          <t>RAGUNDA</t>
        </is>
      </c>
      <c r="G613" t="n">
        <v>2.7</v>
      </c>
      <c r="H613" t="n">
        <v>0</v>
      </c>
      <c r="I613" t="n">
        <v>0</v>
      </c>
      <c r="J613" t="n">
        <v>0</v>
      </c>
      <c r="K613" t="n">
        <v>0</v>
      </c>
      <c r="L613" t="n">
        <v>0</v>
      </c>
      <c r="M613" t="n">
        <v>0</v>
      </c>
      <c r="N613" t="n">
        <v>0</v>
      </c>
      <c r="O613" t="n">
        <v>0</v>
      </c>
      <c r="P613" t="n">
        <v>0</v>
      </c>
      <c r="Q613" t="n">
        <v>0</v>
      </c>
      <c r="R613" s="2" t="inlineStr"/>
    </row>
    <row r="614" ht="15" customHeight="1">
      <c r="A614" t="inlineStr">
        <is>
          <t>A 46275-2025</t>
        </is>
      </c>
      <c r="B614" s="1" t="n">
        <v>45925.3711574074</v>
      </c>
      <c r="C614" s="1" t="n">
        <v>46022</v>
      </c>
      <c r="D614" t="inlineStr">
        <is>
          <t>JÄMTLANDS LÄN</t>
        </is>
      </c>
      <c r="E614" t="inlineStr">
        <is>
          <t>RAGUNDA</t>
        </is>
      </c>
      <c r="G614" t="n">
        <v>2.7</v>
      </c>
      <c r="H614" t="n">
        <v>0</v>
      </c>
      <c r="I614" t="n">
        <v>0</v>
      </c>
      <c r="J614" t="n">
        <v>0</v>
      </c>
      <c r="K614" t="n">
        <v>0</v>
      </c>
      <c r="L614" t="n">
        <v>0</v>
      </c>
      <c r="M614" t="n">
        <v>0</v>
      </c>
      <c r="N614" t="n">
        <v>0</v>
      </c>
      <c r="O614" t="n">
        <v>0</v>
      </c>
      <c r="P614" t="n">
        <v>0</v>
      </c>
      <c r="Q614" t="n">
        <v>0</v>
      </c>
      <c r="R614" s="2" t="inlineStr"/>
    </row>
    <row r="615" ht="15" customHeight="1">
      <c r="A615" t="inlineStr">
        <is>
          <t>A 993-2025</t>
        </is>
      </c>
      <c r="B615" s="1" t="n">
        <v>45666.44943287037</v>
      </c>
      <c r="C615" s="1" t="n">
        <v>46022</v>
      </c>
      <c r="D615" t="inlineStr">
        <is>
          <t>JÄMTLANDS LÄN</t>
        </is>
      </c>
      <c r="E615" t="inlineStr">
        <is>
          <t>RAGUNDA</t>
        </is>
      </c>
      <c r="G615" t="n">
        <v>11.3</v>
      </c>
      <c r="H615" t="n">
        <v>0</v>
      </c>
      <c r="I615" t="n">
        <v>0</v>
      </c>
      <c r="J615" t="n">
        <v>0</v>
      </c>
      <c r="K615" t="n">
        <v>0</v>
      </c>
      <c r="L615" t="n">
        <v>0</v>
      </c>
      <c r="M615" t="n">
        <v>0</v>
      </c>
      <c r="N615" t="n">
        <v>0</v>
      </c>
      <c r="O615" t="n">
        <v>0</v>
      </c>
      <c r="P615" t="n">
        <v>0</v>
      </c>
      <c r="Q615" t="n">
        <v>0</v>
      </c>
      <c r="R615" s="2" t="inlineStr"/>
    </row>
    <row r="616" ht="15" customHeight="1">
      <c r="A616" t="inlineStr">
        <is>
          <t>A 58193-2022</t>
        </is>
      </c>
      <c r="B616" s="1" t="n">
        <v>44900.95700231481</v>
      </c>
      <c r="C616" s="1" t="n">
        <v>46022</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49238-2025</t>
        </is>
      </c>
      <c r="B617" s="1" t="n">
        <v>45938.48231481481</v>
      </c>
      <c r="C617" s="1" t="n">
        <v>46022</v>
      </c>
      <c r="D617" t="inlineStr">
        <is>
          <t>JÄMTLANDS LÄN</t>
        </is>
      </c>
      <c r="E617" t="inlineStr">
        <is>
          <t>RAGUNDA</t>
        </is>
      </c>
      <c r="G617" t="n">
        <v>4.7</v>
      </c>
      <c r="H617" t="n">
        <v>0</v>
      </c>
      <c r="I617" t="n">
        <v>0</v>
      </c>
      <c r="J617" t="n">
        <v>0</v>
      </c>
      <c r="K617" t="n">
        <v>0</v>
      </c>
      <c r="L617" t="n">
        <v>0</v>
      </c>
      <c r="M617" t="n">
        <v>0</v>
      </c>
      <c r="N617" t="n">
        <v>0</v>
      </c>
      <c r="O617" t="n">
        <v>0</v>
      </c>
      <c r="P617" t="n">
        <v>0</v>
      </c>
      <c r="Q617" t="n">
        <v>0</v>
      </c>
      <c r="R617" s="2" t="inlineStr"/>
    </row>
    <row r="618" ht="15" customHeight="1">
      <c r="A618" t="inlineStr">
        <is>
          <t>A 49290-2025</t>
        </is>
      </c>
      <c r="B618" s="1" t="n">
        <v>45938.53168981482</v>
      </c>
      <c r="C618" s="1" t="n">
        <v>46022</v>
      </c>
      <c r="D618" t="inlineStr">
        <is>
          <t>JÄMTLANDS LÄN</t>
        </is>
      </c>
      <c r="E618" t="inlineStr">
        <is>
          <t>RAGUNDA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49092-2025</t>
        </is>
      </c>
      <c r="B619" s="1" t="n">
        <v>45937.67792824074</v>
      </c>
      <c r="C619" s="1" t="n">
        <v>46022</v>
      </c>
      <c r="D619" t="inlineStr">
        <is>
          <t>JÄMTLANDS LÄN</t>
        </is>
      </c>
      <c r="E619" t="inlineStr">
        <is>
          <t>RAGUNDA</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28081-2022</t>
        </is>
      </c>
      <c r="B620" s="1" t="n">
        <v>44746</v>
      </c>
      <c r="C620" s="1" t="n">
        <v>46022</v>
      </c>
      <c r="D620" t="inlineStr">
        <is>
          <t>JÄMTLANDS LÄN</t>
        </is>
      </c>
      <c r="E620" t="inlineStr">
        <is>
          <t>RAGUNDA</t>
        </is>
      </c>
      <c r="G620" t="n">
        <v>7.2</v>
      </c>
      <c r="H620" t="n">
        <v>0</v>
      </c>
      <c r="I620" t="n">
        <v>0</v>
      </c>
      <c r="J620" t="n">
        <v>0</v>
      </c>
      <c r="K620" t="n">
        <v>0</v>
      </c>
      <c r="L620" t="n">
        <v>0</v>
      </c>
      <c r="M620" t="n">
        <v>0</v>
      </c>
      <c r="N620" t="n">
        <v>0</v>
      </c>
      <c r="O620" t="n">
        <v>0</v>
      </c>
      <c r="P620" t="n">
        <v>0</v>
      </c>
      <c r="Q620" t="n">
        <v>0</v>
      </c>
      <c r="R620" s="2" t="inlineStr"/>
    </row>
    <row r="621" ht="15" customHeight="1">
      <c r="A621" t="inlineStr">
        <is>
          <t>A 46825-2025</t>
        </is>
      </c>
      <c r="B621" s="1" t="n">
        <v>45926.92506944444</v>
      </c>
      <c r="C621" s="1" t="n">
        <v>46022</v>
      </c>
      <c r="D621" t="inlineStr">
        <is>
          <t>JÄMTLANDS LÄN</t>
        </is>
      </c>
      <c r="E621" t="inlineStr">
        <is>
          <t>RAGUNDA</t>
        </is>
      </c>
      <c r="G621" t="n">
        <v>1.4</v>
      </c>
      <c r="H621" t="n">
        <v>0</v>
      </c>
      <c r="I621" t="n">
        <v>0</v>
      </c>
      <c r="J621" t="n">
        <v>0</v>
      </c>
      <c r="K621" t="n">
        <v>0</v>
      </c>
      <c r="L621" t="n">
        <v>0</v>
      </c>
      <c r="M621" t="n">
        <v>0</v>
      </c>
      <c r="N621" t="n">
        <v>0</v>
      </c>
      <c r="O621" t="n">
        <v>0</v>
      </c>
      <c r="P621" t="n">
        <v>0</v>
      </c>
      <c r="Q621" t="n">
        <v>0</v>
      </c>
      <c r="R621" s="2" t="inlineStr"/>
    </row>
    <row r="622" ht="15" customHeight="1">
      <c r="A622" t="inlineStr">
        <is>
          <t>A 46710-2025</t>
        </is>
      </c>
      <c r="B622" s="1" t="n">
        <v>45926.57337962963</v>
      </c>
      <c r="C622" s="1" t="n">
        <v>46022</v>
      </c>
      <c r="D622" t="inlineStr">
        <is>
          <t>JÄMTLANDS LÄN</t>
        </is>
      </c>
      <c r="E622" t="inlineStr">
        <is>
          <t>RAGUNDA</t>
        </is>
      </c>
      <c r="F622" t="inlineStr">
        <is>
          <t>SCA</t>
        </is>
      </c>
      <c r="G622" t="n">
        <v>6</v>
      </c>
      <c r="H622" t="n">
        <v>0</v>
      </c>
      <c r="I622" t="n">
        <v>0</v>
      </c>
      <c r="J622" t="n">
        <v>0</v>
      </c>
      <c r="K622" t="n">
        <v>0</v>
      </c>
      <c r="L622" t="n">
        <v>0</v>
      </c>
      <c r="M622" t="n">
        <v>0</v>
      </c>
      <c r="N622" t="n">
        <v>0</v>
      </c>
      <c r="O622" t="n">
        <v>0</v>
      </c>
      <c r="P622" t="n">
        <v>0</v>
      </c>
      <c r="Q622" t="n">
        <v>0</v>
      </c>
      <c r="R622" s="2" t="inlineStr"/>
    </row>
    <row r="623" ht="15" customHeight="1">
      <c r="A623" t="inlineStr">
        <is>
          <t>A 47075-2025</t>
        </is>
      </c>
      <c r="B623" s="1" t="n">
        <v>45929.63728009259</v>
      </c>
      <c r="C623" s="1" t="n">
        <v>46022</v>
      </c>
      <c r="D623" t="inlineStr">
        <is>
          <t>JÄMTLANDS LÄN</t>
        </is>
      </c>
      <c r="E623" t="inlineStr">
        <is>
          <t>RAGUNDA</t>
        </is>
      </c>
      <c r="F623" t="inlineStr">
        <is>
          <t>SCA</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47119-2025</t>
        </is>
      </c>
      <c r="B624" s="1" t="n">
        <v>45929.67795138889</v>
      </c>
      <c r="C624" s="1" t="n">
        <v>46022</v>
      </c>
      <c r="D624" t="inlineStr">
        <is>
          <t>JÄMTLANDS LÄN</t>
        </is>
      </c>
      <c r="E624" t="inlineStr">
        <is>
          <t>RAGUNDA</t>
        </is>
      </c>
      <c r="F624" t="inlineStr">
        <is>
          <t>SCA</t>
        </is>
      </c>
      <c r="G624" t="n">
        <v>22.7</v>
      </c>
      <c r="H624" t="n">
        <v>0</v>
      </c>
      <c r="I624" t="n">
        <v>0</v>
      </c>
      <c r="J624" t="n">
        <v>0</v>
      </c>
      <c r="K624" t="n">
        <v>0</v>
      </c>
      <c r="L624" t="n">
        <v>0</v>
      </c>
      <c r="M624" t="n">
        <v>0</v>
      </c>
      <c r="N624" t="n">
        <v>0</v>
      </c>
      <c r="O624" t="n">
        <v>0</v>
      </c>
      <c r="P624" t="n">
        <v>0</v>
      </c>
      <c r="Q624" t="n">
        <v>0</v>
      </c>
      <c r="R624" s="2" t="inlineStr"/>
    </row>
    <row r="625" ht="15" customHeight="1">
      <c r="A625" t="inlineStr">
        <is>
          <t>A 46689-2025</t>
        </is>
      </c>
      <c r="B625" s="1" t="n">
        <v>45926.55307870371</v>
      </c>
      <c r="C625" s="1" t="n">
        <v>46022</v>
      </c>
      <c r="D625" t="inlineStr">
        <is>
          <t>JÄMTLANDS LÄN</t>
        </is>
      </c>
      <c r="E625" t="inlineStr">
        <is>
          <t>RAGUNDA</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46909-2025</t>
        </is>
      </c>
      <c r="B626" s="1" t="n">
        <v>45929.40673611111</v>
      </c>
      <c r="C626" s="1" t="n">
        <v>46022</v>
      </c>
      <c r="D626" t="inlineStr">
        <is>
          <t>JÄMTLANDS LÄN</t>
        </is>
      </c>
      <c r="E626" t="inlineStr">
        <is>
          <t>RAGUNDA</t>
        </is>
      </c>
      <c r="G626" t="n">
        <v>5.7</v>
      </c>
      <c r="H626" t="n">
        <v>0</v>
      </c>
      <c r="I626" t="n">
        <v>0</v>
      </c>
      <c r="J626" t="n">
        <v>0</v>
      </c>
      <c r="K626" t="n">
        <v>0</v>
      </c>
      <c r="L626" t="n">
        <v>0</v>
      </c>
      <c r="M626" t="n">
        <v>0</v>
      </c>
      <c r="N626" t="n">
        <v>0</v>
      </c>
      <c r="O626" t="n">
        <v>0</v>
      </c>
      <c r="P626" t="n">
        <v>0</v>
      </c>
      <c r="Q626" t="n">
        <v>0</v>
      </c>
      <c r="R626" s="2" t="inlineStr"/>
    </row>
    <row r="627" ht="15" customHeight="1">
      <c r="A627" t="inlineStr">
        <is>
          <t>A 34088-2025</t>
        </is>
      </c>
      <c r="B627" s="1" t="n">
        <v>45845</v>
      </c>
      <c r="C627" s="1" t="n">
        <v>46022</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47122-2025</t>
        </is>
      </c>
      <c r="B628" s="1" t="n">
        <v>45929.67878472222</v>
      </c>
      <c r="C628" s="1" t="n">
        <v>46022</v>
      </c>
      <c r="D628" t="inlineStr">
        <is>
          <t>JÄMTLANDS LÄN</t>
        </is>
      </c>
      <c r="E628" t="inlineStr">
        <is>
          <t>RAGUNDA</t>
        </is>
      </c>
      <c r="F628" t="inlineStr">
        <is>
          <t>SCA</t>
        </is>
      </c>
      <c r="G628" t="n">
        <v>31.1</v>
      </c>
      <c r="H628" t="n">
        <v>0</v>
      </c>
      <c r="I628" t="n">
        <v>0</v>
      </c>
      <c r="J628" t="n">
        <v>0</v>
      </c>
      <c r="K628" t="n">
        <v>0</v>
      </c>
      <c r="L628" t="n">
        <v>0</v>
      </c>
      <c r="M628" t="n">
        <v>0</v>
      </c>
      <c r="N628" t="n">
        <v>0</v>
      </c>
      <c r="O628" t="n">
        <v>0</v>
      </c>
      <c r="P628" t="n">
        <v>0</v>
      </c>
      <c r="Q628" t="n">
        <v>0</v>
      </c>
      <c r="R628" s="2" t="inlineStr"/>
    </row>
    <row r="629" ht="15" customHeight="1">
      <c r="A629" t="inlineStr">
        <is>
          <t>A 46974-2025</t>
        </is>
      </c>
      <c r="B629" s="1" t="n">
        <v>45929.51104166666</v>
      </c>
      <c r="C629" s="1" t="n">
        <v>46022</v>
      </c>
      <c r="D629" t="inlineStr">
        <is>
          <t>JÄMTLANDS LÄN</t>
        </is>
      </c>
      <c r="E629" t="inlineStr">
        <is>
          <t>RAGUNDA</t>
        </is>
      </c>
      <c r="F629" t="inlineStr">
        <is>
          <t>SCA</t>
        </is>
      </c>
      <c r="G629" t="n">
        <v>12.1</v>
      </c>
      <c r="H629" t="n">
        <v>0</v>
      </c>
      <c r="I629" t="n">
        <v>0</v>
      </c>
      <c r="J629" t="n">
        <v>0</v>
      </c>
      <c r="K629" t="n">
        <v>0</v>
      </c>
      <c r="L629" t="n">
        <v>0</v>
      </c>
      <c r="M629" t="n">
        <v>0</v>
      </c>
      <c r="N629" t="n">
        <v>0</v>
      </c>
      <c r="O629" t="n">
        <v>0</v>
      </c>
      <c r="P629" t="n">
        <v>0</v>
      </c>
      <c r="Q629" t="n">
        <v>0</v>
      </c>
      <c r="R629" s="2" t="inlineStr"/>
    </row>
    <row r="630" ht="15" customHeight="1">
      <c r="A630" t="inlineStr">
        <is>
          <t>A 46751-2025</t>
        </is>
      </c>
      <c r="B630" s="1" t="n">
        <v>45926.6153125</v>
      </c>
      <c r="C630" s="1" t="n">
        <v>46022</v>
      </c>
      <c r="D630" t="inlineStr">
        <is>
          <t>JÄMTLANDS LÄN</t>
        </is>
      </c>
      <c r="E630" t="inlineStr">
        <is>
          <t>RAGUNDA</t>
        </is>
      </c>
      <c r="F630" t="inlineStr">
        <is>
          <t>SCA</t>
        </is>
      </c>
      <c r="G630" t="n">
        <v>7.8</v>
      </c>
      <c r="H630" t="n">
        <v>0</v>
      </c>
      <c r="I630" t="n">
        <v>0</v>
      </c>
      <c r="J630" t="n">
        <v>0</v>
      </c>
      <c r="K630" t="n">
        <v>0</v>
      </c>
      <c r="L630" t="n">
        <v>0</v>
      </c>
      <c r="M630" t="n">
        <v>0</v>
      </c>
      <c r="N630" t="n">
        <v>0</v>
      </c>
      <c r="O630" t="n">
        <v>0</v>
      </c>
      <c r="P630" t="n">
        <v>0</v>
      </c>
      <c r="Q630" t="n">
        <v>0</v>
      </c>
      <c r="R630" s="2" t="inlineStr"/>
    </row>
    <row r="631" ht="15" customHeight="1">
      <c r="A631" t="inlineStr">
        <is>
          <t>A 46753-2025</t>
        </is>
      </c>
      <c r="B631" s="1" t="n">
        <v>45926.61552083334</v>
      </c>
      <c r="C631" s="1" t="n">
        <v>46022</v>
      </c>
      <c r="D631" t="inlineStr">
        <is>
          <t>JÄMTLANDS LÄN</t>
        </is>
      </c>
      <c r="E631" t="inlineStr">
        <is>
          <t>RAGUNDA</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51049-2024</t>
        </is>
      </c>
      <c r="B632" s="1" t="n">
        <v>45603.44644675926</v>
      </c>
      <c r="C632" s="1" t="n">
        <v>46022</v>
      </c>
      <c r="D632" t="inlineStr">
        <is>
          <t>JÄMTLANDS LÄN</t>
        </is>
      </c>
      <c r="E632" t="inlineStr">
        <is>
          <t>RAGUNDA</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44759-2024</t>
        </is>
      </c>
      <c r="B633" s="1" t="n">
        <v>45574.61634259259</v>
      </c>
      <c r="C633" s="1" t="n">
        <v>46022</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37324-2022</t>
        </is>
      </c>
      <c r="B634" s="1" t="n">
        <v>44806</v>
      </c>
      <c r="C634" s="1" t="n">
        <v>46022</v>
      </c>
      <c r="D634" t="inlineStr">
        <is>
          <t>JÄMTLANDS LÄN</t>
        </is>
      </c>
      <c r="E634" t="inlineStr">
        <is>
          <t>RAGUNDA</t>
        </is>
      </c>
      <c r="G634" t="n">
        <v>2.3</v>
      </c>
      <c r="H634" t="n">
        <v>0</v>
      </c>
      <c r="I634" t="n">
        <v>0</v>
      </c>
      <c r="J634" t="n">
        <v>0</v>
      </c>
      <c r="K634" t="n">
        <v>0</v>
      </c>
      <c r="L634" t="n">
        <v>0</v>
      </c>
      <c r="M634" t="n">
        <v>0</v>
      </c>
      <c r="N634" t="n">
        <v>0</v>
      </c>
      <c r="O634" t="n">
        <v>0</v>
      </c>
      <c r="P634" t="n">
        <v>0</v>
      </c>
      <c r="Q634" t="n">
        <v>0</v>
      </c>
      <c r="R634" s="2" t="inlineStr"/>
    </row>
    <row r="635" ht="15" customHeight="1">
      <c r="A635" t="inlineStr">
        <is>
          <t>A 47037-2025</t>
        </is>
      </c>
      <c r="B635" s="1" t="n">
        <v>45929.59456018519</v>
      </c>
      <c r="C635" s="1" t="n">
        <v>46022</v>
      </c>
      <c r="D635" t="inlineStr">
        <is>
          <t>JÄMTLANDS LÄN</t>
        </is>
      </c>
      <c r="E635" t="inlineStr">
        <is>
          <t>RAGUNDA</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41343-2024</t>
        </is>
      </c>
      <c r="B636" s="1" t="n">
        <v>45559.67745370371</v>
      </c>
      <c r="C636" s="1" t="n">
        <v>46022</v>
      </c>
      <c r="D636" t="inlineStr">
        <is>
          <t>JÄMTLANDS LÄN</t>
        </is>
      </c>
      <c r="E636" t="inlineStr">
        <is>
          <t>RAGUNDA</t>
        </is>
      </c>
      <c r="F636" t="inlineStr">
        <is>
          <t>SCA</t>
        </is>
      </c>
      <c r="G636" t="n">
        <v>25.1</v>
      </c>
      <c r="H636" t="n">
        <v>0</v>
      </c>
      <c r="I636" t="n">
        <v>0</v>
      </c>
      <c r="J636" t="n">
        <v>0</v>
      </c>
      <c r="K636" t="n">
        <v>0</v>
      </c>
      <c r="L636" t="n">
        <v>0</v>
      </c>
      <c r="M636" t="n">
        <v>0</v>
      </c>
      <c r="N636" t="n">
        <v>0</v>
      </c>
      <c r="O636" t="n">
        <v>0</v>
      </c>
      <c r="P636" t="n">
        <v>0</v>
      </c>
      <c r="Q636" t="n">
        <v>0</v>
      </c>
      <c r="R636" s="2" t="inlineStr"/>
    </row>
    <row r="637" ht="15" customHeight="1">
      <c r="A637" t="inlineStr">
        <is>
          <t>A 45953-2023</t>
        </is>
      </c>
      <c r="B637" s="1" t="n">
        <v>45195.94672453704</v>
      </c>
      <c r="C637" s="1" t="n">
        <v>46022</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16982-2024</t>
        </is>
      </c>
      <c r="B638" s="1" t="n">
        <v>45412.02506944445</v>
      </c>
      <c r="C638" s="1" t="n">
        <v>46022</v>
      </c>
      <c r="D638" t="inlineStr">
        <is>
          <t>JÄMTLANDS LÄN</t>
        </is>
      </c>
      <c r="E638" t="inlineStr">
        <is>
          <t>RAGUNDA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28637-2025</t>
        </is>
      </c>
      <c r="B639" s="1" t="n">
        <v>45819.6359375</v>
      </c>
      <c r="C639" s="1" t="n">
        <v>46022</v>
      </c>
      <c r="D639" t="inlineStr">
        <is>
          <t>JÄMTLANDS LÄN</t>
        </is>
      </c>
      <c r="E639" t="inlineStr">
        <is>
          <t>RAGUNDA</t>
        </is>
      </c>
      <c r="F639" t="inlineStr">
        <is>
          <t>SCA</t>
        </is>
      </c>
      <c r="G639" t="n">
        <v>6.6</v>
      </c>
      <c r="H639" t="n">
        <v>0</v>
      </c>
      <c r="I639" t="n">
        <v>0</v>
      </c>
      <c r="J639" t="n">
        <v>0</v>
      </c>
      <c r="K639" t="n">
        <v>0</v>
      </c>
      <c r="L639" t="n">
        <v>0</v>
      </c>
      <c r="M639" t="n">
        <v>0</v>
      </c>
      <c r="N639" t="n">
        <v>0</v>
      </c>
      <c r="O639" t="n">
        <v>0</v>
      </c>
      <c r="P639" t="n">
        <v>0</v>
      </c>
      <c r="Q639" t="n">
        <v>0</v>
      </c>
      <c r="R639" s="2" t="inlineStr"/>
    </row>
    <row r="640" ht="15" customHeight="1">
      <c r="A640" t="inlineStr">
        <is>
          <t>A 49650-2024</t>
        </is>
      </c>
      <c r="B640" s="1" t="n">
        <v>45596.61569444444</v>
      </c>
      <c r="C640" s="1" t="n">
        <v>46022</v>
      </c>
      <c r="D640" t="inlineStr">
        <is>
          <t>JÄMTLANDS LÄN</t>
        </is>
      </c>
      <c r="E640" t="inlineStr">
        <is>
          <t>RAGUNDA</t>
        </is>
      </c>
      <c r="F640" t="inlineStr">
        <is>
          <t>Naturvårdsverket</t>
        </is>
      </c>
      <c r="G640" t="n">
        <v>3</v>
      </c>
      <c r="H640" t="n">
        <v>0</v>
      </c>
      <c r="I640" t="n">
        <v>0</v>
      </c>
      <c r="J640" t="n">
        <v>0</v>
      </c>
      <c r="K640" t="n">
        <v>0</v>
      </c>
      <c r="L640" t="n">
        <v>0</v>
      </c>
      <c r="M640" t="n">
        <v>0</v>
      </c>
      <c r="N640" t="n">
        <v>0</v>
      </c>
      <c r="O640" t="n">
        <v>0</v>
      </c>
      <c r="P640" t="n">
        <v>0</v>
      </c>
      <c r="Q640" t="n">
        <v>0</v>
      </c>
      <c r="R640" s="2" t="inlineStr"/>
    </row>
    <row r="641" ht="15" customHeight="1">
      <c r="A641" t="inlineStr">
        <is>
          <t>A 49651-2024</t>
        </is>
      </c>
      <c r="B641" s="1" t="n">
        <v>45596.61582175926</v>
      </c>
      <c r="C641" s="1" t="n">
        <v>46022</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19438-2023</t>
        </is>
      </c>
      <c r="B642" s="1" t="n">
        <v>45049</v>
      </c>
      <c r="C642" s="1" t="n">
        <v>46022</v>
      </c>
      <c r="D642" t="inlineStr">
        <is>
          <t>JÄMTLANDS LÄN</t>
        </is>
      </c>
      <c r="E642" t="inlineStr">
        <is>
          <t>RAGUNDA</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47749-2025</t>
        </is>
      </c>
      <c r="B643" s="1" t="n">
        <v>45931.65711805555</v>
      </c>
      <c r="C643" s="1" t="n">
        <v>46022</v>
      </c>
      <c r="D643" t="inlineStr">
        <is>
          <t>JÄMTLANDS LÄN</t>
        </is>
      </c>
      <c r="E643" t="inlineStr">
        <is>
          <t>RAGUNDA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47228-2025</t>
        </is>
      </c>
      <c r="B644" s="1" t="n">
        <v>45930.3990162037</v>
      </c>
      <c r="C644" s="1" t="n">
        <v>46022</v>
      </c>
      <c r="D644" t="inlineStr">
        <is>
          <t>JÄMTLANDS LÄN</t>
        </is>
      </c>
      <c r="E644" t="inlineStr">
        <is>
          <t>RAGUNDA</t>
        </is>
      </c>
      <c r="G644" t="n">
        <v>2.6</v>
      </c>
      <c r="H644" t="n">
        <v>0</v>
      </c>
      <c r="I644" t="n">
        <v>0</v>
      </c>
      <c r="J644" t="n">
        <v>0</v>
      </c>
      <c r="K644" t="n">
        <v>0</v>
      </c>
      <c r="L644" t="n">
        <v>0</v>
      </c>
      <c r="M644" t="n">
        <v>0</v>
      </c>
      <c r="N644" t="n">
        <v>0</v>
      </c>
      <c r="O644" t="n">
        <v>0</v>
      </c>
      <c r="P644" t="n">
        <v>0</v>
      </c>
      <c r="Q644" t="n">
        <v>0</v>
      </c>
      <c r="R644" s="2" t="inlineStr"/>
    </row>
    <row r="645" ht="15" customHeight="1">
      <c r="A645" t="inlineStr">
        <is>
          <t>A 28973-2025</t>
        </is>
      </c>
      <c r="B645" s="1" t="n">
        <v>45821.34513888889</v>
      </c>
      <c r="C645" s="1" t="n">
        <v>46022</v>
      </c>
      <c r="D645" t="inlineStr">
        <is>
          <t>JÄMTLANDS LÄN</t>
        </is>
      </c>
      <c r="E645" t="inlineStr">
        <is>
          <t>RAGUNDA</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50215-2025</t>
        </is>
      </c>
      <c r="B646" s="1" t="n">
        <v>45943.67842592593</v>
      </c>
      <c r="C646" s="1" t="n">
        <v>46022</v>
      </c>
      <c r="D646" t="inlineStr">
        <is>
          <t>JÄMTLANDS LÄN</t>
        </is>
      </c>
      <c r="E646" t="inlineStr">
        <is>
          <t>RAGUNDA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64264-2023</t>
        </is>
      </c>
      <c r="B647" s="1" t="n">
        <v>45279.94564814815</v>
      </c>
      <c r="C647" s="1" t="n">
        <v>46022</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29731-2025</t>
        </is>
      </c>
      <c r="B648" s="1" t="n">
        <v>45825.58252314815</v>
      </c>
      <c r="C648" s="1" t="n">
        <v>46022</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58093-2025</t>
        </is>
      </c>
      <c r="B649" s="1" t="n">
        <v>45982.5741087963</v>
      </c>
      <c r="C649" s="1" t="n">
        <v>46022</v>
      </c>
      <c r="D649" t="inlineStr">
        <is>
          <t>JÄMTLANDS LÄN</t>
        </is>
      </c>
      <c r="E649" t="inlineStr">
        <is>
          <t>RAGUNDA</t>
        </is>
      </c>
      <c r="G649" t="n">
        <v>22.2</v>
      </c>
      <c r="H649" t="n">
        <v>0</v>
      </c>
      <c r="I649" t="n">
        <v>0</v>
      </c>
      <c r="J649" t="n">
        <v>0</v>
      </c>
      <c r="K649" t="n">
        <v>0</v>
      </c>
      <c r="L649" t="n">
        <v>0</v>
      </c>
      <c r="M649" t="n">
        <v>0</v>
      </c>
      <c r="N649" t="n">
        <v>0</v>
      </c>
      <c r="O649" t="n">
        <v>0</v>
      </c>
      <c r="P649" t="n">
        <v>0</v>
      </c>
      <c r="Q649" t="n">
        <v>0</v>
      </c>
      <c r="R649" s="2" t="inlineStr"/>
    </row>
    <row r="650" ht="15" customHeight="1">
      <c r="A650" t="inlineStr">
        <is>
          <t>A 42893-2022</t>
        </is>
      </c>
      <c r="B650" s="1" t="n">
        <v>44832</v>
      </c>
      <c r="C650" s="1" t="n">
        <v>46022</v>
      </c>
      <c r="D650" t="inlineStr">
        <is>
          <t>JÄMTLANDS LÄN</t>
        </is>
      </c>
      <c r="E650" t="inlineStr">
        <is>
          <t>RAGUNDA</t>
        </is>
      </c>
      <c r="F650" t="inlineStr">
        <is>
          <t>SCA</t>
        </is>
      </c>
      <c r="G650" t="n">
        <v>28.4</v>
      </c>
      <c r="H650" t="n">
        <v>0</v>
      </c>
      <c r="I650" t="n">
        <v>0</v>
      </c>
      <c r="J650" t="n">
        <v>0</v>
      </c>
      <c r="K650" t="n">
        <v>0</v>
      </c>
      <c r="L650" t="n">
        <v>0</v>
      </c>
      <c r="M650" t="n">
        <v>0</v>
      </c>
      <c r="N650" t="n">
        <v>0</v>
      </c>
      <c r="O650" t="n">
        <v>0</v>
      </c>
      <c r="P650" t="n">
        <v>0</v>
      </c>
      <c r="Q650" t="n">
        <v>0</v>
      </c>
      <c r="R650" s="2" t="inlineStr"/>
    </row>
    <row r="651" ht="15" customHeight="1">
      <c r="A651" t="inlineStr">
        <is>
          <t>A 29723-2025</t>
        </is>
      </c>
      <c r="B651" s="1" t="n">
        <v>45825.57675925926</v>
      </c>
      <c r="C651" s="1" t="n">
        <v>46022</v>
      </c>
      <c r="D651" t="inlineStr">
        <is>
          <t>JÄMTLANDS LÄN</t>
        </is>
      </c>
      <c r="E651" t="inlineStr">
        <is>
          <t>RAGUNDA</t>
        </is>
      </c>
      <c r="G651" t="n">
        <v>3.1</v>
      </c>
      <c r="H651" t="n">
        <v>0</v>
      </c>
      <c r="I651" t="n">
        <v>0</v>
      </c>
      <c r="J651" t="n">
        <v>0</v>
      </c>
      <c r="K651" t="n">
        <v>0</v>
      </c>
      <c r="L651" t="n">
        <v>0</v>
      </c>
      <c r="M651" t="n">
        <v>0</v>
      </c>
      <c r="N651" t="n">
        <v>0</v>
      </c>
      <c r="O651" t="n">
        <v>0</v>
      </c>
      <c r="P651" t="n">
        <v>0</v>
      </c>
      <c r="Q651" t="n">
        <v>0</v>
      </c>
      <c r="R651" s="2" t="inlineStr"/>
    </row>
    <row r="652" ht="15" customHeight="1">
      <c r="A652" t="inlineStr">
        <is>
          <t>A 29940-2023</t>
        </is>
      </c>
      <c r="B652" s="1" t="n">
        <v>45107</v>
      </c>
      <c r="C652" s="1" t="n">
        <v>46022</v>
      </c>
      <c r="D652" t="inlineStr">
        <is>
          <t>JÄMTLANDS LÄN</t>
        </is>
      </c>
      <c r="E652" t="inlineStr">
        <is>
          <t>RAGUNDA</t>
        </is>
      </c>
      <c r="G652" t="n">
        <v>13.5</v>
      </c>
      <c r="H652" t="n">
        <v>0</v>
      </c>
      <c r="I652" t="n">
        <v>0</v>
      </c>
      <c r="J652" t="n">
        <v>0</v>
      </c>
      <c r="K652" t="n">
        <v>0</v>
      </c>
      <c r="L652" t="n">
        <v>0</v>
      </c>
      <c r="M652" t="n">
        <v>0</v>
      </c>
      <c r="N652" t="n">
        <v>0</v>
      </c>
      <c r="O652" t="n">
        <v>0</v>
      </c>
      <c r="P652" t="n">
        <v>0</v>
      </c>
      <c r="Q652" t="n">
        <v>0</v>
      </c>
      <c r="R652" s="2" t="inlineStr"/>
    </row>
    <row r="653" ht="15" customHeight="1">
      <c r="A653" t="inlineStr">
        <is>
          <t>A 30088-2025</t>
        </is>
      </c>
      <c r="B653" s="1" t="n">
        <v>45826.65759259259</v>
      </c>
      <c r="C653" s="1" t="n">
        <v>46022</v>
      </c>
      <c r="D653" t="inlineStr">
        <is>
          <t>JÄMTLANDS LÄN</t>
        </is>
      </c>
      <c r="E653" t="inlineStr">
        <is>
          <t>RAGUNDA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30348-2025</t>
        </is>
      </c>
      <c r="B654" s="1" t="n">
        <v>45827.53178240741</v>
      </c>
      <c r="C654" s="1" t="n">
        <v>46022</v>
      </c>
      <c r="D654" t="inlineStr">
        <is>
          <t>JÄMTLANDS LÄN</t>
        </is>
      </c>
      <c r="E654" t="inlineStr">
        <is>
          <t>RAGUNDA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30434-2025</t>
        </is>
      </c>
      <c r="B655" s="1" t="n">
        <v>45827.63582175926</v>
      </c>
      <c r="C655" s="1" t="n">
        <v>46022</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58076-2025</t>
        </is>
      </c>
      <c r="B656" s="1" t="n">
        <v>45982.55273148148</v>
      </c>
      <c r="C656" s="1" t="n">
        <v>46022</v>
      </c>
      <c r="D656" t="inlineStr">
        <is>
          <t>JÄMTLANDS LÄN</t>
        </is>
      </c>
      <c r="E656" t="inlineStr">
        <is>
          <t>RAGUNDA</t>
        </is>
      </c>
      <c r="G656" t="n">
        <v>0.1</v>
      </c>
      <c r="H656" t="n">
        <v>0</v>
      </c>
      <c r="I656" t="n">
        <v>0</v>
      </c>
      <c r="J656" t="n">
        <v>0</v>
      </c>
      <c r="K656" t="n">
        <v>0</v>
      </c>
      <c r="L656" t="n">
        <v>0</v>
      </c>
      <c r="M656" t="n">
        <v>0</v>
      </c>
      <c r="N656" t="n">
        <v>0</v>
      </c>
      <c r="O656" t="n">
        <v>0</v>
      </c>
      <c r="P656" t="n">
        <v>0</v>
      </c>
      <c r="Q656" t="n">
        <v>0</v>
      </c>
      <c r="R656" s="2" t="inlineStr"/>
    </row>
    <row r="657" ht="15" customHeight="1">
      <c r="A657" t="inlineStr">
        <is>
          <t>A 49991-2025</t>
        </is>
      </c>
      <c r="B657" s="1" t="n">
        <v>45942.91568287037</v>
      </c>
      <c r="C657" s="1" t="n">
        <v>46022</v>
      </c>
      <c r="D657" t="inlineStr">
        <is>
          <t>JÄMTLANDS LÄN</t>
        </is>
      </c>
      <c r="E657" t="inlineStr">
        <is>
          <t>RAGUNDA</t>
        </is>
      </c>
      <c r="G657" t="n">
        <v>9</v>
      </c>
      <c r="H657" t="n">
        <v>0</v>
      </c>
      <c r="I657" t="n">
        <v>0</v>
      </c>
      <c r="J657" t="n">
        <v>0</v>
      </c>
      <c r="K657" t="n">
        <v>0</v>
      </c>
      <c r="L657" t="n">
        <v>0</v>
      </c>
      <c r="M657" t="n">
        <v>0</v>
      </c>
      <c r="N657" t="n">
        <v>0</v>
      </c>
      <c r="O657" t="n">
        <v>0</v>
      </c>
      <c r="P657" t="n">
        <v>0</v>
      </c>
      <c r="Q657" t="n">
        <v>0</v>
      </c>
      <c r="R657" s="2" t="inlineStr"/>
    </row>
    <row r="658" ht="15" customHeight="1">
      <c r="A658" t="inlineStr">
        <is>
          <t>A 49993-2025</t>
        </is>
      </c>
      <c r="B658" s="1" t="n">
        <v>45942.94371527778</v>
      </c>
      <c r="C658" s="1" t="n">
        <v>46022</v>
      </c>
      <c r="D658" t="inlineStr">
        <is>
          <t>JÄMTLANDS LÄN</t>
        </is>
      </c>
      <c r="E658" t="inlineStr">
        <is>
          <t>RAGUNDA</t>
        </is>
      </c>
      <c r="G658" t="n">
        <v>1.5</v>
      </c>
      <c r="H658" t="n">
        <v>0</v>
      </c>
      <c r="I658" t="n">
        <v>0</v>
      </c>
      <c r="J658" t="n">
        <v>0</v>
      </c>
      <c r="K658" t="n">
        <v>0</v>
      </c>
      <c r="L658" t="n">
        <v>0</v>
      </c>
      <c r="M658" t="n">
        <v>0</v>
      </c>
      <c r="N658" t="n">
        <v>0</v>
      </c>
      <c r="O658" t="n">
        <v>0</v>
      </c>
      <c r="P658" t="n">
        <v>0</v>
      </c>
      <c r="Q658" t="n">
        <v>0</v>
      </c>
      <c r="R658" s="2" t="inlineStr"/>
    </row>
    <row r="659" ht="15" customHeight="1">
      <c r="A659" t="inlineStr">
        <is>
          <t>A 23303-2024</t>
        </is>
      </c>
      <c r="B659" s="1" t="n">
        <v>45453.4444212963</v>
      </c>
      <c r="C659" s="1" t="n">
        <v>46022</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179-2025</t>
        </is>
      </c>
      <c r="B660" s="1" t="n">
        <v>45659.69822916666</v>
      </c>
      <c r="C660" s="1" t="n">
        <v>46022</v>
      </c>
      <c r="D660" t="inlineStr">
        <is>
          <t>JÄMTLANDS LÄN</t>
        </is>
      </c>
      <c r="E660" t="inlineStr">
        <is>
          <t>RAGUNDA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57970-2025</t>
        </is>
      </c>
      <c r="B661" s="1" t="n">
        <v>45982.38582175926</v>
      </c>
      <c r="C661" s="1" t="n">
        <v>46022</v>
      </c>
      <c r="D661" t="inlineStr">
        <is>
          <t>JÄMTLANDS LÄN</t>
        </is>
      </c>
      <c r="E661" t="inlineStr">
        <is>
          <t>RAGUNDA</t>
        </is>
      </c>
      <c r="G661" t="n">
        <v>4.9</v>
      </c>
      <c r="H661" t="n">
        <v>0</v>
      </c>
      <c r="I661" t="n">
        <v>0</v>
      </c>
      <c r="J661" t="n">
        <v>0</v>
      </c>
      <c r="K661" t="n">
        <v>0</v>
      </c>
      <c r="L661" t="n">
        <v>0</v>
      </c>
      <c r="M661" t="n">
        <v>0</v>
      </c>
      <c r="N661" t="n">
        <v>0</v>
      </c>
      <c r="O661" t="n">
        <v>0</v>
      </c>
      <c r="P661" t="n">
        <v>0</v>
      </c>
      <c r="Q661" t="n">
        <v>0</v>
      </c>
      <c r="R661" s="2" t="inlineStr"/>
    </row>
    <row r="662" ht="15" customHeight="1">
      <c r="A662" t="inlineStr">
        <is>
          <t>A 31463-2024</t>
        </is>
      </c>
      <c r="B662" s="1" t="n">
        <v>45505</v>
      </c>
      <c r="C662" s="1" t="n">
        <v>46022</v>
      </c>
      <c r="D662" t="inlineStr">
        <is>
          <t>JÄMTLANDS LÄN</t>
        </is>
      </c>
      <c r="E662" t="inlineStr">
        <is>
          <t>RAGUNDA</t>
        </is>
      </c>
      <c r="F662" t="inlineStr">
        <is>
          <t>SCA</t>
        </is>
      </c>
      <c r="G662" t="n">
        <v>20.3</v>
      </c>
      <c r="H662" t="n">
        <v>0</v>
      </c>
      <c r="I662" t="n">
        <v>0</v>
      </c>
      <c r="J662" t="n">
        <v>0</v>
      </c>
      <c r="K662" t="n">
        <v>0</v>
      </c>
      <c r="L662" t="n">
        <v>0</v>
      </c>
      <c r="M662" t="n">
        <v>0</v>
      </c>
      <c r="N662" t="n">
        <v>0</v>
      </c>
      <c r="O662" t="n">
        <v>0</v>
      </c>
      <c r="P662" t="n">
        <v>0</v>
      </c>
      <c r="Q662" t="n">
        <v>0</v>
      </c>
      <c r="R662" s="2" t="inlineStr"/>
    </row>
    <row r="663" ht="15" customHeight="1">
      <c r="A663" t="inlineStr">
        <is>
          <t>A 49994-2025</t>
        </is>
      </c>
      <c r="B663" s="1" t="n">
        <v>45942.96922453704</v>
      </c>
      <c r="C663" s="1" t="n">
        <v>46022</v>
      </c>
      <c r="D663" t="inlineStr">
        <is>
          <t>JÄMTLANDS LÄN</t>
        </is>
      </c>
      <c r="E663" t="inlineStr">
        <is>
          <t>RAGUNDA</t>
        </is>
      </c>
      <c r="G663" t="n">
        <v>4.5</v>
      </c>
      <c r="H663" t="n">
        <v>0</v>
      </c>
      <c r="I663" t="n">
        <v>0</v>
      </c>
      <c r="J663" t="n">
        <v>0</v>
      </c>
      <c r="K663" t="n">
        <v>0</v>
      </c>
      <c r="L663" t="n">
        <v>0</v>
      </c>
      <c r="M663" t="n">
        <v>0</v>
      </c>
      <c r="N663" t="n">
        <v>0</v>
      </c>
      <c r="O663" t="n">
        <v>0</v>
      </c>
      <c r="P663" t="n">
        <v>0</v>
      </c>
      <c r="Q663" t="n">
        <v>0</v>
      </c>
      <c r="R663" s="2" t="inlineStr"/>
    </row>
    <row r="664" ht="15" customHeight="1">
      <c r="A664" t="inlineStr">
        <is>
          <t>A 49995-2025</t>
        </is>
      </c>
      <c r="B664" s="1" t="n">
        <v>45943.00986111111</v>
      </c>
      <c r="C664" s="1" t="n">
        <v>46022</v>
      </c>
      <c r="D664" t="inlineStr">
        <is>
          <t>JÄMTLANDS LÄN</t>
        </is>
      </c>
      <c r="E664" t="inlineStr">
        <is>
          <t>RAGUNDA</t>
        </is>
      </c>
      <c r="G664" t="n">
        <v>2.5</v>
      </c>
      <c r="H664" t="n">
        <v>0</v>
      </c>
      <c r="I664" t="n">
        <v>0</v>
      </c>
      <c r="J664" t="n">
        <v>0</v>
      </c>
      <c r="K664" t="n">
        <v>0</v>
      </c>
      <c r="L664" t="n">
        <v>0</v>
      </c>
      <c r="M664" t="n">
        <v>0</v>
      </c>
      <c r="N664" t="n">
        <v>0</v>
      </c>
      <c r="O664" t="n">
        <v>0</v>
      </c>
      <c r="P664" t="n">
        <v>0</v>
      </c>
      <c r="Q664" t="n">
        <v>0</v>
      </c>
      <c r="R664" s="2" t="inlineStr"/>
    </row>
    <row r="665" ht="15" customHeight="1">
      <c r="A665" t="inlineStr">
        <is>
          <t>A 22412-2024</t>
        </is>
      </c>
      <c r="B665" s="1" t="n">
        <v>45446.68947916666</v>
      </c>
      <c r="C665" s="1" t="n">
        <v>46022</v>
      </c>
      <c r="D665" t="inlineStr">
        <is>
          <t>JÄMTLANDS LÄN</t>
        </is>
      </c>
      <c r="E665" t="inlineStr">
        <is>
          <t>RAGUNDA</t>
        </is>
      </c>
      <c r="G665" t="n">
        <v>0.8</v>
      </c>
      <c r="H665" t="n">
        <v>0</v>
      </c>
      <c r="I665" t="n">
        <v>0</v>
      </c>
      <c r="J665" t="n">
        <v>0</v>
      </c>
      <c r="K665" t="n">
        <v>0</v>
      </c>
      <c r="L665" t="n">
        <v>0</v>
      </c>
      <c r="M665" t="n">
        <v>0</v>
      </c>
      <c r="N665" t="n">
        <v>0</v>
      </c>
      <c r="O665" t="n">
        <v>0</v>
      </c>
      <c r="P665" t="n">
        <v>0</v>
      </c>
      <c r="Q665" t="n">
        <v>0</v>
      </c>
      <c r="R665" s="2" t="inlineStr"/>
    </row>
    <row r="666" ht="15" customHeight="1">
      <c r="A666" t="inlineStr">
        <is>
          <t>A 57963-2025</t>
        </is>
      </c>
      <c r="B666" s="1" t="n">
        <v>45982.37800925926</v>
      </c>
      <c r="C666" s="1" t="n">
        <v>46022</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13334-2024</t>
        </is>
      </c>
      <c r="B667" s="1" t="n">
        <v>45386</v>
      </c>
      <c r="C667" s="1" t="n">
        <v>46022</v>
      </c>
      <c r="D667" t="inlineStr">
        <is>
          <t>JÄMTLANDS LÄN</t>
        </is>
      </c>
      <c r="E667" t="inlineStr">
        <is>
          <t>RAGUNDA</t>
        </is>
      </c>
      <c r="G667" t="n">
        <v>8.6</v>
      </c>
      <c r="H667" t="n">
        <v>0</v>
      </c>
      <c r="I667" t="n">
        <v>0</v>
      </c>
      <c r="J667" t="n">
        <v>0</v>
      </c>
      <c r="K667" t="n">
        <v>0</v>
      </c>
      <c r="L667" t="n">
        <v>0</v>
      </c>
      <c r="M667" t="n">
        <v>0</v>
      </c>
      <c r="N667" t="n">
        <v>0</v>
      </c>
      <c r="O667" t="n">
        <v>0</v>
      </c>
      <c r="P667" t="n">
        <v>0</v>
      </c>
      <c r="Q667" t="n">
        <v>0</v>
      </c>
      <c r="R667" s="2" t="inlineStr"/>
    </row>
    <row r="668" ht="15" customHeight="1">
      <c r="A668" t="inlineStr">
        <is>
          <t>A 60443-2023</t>
        </is>
      </c>
      <c r="B668" s="1" t="n">
        <v>45258</v>
      </c>
      <c r="C668" s="1" t="n">
        <v>46022</v>
      </c>
      <c r="D668" t="inlineStr">
        <is>
          <t>JÄMTLANDS LÄN</t>
        </is>
      </c>
      <c r="E668" t="inlineStr">
        <is>
          <t>RAGUNDA</t>
        </is>
      </c>
      <c r="G668" t="n">
        <v>2.9</v>
      </c>
      <c r="H668" t="n">
        <v>0</v>
      </c>
      <c r="I668" t="n">
        <v>0</v>
      </c>
      <c r="J668" t="n">
        <v>0</v>
      </c>
      <c r="K668" t="n">
        <v>0</v>
      </c>
      <c r="L668" t="n">
        <v>0</v>
      </c>
      <c r="M668" t="n">
        <v>0</v>
      </c>
      <c r="N668" t="n">
        <v>0</v>
      </c>
      <c r="O668" t="n">
        <v>0</v>
      </c>
      <c r="P668" t="n">
        <v>0</v>
      </c>
      <c r="Q668" t="n">
        <v>0</v>
      </c>
      <c r="R668" s="2" t="inlineStr"/>
    </row>
    <row r="669" ht="15" customHeight="1">
      <c r="A669" t="inlineStr">
        <is>
          <t>A 30887-2025</t>
        </is>
      </c>
      <c r="B669" s="1" t="n">
        <v>45832.3459375</v>
      </c>
      <c r="C669" s="1" t="n">
        <v>46022</v>
      </c>
      <c r="D669" t="inlineStr">
        <is>
          <t>JÄMTLANDS LÄN</t>
        </is>
      </c>
      <c r="E669" t="inlineStr">
        <is>
          <t>RAGUNDA</t>
        </is>
      </c>
      <c r="F669" t="inlineStr">
        <is>
          <t>SCA</t>
        </is>
      </c>
      <c r="G669" t="n">
        <v>10.1</v>
      </c>
      <c r="H669" t="n">
        <v>0</v>
      </c>
      <c r="I669" t="n">
        <v>0</v>
      </c>
      <c r="J669" t="n">
        <v>0</v>
      </c>
      <c r="K669" t="n">
        <v>0</v>
      </c>
      <c r="L669" t="n">
        <v>0</v>
      </c>
      <c r="M669" t="n">
        <v>0</v>
      </c>
      <c r="N669" t="n">
        <v>0</v>
      </c>
      <c r="O669" t="n">
        <v>0</v>
      </c>
      <c r="P669" t="n">
        <v>0</v>
      </c>
      <c r="Q669" t="n">
        <v>0</v>
      </c>
      <c r="R669" s="2" t="inlineStr"/>
    </row>
    <row r="670" ht="15" customHeight="1">
      <c r="A670" t="inlineStr">
        <is>
          <t>A 21726-2023</t>
        </is>
      </c>
      <c r="B670" s="1" t="n">
        <v>45065.42894675926</v>
      </c>
      <c r="C670" s="1" t="n">
        <v>46022</v>
      </c>
      <c r="D670" t="inlineStr">
        <is>
          <t>JÄMTLANDS LÄN</t>
        </is>
      </c>
      <c r="E670" t="inlineStr">
        <is>
          <t>RAGUNDA</t>
        </is>
      </c>
      <c r="G670" t="n">
        <v>0.4</v>
      </c>
      <c r="H670" t="n">
        <v>0</v>
      </c>
      <c r="I670" t="n">
        <v>0</v>
      </c>
      <c r="J670" t="n">
        <v>0</v>
      </c>
      <c r="K670" t="n">
        <v>0</v>
      </c>
      <c r="L670" t="n">
        <v>0</v>
      </c>
      <c r="M670" t="n">
        <v>0</v>
      </c>
      <c r="N670" t="n">
        <v>0</v>
      </c>
      <c r="O670" t="n">
        <v>0</v>
      </c>
      <c r="P670" t="n">
        <v>0</v>
      </c>
      <c r="Q670" t="n">
        <v>0</v>
      </c>
      <c r="R670" s="2" t="inlineStr"/>
    </row>
    <row r="671" ht="15" customHeight="1">
      <c r="A671" t="inlineStr">
        <is>
          <t>A 30883-2025</t>
        </is>
      </c>
      <c r="B671" s="1" t="n">
        <v>45832.34552083333</v>
      </c>
      <c r="C671" s="1" t="n">
        <v>46022</v>
      </c>
      <c r="D671" t="inlineStr">
        <is>
          <t>JÄMTLANDS LÄN</t>
        </is>
      </c>
      <c r="E671" t="inlineStr">
        <is>
          <t>RAGUNDA</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50126-2025</t>
        </is>
      </c>
      <c r="B672" s="1" t="n">
        <v>45943.55271990741</v>
      </c>
      <c r="C672" s="1" t="n">
        <v>46022</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45952-2023</t>
        </is>
      </c>
      <c r="B673" s="1" t="n">
        <v>45195</v>
      </c>
      <c r="C673" s="1" t="n">
        <v>46022</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45954-2023</t>
        </is>
      </c>
      <c r="B674" s="1" t="n">
        <v>45195.94679398148</v>
      </c>
      <c r="C674" s="1" t="n">
        <v>46022</v>
      </c>
      <c r="D674" t="inlineStr">
        <is>
          <t>JÄMTLANDS LÄN</t>
        </is>
      </c>
      <c r="E674" t="inlineStr">
        <is>
          <t>RAGUNDA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45955-2023</t>
        </is>
      </c>
      <c r="B675" s="1" t="n">
        <v>45195.94685185186</v>
      </c>
      <c r="C675" s="1" t="n">
        <v>46022</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50098-2025</t>
        </is>
      </c>
      <c r="B676" s="1" t="n">
        <v>45943.51086805556</v>
      </c>
      <c r="C676" s="1" t="n">
        <v>46022</v>
      </c>
      <c r="D676" t="inlineStr">
        <is>
          <t>JÄMTLANDS LÄN</t>
        </is>
      </c>
      <c r="E676" t="inlineStr">
        <is>
          <t>RAGUNDA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60456-2023</t>
        </is>
      </c>
      <c r="B677" s="1" t="n">
        <v>45258</v>
      </c>
      <c r="C677" s="1" t="n">
        <v>46022</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16334-2025</t>
        </is>
      </c>
      <c r="B678" s="1" t="n">
        <v>45751.36490740741</v>
      </c>
      <c r="C678" s="1" t="n">
        <v>46022</v>
      </c>
      <c r="D678" t="inlineStr">
        <is>
          <t>JÄMTLANDS LÄN</t>
        </is>
      </c>
      <c r="E678" t="inlineStr">
        <is>
          <t>RAGUNDA</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50125-2025</t>
        </is>
      </c>
      <c r="B679" s="1" t="n">
        <v>45943.55262731481</v>
      </c>
      <c r="C679" s="1" t="n">
        <v>46022</v>
      </c>
      <c r="D679" t="inlineStr">
        <is>
          <t>JÄMTLANDS LÄN</t>
        </is>
      </c>
      <c r="E679" t="inlineStr">
        <is>
          <t>RAGUNDA</t>
        </is>
      </c>
      <c r="F679" t="inlineStr">
        <is>
          <t>Sveaskog</t>
        </is>
      </c>
      <c r="G679" t="n">
        <v>23.2</v>
      </c>
      <c r="H679" t="n">
        <v>0</v>
      </c>
      <c r="I679" t="n">
        <v>0</v>
      </c>
      <c r="J679" t="n">
        <v>0</v>
      </c>
      <c r="K679" t="n">
        <v>0</v>
      </c>
      <c r="L679" t="n">
        <v>0</v>
      </c>
      <c r="M679" t="n">
        <v>0</v>
      </c>
      <c r="N679" t="n">
        <v>0</v>
      </c>
      <c r="O679" t="n">
        <v>0</v>
      </c>
      <c r="P679" t="n">
        <v>0</v>
      </c>
      <c r="Q679" t="n">
        <v>0</v>
      </c>
      <c r="R679" s="2" t="inlineStr"/>
    </row>
    <row r="680" ht="15" customHeight="1">
      <c r="A680" t="inlineStr">
        <is>
          <t>A 57916-2025</t>
        </is>
      </c>
      <c r="B680" s="1" t="n">
        <v>45981</v>
      </c>
      <c r="C680" s="1" t="n">
        <v>46022</v>
      </c>
      <c r="D680" t="inlineStr">
        <is>
          <t>JÄMTLANDS LÄN</t>
        </is>
      </c>
      <c r="E680" t="inlineStr">
        <is>
          <t>RAGUNDA</t>
        </is>
      </c>
      <c r="G680" t="n">
        <v>5.3</v>
      </c>
      <c r="H680" t="n">
        <v>0</v>
      </c>
      <c r="I680" t="n">
        <v>0</v>
      </c>
      <c r="J680" t="n">
        <v>0</v>
      </c>
      <c r="K680" t="n">
        <v>0</v>
      </c>
      <c r="L680" t="n">
        <v>0</v>
      </c>
      <c r="M680" t="n">
        <v>0</v>
      </c>
      <c r="N680" t="n">
        <v>0</v>
      </c>
      <c r="O680" t="n">
        <v>0</v>
      </c>
      <c r="P680" t="n">
        <v>0</v>
      </c>
      <c r="Q680" t="n">
        <v>0</v>
      </c>
      <c r="R680" s="2" t="inlineStr"/>
    </row>
    <row r="681" ht="15" customHeight="1">
      <c r="A681" t="inlineStr">
        <is>
          <t>A 58438-2022</t>
        </is>
      </c>
      <c r="B681" s="1" t="n">
        <v>44901</v>
      </c>
      <c r="C681" s="1" t="n">
        <v>46022</v>
      </c>
      <c r="D681" t="inlineStr">
        <is>
          <t>JÄMTLANDS LÄN</t>
        </is>
      </c>
      <c r="E681" t="inlineStr">
        <is>
          <t>RAGUNDA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58442-2022</t>
        </is>
      </c>
      <c r="B682" s="1" t="n">
        <v>44901</v>
      </c>
      <c r="C682" s="1" t="n">
        <v>46022</v>
      </c>
      <c r="D682" t="inlineStr">
        <is>
          <t>JÄMTLANDS LÄN</t>
        </is>
      </c>
      <c r="E682" t="inlineStr">
        <is>
          <t>RAGUNDA</t>
        </is>
      </c>
      <c r="F682" t="inlineStr">
        <is>
          <t>SCA</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5806-2025</t>
        </is>
      </c>
      <c r="B683" s="1" t="n">
        <v>45694.69826388889</v>
      </c>
      <c r="C683" s="1" t="n">
        <v>46022</v>
      </c>
      <c r="D683" t="inlineStr">
        <is>
          <t>JÄMTLANDS LÄN</t>
        </is>
      </c>
      <c r="E683" t="inlineStr">
        <is>
          <t>RAGUNDA</t>
        </is>
      </c>
      <c r="F683" t="inlineStr">
        <is>
          <t>SCA</t>
        </is>
      </c>
      <c r="G683" t="n">
        <v>5.8</v>
      </c>
      <c r="H683" t="n">
        <v>0</v>
      </c>
      <c r="I683" t="n">
        <v>0</v>
      </c>
      <c r="J683" t="n">
        <v>0</v>
      </c>
      <c r="K683" t="n">
        <v>0</v>
      </c>
      <c r="L683" t="n">
        <v>0</v>
      </c>
      <c r="M683" t="n">
        <v>0</v>
      </c>
      <c r="N683" t="n">
        <v>0</v>
      </c>
      <c r="O683" t="n">
        <v>0</v>
      </c>
      <c r="P683" t="n">
        <v>0</v>
      </c>
      <c r="Q683" t="n">
        <v>0</v>
      </c>
      <c r="R683" s="2" t="inlineStr"/>
    </row>
    <row r="684" ht="15" customHeight="1">
      <c r="A684" t="inlineStr">
        <is>
          <t>A 50081-2025</t>
        </is>
      </c>
      <c r="B684" s="1" t="n">
        <v>45943.46954861111</v>
      </c>
      <c r="C684" s="1" t="n">
        <v>46022</v>
      </c>
      <c r="D684" t="inlineStr">
        <is>
          <t>JÄMTLANDS LÄN</t>
        </is>
      </c>
      <c r="E684" t="inlineStr">
        <is>
          <t>RAGUNDA</t>
        </is>
      </c>
      <c r="F684" t="inlineStr">
        <is>
          <t>SCA</t>
        </is>
      </c>
      <c r="G684" t="n">
        <v>4.2</v>
      </c>
      <c r="H684" t="n">
        <v>0</v>
      </c>
      <c r="I684" t="n">
        <v>0</v>
      </c>
      <c r="J684" t="n">
        <v>0</v>
      </c>
      <c r="K684" t="n">
        <v>0</v>
      </c>
      <c r="L684" t="n">
        <v>0</v>
      </c>
      <c r="M684" t="n">
        <v>0</v>
      </c>
      <c r="N684" t="n">
        <v>0</v>
      </c>
      <c r="O684" t="n">
        <v>0</v>
      </c>
      <c r="P684" t="n">
        <v>0</v>
      </c>
      <c r="Q684" t="n">
        <v>0</v>
      </c>
      <c r="R684" s="2" t="inlineStr"/>
    </row>
    <row r="685" ht="15" customHeight="1">
      <c r="A685" t="inlineStr">
        <is>
          <t>A 30880-2025</t>
        </is>
      </c>
      <c r="B685" s="1" t="n">
        <v>45832.34524305556</v>
      </c>
      <c r="C685" s="1" t="n">
        <v>46022</v>
      </c>
      <c r="D685" t="inlineStr">
        <is>
          <t>JÄMTLANDS LÄN</t>
        </is>
      </c>
      <c r="E685" t="inlineStr">
        <is>
          <t>RAGUNDA</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41179-2022</t>
        </is>
      </c>
      <c r="B686" s="1" t="n">
        <v>44825</v>
      </c>
      <c r="C686" s="1" t="n">
        <v>46022</v>
      </c>
      <c r="D686" t="inlineStr">
        <is>
          <t>JÄMTLANDS LÄN</t>
        </is>
      </c>
      <c r="E686" t="inlineStr">
        <is>
          <t>RAGUNDA</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50055-2025</t>
        </is>
      </c>
      <c r="B687" s="1" t="n">
        <v>45943.43287037037</v>
      </c>
      <c r="C687" s="1" t="n">
        <v>46022</v>
      </c>
      <c r="D687" t="inlineStr">
        <is>
          <t>JÄMTLANDS LÄN</t>
        </is>
      </c>
      <c r="E687" t="inlineStr">
        <is>
          <t>RAGUNDA</t>
        </is>
      </c>
      <c r="G687" t="n">
        <v>17.6</v>
      </c>
      <c r="H687" t="n">
        <v>0</v>
      </c>
      <c r="I687" t="n">
        <v>0</v>
      </c>
      <c r="J687" t="n">
        <v>0</v>
      </c>
      <c r="K687" t="n">
        <v>0</v>
      </c>
      <c r="L687" t="n">
        <v>0</v>
      </c>
      <c r="M687" t="n">
        <v>0</v>
      </c>
      <c r="N687" t="n">
        <v>0</v>
      </c>
      <c r="O687" t="n">
        <v>0</v>
      </c>
      <c r="P687" t="n">
        <v>0</v>
      </c>
      <c r="Q687" t="n">
        <v>0</v>
      </c>
      <c r="R687" s="2" t="inlineStr"/>
    </row>
    <row r="688" ht="15" customHeight="1">
      <c r="A688" t="inlineStr">
        <is>
          <t>A 50080-2025</t>
        </is>
      </c>
      <c r="B688" s="1" t="n">
        <v>45943.469375</v>
      </c>
      <c r="C688" s="1" t="n">
        <v>46022</v>
      </c>
      <c r="D688" t="inlineStr">
        <is>
          <t>JÄMTLANDS LÄN</t>
        </is>
      </c>
      <c r="E688" t="inlineStr">
        <is>
          <t>RAGUNDA</t>
        </is>
      </c>
      <c r="F688" t="inlineStr">
        <is>
          <t>Naturvårdsverket</t>
        </is>
      </c>
      <c r="G688" t="n">
        <v>6.1</v>
      </c>
      <c r="H688" t="n">
        <v>0</v>
      </c>
      <c r="I688" t="n">
        <v>0</v>
      </c>
      <c r="J688" t="n">
        <v>0</v>
      </c>
      <c r="K688" t="n">
        <v>0</v>
      </c>
      <c r="L688" t="n">
        <v>0</v>
      </c>
      <c r="M688" t="n">
        <v>0</v>
      </c>
      <c r="N688" t="n">
        <v>0</v>
      </c>
      <c r="O688" t="n">
        <v>0</v>
      </c>
      <c r="P688" t="n">
        <v>0</v>
      </c>
      <c r="Q688" t="n">
        <v>0</v>
      </c>
      <c r="R688" s="2" t="inlineStr"/>
    </row>
    <row r="689" ht="15" customHeight="1">
      <c r="A689" t="inlineStr">
        <is>
          <t>A 32096-2025</t>
        </is>
      </c>
      <c r="B689" s="1" t="n">
        <v>45835.46334490741</v>
      </c>
      <c r="C689" s="1" t="n">
        <v>46022</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32151-2025</t>
        </is>
      </c>
      <c r="B690" s="1" t="n">
        <v>45835.53166666667</v>
      </c>
      <c r="C690" s="1" t="n">
        <v>46022</v>
      </c>
      <c r="D690" t="inlineStr">
        <is>
          <t>JÄMTLANDS LÄN</t>
        </is>
      </c>
      <c r="E690" t="inlineStr">
        <is>
          <t>RAGUNDA</t>
        </is>
      </c>
      <c r="F690" t="inlineStr">
        <is>
          <t>SCA</t>
        </is>
      </c>
      <c r="G690" t="n">
        <v>12.3</v>
      </c>
      <c r="H690" t="n">
        <v>0</v>
      </c>
      <c r="I690" t="n">
        <v>0</v>
      </c>
      <c r="J690" t="n">
        <v>0</v>
      </c>
      <c r="K690" t="n">
        <v>0</v>
      </c>
      <c r="L690" t="n">
        <v>0</v>
      </c>
      <c r="M690" t="n">
        <v>0</v>
      </c>
      <c r="N690" t="n">
        <v>0</v>
      </c>
      <c r="O690" t="n">
        <v>0</v>
      </c>
      <c r="P690" t="n">
        <v>0</v>
      </c>
      <c r="Q690" t="n">
        <v>0</v>
      </c>
      <c r="R690" s="2" t="inlineStr"/>
    </row>
    <row r="691" ht="15" customHeight="1">
      <c r="A691" t="inlineStr">
        <is>
          <t>A 32306-2025</t>
        </is>
      </c>
      <c r="B691" s="1" t="n">
        <v>45835.72046296296</v>
      </c>
      <c r="C691" s="1" t="n">
        <v>46022</v>
      </c>
      <c r="D691" t="inlineStr">
        <is>
          <t>JÄMTLANDS LÄN</t>
        </is>
      </c>
      <c r="E691" t="inlineStr">
        <is>
          <t>RAGUNDA</t>
        </is>
      </c>
      <c r="G691" t="n">
        <v>10.2</v>
      </c>
      <c r="H691" t="n">
        <v>0</v>
      </c>
      <c r="I691" t="n">
        <v>0</v>
      </c>
      <c r="J691" t="n">
        <v>0</v>
      </c>
      <c r="K691" t="n">
        <v>0</v>
      </c>
      <c r="L691" t="n">
        <v>0</v>
      </c>
      <c r="M691" t="n">
        <v>0</v>
      </c>
      <c r="N691" t="n">
        <v>0</v>
      </c>
      <c r="O691" t="n">
        <v>0</v>
      </c>
      <c r="P691" t="n">
        <v>0</v>
      </c>
      <c r="Q691" t="n">
        <v>0</v>
      </c>
      <c r="R691" s="2" t="inlineStr"/>
    </row>
    <row r="692" ht="15" customHeight="1">
      <c r="A692" t="inlineStr">
        <is>
          <t>A 61598-2024</t>
        </is>
      </c>
      <c r="B692" s="1" t="n">
        <v>45646.63605324074</v>
      </c>
      <c r="C692" s="1" t="n">
        <v>46022</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50260-2025</t>
        </is>
      </c>
      <c r="B693" s="1" t="n">
        <v>45944.34515046296</v>
      </c>
      <c r="C693" s="1" t="n">
        <v>46022</v>
      </c>
      <c r="D693" t="inlineStr">
        <is>
          <t>JÄMTLANDS LÄN</t>
        </is>
      </c>
      <c r="E693" t="inlineStr">
        <is>
          <t>RAGUNDA</t>
        </is>
      </c>
      <c r="F693" t="inlineStr">
        <is>
          <t>SCA</t>
        </is>
      </c>
      <c r="G693" t="n">
        <v>7.9</v>
      </c>
      <c r="H693" t="n">
        <v>0</v>
      </c>
      <c r="I693" t="n">
        <v>0</v>
      </c>
      <c r="J693" t="n">
        <v>0</v>
      </c>
      <c r="K693" t="n">
        <v>0</v>
      </c>
      <c r="L693" t="n">
        <v>0</v>
      </c>
      <c r="M693" t="n">
        <v>0</v>
      </c>
      <c r="N693" t="n">
        <v>0</v>
      </c>
      <c r="O693" t="n">
        <v>0</v>
      </c>
      <c r="P693" t="n">
        <v>0</v>
      </c>
      <c r="Q693" t="n">
        <v>0</v>
      </c>
      <c r="R693" s="2" t="inlineStr"/>
    </row>
    <row r="694" ht="15" customHeight="1">
      <c r="A694" t="inlineStr">
        <is>
          <t>A 17667-2025</t>
        </is>
      </c>
      <c r="B694" s="1" t="n">
        <v>45758.36487268518</v>
      </c>
      <c r="C694" s="1" t="n">
        <v>46022</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32021-2025</t>
        </is>
      </c>
      <c r="B695" s="1" t="n">
        <v>45835.40668981482</v>
      </c>
      <c r="C695" s="1" t="n">
        <v>46022</v>
      </c>
      <c r="D695" t="inlineStr">
        <is>
          <t>JÄMTLANDS LÄN</t>
        </is>
      </c>
      <c r="E695" t="inlineStr">
        <is>
          <t>RAGUNDA</t>
        </is>
      </c>
      <c r="F695" t="inlineStr">
        <is>
          <t>SCA</t>
        </is>
      </c>
      <c r="G695" t="n">
        <v>3.2</v>
      </c>
      <c r="H695" t="n">
        <v>0</v>
      </c>
      <c r="I695" t="n">
        <v>0</v>
      </c>
      <c r="J695" t="n">
        <v>0</v>
      </c>
      <c r="K695" t="n">
        <v>0</v>
      </c>
      <c r="L695" t="n">
        <v>0</v>
      </c>
      <c r="M695" t="n">
        <v>0</v>
      </c>
      <c r="N695" t="n">
        <v>0</v>
      </c>
      <c r="O695" t="n">
        <v>0</v>
      </c>
      <c r="P695" t="n">
        <v>0</v>
      </c>
      <c r="Q695" t="n">
        <v>0</v>
      </c>
      <c r="R695" s="2" t="inlineStr"/>
    </row>
    <row r="696" ht="15" customHeight="1">
      <c r="A696" t="inlineStr">
        <is>
          <t>A 31882-2025</t>
        </is>
      </c>
      <c r="B696" s="1" t="n">
        <v>45834.65662037037</v>
      </c>
      <c r="C696" s="1" t="n">
        <v>46022</v>
      </c>
      <c r="D696" t="inlineStr">
        <is>
          <t>JÄMTLANDS LÄN</t>
        </is>
      </c>
      <c r="E696" t="inlineStr">
        <is>
          <t>RAGUNDA</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58638-2025</t>
        </is>
      </c>
      <c r="B697" s="1" t="n">
        <v>45986.49016203704</v>
      </c>
      <c r="C697" s="1" t="n">
        <v>46022</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32796-2025</t>
        </is>
      </c>
      <c r="B698" s="1" t="n">
        <v>45839.49082175926</v>
      </c>
      <c r="C698" s="1" t="n">
        <v>46022</v>
      </c>
      <c r="D698" t="inlineStr">
        <is>
          <t>JÄMTLANDS LÄN</t>
        </is>
      </c>
      <c r="E698" t="inlineStr">
        <is>
          <t>RAGUNDA</t>
        </is>
      </c>
      <c r="G698" t="n">
        <v>1.7</v>
      </c>
      <c r="H698" t="n">
        <v>0</v>
      </c>
      <c r="I698" t="n">
        <v>0</v>
      </c>
      <c r="J698" t="n">
        <v>0</v>
      </c>
      <c r="K698" t="n">
        <v>0</v>
      </c>
      <c r="L698" t="n">
        <v>0</v>
      </c>
      <c r="M698" t="n">
        <v>0</v>
      </c>
      <c r="N698" t="n">
        <v>0</v>
      </c>
      <c r="O698" t="n">
        <v>0</v>
      </c>
      <c r="P698" t="n">
        <v>0</v>
      </c>
      <c r="Q698" t="n">
        <v>0</v>
      </c>
      <c r="R698" s="2" t="inlineStr"/>
    </row>
    <row r="699" ht="15" customHeight="1">
      <c r="A699" t="inlineStr">
        <is>
          <t>A 50473-2025</t>
        </is>
      </c>
      <c r="B699" s="1" t="n">
        <v>45945.36520833334</v>
      </c>
      <c r="C699" s="1" t="n">
        <v>46022</v>
      </c>
      <c r="D699" t="inlineStr">
        <is>
          <t>JÄMTLANDS LÄN</t>
        </is>
      </c>
      <c r="E699" t="inlineStr">
        <is>
          <t>RAGUNDA</t>
        </is>
      </c>
      <c r="F699" t="inlineStr">
        <is>
          <t>SCA</t>
        </is>
      </c>
      <c r="G699" t="n">
        <v>11.2</v>
      </c>
      <c r="H699" t="n">
        <v>0</v>
      </c>
      <c r="I699" t="n">
        <v>0</v>
      </c>
      <c r="J699" t="n">
        <v>0</v>
      </c>
      <c r="K699" t="n">
        <v>0</v>
      </c>
      <c r="L699" t="n">
        <v>0</v>
      </c>
      <c r="M699" t="n">
        <v>0</v>
      </c>
      <c r="N699" t="n">
        <v>0</v>
      </c>
      <c r="O699" t="n">
        <v>0</v>
      </c>
      <c r="P699" t="n">
        <v>0</v>
      </c>
      <c r="Q699" t="n">
        <v>0</v>
      </c>
      <c r="R699" s="2" t="inlineStr"/>
    </row>
    <row r="700" ht="15" customHeight="1">
      <c r="A700" t="inlineStr">
        <is>
          <t>A 32655-2025</t>
        </is>
      </c>
      <c r="B700" s="1" t="n">
        <v>45838.67800925926</v>
      </c>
      <c r="C700" s="1" t="n">
        <v>46022</v>
      </c>
      <c r="D700" t="inlineStr">
        <is>
          <t>JÄMTLANDS LÄN</t>
        </is>
      </c>
      <c r="E700" t="inlineStr">
        <is>
          <t>RAGUNDA</t>
        </is>
      </c>
      <c r="G700" t="n">
        <v>2.8</v>
      </c>
      <c r="H700" t="n">
        <v>0</v>
      </c>
      <c r="I700" t="n">
        <v>0</v>
      </c>
      <c r="J700" t="n">
        <v>0</v>
      </c>
      <c r="K700" t="n">
        <v>0</v>
      </c>
      <c r="L700" t="n">
        <v>0</v>
      </c>
      <c r="M700" t="n">
        <v>0</v>
      </c>
      <c r="N700" t="n">
        <v>0</v>
      </c>
      <c r="O700" t="n">
        <v>0</v>
      </c>
      <c r="P700" t="n">
        <v>0</v>
      </c>
      <c r="Q700" t="n">
        <v>0</v>
      </c>
      <c r="R700" s="2" t="inlineStr"/>
    </row>
    <row r="701" ht="15" customHeight="1">
      <c r="A701" t="inlineStr">
        <is>
          <t>A 32751-2025</t>
        </is>
      </c>
      <c r="B701" s="1" t="n">
        <v>45839.42864583333</v>
      </c>
      <c r="C701" s="1" t="n">
        <v>46022</v>
      </c>
      <c r="D701" t="inlineStr">
        <is>
          <t>JÄMTLANDS LÄN</t>
        </is>
      </c>
      <c r="E701" t="inlineStr">
        <is>
          <t>RAGUNDA</t>
        </is>
      </c>
      <c r="F701" t="inlineStr">
        <is>
          <t>SCA</t>
        </is>
      </c>
      <c r="G701" t="n">
        <v>10</v>
      </c>
      <c r="H701" t="n">
        <v>0</v>
      </c>
      <c r="I701" t="n">
        <v>0</v>
      </c>
      <c r="J701" t="n">
        <v>0</v>
      </c>
      <c r="K701" t="n">
        <v>0</v>
      </c>
      <c r="L701" t="n">
        <v>0</v>
      </c>
      <c r="M701" t="n">
        <v>0</v>
      </c>
      <c r="N701" t="n">
        <v>0</v>
      </c>
      <c r="O701" t="n">
        <v>0</v>
      </c>
      <c r="P701" t="n">
        <v>0</v>
      </c>
      <c r="Q701" t="n">
        <v>0</v>
      </c>
      <c r="R701" s="2" t="inlineStr"/>
    </row>
    <row r="702" ht="15" customHeight="1">
      <c r="A702" t="inlineStr">
        <is>
          <t>A 32777-2025</t>
        </is>
      </c>
      <c r="B702" s="1" t="n">
        <v>45839.46915509259</v>
      </c>
      <c r="C702" s="1" t="n">
        <v>46022</v>
      </c>
      <c r="D702" t="inlineStr">
        <is>
          <t>JÄMTLANDS LÄN</t>
        </is>
      </c>
      <c r="E702" t="inlineStr">
        <is>
          <t>RAGUNDA</t>
        </is>
      </c>
      <c r="F702" t="inlineStr">
        <is>
          <t>SCA</t>
        </is>
      </c>
      <c r="G702" t="n">
        <v>21.7</v>
      </c>
      <c r="H702" t="n">
        <v>0</v>
      </c>
      <c r="I702" t="n">
        <v>0</v>
      </c>
      <c r="J702" t="n">
        <v>0</v>
      </c>
      <c r="K702" t="n">
        <v>0</v>
      </c>
      <c r="L702" t="n">
        <v>0</v>
      </c>
      <c r="M702" t="n">
        <v>0</v>
      </c>
      <c r="N702" t="n">
        <v>0</v>
      </c>
      <c r="O702" t="n">
        <v>0</v>
      </c>
      <c r="P702" t="n">
        <v>0</v>
      </c>
      <c r="Q702" t="n">
        <v>0</v>
      </c>
      <c r="R702" s="2" t="inlineStr"/>
    </row>
    <row r="703" ht="15" customHeight="1">
      <c r="A703" t="inlineStr">
        <is>
          <t>A 58918-2025</t>
        </is>
      </c>
      <c r="B703" s="1" t="n">
        <v>45987.52952546296</v>
      </c>
      <c r="C703" s="1" t="n">
        <v>46022</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58559-2025</t>
        </is>
      </c>
      <c r="B704" s="1" t="n">
        <v>45986.34475694445</v>
      </c>
      <c r="C704" s="1" t="n">
        <v>46022</v>
      </c>
      <c r="D704" t="inlineStr">
        <is>
          <t>JÄMTLANDS LÄN</t>
        </is>
      </c>
      <c r="E704" t="inlineStr">
        <is>
          <t>RAGUNDA</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32430-2025</t>
        </is>
      </c>
      <c r="B705" s="1" t="n">
        <v>45838.36532407408</v>
      </c>
      <c r="C705" s="1" t="n">
        <v>46022</v>
      </c>
      <c r="D705" t="inlineStr">
        <is>
          <t>JÄMTLANDS LÄN</t>
        </is>
      </c>
      <c r="E705" t="inlineStr">
        <is>
          <t>RAGUNDA</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32747-2025</t>
        </is>
      </c>
      <c r="B706" s="1" t="n">
        <v>45839.42810185185</v>
      </c>
      <c r="C706" s="1" t="n">
        <v>46022</v>
      </c>
      <c r="D706" t="inlineStr">
        <is>
          <t>JÄMTLANDS LÄN</t>
        </is>
      </c>
      <c r="E706" t="inlineStr">
        <is>
          <t>RAGUNDA</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32757-2025</t>
        </is>
      </c>
      <c r="B707" s="1" t="n">
        <v>45838</v>
      </c>
      <c r="C707" s="1" t="n">
        <v>46022</v>
      </c>
      <c r="D707" t="inlineStr">
        <is>
          <t>JÄMTLANDS LÄN</t>
        </is>
      </c>
      <c r="E707" t="inlineStr">
        <is>
          <t>RAGUNDA</t>
        </is>
      </c>
      <c r="G707" t="n">
        <v>4.5</v>
      </c>
      <c r="H707" t="n">
        <v>0</v>
      </c>
      <c r="I707" t="n">
        <v>0</v>
      </c>
      <c r="J707" t="n">
        <v>0</v>
      </c>
      <c r="K707" t="n">
        <v>0</v>
      </c>
      <c r="L707" t="n">
        <v>0</v>
      </c>
      <c r="M707" t="n">
        <v>0</v>
      </c>
      <c r="N707" t="n">
        <v>0</v>
      </c>
      <c r="O707" t="n">
        <v>0</v>
      </c>
      <c r="P707" t="n">
        <v>0</v>
      </c>
      <c r="Q707" t="n">
        <v>0</v>
      </c>
      <c r="R707" s="2" t="inlineStr"/>
    </row>
    <row r="708" ht="15" customHeight="1">
      <c r="A708" t="inlineStr">
        <is>
          <t>A 32846-2025</t>
        </is>
      </c>
      <c r="B708" s="1" t="n">
        <v>45839.57331018519</v>
      </c>
      <c r="C708" s="1" t="n">
        <v>46022</v>
      </c>
      <c r="D708" t="inlineStr">
        <is>
          <t>JÄMTLANDS LÄN</t>
        </is>
      </c>
      <c r="E708" t="inlineStr">
        <is>
          <t>RAGUNDA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32748-2025</t>
        </is>
      </c>
      <c r="B709" s="1" t="n">
        <v>45839.42822916667</v>
      </c>
      <c r="C709" s="1" t="n">
        <v>46022</v>
      </c>
      <c r="D709" t="inlineStr">
        <is>
          <t>JÄMTLANDS LÄN</t>
        </is>
      </c>
      <c r="E709" t="inlineStr">
        <is>
          <t>RAGUNDA</t>
        </is>
      </c>
      <c r="F709" t="inlineStr">
        <is>
          <t>SCA</t>
        </is>
      </c>
      <c r="G709" t="n">
        <v>4.4</v>
      </c>
      <c r="H709" t="n">
        <v>0</v>
      </c>
      <c r="I709" t="n">
        <v>0</v>
      </c>
      <c r="J709" t="n">
        <v>0</v>
      </c>
      <c r="K709" t="n">
        <v>0</v>
      </c>
      <c r="L709" t="n">
        <v>0</v>
      </c>
      <c r="M709" t="n">
        <v>0</v>
      </c>
      <c r="N709" t="n">
        <v>0</v>
      </c>
      <c r="O709" t="n">
        <v>0</v>
      </c>
      <c r="P709" t="n">
        <v>0</v>
      </c>
      <c r="Q709" t="n">
        <v>0</v>
      </c>
      <c r="R709" s="2" t="inlineStr"/>
    </row>
    <row r="710" ht="15" customHeight="1">
      <c r="A710" t="inlineStr">
        <is>
          <t>A 50504-2025</t>
        </is>
      </c>
      <c r="B710" s="1" t="n">
        <v>45945.4284837963</v>
      </c>
      <c r="C710" s="1" t="n">
        <v>46022</v>
      </c>
      <c r="D710" t="inlineStr">
        <is>
          <t>JÄMTLANDS LÄN</t>
        </is>
      </c>
      <c r="E710" t="inlineStr">
        <is>
          <t>RAGUNDA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12405-2025</t>
        </is>
      </c>
      <c r="B711" s="1" t="n">
        <v>45730.42738425926</v>
      </c>
      <c r="C711" s="1" t="n">
        <v>46022</v>
      </c>
      <c r="D711" t="inlineStr">
        <is>
          <t>JÄMTLANDS LÄN</t>
        </is>
      </c>
      <c r="E711" t="inlineStr">
        <is>
          <t>RAGUNDA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32762-2025</t>
        </is>
      </c>
      <c r="B712" s="1" t="n">
        <v>45838</v>
      </c>
      <c r="C712" s="1" t="n">
        <v>46022</v>
      </c>
      <c r="D712" t="inlineStr">
        <is>
          <t>JÄMTLANDS LÄN</t>
        </is>
      </c>
      <c r="E712" t="inlineStr">
        <is>
          <t>RAGUNDA</t>
        </is>
      </c>
      <c r="G712" t="n">
        <v>0.6</v>
      </c>
      <c r="H712" t="n">
        <v>0</v>
      </c>
      <c r="I712" t="n">
        <v>0</v>
      </c>
      <c r="J712" t="n">
        <v>0</v>
      </c>
      <c r="K712" t="n">
        <v>0</v>
      </c>
      <c r="L712" t="n">
        <v>0</v>
      </c>
      <c r="M712" t="n">
        <v>0</v>
      </c>
      <c r="N712" t="n">
        <v>0</v>
      </c>
      <c r="O712" t="n">
        <v>0</v>
      </c>
      <c r="P712" t="n">
        <v>0</v>
      </c>
      <c r="Q712" t="n">
        <v>0</v>
      </c>
      <c r="R712" s="2" t="inlineStr"/>
    </row>
    <row r="713" ht="15" customHeight="1">
      <c r="A713" t="inlineStr">
        <is>
          <t>A 32660-2025</t>
        </is>
      </c>
      <c r="B713" s="1" t="n">
        <v>45838.67887731481</v>
      </c>
      <c r="C713" s="1" t="n">
        <v>46022</v>
      </c>
      <c r="D713" t="inlineStr">
        <is>
          <t>JÄMTLANDS LÄN</t>
        </is>
      </c>
      <c r="E713" t="inlineStr">
        <is>
          <t>RAGUNDA</t>
        </is>
      </c>
      <c r="F713" t="inlineStr">
        <is>
          <t>SCA</t>
        </is>
      </c>
      <c r="G713" t="n">
        <v>10.3</v>
      </c>
      <c r="H713" t="n">
        <v>0</v>
      </c>
      <c r="I713" t="n">
        <v>0</v>
      </c>
      <c r="J713" t="n">
        <v>0</v>
      </c>
      <c r="K713" t="n">
        <v>0</v>
      </c>
      <c r="L713" t="n">
        <v>0</v>
      </c>
      <c r="M713" t="n">
        <v>0</v>
      </c>
      <c r="N713" t="n">
        <v>0</v>
      </c>
      <c r="O713" t="n">
        <v>0</v>
      </c>
      <c r="P713" t="n">
        <v>0</v>
      </c>
      <c r="Q713" t="n">
        <v>0</v>
      </c>
      <c r="R713" s="2" t="inlineStr"/>
    </row>
    <row r="714" ht="15" customHeight="1">
      <c r="A714" t="inlineStr">
        <is>
          <t>A 36986-2023</t>
        </is>
      </c>
      <c r="B714" s="1" t="n">
        <v>45154.95525462963</v>
      </c>
      <c r="C714" s="1" t="n">
        <v>46022</v>
      </c>
      <c r="D714" t="inlineStr">
        <is>
          <t>JÄMTLANDS LÄN</t>
        </is>
      </c>
      <c r="E714" t="inlineStr">
        <is>
          <t>RAGUNDA</t>
        </is>
      </c>
      <c r="F714" t="inlineStr">
        <is>
          <t>SCA</t>
        </is>
      </c>
      <c r="G714" t="n">
        <v>0.2</v>
      </c>
      <c r="H714" t="n">
        <v>0</v>
      </c>
      <c r="I714" t="n">
        <v>0</v>
      </c>
      <c r="J714" t="n">
        <v>0</v>
      </c>
      <c r="K714" t="n">
        <v>0</v>
      </c>
      <c r="L714" t="n">
        <v>0</v>
      </c>
      <c r="M714" t="n">
        <v>0</v>
      </c>
      <c r="N714" t="n">
        <v>0</v>
      </c>
      <c r="O714" t="n">
        <v>0</v>
      </c>
      <c r="P714" t="n">
        <v>0</v>
      </c>
      <c r="Q714" t="n">
        <v>0</v>
      </c>
      <c r="R714" s="2" t="inlineStr"/>
    </row>
    <row r="715" ht="15" customHeight="1">
      <c r="A715" t="inlineStr">
        <is>
          <t>A 32527-2025</t>
        </is>
      </c>
      <c r="B715" s="1" t="n">
        <v>45838.48996527777</v>
      </c>
      <c r="C715" s="1" t="n">
        <v>46022</v>
      </c>
      <c r="D715" t="inlineStr">
        <is>
          <t>JÄMTLANDS LÄN</t>
        </is>
      </c>
      <c r="E715" t="inlineStr">
        <is>
          <t>RAGUNDA</t>
        </is>
      </c>
      <c r="G715" t="n">
        <v>5</v>
      </c>
      <c r="H715" t="n">
        <v>0</v>
      </c>
      <c r="I715" t="n">
        <v>0</v>
      </c>
      <c r="J715" t="n">
        <v>0</v>
      </c>
      <c r="K715" t="n">
        <v>0</v>
      </c>
      <c r="L715" t="n">
        <v>0</v>
      </c>
      <c r="M715" t="n">
        <v>0</v>
      </c>
      <c r="N715" t="n">
        <v>0</v>
      </c>
      <c r="O715" t="n">
        <v>0</v>
      </c>
      <c r="P715" t="n">
        <v>0</v>
      </c>
      <c r="Q715" t="n">
        <v>0</v>
      </c>
      <c r="R715" s="2" t="inlineStr"/>
    </row>
    <row r="716" ht="15" customHeight="1">
      <c r="A716" t="inlineStr">
        <is>
          <t>A 33140-2025</t>
        </is>
      </c>
      <c r="B716" s="1" t="n">
        <v>45840.52225694444</v>
      </c>
      <c r="C716" s="1" t="n">
        <v>46022</v>
      </c>
      <c r="D716" t="inlineStr">
        <is>
          <t>JÄMTLANDS LÄN</t>
        </is>
      </c>
      <c r="E716" t="inlineStr">
        <is>
          <t>RAGUNDA</t>
        </is>
      </c>
      <c r="G716" t="n">
        <v>2</v>
      </c>
      <c r="H716" t="n">
        <v>0</v>
      </c>
      <c r="I716" t="n">
        <v>0</v>
      </c>
      <c r="J716" t="n">
        <v>0</v>
      </c>
      <c r="K716" t="n">
        <v>0</v>
      </c>
      <c r="L716" t="n">
        <v>0</v>
      </c>
      <c r="M716" t="n">
        <v>0</v>
      </c>
      <c r="N716" t="n">
        <v>0</v>
      </c>
      <c r="O716" t="n">
        <v>0</v>
      </c>
      <c r="P716" t="n">
        <v>0</v>
      </c>
      <c r="Q716" t="n">
        <v>0</v>
      </c>
      <c r="R716" s="2" t="inlineStr"/>
    </row>
    <row r="717" ht="15" customHeight="1">
      <c r="A717" t="inlineStr">
        <is>
          <t>A 50503-2025</t>
        </is>
      </c>
      <c r="B717" s="1" t="n">
        <v>45945.42746527777</v>
      </c>
      <c r="C717" s="1" t="n">
        <v>46022</v>
      </c>
      <c r="D717" t="inlineStr">
        <is>
          <t>JÄMTLANDS LÄN</t>
        </is>
      </c>
      <c r="E717" t="inlineStr">
        <is>
          <t>RAGUNDA</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33650-2025</t>
        </is>
      </c>
      <c r="B718" s="1" t="n">
        <v>45841</v>
      </c>
      <c r="C718" s="1" t="n">
        <v>46022</v>
      </c>
      <c r="D718" t="inlineStr">
        <is>
          <t>JÄMTLANDS LÄN</t>
        </is>
      </c>
      <c r="E718" t="inlineStr">
        <is>
          <t>RAGUNDA</t>
        </is>
      </c>
      <c r="G718" t="n">
        <v>1.4</v>
      </c>
      <c r="H718" t="n">
        <v>0</v>
      </c>
      <c r="I718" t="n">
        <v>0</v>
      </c>
      <c r="J718" t="n">
        <v>0</v>
      </c>
      <c r="K718" t="n">
        <v>0</v>
      </c>
      <c r="L718" t="n">
        <v>0</v>
      </c>
      <c r="M718" t="n">
        <v>0</v>
      </c>
      <c r="N718" t="n">
        <v>0</v>
      </c>
      <c r="O718" t="n">
        <v>0</v>
      </c>
      <c r="P718" t="n">
        <v>0</v>
      </c>
      <c r="Q718" t="n">
        <v>0</v>
      </c>
      <c r="R718" s="2" t="inlineStr"/>
    </row>
    <row r="719" ht="15" customHeight="1">
      <c r="A719" t="inlineStr">
        <is>
          <t>A 33556-2025</t>
        </is>
      </c>
      <c r="B719" s="1" t="n">
        <v>45841.57427083333</v>
      </c>
      <c r="C719" s="1" t="n">
        <v>46022</v>
      </c>
      <c r="D719" t="inlineStr">
        <is>
          <t>JÄMTLANDS LÄN</t>
        </is>
      </c>
      <c r="E719" t="inlineStr">
        <is>
          <t>RAGUNDA</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2224-2024</t>
        </is>
      </c>
      <c r="B720" s="1" t="n">
        <v>45309.92524305556</v>
      </c>
      <c r="C720" s="1" t="n">
        <v>46022</v>
      </c>
      <c r="D720" t="inlineStr">
        <is>
          <t>JÄMTLANDS LÄN</t>
        </is>
      </c>
      <c r="E720" t="inlineStr">
        <is>
          <t>RAGUNDA</t>
        </is>
      </c>
      <c r="G720" t="n">
        <v>0.9</v>
      </c>
      <c r="H720" t="n">
        <v>0</v>
      </c>
      <c r="I720" t="n">
        <v>0</v>
      </c>
      <c r="J720" t="n">
        <v>0</v>
      </c>
      <c r="K720" t="n">
        <v>0</v>
      </c>
      <c r="L720" t="n">
        <v>0</v>
      </c>
      <c r="M720" t="n">
        <v>0</v>
      </c>
      <c r="N720" t="n">
        <v>0</v>
      </c>
      <c r="O720" t="n">
        <v>0</v>
      </c>
      <c r="P720" t="n">
        <v>0</v>
      </c>
      <c r="Q720" t="n">
        <v>0</v>
      </c>
      <c r="R720" s="2" t="inlineStr"/>
    </row>
    <row r="721" ht="15" customHeight="1">
      <c r="A721" t="inlineStr">
        <is>
          <t>A 1523-2024</t>
        </is>
      </c>
      <c r="B721" s="1" t="n">
        <v>45306</v>
      </c>
      <c r="C721" s="1" t="n">
        <v>46022</v>
      </c>
      <c r="D721" t="inlineStr">
        <is>
          <t>JÄMTLANDS LÄN</t>
        </is>
      </c>
      <c r="E721" t="inlineStr">
        <is>
          <t>RAGUNDA</t>
        </is>
      </c>
      <c r="G721" t="n">
        <v>4.1</v>
      </c>
      <c r="H721" t="n">
        <v>0</v>
      </c>
      <c r="I721" t="n">
        <v>0</v>
      </c>
      <c r="J721" t="n">
        <v>0</v>
      </c>
      <c r="K721" t="n">
        <v>0</v>
      </c>
      <c r="L721" t="n">
        <v>0</v>
      </c>
      <c r="M721" t="n">
        <v>0</v>
      </c>
      <c r="N721" t="n">
        <v>0</v>
      </c>
      <c r="O721" t="n">
        <v>0</v>
      </c>
      <c r="P721" t="n">
        <v>0</v>
      </c>
      <c r="Q721" t="n">
        <v>0</v>
      </c>
      <c r="R721" s="2" t="inlineStr"/>
    </row>
    <row r="722" ht="15" customHeight="1">
      <c r="A722" t="inlineStr">
        <is>
          <t>A 50711-2025</t>
        </is>
      </c>
      <c r="B722" s="1" t="n">
        <v>45946.34431712963</v>
      </c>
      <c r="C722" s="1" t="n">
        <v>46022</v>
      </c>
      <c r="D722" t="inlineStr">
        <is>
          <t>JÄMTLANDS LÄN</t>
        </is>
      </c>
      <c r="E722" t="inlineStr">
        <is>
          <t>RAGUNDA</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50716-2025</t>
        </is>
      </c>
      <c r="B723" s="1" t="n">
        <v>45946.34572916666</v>
      </c>
      <c r="C723" s="1" t="n">
        <v>46022</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58630-2024</t>
        </is>
      </c>
      <c r="B724" s="1" t="n">
        <v>45635.57331018519</v>
      </c>
      <c r="C724" s="1" t="n">
        <v>46022</v>
      </c>
      <c r="D724" t="inlineStr">
        <is>
          <t>JÄMTLANDS LÄN</t>
        </is>
      </c>
      <c r="E724" t="inlineStr">
        <is>
          <t>RAGUNDA</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46549-2023</t>
        </is>
      </c>
      <c r="B725" s="1" t="n">
        <v>45197.94171296297</v>
      </c>
      <c r="C725" s="1" t="n">
        <v>46022</v>
      </c>
      <c r="D725" t="inlineStr">
        <is>
          <t>JÄMTLANDS LÄN</t>
        </is>
      </c>
      <c r="E725" t="inlineStr">
        <is>
          <t>RAGUNDA</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32258-2024</t>
        </is>
      </c>
      <c r="B726" s="1" t="n">
        <v>45511</v>
      </c>
      <c r="C726" s="1" t="n">
        <v>46022</v>
      </c>
      <c r="D726" t="inlineStr">
        <is>
          <t>JÄMTLANDS LÄN</t>
        </is>
      </c>
      <c r="E726" t="inlineStr">
        <is>
          <t>RAGUNDA</t>
        </is>
      </c>
      <c r="F726" t="inlineStr">
        <is>
          <t>SCA</t>
        </is>
      </c>
      <c r="G726" t="n">
        <v>5.5</v>
      </c>
      <c r="H726" t="n">
        <v>0</v>
      </c>
      <c r="I726" t="n">
        <v>0</v>
      </c>
      <c r="J726" t="n">
        <v>0</v>
      </c>
      <c r="K726" t="n">
        <v>0</v>
      </c>
      <c r="L726" t="n">
        <v>0</v>
      </c>
      <c r="M726" t="n">
        <v>0</v>
      </c>
      <c r="N726" t="n">
        <v>0</v>
      </c>
      <c r="O726" t="n">
        <v>0</v>
      </c>
      <c r="P726" t="n">
        <v>0</v>
      </c>
      <c r="Q726" t="n">
        <v>0</v>
      </c>
      <c r="R726" s="2" t="inlineStr"/>
    </row>
    <row r="727" ht="15" customHeight="1">
      <c r="A727" t="inlineStr">
        <is>
          <t>A 38270-2021</t>
        </is>
      </c>
      <c r="B727" s="1" t="n">
        <v>44405.92065972222</v>
      </c>
      <c r="C727" s="1" t="n">
        <v>46022</v>
      </c>
      <c r="D727" t="inlineStr">
        <is>
          <t>JÄMTLANDS LÄN</t>
        </is>
      </c>
      <c r="E727" t="inlineStr">
        <is>
          <t>RAGUNDA</t>
        </is>
      </c>
      <c r="G727" t="n">
        <v>1.3</v>
      </c>
      <c r="H727" t="n">
        <v>0</v>
      </c>
      <c r="I727" t="n">
        <v>0</v>
      </c>
      <c r="J727" t="n">
        <v>0</v>
      </c>
      <c r="K727" t="n">
        <v>0</v>
      </c>
      <c r="L727" t="n">
        <v>0</v>
      </c>
      <c r="M727" t="n">
        <v>0</v>
      </c>
      <c r="N727" t="n">
        <v>0</v>
      </c>
      <c r="O727" t="n">
        <v>0</v>
      </c>
      <c r="P727" t="n">
        <v>0</v>
      </c>
      <c r="Q727" t="n">
        <v>0</v>
      </c>
      <c r="R727" s="2" t="inlineStr"/>
    </row>
    <row r="728" ht="15" customHeight="1">
      <c r="A728" t="inlineStr">
        <is>
          <t>A 33790-2025</t>
        </is>
      </c>
      <c r="B728" s="1" t="n">
        <v>45842.42608796297</v>
      </c>
      <c r="C728" s="1" t="n">
        <v>46022</v>
      </c>
      <c r="D728" t="inlineStr">
        <is>
          <t>JÄMTLANDS LÄN</t>
        </is>
      </c>
      <c r="E728" t="inlineStr">
        <is>
          <t>RAGUNDA</t>
        </is>
      </c>
      <c r="G728" t="n">
        <v>0.3</v>
      </c>
      <c r="H728" t="n">
        <v>0</v>
      </c>
      <c r="I728" t="n">
        <v>0</v>
      </c>
      <c r="J728" t="n">
        <v>0</v>
      </c>
      <c r="K728" t="n">
        <v>0</v>
      </c>
      <c r="L728" t="n">
        <v>0</v>
      </c>
      <c r="M728" t="n">
        <v>0</v>
      </c>
      <c r="N728" t="n">
        <v>0</v>
      </c>
      <c r="O728" t="n">
        <v>0</v>
      </c>
      <c r="P728" t="n">
        <v>0</v>
      </c>
      <c r="Q728" t="n">
        <v>0</v>
      </c>
      <c r="R728" s="2" t="inlineStr"/>
    </row>
    <row r="729" ht="15" customHeight="1">
      <c r="A729" t="inlineStr">
        <is>
          <t>A 50719-2025</t>
        </is>
      </c>
      <c r="B729" s="1" t="n">
        <v>45946.34642361111</v>
      </c>
      <c r="C729" s="1" t="n">
        <v>46022</v>
      </c>
      <c r="D729" t="inlineStr">
        <is>
          <t>JÄMTLANDS LÄN</t>
        </is>
      </c>
      <c r="E729" t="inlineStr">
        <is>
          <t>RAGUNDA</t>
        </is>
      </c>
      <c r="F729" t="inlineStr">
        <is>
          <t>SCA</t>
        </is>
      </c>
      <c r="G729" t="n">
        <v>2.9</v>
      </c>
      <c r="H729" t="n">
        <v>0</v>
      </c>
      <c r="I729" t="n">
        <v>0</v>
      </c>
      <c r="J729" t="n">
        <v>0</v>
      </c>
      <c r="K729" t="n">
        <v>0</v>
      </c>
      <c r="L729" t="n">
        <v>0</v>
      </c>
      <c r="M729" t="n">
        <v>0</v>
      </c>
      <c r="N729" t="n">
        <v>0</v>
      </c>
      <c r="O729" t="n">
        <v>0</v>
      </c>
      <c r="P729" t="n">
        <v>0</v>
      </c>
      <c r="Q729" t="n">
        <v>0</v>
      </c>
      <c r="R729" s="2" t="inlineStr"/>
    </row>
    <row r="730" ht="15" customHeight="1">
      <c r="A730" t="inlineStr">
        <is>
          <t>A 29257-2024</t>
        </is>
      </c>
      <c r="B730" s="1" t="n">
        <v>45482.94815972223</v>
      </c>
      <c r="C730" s="1" t="n">
        <v>46022</v>
      </c>
      <c r="D730" t="inlineStr">
        <is>
          <t>JÄMTLANDS LÄN</t>
        </is>
      </c>
      <c r="E730" t="inlineStr">
        <is>
          <t>RAGUNDA</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27373-2023</t>
        </is>
      </c>
      <c r="B731" s="1" t="n">
        <v>45096.93866898148</v>
      </c>
      <c r="C731" s="1" t="n">
        <v>46022</v>
      </c>
      <c r="D731" t="inlineStr">
        <is>
          <t>JÄMTLANDS LÄN</t>
        </is>
      </c>
      <c r="E731" t="inlineStr">
        <is>
          <t>RAGUNDA</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34607-2025</t>
        </is>
      </c>
      <c r="B732" s="1" t="n">
        <v>45847.65703703704</v>
      </c>
      <c r="C732" s="1" t="n">
        <v>46022</v>
      </c>
      <c r="D732" t="inlineStr">
        <is>
          <t>JÄMTLANDS LÄN</t>
        </is>
      </c>
      <c r="E732" t="inlineStr">
        <is>
          <t>RAGUNDA</t>
        </is>
      </c>
      <c r="F732" t="inlineStr">
        <is>
          <t>SCA</t>
        </is>
      </c>
      <c r="G732" t="n">
        <v>31.4</v>
      </c>
      <c r="H732" t="n">
        <v>0</v>
      </c>
      <c r="I732" t="n">
        <v>0</v>
      </c>
      <c r="J732" t="n">
        <v>0</v>
      </c>
      <c r="K732" t="n">
        <v>0</v>
      </c>
      <c r="L732" t="n">
        <v>0</v>
      </c>
      <c r="M732" t="n">
        <v>0</v>
      </c>
      <c r="N732" t="n">
        <v>0</v>
      </c>
      <c r="O732" t="n">
        <v>0</v>
      </c>
      <c r="P732" t="n">
        <v>0</v>
      </c>
      <c r="Q732" t="n">
        <v>0</v>
      </c>
      <c r="R732" s="2" t="inlineStr"/>
    </row>
    <row r="733" ht="15" customHeight="1">
      <c r="A733" t="inlineStr">
        <is>
          <t>A 34461-2025</t>
        </is>
      </c>
      <c r="B733" s="1" t="n">
        <v>45847.34474537037</v>
      </c>
      <c r="C733" s="1" t="n">
        <v>46022</v>
      </c>
      <c r="D733" t="inlineStr">
        <is>
          <t>JÄMTLANDS LÄN</t>
        </is>
      </c>
      <c r="E733" t="inlineStr">
        <is>
          <t>RAGUNDA</t>
        </is>
      </c>
      <c r="F733" t="inlineStr">
        <is>
          <t>SCA</t>
        </is>
      </c>
      <c r="G733" t="n">
        <v>44.8</v>
      </c>
      <c r="H733" t="n">
        <v>0</v>
      </c>
      <c r="I733" t="n">
        <v>0</v>
      </c>
      <c r="J733" t="n">
        <v>0</v>
      </c>
      <c r="K733" t="n">
        <v>0</v>
      </c>
      <c r="L733" t="n">
        <v>0</v>
      </c>
      <c r="M733" t="n">
        <v>0</v>
      </c>
      <c r="N733" t="n">
        <v>0</v>
      </c>
      <c r="O733" t="n">
        <v>0</v>
      </c>
      <c r="P733" t="n">
        <v>0</v>
      </c>
      <c r="Q733" t="n">
        <v>0</v>
      </c>
      <c r="R733" s="2" t="inlineStr"/>
    </row>
    <row r="734" ht="15" customHeight="1">
      <c r="A734" t="inlineStr">
        <is>
          <t>A 59491-2025</t>
        </is>
      </c>
      <c r="B734" s="1" t="n">
        <v>45989.60376157407</v>
      </c>
      <c r="C734" s="1" t="n">
        <v>46022</v>
      </c>
      <c r="D734" t="inlineStr">
        <is>
          <t>JÄMTLANDS LÄN</t>
        </is>
      </c>
      <c r="E734" t="inlineStr">
        <is>
          <t>RAGUNDA</t>
        </is>
      </c>
      <c r="G734" t="n">
        <v>0.9</v>
      </c>
      <c r="H734" t="n">
        <v>0</v>
      </c>
      <c r="I734" t="n">
        <v>0</v>
      </c>
      <c r="J734" t="n">
        <v>0</v>
      </c>
      <c r="K734" t="n">
        <v>0</v>
      </c>
      <c r="L734" t="n">
        <v>0</v>
      </c>
      <c r="M734" t="n">
        <v>0</v>
      </c>
      <c r="N734" t="n">
        <v>0</v>
      </c>
      <c r="O734" t="n">
        <v>0</v>
      </c>
      <c r="P734" t="n">
        <v>0</v>
      </c>
      <c r="Q734" t="n">
        <v>0</v>
      </c>
      <c r="R734" s="2" t="inlineStr"/>
    </row>
    <row r="735" ht="15" customHeight="1">
      <c r="A735" t="inlineStr">
        <is>
          <t>A 34464-2025</t>
        </is>
      </c>
      <c r="B735" s="1" t="n">
        <v>45847.34528935186</v>
      </c>
      <c r="C735" s="1" t="n">
        <v>46022</v>
      </c>
      <c r="D735" t="inlineStr">
        <is>
          <t>JÄMTLANDS LÄN</t>
        </is>
      </c>
      <c r="E735" t="inlineStr">
        <is>
          <t>RAGUNDA</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62115-2024</t>
        </is>
      </c>
      <c r="B736" s="1" t="n">
        <v>45656</v>
      </c>
      <c r="C736" s="1" t="n">
        <v>46022</v>
      </c>
      <c r="D736" t="inlineStr">
        <is>
          <t>JÄMTLANDS LÄN</t>
        </is>
      </c>
      <c r="E736" t="inlineStr">
        <is>
          <t>RAGUNDA</t>
        </is>
      </c>
      <c r="G736" t="n">
        <v>3.3</v>
      </c>
      <c r="H736" t="n">
        <v>0</v>
      </c>
      <c r="I736" t="n">
        <v>0</v>
      </c>
      <c r="J736" t="n">
        <v>0</v>
      </c>
      <c r="K736" t="n">
        <v>0</v>
      </c>
      <c r="L736" t="n">
        <v>0</v>
      </c>
      <c r="M736" t="n">
        <v>0</v>
      </c>
      <c r="N736" t="n">
        <v>0</v>
      </c>
      <c r="O736" t="n">
        <v>0</v>
      </c>
      <c r="P736" t="n">
        <v>0</v>
      </c>
      <c r="Q736" t="n">
        <v>0</v>
      </c>
      <c r="R736" s="2" t="inlineStr"/>
    </row>
    <row r="737" ht="15" customHeight="1">
      <c r="A737" t="inlineStr">
        <is>
          <t>A 34468-2025</t>
        </is>
      </c>
      <c r="B737" s="1" t="n">
        <v>45847.34597222223</v>
      </c>
      <c r="C737" s="1" t="n">
        <v>46022</v>
      </c>
      <c r="D737" t="inlineStr">
        <is>
          <t>JÄMTLANDS LÄN</t>
        </is>
      </c>
      <c r="E737" t="inlineStr">
        <is>
          <t>RAGUNDA</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12653-2024</t>
        </is>
      </c>
      <c r="B738" s="1" t="n">
        <v>45384</v>
      </c>
      <c r="C738" s="1" t="n">
        <v>46022</v>
      </c>
      <c r="D738" t="inlineStr">
        <is>
          <t>JÄMTLANDS LÄN</t>
        </is>
      </c>
      <c r="E738" t="inlineStr">
        <is>
          <t>RAGUNDA</t>
        </is>
      </c>
      <c r="G738" t="n">
        <v>1.1</v>
      </c>
      <c r="H738" t="n">
        <v>0</v>
      </c>
      <c r="I738" t="n">
        <v>0</v>
      </c>
      <c r="J738" t="n">
        <v>0</v>
      </c>
      <c r="K738" t="n">
        <v>0</v>
      </c>
      <c r="L738" t="n">
        <v>0</v>
      </c>
      <c r="M738" t="n">
        <v>0</v>
      </c>
      <c r="N738" t="n">
        <v>0</v>
      </c>
      <c r="O738" t="n">
        <v>0</v>
      </c>
      <c r="P738" t="n">
        <v>0</v>
      </c>
      <c r="Q738" t="n">
        <v>0</v>
      </c>
      <c r="R738" s="2" t="inlineStr"/>
    </row>
    <row r="739" ht="15" customHeight="1">
      <c r="A739" t="inlineStr">
        <is>
          <t>A 34466-2025</t>
        </is>
      </c>
      <c r="B739" s="1" t="n">
        <v>45847.34565972222</v>
      </c>
      <c r="C739" s="1" t="n">
        <v>46022</v>
      </c>
      <c r="D739" t="inlineStr">
        <is>
          <t>JÄMTLANDS LÄN</t>
        </is>
      </c>
      <c r="E739" t="inlineStr">
        <is>
          <t>RAGUNDA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34463-2025</t>
        </is>
      </c>
      <c r="B740" s="1" t="n">
        <v>45847.34515046296</v>
      </c>
      <c r="C740" s="1" t="n">
        <v>46022</v>
      </c>
      <c r="D740" t="inlineStr">
        <is>
          <t>JÄMTLANDS LÄN</t>
        </is>
      </c>
      <c r="E740" t="inlineStr">
        <is>
          <t>RAGUNDA</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50211-2023</t>
        </is>
      </c>
      <c r="B741" s="1" t="n">
        <v>45215.94657407407</v>
      </c>
      <c r="C741" s="1" t="n">
        <v>46022</v>
      </c>
      <c r="D741" t="inlineStr">
        <is>
          <t>JÄMTLANDS LÄN</t>
        </is>
      </c>
      <c r="E741" t="inlineStr">
        <is>
          <t>RAGUNDA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59214-2025</t>
        </is>
      </c>
      <c r="B742" s="1" t="n">
        <v>45988.61623842592</v>
      </c>
      <c r="C742" s="1" t="n">
        <v>46022</v>
      </c>
      <c r="D742" t="inlineStr">
        <is>
          <t>JÄMTLANDS LÄN</t>
        </is>
      </c>
      <c r="E742" t="inlineStr">
        <is>
          <t>RAGUNDA</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34586-2025</t>
        </is>
      </c>
      <c r="B743" s="1" t="n">
        <v>45847.61513888889</v>
      </c>
      <c r="C743" s="1" t="n">
        <v>46022</v>
      </c>
      <c r="D743" t="inlineStr">
        <is>
          <t>JÄMTLANDS LÄN</t>
        </is>
      </c>
      <c r="E743" t="inlineStr">
        <is>
          <t>RAGUNDA</t>
        </is>
      </c>
      <c r="G743" t="n">
        <v>1.6</v>
      </c>
      <c r="H743" t="n">
        <v>0</v>
      </c>
      <c r="I743" t="n">
        <v>0</v>
      </c>
      <c r="J743" t="n">
        <v>0</v>
      </c>
      <c r="K743" t="n">
        <v>0</v>
      </c>
      <c r="L743" t="n">
        <v>0</v>
      </c>
      <c r="M743" t="n">
        <v>0</v>
      </c>
      <c r="N743" t="n">
        <v>0</v>
      </c>
      <c r="O743" t="n">
        <v>0</v>
      </c>
      <c r="P743" t="n">
        <v>0</v>
      </c>
      <c r="Q743" t="n">
        <v>0</v>
      </c>
      <c r="R743" s="2" t="inlineStr"/>
    </row>
    <row r="744" ht="15" customHeight="1">
      <c r="A744" t="inlineStr">
        <is>
          <t>A 34588-2025</t>
        </is>
      </c>
      <c r="B744" s="1" t="n">
        <v>45847.61548611111</v>
      </c>
      <c r="C744" s="1" t="n">
        <v>46022</v>
      </c>
      <c r="D744" t="inlineStr">
        <is>
          <t>JÄMTLANDS LÄN</t>
        </is>
      </c>
      <c r="E744" t="inlineStr">
        <is>
          <t>RAGUNDA</t>
        </is>
      </c>
      <c r="G744" t="n">
        <v>32.3</v>
      </c>
      <c r="H744" t="n">
        <v>0</v>
      </c>
      <c r="I744" t="n">
        <v>0</v>
      </c>
      <c r="J744" t="n">
        <v>0</v>
      </c>
      <c r="K744" t="n">
        <v>0</v>
      </c>
      <c r="L744" t="n">
        <v>0</v>
      </c>
      <c r="M744" t="n">
        <v>0</v>
      </c>
      <c r="N744" t="n">
        <v>0</v>
      </c>
      <c r="O744" t="n">
        <v>0</v>
      </c>
      <c r="P744" t="n">
        <v>0</v>
      </c>
      <c r="Q744" t="n">
        <v>0</v>
      </c>
      <c r="R744" s="2" t="inlineStr"/>
    </row>
    <row r="745" ht="15" customHeight="1">
      <c r="A745" t="inlineStr">
        <is>
          <t>A 34296-2025</t>
        </is>
      </c>
      <c r="B745" s="1" t="n">
        <v>45846.34454861111</v>
      </c>
      <c r="C745" s="1" t="n">
        <v>46022</v>
      </c>
      <c r="D745" t="inlineStr">
        <is>
          <t>JÄMTLANDS LÄN</t>
        </is>
      </c>
      <c r="E745" t="inlineStr">
        <is>
          <t>RAGUNDA</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9232-2025</t>
        </is>
      </c>
      <c r="B746" s="1" t="n">
        <v>45714.55064814815</v>
      </c>
      <c r="C746" s="1" t="n">
        <v>46022</v>
      </c>
      <c r="D746" t="inlineStr">
        <is>
          <t>JÄMTLANDS LÄN</t>
        </is>
      </c>
      <c r="E746" t="inlineStr">
        <is>
          <t>RAGUNDA</t>
        </is>
      </c>
      <c r="G746" t="n">
        <v>1.9</v>
      </c>
      <c r="H746" t="n">
        <v>0</v>
      </c>
      <c r="I746" t="n">
        <v>0</v>
      </c>
      <c r="J746" t="n">
        <v>0</v>
      </c>
      <c r="K746" t="n">
        <v>0</v>
      </c>
      <c r="L746" t="n">
        <v>0</v>
      </c>
      <c r="M746" t="n">
        <v>0</v>
      </c>
      <c r="N746" t="n">
        <v>0</v>
      </c>
      <c r="O746" t="n">
        <v>0</v>
      </c>
      <c r="P746" t="n">
        <v>0</v>
      </c>
      <c r="Q746" t="n">
        <v>0</v>
      </c>
      <c r="R746" s="2" t="inlineStr"/>
    </row>
    <row r="747" ht="15" customHeight="1">
      <c r="A747" t="inlineStr">
        <is>
          <t>A 29775-2023</t>
        </is>
      </c>
      <c r="B747" s="1" t="n">
        <v>45098</v>
      </c>
      <c r="C747" s="1" t="n">
        <v>46022</v>
      </c>
      <c r="D747" t="inlineStr">
        <is>
          <t>JÄMTLANDS LÄN</t>
        </is>
      </c>
      <c r="E747" t="inlineStr">
        <is>
          <t>RAGUNDA</t>
        </is>
      </c>
      <c r="G747" t="n">
        <v>3.6</v>
      </c>
      <c r="H747" t="n">
        <v>0</v>
      </c>
      <c r="I747" t="n">
        <v>0</v>
      </c>
      <c r="J747" t="n">
        <v>0</v>
      </c>
      <c r="K747" t="n">
        <v>0</v>
      </c>
      <c r="L747" t="n">
        <v>0</v>
      </c>
      <c r="M747" t="n">
        <v>0</v>
      </c>
      <c r="N747" t="n">
        <v>0</v>
      </c>
      <c r="O747" t="n">
        <v>0</v>
      </c>
      <c r="P747" t="n">
        <v>0</v>
      </c>
      <c r="Q747" t="n">
        <v>0</v>
      </c>
      <c r="R747" s="2" t="inlineStr"/>
    </row>
    <row r="748" ht="15" customHeight="1">
      <c r="A748" t="inlineStr">
        <is>
          <t>A 34709-2025</t>
        </is>
      </c>
      <c r="B748" s="1" t="n">
        <v>45848.49761574074</v>
      </c>
      <c r="C748" s="1" t="n">
        <v>46022</v>
      </c>
      <c r="D748" t="inlineStr">
        <is>
          <t>JÄMTLANDS LÄN</t>
        </is>
      </c>
      <c r="E748" t="inlineStr">
        <is>
          <t>RAGUNDA</t>
        </is>
      </c>
      <c r="G748" t="n">
        <v>3.1</v>
      </c>
      <c r="H748" t="n">
        <v>0</v>
      </c>
      <c r="I748" t="n">
        <v>0</v>
      </c>
      <c r="J748" t="n">
        <v>0</v>
      </c>
      <c r="K748" t="n">
        <v>0</v>
      </c>
      <c r="L748" t="n">
        <v>0</v>
      </c>
      <c r="M748" t="n">
        <v>0</v>
      </c>
      <c r="N748" t="n">
        <v>0</v>
      </c>
      <c r="O748" t="n">
        <v>0</v>
      </c>
      <c r="P748" t="n">
        <v>0</v>
      </c>
      <c r="Q748" t="n">
        <v>0</v>
      </c>
      <c r="R748" s="2" t="inlineStr"/>
    </row>
    <row r="749" ht="15" customHeight="1">
      <c r="A749" t="inlineStr">
        <is>
          <t>A 51019-2025</t>
        </is>
      </c>
      <c r="B749" s="1" t="n">
        <v>45947.38623842593</v>
      </c>
      <c r="C749" s="1" t="n">
        <v>46022</v>
      </c>
      <c r="D749" t="inlineStr">
        <is>
          <t>JÄMTLANDS LÄN</t>
        </is>
      </c>
      <c r="E749" t="inlineStr">
        <is>
          <t>RAGUNDA</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34772-2025</t>
        </is>
      </c>
      <c r="B750" s="1" t="n">
        <v>45848.65658564815</v>
      </c>
      <c r="C750" s="1" t="n">
        <v>46022</v>
      </c>
      <c r="D750" t="inlineStr">
        <is>
          <t>JÄMTLANDS LÄN</t>
        </is>
      </c>
      <c r="E750" t="inlineStr">
        <is>
          <t>RAGUNDA</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34710-2025</t>
        </is>
      </c>
      <c r="B751" s="1" t="n">
        <v>45848.49774305556</v>
      </c>
      <c r="C751" s="1" t="n">
        <v>46022</v>
      </c>
      <c r="D751" t="inlineStr">
        <is>
          <t>JÄMTLANDS LÄN</t>
        </is>
      </c>
      <c r="E751" t="inlineStr">
        <is>
          <t>RAGUNDA</t>
        </is>
      </c>
      <c r="G751" t="n">
        <v>4.1</v>
      </c>
      <c r="H751" t="n">
        <v>0</v>
      </c>
      <c r="I751" t="n">
        <v>0</v>
      </c>
      <c r="J751" t="n">
        <v>0</v>
      </c>
      <c r="K751" t="n">
        <v>0</v>
      </c>
      <c r="L751" t="n">
        <v>0</v>
      </c>
      <c r="M751" t="n">
        <v>0</v>
      </c>
      <c r="N751" t="n">
        <v>0</v>
      </c>
      <c r="O751" t="n">
        <v>0</v>
      </c>
      <c r="P751" t="n">
        <v>0</v>
      </c>
      <c r="Q751" t="n">
        <v>0</v>
      </c>
      <c r="R751" s="2" t="inlineStr"/>
    </row>
    <row r="752" ht="15" customHeight="1">
      <c r="A752" t="inlineStr">
        <is>
          <t>A 44494-2024</t>
        </is>
      </c>
      <c r="B752" s="1" t="n">
        <v>45574.39081018518</v>
      </c>
      <c r="C752" s="1" t="n">
        <v>46022</v>
      </c>
      <c r="D752" t="inlineStr">
        <is>
          <t>JÄMTLANDS LÄN</t>
        </is>
      </c>
      <c r="E752" t="inlineStr">
        <is>
          <t>RAGUNDA</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59503-2025</t>
        </is>
      </c>
      <c r="B753" s="1" t="n">
        <v>45989.62703703704</v>
      </c>
      <c r="C753" s="1" t="n">
        <v>46022</v>
      </c>
      <c r="D753" t="inlineStr">
        <is>
          <t>JÄMTLANDS LÄN</t>
        </is>
      </c>
      <c r="E753" t="inlineStr">
        <is>
          <t>RAGUNDA</t>
        </is>
      </c>
      <c r="G753" t="n">
        <v>0.6</v>
      </c>
      <c r="H753" t="n">
        <v>0</v>
      </c>
      <c r="I753" t="n">
        <v>0</v>
      </c>
      <c r="J753" t="n">
        <v>0</v>
      </c>
      <c r="K753" t="n">
        <v>0</v>
      </c>
      <c r="L753" t="n">
        <v>0</v>
      </c>
      <c r="M753" t="n">
        <v>0</v>
      </c>
      <c r="N753" t="n">
        <v>0</v>
      </c>
      <c r="O753" t="n">
        <v>0</v>
      </c>
      <c r="P753" t="n">
        <v>0</v>
      </c>
      <c r="Q753" t="n">
        <v>0</v>
      </c>
      <c r="R753" s="2" t="inlineStr"/>
    </row>
    <row r="754" ht="15" customHeight="1">
      <c r="A754" t="inlineStr">
        <is>
          <t>A 34968-2025</t>
        </is>
      </c>
      <c r="B754" s="1" t="n">
        <v>45849.65663194445</v>
      </c>
      <c r="C754" s="1" t="n">
        <v>46022</v>
      </c>
      <c r="D754" t="inlineStr">
        <is>
          <t>JÄMTLANDS LÄN</t>
        </is>
      </c>
      <c r="E754" t="inlineStr">
        <is>
          <t>RAGUNDA</t>
        </is>
      </c>
      <c r="F754" t="inlineStr">
        <is>
          <t>SCA</t>
        </is>
      </c>
      <c r="G754" t="n">
        <v>20.2</v>
      </c>
      <c r="H754" t="n">
        <v>0</v>
      </c>
      <c r="I754" t="n">
        <v>0</v>
      </c>
      <c r="J754" t="n">
        <v>0</v>
      </c>
      <c r="K754" t="n">
        <v>0</v>
      </c>
      <c r="L754" t="n">
        <v>0</v>
      </c>
      <c r="M754" t="n">
        <v>0</v>
      </c>
      <c r="N754" t="n">
        <v>0</v>
      </c>
      <c r="O754" t="n">
        <v>0</v>
      </c>
      <c r="P754" t="n">
        <v>0</v>
      </c>
      <c r="Q754" t="n">
        <v>0</v>
      </c>
      <c r="R754" s="2" t="inlineStr"/>
    </row>
    <row r="755" ht="15" customHeight="1">
      <c r="A755" t="inlineStr">
        <is>
          <t>A 34998-2025</t>
        </is>
      </c>
      <c r="B755" s="1" t="n">
        <v>45850.34434027778</v>
      </c>
      <c r="C755" s="1" t="n">
        <v>46022</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34999-2025</t>
        </is>
      </c>
      <c r="B756" s="1" t="n">
        <v>45850.34450231482</v>
      </c>
      <c r="C756" s="1" t="n">
        <v>46022</v>
      </c>
      <c r="D756" t="inlineStr">
        <is>
          <t>JÄMTLANDS LÄN</t>
        </is>
      </c>
      <c r="E756" t="inlineStr">
        <is>
          <t>RAGUNDA</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13898-2023</t>
        </is>
      </c>
      <c r="B757" s="1" t="n">
        <v>45008.01408564814</v>
      </c>
      <c r="C757" s="1" t="n">
        <v>46022</v>
      </c>
      <c r="D757" t="inlineStr">
        <is>
          <t>JÄMTLANDS LÄN</t>
        </is>
      </c>
      <c r="E757" t="inlineStr">
        <is>
          <t>RAGUNDA</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50985-2025</t>
        </is>
      </c>
      <c r="B758" s="1" t="n">
        <v>45947.34506944445</v>
      </c>
      <c r="C758" s="1" t="n">
        <v>46022</v>
      </c>
      <c r="D758" t="inlineStr">
        <is>
          <t>JÄMTLANDS LÄN</t>
        </is>
      </c>
      <c r="E758" t="inlineStr">
        <is>
          <t>RAGUNDA</t>
        </is>
      </c>
      <c r="F758" t="inlineStr">
        <is>
          <t>SCA</t>
        </is>
      </c>
      <c r="G758" t="n">
        <v>8</v>
      </c>
      <c r="H758" t="n">
        <v>0</v>
      </c>
      <c r="I758" t="n">
        <v>0</v>
      </c>
      <c r="J758" t="n">
        <v>0</v>
      </c>
      <c r="K758" t="n">
        <v>0</v>
      </c>
      <c r="L758" t="n">
        <v>0</v>
      </c>
      <c r="M758" t="n">
        <v>0</v>
      </c>
      <c r="N758" t="n">
        <v>0</v>
      </c>
      <c r="O758" t="n">
        <v>0</v>
      </c>
      <c r="P758" t="n">
        <v>0</v>
      </c>
      <c r="Q758" t="n">
        <v>0</v>
      </c>
      <c r="R758" s="2" t="inlineStr"/>
    </row>
    <row r="759" ht="15" customHeight="1">
      <c r="A759" t="inlineStr">
        <is>
          <t>A 51034-2025</t>
        </is>
      </c>
      <c r="B759" s="1" t="n">
        <v>45947.40670138889</v>
      </c>
      <c r="C759" s="1" t="n">
        <v>46022</v>
      </c>
      <c r="D759" t="inlineStr">
        <is>
          <t>JÄMTLANDS LÄN</t>
        </is>
      </c>
      <c r="E759" t="inlineStr">
        <is>
          <t>RAGUNDA</t>
        </is>
      </c>
      <c r="F759" t="inlineStr">
        <is>
          <t>SCA</t>
        </is>
      </c>
      <c r="G759" t="n">
        <v>44.1</v>
      </c>
      <c r="H759" t="n">
        <v>0</v>
      </c>
      <c r="I759" t="n">
        <v>0</v>
      </c>
      <c r="J759" t="n">
        <v>0</v>
      </c>
      <c r="K759" t="n">
        <v>0</v>
      </c>
      <c r="L759" t="n">
        <v>0</v>
      </c>
      <c r="M759" t="n">
        <v>0</v>
      </c>
      <c r="N759" t="n">
        <v>0</v>
      </c>
      <c r="O759" t="n">
        <v>0</v>
      </c>
      <c r="P759" t="n">
        <v>0</v>
      </c>
      <c r="Q759" t="n">
        <v>0</v>
      </c>
      <c r="R759" s="2" t="inlineStr"/>
    </row>
    <row r="760" ht="15" customHeight="1">
      <c r="A760" t="inlineStr">
        <is>
          <t>A 35092-2025</t>
        </is>
      </c>
      <c r="B760" s="1" t="n">
        <v>45852.53185185185</v>
      </c>
      <c r="C760" s="1" t="n">
        <v>46022</v>
      </c>
      <c r="D760" t="inlineStr">
        <is>
          <t>JÄMTLANDS LÄN</t>
        </is>
      </c>
      <c r="E760" t="inlineStr">
        <is>
          <t>RAGUNDA</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59499-2025</t>
        </is>
      </c>
      <c r="B761" s="1" t="n">
        <v>45989.61846064815</v>
      </c>
      <c r="C761" s="1" t="n">
        <v>46022</v>
      </c>
      <c r="D761" t="inlineStr">
        <is>
          <t>JÄMTLANDS LÄN</t>
        </is>
      </c>
      <c r="E761" t="inlineStr">
        <is>
          <t>RAGUNDA</t>
        </is>
      </c>
      <c r="G761" t="n">
        <v>2</v>
      </c>
      <c r="H761" t="n">
        <v>0</v>
      </c>
      <c r="I761" t="n">
        <v>0</v>
      </c>
      <c r="J761" t="n">
        <v>0</v>
      </c>
      <c r="K761" t="n">
        <v>0</v>
      </c>
      <c r="L761" t="n">
        <v>0</v>
      </c>
      <c r="M761" t="n">
        <v>0</v>
      </c>
      <c r="N761" t="n">
        <v>0</v>
      </c>
      <c r="O761" t="n">
        <v>0</v>
      </c>
      <c r="P761" t="n">
        <v>0</v>
      </c>
      <c r="Q761" t="n">
        <v>0</v>
      </c>
      <c r="R761" s="2" t="inlineStr"/>
    </row>
    <row r="762" ht="15" customHeight="1">
      <c r="A762" t="inlineStr">
        <is>
          <t>A 35091-2025</t>
        </is>
      </c>
      <c r="B762" s="1" t="n">
        <v>45852.53168981482</v>
      </c>
      <c r="C762" s="1" t="n">
        <v>46022</v>
      </c>
      <c r="D762" t="inlineStr">
        <is>
          <t>JÄMTLANDS LÄN</t>
        </is>
      </c>
      <c r="E762" t="inlineStr">
        <is>
          <t>RAGUNDA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51592-2025</t>
        </is>
      </c>
      <c r="B763" s="1" t="n">
        <v>45951.36541666667</v>
      </c>
      <c r="C763" s="1" t="n">
        <v>46022</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35462-2025</t>
        </is>
      </c>
      <c r="B764" s="1" t="n">
        <v>45855.61523148148</v>
      </c>
      <c r="C764" s="1" t="n">
        <v>46022</v>
      </c>
      <c r="D764" t="inlineStr">
        <is>
          <t>JÄMTLANDS LÄN</t>
        </is>
      </c>
      <c r="E764" t="inlineStr">
        <is>
          <t>RAGUNDA</t>
        </is>
      </c>
      <c r="F764" t="inlineStr">
        <is>
          <t>SCA</t>
        </is>
      </c>
      <c r="G764" t="n">
        <v>5.7</v>
      </c>
      <c r="H764" t="n">
        <v>0</v>
      </c>
      <c r="I764" t="n">
        <v>0</v>
      </c>
      <c r="J764" t="n">
        <v>0</v>
      </c>
      <c r="K764" t="n">
        <v>0</v>
      </c>
      <c r="L764" t="n">
        <v>0</v>
      </c>
      <c r="M764" t="n">
        <v>0</v>
      </c>
      <c r="N764" t="n">
        <v>0</v>
      </c>
      <c r="O764" t="n">
        <v>0</v>
      </c>
      <c r="P764" t="n">
        <v>0</v>
      </c>
      <c r="Q764" t="n">
        <v>0</v>
      </c>
      <c r="R764" s="2" t="inlineStr"/>
    </row>
    <row r="765" ht="15" customHeight="1">
      <c r="A765" t="inlineStr">
        <is>
          <t>A 35355-2025</t>
        </is>
      </c>
      <c r="B765" s="1" t="n">
        <v>45854.65663194445</v>
      </c>
      <c r="C765" s="1" t="n">
        <v>46022</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35477-2025</t>
        </is>
      </c>
      <c r="B766" s="1" t="n">
        <v>45855.67899305555</v>
      </c>
      <c r="C766" s="1" t="n">
        <v>46022</v>
      </c>
      <c r="D766" t="inlineStr">
        <is>
          <t>JÄMTLANDS LÄN</t>
        </is>
      </c>
      <c r="E766" t="inlineStr">
        <is>
          <t>RAGUNDA</t>
        </is>
      </c>
      <c r="G766" t="n">
        <v>3.6</v>
      </c>
      <c r="H766" t="n">
        <v>0</v>
      </c>
      <c r="I766" t="n">
        <v>0</v>
      </c>
      <c r="J766" t="n">
        <v>0</v>
      </c>
      <c r="K766" t="n">
        <v>0</v>
      </c>
      <c r="L766" t="n">
        <v>0</v>
      </c>
      <c r="M766" t="n">
        <v>0</v>
      </c>
      <c r="N766" t="n">
        <v>0</v>
      </c>
      <c r="O766" t="n">
        <v>0</v>
      </c>
      <c r="P766" t="n">
        <v>0</v>
      </c>
      <c r="Q766" t="n">
        <v>0</v>
      </c>
      <c r="R766" s="2" t="inlineStr"/>
    </row>
    <row r="767" ht="15" customHeight="1">
      <c r="A767" t="inlineStr">
        <is>
          <t>A 26026-2024</t>
        </is>
      </c>
      <c r="B767" s="1" t="n">
        <v>45467.96207175926</v>
      </c>
      <c r="C767" s="1" t="n">
        <v>46022</v>
      </c>
      <c r="D767" t="inlineStr">
        <is>
          <t>JÄMTLANDS LÄN</t>
        </is>
      </c>
      <c r="E767" t="inlineStr">
        <is>
          <t>RAGUNDA</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51395-2025</t>
        </is>
      </c>
      <c r="B768" s="1" t="n">
        <v>45950.46989583333</v>
      </c>
      <c r="C768" s="1" t="n">
        <v>46022</v>
      </c>
      <c r="D768" t="inlineStr">
        <is>
          <t>JÄMTLANDS LÄN</t>
        </is>
      </c>
      <c r="E768" t="inlineStr">
        <is>
          <t>RAGUNDA</t>
        </is>
      </c>
      <c r="F768" t="inlineStr">
        <is>
          <t>SCA</t>
        </is>
      </c>
      <c r="G768" t="n">
        <v>30.7</v>
      </c>
      <c r="H768" t="n">
        <v>0</v>
      </c>
      <c r="I768" t="n">
        <v>0</v>
      </c>
      <c r="J768" t="n">
        <v>0</v>
      </c>
      <c r="K768" t="n">
        <v>0</v>
      </c>
      <c r="L768" t="n">
        <v>0</v>
      </c>
      <c r="M768" t="n">
        <v>0</v>
      </c>
      <c r="N768" t="n">
        <v>0</v>
      </c>
      <c r="O768" t="n">
        <v>0</v>
      </c>
      <c r="P768" t="n">
        <v>0</v>
      </c>
      <c r="Q768" t="n">
        <v>0</v>
      </c>
      <c r="R768" s="2" t="inlineStr"/>
    </row>
    <row r="769" ht="15" customHeight="1">
      <c r="A769" t="inlineStr">
        <is>
          <t>A 35541-2025</t>
        </is>
      </c>
      <c r="B769" s="1" t="n">
        <v>45856.46931712963</v>
      </c>
      <c r="C769" s="1" t="n">
        <v>46022</v>
      </c>
      <c r="D769" t="inlineStr">
        <is>
          <t>JÄMTLANDS LÄN</t>
        </is>
      </c>
      <c r="E769" t="inlineStr">
        <is>
          <t>RAGUNDA</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5429-2024</t>
        </is>
      </c>
      <c r="B770" s="1" t="n">
        <v>45331.92746527777</v>
      </c>
      <c r="C770" s="1" t="n">
        <v>46022</v>
      </c>
      <c r="D770" t="inlineStr">
        <is>
          <t>JÄMTLANDS LÄN</t>
        </is>
      </c>
      <c r="E770" t="inlineStr">
        <is>
          <t>RAGUNDA</t>
        </is>
      </c>
      <c r="G770" t="n">
        <v>1.1</v>
      </c>
      <c r="H770" t="n">
        <v>0</v>
      </c>
      <c r="I770" t="n">
        <v>0</v>
      </c>
      <c r="J770" t="n">
        <v>0</v>
      </c>
      <c r="K770" t="n">
        <v>0</v>
      </c>
      <c r="L770" t="n">
        <v>0</v>
      </c>
      <c r="M770" t="n">
        <v>0</v>
      </c>
      <c r="N770" t="n">
        <v>0</v>
      </c>
      <c r="O770" t="n">
        <v>0</v>
      </c>
      <c r="P770" t="n">
        <v>0</v>
      </c>
      <c r="Q770" t="n">
        <v>0</v>
      </c>
      <c r="R770" s="2" t="inlineStr"/>
    </row>
    <row r="771" ht="15" customHeight="1">
      <c r="A771" t="inlineStr">
        <is>
          <t>A 59692-2025</t>
        </is>
      </c>
      <c r="B771" s="1" t="n">
        <v>45992.49001157407</v>
      </c>
      <c r="C771" s="1" t="n">
        <v>46022</v>
      </c>
      <c r="D771" t="inlineStr">
        <is>
          <t>JÄMTLANDS LÄN</t>
        </is>
      </c>
      <c r="E771" t="inlineStr">
        <is>
          <t>RAGUNDA</t>
        </is>
      </c>
      <c r="G771" t="n">
        <v>2.7</v>
      </c>
      <c r="H771" t="n">
        <v>0</v>
      </c>
      <c r="I771" t="n">
        <v>0</v>
      </c>
      <c r="J771" t="n">
        <v>0</v>
      </c>
      <c r="K771" t="n">
        <v>0</v>
      </c>
      <c r="L771" t="n">
        <v>0</v>
      </c>
      <c r="M771" t="n">
        <v>0</v>
      </c>
      <c r="N771" t="n">
        <v>0</v>
      </c>
      <c r="O771" t="n">
        <v>0</v>
      </c>
      <c r="P771" t="n">
        <v>0</v>
      </c>
      <c r="Q771" t="n">
        <v>0</v>
      </c>
      <c r="R771" s="2" t="inlineStr"/>
    </row>
    <row r="772" ht="15" customHeight="1">
      <c r="A772" t="inlineStr">
        <is>
          <t>A 51678-2025</t>
        </is>
      </c>
      <c r="B772" s="1" t="n">
        <v>45951.51106481482</v>
      </c>
      <c r="C772" s="1" t="n">
        <v>46022</v>
      </c>
      <c r="D772" t="inlineStr">
        <is>
          <t>JÄMTLANDS LÄN</t>
        </is>
      </c>
      <c r="E772" t="inlineStr">
        <is>
          <t>RAGUNDA</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35658-2025</t>
        </is>
      </c>
      <c r="B773" s="1" t="n">
        <v>45859.594375</v>
      </c>
      <c r="C773" s="1" t="n">
        <v>46022</v>
      </c>
      <c r="D773" t="inlineStr">
        <is>
          <t>JÄMTLANDS LÄN</t>
        </is>
      </c>
      <c r="E773" t="inlineStr">
        <is>
          <t>RAGUNDA</t>
        </is>
      </c>
      <c r="F773" t="inlineStr">
        <is>
          <t>SCA</t>
        </is>
      </c>
      <c r="G773" t="n">
        <v>6</v>
      </c>
      <c r="H773" t="n">
        <v>0</v>
      </c>
      <c r="I773" t="n">
        <v>0</v>
      </c>
      <c r="J773" t="n">
        <v>0</v>
      </c>
      <c r="K773" t="n">
        <v>0</v>
      </c>
      <c r="L773" t="n">
        <v>0</v>
      </c>
      <c r="M773" t="n">
        <v>0</v>
      </c>
      <c r="N773" t="n">
        <v>0</v>
      </c>
      <c r="O773" t="n">
        <v>0</v>
      </c>
      <c r="P773" t="n">
        <v>0</v>
      </c>
      <c r="Q773" t="n">
        <v>0</v>
      </c>
      <c r="R773" s="2" t="inlineStr"/>
    </row>
    <row r="774" ht="15" customHeight="1">
      <c r="A774" t="inlineStr">
        <is>
          <t>A 59693-2025</t>
        </is>
      </c>
      <c r="B774" s="1" t="n">
        <v>45992.49009259259</v>
      </c>
      <c r="C774" s="1" t="n">
        <v>46022</v>
      </c>
      <c r="D774" t="inlineStr">
        <is>
          <t>JÄMTLANDS LÄN</t>
        </is>
      </c>
      <c r="E774" t="inlineStr">
        <is>
          <t>RAGUNDA</t>
        </is>
      </c>
      <c r="G774" t="n">
        <v>0.7</v>
      </c>
      <c r="H774" t="n">
        <v>0</v>
      </c>
      <c r="I774" t="n">
        <v>0</v>
      </c>
      <c r="J774" t="n">
        <v>0</v>
      </c>
      <c r="K774" t="n">
        <v>0</v>
      </c>
      <c r="L774" t="n">
        <v>0</v>
      </c>
      <c r="M774" t="n">
        <v>0</v>
      </c>
      <c r="N774" t="n">
        <v>0</v>
      </c>
      <c r="O774" t="n">
        <v>0</v>
      </c>
      <c r="P774" t="n">
        <v>0</v>
      </c>
      <c r="Q774" t="n">
        <v>0</v>
      </c>
      <c r="R774" s="2" t="inlineStr"/>
    </row>
    <row r="775" ht="15" customHeight="1">
      <c r="A775" t="inlineStr">
        <is>
          <t>A 35689-2025</t>
        </is>
      </c>
      <c r="B775" s="1" t="n">
        <v>45860.30229166667</v>
      </c>
      <c r="C775" s="1" t="n">
        <v>46022</v>
      </c>
      <c r="D775" t="inlineStr">
        <is>
          <t>JÄMTLANDS LÄN</t>
        </is>
      </c>
      <c r="E775" t="inlineStr">
        <is>
          <t>RAGUNDA</t>
        </is>
      </c>
      <c r="G775" t="n">
        <v>1.9</v>
      </c>
      <c r="H775" t="n">
        <v>0</v>
      </c>
      <c r="I775" t="n">
        <v>0</v>
      </c>
      <c r="J775" t="n">
        <v>0</v>
      </c>
      <c r="K775" t="n">
        <v>0</v>
      </c>
      <c r="L775" t="n">
        <v>0</v>
      </c>
      <c r="M775" t="n">
        <v>0</v>
      </c>
      <c r="N775" t="n">
        <v>0</v>
      </c>
      <c r="O775" t="n">
        <v>0</v>
      </c>
      <c r="P775" t="n">
        <v>0</v>
      </c>
      <c r="Q775" t="n">
        <v>0</v>
      </c>
      <c r="R775" s="2" t="inlineStr"/>
    </row>
    <row r="776" ht="15" customHeight="1">
      <c r="A776" t="inlineStr">
        <is>
          <t>A 3720-2025</t>
        </is>
      </c>
      <c r="B776" s="1" t="n">
        <v>45681.5315625</v>
      </c>
      <c r="C776" s="1" t="n">
        <v>46022</v>
      </c>
      <c r="D776" t="inlineStr">
        <is>
          <t>JÄMTLANDS LÄN</t>
        </is>
      </c>
      <c r="E776" t="inlineStr">
        <is>
          <t>RAGUNDA</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3770-2025</t>
        </is>
      </c>
      <c r="B777" s="1" t="n">
        <v>45681.6050925926</v>
      </c>
      <c r="C777" s="1" t="n">
        <v>46022</v>
      </c>
      <c r="D777" t="inlineStr">
        <is>
          <t>JÄMTLANDS LÄN</t>
        </is>
      </c>
      <c r="E777" t="inlineStr">
        <is>
          <t>RAGUNDA</t>
        </is>
      </c>
      <c r="G777" t="n">
        <v>2.7</v>
      </c>
      <c r="H777" t="n">
        <v>0</v>
      </c>
      <c r="I777" t="n">
        <v>0</v>
      </c>
      <c r="J777" t="n">
        <v>0</v>
      </c>
      <c r="K777" t="n">
        <v>0</v>
      </c>
      <c r="L777" t="n">
        <v>0</v>
      </c>
      <c r="M777" t="n">
        <v>0</v>
      </c>
      <c r="N777" t="n">
        <v>0</v>
      </c>
      <c r="O777" t="n">
        <v>0</v>
      </c>
      <c r="P777" t="n">
        <v>0</v>
      </c>
      <c r="Q777" t="n">
        <v>0</v>
      </c>
      <c r="R777" s="2" t="inlineStr"/>
    </row>
    <row r="778" ht="15" customHeight="1">
      <c r="A778" t="inlineStr">
        <is>
          <t>A 51579-2024</t>
        </is>
      </c>
      <c r="B778" s="1" t="n">
        <v>45604.63575231482</v>
      </c>
      <c r="C778" s="1" t="n">
        <v>46022</v>
      </c>
      <c r="D778" t="inlineStr">
        <is>
          <t>JÄMTLANDS LÄN</t>
        </is>
      </c>
      <c r="E778" t="inlineStr">
        <is>
          <t>RAGUNDA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57914-2025</t>
        </is>
      </c>
      <c r="B779" s="1" t="n">
        <v>45981</v>
      </c>
      <c r="C779" s="1" t="n">
        <v>46022</v>
      </c>
      <c r="D779" t="inlineStr">
        <is>
          <t>JÄMTLANDS LÄN</t>
        </is>
      </c>
      <c r="E779" t="inlineStr">
        <is>
          <t>RAGUNDA</t>
        </is>
      </c>
      <c r="G779" t="n">
        <v>3.2</v>
      </c>
      <c r="H779" t="n">
        <v>0</v>
      </c>
      <c r="I779" t="n">
        <v>0</v>
      </c>
      <c r="J779" t="n">
        <v>0</v>
      </c>
      <c r="K779" t="n">
        <v>0</v>
      </c>
      <c r="L779" t="n">
        <v>0</v>
      </c>
      <c r="M779" t="n">
        <v>0</v>
      </c>
      <c r="N779" t="n">
        <v>0</v>
      </c>
      <c r="O779" t="n">
        <v>0</v>
      </c>
      <c r="P779" t="n">
        <v>0</v>
      </c>
      <c r="Q779" t="n">
        <v>0</v>
      </c>
      <c r="R779" s="2" t="inlineStr"/>
    </row>
    <row r="780" ht="15" customHeight="1">
      <c r="A780" t="inlineStr">
        <is>
          <t>A 8775-2025</t>
        </is>
      </c>
      <c r="B780" s="1" t="n">
        <v>45712.61502314815</v>
      </c>
      <c r="C780" s="1" t="n">
        <v>46022</v>
      </c>
      <c r="D780" t="inlineStr">
        <is>
          <t>JÄMTLANDS LÄN</t>
        </is>
      </c>
      <c r="E780" t="inlineStr">
        <is>
          <t>RAGUNDA</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54092-2024</t>
        </is>
      </c>
      <c r="B781" s="1" t="n">
        <v>45616.5108912037</v>
      </c>
      <c r="C781" s="1" t="n">
        <v>46022</v>
      </c>
      <c r="D781" t="inlineStr">
        <is>
          <t>JÄMTLANDS LÄN</t>
        </is>
      </c>
      <c r="E781" t="inlineStr">
        <is>
          <t>RAGUNDA</t>
        </is>
      </c>
      <c r="F781" t="inlineStr">
        <is>
          <t>Naturvårdsverket</t>
        </is>
      </c>
      <c r="G781" t="n">
        <v>1.3</v>
      </c>
      <c r="H781" t="n">
        <v>0</v>
      </c>
      <c r="I781" t="n">
        <v>0</v>
      </c>
      <c r="J781" t="n">
        <v>0</v>
      </c>
      <c r="K781" t="n">
        <v>0</v>
      </c>
      <c r="L781" t="n">
        <v>0</v>
      </c>
      <c r="M781" t="n">
        <v>0</v>
      </c>
      <c r="N781" t="n">
        <v>0</v>
      </c>
      <c r="O781" t="n">
        <v>0</v>
      </c>
      <c r="P781" t="n">
        <v>0</v>
      </c>
      <c r="Q781" t="n">
        <v>0</v>
      </c>
      <c r="R781" s="2" t="inlineStr"/>
    </row>
    <row r="782" ht="15" customHeight="1">
      <c r="A782" t="inlineStr">
        <is>
          <t>A 59931-2025</t>
        </is>
      </c>
      <c r="B782" s="1" t="n">
        <v>45993.40177083333</v>
      </c>
      <c r="C782" s="1" t="n">
        <v>46022</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51593-2025</t>
        </is>
      </c>
      <c r="B783" s="1" t="n">
        <v>45951.36548611111</v>
      </c>
      <c r="C783" s="1" t="n">
        <v>46022</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2339-2025</t>
        </is>
      </c>
      <c r="B784" s="1" t="n">
        <v>45673.66358796296</v>
      </c>
      <c r="C784" s="1" t="n">
        <v>46022</v>
      </c>
      <c r="D784" t="inlineStr">
        <is>
          <t>JÄMTLANDS LÄN</t>
        </is>
      </c>
      <c r="E784" t="inlineStr">
        <is>
          <t>RAGUNDA</t>
        </is>
      </c>
      <c r="G784" t="n">
        <v>5</v>
      </c>
      <c r="H784" t="n">
        <v>0</v>
      </c>
      <c r="I784" t="n">
        <v>0</v>
      </c>
      <c r="J784" t="n">
        <v>0</v>
      </c>
      <c r="K784" t="n">
        <v>0</v>
      </c>
      <c r="L784" t="n">
        <v>0</v>
      </c>
      <c r="M784" t="n">
        <v>0</v>
      </c>
      <c r="N784" t="n">
        <v>0</v>
      </c>
      <c r="O784" t="n">
        <v>0</v>
      </c>
      <c r="P784" t="n">
        <v>0</v>
      </c>
      <c r="Q784" t="n">
        <v>0</v>
      </c>
      <c r="R784" s="2" t="inlineStr"/>
    </row>
    <row r="785" ht="15" customHeight="1">
      <c r="A785" t="inlineStr">
        <is>
          <t>A 27499-2024</t>
        </is>
      </c>
      <c r="B785" s="1" t="n">
        <v>45474.50608796296</v>
      </c>
      <c r="C785" s="1" t="n">
        <v>46022</v>
      </c>
      <c r="D785" t="inlineStr">
        <is>
          <t>JÄMTLANDS LÄN</t>
        </is>
      </c>
      <c r="E785" t="inlineStr">
        <is>
          <t>RAGUNDA</t>
        </is>
      </c>
      <c r="G785" t="n">
        <v>1.3</v>
      </c>
      <c r="H785" t="n">
        <v>0</v>
      </c>
      <c r="I785" t="n">
        <v>0</v>
      </c>
      <c r="J785" t="n">
        <v>0</v>
      </c>
      <c r="K785" t="n">
        <v>0</v>
      </c>
      <c r="L785" t="n">
        <v>0</v>
      </c>
      <c r="M785" t="n">
        <v>0</v>
      </c>
      <c r="N785" t="n">
        <v>0</v>
      </c>
      <c r="O785" t="n">
        <v>0</v>
      </c>
      <c r="P785" t="n">
        <v>0</v>
      </c>
      <c r="Q785" t="n">
        <v>0</v>
      </c>
      <c r="R785" s="2" t="inlineStr"/>
    </row>
    <row r="786" ht="15" customHeight="1">
      <c r="A786" t="inlineStr">
        <is>
          <t>A 57078-2023</t>
        </is>
      </c>
      <c r="B786" s="1" t="n">
        <v>45244.96774305555</v>
      </c>
      <c r="C786" s="1" t="n">
        <v>46022</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59368-2022</t>
        </is>
      </c>
      <c r="B787" s="1" t="n">
        <v>44904.94824074074</v>
      </c>
      <c r="C787" s="1" t="n">
        <v>46022</v>
      </c>
      <c r="D787" t="inlineStr">
        <is>
          <t>JÄMTLANDS LÄN</t>
        </is>
      </c>
      <c r="E787" t="inlineStr">
        <is>
          <t>RAGUNDA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36541-2025</t>
        </is>
      </c>
      <c r="B788" s="1" t="n">
        <v>45869.65666666667</v>
      </c>
      <c r="C788" s="1" t="n">
        <v>46022</v>
      </c>
      <c r="D788" t="inlineStr">
        <is>
          <t>JÄMTLANDS LÄN</t>
        </is>
      </c>
      <c r="E788" t="inlineStr">
        <is>
          <t>RAGUNDA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36544-2025</t>
        </is>
      </c>
      <c r="B789" s="1" t="n">
        <v>45869.67744212963</v>
      </c>
      <c r="C789" s="1" t="n">
        <v>46022</v>
      </c>
      <c r="D789" t="inlineStr">
        <is>
          <t>JÄMTLANDS LÄN</t>
        </is>
      </c>
      <c r="E789" t="inlineStr">
        <is>
          <t>RAGUNDA</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6801-2023</t>
        </is>
      </c>
      <c r="B790" s="1" t="n">
        <v>44966.95328703704</v>
      </c>
      <c r="C790" s="1" t="n">
        <v>46022</v>
      </c>
      <c r="D790" t="inlineStr">
        <is>
          <t>JÄMTLANDS LÄN</t>
        </is>
      </c>
      <c r="E790" t="inlineStr">
        <is>
          <t>RAGUNDA</t>
        </is>
      </c>
      <c r="F790" t="inlineStr">
        <is>
          <t>SCA</t>
        </is>
      </c>
      <c r="G790" t="n">
        <v>10.6</v>
      </c>
      <c r="H790" t="n">
        <v>0</v>
      </c>
      <c r="I790" t="n">
        <v>0</v>
      </c>
      <c r="J790" t="n">
        <v>0</v>
      </c>
      <c r="K790" t="n">
        <v>0</v>
      </c>
      <c r="L790" t="n">
        <v>0</v>
      </c>
      <c r="M790" t="n">
        <v>0</v>
      </c>
      <c r="N790" t="n">
        <v>0</v>
      </c>
      <c r="O790" t="n">
        <v>0</v>
      </c>
      <c r="P790" t="n">
        <v>0</v>
      </c>
      <c r="Q790" t="n">
        <v>0</v>
      </c>
      <c r="R790" s="2" t="inlineStr"/>
    </row>
    <row r="791" ht="15" customHeight="1">
      <c r="A791" t="inlineStr">
        <is>
          <t>A 60062-2025</t>
        </is>
      </c>
      <c r="B791" s="1" t="n">
        <v>45993.65694444445</v>
      </c>
      <c r="C791" s="1" t="n">
        <v>46022</v>
      </c>
      <c r="D791" t="inlineStr">
        <is>
          <t>JÄMTLANDS LÄN</t>
        </is>
      </c>
      <c r="E791" t="inlineStr">
        <is>
          <t>RAGUNDA</t>
        </is>
      </c>
      <c r="F791" t="inlineStr">
        <is>
          <t>SCA</t>
        </is>
      </c>
      <c r="G791" t="n">
        <v>5.8</v>
      </c>
      <c r="H791" t="n">
        <v>0</v>
      </c>
      <c r="I791" t="n">
        <v>0</v>
      </c>
      <c r="J791" t="n">
        <v>0</v>
      </c>
      <c r="K791" t="n">
        <v>0</v>
      </c>
      <c r="L791" t="n">
        <v>0</v>
      </c>
      <c r="M791" t="n">
        <v>0</v>
      </c>
      <c r="N791" t="n">
        <v>0</v>
      </c>
      <c r="O791" t="n">
        <v>0</v>
      </c>
      <c r="P791" t="n">
        <v>0</v>
      </c>
      <c r="Q791" t="n">
        <v>0</v>
      </c>
      <c r="R791" s="2" t="inlineStr"/>
    </row>
    <row r="792" ht="15" customHeight="1">
      <c r="A792" t="inlineStr">
        <is>
          <t>A 41656-2023</t>
        </is>
      </c>
      <c r="B792" s="1" t="n">
        <v>45175</v>
      </c>
      <c r="C792" s="1" t="n">
        <v>46022</v>
      </c>
      <c r="D792" t="inlineStr">
        <is>
          <t>JÄMTLANDS LÄN</t>
        </is>
      </c>
      <c r="E792" t="inlineStr">
        <is>
          <t>RAGUNDA</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36553-2025</t>
        </is>
      </c>
      <c r="B793" s="1" t="n">
        <v>45870.34439814815</v>
      </c>
      <c r="C793" s="1" t="n">
        <v>46022</v>
      </c>
      <c r="D793" t="inlineStr">
        <is>
          <t>JÄMTLANDS LÄN</t>
        </is>
      </c>
      <c r="E793" t="inlineStr">
        <is>
          <t>RAGUNDA</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59738-2025</t>
        </is>
      </c>
      <c r="B794" s="1" t="n">
        <v>45992.57408564815</v>
      </c>
      <c r="C794" s="1" t="n">
        <v>46022</v>
      </c>
      <c r="D794" t="inlineStr">
        <is>
          <t>JÄMTLANDS LÄN</t>
        </is>
      </c>
      <c r="E794" t="inlineStr">
        <is>
          <t>RAGUNDA</t>
        </is>
      </c>
      <c r="F794" t="inlineStr">
        <is>
          <t>SCA</t>
        </is>
      </c>
      <c r="G794" t="n">
        <v>12.5</v>
      </c>
      <c r="H794" t="n">
        <v>0</v>
      </c>
      <c r="I794" t="n">
        <v>0</v>
      </c>
      <c r="J794" t="n">
        <v>0</v>
      </c>
      <c r="K794" t="n">
        <v>0</v>
      </c>
      <c r="L794" t="n">
        <v>0</v>
      </c>
      <c r="M794" t="n">
        <v>0</v>
      </c>
      <c r="N794" t="n">
        <v>0</v>
      </c>
      <c r="O794" t="n">
        <v>0</v>
      </c>
      <c r="P794" t="n">
        <v>0</v>
      </c>
      <c r="Q794" t="n">
        <v>0</v>
      </c>
      <c r="R794" s="2" t="inlineStr"/>
    </row>
    <row r="795" ht="15" customHeight="1">
      <c r="A795" t="inlineStr">
        <is>
          <t>A 51646-2023</t>
        </is>
      </c>
      <c r="B795" s="1" t="n">
        <v>45215</v>
      </c>
      <c r="C795" s="1" t="n">
        <v>46022</v>
      </c>
      <c r="D795" t="inlineStr">
        <is>
          <t>JÄMTLANDS LÄN</t>
        </is>
      </c>
      <c r="E795" t="inlineStr">
        <is>
          <t>RAGUNDA</t>
        </is>
      </c>
      <c r="G795" t="n">
        <v>0.7</v>
      </c>
      <c r="H795" t="n">
        <v>0</v>
      </c>
      <c r="I795" t="n">
        <v>0</v>
      </c>
      <c r="J795" t="n">
        <v>0</v>
      </c>
      <c r="K795" t="n">
        <v>0</v>
      </c>
      <c r="L795" t="n">
        <v>0</v>
      </c>
      <c r="M795" t="n">
        <v>0</v>
      </c>
      <c r="N795" t="n">
        <v>0</v>
      </c>
      <c r="O795" t="n">
        <v>0</v>
      </c>
      <c r="P795" t="n">
        <v>0</v>
      </c>
      <c r="Q795" t="n">
        <v>0</v>
      </c>
      <c r="R795" s="2" t="inlineStr"/>
    </row>
    <row r="796" ht="15" customHeight="1">
      <c r="A796" t="inlineStr">
        <is>
          <t>A 37268-2024</t>
        </is>
      </c>
      <c r="B796" s="1" t="n">
        <v>45540.38586805556</v>
      </c>
      <c r="C796" s="1" t="n">
        <v>46022</v>
      </c>
      <c r="D796" t="inlineStr">
        <is>
          <t>JÄMTLANDS LÄN</t>
        </is>
      </c>
      <c r="E796" t="inlineStr">
        <is>
          <t>RAGUNDA</t>
        </is>
      </c>
      <c r="F796" t="inlineStr">
        <is>
          <t>SCA</t>
        </is>
      </c>
      <c r="G796" t="n">
        <v>6.3</v>
      </c>
      <c r="H796" t="n">
        <v>0</v>
      </c>
      <c r="I796" t="n">
        <v>0</v>
      </c>
      <c r="J796" t="n">
        <v>0</v>
      </c>
      <c r="K796" t="n">
        <v>0</v>
      </c>
      <c r="L796" t="n">
        <v>0</v>
      </c>
      <c r="M796" t="n">
        <v>0</v>
      </c>
      <c r="N796" t="n">
        <v>0</v>
      </c>
      <c r="O796" t="n">
        <v>0</v>
      </c>
      <c r="P796" t="n">
        <v>0</v>
      </c>
      <c r="Q796" t="n">
        <v>0</v>
      </c>
      <c r="R796" s="2" t="inlineStr"/>
    </row>
    <row r="797" ht="15" customHeight="1">
      <c r="A797" t="inlineStr">
        <is>
          <t>A 14512-2025</t>
        </is>
      </c>
      <c r="B797" s="1" t="n">
        <v>45741.63659722222</v>
      </c>
      <c r="C797" s="1" t="n">
        <v>46022</v>
      </c>
      <c r="D797" t="inlineStr">
        <is>
          <t>JÄMTLANDS LÄN</t>
        </is>
      </c>
      <c r="E797" t="inlineStr">
        <is>
          <t>RAGUNDA</t>
        </is>
      </c>
      <c r="F797" t="inlineStr">
        <is>
          <t>SCA</t>
        </is>
      </c>
      <c r="G797" t="n">
        <v>8.9</v>
      </c>
      <c r="H797" t="n">
        <v>0</v>
      </c>
      <c r="I797" t="n">
        <v>0</v>
      </c>
      <c r="J797" t="n">
        <v>0</v>
      </c>
      <c r="K797" t="n">
        <v>0</v>
      </c>
      <c r="L797" t="n">
        <v>0</v>
      </c>
      <c r="M797" t="n">
        <v>0</v>
      </c>
      <c r="N797" t="n">
        <v>0</v>
      </c>
      <c r="O797" t="n">
        <v>0</v>
      </c>
      <c r="P797" t="n">
        <v>0</v>
      </c>
      <c r="Q797" t="n">
        <v>0</v>
      </c>
      <c r="R797" s="2" t="inlineStr"/>
    </row>
    <row r="798" ht="15" customHeight="1">
      <c r="A798" t="inlineStr">
        <is>
          <t>A 51484-2025</t>
        </is>
      </c>
      <c r="B798" s="1" t="n">
        <v>45950.62196759259</v>
      </c>
      <c r="C798" s="1" t="n">
        <v>46022</v>
      </c>
      <c r="D798" t="inlineStr">
        <is>
          <t>JÄMTLANDS LÄN</t>
        </is>
      </c>
      <c r="E798" t="inlineStr">
        <is>
          <t>RAGUNDA</t>
        </is>
      </c>
      <c r="F798" t="inlineStr">
        <is>
          <t>SCA</t>
        </is>
      </c>
      <c r="G798" t="n">
        <v>23.1</v>
      </c>
      <c r="H798" t="n">
        <v>0</v>
      </c>
      <c r="I798" t="n">
        <v>0</v>
      </c>
      <c r="J798" t="n">
        <v>0</v>
      </c>
      <c r="K798" t="n">
        <v>0</v>
      </c>
      <c r="L798" t="n">
        <v>0</v>
      </c>
      <c r="M798" t="n">
        <v>0</v>
      </c>
      <c r="N798" t="n">
        <v>0</v>
      </c>
      <c r="O798" t="n">
        <v>0</v>
      </c>
      <c r="P798" t="n">
        <v>0</v>
      </c>
      <c r="Q798" t="n">
        <v>0</v>
      </c>
      <c r="R798" s="2" t="inlineStr"/>
    </row>
    <row r="799" ht="15" customHeight="1">
      <c r="A799" t="inlineStr">
        <is>
          <t>A 51491-2025</t>
        </is>
      </c>
      <c r="B799" s="1" t="n">
        <v>45950.63362268519</v>
      </c>
      <c r="C799" s="1" t="n">
        <v>46022</v>
      </c>
      <c r="D799" t="inlineStr">
        <is>
          <t>JÄMTLANDS LÄN</t>
        </is>
      </c>
      <c r="E799" t="inlineStr">
        <is>
          <t>RAGUNDA</t>
        </is>
      </c>
      <c r="G799" t="n">
        <v>1.1</v>
      </c>
      <c r="H799" t="n">
        <v>0</v>
      </c>
      <c r="I799" t="n">
        <v>0</v>
      </c>
      <c r="J799" t="n">
        <v>0</v>
      </c>
      <c r="K799" t="n">
        <v>0</v>
      </c>
      <c r="L799" t="n">
        <v>0</v>
      </c>
      <c r="M799" t="n">
        <v>0</v>
      </c>
      <c r="N799" t="n">
        <v>0</v>
      </c>
      <c r="O799" t="n">
        <v>0</v>
      </c>
      <c r="P799" t="n">
        <v>0</v>
      </c>
      <c r="Q799" t="n">
        <v>0</v>
      </c>
      <c r="R799" s="2" t="inlineStr"/>
    </row>
    <row r="800" ht="15" customHeight="1">
      <c r="A800" t="inlineStr">
        <is>
          <t>A 50649-2022</t>
        </is>
      </c>
      <c r="B800" s="1" t="n">
        <v>44866</v>
      </c>
      <c r="C800" s="1" t="n">
        <v>46022</v>
      </c>
      <c r="D800" t="inlineStr">
        <is>
          <t>JÄMTLANDS LÄN</t>
        </is>
      </c>
      <c r="E800" t="inlineStr">
        <is>
          <t>RAGUNDA</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59759-2024</t>
        </is>
      </c>
      <c r="B801" s="1" t="n">
        <v>45639.55240740741</v>
      </c>
      <c r="C801" s="1" t="n">
        <v>46022</v>
      </c>
      <c r="D801" t="inlineStr">
        <is>
          <t>JÄMTLANDS LÄN</t>
        </is>
      </c>
      <c r="E801" t="inlineStr">
        <is>
          <t>RAGUNDA</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35537-2021</t>
        </is>
      </c>
      <c r="B802" s="1" t="n">
        <v>44384</v>
      </c>
      <c r="C802" s="1" t="n">
        <v>46022</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2819-2023</t>
        </is>
      </c>
      <c r="B803" s="1" t="n">
        <v>44944</v>
      </c>
      <c r="C803" s="1" t="n">
        <v>46022</v>
      </c>
      <c r="D803" t="inlineStr">
        <is>
          <t>JÄMTLANDS LÄN</t>
        </is>
      </c>
      <c r="E803" t="inlineStr">
        <is>
          <t>RAGUNDA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59740-2025</t>
        </is>
      </c>
      <c r="B804" s="1" t="n">
        <v>45992.5743287037</v>
      </c>
      <c r="C804" s="1" t="n">
        <v>46022</v>
      </c>
      <c r="D804" t="inlineStr">
        <is>
          <t>JÄMTLANDS LÄN</t>
        </is>
      </c>
      <c r="E804" t="inlineStr">
        <is>
          <t>RAGUNDA</t>
        </is>
      </c>
      <c r="F804" t="inlineStr">
        <is>
          <t>SCA</t>
        </is>
      </c>
      <c r="G804" t="n">
        <v>14.1</v>
      </c>
      <c r="H804" t="n">
        <v>0</v>
      </c>
      <c r="I804" t="n">
        <v>0</v>
      </c>
      <c r="J804" t="n">
        <v>0</v>
      </c>
      <c r="K804" t="n">
        <v>0</v>
      </c>
      <c r="L804" t="n">
        <v>0</v>
      </c>
      <c r="M804" t="n">
        <v>0</v>
      </c>
      <c r="N804" t="n">
        <v>0</v>
      </c>
      <c r="O804" t="n">
        <v>0</v>
      </c>
      <c r="P804" t="n">
        <v>0</v>
      </c>
      <c r="Q804" t="n">
        <v>0</v>
      </c>
      <c r="R804" s="2" t="inlineStr"/>
    </row>
    <row r="805" ht="15" customHeight="1">
      <c r="A805" t="inlineStr">
        <is>
          <t>A 32075-2025</t>
        </is>
      </c>
      <c r="B805" s="1" t="n">
        <v>45835.4506712963</v>
      </c>
      <c r="C805" s="1" t="n">
        <v>46022</v>
      </c>
      <c r="D805" t="inlineStr">
        <is>
          <t>JÄMTLANDS LÄN</t>
        </is>
      </c>
      <c r="E805" t="inlineStr">
        <is>
          <t>RAGUNDA</t>
        </is>
      </c>
      <c r="G805" t="n">
        <v>1.1</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46022</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59739-2025</t>
        </is>
      </c>
      <c r="B807" s="1" t="n">
        <v>45992.57417824074</v>
      </c>
      <c r="C807" s="1" t="n">
        <v>46022</v>
      </c>
      <c r="D807" t="inlineStr">
        <is>
          <t>JÄMTLANDS LÄN</t>
        </is>
      </c>
      <c r="E807" t="inlineStr">
        <is>
          <t>RAGUNDA</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51791-2025</t>
        </is>
      </c>
      <c r="B808" s="1" t="n">
        <v>45951.69833333333</v>
      </c>
      <c r="C808" s="1" t="n">
        <v>46022</v>
      </c>
      <c r="D808" t="inlineStr">
        <is>
          <t>JÄMTLANDS LÄN</t>
        </is>
      </c>
      <c r="E808" t="inlineStr">
        <is>
          <t>RAGUNDA</t>
        </is>
      </c>
      <c r="F808" t="inlineStr">
        <is>
          <t>SCA</t>
        </is>
      </c>
      <c r="G808" t="n">
        <v>43.3</v>
      </c>
      <c r="H808" t="n">
        <v>0</v>
      </c>
      <c r="I808" t="n">
        <v>0</v>
      </c>
      <c r="J808" t="n">
        <v>0</v>
      </c>
      <c r="K808" t="n">
        <v>0</v>
      </c>
      <c r="L808" t="n">
        <v>0</v>
      </c>
      <c r="M808" t="n">
        <v>0</v>
      </c>
      <c r="N808" t="n">
        <v>0</v>
      </c>
      <c r="O808" t="n">
        <v>0</v>
      </c>
      <c r="P808" t="n">
        <v>0</v>
      </c>
      <c r="Q808" t="n">
        <v>0</v>
      </c>
      <c r="R808" s="2" t="inlineStr"/>
    </row>
    <row r="809" ht="15" customHeight="1">
      <c r="A809" t="inlineStr">
        <is>
          <t>A 32874-2025</t>
        </is>
      </c>
      <c r="B809" s="1" t="n">
        <v>45839</v>
      </c>
      <c r="C809" s="1" t="n">
        <v>46022</v>
      </c>
      <c r="D809" t="inlineStr">
        <is>
          <t>JÄMTLANDS LÄN</t>
        </is>
      </c>
      <c r="E809" t="inlineStr">
        <is>
          <t>RAGUNDA</t>
        </is>
      </c>
      <c r="G809" t="n">
        <v>2.3</v>
      </c>
      <c r="H809" t="n">
        <v>0</v>
      </c>
      <c r="I809" t="n">
        <v>0</v>
      </c>
      <c r="J809" t="n">
        <v>0</v>
      </c>
      <c r="K809" t="n">
        <v>0</v>
      </c>
      <c r="L809" t="n">
        <v>0</v>
      </c>
      <c r="M809" t="n">
        <v>0</v>
      </c>
      <c r="N809" t="n">
        <v>0</v>
      </c>
      <c r="O809" t="n">
        <v>0</v>
      </c>
      <c r="P809" t="n">
        <v>0</v>
      </c>
      <c r="Q809" t="n">
        <v>0</v>
      </c>
      <c r="R809" s="2" t="inlineStr"/>
    </row>
    <row r="810" ht="15" customHeight="1">
      <c r="A810" t="inlineStr">
        <is>
          <t>A 36994-2025</t>
        </is>
      </c>
      <c r="B810" s="1" t="n">
        <v>45874.67746527777</v>
      </c>
      <c r="C810" s="1" t="n">
        <v>46022</v>
      </c>
      <c r="D810" t="inlineStr">
        <is>
          <t>JÄMTLANDS LÄN</t>
        </is>
      </c>
      <c r="E810" t="inlineStr">
        <is>
          <t>RAGUNDA</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57915-2025</t>
        </is>
      </c>
      <c r="B811" s="1" t="n">
        <v>45981</v>
      </c>
      <c r="C811" s="1" t="n">
        <v>46022</v>
      </c>
      <c r="D811" t="inlineStr">
        <is>
          <t>JÄMTLANDS LÄN</t>
        </is>
      </c>
      <c r="E811" t="inlineStr">
        <is>
          <t>RAGUNDA</t>
        </is>
      </c>
      <c r="G811" t="n">
        <v>6.4</v>
      </c>
      <c r="H811" t="n">
        <v>0</v>
      </c>
      <c r="I811" t="n">
        <v>0</v>
      </c>
      <c r="J811" t="n">
        <v>0</v>
      </c>
      <c r="K811" t="n">
        <v>0</v>
      </c>
      <c r="L811" t="n">
        <v>0</v>
      </c>
      <c r="M811" t="n">
        <v>0</v>
      </c>
      <c r="N811" t="n">
        <v>0</v>
      </c>
      <c r="O811" t="n">
        <v>0</v>
      </c>
      <c r="P811" t="n">
        <v>0</v>
      </c>
      <c r="Q811" t="n">
        <v>0</v>
      </c>
      <c r="R811" s="2" t="inlineStr"/>
    </row>
    <row r="812" ht="15" customHeight="1">
      <c r="A812" t="inlineStr">
        <is>
          <t>A 51702-2025</t>
        </is>
      </c>
      <c r="B812" s="1" t="n">
        <v>45951.55305555555</v>
      </c>
      <c r="C812" s="1" t="n">
        <v>46022</v>
      </c>
      <c r="D812" t="inlineStr">
        <is>
          <t>JÄMTLANDS LÄN</t>
        </is>
      </c>
      <c r="E812" t="inlineStr">
        <is>
          <t>RAGUNDA</t>
        </is>
      </c>
      <c r="G812" t="n">
        <v>11.4</v>
      </c>
      <c r="H812" t="n">
        <v>0</v>
      </c>
      <c r="I812" t="n">
        <v>0</v>
      </c>
      <c r="J812" t="n">
        <v>0</v>
      </c>
      <c r="K812" t="n">
        <v>0</v>
      </c>
      <c r="L812" t="n">
        <v>0</v>
      </c>
      <c r="M812" t="n">
        <v>0</v>
      </c>
      <c r="N812" t="n">
        <v>0</v>
      </c>
      <c r="O812" t="n">
        <v>0</v>
      </c>
      <c r="P812" t="n">
        <v>0</v>
      </c>
      <c r="Q812" t="n">
        <v>0</v>
      </c>
      <c r="R812" s="2" t="inlineStr"/>
    </row>
    <row r="813" ht="15" customHeight="1">
      <c r="A813" t="inlineStr">
        <is>
          <t>A 30459-2021</t>
        </is>
      </c>
      <c r="B813" s="1" t="n">
        <v>44362</v>
      </c>
      <c r="C813" s="1" t="n">
        <v>46022</v>
      </c>
      <c r="D813" t="inlineStr">
        <is>
          <t>JÄMTLANDS LÄN</t>
        </is>
      </c>
      <c r="E813" t="inlineStr">
        <is>
          <t>RAGUNDA</t>
        </is>
      </c>
      <c r="G813" t="n">
        <v>1</v>
      </c>
      <c r="H813" t="n">
        <v>0</v>
      </c>
      <c r="I813" t="n">
        <v>0</v>
      </c>
      <c r="J813" t="n">
        <v>0</v>
      </c>
      <c r="K813" t="n">
        <v>0</v>
      </c>
      <c r="L813" t="n">
        <v>0</v>
      </c>
      <c r="M813" t="n">
        <v>0</v>
      </c>
      <c r="N813" t="n">
        <v>0</v>
      </c>
      <c r="O813" t="n">
        <v>0</v>
      </c>
      <c r="P813" t="n">
        <v>0</v>
      </c>
      <c r="Q813" t="n">
        <v>0</v>
      </c>
      <c r="R813" s="2" t="inlineStr"/>
    </row>
    <row r="814" ht="15" customHeight="1">
      <c r="A814" t="inlineStr">
        <is>
          <t>A 51394-2025</t>
        </is>
      </c>
      <c r="B814" s="1" t="n">
        <v>45950.46972222222</v>
      </c>
      <c r="C814" s="1" t="n">
        <v>46022</v>
      </c>
      <c r="D814" t="inlineStr">
        <is>
          <t>JÄMTLANDS LÄN</t>
        </is>
      </c>
      <c r="E814" t="inlineStr">
        <is>
          <t>RAGUNDA</t>
        </is>
      </c>
      <c r="F814" t="inlineStr">
        <is>
          <t>SCA</t>
        </is>
      </c>
      <c r="G814" t="n">
        <v>36.5</v>
      </c>
      <c r="H814" t="n">
        <v>0</v>
      </c>
      <c r="I814" t="n">
        <v>0</v>
      </c>
      <c r="J814" t="n">
        <v>0</v>
      </c>
      <c r="K814" t="n">
        <v>0</v>
      </c>
      <c r="L814" t="n">
        <v>0</v>
      </c>
      <c r="M814" t="n">
        <v>0</v>
      </c>
      <c r="N814" t="n">
        <v>0</v>
      </c>
      <c r="O814" t="n">
        <v>0</v>
      </c>
      <c r="P814" t="n">
        <v>0</v>
      </c>
      <c r="Q814" t="n">
        <v>0</v>
      </c>
      <c r="R814" s="2" t="inlineStr"/>
    </row>
    <row r="815" ht="15" customHeight="1">
      <c r="A815" t="inlineStr">
        <is>
          <t>A 37008-2025</t>
        </is>
      </c>
      <c r="B815" s="1" t="n">
        <v>45874.69844907407</v>
      </c>
      <c r="C815" s="1" t="n">
        <v>46022</v>
      </c>
      <c r="D815" t="inlineStr">
        <is>
          <t>JÄMTLANDS LÄN</t>
        </is>
      </c>
      <c r="E815" t="inlineStr">
        <is>
          <t>RAGUNDA</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52317-2025</t>
        </is>
      </c>
      <c r="B816" s="1" t="n">
        <v>45953.65675925926</v>
      </c>
      <c r="C816" s="1" t="n">
        <v>46022</v>
      </c>
      <c r="D816" t="inlineStr">
        <is>
          <t>JÄMTLANDS LÄN</t>
        </is>
      </c>
      <c r="E816" t="inlineStr">
        <is>
          <t>RAGUNDA</t>
        </is>
      </c>
      <c r="F816" t="inlineStr">
        <is>
          <t>SCA</t>
        </is>
      </c>
      <c r="G816" t="n">
        <v>27.2</v>
      </c>
      <c r="H816" t="n">
        <v>0</v>
      </c>
      <c r="I816" t="n">
        <v>0</v>
      </c>
      <c r="J816" t="n">
        <v>0</v>
      </c>
      <c r="K816" t="n">
        <v>0</v>
      </c>
      <c r="L816" t="n">
        <v>0</v>
      </c>
      <c r="M816" t="n">
        <v>0</v>
      </c>
      <c r="N816" t="n">
        <v>0</v>
      </c>
      <c r="O816" t="n">
        <v>0</v>
      </c>
      <c r="P816" t="n">
        <v>0</v>
      </c>
      <c r="Q816" t="n">
        <v>0</v>
      </c>
      <c r="R816" s="2" t="inlineStr"/>
    </row>
    <row r="817" ht="15" customHeight="1">
      <c r="A817" t="inlineStr">
        <is>
          <t>A 60389-2025</t>
        </is>
      </c>
      <c r="B817" s="1" t="n">
        <v>45995.38628472222</v>
      </c>
      <c r="C817" s="1" t="n">
        <v>46022</v>
      </c>
      <c r="D817" t="inlineStr">
        <is>
          <t>JÄMTLANDS LÄN</t>
        </is>
      </c>
      <c r="E817" t="inlineStr">
        <is>
          <t>RAGUNDA</t>
        </is>
      </c>
      <c r="G817" t="n">
        <v>3.3</v>
      </c>
      <c r="H817" t="n">
        <v>0</v>
      </c>
      <c r="I817" t="n">
        <v>0</v>
      </c>
      <c r="J817" t="n">
        <v>0</v>
      </c>
      <c r="K817" t="n">
        <v>0</v>
      </c>
      <c r="L817" t="n">
        <v>0</v>
      </c>
      <c r="M817" t="n">
        <v>0</v>
      </c>
      <c r="N817" t="n">
        <v>0</v>
      </c>
      <c r="O817" t="n">
        <v>0</v>
      </c>
      <c r="P817" t="n">
        <v>0</v>
      </c>
      <c r="Q817" t="n">
        <v>0</v>
      </c>
      <c r="R817" s="2" t="inlineStr"/>
    </row>
    <row r="818" ht="15" customHeight="1">
      <c r="A818" t="inlineStr">
        <is>
          <t>A 36947-2025</t>
        </is>
      </c>
      <c r="B818" s="1" t="n">
        <v>45874.59496527778</v>
      </c>
      <c r="C818" s="1" t="n">
        <v>46022</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60130-2025</t>
        </is>
      </c>
      <c r="B819" s="1" t="n">
        <v>45994.34467592592</v>
      </c>
      <c r="C819" s="1" t="n">
        <v>46022</v>
      </c>
      <c r="D819" t="inlineStr">
        <is>
          <t>JÄMTLANDS LÄN</t>
        </is>
      </c>
      <c r="E819" t="inlineStr">
        <is>
          <t>RAGUNDA</t>
        </is>
      </c>
      <c r="G819" t="n">
        <v>4.9</v>
      </c>
      <c r="H819" t="n">
        <v>0</v>
      </c>
      <c r="I819" t="n">
        <v>0</v>
      </c>
      <c r="J819" t="n">
        <v>0</v>
      </c>
      <c r="K819" t="n">
        <v>0</v>
      </c>
      <c r="L819" t="n">
        <v>0</v>
      </c>
      <c r="M819" t="n">
        <v>0</v>
      </c>
      <c r="N819" t="n">
        <v>0</v>
      </c>
      <c r="O819" t="n">
        <v>0</v>
      </c>
      <c r="P819" t="n">
        <v>0</v>
      </c>
      <c r="Q819" t="n">
        <v>0</v>
      </c>
      <c r="R819" s="2" t="inlineStr"/>
    </row>
    <row r="820" ht="15" customHeight="1">
      <c r="A820" t="inlineStr">
        <is>
          <t>A 52122-2025</t>
        </is>
      </c>
      <c r="B820" s="1" t="n">
        <v>45952.71946759259</v>
      </c>
      <c r="C820" s="1" t="n">
        <v>46022</v>
      </c>
      <c r="D820" t="inlineStr">
        <is>
          <t>JÄMTLANDS LÄN</t>
        </is>
      </c>
      <c r="E820" t="inlineStr">
        <is>
          <t>RAGUNDA</t>
        </is>
      </c>
      <c r="F820" t="inlineStr">
        <is>
          <t>SCA</t>
        </is>
      </c>
      <c r="G820" t="n">
        <v>8</v>
      </c>
      <c r="H820" t="n">
        <v>0</v>
      </c>
      <c r="I820" t="n">
        <v>0</v>
      </c>
      <c r="J820" t="n">
        <v>0</v>
      </c>
      <c r="K820" t="n">
        <v>0</v>
      </c>
      <c r="L820" t="n">
        <v>0</v>
      </c>
      <c r="M820" t="n">
        <v>0</v>
      </c>
      <c r="N820" t="n">
        <v>0</v>
      </c>
      <c r="O820" t="n">
        <v>0</v>
      </c>
      <c r="P820" t="n">
        <v>0</v>
      </c>
      <c r="Q820" t="n">
        <v>0</v>
      </c>
      <c r="R820" s="2" t="inlineStr"/>
    </row>
    <row r="821" ht="15" customHeight="1">
      <c r="A821" t="inlineStr">
        <is>
          <t>A 60128-2025</t>
        </is>
      </c>
      <c r="B821" s="1" t="n">
        <v>45994.34456018519</v>
      </c>
      <c r="C821" s="1" t="n">
        <v>46022</v>
      </c>
      <c r="D821" t="inlineStr">
        <is>
          <t>JÄMTLANDS LÄN</t>
        </is>
      </c>
      <c r="E821" t="inlineStr">
        <is>
          <t>RAGUNDA</t>
        </is>
      </c>
      <c r="G821" t="n">
        <v>7.1</v>
      </c>
      <c r="H821" t="n">
        <v>0</v>
      </c>
      <c r="I821" t="n">
        <v>0</v>
      </c>
      <c r="J821" t="n">
        <v>0</v>
      </c>
      <c r="K821" t="n">
        <v>0</v>
      </c>
      <c r="L821" t="n">
        <v>0</v>
      </c>
      <c r="M821" t="n">
        <v>0</v>
      </c>
      <c r="N821" t="n">
        <v>0</v>
      </c>
      <c r="O821" t="n">
        <v>0</v>
      </c>
      <c r="P821" t="n">
        <v>0</v>
      </c>
      <c r="Q821" t="n">
        <v>0</v>
      </c>
      <c r="R821" s="2" t="inlineStr"/>
    </row>
    <row r="822" ht="15" customHeight="1">
      <c r="A822" t="inlineStr">
        <is>
          <t>A 37543-2023</t>
        </is>
      </c>
      <c r="B822" s="1" t="n">
        <v>45158.94231481481</v>
      </c>
      <c r="C822" s="1" t="n">
        <v>46022</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37292-2025</t>
        </is>
      </c>
      <c r="B823" s="1" t="n">
        <v>45876.53188657408</v>
      </c>
      <c r="C823" s="1" t="n">
        <v>46022</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60387-2025</t>
        </is>
      </c>
      <c r="B824" s="1" t="n">
        <v>45995.38611111111</v>
      </c>
      <c r="C824" s="1" t="n">
        <v>46022</v>
      </c>
      <c r="D824" t="inlineStr">
        <is>
          <t>JÄMTLANDS LÄN</t>
        </is>
      </c>
      <c r="E824" t="inlineStr">
        <is>
          <t>RAGUNDA</t>
        </is>
      </c>
      <c r="G824" t="n">
        <v>8.5</v>
      </c>
      <c r="H824" t="n">
        <v>0</v>
      </c>
      <c r="I824" t="n">
        <v>0</v>
      </c>
      <c r="J824" t="n">
        <v>0</v>
      </c>
      <c r="K824" t="n">
        <v>0</v>
      </c>
      <c r="L824" t="n">
        <v>0</v>
      </c>
      <c r="M824" t="n">
        <v>0</v>
      </c>
      <c r="N824" t="n">
        <v>0</v>
      </c>
      <c r="O824" t="n">
        <v>0</v>
      </c>
      <c r="P824" t="n">
        <v>0</v>
      </c>
      <c r="Q824" t="n">
        <v>0</v>
      </c>
      <c r="R824" s="2" t="inlineStr"/>
    </row>
    <row r="825" ht="15" customHeight="1">
      <c r="A825" t="inlineStr">
        <is>
          <t>A 7668-2025</t>
        </is>
      </c>
      <c r="B825" s="1" t="n">
        <v>45706.34450231482</v>
      </c>
      <c r="C825" s="1" t="n">
        <v>46022</v>
      </c>
      <c r="D825" t="inlineStr">
        <is>
          <t>JÄMTLANDS LÄN</t>
        </is>
      </c>
      <c r="E825" t="inlineStr">
        <is>
          <t>RAGUNDA</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36046-2023</t>
        </is>
      </c>
      <c r="B826" s="1" t="n">
        <v>45148</v>
      </c>
      <c r="C826" s="1" t="n">
        <v>46022</v>
      </c>
      <c r="D826" t="inlineStr">
        <is>
          <t>JÄMTLANDS LÄN</t>
        </is>
      </c>
      <c r="E826" t="inlineStr">
        <is>
          <t>RAGUNDA</t>
        </is>
      </c>
      <c r="G826" t="n">
        <v>1.9</v>
      </c>
      <c r="H826" t="n">
        <v>0</v>
      </c>
      <c r="I826" t="n">
        <v>0</v>
      </c>
      <c r="J826" t="n">
        <v>0</v>
      </c>
      <c r="K826" t="n">
        <v>0</v>
      </c>
      <c r="L826" t="n">
        <v>0</v>
      </c>
      <c r="M826" t="n">
        <v>0</v>
      </c>
      <c r="N826" t="n">
        <v>0</v>
      </c>
      <c r="O826" t="n">
        <v>0</v>
      </c>
      <c r="P826" t="n">
        <v>0</v>
      </c>
      <c r="Q826" t="n">
        <v>0</v>
      </c>
      <c r="R826" s="2" t="inlineStr"/>
    </row>
    <row r="827" ht="15" customHeight="1">
      <c r="A827" t="inlineStr">
        <is>
          <t>A 52330-2025</t>
        </is>
      </c>
      <c r="B827" s="1" t="n">
        <v>45953.67752314815</v>
      </c>
      <c r="C827" s="1" t="n">
        <v>46022</v>
      </c>
      <c r="D827" t="inlineStr">
        <is>
          <t>JÄMTLANDS LÄN</t>
        </is>
      </c>
      <c r="E827" t="inlineStr">
        <is>
          <t>RAGUNDA</t>
        </is>
      </c>
      <c r="F827" t="inlineStr">
        <is>
          <t>SCA</t>
        </is>
      </c>
      <c r="G827" t="n">
        <v>10.1</v>
      </c>
      <c r="H827" t="n">
        <v>0</v>
      </c>
      <c r="I827" t="n">
        <v>0</v>
      </c>
      <c r="J827" t="n">
        <v>0</v>
      </c>
      <c r="K827" t="n">
        <v>0</v>
      </c>
      <c r="L827" t="n">
        <v>0</v>
      </c>
      <c r="M827" t="n">
        <v>0</v>
      </c>
      <c r="N827" t="n">
        <v>0</v>
      </c>
      <c r="O827" t="n">
        <v>0</v>
      </c>
      <c r="P827" t="n">
        <v>0</v>
      </c>
      <c r="Q827" t="n">
        <v>0</v>
      </c>
      <c r="R827" s="2" t="inlineStr"/>
    </row>
    <row r="828" ht="15" customHeight="1">
      <c r="A828" t="inlineStr">
        <is>
          <t>A 52093-2025</t>
        </is>
      </c>
      <c r="B828" s="1" t="n">
        <v>45952.67865740741</v>
      </c>
      <c r="C828" s="1" t="n">
        <v>46022</v>
      </c>
      <c r="D828" t="inlineStr">
        <is>
          <t>JÄMTLANDS LÄN</t>
        </is>
      </c>
      <c r="E828" t="inlineStr">
        <is>
          <t>RAGUNDA</t>
        </is>
      </c>
      <c r="F828" t="inlineStr">
        <is>
          <t>SCA</t>
        </is>
      </c>
      <c r="G828" t="n">
        <v>22.7</v>
      </c>
      <c r="H828" t="n">
        <v>0</v>
      </c>
      <c r="I828" t="n">
        <v>0</v>
      </c>
      <c r="J828" t="n">
        <v>0</v>
      </c>
      <c r="K828" t="n">
        <v>0</v>
      </c>
      <c r="L828" t="n">
        <v>0</v>
      </c>
      <c r="M828" t="n">
        <v>0</v>
      </c>
      <c r="N828" t="n">
        <v>0</v>
      </c>
      <c r="O828" t="n">
        <v>0</v>
      </c>
      <c r="P828" t="n">
        <v>0</v>
      </c>
      <c r="Q828" t="n">
        <v>0</v>
      </c>
      <c r="R828" s="2" t="inlineStr"/>
    </row>
    <row r="829" ht="15" customHeight="1">
      <c r="A829" t="inlineStr">
        <is>
          <t>A 51882-2025</t>
        </is>
      </c>
      <c r="B829" s="1" t="n">
        <v>45952.40685185185</v>
      </c>
      <c r="C829" s="1" t="n">
        <v>46022</v>
      </c>
      <c r="D829" t="inlineStr">
        <is>
          <t>JÄMTLANDS LÄN</t>
        </is>
      </c>
      <c r="E829" t="inlineStr">
        <is>
          <t>RAGUNDA</t>
        </is>
      </c>
      <c r="F829" t="inlineStr">
        <is>
          <t>SCA</t>
        </is>
      </c>
      <c r="G829" t="n">
        <v>11.9</v>
      </c>
      <c r="H829" t="n">
        <v>0</v>
      </c>
      <c r="I829" t="n">
        <v>0</v>
      </c>
      <c r="J829" t="n">
        <v>0</v>
      </c>
      <c r="K829" t="n">
        <v>0</v>
      </c>
      <c r="L829" t="n">
        <v>0</v>
      </c>
      <c r="M829" t="n">
        <v>0</v>
      </c>
      <c r="N829" t="n">
        <v>0</v>
      </c>
      <c r="O829" t="n">
        <v>0</v>
      </c>
      <c r="P829" t="n">
        <v>0</v>
      </c>
      <c r="Q829" t="n">
        <v>0</v>
      </c>
      <c r="R829" s="2" t="inlineStr"/>
    </row>
    <row r="830" ht="15" customHeight="1">
      <c r="A830" t="inlineStr">
        <is>
          <t>A 51903-2025</t>
        </is>
      </c>
      <c r="B830" s="1" t="n">
        <v>45952.44857638889</v>
      </c>
      <c r="C830" s="1" t="n">
        <v>46022</v>
      </c>
      <c r="D830" t="inlineStr">
        <is>
          <t>JÄMTLANDS LÄN</t>
        </is>
      </c>
      <c r="E830" t="inlineStr">
        <is>
          <t>RAGUNDA</t>
        </is>
      </c>
      <c r="F830" t="inlineStr">
        <is>
          <t>SCA</t>
        </is>
      </c>
      <c r="G830" t="n">
        <v>20.8</v>
      </c>
      <c r="H830" t="n">
        <v>0</v>
      </c>
      <c r="I830" t="n">
        <v>0</v>
      </c>
      <c r="J830" t="n">
        <v>0</v>
      </c>
      <c r="K830" t="n">
        <v>0</v>
      </c>
      <c r="L830" t="n">
        <v>0</v>
      </c>
      <c r="M830" t="n">
        <v>0</v>
      </c>
      <c r="N830" t="n">
        <v>0</v>
      </c>
      <c r="O830" t="n">
        <v>0</v>
      </c>
      <c r="P830" t="n">
        <v>0</v>
      </c>
      <c r="Q830" t="n">
        <v>0</v>
      </c>
      <c r="R830" s="2" t="inlineStr"/>
    </row>
    <row r="831" ht="15" customHeight="1">
      <c r="A831" t="inlineStr">
        <is>
          <t>A 51932-2025</t>
        </is>
      </c>
      <c r="B831" s="1" t="n">
        <v>45952.51094907407</v>
      </c>
      <c r="C831" s="1" t="n">
        <v>46022</v>
      </c>
      <c r="D831" t="inlineStr">
        <is>
          <t>JÄMTLANDS LÄN</t>
        </is>
      </c>
      <c r="E831" t="inlineStr">
        <is>
          <t>RAGUNDA</t>
        </is>
      </c>
      <c r="F831" t="inlineStr">
        <is>
          <t>SCA</t>
        </is>
      </c>
      <c r="G831" t="n">
        <v>39.2</v>
      </c>
      <c r="H831" t="n">
        <v>0</v>
      </c>
      <c r="I831" t="n">
        <v>0</v>
      </c>
      <c r="J831" t="n">
        <v>0</v>
      </c>
      <c r="K831" t="n">
        <v>0</v>
      </c>
      <c r="L831" t="n">
        <v>0</v>
      </c>
      <c r="M831" t="n">
        <v>0</v>
      </c>
      <c r="N831" t="n">
        <v>0</v>
      </c>
      <c r="O831" t="n">
        <v>0</v>
      </c>
      <c r="P831" t="n">
        <v>0</v>
      </c>
      <c r="Q831" t="n">
        <v>0</v>
      </c>
      <c r="R831" s="2" t="inlineStr"/>
    </row>
    <row r="832" ht="15" customHeight="1">
      <c r="A832" t="inlineStr">
        <is>
          <t>A 8654-2024</t>
        </is>
      </c>
      <c r="B832" s="1" t="n">
        <v>45356.03784722222</v>
      </c>
      <c r="C832" s="1" t="n">
        <v>46022</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6902-2024</t>
        </is>
      </c>
      <c r="B833" s="1" t="n">
        <v>45342</v>
      </c>
      <c r="C833" s="1" t="n">
        <v>46022</v>
      </c>
      <c r="D833" t="inlineStr">
        <is>
          <t>JÄMTLANDS LÄN</t>
        </is>
      </c>
      <c r="E833" t="inlineStr">
        <is>
          <t>RAGUNDA</t>
        </is>
      </c>
      <c r="F833" t="inlineStr">
        <is>
          <t>SCA</t>
        </is>
      </c>
      <c r="G833" t="n">
        <v>18.7</v>
      </c>
      <c r="H833" t="n">
        <v>0</v>
      </c>
      <c r="I833" t="n">
        <v>0</v>
      </c>
      <c r="J833" t="n">
        <v>0</v>
      </c>
      <c r="K833" t="n">
        <v>0</v>
      </c>
      <c r="L833" t="n">
        <v>0</v>
      </c>
      <c r="M833" t="n">
        <v>0</v>
      </c>
      <c r="N833" t="n">
        <v>0</v>
      </c>
      <c r="O833" t="n">
        <v>0</v>
      </c>
      <c r="P833" t="n">
        <v>0</v>
      </c>
      <c r="Q833" t="n">
        <v>0</v>
      </c>
      <c r="R833" s="2" t="inlineStr"/>
    </row>
    <row r="834" ht="15" customHeight="1">
      <c r="A834" t="inlineStr">
        <is>
          <t>A 6905-2024</t>
        </is>
      </c>
      <c r="B834" s="1" t="n">
        <v>45342.9462037037</v>
      </c>
      <c r="C834" s="1" t="n">
        <v>46022</v>
      </c>
      <c r="D834" t="inlineStr">
        <is>
          <t>JÄMTLANDS LÄN</t>
        </is>
      </c>
      <c r="E834" t="inlineStr">
        <is>
          <t>RAGUNDA</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22731-2023</t>
        </is>
      </c>
      <c r="B835" s="1" t="n">
        <v>45071</v>
      </c>
      <c r="C835" s="1" t="n">
        <v>46022</v>
      </c>
      <c r="D835" t="inlineStr">
        <is>
          <t>JÄMTLANDS LÄN</t>
        </is>
      </c>
      <c r="E835" t="inlineStr">
        <is>
          <t>RAGUNDA</t>
        </is>
      </c>
      <c r="G835" t="n">
        <v>1.5</v>
      </c>
      <c r="H835" t="n">
        <v>0</v>
      </c>
      <c r="I835" t="n">
        <v>0</v>
      </c>
      <c r="J835" t="n">
        <v>0</v>
      </c>
      <c r="K835" t="n">
        <v>0</v>
      </c>
      <c r="L835" t="n">
        <v>0</v>
      </c>
      <c r="M835" t="n">
        <v>0</v>
      </c>
      <c r="N835" t="n">
        <v>0</v>
      </c>
      <c r="O835" t="n">
        <v>0</v>
      </c>
      <c r="P835" t="n">
        <v>0</v>
      </c>
      <c r="Q835" t="n">
        <v>0</v>
      </c>
      <c r="R835" s="2" t="inlineStr"/>
    </row>
    <row r="836" ht="15" customHeight="1">
      <c r="A836" t="inlineStr">
        <is>
          <t>A 11245-2025</t>
        </is>
      </c>
      <c r="B836" s="1" t="n">
        <v>45726.38575231482</v>
      </c>
      <c r="C836" s="1" t="n">
        <v>46022</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51906-2025</t>
        </is>
      </c>
      <c r="B837" s="1" t="n">
        <v>45952.4615162037</v>
      </c>
      <c r="C837" s="1" t="n">
        <v>46022</v>
      </c>
      <c r="D837" t="inlineStr">
        <is>
          <t>JÄMTLANDS LÄN</t>
        </is>
      </c>
      <c r="E837" t="inlineStr">
        <is>
          <t>RAGUNDA</t>
        </is>
      </c>
      <c r="G837" t="n">
        <v>4.5</v>
      </c>
      <c r="H837" t="n">
        <v>0</v>
      </c>
      <c r="I837" t="n">
        <v>0</v>
      </c>
      <c r="J837" t="n">
        <v>0</v>
      </c>
      <c r="K837" t="n">
        <v>0</v>
      </c>
      <c r="L837" t="n">
        <v>0</v>
      </c>
      <c r="M837" t="n">
        <v>0</v>
      </c>
      <c r="N837" t="n">
        <v>0</v>
      </c>
      <c r="O837" t="n">
        <v>0</v>
      </c>
      <c r="P837" t="n">
        <v>0</v>
      </c>
      <c r="Q837" t="n">
        <v>0</v>
      </c>
      <c r="R837" s="2" t="inlineStr"/>
    </row>
    <row r="838" ht="15" customHeight="1">
      <c r="A838" t="inlineStr">
        <is>
          <t>A 61923-2024</t>
        </is>
      </c>
      <c r="B838" s="1" t="n">
        <v>45653.44836805556</v>
      </c>
      <c r="C838" s="1" t="n">
        <v>46022</v>
      </c>
      <c r="D838" t="inlineStr">
        <is>
          <t>JÄMTLANDS LÄN</t>
        </is>
      </c>
      <c r="E838" t="inlineStr">
        <is>
          <t>RAGUNDA</t>
        </is>
      </c>
      <c r="F838" t="inlineStr">
        <is>
          <t>SCA</t>
        </is>
      </c>
      <c r="G838" t="n">
        <v>11.1</v>
      </c>
      <c r="H838" t="n">
        <v>0</v>
      </c>
      <c r="I838" t="n">
        <v>0</v>
      </c>
      <c r="J838" t="n">
        <v>0</v>
      </c>
      <c r="K838" t="n">
        <v>0</v>
      </c>
      <c r="L838" t="n">
        <v>0</v>
      </c>
      <c r="M838" t="n">
        <v>0</v>
      </c>
      <c r="N838" t="n">
        <v>0</v>
      </c>
      <c r="O838" t="n">
        <v>0</v>
      </c>
      <c r="P838" t="n">
        <v>0</v>
      </c>
      <c r="Q838" t="n">
        <v>0</v>
      </c>
      <c r="R838" s="2" t="inlineStr"/>
    </row>
    <row r="839" ht="15" customHeight="1">
      <c r="A839" t="inlineStr">
        <is>
          <t>A 23567-2024</t>
        </is>
      </c>
      <c r="B839" s="1" t="n">
        <v>45453.95538194444</v>
      </c>
      <c r="C839" s="1" t="n">
        <v>46022</v>
      </c>
      <c r="D839" t="inlineStr">
        <is>
          <t>JÄMTLANDS LÄN</t>
        </is>
      </c>
      <c r="E839" t="inlineStr">
        <is>
          <t>RAGUNDA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19246-2023</t>
        </is>
      </c>
      <c r="B840" s="1" t="n">
        <v>45048.94340277778</v>
      </c>
      <c r="C840" s="1" t="n">
        <v>46022</v>
      </c>
      <c r="D840" t="inlineStr">
        <is>
          <t>JÄMTLANDS LÄN</t>
        </is>
      </c>
      <c r="E840" t="inlineStr">
        <is>
          <t>RAGUNDA</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9504-2025</t>
        </is>
      </c>
      <c r="B841" s="1" t="n">
        <v>45714</v>
      </c>
      <c r="C841" s="1" t="n">
        <v>46022</v>
      </c>
      <c r="D841" t="inlineStr">
        <is>
          <t>JÄMTLANDS LÄN</t>
        </is>
      </c>
      <c r="E841" t="inlineStr">
        <is>
          <t>RAGUNDA</t>
        </is>
      </c>
      <c r="G841" t="n">
        <v>6</v>
      </c>
      <c r="H841" t="n">
        <v>0</v>
      </c>
      <c r="I841" t="n">
        <v>0</v>
      </c>
      <c r="J841" t="n">
        <v>0</v>
      </c>
      <c r="K841" t="n">
        <v>0</v>
      </c>
      <c r="L841" t="n">
        <v>0</v>
      </c>
      <c r="M841" t="n">
        <v>0</v>
      </c>
      <c r="N841" t="n">
        <v>0</v>
      </c>
      <c r="O841" t="n">
        <v>0</v>
      </c>
      <c r="P841" t="n">
        <v>0</v>
      </c>
      <c r="Q841" t="n">
        <v>0</v>
      </c>
      <c r="R841" s="2" t="inlineStr"/>
    </row>
    <row r="842" ht="15" customHeight="1">
      <c r="A842" t="inlineStr">
        <is>
          <t>A 61109-2024</t>
        </is>
      </c>
      <c r="B842" s="1" t="n">
        <v>45645.55672453704</v>
      </c>
      <c r="C842" s="1" t="n">
        <v>46022</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60307-2025</t>
        </is>
      </c>
      <c r="B843" s="1" t="n">
        <v>45994.6842824074</v>
      </c>
      <c r="C843" s="1" t="n">
        <v>46022</v>
      </c>
      <c r="D843" t="inlineStr">
        <is>
          <t>JÄMTLANDS LÄN</t>
        </is>
      </c>
      <c r="E843" t="inlineStr">
        <is>
          <t>RAGUNDA</t>
        </is>
      </c>
      <c r="G843" t="n">
        <v>4</v>
      </c>
      <c r="H843" t="n">
        <v>0</v>
      </c>
      <c r="I843" t="n">
        <v>0</v>
      </c>
      <c r="J843" t="n">
        <v>0</v>
      </c>
      <c r="K843" t="n">
        <v>0</v>
      </c>
      <c r="L843" t="n">
        <v>0</v>
      </c>
      <c r="M843" t="n">
        <v>0</v>
      </c>
      <c r="N843" t="n">
        <v>0</v>
      </c>
      <c r="O843" t="n">
        <v>0</v>
      </c>
      <c r="P843" t="n">
        <v>0</v>
      </c>
      <c r="Q843" t="n">
        <v>0</v>
      </c>
      <c r="R843" s="2" t="inlineStr"/>
    </row>
    <row r="844" ht="15" customHeight="1">
      <c r="A844" t="inlineStr">
        <is>
          <t>A 58955-2024</t>
        </is>
      </c>
      <c r="B844" s="1" t="n">
        <v>45636.57329861111</v>
      </c>
      <c r="C844" s="1" t="n">
        <v>46022</v>
      </c>
      <c r="D844" t="inlineStr">
        <is>
          <t>JÄMTLANDS LÄN</t>
        </is>
      </c>
      <c r="E844" t="inlineStr">
        <is>
          <t>RAGUNDA</t>
        </is>
      </c>
      <c r="F844" t="inlineStr">
        <is>
          <t>SCA</t>
        </is>
      </c>
      <c r="G844" t="n">
        <v>4.1</v>
      </c>
      <c r="H844" t="n">
        <v>0</v>
      </c>
      <c r="I844" t="n">
        <v>0</v>
      </c>
      <c r="J844" t="n">
        <v>0</v>
      </c>
      <c r="K844" t="n">
        <v>0</v>
      </c>
      <c r="L844" t="n">
        <v>0</v>
      </c>
      <c r="M844" t="n">
        <v>0</v>
      </c>
      <c r="N844" t="n">
        <v>0</v>
      </c>
      <c r="O844" t="n">
        <v>0</v>
      </c>
      <c r="P844" t="n">
        <v>0</v>
      </c>
      <c r="Q844" t="n">
        <v>0</v>
      </c>
      <c r="R844" s="2" t="inlineStr"/>
    </row>
    <row r="845" ht="15" customHeight="1">
      <c r="A845" t="inlineStr">
        <is>
          <t>A 52972-2025</t>
        </is>
      </c>
      <c r="B845" s="1" t="n">
        <v>45957.67783564814</v>
      </c>
      <c r="C845" s="1" t="n">
        <v>46022</v>
      </c>
      <c r="D845" t="inlineStr">
        <is>
          <t>JÄMTLANDS LÄN</t>
        </is>
      </c>
      <c r="E845" t="inlineStr">
        <is>
          <t>RAGUNDA</t>
        </is>
      </c>
      <c r="F845" t="inlineStr">
        <is>
          <t>SCA</t>
        </is>
      </c>
      <c r="G845" t="n">
        <v>53.4</v>
      </c>
      <c r="H845" t="n">
        <v>0</v>
      </c>
      <c r="I845" t="n">
        <v>0</v>
      </c>
      <c r="J845" t="n">
        <v>0</v>
      </c>
      <c r="K845" t="n">
        <v>0</v>
      </c>
      <c r="L845" t="n">
        <v>0</v>
      </c>
      <c r="M845" t="n">
        <v>0</v>
      </c>
      <c r="N845" t="n">
        <v>0</v>
      </c>
      <c r="O845" t="n">
        <v>0</v>
      </c>
      <c r="P845" t="n">
        <v>0</v>
      </c>
      <c r="Q845" t="n">
        <v>0</v>
      </c>
      <c r="R845" s="2" t="inlineStr"/>
    </row>
    <row r="846" ht="15" customHeight="1">
      <c r="A846" t="inlineStr">
        <is>
          <t>A 33877-2023</t>
        </is>
      </c>
      <c r="B846" s="1" t="n">
        <v>45133</v>
      </c>
      <c r="C846" s="1" t="n">
        <v>46022</v>
      </c>
      <c r="D846" t="inlineStr">
        <is>
          <t>JÄMTLANDS LÄN</t>
        </is>
      </c>
      <c r="E846" t="inlineStr">
        <is>
          <t>RAGUNDA</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62541-2022</t>
        </is>
      </c>
      <c r="B847" s="1" t="n">
        <v>44917</v>
      </c>
      <c r="C847" s="1" t="n">
        <v>46022</v>
      </c>
      <c r="D847" t="inlineStr">
        <is>
          <t>JÄMTLANDS LÄN</t>
        </is>
      </c>
      <c r="E847" t="inlineStr">
        <is>
          <t>RAGUNDA</t>
        </is>
      </c>
      <c r="G847" t="n">
        <v>2.6</v>
      </c>
      <c r="H847" t="n">
        <v>0</v>
      </c>
      <c r="I847" t="n">
        <v>0</v>
      </c>
      <c r="J847" t="n">
        <v>0</v>
      </c>
      <c r="K847" t="n">
        <v>0</v>
      </c>
      <c r="L847" t="n">
        <v>0</v>
      </c>
      <c r="M847" t="n">
        <v>0</v>
      </c>
      <c r="N847" t="n">
        <v>0</v>
      </c>
      <c r="O847" t="n">
        <v>0</v>
      </c>
      <c r="P847" t="n">
        <v>0</v>
      </c>
      <c r="Q847" t="n">
        <v>0</v>
      </c>
      <c r="R847" s="2" t="inlineStr"/>
    </row>
    <row r="848" ht="15" customHeight="1">
      <c r="A848" t="inlineStr">
        <is>
          <t>A 9567-2025</t>
        </is>
      </c>
      <c r="B848" s="1" t="n">
        <v>45715.61523148148</v>
      </c>
      <c r="C848" s="1" t="n">
        <v>46022</v>
      </c>
      <c r="D848" t="inlineStr">
        <is>
          <t>JÄMTLANDS LÄN</t>
        </is>
      </c>
      <c r="E848" t="inlineStr">
        <is>
          <t>RAGUNDA</t>
        </is>
      </c>
      <c r="F848" t="inlineStr">
        <is>
          <t>SCA</t>
        </is>
      </c>
      <c r="G848" t="n">
        <v>4.8</v>
      </c>
      <c r="H848" t="n">
        <v>0</v>
      </c>
      <c r="I848" t="n">
        <v>0</v>
      </c>
      <c r="J848" t="n">
        <v>0</v>
      </c>
      <c r="K848" t="n">
        <v>0</v>
      </c>
      <c r="L848" t="n">
        <v>0</v>
      </c>
      <c r="M848" t="n">
        <v>0</v>
      </c>
      <c r="N848" t="n">
        <v>0</v>
      </c>
      <c r="O848" t="n">
        <v>0</v>
      </c>
      <c r="P848" t="n">
        <v>0</v>
      </c>
      <c r="Q848" t="n">
        <v>0</v>
      </c>
      <c r="R848" s="2" t="inlineStr"/>
    </row>
    <row r="849" ht="15" customHeight="1">
      <c r="A849" t="inlineStr">
        <is>
          <t>A 21661-2023</t>
        </is>
      </c>
      <c r="B849" s="1" t="n">
        <v>45063</v>
      </c>
      <c r="C849" s="1" t="n">
        <v>46022</v>
      </c>
      <c r="D849" t="inlineStr">
        <is>
          <t>JÄMTLANDS LÄN</t>
        </is>
      </c>
      <c r="E849" t="inlineStr">
        <is>
          <t>RAGUNDA</t>
        </is>
      </c>
      <c r="G849" t="n">
        <v>1.5</v>
      </c>
      <c r="H849" t="n">
        <v>0</v>
      </c>
      <c r="I849" t="n">
        <v>0</v>
      </c>
      <c r="J849" t="n">
        <v>0</v>
      </c>
      <c r="K849" t="n">
        <v>0</v>
      </c>
      <c r="L849" t="n">
        <v>0</v>
      </c>
      <c r="M849" t="n">
        <v>0</v>
      </c>
      <c r="N849" t="n">
        <v>0</v>
      </c>
      <c r="O849" t="n">
        <v>0</v>
      </c>
      <c r="P849" t="n">
        <v>0</v>
      </c>
      <c r="Q849" t="n">
        <v>0</v>
      </c>
      <c r="R849" s="2" t="inlineStr"/>
    </row>
    <row r="850" ht="15" customHeight="1">
      <c r="A850" t="inlineStr">
        <is>
          <t>A 52430-2025</t>
        </is>
      </c>
      <c r="B850" s="1" t="n">
        <v>45954.38592592593</v>
      </c>
      <c r="C850" s="1" t="n">
        <v>46022</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60760-2025</t>
        </is>
      </c>
      <c r="B851" s="1" t="n">
        <v>45999.38597222222</v>
      </c>
      <c r="C851" s="1" t="n">
        <v>46022</v>
      </c>
      <c r="D851" t="inlineStr">
        <is>
          <t>JÄMTLANDS LÄN</t>
        </is>
      </c>
      <c r="E851" t="inlineStr">
        <is>
          <t>RAGUNDA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60775-2025</t>
        </is>
      </c>
      <c r="B852" s="1" t="n">
        <v>45999.3905787037</v>
      </c>
      <c r="C852" s="1" t="n">
        <v>46022</v>
      </c>
      <c r="D852" t="inlineStr">
        <is>
          <t>JÄMTLANDS LÄN</t>
        </is>
      </c>
      <c r="E852" t="inlineStr">
        <is>
          <t>RAGUNDA</t>
        </is>
      </c>
      <c r="G852" t="n">
        <v>15.7</v>
      </c>
      <c r="H852" t="n">
        <v>0</v>
      </c>
      <c r="I852" t="n">
        <v>0</v>
      </c>
      <c r="J852" t="n">
        <v>0</v>
      </c>
      <c r="K852" t="n">
        <v>0</v>
      </c>
      <c r="L852" t="n">
        <v>0</v>
      </c>
      <c r="M852" t="n">
        <v>0</v>
      </c>
      <c r="N852" t="n">
        <v>0</v>
      </c>
      <c r="O852" t="n">
        <v>0</v>
      </c>
      <c r="P852" t="n">
        <v>0</v>
      </c>
      <c r="Q852" t="n">
        <v>0</v>
      </c>
      <c r="R852" s="2" t="inlineStr"/>
    </row>
    <row r="853" ht="15" customHeight="1">
      <c r="A853" t="inlineStr">
        <is>
          <t>A 52875-2025</t>
        </is>
      </c>
      <c r="B853" s="1" t="n">
        <v>45957.53211805555</v>
      </c>
      <c r="C853" s="1" t="n">
        <v>46022</v>
      </c>
      <c r="D853" t="inlineStr">
        <is>
          <t>JÄMTLANDS LÄN</t>
        </is>
      </c>
      <c r="E853" t="inlineStr">
        <is>
          <t>RAGUNDA</t>
        </is>
      </c>
      <c r="F853" t="inlineStr">
        <is>
          <t>SCA</t>
        </is>
      </c>
      <c r="G853" t="n">
        <v>34.3</v>
      </c>
      <c r="H853" t="n">
        <v>0</v>
      </c>
      <c r="I853" t="n">
        <v>0</v>
      </c>
      <c r="J853" t="n">
        <v>0</v>
      </c>
      <c r="K853" t="n">
        <v>0</v>
      </c>
      <c r="L853" t="n">
        <v>0</v>
      </c>
      <c r="M853" t="n">
        <v>0</v>
      </c>
      <c r="N853" t="n">
        <v>0</v>
      </c>
      <c r="O853" t="n">
        <v>0</v>
      </c>
      <c r="P853" t="n">
        <v>0</v>
      </c>
      <c r="Q853" t="n">
        <v>0</v>
      </c>
      <c r="R853" s="2" t="inlineStr"/>
    </row>
    <row r="854" ht="15" customHeight="1">
      <c r="A854" t="inlineStr">
        <is>
          <t>A 69153-2021</t>
        </is>
      </c>
      <c r="B854" s="1" t="n">
        <v>44530.94694444445</v>
      </c>
      <c r="C854" s="1" t="n">
        <v>46022</v>
      </c>
      <c r="D854" t="inlineStr">
        <is>
          <t>JÄMTLANDS LÄN</t>
        </is>
      </c>
      <c r="E854" t="inlineStr">
        <is>
          <t>RAGUNDA</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12585-2024</t>
        </is>
      </c>
      <c r="B855" s="1" t="n">
        <v>45379.93637731481</v>
      </c>
      <c r="C855" s="1" t="n">
        <v>46022</v>
      </c>
      <c r="D855" t="inlineStr">
        <is>
          <t>JÄMTLANDS LÄN</t>
        </is>
      </c>
      <c r="E855" t="inlineStr">
        <is>
          <t>RAGUNDA</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55489-2024</t>
        </is>
      </c>
      <c r="B856" s="1" t="n">
        <v>45622.44774305556</v>
      </c>
      <c r="C856" s="1" t="n">
        <v>46022</v>
      </c>
      <c r="D856" t="inlineStr">
        <is>
          <t>JÄMTLANDS LÄN</t>
        </is>
      </c>
      <c r="E856" t="inlineStr">
        <is>
          <t>RAGUNDA</t>
        </is>
      </c>
      <c r="G856" t="n">
        <v>1.6</v>
      </c>
      <c r="H856" t="n">
        <v>0</v>
      </c>
      <c r="I856" t="n">
        <v>0</v>
      </c>
      <c r="J856" t="n">
        <v>0</v>
      </c>
      <c r="K856" t="n">
        <v>0</v>
      </c>
      <c r="L856" t="n">
        <v>0</v>
      </c>
      <c r="M856" t="n">
        <v>0</v>
      </c>
      <c r="N856" t="n">
        <v>0</v>
      </c>
      <c r="O856" t="n">
        <v>0</v>
      </c>
      <c r="P856" t="n">
        <v>0</v>
      </c>
      <c r="Q856" t="n">
        <v>0</v>
      </c>
      <c r="R856" s="2" t="inlineStr"/>
    </row>
    <row r="857" ht="15" customHeight="1">
      <c r="A857" t="inlineStr">
        <is>
          <t>A 18631-2024</t>
        </is>
      </c>
      <c r="B857" s="1" t="n">
        <v>45425.96494212963</v>
      </c>
      <c r="C857" s="1" t="n">
        <v>46022</v>
      </c>
      <c r="D857" t="inlineStr">
        <is>
          <t>JÄMTLANDS LÄN</t>
        </is>
      </c>
      <c r="E857" t="inlineStr">
        <is>
          <t>RAGUNDA</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52394-2025</t>
        </is>
      </c>
      <c r="B858" s="1" t="n">
        <v>45954.34466435185</v>
      </c>
      <c r="C858" s="1" t="n">
        <v>46022</v>
      </c>
      <c r="D858" t="inlineStr">
        <is>
          <t>JÄMTLANDS LÄN</t>
        </is>
      </c>
      <c r="E858" t="inlineStr">
        <is>
          <t>RAGUNDA</t>
        </is>
      </c>
      <c r="F858" t="inlineStr">
        <is>
          <t>SCA</t>
        </is>
      </c>
      <c r="G858" t="n">
        <v>53.8</v>
      </c>
      <c r="H858" t="n">
        <v>0</v>
      </c>
      <c r="I858" t="n">
        <v>0</v>
      </c>
      <c r="J858" t="n">
        <v>0</v>
      </c>
      <c r="K858" t="n">
        <v>0</v>
      </c>
      <c r="L858" t="n">
        <v>0</v>
      </c>
      <c r="M858" t="n">
        <v>0</v>
      </c>
      <c r="N858" t="n">
        <v>0</v>
      </c>
      <c r="O858" t="n">
        <v>0</v>
      </c>
      <c r="P858" t="n">
        <v>0</v>
      </c>
      <c r="Q858" t="n">
        <v>0</v>
      </c>
      <c r="R858" s="2" t="inlineStr"/>
    </row>
    <row r="859" ht="15" customHeight="1">
      <c r="A859" t="inlineStr">
        <is>
          <t>A 52395-2025</t>
        </is>
      </c>
      <c r="B859" s="1" t="n">
        <v>45954.34487268519</v>
      </c>
      <c r="C859" s="1" t="n">
        <v>46022</v>
      </c>
      <c r="D859" t="inlineStr">
        <is>
          <t>JÄMTLANDS LÄN</t>
        </is>
      </c>
      <c r="E859" t="inlineStr">
        <is>
          <t>RAGUNDA</t>
        </is>
      </c>
      <c r="F859" t="inlineStr">
        <is>
          <t>SCA</t>
        </is>
      </c>
      <c r="G859" t="n">
        <v>14.2</v>
      </c>
      <c r="H859" t="n">
        <v>0</v>
      </c>
      <c r="I859" t="n">
        <v>0</v>
      </c>
      <c r="J859" t="n">
        <v>0</v>
      </c>
      <c r="K859" t="n">
        <v>0</v>
      </c>
      <c r="L859" t="n">
        <v>0</v>
      </c>
      <c r="M859" t="n">
        <v>0</v>
      </c>
      <c r="N859" t="n">
        <v>0</v>
      </c>
      <c r="O859" t="n">
        <v>0</v>
      </c>
      <c r="P859" t="n">
        <v>0</v>
      </c>
      <c r="Q859" t="n">
        <v>0</v>
      </c>
      <c r="R859" s="2" t="inlineStr"/>
    </row>
    <row r="860" ht="15" customHeight="1">
      <c r="A860" t="inlineStr">
        <is>
          <t>A 60630-2025</t>
        </is>
      </c>
      <c r="B860" s="1" t="n">
        <v>45996.42120370371</v>
      </c>
      <c r="C860" s="1" t="n">
        <v>46022</v>
      </c>
      <c r="D860" t="inlineStr">
        <is>
          <t>JÄMTLANDS LÄN</t>
        </is>
      </c>
      <c r="E860" t="inlineStr">
        <is>
          <t>RAGUNDA</t>
        </is>
      </c>
      <c r="G860" t="n">
        <v>13.2</v>
      </c>
      <c r="H860" t="n">
        <v>0</v>
      </c>
      <c r="I860" t="n">
        <v>0</v>
      </c>
      <c r="J860" t="n">
        <v>0</v>
      </c>
      <c r="K860" t="n">
        <v>0</v>
      </c>
      <c r="L860" t="n">
        <v>0</v>
      </c>
      <c r="M860" t="n">
        <v>0</v>
      </c>
      <c r="N860" t="n">
        <v>0</v>
      </c>
      <c r="O860" t="n">
        <v>0</v>
      </c>
      <c r="P860" t="n">
        <v>0</v>
      </c>
      <c r="Q860" t="n">
        <v>0</v>
      </c>
      <c r="R860" s="2" t="inlineStr"/>
    </row>
    <row r="861" ht="15" customHeight="1">
      <c r="A861" t="inlineStr">
        <is>
          <t>A 26646-2023</t>
        </is>
      </c>
      <c r="B861" s="1" t="n">
        <v>45092</v>
      </c>
      <c r="C861" s="1" t="n">
        <v>46022</v>
      </c>
      <c r="D861" t="inlineStr">
        <is>
          <t>JÄMTLANDS LÄN</t>
        </is>
      </c>
      <c r="E861" t="inlineStr">
        <is>
          <t>RAGUNDA</t>
        </is>
      </c>
      <c r="G861" t="n">
        <v>1.4</v>
      </c>
      <c r="H861" t="n">
        <v>0</v>
      </c>
      <c r="I861" t="n">
        <v>0</v>
      </c>
      <c r="J861" t="n">
        <v>0</v>
      </c>
      <c r="K861" t="n">
        <v>0</v>
      </c>
      <c r="L861" t="n">
        <v>0</v>
      </c>
      <c r="M861" t="n">
        <v>0</v>
      </c>
      <c r="N861" t="n">
        <v>0</v>
      </c>
      <c r="O861" t="n">
        <v>0</v>
      </c>
      <c r="P861" t="n">
        <v>0</v>
      </c>
      <c r="Q861" t="n">
        <v>0</v>
      </c>
      <c r="R861" s="2" t="inlineStr"/>
    </row>
    <row r="862" ht="15" customHeight="1">
      <c r="A862" t="inlineStr">
        <is>
          <t>A 43405-2023</t>
        </is>
      </c>
      <c r="B862" s="1" t="n">
        <v>45183.95563657407</v>
      </c>
      <c r="C862" s="1" t="n">
        <v>46022</v>
      </c>
      <c r="D862" t="inlineStr">
        <is>
          <t>JÄMTLANDS LÄN</t>
        </is>
      </c>
      <c r="E862" t="inlineStr">
        <is>
          <t>RAGUNDA</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59496-2024</t>
        </is>
      </c>
      <c r="B863" s="1" t="n">
        <v>45638</v>
      </c>
      <c r="C863" s="1" t="n">
        <v>46022</v>
      </c>
      <c r="D863" t="inlineStr">
        <is>
          <t>JÄMTLANDS LÄN</t>
        </is>
      </c>
      <c r="E863" t="inlineStr">
        <is>
          <t>RAGUNDA</t>
        </is>
      </c>
      <c r="G863" t="n">
        <v>13.1</v>
      </c>
      <c r="H863" t="n">
        <v>0</v>
      </c>
      <c r="I863" t="n">
        <v>0</v>
      </c>
      <c r="J863" t="n">
        <v>0</v>
      </c>
      <c r="K863" t="n">
        <v>0</v>
      </c>
      <c r="L863" t="n">
        <v>0</v>
      </c>
      <c r="M863" t="n">
        <v>0</v>
      </c>
      <c r="N863" t="n">
        <v>0</v>
      </c>
      <c r="O863" t="n">
        <v>0</v>
      </c>
      <c r="P863" t="n">
        <v>0</v>
      </c>
      <c r="Q863" t="n">
        <v>0</v>
      </c>
      <c r="R863" s="2" t="inlineStr"/>
    </row>
    <row r="864" ht="15" customHeight="1">
      <c r="A864" t="inlineStr">
        <is>
          <t>A 53211-2025</t>
        </is>
      </c>
      <c r="B864" s="1" t="n">
        <v>45958.59490740741</v>
      </c>
      <c r="C864" s="1" t="n">
        <v>46022</v>
      </c>
      <c r="D864" t="inlineStr">
        <is>
          <t>JÄMTLANDS LÄN</t>
        </is>
      </c>
      <c r="E864" t="inlineStr">
        <is>
          <t>RAGUNDA</t>
        </is>
      </c>
      <c r="F864" t="inlineStr">
        <is>
          <t>SCA</t>
        </is>
      </c>
      <c r="G864" t="n">
        <v>7.4</v>
      </c>
      <c r="H864" t="n">
        <v>0</v>
      </c>
      <c r="I864" t="n">
        <v>0</v>
      </c>
      <c r="J864" t="n">
        <v>0</v>
      </c>
      <c r="K864" t="n">
        <v>0</v>
      </c>
      <c r="L864" t="n">
        <v>0</v>
      </c>
      <c r="M864" t="n">
        <v>0</v>
      </c>
      <c r="N864" t="n">
        <v>0</v>
      </c>
      <c r="O864" t="n">
        <v>0</v>
      </c>
      <c r="P864" t="n">
        <v>0</v>
      </c>
      <c r="Q864" t="n">
        <v>0</v>
      </c>
      <c r="R864" s="2" t="inlineStr"/>
    </row>
    <row r="865" ht="15" customHeight="1">
      <c r="A865" t="inlineStr">
        <is>
          <t>A 62106-2023</t>
        </is>
      </c>
      <c r="B865" s="1" t="n">
        <v>45266.95082175926</v>
      </c>
      <c r="C865" s="1" t="n">
        <v>46022</v>
      </c>
      <c r="D865" t="inlineStr">
        <is>
          <t>JÄMTLANDS LÄN</t>
        </is>
      </c>
      <c r="E865" t="inlineStr">
        <is>
          <t>RAGUNDA</t>
        </is>
      </c>
      <c r="F865" t="inlineStr">
        <is>
          <t>SCA</t>
        </is>
      </c>
      <c r="G865" t="n">
        <v>6.6</v>
      </c>
      <c r="H865" t="n">
        <v>0</v>
      </c>
      <c r="I865" t="n">
        <v>0</v>
      </c>
      <c r="J865" t="n">
        <v>0</v>
      </c>
      <c r="K865" t="n">
        <v>0</v>
      </c>
      <c r="L865" t="n">
        <v>0</v>
      </c>
      <c r="M865" t="n">
        <v>0</v>
      </c>
      <c r="N865" t="n">
        <v>0</v>
      </c>
      <c r="O865" t="n">
        <v>0</v>
      </c>
      <c r="P865" t="n">
        <v>0</v>
      </c>
      <c r="Q865" t="n">
        <v>0</v>
      </c>
      <c r="R865" s="2" t="inlineStr"/>
    </row>
    <row r="866" ht="15" customHeight="1">
      <c r="A866" t="inlineStr">
        <is>
          <t>A 53032-2025</t>
        </is>
      </c>
      <c r="B866" s="1" t="n">
        <v>45958.34462962963</v>
      </c>
      <c r="C866" s="1" t="n">
        <v>46022</v>
      </c>
      <c r="D866" t="inlineStr">
        <is>
          <t>JÄMTLANDS LÄN</t>
        </is>
      </c>
      <c r="E866" t="inlineStr">
        <is>
          <t>RAGUNDA</t>
        </is>
      </c>
      <c r="G866" t="n">
        <v>2.6</v>
      </c>
      <c r="H866" t="n">
        <v>0</v>
      </c>
      <c r="I866" t="n">
        <v>0</v>
      </c>
      <c r="J866" t="n">
        <v>0</v>
      </c>
      <c r="K866" t="n">
        <v>0</v>
      </c>
      <c r="L866" t="n">
        <v>0</v>
      </c>
      <c r="M866" t="n">
        <v>0</v>
      </c>
      <c r="N866" t="n">
        <v>0</v>
      </c>
      <c r="O866" t="n">
        <v>0</v>
      </c>
      <c r="P866" t="n">
        <v>0</v>
      </c>
      <c r="Q866" t="n">
        <v>0</v>
      </c>
      <c r="R866" s="2" t="inlineStr"/>
    </row>
    <row r="867" ht="15" customHeight="1">
      <c r="A867" t="inlineStr">
        <is>
          <t>A 53109-2025</t>
        </is>
      </c>
      <c r="B867" s="1" t="n">
        <v>45958</v>
      </c>
      <c r="C867" s="1" t="n">
        <v>46022</v>
      </c>
      <c r="D867" t="inlineStr">
        <is>
          <t>JÄMTLANDS LÄN</t>
        </is>
      </c>
      <c r="E867" t="inlineStr">
        <is>
          <t>RAGUNDA</t>
        </is>
      </c>
      <c r="G867" t="n">
        <v>2.1</v>
      </c>
      <c r="H867" t="n">
        <v>0</v>
      </c>
      <c r="I867" t="n">
        <v>0</v>
      </c>
      <c r="J867" t="n">
        <v>0</v>
      </c>
      <c r="K867" t="n">
        <v>0</v>
      </c>
      <c r="L867" t="n">
        <v>0</v>
      </c>
      <c r="M867" t="n">
        <v>0</v>
      </c>
      <c r="N867" t="n">
        <v>0</v>
      </c>
      <c r="O867" t="n">
        <v>0</v>
      </c>
      <c r="P867" t="n">
        <v>0</v>
      </c>
      <c r="Q867" t="n">
        <v>0</v>
      </c>
      <c r="R867" s="2" t="inlineStr"/>
    </row>
    <row r="868" ht="15" customHeight="1">
      <c r="A868" t="inlineStr">
        <is>
          <t>A 18781-2024</t>
        </is>
      </c>
      <c r="B868" s="1" t="n">
        <v>45426</v>
      </c>
      <c r="C868" s="1" t="n">
        <v>46022</v>
      </c>
      <c r="D868" t="inlineStr">
        <is>
          <t>JÄMTLANDS LÄN</t>
        </is>
      </c>
      <c r="E868" t="inlineStr">
        <is>
          <t>RAGUNDA</t>
        </is>
      </c>
      <c r="G868" t="n">
        <v>0.9</v>
      </c>
      <c r="H868" t="n">
        <v>0</v>
      </c>
      <c r="I868" t="n">
        <v>0</v>
      </c>
      <c r="J868" t="n">
        <v>0</v>
      </c>
      <c r="K868" t="n">
        <v>0</v>
      </c>
      <c r="L868" t="n">
        <v>0</v>
      </c>
      <c r="M868" t="n">
        <v>0</v>
      </c>
      <c r="N868" t="n">
        <v>0</v>
      </c>
      <c r="O868" t="n">
        <v>0</v>
      </c>
      <c r="P868" t="n">
        <v>0</v>
      </c>
      <c r="Q868" t="n">
        <v>0</v>
      </c>
      <c r="R868" s="2" t="inlineStr"/>
    </row>
    <row r="869" ht="15" customHeight="1">
      <c r="A869" t="inlineStr">
        <is>
          <t>A 61509-2025</t>
        </is>
      </c>
      <c r="B869" s="1" t="n">
        <v>46001.68189814815</v>
      </c>
      <c r="C869" s="1" t="n">
        <v>46022</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62081-2022</t>
        </is>
      </c>
      <c r="B870" s="1" t="n">
        <v>44918</v>
      </c>
      <c r="C870" s="1" t="n">
        <v>46022</v>
      </c>
      <c r="D870" t="inlineStr">
        <is>
          <t>JÄMTLANDS LÄN</t>
        </is>
      </c>
      <c r="E870" t="inlineStr">
        <is>
          <t>RAGUNDA</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53075-2025</t>
        </is>
      </c>
      <c r="B871" s="1" t="n">
        <v>45958.38584490741</v>
      </c>
      <c r="C871" s="1" t="n">
        <v>46022</v>
      </c>
      <c r="D871" t="inlineStr">
        <is>
          <t>JÄMTLANDS LÄN</t>
        </is>
      </c>
      <c r="E871" t="inlineStr">
        <is>
          <t>RAGUNDA</t>
        </is>
      </c>
      <c r="F871" t="inlineStr">
        <is>
          <t>SCA</t>
        </is>
      </c>
      <c r="G871" t="n">
        <v>28.9</v>
      </c>
      <c r="H871" t="n">
        <v>0</v>
      </c>
      <c r="I871" t="n">
        <v>0</v>
      </c>
      <c r="J871" t="n">
        <v>0</v>
      </c>
      <c r="K871" t="n">
        <v>0</v>
      </c>
      <c r="L871" t="n">
        <v>0</v>
      </c>
      <c r="M871" t="n">
        <v>0</v>
      </c>
      <c r="N871" t="n">
        <v>0</v>
      </c>
      <c r="O871" t="n">
        <v>0</v>
      </c>
      <c r="P871" t="n">
        <v>0</v>
      </c>
      <c r="Q871" t="n">
        <v>0</v>
      </c>
      <c r="R871" s="2" t="inlineStr"/>
    </row>
    <row r="872" ht="15" customHeight="1">
      <c r="A872" t="inlineStr">
        <is>
          <t>A 30826-2023</t>
        </is>
      </c>
      <c r="B872" s="1" t="n">
        <v>45112</v>
      </c>
      <c r="C872" s="1" t="n">
        <v>46022</v>
      </c>
      <c r="D872" t="inlineStr">
        <is>
          <t>JÄMTLANDS LÄN</t>
        </is>
      </c>
      <c r="E872" t="inlineStr">
        <is>
          <t>RAGUNDA</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53263-2024</t>
        </is>
      </c>
      <c r="B873" s="1" t="n">
        <v>45614.34541666666</v>
      </c>
      <c r="C873" s="1" t="n">
        <v>46022</v>
      </c>
      <c r="D873" t="inlineStr">
        <is>
          <t>JÄMTLANDS LÄN</t>
        </is>
      </c>
      <c r="E873" t="inlineStr">
        <is>
          <t>RAGUNDA</t>
        </is>
      </c>
      <c r="G873" t="n">
        <v>1.9</v>
      </c>
      <c r="H873" t="n">
        <v>0</v>
      </c>
      <c r="I873" t="n">
        <v>0</v>
      </c>
      <c r="J873" t="n">
        <v>0</v>
      </c>
      <c r="K873" t="n">
        <v>0</v>
      </c>
      <c r="L873" t="n">
        <v>0</v>
      </c>
      <c r="M873" t="n">
        <v>0</v>
      </c>
      <c r="N873" t="n">
        <v>0</v>
      </c>
      <c r="O873" t="n">
        <v>0</v>
      </c>
      <c r="P873" t="n">
        <v>0</v>
      </c>
      <c r="Q873" t="n">
        <v>0</v>
      </c>
      <c r="R873" s="2" t="inlineStr"/>
    </row>
    <row r="874" ht="15" customHeight="1">
      <c r="A874" t="inlineStr">
        <is>
          <t>A 26645-2024</t>
        </is>
      </c>
      <c r="B874" s="1" t="n">
        <v>45469.94667824074</v>
      </c>
      <c r="C874" s="1" t="n">
        <v>46022</v>
      </c>
      <c r="D874" t="inlineStr">
        <is>
          <t>JÄMTLANDS LÄN</t>
        </is>
      </c>
      <c r="E874" t="inlineStr">
        <is>
          <t>RAGUNDA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52578-2025</t>
        </is>
      </c>
      <c r="B875" s="1" t="n">
        <v>45954.61508101852</v>
      </c>
      <c r="C875" s="1" t="n">
        <v>46022</v>
      </c>
      <c r="D875" t="inlineStr">
        <is>
          <t>JÄMTLANDS LÄN</t>
        </is>
      </c>
      <c r="E875" t="inlineStr">
        <is>
          <t>RAGUNDA</t>
        </is>
      </c>
      <c r="F875" t="inlineStr">
        <is>
          <t>SCA</t>
        </is>
      </c>
      <c r="G875" t="n">
        <v>25.2</v>
      </c>
      <c r="H875" t="n">
        <v>0</v>
      </c>
      <c r="I875" t="n">
        <v>0</v>
      </c>
      <c r="J875" t="n">
        <v>0</v>
      </c>
      <c r="K875" t="n">
        <v>0</v>
      </c>
      <c r="L875" t="n">
        <v>0</v>
      </c>
      <c r="M875" t="n">
        <v>0</v>
      </c>
      <c r="N875" t="n">
        <v>0</v>
      </c>
      <c r="O875" t="n">
        <v>0</v>
      </c>
      <c r="P875" t="n">
        <v>0</v>
      </c>
      <c r="Q875" t="n">
        <v>0</v>
      </c>
      <c r="R875" s="2" t="inlineStr"/>
    </row>
    <row r="876" ht="15" customHeight="1">
      <c r="A876" t="inlineStr">
        <is>
          <t>A 893-2025</t>
        </is>
      </c>
      <c r="B876" s="1" t="n">
        <v>45665.65684027778</v>
      </c>
      <c r="C876" s="1" t="n">
        <v>46022</v>
      </c>
      <c r="D876" t="inlineStr">
        <is>
          <t>JÄMTLANDS LÄN</t>
        </is>
      </c>
      <c r="E876" t="inlineStr">
        <is>
          <t>RAGUNDA</t>
        </is>
      </c>
      <c r="F876" t="inlineStr">
        <is>
          <t>SCA</t>
        </is>
      </c>
      <c r="G876" t="n">
        <v>45.1</v>
      </c>
      <c r="H876" t="n">
        <v>0</v>
      </c>
      <c r="I876" t="n">
        <v>0</v>
      </c>
      <c r="J876" t="n">
        <v>0</v>
      </c>
      <c r="K876" t="n">
        <v>0</v>
      </c>
      <c r="L876" t="n">
        <v>0</v>
      </c>
      <c r="M876" t="n">
        <v>0</v>
      </c>
      <c r="N876" t="n">
        <v>0</v>
      </c>
      <c r="O876" t="n">
        <v>0</v>
      </c>
      <c r="P876" t="n">
        <v>0</v>
      </c>
      <c r="Q876" t="n">
        <v>0</v>
      </c>
      <c r="R876" s="2" t="inlineStr"/>
    </row>
    <row r="877" ht="15" customHeight="1">
      <c r="A877" t="inlineStr">
        <is>
          <t>A 31135-2023</t>
        </is>
      </c>
      <c r="B877" s="1" t="n">
        <v>45103</v>
      </c>
      <c r="C877" s="1" t="n">
        <v>46022</v>
      </c>
      <c r="D877" t="inlineStr">
        <is>
          <t>JÄMTLANDS LÄN</t>
        </is>
      </c>
      <c r="E877" t="inlineStr">
        <is>
          <t>RAGUNDA</t>
        </is>
      </c>
      <c r="G877" t="n">
        <v>0.9</v>
      </c>
      <c r="H877" t="n">
        <v>0</v>
      </c>
      <c r="I877" t="n">
        <v>0</v>
      </c>
      <c r="J877" t="n">
        <v>0</v>
      </c>
      <c r="K877" t="n">
        <v>0</v>
      </c>
      <c r="L877" t="n">
        <v>0</v>
      </c>
      <c r="M877" t="n">
        <v>0</v>
      </c>
      <c r="N877" t="n">
        <v>0</v>
      </c>
      <c r="O877" t="n">
        <v>0</v>
      </c>
      <c r="P877" t="n">
        <v>0</v>
      </c>
      <c r="Q877" t="n">
        <v>0</v>
      </c>
      <c r="R877" s="2" t="inlineStr"/>
    </row>
    <row r="878" ht="15" customHeight="1">
      <c r="A878" t="inlineStr">
        <is>
          <t>A 61266-2025</t>
        </is>
      </c>
      <c r="B878" s="1" t="n">
        <v>46000.67784722222</v>
      </c>
      <c r="C878" s="1" t="n">
        <v>46022</v>
      </c>
      <c r="D878" t="inlineStr">
        <is>
          <t>JÄMTLANDS LÄN</t>
        </is>
      </c>
      <c r="E878" t="inlineStr">
        <is>
          <t>RAGUNDA</t>
        </is>
      </c>
      <c r="G878" t="n">
        <v>7.9</v>
      </c>
      <c r="H878" t="n">
        <v>0</v>
      </c>
      <c r="I878" t="n">
        <v>0</v>
      </c>
      <c r="J878" t="n">
        <v>0</v>
      </c>
      <c r="K878" t="n">
        <v>0</v>
      </c>
      <c r="L878" t="n">
        <v>0</v>
      </c>
      <c r="M878" t="n">
        <v>0</v>
      </c>
      <c r="N878" t="n">
        <v>0</v>
      </c>
      <c r="O878" t="n">
        <v>0</v>
      </c>
      <c r="P878" t="n">
        <v>0</v>
      </c>
      <c r="Q878" t="n">
        <v>0</v>
      </c>
      <c r="R878" s="2" t="inlineStr"/>
    </row>
    <row r="879" ht="15" customHeight="1">
      <c r="A879" t="inlineStr">
        <is>
          <t>A 61233-2025</t>
        </is>
      </c>
      <c r="B879" s="1" t="n">
        <v>46000.6359837963</v>
      </c>
      <c r="C879" s="1" t="n">
        <v>46022</v>
      </c>
      <c r="D879" t="inlineStr">
        <is>
          <t>JÄMTLANDS LÄN</t>
        </is>
      </c>
      <c r="E879" t="inlineStr">
        <is>
          <t>RAGUNDA</t>
        </is>
      </c>
      <c r="F879" t="inlineStr">
        <is>
          <t>SCA</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53076-2025</t>
        </is>
      </c>
      <c r="B880" s="1" t="n">
        <v>45958.38604166666</v>
      </c>
      <c r="C880" s="1" t="n">
        <v>46022</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43132-2023</t>
        </is>
      </c>
      <c r="B881" s="1" t="n">
        <v>45182</v>
      </c>
      <c r="C881" s="1" t="n">
        <v>46022</v>
      </c>
      <c r="D881" t="inlineStr">
        <is>
          <t>JÄMTLANDS LÄN</t>
        </is>
      </c>
      <c r="E881" t="inlineStr">
        <is>
          <t>RAGUNDA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25304-2023</t>
        </is>
      </c>
      <c r="B882" s="1" t="n">
        <v>45086</v>
      </c>
      <c r="C882" s="1" t="n">
        <v>46022</v>
      </c>
      <c r="D882" t="inlineStr">
        <is>
          <t>JÄMTLANDS LÄN</t>
        </is>
      </c>
      <c r="E882" t="inlineStr">
        <is>
          <t>RAGUNDA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53986-2025</t>
        </is>
      </c>
      <c r="B883" s="1" t="n">
        <v>45961.57381944444</v>
      </c>
      <c r="C883" s="1" t="n">
        <v>46022</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53973-2025</t>
        </is>
      </c>
      <c r="B884" s="1" t="n">
        <v>45961.55246527777</v>
      </c>
      <c r="C884" s="1" t="n">
        <v>46022</v>
      </c>
      <c r="D884" t="inlineStr">
        <is>
          <t>JÄMTLANDS LÄN</t>
        </is>
      </c>
      <c r="E884" t="inlineStr">
        <is>
          <t>RAGUNDA</t>
        </is>
      </c>
      <c r="G884" t="n">
        <v>2.4</v>
      </c>
      <c r="H884" t="n">
        <v>0</v>
      </c>
      <c r="I884" t="n">
        <v>0</v>
      </c>
      <c r="J884" t="n">
        <v>0</v>
      </c>
      <c r="K884" t="n">
        <v>0</v>
      </c>
      <c r="L884" t="n">
        <v>0</v>
      </c>
      <c r="M884" t="n">
        <v>0</v>
      </c>
      <c r="N884" t="n">
        <v>0</v>
      </c>
      <c r="O884" t="n">
        <v>0</v>
      </c>
      <c r="P884" t="n">
        <v>0</v>
      </c>
      <c r="Q884" t="n">
        <v>0</v>
      </c>
      <c r="R884" s="2" t="inlineStr"/>
    </row>
    <row r="885" ht="15" customHeight="1">
      <c r="A885" t="inlineStr">
        <is>
          <t>A 53549-2025</t>
        </is>
      </c>
      <c r="B885" s="1" t="n">
        <v>45960.38576388889</v>
      </c>
      <c r="C885" s="1" t="n">
        <v>46022</v>
      </c>
      <c r="D885" t="inlineStr">
        <is>
          <t>JÄMTLANDS LÄN</t>
        </is>
      </c>
      <c r="E885" t="inlineStr">
        <is>
          <t>RAGUNDA</t>
        </is>
      </c>
      <c r="G885" t="n">
        <v>5.4</v>
      </c>
      <c r="H885" t="n">
        <v>0</v>
      </c>
      <c r="I885" t="n">
        <v>0</v>
      </c>
      <c r="J885" t="n">
        <v>0</v>
      </c>
      <c r="K885" t="n">
        <v>0</v>
      </c>
      <c r="L885" t="n">
        <v>0</v>
      </c>
      <c r="M885" t="n">
        <v>0</v>
      </c>
      <c r="N885" t="n">
        <v>0</v>
      </c>
      <c r="O885" t="n">
        <v>0</v>
      </c>
      <c r="P885" t="n">
        <v>0</v>
      </c>
      <c r="Q885" t="n">
        <v>0</v>
      </c>
      <c r="R885" s="2" t="inlineStr"/>
    </row>
    <row r="886" ht="15" customHeight="1">
      <c r="A886" t="inlineStr">
        <is>
          <t>A 56284-2023</t>
        </is>
      </c>
      <c r="B886" s="1" t="n">
        <v>45241.95724537037</v>
      </c>
      <c r="C886" s="1" t="n">
        <v>46022</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53975-2025</t>
        </is>
      </c>
      <c r="B887" s="1" t="n">
        <v>45961.55277777778</v>
      </c>
      <c r="C887" s="1" t="n">
        <v>46022</v>
      </c>
      <c r="D887" t="inlineStr">
        <is>
          <t>JÄMTLANDS LÄN</t>
        </is>
      </c>
      <c r="E887" t="inlineStr">
        <is>
          <t>RAGUNDA</t>
        </is>
      </c>
      <c r="F887" t="inlineStr">
        <is>
          <t>SCA</t>
        </is>
      </c>
      <c r="G887" t="n">
        <v>21.9</v>
      </c>
      <c r="H887" t="n">
        <v>0</v>
      </c>
      <c r="I887" t="n">
        <v>0</v>
      </c>
      <c r="J887" t="n">
        <v>0</v>
      </c>
      <c r="K887" t="n">
        <v>0</v>
      </c>
      <c r="L887" t="n">
        <v>0</v>
      </c>
      <c r="M887" t="n">
        <v>0</v>
      </c>
      <c r="N887" t="n">
        <v>0</v>
      </c>
      <c r="O887" t="n">
        <v>0</v>
      </c>
      <c r="P887" t="n">
        <v>0</v>
      </c>
      <c r="Q887" t="n">
        <v>0</v>
      </c>
      <c r="R887" s="2" t="inlineStr"/>
    </row>
    <row r="888" ht="15" customHeight="1">
      <c r="A888" t="inlineStr">
        <is>
          <t>A 53726-2025</t>
        </is>
      </c>
      <c r="B888" s="1" t="n">
        <v>45960.63597222222</v>
      </c>
      <c r="C888" s="1" t="n">
        <v>46022</v>
      </c>
      <c r="D888" t="inlineStr">
        <is>
          <t>JÄMTLANDS LÄN</t>
        </is>
      </c>
      <c r="E888" t="inlineStr">
        <is>
          <t>RAGUNDA</t>
        </is>
      </c>
      <c r="F888" t="inlineStr">
        <is>
          <t>SCA</t>
        </is>
      </c>
      <c r="G888" t="n">
        <v>10.9</v>
      </c>
      <c r="H888" t="n">
        <v>0</v>
      </c>
      <c r="I888" t="n">
        <v>0</v>
      </c>
      <c r="J888" t="n">
        <v>0</v>
      </c>
      <c r="K888" t="n">
        <v>0</v>
      </c>
      <c r="L888" t="n">
        <v>0</v>
      </c>
      <c r="M888" t="n">
        <v>0</v>
      </c>
      <c r="N888" t="n">
        <v>0</v>
      </c>
      <c r="O888" t="n">
        <v>0</v>
      </c>
      <c r="P888" t="n">
        <v>0</v>
      </c>
      <c r="Q888" t="n">
        <v>0</v>
      </c>
      <c r="R888" s="2" t="inlineStr"/>
    </row>
    <row r="889" ht="15" customHeight="1">
      <c r="A889" t="inlineStr">
        <is>
          <t>A 53748-2025</t>
        </is>
      </c>
      <c r="B889" s="1" t="n">
        <v>45960.65673611111</v>
      </c>
      <c r="C889" s="1" t="n">
        <v>46022</v>
      </c>
      <c r="D889" t="inlineStr">
        <is>
          <t>JÄMTLANDS LÄN</t>
        </is>
      </c>
      <c r="E889" t="inlineStr">
        <is>
          <t>RAGUNDA</t>
        </is>
      </c>
      <c r="F889" t="inlineStr">
        <is>
          <t>SCA</t>
        </is>
      </c>
      <c r="G889" t="n">
        <v>14.9</v>
      </c>
      <c r="H889" t="n">
        <v>0</v>
      </c>
      <c r="I889" t="n">
        <v>0</v>
      </c>
      <c r="J889" t="n">
        <v>0</v>
      </c>
      <c r="K889" t="n">
        <v>0</v>
      </c>
      <c r="L889" t="n">
        <v>0</v>
      </c>
      <c r="M889" t="n">
        <v>0</v>
      </c>
      <c r="N889" t="n">
        <v>0</v>
      </c>
      <c r="O889" t="n">
        <v>0</v>
      </c>
      <c r="P889" t="n">
        <v>0</v>
      </c>
      <c r="Q889" t="n">
        <v>0</v>
      </c>
      <c r="R889" s="2" t="inlineStr"/>
    </row>
    <row r="890" ht="15" customHeight="1">
      <c r="A890" t="inlineStr">
        <is>
          <t>A 61045-2022</t>
        </is>
      </c>
      <c r="B890" s="1" t="n">
        <v>44914</v>
      </c>
      <c r="C890" s="1" t="n">
        <v>46022</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53727-2025</t>
        </is>
      </c>
      <c r="B891" s="1" t="n">
        <v>45960.63630787037</v>
      </c>
      <c r="C891" s="1" t="n">
        <v>46022</v>
      </c>
      <c r="D891" t="inlineStr">
        <is>
          <t>JÄMTLANDS LÄN</t>
        </is>
      </c>
      <c r="E891" t="inlineStr">
        <is>
          <t>RAGUNDA</t>
        </is>
      </c>
      <c r="F891" t="inlineStr">
        <is>
          <t>SCA</t>
        </is>
      </c>
      <c r="G891" t="n">
        <v>6.4</v>
      </c>
      <c r="H891" t="n">
        <v>0</v>
      </c>
      <c r="I891" t="n">
        <v>0</v>
      </c>
      <c r="J891" t="n">
        <v>0</v>
      </c>
      <c r="K891" t="n">
        <v>0</v>
      </c>
      <c r="L891" t="n">
        <v>0</v>
      </c>
      <c r="M891" t="n">
        <v>0</v>
      </c>
      <c r="N891" t="n">
        <v>0</v>
      </c>
      <c r="O891" t="n">
        <v>0</v>
      </c>
      <c r="P891" t="n">
        <v>0</v>
      </c>
      <c r="Q891" t="n">
        <v>0</v>
      </c>
      <c r="R891" s="2" t="inlineStr"/>
    </row>
    <row r="892" ht="15" customHeight="1">
      <c r="A892" t="inlineStr">
        <is>
          <t>A 61197-2023</t>
        </is>
      </c>
      <c r="B892" s="1" t="n">
        <v>45260</v>
      </c>
      <c r="C892" s="1" t="n">
        <v>46022</v>
      </c>
      <c r="D892" t="inlineStr">
        <is>
          <t>JÄMTLANDS LÄN</t>
        </is>
      </c>
      <c r="E892" t="inlineStr">
        <is>
          <t>RAGUNDA</t>
        </is>
      </c>
      <c r="G892" t="n">
        <v>2.5</v>
      </c>
      <c r="H892" t="n">
        <v>0</v>
      </c>
      <c r="I892" t="n">
        <v>0</v>
      </c>
      <c r="J892" t="n">
        <v>0</v>
      </c>
      <c r="K892" t="n">
        <v>0</v>
      </c>
      <c r="L892" t="n">
        <v>0</v>
      </c>
      <c r="M892" t="n">
        <v>0</v>
      </c>
      <c r="N892" t="n">
        <v>0</v>
      </c>
      <c r="O892" t="n">
        <v>0</v>
      </c>
      <c r="P892" t="n">
        <v>0</v>
      </c>
      <c r="Q892" t="n">
        <v>0</v>
      </c>
      <c r="R892" s="2" t="inlineStr"/>
    </row>
    <row r="893" ht="15" customHeight="1">
      <c r="A893" t="inlineStr">
        <is>
          <t>A 13263-2025</t>
        </is>
      </c>
      <c r="B893" s="1" t="n">
        <v>45735.53177083333</v>
      </c>
      <c r="C893" s="1" t="n">
        <v>46022</v>
      </c>
      <c r="D893" t="inlineStr">
        <is>
          <t>JÄMTLANDS LÄN</t>
        </is>
      </c>
      <c r="E893" t="inlineStr">
        <is>
          <t>RAGUNDA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48066-2022</t>
        </is>
      </c>
      <c r="B894" s="1" t="n">
        <v>44855</v>
      </c>
      <c r="C894" s="1" t="n">
        <v>46022</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61697-2025</t>
        </is>
      </c>
      <c r="B895" s="1" t="n">
        <v>46002</v>
      </c>
      <c r="C895" s="1" t="n">
        <v>46022</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64415-2023</t>
        </is>
      </c>
      <c r="B896" s="1" t="n">
        <v>45280</v>
      </c>
      <c r="C896" s="1" t="n">
        <v>46022</v>
      </c>
      <c r="D896" t="inlineStr">
        <is>
          <t>JÄMTLANDS LÄN</t>
        </is>
      </c>
      <c r="E896" t="inlineStr">
        <is>
          <t>RAGUNDA</t>
        </is>
      </c>
      <c r="G896" t="n">
        <v>5.1</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46022</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15864-2024</t>
        </is>
      </c>
      <c r="B898" s="1" t="n">
        <v>45404.99792824074</v>
      </c>
      <c r="C898" s="1" t="n">
        <v>46022</v>
      </c>
      <c r="D898" t="inlineStr">
        <is>
          <t>JÄMTLANDS LÄN</t>
        </is>
      </c>
      <c r="E898" t="inlineStr">
        <is>
          <t>RAGUNDA</t>
        </is>
      </c>
      <c r="F898" t="inlineStr">
        <is>
          <t>SCA</t>
        </is>
      </c>
      <c r="G898" t="n">
        <v>1.1</v>
      </c>
      <c r="H898" t="n">
        <v>0</v>
      </c>
      <c r="I898" t="n">
        <v>0</v>
      </c>
      <c r="J898" t="n">
        <v>0</v>
      </c>
      <c r="K898" t="n">
        <v>0</v>
      </c>
      <c r="L898" t="n">
        <v>0</v>
      </c>
      <c r="M898" t="n">
        <v>0</v>
      </c>
      <c r="N898" t="n">
        <v>0</v>
      </c>
      <c r="O898" t="n">
        <v>0</v>
      </c>
      <c r="P898" t="n">
        <v>0</v>
      </c>
      <c r="Q898" t="n">
        <v>0</v>
      </c>
      <c r="R898" s="2" t="inlineStr"/>
      <c r="U898">
        <f>HYPERLINK("https://klasma.github.io/Logging_2303/knärot/A 15864-2024 karta knärot.png", "A 15864-2024")</f>
        <v/>
      </c>
      <c r="V898">
        <f>HYPERLINK("https://klasma.github.io/Logging_2303/klagomål/A 15864-2024 FSC-klagomål.docx", "A 15864-2024")</f>
        <v/>
      </c>
      <c r="W898">
        <f>HYPERLINK("https://klasma.github.io/Logging_2303/klagomålsmail/A 15864-2024 FSC-klagomål mail.docx", "A 15864-2024")</f>
        <v/>
      </c>
      <c r="X898">
        <f>HYPERLINK("https://klasma.github.io/Logging_2303/tillsyn/A 15864-2024 tillsynsbegäran.docx", "A 15864-2024")</f>
        <v/>
      </c>
      <c r="Y898">
        <f>HYPERLINK("https://klasma.github.io/Logging_2303/tillsynsmail/A 15864-2024 tillsynsbegäran mail.docx", "A 15864-2024")</f>
        <v/>
      </c>
    </row>
    <row r="899" ht="15" customHeight="1">
      <c r="A899" t="inlineStr">
        <is>
          <t>A 53765-2025</t>
        </is>
      </c>
      <c r="B899" s="1" t="n">
        <v>45960.67753472222</v>
      </c>
      <c r="C899" s="1" t="n">
        <v>46022</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57749-2024</t>
        </is>
      </c>
      <c r="B900" s="1" t="n">
        <v>45630.7862037037</v>
      </c>
      <c r="C900" s="1" t="n">
        <v>46022</v>
      </c>
      <c r="D900" t="inlineStr">
        <is>
          <t>JÄMTLANDS LÄN</t>
        </is>
      </c>
      <c r="E900" t="inlineStr">
        <is>
          <t>RAGUNDA</t>
        </is>
      </c>
      <c r="G900" t="n">
        <v>1.3</v>
      </c>
      <c r="H900" t="n">
        <v>0</v>
      </c>
      <c r="I900" t="n">
        <v>0</v>
      </c>
      <c r="J900" t="n">
        <v>0</v>
      </c>
      <c r="K900" t="n">
        <v>0</v>
      </c>
      <c r="L900" t="n">
        <v>0</v>
      </c>
      <c r="M900" t="n">
        <v>0</v>
      </c>
      <c r="N900" t="n">
        <v>0</v>
      </c>
      <c r="O900" t="n">
        <v>0</v>
      </c>
      <c r="P900" t="n">
        <v>0</v>
      </c>
      <c r="Q900" t="n">
        <v>0</v>
      </c>
      <c r="R900" s="2" t="inlineStr"/>
    </row>
    <row r="901" ht="15" customHeight="1">
      <c r="A901" t="inlineStr">
        <is>
          <t>A 53951-2025</t>
        </is>
      </c>
      <c r="B901" s="1" t="n">
        <v>45961.50200231482</v>
      </c>
      <c r="C901" s="1" t="n">
        <v>46022</v>
      </c>
      <c r="D901" t="inlineStr">
        <is>
          <t>JÄMTLANDS LÄN</t>
        </is>
      </c>
      <c r="E901" t="inlineStr">
        <is>
          <t>RAGUNDA</t>
        </is>
      </c>
      <c r="G901" t="n">
        <v>1.8</v>
      </c>
      <c r="H901" t="n">
        <v>0</v>
      </c>
      <c r="I901" t="n">
        <v>0</v>
      </c>
      <c r="J901" t="n">
        <v>0</v>
      </c>
      <c r="K901" t="n">
        <v>0</v>
      </c>
      <c r="L901" t="n">
        <v>0</v>
      </c>
      <c r="M901" t="n">
        <v>0</v>
      </c>
      <c r="N901" t="n">
        <v>0</v>
      </c>
      <c r="O901" t="n">
        <v>0</v>
      </c>
      <c r="P901" t="n">
        <v>0</v>
      </c>
      <c r="Q901" t="n">
        <v>0</v>
      </c>
      <c r="R901" s="2" t="inlineStr"/>
    </row>
    <row r="902" ht="15" customHeight="1">
      <c r="A902" t="inlineStr">
        <is>
          <t>A 53948-2025</t>
        </is>
      </c>
      <c r="B902" s="1" t="n">
        <v>45961.50033564815</v>
      </c>
      <c r="C902" s="1" t="n">
        <v>46022</v>
      </c>
      <c r="D902" t="inlineStr">
        <is>
          <t>JÄMTLANDS LÄN</t>
        </is>
      </c>
      <c r="E902" t="inlineStr">
        <is>
          <t>RAGUNDA</t>
        </is>
      </c>
      <c r="G902" t="n">
        <v>7.9</v>
      </c>
      <c r="H902" t="n">
        <v>0</v>
      </c>
      <c r="I902" t="n">
        <v>0</v>
      </c>
      <c r="J902" t="n">
        <v>0</v>
      </c>
      <c r="K902" t="n">
        <v>0</v>
      </c>
      <c r="L902" t="n">
        <v>0</v>
      </c>
      <c r="M902" t="n">
        <v>0</v>
      </c>
      <c r="N902" t="n">
        <v>0</v>
      </c>
      <c r="O902" t="n">
        <v>0</v>
      </c>
      <c r="P902" t="n">
        <v>0</v>
      </c>
      <c r="Q902" t="n">
        <v>0</v>
      </c>
      <c r="R902" s="2" t="inlineStr"/>
    </row>
    <row r="903" ht="15" customHeight="1">
      <c r="A903" t="inlineStr">
        <is>
          <t>A 24280-2021</t>
        </is>
      </c>
      <c r="B903" s="1" t="n">
        <v>44336</v>
      </c>
      <c r="C903" s="1" t="n">
        <v>46022</v>
      </c>
      <c r="D903" t="inlineStr">
        <is>
          <t>JÄMTLANDS LÄN</t>
        </is>
      </c>
      <c r="E903" t="inlineStr">
        <is>
          <t>RAGUNDA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8886-2024</t>
        </is>
      </c>
      <c r="B904" s="1" t="n">
        <v>45357.05300925926</v>
      </c>
      <c r="C904" s="1" t="n">
        <v>46022</v>
      </c>
      <c r="D904" t="inlineStr">
        <is>
          <t>JÄMTLANDS LÄN</t>
        </is>
      </c>
      <c r="E904" t="inlineStr">
        <is>
          <t>RAGUNDA</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62432-2025</t>
        </is>
      </c>
      <c r="B905" s="1" t="n">
        <v>46007</v>
      </c>
      <c r="C905" s="1" t="n">
        <v>46022</v>
      </c>
      <c r="D905" t="inlineStr">
        <is>
          <t>JÄMTLANDS LÄN</t>
        </is>
      </c>
      <c r="E905" t="inlineStr">
        <is>
          <t>RAGUNDA</t>
        </is>
      </c>
      <c r="G905" t="n">
        <v>4.7</v>
      </c>
      <c r="H905" t="n">
        <v>0</v>
      </c>
      <c r="I905" t="n">
        <v>0</v>
      </c>
      <c r="J905" t="n">
        <v>0</v>
      </c>
      <c r="K905" t="n">
        <v>0</v>
      </c>
      <c r="L905" t="n">
        <v>0</v>
      </c>
      <c r="M905" t="n">
        <v>0</v>
      </c>
      <c r="N905" t="n">
        <v>0</v>
      </c>
      <c r="O905" t="n">
        <v>0</v>
      </c>
      <c r="P905" t="n">
        <v>0</v>
      </c>
      <c r="Q905" t="n">
        <v>0</v>
      </c>
      <c r="R905" s="2" t="inlineStr"/>
    </row>
    <row r="906" ht="15" customHeight="1">
      <c r="A906" t="inlineStr">
        <is>
          <t>A 62436-2025</t>
        </is>
      </c>
      <c r="B906" s="1" t="n">
        <v>46007</v>
      </c>
      <c r="C906" s="1" t="n">
        <v>46022</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62467-2025</t>
        </is>
      </c>
      <c r="B907" s="1" t="n">
        <v>46007.5108912037</v>
      </c>
      <c r="C907" s="1" t="n">
        <v>46022</v>
      </c>
      <c r="D907" t="inlineStr">
        <is>
          <t>JÄMTLANDS LÄN</t>
        </is>
      </c>
      <c r="E907" t="inlineStr">
        <is>
          <t>RAGUNDA</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50160-2023</t>
        </is>
      </c>
      <c r="B908" s="1" t="n">
        <v>45208</v>
      </c>
      <c r="C908" s="1" t="n">
        <v>46022</v>
      </c>
      <c r="D908" t="inlineStr">
        <is>
          <t>JÄMTLANDS LÄN</t>
        </is>
      </c>
      <c r="E908" t="inlineStr">
        <is>
          <t>RAGUNDA</t>
        </is>
      </c>
      <c r="G908" t="n">
        <v>4.6</v>
      </c>
      <c r="H908" t="n">
        <v>0</v>
      </c>
      <c r="I908" t="n">
        <v>0</v>
      </c>
      <c r="J908" t="n">
        <v>0</v>
      </c>
      <c r="K908" t="n">
        <v>0</v>
      </c>
      <c r="L908" t="n">
        <v>0</v>
      </c>
      <c r="M908" t="n">
        <v>0</v>
      </c>
      <c r="N908" t="n">
        <v>0</v>
      </c>
      <c r="O908" t="n">
        <v>0</v>
      </c>
      <c r="P908" t="n">
        <v>0</v>
      </c>
      <c r="Q908" t="n">
        <v>0</v>
      </c>
      <c r="R908" s="2" t="inlineStr"/>
    </row>
    <row r="909" ht="15" customHeight="1">
      <c r="A909" t="inlineStr">
        <is>
          <t>A 28596-2021</t>
        </is>
      </c>
      <c r="B909" s="1" t="n">
        <v>44356</v>
      </c>
      <c r="C909" s="1" t="n">
        <v>46022</v>
      </c>
      <c r="D909" t="inlineStr">
        <is>
          <t>JÄMTLANDS LÄN</t>
        </is>
      </c>
      <c r="E909" t="inlineStr">
        <is>
          <t>RAGUNDA</t>
        </is>
      </c>
      <c r="G909" t="n">
        <v>5.4</v>
      </c>
      <c r="H909" t="n">
        <v>0</v>
      </c>
      <c r="I909" t="n">
        <v>0</v>
      </c>
      <c r="J909" t="n">
        <v>0</v>
      </c>
      <c r="K909" t="n">
        <v>0</v>
      </c>
      <c r="L909" t="n">
        <v>0</v>
      </c>
      <c r="M909" t="n">
        <v>0</v>
      </c>
      <c r="N909" t="n">
        <v>0</v>
      </c>
      <c r="O909" t="n">
        <v>0</v>
      </c>
      <c r="P909" t="n">
        <v>0</v>
      </c>
      <c r="Q909" t="n">
        <v>0</v>
      </c>
      <c r="R909" s="2" t="inlineStr"/>
    </row>
    <row r="910" ht="15" customHeight="1">
      <c r="A910" t="inlineStr">
        <is>
          <t>A 54195-2025</t>
        </is>
      </c>
      <c r="B910" s="1" t="n">
        <v>45964.57413194444</v>
      </c>
      <c r="C910" s="1" t="n">
        <v>46022</v>
      </c>
      <c r="D910" t="inlineStr">
        <is>
          <t>JÄMTLANDS LÄN</t>
        </is>
      </c>
      <c r="E910" t="inlineStr">
        <is>
          <t>RAGUNDA</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11058-2025</t>
        </is>
      </c>
      <c r="B911" s="1" t="n">
        <v>45723.51079861111</v>
      </c>
      <c r="C911" s="1" t="n">
        <v>46022</v>
      </c>
      <c r="D911" t="inlineStr">
        <is>
          <t>JÄMTLANDS LÄN</t>
        </is>
      </c>
      <c r="E911" t="inlineStr">
        <is>
          <t>RAGUNDA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38664-2022</t>
        </is>
      </c>
      <c r="B912" s="1" t="n">
        <v>44813</v>
      </c>
      <c r="C912" s="1" t="n">
        <v>46022</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54396-2025</t>
        </is>
      </c>
      <c r="B913" s="1" t="n">
        <v>45965.44849537037</v>
      </c>
      <c r="C913" s="1" t="n">
        <v>46022</v>
      </c>
      <c r="D913" t="inlineStr">
        <is>
          <t>JÄMTLANDS LÄN</t>
        </is>
      </c>
      <c r="E913" t="inlineStr">
        <is>
          <t>RAGUNDA</t>
        </is>
      </c>
      <c r="F913" t="inlineStr">
        <is>
          <t>SCA</t>
        </is>
      </c>
      <c r="G913" t="n">
        <v>35.2</v>
      </c>
      <c r="H913" t="n">
        <v>0</v>
      </c>
      <c r="I913" t="n">
        <v>0</v>
      </c>
      <c r="J913" t="n">
        <v>0</v>
      </c>
      <c r="K913" t="n">
        <v>0</v>
      </c>
      <c r="L913" t="n">
        <v>0</v>
      </c>
      <c r="M913" t="n">
        <v>0</v>
      </c>
      <c r="N913" t="n">
        <v>0</v>
      </c>
      <c r="O913" t="n">
        <v>0</v>
      </c>
      <c r="P913" t="n">
        <v>0</v>
      </c>
      <c r="Q913" t="n">
        <v>0</v>
      </c>
      <c r="R913" s="2" t="inlineStr"/>
    </row>
    <row r="914" ht="15" customHeight="1">
      <c r="A914" t="inlineStr">
        <is>
          <t>A 24441-2024</t>
        </is>
      </c>
      <c r="B914" s="1" t="n">
        <v>45457.96372685185</v>
      </c>
      <c r="C914" s="1" t="n">
        <v>46022</v>
      </c>
      <c r="D914" t="inlineStr">
        <is>
          <t>JÄMTLANDS LÄN</t>
        </is>
      </c>
      <c r="E914" t="inlineStr">
        <is>
          <t>RAGUNDA</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62490-2025</t>
        </is>
      </c>
      <c r="B915" s="1" t="n">
        <v>46007.5697337963</v>
      </c>
      <c r="C915" s="1" t="n">
        <v>46022</v>
      </c>
      <c r="D915" t="inlineStr">
        <is>
          <t>JÄMTLANDS LÄN</t>
        </is>
      </c>
      <c r="E915" t="inlineStr">
        <is>
          <t>RAGUNDA</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40801-2023</t>
        </is>
      </c>
      <c r="B916" s="1" t="n">
        <v>45170</v>
      </c>
      <c r="C916" s="1" t="n">
        <v>46022</v>
      </c>
      <c r="D916" t="inlineStr">
        <is>
          <t>JÄMTLANDS LÄN</t>
        </is>
      </c>
      <c r="E916" t="inlineStr">
        <is>
          <t>RAGUNDA</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50157-2023</t>
        </is>
      </c>
      <c r="B917" s="1" t="n">
        <v>45208</v>
      </c>
      <c r="C917" s="1" t="n">
        <v>46022</v>
      </c>
      <c r="D917" t="inlineStr">
        <is>
          <t>JÄMTLANDS LÄN</t>
        </is>
      </c>
      <c r="E917" t="inlineStr">
        <is>
          <t>RAGUNDA</t>
        </is>
      </c>
      <c r="G917" t="n">
        <v>0.9</v>
      </c>
      <c r="H917" t="n">
        <v>0</v>
      </c>
      <c r="I917" t="n">
        <v>0</v>
      </c>
      <c r="J917" t="n">
        <v>0</v>
      </c>
      <c r="K917" t="n">
        <v>0</v>
      </c>
      <c r="L917" t="n">
        <v>0</v>
      </c>
      <c r="M917" t="n">
        <v>0</v>
      </c>
      <c r="N917" t="n">
        <v>0</v>
      </c>
      <c r="O917" t="n">
        <v>0</v>
      </c>
      <c r="P917" t="n">
        <v>0</v>
      </c>
      <c r="Q917" t="n">
        <v>0</v>
      </c>
      <c r="R917" s="2" t="inlineStr"/>
    </row>
    <row r="918" ht="15" customHeight="1">
      <c r="A918" t="inlineStr">
        <is>
          <t>A 48065-2023</t>
        </is>
      </c>
      <c r="B918" s="1" t="n">
        <v>45204.94399305555</v>
      </c>
      <c r="C918" s="1" t="n">
        <v>46022</v>
      </c>
      <c r="D918" t="inlineStr">
        <is>
          <t>JÄMTLANDS LÄN</t>
        </is>
      </c>
      <c r="E918" t="inlineStr">
        <is>
          <t>RAGUNDA</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4592-2024</t>
        </is>
      </c>
      <c r="B919" s="1" t="n">
        <v>45327.94443287037</v>
      </c>
      <c r="C919" s="1" t="n">
        <v>46022</v>
      </c>
      <c r="D919" t="inlineStr">
        <is>
          <t>JÄMTLANDS LÄN</t>
        </is>
      </c>
      <c r="E919" t="inlineStr">
        <is>
          <t>RAGUNDA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60195-2023</t>
        </is>
      </c>
      <c r="B920" s="1" t="n">
        <v>45257</v>
      </c>
      <c r="C920" s="1" t="n">
        <v>46022</v>
      </c>
      <c r="D920" t="inlineStr">
        <is>
          <t>JÄMTLANDS LÄN</t>
        </is>
      </c>
      <c r="E920" t="inlineStr">
        <is>
          <t>RAGUNDA</t>
        </is>
      </c>
      <c r="G920" t="n">
        <v>1.7</v>
      </c>
      <c r="H920" t="n">
        <v>0</v>
      </c>
      <c r="I920" t="n">
        <v>0</v>
      </c>
      <c r="J920" t="n">
        <v>0</v>
      </c>
      <c r="K920" t="n">
        <v>0</v>
      </c>
      <c r="L920" t="n">
        <v>0</v>
      </c>
      <c r="M920" t="n">
        <v>0</v>
      </c>
      <c r="N920" t="n">
        <v>0</v>
      </c>
      <c r="O920" t="n">
        <v>0</v>
      </c>
      <c r="P920" t="n">
        <v>0</v>
      </c>
      <c r="Q920" t="n">
        <v>0</v>
      </c>
      <c r="R920" s="2" t="inlineStr"/>
    </row>
    <row r="921" ht="15" customHeight="1">
      <c r="A921" t="inlineStr">
        <is>
          <t>A 22981-2023</t>
        </is>
      </c>
      <c r="B921" s="1" t="n">
        <v>45072.92737268518</v>
      </c>
      <c r="C921" s="1" t="n">
        <v>46022</v>
      </c>
      <c r="D921" t="inlineStr">
        <is>
          <t>JÄMTLANDS LÄN</t>
        </is>
      </c>
      <c r="E921" t="inlineStr">
        <is>
          <t>RAGUNDA</t>
        </is>
      </c>
      <c r="G921" t="n">
        <v>3.8</v>
      </c>
      <c r="H921" t="n">
        <v>0</v>
      </c>
      <c r="I921" t="n">
        <v>0</v>
      </c>
      <c r="J921" t="n">
        <v>0</v>
      </c>
      <c r="K921" t="n">
        <v>0</v>
      </c>
      <c r="L921" t="n">
        <v>0</v>
      </c>
      <c r="M921" t="n">
        <v>0</v>
      </c>
      <c r="N921" t="n">
        <v>0</v>
      </c>
      <c r="O921" t="n">
        <v>0</v>
      </c>
      <c r="P921" t="n">
        <v>0</v>
      </c>
      <c r="Q921" t="n">
        <v>0</v>
      </c>
      <c r="R921" s="2" t="inlineStr"/>
    </row>
    <row r="922" ht="15" customHeight="1">
      <c r="A922" t="inlineStr">
        <is>
          <t>A 26942-2021</t>
        </is>
      </c>
      <c r="B922" s="1" t="n">
        <v>44349.91978009259</v>
      </c>
      <c r="C922" s="1" t="n">
        <v>46022</v>
      </c>
      <c r="D922" t="inlineStr">
        <is>
          <t>JÄMTLANDS LÄN</t>
        </is>
      </c>
      <c r="E922" t="inlineStr">
        <is>
          <t>RAGUNDA</t>
        </is>
      </c>
      <c r="G922" t="n">
        <v>6.2</v>
      </c>
      <c r="H922" t="n">
        <v>0</v>
      </c>
      <c r="I922" t="n">
        <v>0</v>
      </c>
      <c r="J922" t="n">
        <v>0</v>
      </c>
      <c r="K922" t="n">
        <v>0</v>
      </c>
      <c r="L922" t="n">
        <v>0</v>
      </c>
      <c r="M922" t="n">
        <v>0</v>
      </c>
      <c r="N922" t="n">
        <v>0</v>
      </c>
      <c r="O922" t="n">
        <v>0</v>
      </c>
      <c r="P922" t="n">
        <v>0</v>
      </c>
      <c r="Q922" t="n">
        <v>0</v>
      </c>
      <c r="R922" s="2" t="inlineStr"/>
    </row>
    <row r="923" ht="15" customHeight="1">
      <c r="A923" t="inlineStr">
        <is>
          <t>A 63060-2025</t>
        </is>
      </c>
      <c r="B923" s="1" t="n">
        <v>46009.64414351852</v>
      </c>
      <c r="C923" s="1" t="n">
        <v>46022</v>
      </c>
      <c r="D923" t="inlineStr">
        <is>
          <t>JÄMTLANDS LÄN</t>
        </is>
      </c>
      <c r="E923" t="inlineStr">
        <is>
          <t>RAGUNDA</t>
        </is>
      </c>
      <c r="G923" t="n">
        <v>6.5</v>
      </c>
      <c r="H923" t="n">
        <v>0</v>
      </c>
      <c r="I923" t="n">
        <v>0</v>
      </c>
      <c r="J923" t="n">
        <v>0</v>
      </c>
      <c r="K923" t="n">
        <v>0</v>
      </c>
      <c r="L923" t="n">
        <v>0</v>
      </c>
      <c r="M923" t="n">
        <v>0</v>
      </c>
      <c r="N923" t="n">
        <v>0</v>
      </c>
      <c r="O923" t="n">
        <v>0</v>
      </c>
      <c r="P923" t="n">
        <v>0</v>
      </c>
      <c r="Q923" t="n">
        <v>0</v>
      </c>
      <c r="R923" s="2" t="inlineStr"/>
    </row>
    <row r="924" ht="15" customHeight="1">
      <c r="A924" t="inlineStr">
        <is>
          <t>A 46546-2023</t>
        </is>
      </c>
      <c r="B924" s="1" t="n">
        <v>45197.94152777778</v>
      </c>
      <c r="C924" s="1" t="n">
        <v>46022</v>
      </c>
      <c r="D924" t="inlineStr">
        <is>
          <t>JÄMTLANDS LÄN</t>
        </is>
      </c>
      <c r="E924" t="inlineStr">
        <is>
          <t>RAGUNDA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54794-2025</t>
        </is>
      </c>
      <c r="B925" s="1" t="n">
        <v>45966.63592592593</v>
      </c>
      <c r="C925" s="1" t="n">
        <v>46022</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19865-2023</t>
        </is>
      </c>
      <c r="B926" s="1" t="n">
        <v>45053.94305555556</v>
      </c>
      <c r="C926" s="1" t="n">
        <v>46022</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62638-2025</t>
        </is>
      </c>
      <c r="B927" s="1" t="n">
        <v>46008.36564814814</v>
      </c>
      <c r="C927" s="1" t="n">
        <v>46022</v>
      </c>
      <c r="D927" t="inlineStr">
        <is>
          <t>JÄMTLANDS LÄN</t>
        </is>
      </c>
      <c r="E927" t="inlineStr">
        <is>
          <t>RAGUNDA</t>
        </is>
      </c>
      <c r="G927" t="n">
        <v>0.9</v>
      </c>
      <c r="H927" t="n">
        <v>0</v>
      </c>
      <c r="I927" t="n">
        <v>0</v>
      </c>
      <c r="J927" t="n">
        <v>0</v>
      </c>
      <c r="K927" t="n">
        <v>0</v>
      </c>
      <c r="L927" t="n">
        <v>0</v>
      </c>
      <c r="M927" t="n">
        <v>0</v>
      </c>
      <c r="N927" t="n">
        <v>0</v>
      </c>
      <c r="O927" t="n">
        <v>0</v>
      </c>
      <c r="P927" t="n">
        <v>0</v>
      </c>
      <c r="Q927" t="n">
        <v>0</v>
      </c>
      <c r="R927" s="2" t="inlineStr"/>
    </row>
    <row r="928" ht="15" customHeight="1">
      <c r="A928" t="inlineStr">
        <is>
          <t>A 62691-2025</t>
        </is>
      </c>
      <c r="B928" s="1" t="n">
        <v>46008.4759837963</v>
      </c>
      <c r="C928" s="1" t="n">
        <v>46022</v>
      </c>
      <c r="D928" t="inlineStr">
        <is>
          <t>JÄMTLANDS LÄN</t>
        </is>
      </c>
      <c r="E928" t="inlineStr">
        <is>
          <t>RAGUNDA</t>
        </is>
      </c>
      <c r="G928" t="n">
        <v>2.6</v>
      </c>
      <c r="H928" t="n">
        <v>0</v>
      </c>
      <c r="I928" t="n">
        <v>0</v>
      </c>
      <c r="J928" t="n">
        <v>0</v>
      </c>
      <c r="K928" t="n">
        <v>0</v>
      </c>
      <c r="L928" t="n">
        <v>0</v>
      </c>
      <c r="M928" t="n">
        <v>0</v>
      </c>
      <c r="N928" t="n">
        <v>0</v>
      </c>
      <c r="O928" t="n">
        <v>0</v>
      </c>
      <c r="P928" t="n">
        <v>0</v>
      </c>
      <c r="Q928" t="n">
        <v>0</v>
      </c>
      <c r="R928" s="2" t="inlineStr"/>
    </row>
    <row r="929" ht="15" customHeight="1">
      <c r="A929" t="inlineStr">
        <is>
          <t>A 62927-2025</t>
        </is>
      </c>
      <c r="B929" s="1" t="n">
        <v>46009.38609953703</v>
      </c>
      <c r="C929" s="1" t="n">
        <v>46022</v>
      </c>
      <c r="D929" t="inlineStr">
        <is>
          <t>JÄMTLANDS LÄN</t>
        </is>
      </c>
      <c r="E929" t="inlineStr">
        <is>
          <t>RAGUNDA</t>
        </is>
      </c>
      <c r="G929" t="n">
        <v>6.3</v>
      </c>
      <c r="H929" t="n">
        <v>0</v>
      </c>
      <c r="I929" t="n">
        <v>0</v>
      </c>
      <c r="J929" t="n">
        <v>0</v>
      </c>
      <c r="K929" t="n">
        <v>0</v>
      </c>
      <c r="L929" t="n">
        <v>0</v>
      </c>
      <c r="M929" t="n">
        <v>0</v>
      </c>
      <c r="N929" t="n">
        <v>0</v>
      </c>
      <c r="O929" t="n">
        <v>0</v>
      </c>
      <c r="P929" t="n">
        <v>0</v>
      </c>
      <c r="Q929" t="n">
        <v>0</v>
      </c>
      <c r="R929" s="2" t="inlineStr"/>
      <c r="U929">
        <f>HYPERLINK("https://klasma.github.io/Logging_2303/knärot/A 62927-2025 karta knärot.png", "A 62927-2025")</f>
        <v/>
      </c>
      <c r="V929">
        <f>HYPERLINK("https://klasma.github.io/Logging_2303/klagomål/A 62927-2025 FSC-klagomål.docx", "A 62927-2025")</f>
        <v/>
      </c>
      <c r="W929">
        <f>HYPERLINK("https://klasma.github.io/Logging_2303/klagomålsmail/A 62927-2025 FSC-klagomål mail.docx", "A 62927-2025")</f>
        <v/>
      </c>
      <c r="X929">
        <f>HYPERLINK("https://klasma.github.io/Logging_2303/tillsyn/A 62927-2025 tillsynsbegäran.docx", "A 62927-2025")</f>
        <v/>
      </c>
      <c r="Y929">
        <f>HYPERLINK("https://klasma.github.io/Logging_2303/tillsynsmail/A 62927-2025 tillsynsbegäran mail.docx", "A 62927-2025")</f>
        <v/>
      </c>
    </row>
    <row r="930" ht="15" customHeight="1">
      <c r="A930" t="inlineStr">
        <is>
          <t>A 62819-2025</t>
        </is>
      </c>
      <c r="B930" s="1" t="n">
        <v>46008</v>
      </c>
      <c r="C930" s="1" t="n">
        <v>46022</v>
      </c>
      <c r="D930" t="inlineStr">
        <is>
          <t>JÄMTLANDS LÄN</t>
        </is>
      </c>
      <c r="E930" t="inlineStr">
        <is>
          <t>RAGUNDA</t>
        </is>
      </c>
      <c r="G930" t="n">
        <v>3.5</v>
      </c>
      <c r="H930" t="n">
        <v>0</v>
      </c>
      <c r="I930" t="n">
        <v>0</v>
      </c>
      <c r="J930" t="n">
        <v>0</v>
      </c>
      <c r="K930" t="n">
        <v>0</v>
      </c>
      <c r="L930" t="n">
        <v>0</v>
      </c>
      <c r="M930" t="n">
        <v>0</v>
      </c>
      <c r="N930" t="n">
        <v>0</v>
      </c>
      <c r="O930" t="n">
        <v>0</v>
      </c>
      <c r="P930" t="n">
        <v>0</v>
      </c>
      <c r="Q930" t="n">
        <v>0</v>
      </c>
      <c r="R930" s="2" t="inlineStr"/>
    </row>
    <row r="931" ht="15" customHeight="1">
      <c r="A931" t="inlineStr">
        <is>
          <t>A 54820-2025</t>
        </is>
      </c>
      <c r="B931" s="1" t="n">
        <v>45966.65728009259</v>
      </c>
      <c r="C931" s="1" t="n">
        <v>46022</v>
      </c>
      <c r="D931" t="inlineStr">
        <is>
          <t>JÄMTLANDS LÄN</t>
        </is>
      </c>
      <c r="E931" t="inlineStr">
        <is>
          <t>RAGUNDA</t>
        </is>
      </c>
      <c r="G931" t="n">
        <v>15.3</v>
      </c>
      <c r="H931" t="n">
        <v>0</v>
      </c>
      <c r="I931" t="n">
        <v>0</v>
      </c>
      <c r="J931" t="n">
        <v>0</v>
      </c>
      <c r="K931" t="n">
        <v>0</v>
      </c>
      <c r="L931" t="n">
        <v>0</v>
      </c>
      <c r="M931" t="n">
        <v>0</v>
      </c>
      <c r="N931" t="n">
        <v>0</v>
      </c>
      <c r="O931" t="n">
        <v>0</v>
      </c>
      <c r="P931" t="n">
        <v>0</v>
      </c>
      <c r="Q931" t="n">
        <v>0</v>
      </c>
      <c r="R931" s="2" t="inlineStr"/>
    </row>
    <row r="932" ht="15" customHeight="1">
      <c r="A932" t="inlineStr">
        <is>
          <t>A 564-2025</t>
        </is>
      </c>
      <c r="B932" s="1" t="n">
        <v>45664.55241898148</v>
      </c>
      <c r="C932" s="1" t="n">
        <v>46022</v>
      </c>
      <c r="D932" t="inlineStr">
        <is>
          <t>JÄMTLANDS LÄN</t>
        </is>
      </c>
      <c r="E932" t="inlineStr">
        <is>
          <t>RAGUNDA</t>
        </is>
      </c>
      <c r="F932" t="inlineStr">
        <is>
          <t>SCA</t>
        </is>
      </c>
      <c r="G932" t="n">
        <v>7</v>
      </c>
      <c r="H932" t="n">
        <v>0</v>
      </c>
      <c r="I932" t="n">
        <v>0</v>
      </c>
      <c r="J932" t="n">
        <v>0</v>
      </c>
      <c r="K932" t="n">
        <v>0</v>
      </c>
      <c r="L932" t="n">
        <v>0</v>
      </c>
      <c r="M932" t="n">
        <v>0</v>
      </c>
      <c r="N932" t="n">
        <v>0</v>
      </c>
      <c r="O932" t="n">
        <v>0</v>
      </c>
      <c r="P932" t="n">
        <v>0</v>
      </c>
      <c r="Q932" t="n">
        <v>0</v>
      </c>
      <c r="R932" s="2" t="inlineStr"/>
    </row>
    <row r="933" ht="15" customHeight="1">
      <c r="A933" t="inlineStr">
        <is>
          <t>A 58909-2025</t>
        </is>
      </c>
      <c r="B933" s="1" t="n">
        <v>45987</v>
      </c>
      <c r="C933" s="1" t="n">
        <v>46022</v>
      </c>
      <c r="D933" t="inlineStr">
        <is>
          <t>JÄMTLANDS LÄN</t>
        </is>
      </c>
      <c r="E933" t="inlineStr">
        <is>
          <t>RAGUNDA</t>
        </is>
      </c>
      <c r="G933" t="n">
        <v>9.5</v>
      </c>
      <c r="H933" t="n">
        <v>0</v>
      </c>
      <c r="I933" t="n">
        <v>0</v>
      </c>
      <c r="J933" t="n">
        <v>0</v>
      </c>
      <c r="K933" t="n">
        <v>0</v>
      </c>
      <c r="L933" t="n">
        <v>0</v>
      </c>
      <c r="M933" t="n">
        <v>0</v>
      </c>
      <c r="N933" t="n">
        <v>0</v>
      </c>
      <c r="O933" t="n">
        <v>0</v>
      </c>
      <c r="P933" t="n">
        <v>0</v>
      </c>
      <c r="Q933" t="n">
        <v>0</v>
      </c>
      <c r="R933" s="2" t="inlineStr"/>
    </row>
    <row r="934" ht="15" customHeight="1">
      <c r="A934" t="inlineStr">
        <is>
          <t>A 50555-2024</t>
        </is>
      </c>
      <c r="B934" s="1" t="n">
        <v>45601.59518518519</v>
      </c>
      <c r="C934" s="1" t="n">
        <v>46022</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59658-2023</t>
        </is>
      </c>
      <c r="B935" s="1" t="n">
        <v>45254.96402777778</v>
      </c>
      <c r="C935" s="1" t="n">
        <v>46022</v>
      </c>
      <c r="D935" t="inlineStr">
        <is>
          <t>JÄMTLANDS LÄN</t>
        </is>
      </c>
      <c r="E935" t="inlineStr">
        <is>
          <t>RAGUNDA</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49649-2024</t>
        </is>
      </c>
      <c r="B936" s="1" t="n">
        <v>45596.61553240741</v>
      </c>
      <c r="C936" s="1" t="n">
        <v>46022</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63057-2025</t>
        </is>
      </c>
      <c r="B937" s="1" t="n">
        <v>46009.63837962963</v>
      </c>
      <c r="C937" s="1" t="n">
        <v>46022</v>
      </c>
      <c r="D937" t="inlineStr">
        <is>
          <t>JÄMTLANDS LÄN</t>
        </is>
      </c>
      <c r="E937" t="inlineStr">
        <is>
          <t>RAGUNDA</t>
        </is>
      </c>
      <c r="G937" t="n">
        <v>13.7</v>
      </c>
      <c r="H937" t="n">
        <v>0</v>
      </c>
      <c r="I937" t="n">
        <v>0</v>
      </c>
      <c r="J937" t="n">
        <v>0</v>
      </c>
      <c r="K937" t="n">
        <v>0</v>
      </c>
      <c r="L937" t="n">
        <v>0</v>
      </c>
      <c r="M937" t="n">
        <v>0</v>
      </c>
      <c r="N937" t="n">
        <v>0</v>
      </c>
      <c r="O937" t="n">
        <v>0</v>
      </c>
      <c r="P937" t="n">
        <v>0</v>
      </c>
      <c r="Q937" t="n">
        <v>0</v>
      </c>
      <c r="R937" s="2" t="inlineStr"/>
    </row>
    <row r="938" ht="15" customHeight="1">
      <c r="A938" t="inlineStr">
        <is>
          <t>A 2831-2024</t>
        </is>
      </c>
      <c r="B938" s="1" t="n">
        <v>45314.92758101852</v>
      </c>
      <c r="C938" s="1" t="n">
        <v>46022</v>
      </c>
      <c r="D938" t="inlineStr">
        <is>
          <t>JÄMTLANDS LÄN</t>
        </is>
      </c>
      <c r="E938" t="inlineStr">
        <is>
          <t>RAGUNDA</t>
        </is>
      </c>
      <c r="G938" t="n">
        <v>0.6</v>
      </c>
      <c r="H938" t="n">
        <v>0</v>
      </c>
      <c r="I938" t="n">
        <v>0</v>
      </c>
      <c r="J938" t="n">
        <v>0</v>
      </c>
      <c r="K938" t="n">
        <v>0</v>
      </c>
      <c r="L938" t="n">
        <v>0</v>
      </c>
      <c r="M938" t="n">
        <v>0</v>
      </c>
      <c r="N938" t="n">
        <v>0</v>
      </c>
      <c r="O938" t="n">
        <v>0</v>
      </c>
      <c r="P938" t="n">
        <v>0</v>
      </c>
      <c r="Q938" t="n">
        <v>0</v>
      </c>
      <c r="R938" s="2" t="inlineStr"/>
    </row>
    <row r="939" ht="15" customHeight="1">
      <c r="A939" t="inlineStr">
        <is>
          <t>A 53740-2024</t>
        </is>
      </c>
      <c r="B939" s="1" t="n">
        <v>45615.47091435185</v>
      </c>
      <c r="C939" s="1" t="n">
        <v>46022</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59372-2024</t>
        </is>
      </c>
      <c r="B940" s="1" t="n">
        <v>45638.34431712963</v>
      </c>
      <c r="C940" s="1" t="n">
        <v>46022</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12522-2023</t>
        </is>
      </c>
      <c r="B941" s="1" t="n">
        <v>45000</v>
      </c>
      <c r="C941" s="1" t="n">
        <v>46022</v>
      </c>
      <c r="D941" t="inlineStr">
        <is>
          <t>JÄMTLANDS LÄN</t>
        </is>
      </c>
      <c r="E941" t="inlineStr">
        <is>
          <t>RAGUNDA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12523-2023</t>
        </is>
      </c>
      <c r="B942" s="1" t="n">
        <v>45000</v>
      </c>
      <c r="C942" s="1" t="n">
        <v>46022</v>
      </c>
      <c r="D942" t="inlineStr">
        <is>
          <t>JÄMTLANDS LÄN</t>
        </is>
      </c>
      <c r="E942" t="inlineStr">
        <is>
          <t>RAGUNDA</t>
        </is>
      </c>
      <c r="F942" t="inlineStr">
        <is>
          <t>SCA</t>
        </is>
      </c>
      <c r="G942" t="n">
        <v>14.3</v>
      </c>
      <c r="H942" t="n">
        <v>0</v>
      </c>
      <c r="I942" t="n">
        <v>0</v>
      </c>
      <c r="J942" t="n">
        <v>0</v>
      </c>
      <c r="K942" t="n">
        <v>0</v>
      </c>
      <c r="L942" t="n">
        <v>0</v>
      </c>
      <c r="M942" t="n">
        <v>0</v>
      </c>
      <c r="N942" t="n">
        <v>0</v>
      </c>
      <c r="O942" t="n">
        <v>0</v>
      </c>
      <c r="P942" t="n">
        <v>0</v>
      </c>
      <c r="Q942" t="n">
        <v>0</v>
      </c>
      <c r="R942" s="2" t="inlineStr"/>
    </row>
    <row r="943" ht="15" customHeight="1">
      <c r="A943" t="inlineStr">
        <is>
          <t>A 24861-2023</t>
        </is>
      </c>
      <c r="B943" s="1" t="n">
        <v>45078</v>
      </c>
      <c r="C943" s="1" t="n">
        <v>46022</v>
      </c>
      <c r="D943" t="inlineStr">
        <is>
          <t>JÄMTLANDS LÄN</t>
        </is>
      </c>
      <c r="E943" t="inlineStr">
        <is>
          <t>RAGUNDA</t>
        </is>
      </c>
      <c r="G943" t="n">
        <v>1.3</v>
      </c>
      <c r="H943" t="n">
        <v>0</v>
      </c>
      <c r="I943" t="n">
        <v>0</v>
      </c>
      <c r="J943" t="n">
        <v>0</v>
      </c>
      <c r="K943" t="n">
        <v>0</v>
      </c>
      <c r="L943" t="n">
        <v>0</v>
      </c>
      <c r="M943" t="n">
        <v>0</v>
      </c>
      <c r="N943" t="n">
        <v>0</v>
      </c>
      <c r="O943" t="n">
        <v>0</v>
      </c>
      <c r="P943" t="n">
        <v>0</v>
      </c>
      <c r="Q943" t="n">
        <v>0</v>
      </c>
      <c r="R943" s="2" t="inlineStr"/>
    </row>
    <row r="944" ht="15" customHeight="1">
      <c r="A944" t="inlineStr">
        <is>
          <t>A 13905-2025</t>
        </is>
      </c>
      <c r="B944" s="1" t="n">
        <v>45737.63574074074</v>
      </c>
      <c r="C944" s="1" t="n">
        <v>46022</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13941-2025</t>
        </is>
      </c>
      <c r="B945" s="1" t="n">
        <v>45737.69822916666</v>
      </c>
      <c r="C945" s="1" t="n">
        <v>46022</v>
      </c>
      <c r="D945" t="inlineStr">
        <is>
          <t>JÄMTLANDS LÄN</t>
        </is>
      </c>
      <c r="E945" t="inlineStr">
        <is>
          <t>RAGUNDA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55547-2025</t>
        </is>
      </c>
      <c r="B946" s="1" t="n">
        <v>45971</v>
      </c>
      <c r="C946" s="1" t="n">
        <v>46022</v>
      </c>
      <c r="D946" t="inlineStr">
        <is>
          <t>JÄMTLANDS LÄN</t>
        </is>
      </c>
      <c r="E946" t="inlineStr">
        <is>
          <t>RAGUNDA</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63141-2025</t>
        </is>
      </c>
      <c r="B947" s="1" t="n">
        <v>46010.34440972222</v>
      </c>
      <c r="C947" s="1" t="n">
        <v>46022</v>
      </c>
      <c r="D947" t="inlineStr">
        <is>
          <t>JÄMTLANDS LÄN</t>
        </is>
      </c>
      <c r="E947" t="inlineStr">
        <is>
          <t>RAGUNDA</t>
        </is>
      </c>
      <c r="F947" t="inlineStr">
        <is>
          <t>SCA</t>
        </is>
      </c>
      <c r="G947" t="n">
        <v>24.4</v>
      </c>
      <c r="H947" t="n">
        <v>0</v>
      </c>
      <c r="I947" t="n">
        <v>0</v>
      </c>
      <c r="J947" t="n">
        <v>0</v>
      </c>
      <c r="K947" t="n">
        <v>0</v>
      </c>
      <c r="L947" t="n">
        <v>0</v>
      </c>
      <c r="M947" t="n">
        <v>0</v>
      </c>
      <c r="N947" t="n">
        <v>0</v>
      </c>
      <c r="O947" t="n">
        <v>0</v>
      </c>
      <c r="P947" t="n">
        <v>0</v>
      </c>
      <c r="Q947" t="n">
        <v>0</v>
      </c>
      <c r="R947" s="2" t="inlineStr"/>
    </row>
    <row r="948" ht="15" customHeight="1">
      <c r="A948" t="inlineStr">
        <is>
          <t>A 63578-2025</t>
        </is>
      </c>
      <c r="B948" s="1" t="n">
        <v>46013.67690972222</v>
      </c>
      <c r="C948" s="1" t="n">
        <v>46022</v>
      </c>
      <c r="D948" t="inlineStr">
        <is>
          <t>JÄMTLANDS LÄN</t>
        </is>
      </c>
      <c r="E948" t="inlineStr">
        <is>
          <t>RAGUNDA</t>
        </is>
      </c>
      <c r="G948" t="n">
        <v>2.7</v>
      </c>
      <c r="H948" t="n">
        <v>0</v>
      </c>
      <c r="I948" t="n">
        <v>0</v>
      </c>
      <c r="J948" t="n">
        <v>0</v>
      </c>
      <c r="K948" t="n">
        <v>0</v>
      </c>
      <c r="L948" t="n">
        <v>0</v>
      </c>
      <c r="M948" t="n">
        <v>0</v>
      </c>
      <c r="N948" t="n">
        <v>0</v>
      </c>
      <c r="O948" t="n">
        <v>0</v>
      </c>
      <c r="P948" t="n">
        <v>0</v>
      </c>
      <c r="Q948" t="n">
        <v>0</v>
      </c>
      <c r="R948" s="2" t="inlineStr"/>
    </row>
    <row r="949" ht="15" customHeight="1">
      <c r="A949" t="inlineStr">
        <is>
          <t>A 51245-2024</t>
        </is>
      </c>
      <c r="B949" s="1" t="n">
        <v>45603.67850694444</v>
      </c>
      <c r="C949" s="1" t="n">
        <v>46022</v>
      </c>
      <c r="D949" t="inlineStr">
        <is>
          <t>JÄMTLANDS LÄN</t>
        </is>
      </c>
      <c r="E949" t="inlineStr">
        <is>
          <t>RAGUNDA</t>
        </is>
      </c>
      <c r="G949" t="n">
        <v>0.9</v>
      </c>
      <c r="H949" t="n">
        <v>0</v>
      </c>
      <c r="I949" t="n">
        <v>0</v>
      </c>
      <c r="J949" t="n">
        <v>0</v>
      </c>
      <c r="K949" t="n">
        <v>0</v>
      </c>
      <c r="L949" t="n">
        <v>0</v>
      </c>
      <c r="M949" t="n">
        <v>0</v>
      </c>
      <c r="N949" t="n">
        <v>0</v>
      </c>
      <c r="O949" t="n">
        <v>0</v>
      </c>
      <c r="P949" t="n">
        <v>0</v>
      </c>
      <c r="Q949" t="n">
        <v>0</v>
      </c>
      <c r="R949" s="2" t="inlineStr"/>
    </row>
    <row r="950" ht="15" customHeight="1">
      <c r="A950" t="inlineStr">
        <is>
          <t>A 53955-2022</t>
        </is>
      </c>
      <c r="B950" s="1" t="n">
        <v>44880.95741898148</v>
      </c>
      <c r="C950" s="1" t="n">
        <v>46022</v>
      </c>
      <c r="D950" t="inlineStr">
        <is>
          <t>JÄMTLANDS LÄN</t>
        </is>
      </c>
      <c r="E950" t="inlineStr">
        <is>
          <t>RAGUNDA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55797-2025</t>
        </is>
      </c>
      <c r="B951" s="1" t="n">
        <v>45972.65693287037</v>
      </c>
      <c r="C951" s="1" t="n">
        <v>46022</v>
      </c>
      <c r="D951" t="inlineStr">
        <is>
          <t>JÄMTLANDS LÄN</t>
        </is>
      </c>
      <c r="E951" t="inlineStr">
        <is>
          <t>RAGUNDA</t>
        </is>
      </c>
      <c r="F951" t="inlineStr">
        <is>
          <t>SCA</t>
        </is>
      </c>
      <c r="G951" t="n">
        <v>4.1</v>
      </c>
      <c r="H951" t="n">
        <v>0</v>
      </c>
      <c r="I951" t="n">
        <v>0</v>
      </c>
      <c r="J951" t="n">
        <v>0</v>
      </c>
      <c r="K951" t="n">
        <v>0</v>
      </c>
      <c r="L951" t="n">
        <v>0</v>
      </c>
      <c r="M951" t="n">
        <v>0</v>
      </c>
      <c r="N951" t="n">
        <v>0</v>
      </c>
      <c r="O951" t="n">
        <v>0</v>
      </c>
      <c r="P951" t="n">
        <v>0</v>
      </c>
      <c r="Q951" t="n">
        <v>0</v>
      </c>
      <c r="R951" s="2" t="inlineStr"/>
    </row>
    <row r="952" ht="15" customHeight="1">
      <c r="A952" t="inlineStr">
        <is>
          <t>A 55671-2025</t>
        </is>
      </c>
      <c r="B952" s="1" t="n">
        <v>45972</v>
      </c>
      <c r="C952" s="1" t="n">
        <v>46022</v>
      </c>
      <c r="D952" t="inlineStr">
        <is>
          <t>JÄMTLANDS LÄN</t>
        </is>
      </c>
      <c r="E952" t="inlineStr">
        <is>
          <t>RAGUNDA</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41772-2024</t>
        </is>
      </c>
      <c r="B953" s="1" t="n">
        <v>45561.34663194444</v>
      </c>
      <c r="C953" s="1" t="n">
        <v>46022</v>
      </c>
      <c r="D953" t="inlineStr">
        <is>
          <t>JÄMTLANDS LÄN</t>
        </is>
      </c>
      <c r="E953" t="inlineStr">
        <is>
          <t>RAGUNDA</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55897-2025</t>
        </is>
      </c>
      <c r="B954" s="1" t="n">
        <v>45973.38600694444</v>
      </c>
      <c r="C954" s="1" t="n">
        <v>46022</v>
      </c>
      <c r="D954" t="inlineStr">
        <is>
          <t>JÄMTLANDS LÄN</t>
        </is>
      </c>
      <c r="E954" t="inlineStr">
        <is>
          <t>RAGUNDA</t>
        </is>
      </c>
      <c r="F954" t="inlineStr">
        <is>
          <t>SCA</t>
        </is>
      </c>
      <c r="G954" t="n">
        <v>14.1</v>
      </c>
      <c r="H954" t="n">
        <v>0</v>
      </c>
      <c r="I954" t="n">
        <v>0</v>
      </c>
      <c r="J954" t="n">
        <v>0</v>
      </c>
      <c r="K954" t="n">
        <v>0</v>
      </c>
      <c r="L954" t="n">
        <v>0</v>
      </c>
      <c r="M954" t="n">
        <v>0</v>
      </c>
      <c r="N954" t="n">
        <v>0</v>
      </c>
      <c r="O954" t="n">
        <v>0</v>
      </c>
      <c r="P954" t="n">
        <v>0</v>
      </c>
      <c r="Q954" t="n">
        <v>0</v>
      </c>
      <c r="R954" s="2" t="inlineStr"/>
    </row>
    <row r="955" ht="15" customHeight="1">
      <c r="A955" t="inlineStr">
        <is>
          <t>A 63672-2025</t>
        </is>
      </c>
      <c r="B955" s="1" t="n">
        <v>46014.47575231481</v>
      </c>
      <c r="C955" s="1" t="n">
        <v>46022</v>
      </c>
      <c r="D955" t="inlineStr">
        <is>
          <t>JÄMTLANDS LÄN</t>
        </is>
      </c>
      <c r="E955" t="inlineStr">
        <is>
          <t>RAGUNDA</t>
        </is>
      </c>
      <c r="G955" t="n">
        <v>0.8</v>
      </c>
      <c r="H955" t="n">
        <v>0</v>
      </c>
      <c r="I955" t="n">
        <v>0</v>
      </c>
      <c r="J955" t="n">
        <v>0</v>
      </c>
      <c r="K955" t="n">
        <v>0</v>
      </c>
      <c r="L955" t="n">
        <v>0</v>
      </c>
      <c r="M955" t="n">
        <v>0</v>
      </c>
      <c r="N955" t="n">
        <v>0</v>
      </c>
      <c r="O955" t="n">
        <v>0</v>
      </c>
      <c r="P955" t="n">
        <v>0</v>
      </c>
      <c r="Q955" t="n">
        <v>0</v>
      </c>
      <c r="R955" s="2" t="inlineStr"/>
    </row>
    <row r="956" ht="15" customHeight="1">
      <c r="A956" t="inlineStr">
        <is>
          <t>A 55633-2025</t>
        </is>
      </c>
      <c r="B956" s="1" t="n">
        <v>45972</v>
      </c>
      <c r="C956" s="1" t="n">
        <v>46022</v>
      </c>
      <c r="D956" t="inlineStr">
        <is>
          <t>JÄMTLANDS LÄN</t>
        </is>
      </c>
      <c r="E956" t="inlineStr">
        <is>
          <t>RAGUNDA</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10972-2022</t>
        </is>
      </c>
      <c r="B957" s="1" t="n">
        <v>44628</v>
      </c>
      <c r="C957" s="1" t="n">
        <v>46022</v>
      </c>
      <c r="D957" t="inlineStr">
        <is>
          <t>JÄMTLANDS LÄN</t>
        </is>
      </c>
      <c r="E957" t="inlineStr">
        <is>
          <t>RAGUNDA</t>
        </is>
      </c>
      <c r="G957" t="n">
        <v>9.5</v>
      </c>
      <c r="H957" t="n">
        <v>0</v>
      </c>
      <c r="I957" t="n">
        <v>0</v>
      </c>
      <c r="J957" t="n">
        <v>0</v>
      </c>
      <c r="K957" t="n">
        <v>0</v>
      </c>
      <c r="L957" t="n">
        <v>0</v>
      </c>
      <c r="M957" t="n">
        <v>0</v>
      </c>
      <c r="N957" t="n">
        <v>0</v>
      </c>
      <c r="O957" t="n">
        <v>0</v>
      </c>
      <c r="P957" t="n">
        <v>0</v>
      </c>
      <c r="Q957" t="n">
        <v>0</v>
      </c>
      <c r="R957" s="2" t="inlineStr"/>
    </row>
    <row r="958" ht="15" customHeight="1">
      <c r="A958" t="inlineStr">
        <is>
          <t>A 63671-2025</t>
        </is>
      </c>
      <c r="B958" s="1" t="n">
        <v>46014.46555555556</v>
      </c>
      <c r="C958" s="1" t="n">
        <v>46022</v>
      </c>
      <c r="D958" t="inlineStr">
        <is>
          <t>JÄMTLANDS LÄN</t>
        </is>
      </c>
      <c r="E958" t="inlineStr">
        <is>
          <t>RAGUNDA</t>
        </is>
      </c>
      <c r="G958" t="n">
        <v>0.9</v>
      </c>
      <c r="H958" t="n">
        <v>0</v>
      </c>
      <c r="I958" t="n">
        <v>0</v>
      </c>
      <c r="J958" t="n">
        <v>0</v>
      </c>
      <c r="K958" t="n">
        <v>0</v>
      </c>
      <c r="L958" t="n">
        <v>0</v>
      </c>
      <c r="M958" t="n">
        <v>0</v>
      </c>
      <c r="N958" t="n">
        <v>0</v>
      </c>
      <c r="O958" t="n">
        <v>0</v>
      </c>
      <c r="P958" t="n">
        <v>0</v>
      </c>
      <c r="Q958" t="n">
        <v>0</v>
      </c>
      <c r="R958" s="2" t="inlineStr"/>
    </row>
    <row r="959" ht="15" customHeight="1">
      <c r="A959" t="inlineStr">
        <is>
          <t>A 11834-2023</t>
        </is>
      </c>
      <c r="B959" s="1" t="n">
        <v>44994.94296296296</v>
      </c>
      <c r="C959" s="1" t="n">
        <v>46022</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46022</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46022</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46022</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46022</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56435-2025</t>
        </is>
      </c>
      <c r="B964" s="1" t="n">
        <v>45975.34679398148</v>
      </c>
      <c r="C964" s="1" t="n">
        <v>46022</v>
      </c>
      <c r="D964" t="inlineStr">
        <is>
          <t>JÄMTLANDS LÄN</t>
        </is>
      </c>
      <c r="E964" t="inlineStr">
        <is>
          <t>RAGUNDA</t>
        </is>
      </c>
      <c r="F964" t="inlineStr">
        <is>
          <t>SCA</t>
        </is>
      </c>
      <c r="G964" t="n">
        <v>9.199999999999999</v>
      </c>
      <c r="H964" t="n">
        <v>0</v>
      </c>
      <c r="I964" t="n">
        <v>0</v>
      </c>
      <c r="J964" t="n">
        <v>0</v>
      </c>
      <c r="K964" t="n">
        <v>0</v>
      </c>
      <c r="L964" t="n">
        <v>0</v>
      </c>
      <c r="M964" t="n">
        <v>0</v>
      </c>
      <c r="N964" t="n">
        <v>0</v>
      </c>
      <c r="O964" t="n">
        <v>0</v>
      </c>
      <c r="P964" t="n">
        <v>0</v>
      </c>
      <c r="Q964" t="n">
        <v>0</v>
      </c>
      <c r="R964" s="2" t="inlineStr"/>
      <c r="U964">
        <f>HYPERLINK("https://klasma.github.io/Logging_2303/knärot/A 56435-2025 karta knärot.png", "A 56435-2025")</f>
        <v/>
      </c>
      <c r="V964">
        <f>HYPERLINK("https://klasma.github.io/Logging_2303/klagomål/A 56435-2025 FSC-klagomål.docx", "A 56435-2025")</f>
        <v/>
      </c>
      <c r="W964">
        <f>HYPERLINK("https://klasma.github.io/Logging_2303/klagomålsmail/A 56435-2025 FSC-klagomål mail.docx", "A 56435-2025")</f>
        <v/>
      </c>
      <c r="X964">
        <f>HYPERLINK("https://klasma.github.io/Logging_2303/tillsyn/A 56435-2025 tillsynsbegäran.docx", "A 56435-2025")</f>
        <v/>
      </c>
      <c r="Y964">
        <f>HYPERLINK("https://klasma.github.io/Logging_2303/tillsynsmail/A 56435-2025 tillsynsbegäran mail.docx", "A 56435-2025")</f>
        <v/>
      </c>
    </row>
    <row r="965" ht="15" customHeight="1">
      <c r="A965" t="inlineStr">
        <is>
          <t>A 56170-2025</t>
        </is>
      </c>
      <c r="B965" s="1" t="n">
        <v>45974.39398148148</v>
      </c>
      <c r="C965" s="1" t="n">
        <v>46022</v>
      </c>
      <c r="D965" t="inlineStr">
        <is>
          <t>JÄMTLANDS LÄN</t>
        </is>
      </c>
      <c r="E965" t="inlineStr">
        <is>
          <t>RAGUNDA</t>
        </is>
      </c>
      <c r="G965" t="n">
        <v>2</v>
      </c>
      <c r="H965" t="n">
        <v>0</v>
      </c>
      <c r="I965" t="n">
        <v>0</v>
      </c>
      <c r="J965" t="n">
        <v>0</v>
      </c>
      <c r="K965" t="n">
        <v>0</v>
      </c>
      <c r="L965" t="n">
        <v>0</v>
      </c>
      <c r="M965" t="n">
        <v>0</v>
      </c>
      <c r="N965" t="n">
        <v>0</v>
      </c>
      <c r="O965" t="n">
        <v>0</v>
      </c>
      <c r="P965" t="n">
        <v>0</v>
      </c>
      <c r="Q965" t="n">
        <v>0</v>
      </c>
      <c r="R965" s="2" t="inlineStr"/>
    </row>
    <row r="966" ht="15" customHeight="1">
      <c r="A966" t="inlineStr">
        <is>
          <t>A 14158-2024</t>
        </is>
      </c>
      <c r="B966" s="1" t="n">
        <v>45392</v>
      </c>
      <c r="C966" s="1" t="n">
        <v>46022</v>
      </c>
      <c r="D966" t="inlineStr">
        <is>
          <t>JÄMTLANDS LÄN</t>
        </is>
      </c>
      <c r="E966" t="inlineStr">
        <is>
          <t>RAGUNDA</t>
        </is>
      </c>
      <c r="G966" t="n">
        <v>0.7</v>
      </c>
      <c r="H966" t="n">
        <v>0</v>
      </c>
      <c r="I966" t="n">
        <v>0</v>
      </c>
      <c r="J966" t="n">
        <v>0</v>
      </c>
      <c r="K966" t="n">
        <v>0</v>
      </c>
      <c r="L966" t="n">
        <v>0</v>
      </c>
      <c r="M966" t="n">
        <v>0</v>
      </c>
      <c r="N966" t="n">
        <v>0</v>
      </c>
      <c r="O966" t="n">
        <v>0</v>
      </c>
      <c r="P966" t="n">
        <v>0</v>
      </c>
      <c r="Q966" t="n">
        <v>0</v>
      </c>
      <c r="R966" s="2" t="inlineStr"/>
    </row>
    <row r="967" ht="15" customHeight="1">
      <c r="A967" t="inlineStr">
        <is>
          <t>A 42508-2023</t>
        </is>
      </c>
      <c r="B967" s="1" t="n">
        <v>45180.95907407408</v>
      </c>
      <c r="C967" s="1" t="n">
        <v>46022</v>
      </c>
      <c r="D967" t="inlineStr">
        <is>
          <t>JÄMTLANDS LÄN</t>
        </is>
      </c>
      <c r="E967" t="inlineStr">
        <is>
          <t>RAGUNDA</t>
        </is>
      </c>
      <c r="F967" t="inlineStr">
        <is>
          <t>SCA</t>
        </is>
      </c>
      <c r="G967" t="n">
        <v>6.1</v>
      </c>
      <c r="H967" t="n">
        <v>0</v>
      </c>
      <c r="I967" t="n">
        <v>0</v>
      </c>
      <c r="J967" t="n">
        <v>0</v>
      </c>
      <c r="K967" t="n">
        <v>0</v>
      </c>
      <c r="L967" t="n">
        <v>0</v>
      </c>
      <c r="M967" t="n">
        <v>0</v>
      </c>
      <c r="N967" t="n">
        <v>0</v>
      </c>
      <c r="O967" t="n">
        <v>0</v>
      </c>
      <c r="P967" t="n">
        <v>0</v>
      </c>
      <c r="Q967" t="n">
        <v>0</v>
      </c>
      <c r="R967" s="2" t="inlineStr"/>
    </row>
    <row r="968" ht="15" customHeight="1">
      <c r="A968" t="inlineStr">
        <is>
          <t>A 63828-2025</t>
        </is>
      </c>
      <c r="B968" s="1" t="n">
        <v>46020.37814814815</v>
      </c>
      <c r="C968" s="1" t="n">
        <v>46022</v>
      </c>
      <c r="D968" t="inlineStr">
        <is>
          <t>JÄMTLANDS LÄN</t>
        </is>
      </c>
      <c r="E968" t="inlineStr">
        <is>
          <t>RAGUNDA</t>
        </is>
      </c>
      <c r="G968" t="n">
        <v>4.7</v>
      </c>
      <c r="H968" t="n">
        <v>0</v>
      </c>
      <c r="I968" t="n">
        <v>0</v>
      </c>
      <c r="J968" t="n">
        <v>0</v>
      </c>
      <c r="K968" t="n">
        <v>0</v>
      </c>
      <c r="L968" t="n">
        <v>0</v>
      </c>
      <c r="M968" t="n">
        <v>0</v>
      </c>
      <c r="N968" t="n">
        <v>0</v>
      </c>
      <c r="O968" t="n">
        <v>0</v>
      </c>
      <c r="P968" t="n">
        <v>0</v>
      </c>
      <c r="Q968" t="n">
        <v>0</v>
      </c>
      <c r="R968" s="2" t="inlineStr"/>
    </row>
    <row r="969" ht="15" customHeight="1">
      <c r="A969" t="inlineStr">
        <is>
          <t>A 35274-2023</t>
        </is>
      </c>
      <c r="B969" s="1" t="n">
        <v>45145</v>
      </c>
      <c r="C969" s="1" t="n">
        <v>46022</v>
      </c>
      <c r="D969" t="inlineStr">
        <is>
          <t>JÄMTLANDS LÄN</t>
        </is>
      </c>
      <c r="E969" t="inlineStr">
        <is>
          <t>RAGUNDA</t>
        </is>
      </c>
      <c r="F969" t="inlineStr">
        <is>
          <t>SCA</t>
        </is>
      </c>
      <c r="G969" t="n">
        <v>6.1</v>
      </c>
      <c r="H969" t="n">
        <v>0</v>
      </c>
      <c r="I969" t="n">
        <v>0</v>
      </c>
      <c r="J969" t="n">
        <v>0</v>
      </c>
      <c r="K969" t="n">
        <v>0</v>
      </c>
      <c r="L969" t="n">
        <v>0</v>
      </c>
      <c r="M969" t="n">
        <v>0</v>
      </c>
      <c r="N969" t="n">
        <v>0</v>
      </c>
      <c r="O969" t="n">
        <v>0</v>
      </c>
      <c r="P969" t="n">
        <v>0</v>
      </c>
      <c r="Q969" t="n">
        <v>0</v>
      </c>
      <c r="R969" s="2" t="inlineStr"/>
    </row>
    <row r="970" ht="15" customHeight="1">
      <c r="A970" t="inlineStr">
        <is>
          <t>A 12983-2025</t>
        </is>
      </c>
      <c r="B970" s="1" t="n">
        <v>45734.4633912037</v>
      </c>
      <c r="C970" s="1" t="n">
        <v>46022</v>
      </c>
      <c r="D970" t="inlineStr">
        <is>
          <t>JÄMTLANDS LÄN</t>
        </is>
      </c>
      <c r="E970" t="inlineStr">
        <is>
          <t>RAGUNDA</t>
        </is>
      </c>
      <c r="G970" t="n">
        <v>5.2</v>
      </c>
      <c r="H970" t="n">
        <v>0</v>
      </c>
      <c r="I970" t="n">
        <v>0</v>
      </c>
      <c r="J970" t="n">
        <v>0</v>
      </c>
      <c r="K970" t="n">
        <v>0</v>
      </c>
      <c r="L970" t="n">
        <v>0</v>
      </c>
      <c r="M970" t="n">
        <v>0</v>
      </c>
      <c r="N970" t="n">
        <v>0</v>
      </c>
      <c r="O970" t="n">
        <v>0</v>
      </c>
      <c r="P970" t="n">
        <v>0</v>
      </c>
      <c r="Q970" t="n">
        <v>0</v>
      </c>
      <c r="R970" s="2" t="inlineStr"/>
    </row>
    <row r="971" ht="15" customHeight="1">
      <c r="A971" t="inlineStr">
        <is>
          <t>A 17598-2021</t>
        </is>
      </c>
      <c r="B971" s="1" t="n">
        <v>44299</v>
      </c>
      <c r="C971" s="1" t="n">
        <v>46022</v>
      </c>
      <c r="D971" t="inlineStr">
        <is>
          <t>JÄMTLANDS LÄN</t>
        </is>
      </c>
      <c r="E971" t="inlineStr">
        <is>
          <t>RAGUNDA</t>
        </is>
      </c>
      <c r="G971" t="n">
        <v>4.6</v>
      </c>
      <c r="H971" t="n">
        <v>0</v>
      </c>
      <c r="I971" t="n">
        <v>0</v>
      </c>
      <c r="J971" t="n">
        <v>0</v>
      </c>
      <c r="K971" t="n">
        <v>0</v>
      </c>
      <c r="L971" t="n">
        <v>0</v>
      </c>
      <c r="M971" t="n">
        <v>0</v>
      </c>
      <c r="N971" t="n">
        <v>0</v>
      </c>
      <c r="O971" t="n">
        <v>0</v>
      </c>
      <c r="P971" t="n">
        <v>0</v>
      </c>
      <c r="Q971" t="n">
        <v>0</v>
      </c>
      <c r="R971" s="2" t="inlineStr"/>
    </row>
    <row r="972" ht="15" customHeight="1">
      <c r="A972" t="inlineStr">
        <is>
          <t>A 57111-2025</t>
        </is>
      </c>
      <c r="B972" s="1" t="n">
        <v>45978</v>
      </c>
      <c r="C972" s="1" t="n">
        <v>46022</v>
      </c>
      <c r="D972" t="inlineStr">
        <is>
          <t>JÄMTLANDS LÄN</t>
        </is>
      </c>
      <c r="E972" t="inlineStr">
        <is>
          <t>RAGUNDA</t>
        </is>
      </c>
      <c r="G972" t="n">
        <v>2.3</v>
      </c>
      <c r="H972" t="n">
        <v>0</v>
      </c>
      <c r="I972" t="n">
        <v>0</v>
      </c>
      <c r="J972" t="n">
        <v>0</v>
      </c>
      <c r="K972" t="n">
        <v>0</v>
      </c>
      <c r="L972" t="n">
        <v>0</v>
      </c>
      <c r="M972" t="n">
        <v>0</v>
      </c>
      <c r="N972" t="n">
        <v>0</v>
      </c>
      <c r="O972" t="n">
        <v>0</v>
      </c>
      <c r="P972" t="n">
        <v>0</v>
      </c>
      <c r="Q972" t="n">
        <v>0</v>
      </c>
      <c r="R972" s="2" t="inlineStr"/>
    </row>
    <row r="973" ht="15" customHeight="1">
      <c r="A973" t="inlineStr">
        <is>
          <t>A 57117-2025</t>
        </is>
      </c>
      <c r="B973" s="1" t="n">
        <v>45978</v>
      </c>
      <c r="C973" s="1" t="n">
        <v>46022</v>
      </c>
      <c r="D973" t="inlineStr">
        <is>
          <t>JÄMTLANDS LÄN</t>
        </is>
      </c>
      <c r="E973" t="inlineStr">
        <is>
          <t>RAGUNDA</t>
        </is>
      </c>
      <c r="G973" t="n">
        <v>4.2</v>
      </c>
      <c r="H973" t="n">
        <v>0</v>
      </c>
      <c r="I973" t="n">
        <v>0</v>
      </c>
      <c r="J973" t="n">
        <v>0</v>
      </c>
      <c r="K973" t="n">
        <v>0</v>
      </c>
      <c r="L973" t="n">
        <v>0</v>
      </c>
      <c r="M973" t="n">
        <v>0</v>
      </c>
      <c r="N973" t="n">
        <v>0</v>
      </c>
      <c r="O973" t="n">
        <v>0</v>
      </c>
      <c r="P973" t="n">
        <v>0</v>
      </c>
      <c r="Q973" t="n">
        <v>0</v>
      </c>
      <c r="R973" s="2" t="inlineStr"/>
    </row>
    <row r="974" ht="15" customHeight="1">
      <c r="A974" t="inlineStr">
        <is>
          <t>A 56751-2025</t>
        </is>
      </c>
      <c r="B974" s="1" t="n">
        <v>45978.36538194444</v>
      </c>
      <c r="C974" s="1" t="n">
        <v>46022</v>
      </c>
      <c r="D974" t="inlineStr">
        <is>
          <t>JÄMTLANDS LÄN</t>
        </is>
      </c>
      <c r="E974" t="inlineStr">
        <is>
          <t>RAGUNDA</t>
        </is>
      </c>
      <c r="F974" t="inlineStr">
        <is>
          <t>SCA</t>
        </is>
      </c>
      <c r="G974" t="n">
        <v>34.5</v>
      </c>
      <c r="H974" t="n">
        <v>0</v>
      </c>
      <c r="I974" t="n">
        <v>0</v>
      </c>
      <c r="J974" t="n">
        <v>0</v>
      </c>
      <c r="K974" t="n">
        <v>0</v>
      </c>
      <c r="L974" t="n">
        <v>0</v>
      </c>
      <c r="M974" t="n">
        <v>0</v>
      </c>
      <c r="N974" t="n">
        <v>0</v>
      </c>
      <c r="O974" t="n">
        <v>0</v>
      </c>
      <c r="P974" t="n">
        <v>0</v>
      </c>
      <c r="Q974" t="n">
        <v>0</v>
      </c>
      <c r="R974" s="2" t="inlineStr"/>
    </row>
    <row r="975" ht="15" customHeight="1">
      <c r="A975" t="inlineStr">
        <is>
          <t>A 56806-2025</t>
        </is>
      </c>
      <c r="B975" s="1" t="n">
        <v>45978.44842592593</v>
      </c>
      <c r="C975" s="1" t="n">
        <v>46022</v>
      </c>
      <c r="D975" t="inlineStr">
        <is>
          <t>JÄMTLANDS LÄN</t>
        </is>
      </c>
      <c r="E975" t="inlineStr">
        <is>
          <t>RAGUNDA</t>
        </is>
      </c>
      <c r="F975" t="inlineStr">
        <is>
          <t>SCA</t>
        </is>
      </c>
      <c r="G975" t="n">
        <v>7.5</v>
      </c>
      <c r="H975" t="n">
        <v>0</v>
      </c>
      <c r="I975" t="n">
        <v>0</v>
      </c>
      <c r="J975" t="n">
        <v>0</v>
      </c>
      <c r="K975" t="n">
        <v>0</v>
      </c>
      <c r="L975" t="n">
        <v>0</v>
      </c>
      <c r="M975" t="n">
        <v>0</v>
      </c>
      <c r="N975" t="n">
        <v>0</v>
      </c>
      <c r="O975" t="n">
        <v>0</v>
      </c>
      <c r="P975" t="n">
        <v>0</v>
      </c>
      <c r="Q975" t="n">
        <v>0</v>
      </c>
      <c r="R975" s="2" t="inlineStr"/>
    </row>
    <row r="976" ht="15" customHeight="1">
      <c r="A976" t="inlineStr">
        <is>
          <t>A 3938-2024</t>
        </is>
      </c>
      <c r="B976" s="1" t="n">
        <v>45322</v>
      </c>
      <c r="C976" s="1" t="n">
        <v>46022</v>
      </c>
      <c r="D976" t="inlineStr">
        <is>
          <t>JÄMTLANDS LÄN</t>
        </is>
      </c>
      <c r="E976" t="inlineStr">
        <is>
          <t>RAGUNDA</t>
        </is>
      </c>
      <c r="G976" t="n">
        <v>3.2</v>
      </c>
      <c r="H976" t="n">
        <v>0</v>
      </c>
      <c r="I976" t="n">
        <v>0</v>
      </c>
      <c r="J976" t="n">
        <v>0</v>
      </c>
      <c r="K976" t="n">
        <v>0</v>
      </c>
      <c r="L976" t="n">
        <v>0</v>
      </c>
      <c r="M976" t="n">
        <v>0</v>
      </c>
      <c r="N976" t="n">
        <v>0</v>
      </c>
      <c r="O976" t="n">
        <v>0</v>
      </c>
      <c r="P976" t="n">
        <v>0</v>
      </c>
      <c r="Q976" t="n">
        <v>0</v>
      </c>
      <c r="R976" s="2" t="inlineStr"/>
    </row>
    <row r="977" ht="15" customHeight="1">
      <c r="A977" t="inlineStr">
        <is>
          <t>A 63714-2025</t>
        </is>
      </c>
      <c r="B977" s="1" t="n">
        <v>46014</v>
      </c>
      <c r="C977" s="1" t="n">
        <v>46022</v>
      </c>
      <c r="D977" t="inlineStr">
        <is>
          <t>JÄMTLANDS LÄN</t>
        </is>
      </c>
      <c r="E977" t="inlineStr">
        <is>
          <t>RAGUNDA</t>
        </is>
      </c>
      <c r="F977" t="inlineStr">
        <is>
          <t>Sveaskog</t>
        </is>
      </c>
      <c r="G977" t="n">
        <v>8.5</v>
      </c>
      <c r="H977" t="n">
        <v>0</v>
      </c>
      <c r="I977" t="n">
        <v>0</v>
      </c>
      <c r="J977" t="n">
        <v>0</v>
      </c>
      <c r="K977" t="n">
        <v>0</v>
      </c>
      <c r="L977" t="n">
        <v>0</v>
      </c>
      <c r="M977" t="n">
        <v>0</v>
      </c>
      <c r="N977" t="n">
        <v>0</v>
      </c>
      <c r="O977" t="n">
        <v>0</v>
      </c>
      <c r="P977" t="n">
        <v>0</v>
      </c>
      <c r="Q977" t="n">
        <v>0</v>
      </c>
      <c r="R977" s="2" t="inlineStr"/>
    </row>
    <row r="978" ht="15" customHeight="1">
      <c r="A978" t="inlineStr">
        <is>
          <t>A 53144-2024</t>
        </is>
      </c>
      <c r="B978" s="1" t="n">
        <v>45611</v>
      </c>
      <c r="C978" s="1" t="n">
        <v>46022</v>
      </c>
      <c r="D978" t="inlineStr">
        <is>
          <t>JÄMTLANDS LÄN</t>
        </is>
      </c>
      <c r="E978" t="inlineStr">
        <is>
          <t>RAGUNDA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57184-2025</t>
        </is>
      </c>
      <c r="B979" s="1" t="n">
        <v>45979.57361111111</v>
      </c>
      <c r="C979" s="1" t="n">
        <v>46022</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22311-2024</t>
        </is>
      </c>
      <c r="B980" s="1" t="n">
        <v>45446.57052083333</v>
      </c>
      <c r="C980" s="1" t="n">
        <v>46022</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19403-2025</t>
        </is>
      </c>
      <c r="B981" s="1" t="n">
        <v>45769.67790509259</v>
      </c>
      <c r="C981" s="1" t="n">
        <v>46022</v>
      </c>
      <c r="D981" t="inlineStr">
        <is>
          <t>JÄMTLANDS LÄN</t>
        </is>
      </c>
      <c r="E981" t="inlineStr">
        <is>
          <t>RAGUNDA</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11147-2025</t>
        </is>
      </c>
      <c r="B982" s="1" t="n">
        <v>45723.67777777778</v>
      </c>
      <c r="C982" s="1" t="n">
        <v>46022</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9847-2025</t>
        </is>
      </c>
      <c r="B983" s="1" t="n">
        <v>45716.61487268518</v>
      </c>
      <c r="C983" s="1" t="n">
        <v>46022</v>
      </c>
      <c r="D983" t="inlineStr">
        <is>
          <t>JÄMTLANDS LÄN</t>
        </is>
      </c>
      <c r="E983" t="inlineStr">
        <is>
          <t>RAGUNDA</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28173-2024</t>
        </is>
      </c>
      <c r="B984" s="1" t="n">
        <v>45476.94533564815</v>
      </c>
      <c r="C984" s="1" t="n">
        <v>46022</v>
      </c>
      <c r="D984" t="inlineStr">
        <is>
          <t>JÄMTLANDS LÄN</t>
        </is>
      </c>
      <c r="E984" t="inlineStr">
        <is>
          <t>RAGUNDA</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23734-2024</t>
        </is>
      </c>
      <c r="B985" s="1" t="n">
        <v>45454.95960648148</v>
      </c>
      <c r="C985" s="1" t="n">
        <v>46022</v>
      </c>
      <c r="D985" t="inlineStr">
        <is>
          <t>JÄMTLANDS LÄN</t>
        </is>
      </c>
      <c r="E985" t="inlineStr">
        <is>
          <t>RAGUNDA</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38425-2022</t>
        </is>
      </c>
      <c r="B986" s="1" t="n">
        <v>44812.94709490741</v>
      </c>
      <c r="C986" s="1" t="n">
        <v>46022</v>
      </c>
      <c r="D986" t="inlineStr">
        <is>
          <t>JÄMTLANDS LÄN</t>
        </is>
      </c>
      <c r="E986" t="inlineStr">
        <is>
          <t>RAGUNDA</t>
        </is>
      </c>
      <c r="F986" t="inlineStr">
        <is>
          <t>SCA</t>
        </is>
      </c>
      <c r="G986" t="n">
        <v>6.1</v>
      </c>
      <c r="H986" t="n">
        <v>0</v>
      </c>
      <c r="I986" t="n">
        <v>0</v>
      </c>
      <c r="J986" t="n">
        <v>0</v>
      </c>
      <c r="K986" t="n">
        <v>0</v>
      </c>
      <c r="L986" t="n">
        <v>0</v>
      </c>
      <c r="M986" t="n">
        <v>0</v>
      </c>
      <c r="N986" t="n">
        <v>0</v>
      </c>
      <c r="O986" t="n">
        <v>0</v>
      </c>
      <c r="P986" t="n">
        <v>0</v>
      </c>
      <c r="Q986" t="n">
        <v>0</v>
      </c>
      <c r="R986" s="2" t="inlineStr"/>
    </row>
    <row r="987" ht="15" customHeight="1">
      <c r="A987" t="inlineStr">
        <is>
          <t>A 12995-2023</t>
        </is>
      </c>
      <c r="B987" s="1" t="n">
        <v>45002.0328125</v>
      </c>
      <c r="C987" s="1" t="n">
        <v>46022</v>
      </c>
      <c r="D987" t="inlineStr">
        <is>
          <t>JÄMTLANDS LÄN</t>
        </is>
      </c>
      <c r="E987" t="inlineStr">
        <is>
          <t>RAGUNDA</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44755-2024</t>
        </is>
      </c>
      <c r="B988" s="1" t="n">
        <v>45574.61184027778</v>
      </c>
      <c r="C988" s="1" t="n">
        <v>46022</v>
      </c>
      <c r="D988" t="inlineStr">
        <is>
          <t>JÄMTLANDS LÄN</t>
        </is>
      </c>
      <c r="E988" t="inlineStr">
        <is>
          <t>RAGUNDA</t>
        </is>
      </c>
      <c r="G988" t="n">
        <v>4.4</v>
      </c>
      <c r="H988" t="n">
        <v>0</v>
      </c>
      <c r="I988" t="n">
        <v>0</v>
      </c>
      <c r="J988" t="n">
        <v>0</v>
      </c>
      <c r="K988" t="n">
        <v>0</v>
      </c>
      <c r="L988" t="n">
        <v>0</v>
      </c>
      <c r="M988" t="n">
        <v>0</v>
      </c>
      <c r="N988" t="n">
        <v>0</v>
      </c>
      <c r="O988" t="n">
        <v>0</v>
      </c>
      <c r="P988" t="n">
        <v>0</v>
      </c>
      <c r="Q988" t="n">
        <v>0</v>
      </c>
      <c r="R988" s="2" t="inlineStr"/>
    </row>
    <row r="989" ht="15" customHeight="1">
      <c r="A989" t="inlineStr">
        <is>
          <t>A 44766-2024</t>
        </is>
      </c>
      <c r="B989" s="1" t="n">
        <v>45574.62297453704</v>
      </c>
      <c r="C989" s="1" t="n">
        <v>46022</v>
      </c>
      <c r="D989" t="inlineStr">
        <is>
          <t>JÄMTLANDS LÄN</t>
        </is>
      </c>
      <c r="E989" t="inlineStr">
        <is>
          <t>RAGUNDA</t>
        </is>
      </c>
      <c r="G989" t="n">
        <v>3.2</v>
      </c>
      <c r="H989" t="n">
        <v>0</v>
      </c>
      <c r="I989" t="n">
        <v>0</v>
      </c>
      <c r="J989" t="n">
        <v>0</v>
      </c>
      <c r="K989" t="n">
        <v>0</v>
      </c>
      <c r="L989" t="n">
        <v>0</v>
      </c>
      <c r="M989" t="n">
        <v>0</v>
      </c>
      <c r="N989" t="n">
        <v>0</v>
      </c>
      <c r="O989" t="n">
        <v>0</v>
      </c>
      <c r="P989" t="n">
        <v>0</v>
      </c>
      <c r="Q989" t="n">
        <v>0</v>
      </c>
      <c r="R989" s="2" t="inlineStr"/>
    </row>
    <row r="990" ht="15" customHeight="1">
      <c r="A990" t="inlineStr">
        <is>
          <t>A 16676-2022</t>
        </is>
      </c>
      <c r="B990" s="1" t="n">
        <v>44672.94018518519</v>
      </c>
      <c r="C990" s="1" t="n">
        <v>46022</v>
      </c>
      <c r="D990" t="inlineStr">
        <is>
          <t>JÄMTLANDS LÄN</t>
        </is>
      </c>
      <c r="E990" t="inlineStr">
        <is>
          <t>RAGUNDA</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55536-2024</t>
        </is>
      </c>
      <c r="B991" s="1" t="n">
        <v>45622</v>
      </c>
      <c r="C991" s="1" t="n">
        <v>46022</v>
      </c>
      <c r="D991" t="inlineStr">
        <is>
          <t>JÄMTLANDS LÄN</t>
        </is>
      </c>
      <c r="E991" t="inlineStr">
        <is>
          <t>RAGUNDA</t>
        </is>
      </c>
      <c r="G991" t="n">
        <v>0.8</v>
      </c>
      <c r="H991" t="n">
        <v>0</v>
      </c>
      <c r="I991" t="n">
        <v>0</v>
      </c>
      <c r="J991" t="n">
        <v>0</v>
      </c>
      <c r="K991" t="n">
        <v>0</v>
      </c>
      <c r="L991" t="n">
        <v>0</v>
      </c>
      <c r="M991" t="n">
        <v>0</v>
      </c>
      <c r="N991" t="n">
        <v>0</v>
      </c>
      <c r="O991" t="n">
        <v>0</v>
      </c>
      <c r="P991" t="n">
        <v>0</v>
      </c>
      <c r="Q991" t="n">
        <v>0</v>
      </c>
      <c r="R991" s="2" t="inlineStr"/>
    </row>
    <row r="992" ht="15" customHeight="1">
      <c r="A992" t="inlineStr">
        <is>
          <t>A 44597-2024</t>
        </is>
      </c>
      <c r="B992" s="1" t="n">
        <v>45574.51087962963</v>
      </c>
      <c r="C992" s="1" t="n">
        <v>46022</v>
      </c>
      <c r="D992" t="inlineStr">
        <is>
          <t>JÄMTLANDS LÄN</t>
        </is>
      </c>
      <c r="E992" t="inlineStr">
        <is>
          <t>RAGUNDA</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44598-2024</t>
        </is>
      </c>
      <c r="B993" s="1" t="n">
        <v>45574.51090277778</v>
      </c>
      <c r="C993" s="1" t="n">
        <v>46022</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18610-2024</t>
        </is>
      </c>
      <c r="B994" s="1" t="n">
        <v>45425.96230324074</v>
      </c>
      <c r="C994" s="1" t="n">
        <v>46022</v>
      </c>
      <c r="D994" t="inlineStr">
        <is>
          <t>JÄMTLANDS LÄN</t>
        </is>
      </c>
      <c r="E994" t="inlineStr">
        <is>
          <t>RAGUNDA</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57116-2024</t>
        </is>
      </c>
      <c r="B995" s="1" t="n">
        <v>45629.36513888889</v>
      </c>
      <c r="C995" s="1" t="n">
        <v>46022</v>
      </c>
      <c r="D995" t="inlineStr">
        <is>
          <t>JÄMTLANDS LÄN</t>
        </is>
      </c>
      <c r="E995" t="inlineStr">
        <is>
          <t>RAGUNDA</t>
        </is>
      </c>
      <c r="G995" t="n">
        <v>0.6</v>
      </c>
      <c r="H995" t="n">
        <v>0</v>
      </c>
      <c r="I995" t="n">
        <v>0</v>
      </c>
      <c r="J995" t="n">
        <v>0</v>
      </c>
      <c r="K995" t="n">
        <v>0</v>
      </c>
      <c r="L995" t="n">
        <v>0</v>
      </c>
      <c r="M995" t="n">
        <v>0</v>
      </c>
      <c r="N995" t="n">
        <v>0</v>
      </c>
      <c r="O995" t="n">
        <v>0</v>
      </c>
      <c r="P995" t="n">
        <v>0</v>
      </c>
      <c r="Q995" t="n">
        <v>0</v>
      </c>
      <c r="R995" s="2" t="inlineStr"/>
    </row>
    <row r="996" ht="15" customHeight="1">
      <c r="A996" t="inlineStr">
        <is>
          <t>A 3104-2025</t>
        </is>
      </c>
      <c r="B996" s="1" t="n">
        <v>45678.67761574074</v>
      </c>
      <c r="C996" s="1" t="n">
        <v>46022</v>
      </c>
      <c r="D996" t="inlineStr">
        <is>
          <t>JÄMTLANDS LÄN</t>
        </is>
      </c>
      <c r="E996" t="inlineStr">
        <is>
          <t>RAGUNDA</t>
        </is>
      </c>
      <c r="F996" t="inlineStr">
        <is>
          <t>SCA</t>
        </is>
      </c>
      <c r="G996" t="n">
        <v>46.2</v>
      </c>
      <c r="H996" t="n">
        <v>0</v>
      </c>
      <c r="I996" t="n">
        <v>0</v>
      </c>
      <c r="J996" t="n">
        <v>0</v>
      </c>
      <c r="K996" t="n">
        <v>0</v>
      </c>
      <c r="L996" t="n">
        <v>0</v>
      </c>
      <c r="M996" t="n">
        <v>0</v>
      </c>
      <c r="N996" t="n">
        <v>0</v>
      </c>
      <c r="O996" t="n">
        <v>0</v>
      </c>
      <c r="P996" t="n">
        <v>0</v>
      </c>
      <c r="Q996" t="n">
        <v>0</v>
      </c>
      <c r="R996" s="2" t="inlineStr"/>
    </row>
    <row r="997" ht="15" customHeight="1">
      <c r="A997" t="inlineStr">
        <is>
          <t>A 40246-2024</t>
        </is>
      </c>
      <c r="B997" s="1" t="n">
        <v>45554.61583333334</v>
      </c>
      <c r="C997" s="1" t="n">
        <v>46022</v>
      </c>
      <c r="D997" t="inlineStr">
        <is>
          <t>JÄMTLANDS LÄN</t>
        </is>
      </c>
      <c r="E997" t="inlineStr">
        <is>
          <t>RAGUNDA</t>
        </is>
      </c>
      <c r="G997" t="n">
        <v>1</v>
      </c>
      <c r="H997" t="n">
        <v>0</v>
      </c>
      <c r="I997" t="n">
        <v>0</v>
      </c>
      <c r="J997" t="n">
        <v>0</v>
      </c>
      <c r="K997" t="n">
        <v>0</v>
      </c>
      <c r="L997" t="n">
        <v>0</v>
      </c>
      <c r="M997" t="n">
        <v>0</v>
      </c>
      <c r="N997" t="n">
        <v>0</v>
      </c>
      <c r="O997" t="n">
        <v>0</v>
      </c>
      <c r="P997" t="n">
        <v>0</v>
      </c>
      <c r="Q997" t="n">
        <v>0</v>
      </c>
      <c r="R997" s="2" t="inlineStr"/>
    </row>
    <row r="998" ht="15" customHeight="1">
      <c r="A998" t="inlineStr">
        <is>
          <t>A 4878-2022</t>
        </is>
      </c>
      <c r="B998" s="1" t="n">
        <v>44593</v>
      </c>
      <c r="C998" s="1" t="n">
        <v>46022</v>
      </c>
      <c r="D998" t="inlineStr">
        <is>
          <t>JÄMTLANDS LÄN</t>
        </is>
      </c>
      <c r="E998" t="inlineStr">
        <is>
          <t>RAGUNDA</t>
        </is>
      </c>
      <c r="G998" t="n">
        <v>21.7</v>
      </c>
      <c r="H998" t="n">
        <v>0</v>
      </c>
      <c r="I998" t="n">
        <v>0</v>
      </c>
      <c r="J998" t="n">
        <v>0</v>
      </c>
      <c r="K998" t="n">
        <v>0</v>
      </c>
      <c r="L998" t="n">
        <v>0</v>
      </c>
      <c r="M998" t="n">
        <v>0</v>
      </c>
      <c r="N998" t="n">
        <v>0</v>
      </c>
      <c r="O998" t="n">
        <v>0</v>
      </c>
      <c r="P998" t="n">
        <v>0</v>
      </c>
      <c r="Q998" t="n">
        <v>0</v>
      </c>
      <c r="R998" s="2" t="inlineStr"/>
    </row>
    <row r="999" ht="15" customHeight="1">
      <c r="A999" t="inlineStr">
        <is>
          <t>A 57237-2022</t>
        </is>
      </c>
      <c r="B999" s="1" t="n">
        <v>44889</v>
      </c>
      <c r="C999" s="1" t="n">
        <v>46022</v>
      </c>
      <c r="D999" t="inlineStr">
        <is>
          <t>JÄMTLANDS LÄN</t>
        </is>
      </c>
      <c r="E999" t="inlineStr">
        <is>
          <t>RAGUNDA</t>
        </is>
      </c>
      <c r="G999" t="n">
        <v>2.2</v>
      </c>
      <c r="H999" t="n">
        <v>0</v>
      </c>
      <c r="I999" t="n">
        <v>0</v>
      </c>
      <c r="J999" t="n">
        <v>0</v>
      </c>
      <c r="K999" t="n">
        <v>0</v>
      </c>
      <c r="L999" t="n">
        <v>0</v>
      </c>
      <c r="M999" t="n">
        <v>0</v>
      </c>
      <c r="N999" t="n">
        <v>0</v>
      </c>
      <c r="O999" t="n">
        <v>0</v>
      </c>
      <c r="P999" t="n">
        <v>0</v>
      </c>
      <c r="Q999" t="n">
        <v>0</v>
      </c>
      <c r="R999" s="2" t="inlineStr"/>
    </row>
    <row r="1000" ht="15" customHeight="1">
      <c r="A1000" t="inlineStr">
        <is>
          <t>A 2133-2023</t>
        </is>
      </c>
      <c r="B1000" s="1" t="n">
        <v>44939</v>
      </c>
      <c r="C1000" s="1" t="n">
        <v>46022</v>
      </c>
      <c r="D1000" t="inlineStr">
        <is>
          <t>JÄMTLANDS LÄN</t>
        </is>
      </c>
      <c r="E1000" t="inlineStr">
        <is>
          <t>RAGUNDA</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19419-2024</t>
        </is>
      </c>
      <c r="B1001" s="1" t="n">
        <v>45429</v>
      </c>
      <c r="C1001" s="1" t="n">
        <v>46022</v>
      </c>
      <c r="D1001" t="inlineStr">
        <is>
          <t>JÄMTLANDS LÄN</t>
        </is>
      </c>
      <c r="E1001" t="inlineStr">
        <is>
          <t>RAGUNDA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19383-2025</t>
        </is>
      </c>
      <c r="B1002" s="1" t="n">
        <v>45769.65688657408</v>
      </c>
      <c r="C1002" s="1" t="n">
        <v>46022</v>
      </c>
      <c r="D1002" t="inlineStr">
        <is>
          <t>JÄMTLANDS LÄN</t>
        </is>
      </c>
      <c r="E1002" t="inlineStr">
        <is>
          <t>RAGUNDA</t>
        </is>
      </c>
      <c r="F1002" t="inlineStr">
        <is>
          <t>SCA</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49229-2024</t>
        </is>
      </c>
      <c r="B1003" s="1" t="n">
        <v>45595.42738425926</v>
      </c>
      <c r="C1003" s="1" t="n">
        <v>46022</v>
      </c>
      <c r="D1003" t="inlineStr">
        <is>
          <t>JÄMTLANDS LÄN</t>
        </is>
      </c>
      <c r="E1003" t="inlineStr">
        <is>
          <t>RAGUNDA</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13700-2023</t>
        </is>
      </c>
      <c r="B1004" s="1" t="n">
        <v>45006</v>
      </c>
      <c r="C1004" s="1" t="n">
        <v>46022</v>
      </c>
      <c r="D1004" t="inlineStr">
        <is>
          <t>JÄMTLANDS LÄN</t>
        </is>
      </c>
      <c r="E1004" t="inlineStr">
        <is>
          <t>RAGUNDA</t>
        </is>
      </c>
      <c r="F1004" t="inlineStr">
        <is>
          <t>SCA</t>
        </is>
      </c>
      <c r="G1004" t="n">
        <v>50.3</v>
      </c>
      <c r="H1004" t="n">
        <v>0</v>
      </c>
      <c r="I1004" t="n">
        <v>0</v>
      </c>
      <c r="J1004" t="n">
        <v>0</v>
      </c>
      <c r="K1004" t="n">
        <v>0</v>
      </c>
      <c r="L1004" t="n">
        <v>0</v>
      </c>
      <c r="M1004" t="n">
        <v>0</v>
      </c>
      <c r="N1004" t="n">
        <v>0</v>
      </c>
      <c r="O1004" t="n">
        <v>0</v>
      </c>
      <c r="P1004" t="n">
        <v>0</v>
      </c>
      <c r="Q1004" t="n">
        <v>0</v>
      </c>
      <c r="R1004" s="2" t="inlineStr"/>
    </row>
    <row r="1005" ht="15" customHeight="1">
      <c r="A1005" t="inlineStr">
        <is>
          <t>A 51389-2024</t>
        </is>
      </c>
      <c r="B1005" s="1" t="n">
        <v>45604.40540509259</v>
      </c>
      <c r="C1005" s="1" t="n">
        <v>46022</v>
      </c>
      <c r="D1005" t="inlineStr">
        <is>
          <t>JÄMTLANDS LÄN</t>
        </is>
      </c>
      <c r="E1005" t="inlineStr">
        <is>
          <t>RAGUNDA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51393-2024</t>
        </is>
      </c>
      <c r="B1006" s="1" t="n">
        <v>45604.41625</v>
      </c>
      <c r="C1006" s="1" t="n">
        <v>46022</v>
      </c>
      <c r="D1006" t="inlineStr">
        <is>
          <t>JÄMTLANDS LÄN</t>
        </is>
      </c>
      <c r="E1006" t="inlineStr">
        <is>
          <t>RAGUNDA</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20987-2023</t>
        </is>
      </c>
      <c r="B1007" s="1" t="n">
        <v>45056</v>
      </c>
      <c r="C1007" s="1" t="n">
        <v>46022</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20994-2023</t>
        </is>
      </c>
      <c r="B1008" s="1" t="n">
        <v>45056</v>
      </c>
      <c r="C1008" s="1" t="n">
        <v>46022</v>
      </c>
      <c r="D1008" t="inlineStr">
        <is>
          <t>JÄMTLANDS LÄN</t>
        </is>
      </c>
      <c r="E1008" t="inlineStr">
        <is>
          <t>RAGUNDA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55669-2023</t>
        </is>
      </c>
      <c r="B1009" s="1" t="n">
        <v>45238.96797453704</v>
      </c>
      <c r="C1009" s="1" t="n">
        <v>46022</v>
      </c>
      <c r="D1009" t="inlineStr">
        <is>
          <t>JÄMTLANDS LÄN</t>
        </is>
      </c>
      <c r="E1009" t="inlineStr">
        <is>
          <t>RAGUNDA</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32063-2024</t>
        </is>
      </c>
      <c r="B1010" s="1" t="n">
        <v>45510</v>
      </c>
      <c r="C1010" s="1" t="n">
        <v>46022</v>
      </c>
      <c r="D1010" t="inlineStr">
        <is>
          <t>JÄMTLANDS LÄN</t>
        </is>
      </c>
      <c r="E1010" t="inlineStr">
        <is>
          <t>RAGUNDA</t>
        </is>
      </c>
      <c r="F1010" t="inlineStr">
        <is>
          <t>SCA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10641-2024</t>
        </is>
      </c>
      <c r="B1011" s="1" t="n">
        <v>45367.69850694444</v>
      </c>
      <c r="C1011" s="1" t="n">
        <v>46022</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10644-2024</t>
        </is>
      </c>
      <c r="B1012" s="1" t="n">
        <v>45367.71348379629</v>
      </c>
      <c r="C1012" s="1" t="n">
        <v>46022</v>
      </c>
      <c r="D1012" t="inlineStr">
        <is>
          <t>JÄMTLANDS LÄN</t>
        </is>
      </c>
      <c r="E1012" t="inlineStr">
        <is>
          <t>RAGUNDA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20426-2024</t>
        </is>
      </c>
      <c r="B1013" s="1" t="n">
        <v>45435</v>
      </c>
      <c r="C1013" s="1" t="n">
        <v>46022</v>
      </c>
      <c r="D1013" t="inlineStr">
        <is>
          <t>JÄMTLANDS LÄN</t>
        </is>
      </c>
      <c r="E1013" t="inlineStr">
        <is>
          <t>RAGUNDA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17742-2022</t>
        </is>
      </c>
      <c r="B1014" s="1" t="n">
        <v>44680.95246527778</v>
      </c>
      <c r="C1014" s="1" t="n">
        <v>46022</v>
      </c>
      <c r="D1014" t="inlineStr">
        <is>
          <t>JÄMTLANDS LÄN</t>
        </is>
      </c>
      <c r="E1014" t="inlineStr">
        <is>
          <t>RAGUNDA</t>
        </is>
      </c>
      <c r="F1014" t="inlineStr">
        <is>
          <t>SCA</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30825-2023</t>
        </is>
      </c>
      <c r="B1015" s="1" t="n">
        <v>45112.94310185185</v>
      </c>
      <c r="C1015" s="1" t="n">
        <v>46022</v>
      </c>
      <c r="D1015" t="inlineStr">
        <is>
          <t>JÄMTLANDS LÄN</t>
        </is>
      </c>
      <c r="E1015" t="inlineStr">
        <is>
          <t>RAGUNDA</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46022</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9326-2024</t>
        </is>
      </c>
      <c r="B1017" s="1" t="n">
        <v>45358.95818287037</v>
      </c>
      <c r="C1017" s="1" t="n">
        <v>46022</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7520-2023</t>
        </is>
      </c>
      <c r="B1018" s="1" t="n">
        <v>44971</v>
      </c>
      <c r="C1018" s="1" t="n">
        <v>46022</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21662-2023</t>
        </is>
      </c>
      <c r="B1019" s="1" t="n">
        <v>45063</v>
      </c>
      <c r="C1019" s="1" t="n">
        <v>46022</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44727-2024</t>
        </is>
      </c>
      <c r="B1020" s="1" t="n">
        <v>45574.57967592592</v>
      </c>
      <c r="C1020" s="1" t="n">
        <v>46022</v>
      </c>
      <c r="D1020" t="inlineStr">
        <is>
          <t>JÄMTLANDS LÄN</t>
        </is>
      </c>
      <c r="E1020" t="inlineStr">
        <is>
          <t>RAGUNDA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21083-2024</t>
        </is>
      </c>
      <c r="B1021" s="1" t="n">
        <v>45439.92752314815</v>
      </c>
      <c r="C1021" s="1" t="n">
        <v>46022</v>
      </c>
      <c r="D1021" t="inlineStr">
        <is>
          <t>JÄMTLANDS LÄN</t>
        </is>
      </c>
      <c r="E1021" t="inlineStr">
        <is>
          <t>RAGUNDA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462-2023</t>
        </is>
      </c>
      <c r="B1022" s="1" t="n">
        <v>44929</v>
      </c>
      <c r="C1022" s="1" t="n">
        <v>46022</v>
      </c>
      <c r="D1022" t="inlineStr">
        <is>
          <t>JÄMTLANDS LÄN</t>
        </is>
      </c>
      <c r="E1022" t="inlineStr">
        <is>
          <t>RAGUNDA</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12050-2023</t>
        </is>
      </c>
      <c r="B1023" s="1" t="n">
        <v>44995.98644675926</v>
      </c>
      <c r="C1023" s="1" t="n">
        <v>46022</v>
      </c>
      <c r="D1023" t="inlineStr">
        <is>
          <t>JÄMTLANDS LÄN</t>
        </is>
      </c>
      <c r="E1023" t="inlineStr">
        <is>
          <t>RAGUNDA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62358-2023</t>
        </is>
      </c>
      <c r="B1024" s="1" t="n">
        <v>45267</v>
      </c>
      <c r="C1024" s="1" t="n">
        <v>46022</v>
      </c>
      <c r="D1024" t="inlineStr">
        <is>
          <t>JÄMTLANDS LÄN</t>
        </is>
      </c>
      <c r="E1024" t="inlineStr">
        <is>
          <t>RAGUNDA</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18820-2023</t>
        </is>
      </c>
      <c r="B1025" s="1" t="n">
        <v>45042</v>
      </c>
      <c r="C1025" s="1" t="n">
        <v>46022</v>
      </c>
      <c r="D1025" t="inlineStr">
        <is>
          <t>JÄMTLANDS LÄN</t>
        </is>
      </c>
      <c r="E1025" t="inlineStr">
        <is>
          <t>RAGUNDA</t>
        </is>
      </c>
      <c r="G1025" t="n">
        <v>18.8</v>
      </c>
      <c r="H1025" t="n">
        <v>0</v>
      </c>
      <c r="I1025" t="n">
        <v>0</v>
      </c>
      <c r="J1025" t="n">
        <v>0</v>
      </c>
      <c r="K1025" t="n">
        <v>0</v>
      </c>
      <c r="L1025" t="n">
        <v>0</v>
      </c>
      <c r="M1025" t="n">
        <v>0</v>
      </c>
      <c r="N1025" t="n">
        <v>0</v>
      </c>
      <c r="O1025" t="n">
        <v>0</v>
      </c>
      <c r="P1025" t="n">
        <v>0</v>
      </c>
      <c r="Q1025" t="n">
        <v>0</v>
      </c>
      <c r="R1025" s="2" t="inlineStr"/>
    </row>
    <row r="1026" ht="15" customHeight="1">
      <c r="A1026" t="inlineStr">
        <is>
          <t>A 49648-2023</t>
        </is>
      </c>
      <c r="B1026" s="1" t="n">
        <v>45211.95061342593</v>
      </c>
      <c r="C1026" s="1" t="n">
        <v>46022</v>
      </c>
      <c r="D1026" t="inlineStr">
        <is>
          <t>JÄMTLANDS LÄN</t>
        </is>
      </c>
      <c r="E1026" t="inlineStr">
        <is>
          <t>RAGUNDA</t>
        </is>
      </c>
      <c r="F1026" t="inlineStr">
        <is>
          <t>SCA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51537-2022</t>
        </is>
      </c>
      <c r="B1027" s="1" t="n">
        <v>44869</v>
      </c>
      <c r="C1027" s="1" t="n">
        <v>46022</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59044-2022</t>
        </is>
      </c>
      <c r="B1028" s="1" t="n">
        <v>44903</v>
      </c>
      <c r="C1028" s="1" t="n">
        <v>46022</v>
      </c>
      <c r="D1028" t="inlineStr">
        <is>
          <t>JÄMTLANDS LÄN</t>
        </is>
      </c>
      <c r="E1028" t="inlineStr">
        <is>
          <t>RAGUNDA</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5958-2023</t>
        </is>
      </c>
      <c r="B1029" s="1" t="n">
        <v>44963</v>
      </c>
      <c r="C1029" s="1" t="n">
        <v>46022</v>
      </c>
      <c r="D1029" t="inlineStr">
        <is>
          <t>JÄMTLANDS LÄN</t>
        </is>
      </c>
      <c r="E1029" t="inlineStr">
        <is>
          <t>RAGUNDA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8779-2025</t>
        </is>
      </c>
      <c r="B1030" s="1" t="n">
        <v>45712.61552083334</v>
      </c>
      <c r="C1030" s="1" t="n">
        <v>46022</v>
      </c>
      <c r="D1030" t="inlineStr">
        <is>
          <t>JÄMTLANDS LÄN</t>
        </is>
      </c>
      <c r="E1030" t="inlineStr">
        <is>
          <t>RAGUNDA</t>
        </is>
      </c>
      <c r="F1030" t="inlineStr">
        <is>
          <t>SCA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61400-2022</t>
        </is>
      </c>
      <c r="B1031" s="1" t="n">
        <v>44915</v>
      </c>
      <c r="C1031" s="1" t="n">
        <v>46022</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4348-2023</t>
        </is>
      </c>
      <c r="B1032" s="1" t="n">
        <v>44953</v>
      </c>
      <c r="C1032" s="1" t="n">
        <v>46022</v>
      </c>
      <c r="D1032" t="inlineStr">
        <is>
          <t>JÄMTLANDS LÄN</t>
        </is>
      </c>
      <c r="E1032" t="inlineStr">
        <is>
          <t>RAGUNDA</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56286-2023</t>
        </is>
      </c>
      <c r="B1033" s="1" t="n">
        <v>45241.95741898148</v>
      </c>
      <c r="C1033" s="1" t="n">
        <v>46022</v>
      </c>
      <c r="D1033" t="inlineStr">
        <is>
          <t>JÄMTLANDS LÄN</t>
        </is>
      </c>
      <c r="E1033" t="inlineStr">
        <is>
          <t>RAGUNDA</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56287-2023</t>
        </is>
      </c>
      <c r="B1034" s="1" t="n">
        <v>45241</v>
      </c>
      <c r="C1034" s="1" t="n">
        <v>46022</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62135-2024</t>
        </is>
      </c>
      <c r="B1035" s="1" t="n">
        <v>45656.64223379629</v>
      </c>
      <c r="C1035" s="1" t="n">
        <v>46022</v>
      </c>
      <c r="D1035" t="inlineStr">
        <is>
          <t>JÄMTLANDS LÄN</t>
        </is>
      </c>
      <c r="E1035" t="inlineStr">
        <is>
          <t>RAGUNDA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18248-2023</t>
        </is>
      </c>
      <c r="B1036" s="1" t="n">
        <v>45040</v>
      </c>
      <c r="C1036" s="1" t="n">
        <v>46022</v>
      </c>
      <c r="D1036" t="inlineStr">
        <is>
          <t>JÄMTLANDS LÄN</t>
        </is>
      </c>
      <c r="E1036" t="inlineStr">
        <is>
          <t>RAGUNDA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8802-2022</t>
        </is>
      </c>
      <c r="B1037" s="1" t="n">
        <v>44614</v>
      </c>
      <c r="C1037" s="1" t="n">
        <v>46022</v>
      </c>
      <c r="D1037" t="inlineStr">
        <is>
          <t>JÄMTLANDS LÄN</t>
        </is>
      </c>
      <c r="E1037" t="inlineStr">
        <is>
          <t>RAGUNDA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39489-2023</t>
        </is>
      </c>
      <c r="B1038" s="1" t="n">
        <v>45166</v>
      </c>
      <c r="C1038" s="1" t="n">
        <v>46022</v>
      </c>
      <c r="D1038" t="inlineStr">
        <is>
          <t>JÄMTLANDS LÄN</t>
        </is>
      </c>
      <c r="E1038" t="inlineStr">
        <is>
          <t>RAGUNDA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55214-2022</t>
        </is>
      </c>
      <c r="B1039" s="1" t="n">
        <v>44886</v>
      </c>
      <c r="C1039" s="1" t="n">
        <v>46022</v>
      </c>
      <c r="D1039" t="inlineStr">
        <is>
          <t>JÄMTLANDS LÄN</t>
        </is>
      </c>
      <c r="E1039" t="inlineStr">
        <is>
          <t>RAGUNDA</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7722-2023</t>
        </is>
      </c>
      <c r="B1040" s="1" t="n">
        <v>44972.94140046297</v>
      </c>
      <c r="C1040" s="1" t="n">
        <v>46022</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12204-2025</t>
        </is>
      </c>
      <c r="B1041" s="1" t="n">
        <v>45729.51074074074</v>
      </c>
      <c r="C1041" s="1" t="n">
        <v>46022</v>
      </c>
      <c r="D1041" t="inlineStr">
        <is>
          <t>JÄMTLANDS LÄN</t>
        </is>
      </c>
      <c r="E1041" t="inlineStr">
        <is>
          <t>RAGUNDA</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13299-2024</t>
        </is>
      </c>
      <c r="B1042" s="1" t="n">
        <v>45386.68003472222</v>
      </c>
      <c r="C1042" s="1" t="n">
        <v>46022</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15024-2022</t>
        </is>
      </c>
      <c r="B1043" s="1" t="n">
        <v>44657</v>
      </c>
      <c r="C1043" s="1" t="n">
        <v>46022</v>
      </c>
      <c r="D1043" t="inlineStr">
        <is>
          <t>JÄMTLANDS LÄN</t>
        </is>
      </c>
      <c r="E1043" t="inlineStr">
        <is>
          <t>RAGUNDA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891-2022</t>
        </is>
      </c>
      <c r="B1044" s="1" t="n">
        <v>44571</v>
      </c>
      <c r="C1044" s="1" t="n">
        <v>46022</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36371-2023</t>
        </is>
      </c>
      <c r="B1045" s="1" t="n">
        <v>45149</v>
      </c>
      <c r="C1045" s="1" t="n">
        <v>46022</v>
      </c>
      <c r="D1045" t="inlineStr">
        <is>
          <t>JÄMTLANDS LÄN</t>
        </is>
      </c>
      <c r="E1045" t="inlineStr">
        <is>
          <t>RAGUNDA</t>
        </is>
      </c>
      <c r="G1045" t="n">
        <v>25.7</v>
      </c>
      <c r="H1045" t="n">
        <v>0</v>
      </c>
      <c r="I1045" t="n">
        <v>0</v>
      </c>
      <c r="J1045" t="n">
        <v>0</v>
      </c>
      <c r="K1045" t="n">
        <v>0</v>
      </c>
      <c r="L1045" t="n">
        <v>0</v>
      </c>
      <c r="M1045" t="n">
        <v>0</v>
      </c>
      <c r="N1045" t="n">
        <v>0</v>
      </c>
      <c r="O1045" t="n">
        <v>0</v>
      </c>
      <c r="P1045" t="n">
        <v>0</v>
      </c>
      <c r="Q1045" t="n">
        <v>0</v>
      </c>
      <c r="R1045" s="2" t="inlineStr"/>
    </row>
    <row r="1046" ht="15" customHeight="1">
      <c r="A1046" t="inlineStr">
        <is>
          <t>A 56702-2023</t>
        </is>
      </c>
      <c r="B1046" s="1" t="n">
        <v>45243</v>
      </c>
      <c r="C1046" s="1" t="n">
        <v>46022</v>
      </c>
      <c r="D1046" t="inlineStr">
        <is>
          <t>JÄMTLANDS LÄN</t>
        </is>
      </c>
      <c r="E1046" t="inlineStr">
        <is>
          <t>RAGUNDA</t>
        </is>
      </c>
      <c r="F1046" t="inlineStr">
        <is>
          <t>SCA</t>
        </is>
      </c>
      <c r="G1046" t="n">
        <v>10.3</v>
      </c>
      <c r="H1046" t="n">
        <v>0</v>
      </c>
      <c r="I1046" t="n">
        <v>0</v>
      </c>
      <c r="J1046" t="n">
        <v>0</v>
      </c>
      <c r="K1046" t="n">
        <v>0</v>
      </c>
      <c r="L1046" t="n">
        <v>0</v>
      </c>
      <c r="M1046" t="n">
        <v>0</v>
      </c>
      <c r="N1046" t="n">
        <v>0</v>
      </c>
      <c r="O1046" t="n">
        <v>0</v>
      </c>
      <c r="P1046" t="n">
        <v>0</v>
      </c>
      <c r="Q1046" t="n">
        <v>0</v>
      </c>
      <c r="R1046" s="2" t="inlineStr"/>
    </row>
    <row r="1047" ht="15" customHeight="1">
      <c r="A1047" t="inlineStr">
        <is>
          <t>A 32259-2024</t>
        </is>
      </c>
      <c r="B1047" s="1" t="n">
        <v>45511</v>
      </c>
      <c r="C1047" s="1" t="n">
        <v>46022</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5313-2025</t>
        </is>
      </c>
      <c r="B1048" s="1" t="n">
        <v>45692.51069444444</v>
      </c>
      <c r="C1048" s="1" t="n">
        <v>46022</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5357-2025</t>
        </is>
      </c>
      <c r="B1049" s="1" t="n">
        <v>45692.57326388889</v>
      </c>
      <c r="C1049" s="1" t="n">
        <v>46022</v>
      </c>
      <c r="D1049" t="inlineStr">
        <is>
          <t>JÄMTLANDS LÄN</t>
        </is>
      </c>
      <c r="E1049" t="inlineStr">
        <is>
          <t>RAGUNDA</t>
        </is>
      </c>
      <c r="F1049" t="inlineStr">
        <is>
          <t>SCA</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3018-2024</t>
        </is>
      </c>
      <c r="B1050" s="1" t="n">
        <v>45315.9492824074</v>
      </c>
      <c r="C1050" s="1" t="n">
        <v>46022</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44605-2024</t>
        </is>
      </c>
      <c r="B1051" s="1" t="n">
        <v>45574.51185185185</v>
      </c>
      <c r="C1051" s="1" t="n">
        <v>46022</v>
      </c>
      <c r="D1051" t="inlineStr">
        <is>
          <t>JÄMTLANDS LÄN</t>
        </is>
      </c>
      <c r="E1051" t="inlineStr">
        <is>
          <t>RAGUNDA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20773-2024</t>
        </is>
      </c>
      <c r="B1052" s="1" t="n">
        <v>45436.94636574074</v>
      </c>
      <c r="C1052" s="1" t="n">
        <v>46022</v>
      </c>
      <c r="D1052" t="inlineStr">
        <is>
          <t>JÄMTLANDS LÄN</t>
        </is>
      </c>
      <c r="E1052" t="inlineStr">
        <is>
          <t>RAGUNDA</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34323-2023</t>
        </is>
      </c>
      <c r="B1053" s="1" t="n">
        <v>45138.94925925926</v>
      </c>
      <c r="C1053" s="1" t="n">
        <v>46022</v>
      </c>
      <c r="D1053" t="inlineStr">
        <is>
          <t>JÄMTLANDS LÄN</t>
        </is>
      </c>
      <c r="E1053" t="inlineStr">
        <is>
          <t>RAGUNDA</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50486-2023</t>
        </is>
      </c>
      <c r="B1054" s="1" t="n">
        <v>45216.92424768519</v>
      </c>
      <c r="C1054" s="1" t="n">
        <v>46022</v>
      </c>
      <c r="D1054" t="inlineStr">
        <is>
          <t>JÄMTLANDS LÄN</t>
        </is>
      </c>
      <c r="E1054" t="inlineStr">
        <is>
          <t>RAGUNDA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51538-2022</t>
        </is>
      </c>
      <c r="B1055" s="1" t="n">
        <v>44869</v>
      </c>
      <c r="C1055" s="1" t="n">
        <v>46022</v>
      </c>
      <c r="D1055" t="inlineStr">
        <is>
          <t>JÄMTLANDS LÄN</t>
        </is>
      </c>
      <c r="E1055" t="inlineStr">
        <is>
          <t>RAGUNDA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19854-2025</t>
        </is>
      </c>
      <c r="B1056" s="1" t="n">
        <v>45771.51074074074</v>
      </c>
      <c r="C1056" s="1" t="n">
        <v>46022</v>
      </c>
      <c r="D1056" t="inlineStr">
        <is>
          <t>JÄMTLANDS LÄN</t>
        </is>
      </c>
      <c r="E1056" t="inlineStr">
        <is>
          <t>RAGUNDA</t>
        </is>
      </c>
      <c r="F1056" t="inlineStr">
        <is>
          <t>SCA</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50503-2024</t>
        </is>
      </c>
      <c r="B1057" s="1" t="n">
        <v>45601.5315625</v>
      </c>
      <c r="C1057" s="1" t="n">
        <v>46022</v>
      </c>
      <c r="D1057" t="inlineStr">
        <is>
          <t>JÄMTLANDS LÄN</t>
        </is>
      </c>
      <c r="E1057" t="inlineStr">
        <is>
          <t>RAGUNDA</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10610-2024</t>
        </is>
      </c>
      <c r="B1058" s="1" t="n">
        <v>45367.04693287037</v>
      </c>
      <c r="C1058" s="1" t="n">
        <v>46022</v>
      </c>
      <c r="D1058" t="inlineStr">
        <is>
          <t>JÄMTLANDS LÄN</t>
        </is>
      </c>
      <c r="E1058" t="inlineStr">
        <is>
          <t>RAGUNDA</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10706-2023</t>
        </is>
      </c>
      <c r="B1059" s="1" t="n">
        <v>44984</v>
      </c>
      <c r="C1059" s="1" t="n">
        <v>46022</v>
      </c>
      <c r="D1059" t="inlineStr">
        <is>
          <t>JÄMTLANDS LÄN</t>
        </is>
      </c>
      <c r="E1059" t="inlineStr">
        <is>
          <t>RAGUNDA</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63708-2023</t>
        </is>
      </c>
      <c r="B1060" s="1" t="n">
        <v>45275.95060185185</v>
      </c>
      <c r="C1060" s="1" t="n">
        <v>46022</v>
      </c>
      <c r="D1060" t="inlineStr">
        <is>
          <t>JÄMTLANDS LÄN</t>
        </is>
      </c>
      <c r="E1060" t="inlineStr">
        <is>
          <t>RAGUNDA</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16250-2022</t>
        </is>
      </c>
      <c r="B1061" s="1" t="n">
        <v>44670</v>
      </c>
      <c r="C1061" s="1" t="n">
        <v>46022</v>
      </c>
      <c r="D1061" t="inlineStr">
        <is>
          <t>JÄMTLANDS LÄN</t>
        </is>
      </c>
      <c r="E1061" t="inlineStr">
        <is>
          <t>RAGUNDA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60663-2022</t>
        </is>
      </c>
      <c r="B1062" s="1" t="n">
        <v>44911.93846064815</v>
      </c>
      <c r="C1062" s="1" t="n">
        <v>46022</v>
      </c>
      <c r="D1062" t="inlineStr">
        <is>
          <t>JÄMTLANDS LÄN</t>
        </is>
      </c>
      <c r="E1062" t="inlineStr">
        <is>
          <t>RAGUNDA</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58847-2024</t>
        </is>
      </c>
      <c r="B1063" s="1" t="n">
        <v>45636.3864699074</v>
      </c>
      <c r="C1063" s="1" t="n">
        <v>46022</v>
      </c>
      <c r="D1063" t="inlineStr">
        <is>
          <t>JÄMTLANDS LÄN</t>
        </is>
      </c>
      <c r="E1063" t="inlineStr">
        <is>
          <t>RAGUNDA</t>
        </is>
      </c>
      <c r="F1063" t="inlineStr">
        <is>
          <t>SCA</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27777-2022</t>
        </is>
      </c>
      <c r="B1064" s="1" t="n">
        <v>44743</v>
      </c>
      <c r="C1064" s="1" t="n">
        <v>46022</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42875-2024</t>
        </is>
      </c>
      <c r="B1065" s="1" t="n">
        <v>45566.68125</v>
      </c>
      <c r="C1065" s="1" t="n">
        <v>46022</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53935-2022</t>
        </is>
      </c>
      <c r="B1066" s="1" t="n">
        <v>44880</v>
      </c>
      <c r="C1066" s="1" t="n">
        <v>46022</v>
      </c>
      <c r="D1066" t="inlineStr">
        <is>
          <t>JÄMTLANDS LÄN</t>
        </is>
      </c>
      <c r="E1066" t="inlineStr">
        <is>
          <t>RAGUNDA</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41262-2021</t>
        </is>
      </c>
      <c r="B1067" s="1" t="n">
        <v>44424</v>
      </c>
      <c r="C1067" s="1" t="n">
        <v>46022</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20221-2025</t>
        </is>
      </c>
      <c r="B1068" s="1" t="n">
        <v>45772.6565625</v>
      </c>
      <c r="C1068" s="1" t="n">
        <v>46022</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4015-2022</t>
        </is>
      </c>
      <c r="B1069" s="1" t="n">
        <v>44587.92149305555</v>
      </c>
      <c r="C1069" s="1" t="n">
        <v>46022</v>
      </c>
      <c r="D1069" t="inlineStr">
        <is>
          <t>JÄMTLANDS LÄN</t>
        </is>
      </c>
      <c r="E1069" t="inlineStr">
        <is>
          <t>RAGUNDA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8416-2023</t>
        </is>
      </c>
      <c r="B1070" s="1" t="n">
        <v>44977.44373842593</v>
      </c>
      <c r="C1070" s="1" t="n">
        <v>46022</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45253-2023</t>
        </is>
      </c>
      <c r="B1071" s="1" t="n">
        <v>45187</v>
      </c>
      <c r="C1071" s="1" t="n">
        <v>46022</v>
      </c>
      <c r="D1071" t="inlineStr">
        <is>
          <t>JÄMTLANDS LÄN</t>
        </is>
      </c>
      <c r="E1071" t="inlineStr">
        <is>
          <t>RAGUNDA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14369-2024</t>
        </is>
      </c>
      <c r="B1072" s="1" t="n">
        <v>45393.94459490741</v>
      </c>
      <c r="C1072" s="1" t="n">
        <v>46022</v>
      </c>
      <c r="D1072" t="inlineStr">
        <is>
          <t>JÄMTLANDS LÄN</t>
        </is>
      </c>
      <c r="E1072" t="inlineStr">
        <is>
          <t>RAGUNDA</t>
        </is>
      </c>
      <c r="F1072" t="inlineStr">
        <is>
          <t>Naturvårdsverket</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182-2023</t>
        </is>
      </c>
      <c r="B1073" s="1" t="n">
        <v>44922</v>
      </c>
      <c r="C1073" s="1" t="n">
        <v>46022</v>
      </c>
      <c r="D1073" t="inlineStr">
        <is>
          <t>JÄMTLANDS LÄN</t>
        </is>
      </c>
      <c r="E1073" t="inlineStr">
        <is>
          <t>RAGUNDA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6490-2022</t>
        </is>
      </c>
      <c r="B1074" s="1" t="n">
        <v>44601</v>
      </c>
      <c r="C1074" s="1" t="n">
        <v>46022</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6802-2021</t>
        </is>
      </c>
      <c r="B1075" s="1" t="n">
        <v>44236</v>
      </c>
      <c r="C1075" s="1" t="n">
        <v>46022</v>
      </c>
      <c r="D1075" t="inlineStr">
        <is>
          <t>JÄMTLANDS LÄN</t>
        </is>
      </c>
      <c r="E1075" t="inlineStr">
        <is>
          <t>RAGUNDA</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6477-2024</t>
        </is>
      </c>
      <c r="B1076" s="1" t="n">
        <v>45338.95405092592</v>
      </c>
      <c r="C1076" s="1" t="n">
        <v>46022</v>
      </c>
      <c r="D1076" t="inlineStr">
        <is>
          <t>JÄMTLANDS LÄN</t>
        </is>
      </c>
      <c r="E1076" t="inlineStr">
        <is>
          <t>RAGUNDA</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18193-2022</t>
        </is>
      </c>
      <c r="B1077" s="1" t="n">
        <v>44684.94032407407</v>
      </c>
      <c r="C1077" s="1" t="n">
        <v>46022</v>
      </c>
      <c r="D1077" t="inlineStr">
        <is>
          <t>JÄMTLANDS LÄN</t>
        </is>
      </c>
      <c r="E1077" t="inlineStr">
        <is>
          <t>RAGUNDA</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11551-2024</t>
        </is>
      </c>
      <c r="B1078" s="1" t="n">
        <v>45372.95762731481</v>
      </c>
      <c r="C1078" s="1" t="n">
        <v>46022</v>
      </c>
      <c r="D1078" t="inlineStr">
        <is>
          <t>JÄMTLANDS LÄN</t>
        </is>
      </c>
      <c r="E1078" t="inlineStr">
        <is>
          <t>RAGUNDA</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49647-2024</t>
        </is>
      </c>
      <c r="B1079" s="1" t="n">
        <v>45596.61533564814</v>
      </c>
      <c r="C1079" s="1" t="n">
        <v>46022</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53264-2024</t>
        </is>
      </c>
      <c r="B1080" s="1" t="n">
        <v>45614.34545138889</v>
      </c>
      <c r="C1080" s="1" t="n">
        <v>46022</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13389-2025</t>
        </is>
      </c>
      <c r="B1081" s="1" t="n">
        <v>45735.69842592593</v>
      </c>
      <c r="C1081" s="1" t="n">
        <v>46022</v>
      </c>
      <c r="D1081" t="inlineStr">
        <is>
          <t>JÄMTLANDS LÄN</t>
        </is>
      </c>
      <c r="E1081" t="inlineStr">
        <is>
          <t>RAGUNDA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45631-2024</t>
        </is>
      </c>
      <c r="B1082" s="1" t="n">
        <v>45579.47052083333</v>
      </c>
      <c r="C1082" s="1" t="n">
        <v>46022</v>
      </c>
      <c r="D1082" t="inlineStr">
        <is>
          <t>JÄMTLANDS LÄN</t>
        </is>
      </c>
      <c r="E1082" t="inlineStr">
        <is>
          <t>RAGUNDA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55701-2021</t>
        </is>
      </c>
      <c r="B1083" s="1" t="n">
        <v>44475</v>
      </c>
      <c r="C1083" s="1" t="n">
        <v>46022</v>
      </c>
      <c r="D1083" t="inlineStr">
        <is>
          <t>JÄMTLANDS LÄN</t>
        </is>
      </c>
      <c r="E1083" t="inlineStr">
        <is>
          <t>RAGUNDA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30484-2024</t>
        </is>
      </c>
      <c r="B1084" s="1" t="n">
        <v>45491</v>
      </c>
      <c r="C1084" s="1" t="n">
        <v>46022</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14513-2025</t>
        </is>
      </c>
      <c r="B1085" s="1" t="n">
        <v>45741.63675925926</v>
      </c>
      <c r="C1085" s="1" t="n">
        <v>46022</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55904-2022</t>
        </is>
      </c>
      <c r="B1086" s="1" t="n">
        <v>44888</v>
      </c>
      <c r="C1086" s="1" t="n">
        <v>46022</v>
      </c>
      <c r="D1086" t="inlineStr">
        <is>
          <t>JÄMTLANDS LÄN</t>
        </is>
      </c>
      <c r="E1086" t="inlineStr">
        <is>
          <t>RAGUNDA</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7281-2025</t>
        </is>
      </c>
      <c r="B1087" s="1" t="n">
        <v>45702.63572916666</v>
      </c>
      <c r="C1087" s="1" t="n">
        <v>46022</v>
      </c>
      <c r="D1087" t="inlineStr">
        <is>
          <t>JÄMTLANDS LÄN</t>
        </is>
      </c>
      <c r="E1087" t="inlineStr">
        <is>
          <t>RAGUNDA</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48192-2024</t>
        </is>
      </c>
      <c r="B1088" s="1" t="n">
        <v>45590</v>
      </c>
      <c r="C1088" s="1" t="n">
        <v>46022</v>
      </c>
      <c r="D1088" t="inlineStr">
        <is>
          <t>JÄMTLANDS LÄN</t>
        </is>
      </c>
      <c r="E1088" t="inlineStr">
        <is>
          <t>RAGUNDA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2599-2023</t>
        </is>
      </c>
      <c r="B1089" s="1" t="n">
        <v>44943.94802083333</v>
      </c>
      <c r="C1089" s="1" t="n">
        <v>46022</v>
      </c>
      <c r="D1089" t="inlineStr">
        <is>
          <t>JÄMTLANDS LÄN</t>
        </is>
      </c>
      <c r="E1089" t="inlineStr">
        <is>
          <t>RAGUNDA</t>
        </is>
      </c>
      <c r="F1089" t="inlineStr">
        <is>
          <t>SCA</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48249-2024</t>
        </is>
      </c>
      <c r="B1090" s="1" t="n">
        <v>45590.40675925926</v>
      </c>
      <c r="C1090" s="1" t="n">
        <v>46022</v>
      </c>
      <c r="D1090" t="inlineStr">
        <is>
          <t>JÄMTLANDS LÄN</t>
        </is>
      </c>
      <c r="E1090" t="inlineStr">
        <is>
          <t>RAGUNDA</t>
        </is>
      </c>
      <c r="F1090" t="inlineStr">
        <is>
          <t>SCA</t>
        </is>
      </c>
      <c r="G1090" t="n">
        <v>14.4</v>
      </c>
      <c r="H1090" t="n">
        <v>0</v>
      </c>
      <c r="I1090" t="n">
        <v>0</v>
      </c>
      <c r="J1090" t="n">
        <v>0</v>
      </c>
      <c r="K1090" t="n">
        <v>0</v>
      </c>
      <c r="L1090" t="n">
        <v>0</v>
      </c>
      <c r="M1090" t="n">
        <v>0</v>
      </c>
      <c r="N1090" t="n">
        <v>0</v>
      </c>
      <c r="O1090" t="n">
        <v>0</v>
      </c>
      <c r="P1090" t="n">
        <v>0</v>
      </c>
      <c r="Q1090" t="n">
        <v>0</v>
      </c>
      <c r="R1090" s="2" t="inlineStr"/>
    </row>
    <row r="1091" ht="15" customHeight="1">
      <c r="A1091" t="inlineStr">
        <is>
          <t>A 64265-2023</t>
        </is>
      </c>
      <c r="B1091" s="1" t="n">
        <v>45279.94572916667</v>
      </c>
      <c r="C1091" s="1" t="n">
        <v>46022</v>
      </c>
      <c r="D1091" t="inlineStr">
        <is>
          <t>JÄMTLANDS LÄN</t>
        </is>
      </c>
      <c r="E1091" t="inlineStr">
        <is>
          <t>RAGUNDA</t>
        </is>
      </c>
      <c r="F1091" t="inlineStr">
        <is>
          <t>SCA</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66706-2021</t>
        </is>
      </c>
      <c r="B1092" s="1" t="n">
        <v>44519.94440972222</v>
      </c>
      <c r="C1092" s="1" t="n">
        <v>46022</v>
      </c>
      <c r="D1092" t="inlineStr">
        <is>
          <t>JÄMTLANDS LÄN</t>
        </is>
      </c>
      <c r="E1092" t="inlineStr">
        <is>
          <t>RAGUNDA</t>
        </is>
      </c>
      <c r="F1092" t="inlineStr">
        <is>
          <t>SCA</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55222-2024</t>
        </is>
      </c>
      <c r="B1093" s="1" t="n">
        <v>45621.57395833333</v>
      </c>
      <c r="C1093" s="1" t="n">
        <v>46022</v>
      </c>
      <c r="D1093" t="inlineStr">
        <is>
          <t>JÄMTLANDS LÄN</t>
        </is>
      </c>
      <c r="E1093" t="inlineStr">
        <is>
          <t>RAGUNDA</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46211-2024</t>
        </is>
      </c>
      <c r="B1094" s="1" t="n">
        <v>45581.55260416667</v>
      </c>
      <c r="C1094" s="1" t="n">
        <v>46022</v>
      </c>
      <c r="D1094" t="inlineStr">
        <is>
          <t>JÄMTLANDS LÄN</t>
        </is>
      </c>
      <c r="E1094" t="inlineStr">
        <is>
          <t>RAGUNDA</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31435-2022</t>
        </is>
      </c>
      <c r="B1095" s="1" t="n">
        <v>44774</v>
      </c>
      <c r="C1095" s="1" t="n">
        <v>46022</v>
      </c>
      <c r="D1095" t="inlineStr">
        <is>
          <t>JÄMTLANDS LÄN</t>
        </is>
      </c>
      <c r="E1095" t="inlineStr">
        <is>
          <t>RAGUNDA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39608-2024</t>
        </is>
      </c>
      <c r="B1096" s="1" t="n">
        <v>45552.39113425926</v>
      </c>
      <c r="C1096" s="1" t="n">
        <v>46022</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39626-2024</t>
        </is>
      </c>
      <c r="B1097" s="1" t="n">
        <v>45552.44096064815</v>
      </c>
      <c r="C1097" s="1" t="n">
        <v>46022</v>
      </c>
      <c r="D1097" t="inlineStr">
        <is>
          <t>JÄMTLANDS LÄN</t>
        </is>
      </c>
      <c r="E1097" t="inlineStr">
        <is>
          <t>RAGUNDA</t>
        </is>
      </c>
      <c r="G1097" t="n">
        <v>23.5</v>
      </c>
      <c r="H1097" t="n">
        <v>0</v>
      </c>
      <c r="I1097" t="n">
        <v>0</v>
      </c>
      <c r="J1097" t="n">
        <v>0</v>
      </c>
      <c r="K1097" t="n">
        <v>0</v>
      </c>
      <c r="L1097" t="n">
        <v>0</v>
      </c>
      <c r="M1097" t="n">
        <v>0</v>
      </c>
      <c r="N1097" t="n">
        <v>0</v>
      </c>
      <c r="O1097" t="n">
        <v>0</v>
      </c>
      <c r="P1097" t="n">
        <v>0</v>
      </c>
      <c r="Q1097" t="n">
        <v>0</v>
      </c>
      <c r="R1097" s="2" t="inlineStr"/>
    </row>
    <row r="1098" ht="15" customHeight="1">
      <c r="A1098" t="inlineStr">
        <is>
          <t>A 56984-2022</t>
        </is>
      </c>
      <c r="B1098" s="1" t="n">
        <v>44894.79018518519</v>
      </c>
      <c r="C1098" s="1" t="n">
        <v>46022</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13264-2025</t>
        </is>
      </c>
      <c r="B1099" s="1" t="n">
        <v>45735</v>
      </c>
      <c r="C1099" s="1" t="n">
        <v>46022</v>
      </c>
      <c r="D1099" t="inlineStr">
        <is>
          <t>JÄMTLANDS LÄN</t>
        </is>
      </c>
      <c r="E1099" t="inlineStr">
        <is>
          <t>RAGUNDA</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5307-2025</t>
        </is>
      </c>
      <c r="B1100" s="1" t="n">
        <v>45692.48993055556</v>
      </c>
      <c r="C1100" s="1" t="n">
        <v>46022</v>
      </c>
      <c r="D1100" t="inlineStr">
        <is>
          <t>JÄMTLANDS LÄN</t>
        </is>
      </c>
      <c r="E1100" t="inlineStr">
        <is>
          <t>RAGUNDA</t>
        </is>
      </c>
      <c r="F1100" t="inlineStr">
        <is>
          <t>SCA</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38548-2024</t>
        </is>
      </c>
      <c r="B1101" s="1" t="n">
        <v>45546</v>
      </c>
      <c r="C1101" s="1" t="n">
        <v>46022</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2411-2023</t>
        </is>
      </c>
      <c r="B1102" s="1" t="n">
        <v>44942</v>
      </c>
      <c r="C1102" s="1" t="n">
        <v>46022</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13935-2024</t>
        </is>
      </c>
      <c r="B1103" s="1" t="n">
        <v>45391.95329861111</v>
      </c>
      <c r="C1103" s="1" t="n">
        <v>46022</v>
      </c>
      <c r="D1103" t="inlineStr">
        <is>
          <t>JÄMTLANDS LÄN</t>
        </is>
      </c>
      <c r="E1103" t="inlineStr">
        <is>
          <t>RAGUNDA</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5308-2025</t>
        </is>
      </c>
      <c r="B1104" s="1" t="n">
        <v>45692.49008101852</v>
      </c>
      <c r="C1104" s="1" t="n">
        <v>46022</v>
      </c>
      <c r="D1104" t="inlineStr">
        <is>
          <t>JÄMTLANDS LÄN</t>
        </is>
      </c>
      <c r="E1104" t="inlineStr">
        <is>
          <t>RAGUNDA</t>
        </is>
      </c>
      <c r="F1104" t="inlineStr">
        <is>
          <t>SCA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58194-2022</t>
        </is>
      </c>
      <c r="B1105" s="1" t="n">
        <v>44900</v>
      </c>
      <c r="C1105" s="1" t="n">
        <v>46022</v>
      </c>
      <c r="D1105" t="inlineStr">
        <is>
          <t>JÄMTLANDS LÄN</t>
        </is>
      </c>
      <c r="E1105" t="inlineStr">
        <is>
          <t>RAGUNDA</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24171-2021</t>
        </is>
      </c>
      <c r="B1106" s="1" t="n">
        <v>44336</v>
      </c>
      <c r="C1106" s="1" t="n">
        <v>46022</v>
      </c>
      <c r="D1106" t="inlineStr">
        <is>
          <t>JÄMTLANDS LÄN</t>
        </is>
      </c>
      <c r="E1106" t="inlineStr">
        <is>
          <t>RAGUNDA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58843-2024</t>
        </is>
      </c>
      <c r="B1107" s="1" t="n">
        <v>45636.38599537037</v>
      </c>
      <c r="C1107" s="1" t="n">
        <v>46022</v>
      </c>
      <c r="D1107" t="inlineStr">
        <is>
          <t>JÄMTLANDS LÄN</t>
        </is>
      </c>
      <c r="E1107" t="inlineStr">
        <is>
          <t>RAGUNDA</t>
        </is>
      </c>
      <c r="F1107" t="inlineStr">
        <is>
          <t>SCA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53287-2022</t>
        </is>
      </c>
      <c r="B1108" s="1" t="n">
        <v>44876</v>
      </c>
      <c r="C1108" s="1" t="n">
        <v>46022</v>
      </c>
      <c r="D1108" t="inlineStr">
        <is>
          <t>JÄMTLANDS LÄN</t>
        </is>
      </c>
      <c r="E1108" t="inlineStr">
        <is>
          <t>RAGUNDA</t>
        </is>
      </c>
      <c r="F1108" t="inlineStr">
        <is>
          <t>SCA</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16320-2025</t>
        </is>
      </c>
      <c r="B1109" s="1" t="n">
        <v>45751.34859953704</v>
      </c>
      <c r="C1109" s="1" t="n">
        <v>46022</v>
      </c>
      <c r="D1109" t="inlineStr">
        <is>
          <t>JÄMTLANDS LÄN</t>
        </is>
      </c>
      <c r="E1109" t="inlineStr">
        <is>
          <t>RAGUNDA</t>
        </is>
      </c>
      <c r="F1109" t="inlineStr">
        <is>
          <t>SCA</t>
        </is>
      </c>
      <c r="G1109" t="n">
        <v>16.2</v>
      </c>
      <c r="H1109" t="n">
        <v>0</v>
      </c>
      <c r="I1109" t="n">
        <v>0</v>
      </c>
      <c r="J1109" t="n">
        <v>0</v>
      </c>
      <c r="K1109" t="n">
        <v>0</v>
      </c>
      <c r="L1109" t="n">
        <v>0</v>
      </c>
      <c r="M1109" t="n">
        <v>0</v>
      </c>
      <c r="N1109" t="n">
        <v>0</v>
      </c>
      <c r="O1109" t="n">
        <v>0</v>
      </c>
      <c r="P1109" t="n">
        <v>0</v>
      </c>
      <c r="Q1109" t="n">
        <v>0</v>
      </c>
      <c r="R1109" s="2" t="inlineStr"/>
    </row>
    <row r="1110" ht="15" customHeight="1">
      <c r="A1110" t="inlineStr">
        <is>
          <t>A 16321-2025</t>
        </is>
      </c>
      <c r="B1110" s="1" t="n">
        <v>45751.34873842593</v>
      </c>
      <c r="C1110" s="1" t="n">
        <v>46022</v>
      </c>
      <c r="D1110" t="inlineStr">
        <is>
          <t>JÄMTLANDS LÄN</t>
        </is>
      </c>
      <c r="E1110" t="inlineStr">
        <is>
          <t>RAGUNDA</t>
        </is>
      </c>
      <c r="F1110" t="inlineStr">
        <is>
          <t>SCA</t>
        </is>
      </c>
      <c r="G1110" t="n">
        <v>63.3</v>
      </c>
      <c r="H1110" t="n">
        <v>0</v>
      </c>
      <c r="I1110" t="n">
        <v>0</v>
      </c>
      <c r="J1110" t="n">
        <v>0</v>
      </c>
      <c r="K1110" t="n">
        <v>0</v>
      </c>
      <c r="L1110" t="n">
        <v>0</v>
      </c>
      <c r="M1110" t="n">
        <v>0</v>
      </c>
      <c r="N1110" t="n">
        <v>0</v>
      </c>
      <c r="O1110" t="n">
        <v>0</v>
      </c>
      <c r="P1110" t="n">
        <v>0</v>
      </c>
      <c r="Q1110" t="n">
        <v>0</v>
      </c>
      <c r="R1110" s="2" t="inlineStr"/>
    </row>
    <row r="1111" ht="15" customHeight="1">
      <c r="A1111" t="inlineStr">
        <is>
          <t>A 14696-2022</t>
        </is>
      </c>
      <c r="B1111" s="1" t="n">
        <v>44655</v>
      </c>
      <c r="C1111" s="1" t="n">
        <v>46022</v>
      </c>
      <c r="D1111" t="inlineStr">
        <is>
          <t>JÄMTLANDS LÄN</t>
        </is>
      </c>
      <c r="E1111" t="inlineStr">
        <is>
          <t>RAGUNDA</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55514-2024</t>
        </is>
      </c>
      <c r="B1112" s="1" t="n">
        <v>45622.46910879629</v>
      </c>
      <c r="C1112" s="1" t="n">
        <v>46022</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18375-2022</t>
        </is>
      </c>
      <c r="B1113" s="1" t="n">
        <v>44685</v>
      </c>
      <c r="C1113" s="1" t="n">
        <v>46022</v>
      </c>
      <c r="D1113" t="inlineStr">
        <is>
          <t>JÄMTLANDS LÄN</t>
        </is>
      </c>
      <c r="E1113" t="inlineStr">
        <is>
          <t>RAGUNDA</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17248-2023</t>
        </is>
      </c>
      <c r="B1114" s="1" t="n">
        <v>45033</v>
      </c>
      <c r="C1114" s="1" t="n">
        <v>46022</v>
      </c>
      <c r="D1114" t="inlineStr">
        <is>
          <t>JÄMTLANDS LÄN</t>
        </is>
      </c>
      <c r="E1114" t="inlineStr">
        <is>
          <t>RAGUNDA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62011-2022</t>
        </is>
      </c>
      <c r="B1115" s="1" t="n">
        <v>44914</v>
      </c>
      <c r="C1115" s="1" t="n">
        <v>46022</v>
      </c>
      <c r="D1115" t="inlineStr">
        <is>
          <t>JÄMTLANDS LÄN</t>
        </is>
      </c>
      <c r="E1115" t="inlineStr">
        <is>
          <t>RAGUNDA</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11557-2023</t>
        </is>
      </c>
      <c r="B1116" s="1" t="n">
        <v>44993.94950231481</v>
      </c>
      <c r="C1116" s="1" t="n">
        <v>46022</v>
      </c>
      <c r="D1116" t="inlineStr">
        <is>
          <t>JÄMTLANDS LÄN</t>
        </is>
      </c>
      <c r="E1116" t="inlineStr">
        <is>
          <t>RAGUNDA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11562-2023</t>
        </is>
      </c>
      <c r="B1117" s="1" t="n">
        <v>44993</v>
      </c>
      <c r="C1117" s="1" t="n">
        <v>46022</v>
      </c>
      <c r="D1117" t="inlineStr">
        <is>
          <t>JÄMTLANDS LÄN</t>
        </is>
      </c>
      <c r="E1117" t="inlineStr">
        <is>
          <t>RAGUNDA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22131-2021</t>
        </is>
      </c>
      <c r="B1118" s="1" t="n">
        <v>44323</v>
      </c>
      <c r="C1118" s="1" t="n">
        <v>46022</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5971-2025</t>
        </is>
      </c>
      <c r="B1119" s="1" t="n">
        <v>45695.51070601852</v>
      </c>
      <c r="C1119" s="1" t="n">
        <v>46022</v>
      </c>
      <c r="D1119" t="inlineStr">
        <is>
          <t>JÄMTLANDS LÄN</t>
        </is>
      </c>
      <c r="E1119" t="inlineStr">
        <is>
          <t>RAGUNDA</t>
        </is>
      </c>
      <c r="F1119" t="inlineStr">
        <is>
          <t>SCA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30563-2023</t>
        </is>
      </c>
      <c r="B1120" s="1" t="n">
        <v>45111.92793981481</v>
      </c>
      <c r="C1120" s="1" t="n">
        <v>46022</v>
      </c>
      <c r="D1120" t="inlineStr">
        <is>
          <t>JÄMTLANDS LÄN</t>
        </is>
      </c>
      <c r="E1120" t="inlineStr">
        <is>
          <t>RAGUNDA</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36212-2023</t>
        </is>
      </c>
      <c r="B1121" s="1" t="n">
        <v>45149.95241898148</v>
      </c>
      <c r="C1121" s="1" t="n">
        <v>46022</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12768-2022</t>
        </is>
      </c>
      <c r="B1122" s="1" t="n">
        <v>44641</v>
      </c>
      <c r="C1122" s="1" t="n">
        <v>46022</v>
      </c>
      <c r="D1122" t="inlineStr">
        <is>
          <t>JÄMTLANDS LÄN</t>
        </is>
      </c>
      <c r="E1122" t="inlineStr">
        <is>
          <t>RAGUNDA</t>
        </is>
      </c>
      <c r="F1122" t="inlineStr">
        <is>
          <t>SCA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12773-2022</t>
        </is>
      </c>
      <c r="B1123" s="1" t="n">
        <v>44641</v>
      </c>
      <c r="C1123" s="1" t="n">
        <v>46022</v>
      </c>
      <c r="D1123" t="inlineStr">
        <is>
          <t>JÄMTLANDS LÄN</t>
        </is>
      </c>
      <c r="E1123" t="inlineStr">
        <is>
          <t>RAGUNDA</t>
        </is>
      </c>
      <c r="F1123" t="inlineStr">
        <is>
          <t>SCA</t>
        </is>
      </c>
      <c r="G1123" t="n">
        <v>14.7</v>
      </c>
      <c r="H1123" t="n">
        <v>0</v>
      </c>
      <c r="I1123" t="n">
        <v>0</v>
      </c>
      <c r="J1123" t="n">
        <v>0</v>
      </c>
      <c r="K1123" t="n">
        <v>0</v>
      </c>
      <c r="L1123" t="n">
        <v>0</v>
      </c>
      <c r="M1123" t="n">
        <v>0</v>
      </c>
      <c r="N1123" t="n">
        <v>0</v>
      </c>
      <c r="O1123" t="n">
        <v>0</v>
      </c>
      <c r="P1123" t="n">
        <v>0</v>
      </c>
      <c r="Q1123" t="n">
        <v>0</v>
      </c>
      <c r="R1123" s="2" t="inlineStr"/>
    </row>
    <row r="1124" ht="15" customHeight="1">
      <c r="A1124" t="inlineStr">
        <is>
          <t>A 5067-2024</t>
        </is>
      </c>
      <c r="B1124" s="1" t="n">
        <v>45329.95806712963</v>
      </c>
      <c r="C1124" s="1" t="n">
        <v>46022</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14905-2022</t>
        </is>
      </c>
      <c r="B1125" s="1" t="n">
        <v>44656.94708333333</v>
      </c>
      <c r="C1125" s="1" t="n">
        <v>46022</v>
      </c>
      <c r="D1125" t="inlineStr">
        <is>
          <t>JÄMTLANDS LÄN</t>
        </is>
      </c>
      <c r="E1125" t="inlineStr">
        <is>
          <t>RAGUNDA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29766-2023</t>
        </is>
      </c>
      <c r="B1126" s="1" t="n">
        <v>45098</v>
      </c>
      <c r="C1126" s="1" t="n">
        <v>46022</v>
      </c>
      <c r="D1126" t="inlineStr">
        <is>
          <t>JÄMTLANDS LÄN</t>
        </is>
      </c>
      <c r="E1126" t="inlineStr">
        <is>
          <t>RAGUNDA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61107-2024</t>
        </is>
      </c>
      <c r="B1127" s="1" t="n">
        <v>45645.55665509259</v>
      </c>
      <c r="C1127" s="1" t="n">
        <v>46022</v>
      </c>
      <c r="D1127" t="inlineStr">
        <is>
          <t>JÄMTLANDS LÄN</t>
        </is>
      </c>
      <c r="E1127" t="inlineStr">
        <is>
          <t>RAGUNDA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23287-2024</t>
        </is>
      </c>
      <c r="B1128" s="1" t="n">
        <v>45453.42041666667</v>
      </c>
      <c r="C1128" s="1" t="n">
        <v>46022</v>
      </c>
      <c r="D1128" t="inlineStr">
        <is>
          <t>JÄMTLANDS LÄN</t>
        </is>
      </c>
      <c r="E1128" t="inlineStr">
        <is>
          <t>RAGUNDA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36922-2022</t>
        </is>
      </c>
      <c r="B1129" s="1" t="n">
        <v>44805.94592592592</v>
      </c>
      <c r="C1129" s="1" t="n">
        <v>46022</v>
      </c>
      <c r="D1129" t="inlineStr">
        <is>
          <t>JÄMTLANDS LÄN</t>
        </is>
      </c>
      <c r="E1129" t="inlineStr">
        <is>
          <t>RAGUNDA</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26347-2023</t>
        </is>
      </c>
      <c r="B1130" s="1" t="n">
        <v>45091</v>
      </c>
      <c r="C1130" s="1" t="n">
        <v>46022</v>
      </c>
      <c r="D1130" t="inlineStr">
        <is>
          <t>JÄMTLANDS LÄN</t>
        </is>
      </c>
      <c r="E1130" t="inlineStr">
        <is>
          <t>RAGUNDA</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34483-2023</t>
        </is>
      </c>
      <c r="B1131" s="1" t="n">
        <v>45139.94681712963</v>
      </c>
      <c r="C1131" s="1" t="n">
        <v>46022</v>
      </c>
      <c r="D1131" t="inlineStr">
        <is>
          <t>JÄMTLANDS LÄN</t>
        </is>
      </c>
      <c r="E1131" t="inlineStr">
        <is>
          <t>RAGUNDA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22948-2024</t>
        </is>
      </c>
      <c r="B1132" s="1" t="n">
        <v>45448.94600694445</v>
      </c>
      <c r="C1132" s="1" t="n">
        <v>46022</v>
      </c>
      <c r="D1132" t="inlineStr">
        <is>
          <t>JÄMTLANDS LÄN</t>
        </is>
      </c>
      <c r="E1132" t="inlineStr">
        <is>
          <t>RAGUNDA</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23304-2023</t>
        </is>
      </c>
      <c r="B1133" s="1" t="n">
        <v>45075.945</v>
      </c>
      <c r="C1133" s="1" t="n">
        <v>46022</v>
      </c>
      <c r="D1133" t="inlineStr">
        <is>
          <t>JÄMTLANDS LÄN</t>
        </is>
      </c>
      <c r="E1133" t="inlineStr">
        <is>
          <t>RAGUNDA</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36226-2023</t>
        </is>
      </c>
      <c r="B1134" s="1" t="n">
        <v>45149.95372685185</v>
      </c>
      <c r="C1134" s="1" t="n">
        <v>46022</v>
      </c>
      <c r="D1134" t="inlineStr">
        <is>
          <t>JÄMTLANDS LÄN</t>
        </is>
      </c>
      <c r="E1134" t="inlineStr">
        <is>
          <t>RAGUNDA</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18615-2024</t>
        </is>
      </c>
      <c r="B1135" s="1" t="n">
        <v>45425.96275462963</v>
      </c>
      <c r="C1135" s="1" t="n">
        <v>46022</v>
      </c>
      <c r="D1135" t="inlineStr">
        <is>
          <t>JÄMTLANDS LÄN</t>
        </is>
      </c>
      <c r="E1135" t="inlineStr">
        <is>
          <t>RAGUNDA</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40269-2022</t>
        </is>
      </c>
      <c r="B1136" s="1" t="n">
        <v>44820</v>
      </c>
      <c r="C1136" s="1" t="n">
        <v>46022</v>
      </c>
      <c r="D1136" t="inlineStr">
        <is>
          <t>JÄMTLANDS LÄN</t>
        </is>
      </c>
      <c r="E1136" t="inlineStr">
        <is>
          <t>RAGUNDA</t>
        </is>
      </c>
      <c r="F1136" t="inlineStr">
        <is>
          <t>SCA</t>
        </is>
      </c>
      <c r="G1136" t="n">
        <v>77.8</v>
      </c>
      <c r="H1136" t="n">
        <v>0</v>
      </c>
      <c r="I1136" t="n">
        <v>0</v>
      </c>
      <c r="J1136" t="n">
        <v>0</v>
      </c>
      <c r="K1136" t="n">
        <v>0</v>
      </c>
      <c r="L1136" t="n">
        <v>0</v>
      </c>
      <c r="M1136" t="n">
        <v>0</v>
      </c>
      <c r="N1136" t="n">
        <v>0</v>
      </c>
      <c r="O1136" t="n">
        <v>0</v>
      </c>
      <c r="P1136" t="n">
        <v>0</v>
      </c>
      <c r="Q1136" t="n">
        <v>0</v>
      </c>
      <c r="R1136" s="2" t="inlineStr"/>
    </row>
    <row r="1137" ht="15" customHeight="1">
      <c r="A1137" t="inlineStr">
        <is>
          <t>A 37242-2024</t>
        </is>
      </c>
      <c r="B1137" s="1" t="n">
        <v>45540.34428240741</v>
      </c>
      <c r="C1137" s="1" t="n">
        <v>46022</v>
      </c>
      <c r="D1137" t="inlineStr">
        <is>
          <t>JÄMTLANDS LÄN</t>
        </is>
      </c>
      <c r="E1137" t="inlineStr">
        <is>
          <t>RAGUNDA</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45438-2022</t>
        </is>
      </c>
      <c r="B1138" s="1" t="n">
        <v>44844.95368055555</v>
      </c>
      <c r="C1138" s="1" t="n">
        <v>46022</v>
      </c>
      <c r="D1138" t="inlineStr">
        <is>
          <t>JÄMTLANDS LÄN</t>
        </is>
      </c>
      <c r="E1138" t="inlineStr">
        <is>
          <t>RAGUNDA</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56191-2022</t>
        </is>
      </c>
      <c r="B1139" s="1" t="n">
        <v>44889.95015046297</v>
      </c>
      <c r="C1139" s="1" t="n">
        <v>46022</v>
      </c>
      <c r="D1139" t="inlineStr">
        <is>
          <t>JÄMTLANDS LÄN</t>
        </is>
      </c>
      <c r="E1139" t="inlineStr">
        <is>
          <t>RAGUNDA</t>
        </is>
      </c>
      <c r="F1139" t="inlineStr">
        <is>
          <t>Sveaskog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30823-2023</t>
        </is>
      </c>
      <c r="B1140" s="1" t="n">
        <v>45112</v>
      </c>
      <c r="C1140" s="1" t="n">
        <v>46022</v>
      </c>
      <c r="D1140" t="inlineStr">
        <is>
          <t>JÄMTLANDS LÄN</t>
        </is>
      </c>
      <c r="E1140" t="inlineStr">
        <is>
          <t>RAGUNDA</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43339-2024</t>
        </is>
      </c>
      <c r="B1141" s="1" t="n">
        <v>45568.51075231482</v>
      </c>
      <c r="C1141" s="1" t="n">
        <v>46022</v>
      </c>
      <c r="D1141" t="inlineStr">
        <is>
          <t>JÄMTLANDS LÄN</t>
        </is>
      </c>
      <c r="E1141" t="inlineStr">
        <is>
          <t>RAGUNDA</t>
        </is>
      </c>
      <c r="F1141" t="inlineStr">
        <is>
          <t>SCA</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43102-2023</t>
        </is>
      </c>
      <c r="B1142" s="1" t="n">
        <v>45182</v>
      </c>
      <c r="C1142" s="1" t="n">
        <v>46022</v>
      </c>
      <c r="D1142" t="inlineStr">
        <is>
          <t>JÄMTLANDS LÄN</t>
        </is>
      </c>
      <c r="E1142" t="inlineStr">
        <is>
          <t>RAGUNDA</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9823-2025</t>
        </is>
      </c>
      <c r="B1143" s="1" t="n">
        <v>45716</v>
      </c>
      <c r="C1143" s="1" t="n">
        <v>46022</v>
      </c>
      <c r="D1143" t="inlineStr">
        <is>
          <t>JÄMTLANDS LÄN</t>
        </is>
      </c>
      <c r="E1143" t="inlineStr">
        <is>
          <t>RAGUNDA</t>
        </is>
      </c>
      <c r="F1143" t="inlineStr">
        <is>
          <t>SCA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13917-2023</t>
        </is>
      </c>
      <c r="B1144" s="1" t="n">
        <v>45007</v>
      </c>
      <c r="C1144" s="1" t="n">
        <v>46022</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53019-2023</t>
        </is>
      </c>
      <c r="B1145" s="1" t="n">
        <v>45222</v>
      </c>
      <c r="C1145" s="1" t="n">
        <v>46022</v>
      </c>
      <c r="D1145" t="inlineStr">
        <is>
          <t>JÄMTLANDS LÄN</t>
        </is>
      </c>
      <c r="E1145" t="inlineStr">
        <is>
          <t>RAGUNDA</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14212-2023</t>
        </is>
      </c>
      <c r="B1146" s="1" t="n">
        <v>45009</v>
      </c>
      <c r="C1146" s="1" t="n">
        <v>46022</v>
      </c>
      <c r="D1146" t="inlineStr">
        <is>
          <t>JÄMTLANDS LÄN</t>
        </is>
      </c>
      <c r="E1146" t="inlineStr">
        <is>
          <t>RAGUNDA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59996-2023</t>
        </is>
      </c>
      <c r="B1147" s="1" t="n">
        <v>45257.92826388889</v>
      </c>
      <c r="C1147" s="1" t="n">
        <v>46022</v>
      </c>
      <c r="D1147" t="inlineStr">
        <is>
          <t>JÄMTLANDS LÄN</t>
        </is>
      </c>
      <c r="E1147" t="inlineStr">
        <is>
          <t>RAGUNDA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44980-2023</t>
        </is>
      </c>
      <c r="B1148" s="1" t="n">
        <v>45190</v>
      </c>
      <c r="C1148" s="1" t="n">
        <v>46022</v>
      </c>
      <c r="D1148" t="inlineStr">
        <is>
          <t>JÄMTLANDS LÄN</t>
        </is>
      </c>
      <c r="E1148" t="inlineStr">
        <is>
          <t>RAGUNDA</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14076-2023</t>
        </is>
      </c>
      <c r="B1149" s="1" t="n">
        <v>45009.0897337963</v>
      </c>
      <c r="C1149" s="1" t="n">
        <v>46022</v>
      </c>
      <c r="D1149" t="inlineStr">
        <is>
          <t>JÄMTLANDS LÄN</t>
        </is>
      </c>
      <c r="E1149" t="inlineStr">
        <is>
          <t>RAGUNDA</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12805-2025</t>
        </is>
      </c>
      <c r="B1150" s="1" t="n">
        <v>45733.61497685185</v>
      </c>
      <c r="C1150" s="1" t="n">
        <v>46022</v>
      </c>
      <c r="D1150" t="inlineStr">
        <is>
          <t>JÄMTLANDS LÄN</t>
        </is>
      </c>
      <c r="E1150" t="inlineStr">
        <is>
          <t>RAGUNDA</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12808-2025</t>
        </is>
      </c>
      <c r="B1151" s="1" t="n">
        <v>45733.61554398148</v>
      </c>
      <c r="C1151" s="1" t="n">
        <v>46022</v>
      </c>
      <c r="D1151" t="inlineStr">
        <is>
          <t>JÄMTLANDS LÄN</t>
        </is>
      </c>
      <c r="E1151" t="inlineStr">
        <is>
          <t>RAGUNDA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4615-2023</t>
        </is>
      </c>
      <c r="B1152" s="1" t="n">
        <v>44956.93924768519</v>
      </c>
      <c r="C1152" s="1" t="n">
        <v>46022</v>
      </c>
      <c r="D1152" t="inlineStr">
        <is>
          <t>JÄMTLANDS LÄN</t>
        </is>
      </c>
      <c r="E1152" t="inlineStr">
        <is>
          <t>RAGUNDA</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5938-2025</t>
        </is>
      </c>
      <c r="B1153" s="1" t="n">
        <v>45695.45868055556</v>
      </c>
      <c r="C1153" s="1" t="n">
        <v>46022</v>
      </c>
      <c r="D1153" t="inlineStr">
        <is>
          <t>JÄMTLANDS LÄN</t>
        </is>
      </c>
      <c r="E1153" t="inlineStr">
        <is>
          <t>RAGUNDA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4125-2024</t>
        </is>
      </c>
      <c r="B1154" s="1" t="n">
        <v>45323</v>
      </c>
      <c r="C1154" s="1" t="n">
        <v>46022</v>
      </c>
      <c r="D1154" t="inlineStr">
        <is>
          <t>JÄMTLANDS LÄN</t>
        </is>
      </c>
      <c r="E1154" t="inlineStr">
        <is>
          <t>RAGUNDA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53549-2024</t>
        </is>
      </c>
      <c r="B1155" s="1" t="n">
        <v>45614.63869212963</v>
      </c>
      <c r="C1155" s="1" t="n">
        <v>46022</v>
      </c>
      <c r="D1155" t="inlineStr">
        <is>
          <t>JÄMTLANDS LÄN</t>
        </is>
      </c>
      <c r="E1155" t="inlineStr">
        <is>
          <t>RAGUNDA</t>
        </is>
      </c>
      <c r="F1155" t="inlineStr">
        <is>
          <t>Kyrkan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7284-2025</t>
        </is>
      </c>
      <c r="B1156" s="1" t="n">
        <v>45702.63604166666</v>
      </c>
      <c r="C1156" s="1" t="n">
        <v>46022</v>
      </c>
      <c r="D1156" t="inlineStr">
        <is>
          <t>JÄMTLANDS LÄN</t>
        </is>
      </c>
      <c r="E1156" t="inlineStr">
        <is>
          <t>RAGUNDA</t>
        </is>
      </c>
      <c r="F1156" t="inlineStr">
        <is>
          <t>SCA</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31506-2024</t>
        </is>
      </c>
      <c r="B1157" s="1" t="n">
        <v>45505</v>
      </c>
      <c r="C1157" s="1" t="n">
        <v>46022</v>
      </c>
      <c r="D1157" t="inlineStr">
        <is>
          <t>JÄMTLANDS LÄN</t>
        </is>
      </c>
      <c r="E1157" t="inlineStr">
        <is>
          <t>RAGUNDA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19382-2025</t>
        </is>
      </c>
      <c r="B1158" s="1" t="n">
        <v>45769.65659722222</v>
      </c>
      <c r="C1158" s="1" t="n">
        <v>46022</v>
      </c>
      <c r="D1158" t="inlineStr">
        <is>
          <t>JÄMTLANDS LÄN</t>
        </is>
      </c>
      <c r="E1158" t="inlineStr">
        <is>
          <t>RAGUNDA</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37479-2023</t>
        </is>
      </c>
      <c r="B1159" s="1" t="n">
        <v>45156</v>
      </c>
      <c r="C1159" s="1" t="n">
        <v>46022</v>
      </c>
      <c r="D1159" t="inlineStr">
        <is>
          <t>JÄMTLANDS LÄN</t>
        </is>
      </c>
      <c r="E1159" t="inlineStr">
        <is>
          <t>RAGUNDA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5958-2021</t>
        </is>
      </c>
      <c r="B1160" s="1" t="n">
        <v>44231</v>
      </c>
      <c r="C1160" s="1" t="n">
        <v>46022</v>
      </c>
      <c r="D1160" t="inlineStr">
        <is>
          <t>JÄMTLANDS LÄN</t>
        </is>
      </c>
      <c r="E1160" t="inlineStr">
        <is>
          <t>RAGUNDA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4866-2025</t>
        </is>
      </c>
      <c r="B1161" s="1" t="n">
        <v>45688.67542824074</v>
      </c>
      <c r="C1161" s="1" t="n">
        <v>46022</v>
      </c>
      <c r="D1161" t="inlineStr">
        <is>
          <t>JÄMTLANDS LÄN</t>
        </is>
      </c>
      <c r="E1161" t="inlineStr">
        <is>
          <t>RAGUNDA</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11780-2024</t>
        </is>
      </c>
      <c r="B1162" s="1" t="n">
        <v>45374</v>
      </c>
      <c r="C1162" s="1" t="n">
        <v>46022</v>
      </c>
      <c r="D1162" t="inlineStr">
        <is>
          <t>JÄMTLANDS LÄN</t>
        </is>
      </c>
      <c r="E1162" t="inlineStr">
        <is>
          <t>RAGUNDA</t>
        </is>
      </c>
      <c r="G1162" t="n">
        <v>14.6</v>
      </c>
      <c r="H1162" t="n">
        <v>0</v>
      </c>
      <c r="I1162" t="n">
        <v>0</v>
      </c>
      <c r="J1162" t="n">
        <v>0</v>
      </c>
      <c r="K1162" t="n">
        <v>0</v>
      </c>
      <c r="L1162" t="n">
        <v>0</v>
      </c>
      <c r="M1162" t="n">
        <v>0</v>
      </c>
      <c r="N1162" t="n">
        <v>0</v>
      </c>
      <c r="O1162" t="n">
        <v>0</v>
      </c>
      <c r="P1162" t="n">
        <v>0</v>
      </c>
      <c r="Q1162" t="n">
        <v>0</v>
      </c>
      <c r="R1162" s="2" t="inlineStr"/>
    </row>
    <row r="1163" ht="15" customHeight="1">
      <c r="A1163" t="inlineStr">
        <is>
          <t>A 11288-2022</t>
        </is>
      </c>
      <c r="B1163" s="1" t="n">
        <v>44629</v>
      </c>
      <c r="C1163" s="1" t="n">
        <v>46022</v>
      </c>
      <c r="D1163" t="inlineStr">
        <is>
          <t>JÄMTLANDS LÄN</t>
        </is>
      </c>
      <c r="E1163" t="inlineStr">
        <is>
          <t>RAGUNDA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18984-2023</t>
        </is>
      </c>
      <c r="B1164" s="1" t="n">
        <v>45044</v>
      </c>
      <c r="C1164" s="1" t="n">
        <v>46022</v>
      </c>
      <c r="D1164" t="inlineStr">
        <is>
          <t>JÄMTLANDS LÄN</t>
        </is>
      </c>
      <c r="E1164" t="inlineStr">
        <is>
          <t>RAGUNDA</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66011-2021</t>
        </is>
      </c>
      <c r="B1165" s="1" t="n">
        <v>44517.58137731482</v>
      </c>
      <c r="C1165" s="1" t="n">
        <v>46022</v>
      </c>
      <c r="D1165" t="inlineStr">
        <is>
          <t>JÄMTLANDS LÄN</t>
        </is>
      </c>
      <c r="E1165" t="inlineStr">
        <is>
          <t>RAGUNDA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42509-2023</t>
        </is>
      </c>
      <c r="B1166" s="1" t="n">
        <v>45180</v>
      </c>
      <c r="C1166" s="1" t="n">
        <v>46022</v>
      </c>
      <c r="D1166" t="inlineStr">
        <is>
          <t>JÄMTLANDS LÄN</t>
        </is>
      </c>
      <c r="E1166" t="inlineStr">
        <is>
          <t>RAGUNDA</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46022</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42510-2023</t>
        </is>
      </c>
      <c r="B1168" s="1" t="n">
        <v>45180.95927083334</v>
      </c>
      <c r="C1168" s="1" t="n">
        <v>46022</v>
      </c>
      <c r="D1168" t="inlineStr">
        <is>
          <t>JÄMTLANDS LÄN</t>
        </is>
      </c>
      <c r="E1168" t="inlineStr">
        <is>
          <t>RAGUNDA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53860-2023</t>
        </is>
      </c>
      <c r="B1169" s="1" t="n">
        <v>45224</v>
      </c>
      <c r="C1169" s="1" t="n">
        <v>46022</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12039-2023</t>
        </is>
      </c>
      <c r="B1170" s="1" t="n">
        <v>44995.98341435185</v>
      </c>
      <c r="C1170" s="1" t="n">
        <v>46022</v>
      </c>
      <c r="D1170" t="inlineStr">
        <is>
          <t>JÄMTLANDS LÄN</t>
        </is>
      </c>
      <c r="E1170" t="inlineStr">
        <is>
          <t>RAGUNDA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26991-2023</t>
        </is>
      </c>
      <c r="B1171" s="1" t="n">
        <v>45093.92207175926</v>
      </c>
      <c r="C1171" s="1" t="n">
        <v>46022</v>
      </c>
      <c r="D1171" t="inlineStr">
        <is>
          <t>JÄMTLANDS LÄN</t>
        </is>
      </c>
      <c r="E1171" t="inlineStr">
        <is>
          <t>RAGUNDA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13302-2022</t>
        </is>
      </c>
      <c r="B1172" s="1" t="n">
        <v>44644</v>
      </c>
      <c r="C1172" s="1" t="n">
        <v>46022</v>
      </c>
      <c r="D1172" t="inlineStr">
        <is>
          <t>JÄMTLANDS LÄN</t>
        </is>
      </c>
      <c r="E1172" t="inlineStr">
        <is>
          <t>RAGUNDA</t>
        </is>
      </c>
      <c r="F1172" t="inlineStr">
        <is>
          <t>SCA</t>
        </is>
      </c>
      <c r="G1172" t="n">
        <v>35.6</v>
      </c>
      <c r="H1172" t="n">
        <v>0</v>
      </c>
      <c r="I1172" t="n">
        <v>0</v>
      </c>
      <c r="J1172" t="n">
        <v>0</v>
      </c>
      <c r="K1172" t="n">
        <v>0</v>
      </c>
      <c r="L1172" t="n">
        <v>0</v>
      </c>
      <c r="M1172" t="n">
        <v>0</v>
      </c>
      <c r="N1172" t="n">
        <v>0</v>
      </c>
      <c r="O1172" t="n">
        <v>0</v>
      </c>
      <c r="P1172" t="n">
        <v>0</v>
      </c>
      <c r="Q1172" t="n">
        <v>0</v>
      </c>
      <c r="R1172" s="2" t="inlineStr"/>
    </row>
    <row r="1173" ht="15" customHeight="1">
      <c r="A1173" t="inlineStr">
        <is>
          <t>A 26651-2024</t>
        </is>
      </c>
      <c r="B1173" s="1" t="n">
        <v>45469.94876157407</v>
      </c>
      <c r="C1173" s="1" t="n">
        <v>46022</v>
      </c>
      <c r="D1173" t="inlineStr">
        <is>
          <t>JÄMTLANDS LÄN</t>
        </is>
      </c>
      <c r="E1173" t="inlineStr">
        <is>
          <t>RAGUNDA</t>
        </is>
      </c>
      <c r="F1173" t="inlineStr">
        <is>
          <t>SCA</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40919-2024</t>
        </is>
      </c>
      <c r="B1174" s="1" t="n">
        <v>45558.63575231482</v>
      </c>
      <c r="C1174" s="1" t="n">
        <v>46022</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3186-2025</t>
        </is>
      </c>
      <c r="B1175" s="1" t="n">
        <v>45679.40362268518</v>
      </c>
      <c r="C1175" s="1" t="n">
        <v>46022</v>
      </c>
      <c r="D1175" t="inlineStr">
        <is>
          <t>JÄMTLANDS LÄN</t>
        </is>
      </c>
      <c r="E1175" t="inlineStr">
        <is>
          <t>RAGUNDA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465-2023</t>
        </is>
      </c>
      <c r="B1176" s="1" t="n">
        <v>44929</v>
      </c>
      <c r="C1176" s="1" t="n">
        <v>46022</v>
      </c>
      <c r="D1176" t="inlineStr">
        <is>
          <t>JÄMTLANDS LÄN</t>
        </is>
      </c>
      <c r="E1176" t="inlineStr">
        <is>
          <t>RAGUNDA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26455-2023</t>
        </is>
      </c>
      <c r="B1177" s="1" t="n">
        <v>45092</v>
      </c>
      <c r="C1177" s="1" t="n">
        <v>46022</v>
      </c>
      <c r="D1177" t="inlineStr">
        <is>
          <t>JÄMTLANDS LÄN</t>
        </is>
      </c>
      <c r="E1177" t="inlineStr">
        <is>
          <t>RAGUNDA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10639-2024</t>
        </is>
      </c>
      <c r="B1178" s="1" t="n">
        <v>45367.67256944445</v>
      </c>
      <c r="C1178" s="1" t="n">
        <v>46022</v>
      </c>
      <c r="D1178" t="inlineStr">
        <is>
          <t>JÄMTLANDS LÄN</t>
        </is>
      </c>
      <c r="E1178" t="inlineStr">
        <is>
          <t>RAGUNDA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2751-2024</t>
        </is>
      </c>
      <c r="B1179" s="1" t="n">
        <v>45314</v>
      </c>
      <c r="C1179" s="1" t="n">
        <v>46022</v>
      </c>
      <c r="D1179" t="inlineStr">
        <is>
          <t>JÄMTLANDS LÄN</t>
        </is>
      </c>
      <c r="E1179" t="inlineStr">
        <is>
          <t>RAGUNDA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36317-2024</t>
        </is>
      </c>
      <c r="B1180" s="1" t="n">
        <v>45534.63537037037</v>
      </c>
      <c r="C1180" s="1" t="n">
        <v>46022</v>
      </c>
      <c r="D1180" t="inlineStr">
        <is>
          <t>JÄMTLANDS LÄN</t>
        </is>
      </c>
      <c r="E1180" t="inlineStr">
        <is>
          <t>RAGUNDA</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18614-2024</t>
        </is>
      </c>
      <c r="B1181" s="1" t="n">
        <v>45425.96263888889</v>
      </c>
      <c r="C1181" s="1" t="n">
        <v>46022</v>
      </c>
      <c r="D1181" t="inlineStr">
        <is>
          <t>JÄMTLANDS LÄN</t>
        </is>
      </c>
      <c r="E1181" t="inlineStr">
        <is>
          <t>RAGUNDA</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8787-2022</t>
        </is>
      </c>
      <c r="B1182" s="1" t="n">
        <v>44614</v>
      </c>
      <c r="C1182" s="1" t="n">
        <v>46022</v>
      </c>
      <c r="D1182" t="inlineStr">
        <is>
          <t>JÄMTLANDS LÄN</t>
        </is>
      </c>
      <c r="E1182" t="inlineStr">
        <is>
          <t>RAGUNDA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5967-2021</t>
        </is>
      </c>
      <c r="B1183" s="1" t="n">
        <v>44231</v>
      </c>
      <c r="C1183" s="1" t="n">
        <v>46022</v>
      </c>
      <c r="D1183" t="inlineStr">
        <is>
          <t>JÄMTLANDS LÄN</t>
        </is>
      </c>
      <c r="E1183" t="inlineStr">
        <is>
          <t>RAGUNDA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50431-2024</t>
        </is>
      </c>
      <c r="B1184" s="1" t="n">
        <v>45601.40686342592</v>
      </c>
      <c r="C1184" s="1" t="n">
        <v>46022</v>
      </c>
      <c r="D1184" t="inlineStr">
        <is>
          <t>JÄMTLANDS LÄN</t>
        </is>
      </c>
      <c r="E1184" t="inlineStr">
        <is>
          <t>RAGUNDA</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60936-2024</t>
        </is>
      </c>
      <c r="B1185" s="1" t="n">
        <v>45645.36743055555</v>
      </c>
      <c r="C1185" s="1" t="n">
        <v>46022</v>
      </c>
      <c r="D1185" t="inlineStr">
        <is>
          <t>JÄMTLANDS LÄN</t>
        </is>
      </c>
      <c r="E1185" t="inlineStr">
        <is>
          <t>RAGUNDA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4212-2024</t>
        </is>
      </c>
      <c r="B1186" s="1" t="n">
        <v>45324</v>
      </c>
      <c r="C1186" s="1" t="n">
        <v>46022</v>
      </c>
      <c r="D1186" t="inlineStr">
        <is>
          <t>JÄMTLANDS LÄN</t>
        </is>
      </c>
      <c r="E1186" t="inlineStr">
        <is>
          <t>RAGUNDA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9262-2025</t>
        </is>
      </c>
      <c r="B1187" s="1" t="n">
        <v>45714.60649305556</v>
      </c>
      <c r="C1187" s="1" t="n">
        <v>46022</v>
      </c>
      <c r="D1187" t="inlineStr">
        <is>
          <t>JÄMTLANDS LÄN</t>
        </is>
      </c>
      <c r="E1187" t="inlineStr">
        <is>
          <t>RAGUNDA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60012-2023</t>
        </is>
      </c>
      <c r="B1188" s="1" t="n">
        <v>45257</v>
      </c>
      <c r="C1188" s="1" t="n">
        <v>46022</v>
      </c>
      <c r="D1188" t="inlineStr">
        <is>
          <t>JÄMTLANDS LÄN</t>
        </is>
      </c>
      <c r="E1188" t="inlineStr">
        <is>
          <t>RAGUNDA</t>
        </is>
      </c>
      <c r="F1188" t="inlineStr">
        <is>
          <t>SCA</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53676-2022</t>
        </is>
      </c>
      <c r="B1189" s="1" t="n">
        <v>44879</v>
      </c>
      <c r="C1189" s="1" t="n">
        <v>46022</v>
      </c>
      <c r="D1189" t="inlineStr">
        <is>
          <t>JÄMTLANDS LÄN</t>
        </is>
      </c>
      <c r="E1189" t="inlineStr">
        <is>
          <t>RAGUNDA</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56504-2024</t>
        </is>
      </c>
      <c r="B1190" s="1" t="n">
        <v>45625.51068287037</v>
      </c>
      <c r="C1190" s="1" t="n">
        <v>46022</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934-2023</t>
        </is>
      </c>
      <c r="B1191" s="1" t="n">
        <v>44932.93927083333</v>
      </c>
      <c r="C1191" s="1" t="n">
        <v>46022</v>
      </c>
      <c r="D1191" t="inlineStr">
        <is>
          <t>JÄMTLANDS LÄN</t>
        </is>
      </c>
      <c r="E1191" t="inlineStr">
        <is>
          <t>RAGUNDA</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36106-2022</t>
        </is>
      </c>
      <c r="B1192" s="1" t="n">
        <v>44802.94811342593</v>
      </c>
      <c r="C1192" s="1" t="n">
        <v>46022</v>
      </c>
      <c r="D1192" t="inlineStr">
        <is>
          <t>JÄMTLANDS LÄN</t>
        </is>
      </c>
      <c r="E1192" t="inlineStr">
        <is>
          <t>RAGUNDA</t>
        </is>
      </c>
      <c r="F1192" t="inlineStr">
        <is>
          <t>SCA</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57839-2022</t>
        </is>
      </c>
      <c r="B1193" s="1" t="n">
        <v>44897</v>
      </c>
      <c r="C1193" s="1" t="n">
        <v>46022</v>
      </c>
      <c r="D1193" t="inlineStr">
        <is>
          <t>JÄMTLANDS LÄN</t>
        </is>
      </c>
      <c r="E1193" t="inlineStr">
        <is>
          <t>RAGUNDA</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41693-2023</t>
        </is>
      </c>
      <c r="B1194" s="1" t="n">
        <v>45176</v>
      </c>
      <c r="C1194" s="1" t="n">
        <v>46022</v>
      </c>
      <c r="D1194" t="inlineStr">
        <is>
          <t>JÄMTLANDS LÄN</t>
        </is>
      </c>
      <c r="E1194" t="inlineStr">
        <is>
          <t>RAGUNDA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53678-2022</t>
        </is>
      </c>
      <c r="B1195" s="1" t="n">
        <v>44879.95768518518</v>
      </c>
      <c r="C1195" s="1" t="n">
        <v>46022</v>
      </c>
      <c r="D1195" t="inlineStr">
        <is>
          <t>JÄMTLANDS LÄN</t>
        </is>
      </c>
      <c r="E1195" t="inlineStr">
        <is>
          <t>RAGUNDA</t>
        </is>
      </c>
      <c r="F1195" t="inlineStr">
        <is>
          <t>Sveaskog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23305-2023</t>
        </is>
      </c>
      <c r="B1196" s="1" t="n">
        <v>45075.94506944445</v>
      </c>
      <c r="C1196" s="1" t="n">
        <v>46022</v>
      </c>
      <c r="D1196" t="inlineStr">
        <is>
          <t>JÄMTLANDS LÄN</t>
        </is>
      </c>
      <c r="E1196" t="inlineStr">
        <is>
          <t>RAGUNDA</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18194-2025</t>
        </is>
      </c>
      <c r="B1197" s="1" t="n">
        <v>45761.67744212963</v>
      </c>
      <c r="C1197" s="1" t="n">
        <v>46022</v>
      </c>
      <c r="D1197" t="inlineStr">
        <is>
          <t>JÄMTLANDS LÄN</t>
        </is>
      </c>
      <c r="E1197" t="inlineStr">
        <is>
          <t>RAGUNDA</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18225-2024</t>
        </is>
      </c>
      <c r="B1198" s="1" t="n">
        <v>45420</v>
      </c>
      <c r="C1198" s="1" t="n">
        <v>46022</v>
      </c>
      <c r="D1198" t="inlineStr">
        <is>
          <t>JÄMTLANDS LÄN</t>
        </is>
      </c>
      <c r="E1198" t="inlineStr">
        <is>
          <t>RAGUNDA</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54764-2024</t>
        </is>
      </c>
      <c r="B1199" s="1" t="n">
        <v>45618.46921296296</v>
      </c>
      <c r="C1199" s="1" t="n">
        <v>46022</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32904-2024</t>
        </is>
      </c>
      <c r="B1200" s="1" t="n">
        <v>45516.94732638889</v>
      </c>
      <c r="C1200" s="1" t="n">
        <v>46022</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12976-2025</t>
        </is>
      </c>
      <c r="B1201" s="1" t="n">
        <v>45734.45268518518</v>
      </c>
      <c r="C1201" s="1" t="n">
        <v>46022</v>
      </c>
      <c r="D1201" t="inlineStr">
        <is>
          <t>JÄMTLANDS LÄN</t>
        </is>
      </c>
      <c r="E1201" t="inlineStr">
        <is>
          <t>RAGUNDA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59286-2023</t>
        </is>
      </c>
      <c r="B1202" s="1" t="n">
        <v>45253</v>
      </c>
      <c r="C1202" s="1" t="n">
        <v>46022</v>
      </c>
      <c r="D1202" t="inlineStr">
        <is>
          <t>JÄMTLANDS LÄN</t>
        </is>
      </c>
      <c r="E1202" t="inlineStr">
        <is>
          <t>RAGUNDA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15672-2021</t>
        </is>
      </c>
      <c r="B1203" s="1" t="n">
        <v>44286</v>
      </c>
      <c r="C1203" s="1" t="n">
        <v>46022</v>
      </c>
      <c r="D1203" t="inlineStr">
        <is>
          <t>JÄMTLANDS LÄN</t>
        </is>
      </c>
      <c r="E1203" t="inlineStr">
        <is>
          <t>RAGUNDA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6688-2024</t>
        </is>
      </c>
      <c r="B1204" s="1" t="n">
        <v>45341</v>
      </c>
      <c r="C1204" s="1" t="n">
        <v>46022</v>
      </c>
      <c r="D1204" t="inlineStr">
        <is>
          <t>JÄMTLANDS LÄN</t>
        </is>
      </c>
      <c r="E1204" t="inlineStr">
        <is>
          <t>RAGUNDA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50650-2023</t>
        </is>
      </c>
      <c r="B1205" s="1" t="n">
        <v>45210</v>
      </c>
      <c r="C1205" s="1" t="n">
        <v>46022</v>
      </c>
      <c r="D1205" t="inlineStr">
        <is>
          <t>JÄMTLANDS LÄN</t>
        </is>
      </c>
      <c r="E1205" t="inlineStr">
        <is>
          <t>RAGUNDA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41344-2024</t>
        </is>
      </c>
      <c r="B1206" s="1" t="n">
        <v>45559.67759259259</v>
      </c>
      <c r="C1206" s="1" t="n">
        <v>46022</v>
      </c>
      <c r="D1206" t="inlineStr">
        <is>
          <t>JÄMTLANDS LÄN</t>
        </is>
      </c>
      <c r="E1206" t="inlineStr">
        <is>
          <t>RAGUNDA</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59670-2023</t>
        </is>
      </c>
      <c r="B1207" s="1" t="n">
        <v>45254.96516203704</v>
      </c>
      <c r="C1207" s="1" t="n">
        <v>46022</v>
      </c>
      <c r="D1207" t="inlineStr">
        <is>
          <t>JÄMTLANDS LÄN</t>
        </is>
      </c>
      <c r="E1207" t="inlineStr">
        <is>
          <t>RAGUNDA</t>
        </is>
      </c>
      <c r="F1207" t="inlineStr">
        <is>
          <t>SCA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55508-2024</t>
        </is>
      </c>
      <c r="B1208" s="1" t="n">
        <v>45622.46200231482</v>
      </c>
      <c r="C1208" s="1" t="n">
        <v>46022</v>
      </c>
      <c r="D1208" t="inlineStr">
        <is>
          <t>JÄMTLANDS LÄN</t>
        </is>
      </c>
      <c r="E1208" t="inlineStr">
        <is>
          <t>RAGUNDA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59492-2024</t>
        </is>
      </c>
      <c r="B1209" s="1" t="n">
        <v>45638</v>
      </c>
      <c r="C1209" s="1" t="n">
        <v>46022</v>
      </c>
      <c r="D1209" t="inlineStr">
        <is>
          <t>JÄMTLANDS LÄN</t>
        </is>
      </c>
      <c r="E1209" t="inlineStr">
        <is>
          <t>RAGUNDA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20772-2024</t>
        </is>
      </c>
      <c r="B1210" s="1" t="n">
        <v>45436.94628472222</v>
      </c>
      <c r="C1210" s="1" t="n">
        <v>46022</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53757-2024</t>
        </is>
      </c>
      <c r="B1211" s="1" t="n">
        <v>45615.50034722222</v>
      </c>
      <c r="C1211" s="1" t="n">
        <v>46022</v>
      </c>
      <c r="D1211" t="inlineStr">
        <is>
          <t>JÄMTLANDS LÄN</t>
        </is>
      </c>
      <c r="E1211" t="inlineStr">
        <is>
          <t>RAGUNDA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6716-2025</t>
        </is>
      </c>
      <c r="B1212" s="1" t="n">
        <v>45700.57324074074</v>
      </c>
      <c r="C1212" s="1" t="n">
        <v>46022</v>
      </c>
      <c r="D1212" t="inlineStr">
        <is>
          <t>JÄMTLANDS LÄN</t>
        </is>
      </c>
      <c r="E1212" t="inlineStr">
        <is>
          <t>RAGUNDA</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19866-2023</t>
        </is>
      </c>
      <c r="B1213" s="1" t="n">
        <v>45053.94313657407</v>
      </c>
      <c r="C1213" s="1" t="n">
        <v>46022</v>
      </c>
      <c r="D1213" t="inlineStr">
        <is>
          <t>JÄMTLANDS LÄN</t>
        </is>
      </c>
      <c r="E1213" t="inlineStr">
        <is>
          <t>RAGUNDA</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21853-2024</t>
        </is>
      </c>
      <c r="B1214" s="1" t="n">
        <v>45442.96296296296</v>
      </c>
      <c r="C1214" s="1" t="n">
        <v>46022</v>
      </c>
      <c r="D1214" t="inlineStr">
        <is>
          <t>JÄMTLANDS LÄN</t>
        </is>
      </c>
      <c r="E1214" t="inlineStr">
        <is>
          <t>RAGUNDA</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8241-2024</t>
        </is>
      </c>
      <c r="B1215" s="1" t="n">
        <v>45351.98496527778</v>
      </c>
      <c r="C1215" s="1" t="n">
        <v>46022</v>
      </c>
      <c r="D1215" t="inlineStr">
        <is>
          <t>JÄMTLANDS LÄN</t>
        </is>
      </c>
      <c r="E1215" t="inlineStr">
        <is>
          <t>RAGUNDA</t>
        </is>
      </c>
      <c r="F1215" t="inlineStr">
        <is>
          <t>SCA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40365-2024</t>
        </is>
      </c>
      <c r="B1216" s="1" t="n">
        <v>45555.38509259259</v>
      </c>
      <c r="C1216" s="1" t="n">
        <v>46022</v>
      </c>
      <c r="D1216" t="inlineStr">
        <is>
          <t>JÄMTLANDS LÄN</t>
        </is>
      </c>
      <c r="E1216" t="inlineStr">
        <is>
          <t>RAGUNDA</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20770-2024</t>
        </is>
      </c>
      <c r="B1217" s="1" t="n">
        <v>45436.94613425926</v>
      </c>
      <c r="C1217" s="1" t="n">
        <v>46022</v>
      </c>
      <c r="D1217" t="inlineStr">
        <is>
          <t>JÄMTLANDS LÄN</t>
        </is>
      </c>
      <c r="E1217" t="inlineStr">
        <is>
          <t>RAGUNDA</t>
        </is>
      </c>
      <c r="F1217" t="inlineStr">
        <is>
          <t>SCA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7281-2024</t>
        </is>
      </c>
      <c r="B1218" s="1" t="n">
        <v>45344</v>
      </c>
      <c r="C1218" s="1" t="n">
        <v>46022</v>
      </c>
      <c r="D1218" t="inlineStr">
        <is>
          <t>JÄMTLANDS LÄN</t>
        </is>
      </c>
      <c r="E1218" t="inlineStr">
        <is>
          <t>RAGUNDA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7284-2024</t>
        </is>
      </c>
      <c r="B1219" s="1" t="n">
        <v>45344.92865740741</v>
      </c>
      <c r="C1219" s="1" t="n">
        <v>46022</v>
      </c>
      <c r="D1219" t="inlineStr">
        <is>
          <t>JÄMTLANDS LÄN</t>
        </is>
      </c>
      <c r="E1219" t="inlineStr">
        <is>
          <t>RAGUNDA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7285-2024</t>
        </is>
      </c>
      <c r="B1220" s="1" t="n">
        <v>45344.92873842592</v>
      </c>
      <c r="C1220" s="1" t="n">
        <v>46022</v>
      </c>
      <c r="D1220" t="inlineStr">
        <is>
          <t>JÄMTLANDS LÄN</t>
        </is>
      </c>
      <c r="E1220" t="inlineStr">
        <is>
          <t>RAGUNDA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53347-2023</t>
        </is>
      </c>
      <c r="B1221" s="1" t="n">
        <v>45223</v>
      </c>
      <c r="C1221" s="1" t="n">
        <v>46022</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60838-2023</t>
        </is>
      </c>
      <c r="B1222" s="1" t="n">
        <v>45260.92561342593</v>
      </c>
      <c r="C1222" s="1" t="n">
        <v>46022</v>
      </c>
      <c r="D1222" t="inlineStr">
        <is>
          <t>JÄMTLANDS LÄN</t>
        </is>
      </c>
      <c r="E1222" t="inlineStr">
        <is>
          <t>RAGUNDA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9548-2025</t>
        </is>
      </c>
      <c r="B1223" s="1" t="n">
        <v>45715.59405092592</v>
      </c>
      <c r="C1223" s="1" t="n">
        <v>46022</v>
      </c>
      <c r="D1223" t="inlineStr">
        <is>
          <t>JÄMTLANDS LÄN</t>
        </is>
      </c>
      <c r="E1223" t="inlineStr">
        <is>
          <t>RAGUNDA</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53989-2024</t>
        </is>
      </c>
      <c r="B1224" s="1" t="n">
        <v>45616.34479166667</v>
      </c>
      <c r="C1224" s="1" t="n">
        <v>46022</v>
      </c>
      <c r="D1224" t="inlineStr">
        <is>
          <t>JÄMTLANDS LÄN</t>
        </is>
      </c>
      <c r="E1224" t="inlineStr">
        <is>
          <t>RAGUNDA</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15581-2024</t>
        </is>
      </c>
      <c r="B1225" s="1" t="n">
        <v>45401</v>
      </c>
      <c r="C1225" s="1" t="n">
        <v>46022</v>
      </c>
      <c r="D1225" t="inlineStr">
        <is>
          <t>JÄMTLANDS LÄN</t>
        </is>
      </c>
      <c r="E1225" t="inlineStr">
        <is>
          <t>RAGUNDA</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15611-2024</t>
        </is>
      </c>
      <c r="B1226" s="1" t="n">
        <v>45401</v>
      </c>
      <c r="C1226" s="1" t="n">
        <v>46022</v>
      </c>
      <c r="D1226" t="inlineStr">
        <is>
          <t>JÄMTLANDS LÄN</t>
        </is>
      </c>
      <c r="E1226" t="inlineStr">
        <is>
          <t>RAGUNDA</t>
        </is>
      </c>
      <c r="F1226" t="inlineStr">
        <is>
          <t>SCA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23528-2024</t>
        </is>
      </c>
      <c r="B1227" s="1" t="n">
        <v>45453.95016203704</v>
      </c>
      <c r="C1227" s="1" t="n">
        <v>46022</v>
      </c>
      <c r="D1227" t="inlineStr">
        <is>
          <t>JÄMTLANDS LÄN</t>
        </is>
      </c>
      <c r="E1227" t="inlineStr">
        <is>
          <t>RAGUNDA</t>
        </is>
      </c>
      <c r="F1227" t="inlineStr">
        <is>
          <t>SCA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4594-2024</t>
        </is>
      </c>
      <c r="B1228" s="1" t="n">
        <v>45327.94459490741</v>
      </c>
      <c r="C1228" s="1" t="n">
        <v>46022</v>
      </c>
      <c r="D1228" t="inlineStr">
        <is>
          <t>JÄMTLANDS LÄN</t>
        </is>
      </c>
      <c r="E1228" t="inlineStr">
        <is>
          <t>RAGUNDA</t>
        </is>
      </c>
      <c r="F1228" t="inlineStr">
        <is>
          <t>SCA</t>
        </is>
      </c>
      <c r="G1228" t="n">
        <v>2.3</v>
      </c>
      <c r="H1228" t="n">
        <v>0</v>
      </c>
      <c r="I1228" t="n">
        <v>0</v>
      </c>
      <c r="J1228" t="n">
        <v>0</v>
      </c>
      <c r="K1228" t="n">
        <v>0</v>
      </c>
      <c r="L1228" t="n">
        <v>0</v>
      </c>
      <c r="M1228" t="n">
        <v>0</v>
      </c>
      <c r="N1228" t="n">
        <v>0</v>
      </c>
      <c r="O1228" t="n">
        <v>0</v>
      </c>
      <c r="P1228" t="n">
        <v>0</v>
      </c>
      <c r="Q1228" t="n">
        <v>0</v>
      </c>
      <c r="R1228" s="2" t="inlineStr"/>
    </row>
    <row r="1229">
      <c r="A1229" t="inlineStr">
        <is>
          <t>A 30824-2023</t>
        </is>
      </c>
      <c r="B1229" s="1" t="n">
        <v>45112.94303240741</v>
      </c>
      <c r="C1229" s="1" t="n">
        <v>46022</v>
      </c>
      <c r="D1229" t="inlineStr">
        <is>
          <t>JÄMTLANDS LÄN</t>
        </is>
      </c>
      <c r="E1229" t="inlineStr">
        <is>
          <t>RAGUNDA</t>
        </is>
      </c>
      <c r="F1229" t="inlineStr">
        <is>
          <t>SCA</t>
        </is>
      </c>
      <c r="G1229" t="n">
        <v>0.9</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2025-12-31T09:54:10Z</dcterms:created>
  <dcterms:modified xmlns:dcterms="http://purl.org/dc/terms/" xmlns:xsi="http://www.w3.org/2001/XMLSchema-instance" xsi:type="dcterms:W3CDTF">2025-12-31T09:54:10Z</dcterms:modified>
</cp:coreProperties>
</file>