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45888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45888</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45888</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45888</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45888</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45888</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45888</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45888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45888</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45888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45888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45888</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45888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45888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45888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45888</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45888</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45248-2020</t>
        </is>
      </c>
      <c r="B22" s="1" t="n">
        <v>44088</v>
      </c>
      <c r="C22" s="1" t="n">
        <v>45888</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45888</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45888</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45888</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39062-2020</t>
        </is>
      </c>
      <c r="B26" s="1" t="n">
        <v>44062</v>
      </c>
      <c r="C26" s="1" t="n">
        <v>45888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45888</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45888</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31839-2022</t>
        </is>
      </c>
      <c r="B30" s="1" t="n">
        <v>44776</v>
      </c>
      <c r="C30" s="1" t="n">
        <v>45888</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25632-2025</t>
        </is>
      </c>
      <c r="B31" s="1" t="n">
        <v>45803.59474537037</v>
      </c>
      <c r="C31" s="1" t="n">
        <v>45888</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45888</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22986-2025</t>
        </is>
      </c>
      <c r="B33" s="1" t="n">
        <v>45790.57349537037</v>
      </c>
      <c r="C33" s="1" t="n">
        <v>45888</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32741-2025</t>
        </is>
      </c>
      <c r="B34" s="1" t="n">
        <v>45839.42482638889</v>
      </c>
      <c r="C34" s="1" t="n">
        <v>45888</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36943-2022</t>
        </is>
      </c>
      <c r="B35" s="1" t="n">
        <v>44805</v>
      </c>
      <c r="C35" s="1" t="n">
        <v>45888</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41412-2024</t>
        </is>
      </c>
      <c r="B36" s="1" t="n">
        <v>45560.34484953704</v>
      </c>
      <c r="C36" s="1" t="n">
        <v>45888</v>
      </c>
      <c r="D36" t="inlineStr">
        <is>
          <t>JÄMTLANDS LÄN</t>
        </is>
      </c>
      <c r="E36" t="inlineStr">
        <is>
          <t>RAGUNDA</t>
        </is>
      </c>
      <c r="F36" t="inlineStr">
        <is>
          <t>SCA</t>
        </is>
      </c>
      <c r="G36" t="n">
        <v>1.8</v>
      </c>
      <c r="H36" t="n">
        <v>1</v>
      </c>
      <c r="I36" t="n">
        <v>5</v>
      </c>
      <c r="J36" t="n">
        <v>4</v>
      </c>
      <c r="K36" t="n">
        <v>1</v>
      </c>
      <c r="L36" t="n">
        <v>0</v>
      </c>
      <c r="M36" t="n">
        <v>0</v>
      </c>
      <c r="N36" t="n">
        <v>0</v>
      </c>
      <c r="O36" t="n">
        <v>5</v>
      </c>
      <c r="P36" t="n">
        <v>1</v>
      </c>
      <c r="Q36" t="n">
        <v>10</v>
      </c>
      <c r="R36" s="2" t="inlineStr">
        <is>
          <t>Knärot
Garnlav
Lunglav
Rosenticka
Ullticka
Bårdlav
Korallblylav
Luddlav
Stuplav
Vedticka</t>
        </is>
      </c>
      <c r="S36">
        <f>HYPERLINK("https://klasma.github.io/Logging_2303/artfynd/A 41412-2024 artfynd.xlsx", "A 41412-2024")</f>
        <v/>
      </c>
      <c r="T36">
        <f>HYPERLINK("https://klasma.github.io/Logging_2303/kartor/A 41412-2024 karta.png", "A 41412-2024")</f>
        <v/>
      </c>
      <c r="U36">
        <f>HYPERLINK("https://klasma.github.io/Logging_2303/knärot/A 41412-2024 karta knärot.png", "A 41412-2024")</f>
        <v/>
      </c>
      <c r="V36">
        <f>HYPERLINK("https://klasma.github.io/Logging_2303/klagomål/A 41412-2024 FSC-klagomål.docx", "A 41412-2024")</f>
        <v/>
      </c>
      <c r="W36">
        <f>HYPERLINK("https://klasma.github.io/Logging_2303/klagomålsmail/A 41412-2024 FSC-klagomål mail.docx", "A 41412-2024")</f>
        <v/>
      </c>
      <c r="X36">
        <f>HYPERLINK("https://klasma.github.io/Logging_2303/tillsyn/A 41412-2024 tillsynsbegäran.docx", "A 41412-2024")</f>
        <v/>
      </c>
      <c r="Y36">
        <f>HYPERLINK("https://klasma.github.io/Logging_2303/tillsynsmail/A 41412-2024 tillsynsbegäran mail.docx", "A 41412-2024")</f>
        <v/>
      </c>
    </row>
    <row r="37" ht="15" customHeight="1">
      <c r="A37" t="inlineStr">
        <is>
          <t>A 55894-2022</t>
        </is>
      </c>
      <c r="B37" s="1" t="n">
        <v>44888</v>
      </c>
      <c r="C37" s="1" t="n">
        <v>45888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4591-2024</t>
        </is>
      </c>
      <c r="B38" s="1" t="n">
        <v>45327</v>
      </c>
      <c r="C38" s="1" t="n">
        <v>45888</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45888</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13483-2022</t>
        </is>
      </c>
      <c r="B40" s="1" t="n">
        <v>44645.99859953704</v>
      </c>
      <c r="C40" s="1" t="n">
        <v>45888</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33822-2023</t>
        </is>
      </c>
      <c r="B41" s="1" t="n">
        <v>45121</v>
      </c>
      <c r="C41" s="1" t="n">
        <v>45888</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4146-2025</t>
        </is>
      </c>
      <c r="B42" s="1" t="n">
        <v>45685.36501157407</v>
      </c>
      <c r="C42" s="1" t="n">
        <v>45888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32068-2024</t>
        </is>
      </c>
      <c r="B43" s="1" t="n">
        <v>45510</v>
      </c>
      <c r="C43" s="1" t="n">
        <v>45888</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45888</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25016-2025</t>
        </is>
      </c>
      <c r="B45" s="1" t="n">
        <v>45799.63574074074</v>
      </c>
      <c r="C45" s="1" t="n">
        <v>45888</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45888</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45008-2023</t>
        </is>
      </c>
      <c r="B47" s="1" t="n">
        <v>45190.96092592592</v>
      </c>
      <c r="C47" s="1" t="n">
        <v>45888</v>
      </c>
      <c r="D47" t="inlineStr">
        <is>
          <t>JÄMTLANDS LÄN</t>
        </is>
      </c>
      <c r="E47" t="inlineStr">
        <is>
          <t>RAGUNDA</t>
        </is>
      </c>
      <c r="F47" t="inlineStr">
        <is>
          <t>SCA</t>
        </is>
      </c>
      <c r="G47" t="n">
        <v>3.5</v>
      </c>
      <c r="H47" t="n">
        <v>0</v>
      </c>
      <c r="I47" t="n">
        <v>4</v>
      </c>
      <c r="J47" t="n">
        <v>4</v>
      </c>
      <c r="K47" t="n">
        <v>1</v>
      </c>
      <c r="L47" t="n">
        <v>0</v>
      </c>
      <c r="M47" t="n">
        <v>0</v>
      </c>
      <c r="N47" t="n">
        <v>0</v>
      </c>
      <c r="O47" t="n">
        <v>5</v>
      </c>
      <c r="P47" t="n">
        <v>1</v>
      </c>
      <c r="Q47" t="n">
        <v>9</v>
      </c>
      <c r="R47" s="2" t="inlineStr">
        <is>
          <t>Rynkskinn
Garnlav
Granticka
Lunglav
Stiftgelélav
Bårdlav
Gytterlav
Skinnlav
Stor aspticka</t>
        </is>
      </c>
      <c r="S47">
        <f>HYPERLINK("https://klasma.github.io/Logging_2303/artfynd/A 45008-2023 artfynd.xlsx", "A 45008-2023")</f>
        <v/>
      </c>
      <c r="T47">
        <f>HYPERLINK("https://klasma.github.io/Logging_2303/kartor/A 45008-2023 karta.png", "A 45008-2023")</f>
        <v/>
      </c>
      <c r="V47">
        <f>HYPERLINK("https://klasma.github.io/Logging_2303/klagomål/A 45008-2023 FSC-klagomål.docx", "A 45008-2023")</f>
        <v/>
      </c>
      <c r="W47">
        <f>HYPERLINK("https://klasma.github.io/Logging_2303/klagomålsmail/A 45008-2023 FSC-klagomål mail.docx", "A 45008-2023")</f>
        <v/>
      </c>
      <c r="X47">
        <f>HYPERLINK("https://klasma.github.io/Logging_2303/tillsyn/A 45008-2023 tillsynsbegäran.docx", "A 45008-2023")</f>
        <v/>
      </c>
      <c r="Y47">
        <f>HYPERLINK("https://klasma.github.io/Logging_2303/tillsynsmail/A 45008-2023 tillsynsbegäran mail.docx", "A 45008-2023")</f>
        <v/>
      </c>
    </row>
    <row r="48" ht="15" customHeight="1">
      <c r="A48" t="inlineStr">
        <is>
          <t>A 62948-2021</t>
        </is>
      </c>
      <c r="B48" s="1" t="n">
        <v>44504</v>
      </c>
      <c r="C48" s="1" t="n">
        <v>45888</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30876-2025</t>
        </is>
      </c>
      <c r="B49" s="1" t="n">
        <v>45832.34461805555</v>
      </c>
      <c r="C49" s="1" t="n">
        <v>45888</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19278-2025</t>
        </is>
      </c>
      <c r="B50" s="1" t="n">
        <v>45769.53180555555</v>
      </c>
      <c r="C50" s="1" t="n">
        <v>45888</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12372-2024</t>
        </is>
      </c>
      <c r="B51" s="1" t="n">
        <v>45378</v>
      </c>
      <c r="C51" s="1" t="n">
        <v>45888</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56215-2020</t>
        </is>
      </c>
      <c r="B52" s="1" t="n">
        <v>44133</v>
      </c>
      <c r="C52" s="1" t="n">
        <v>45888</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3634-2024</t>
        </is>
      </c>
      <c r="B53" s="1" t="n">
        <v>45320</v>
      </c>
      <c r="C53" s="1" t="n">
        <v>45888</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10982-2025</t>
        </is>
      </c>
      <c r="B54" s="1" t="n">
        <v>45723.40688657408</v>
      </c>
      <c r="C54" s="1" t="n">
        <v>45888</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45888</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55465-2024</t>
        </is>
      </c>
      <c r="B56" s="1" t="n">
        <v>45622</v>
      </c>
      <c r="C56" s="1" t="n">
        <v>45888</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30335-2025</t>
        </is>
      </c>
      <c r="B57" s="1" t="n">
        <v>45827.5110300926</v>
      </c>
      <c r="C57" s="1" t="n">
        <v>45888</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31197-2023</t>
        </is>
      </c>
      <c r="B58" s="1" t="n">
        <v>45113</v>
      </c>
      <c r="C58" s="1" t="n">
        <v>45888</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56211-2020</t>
        </is>
      </c>
      <c r="B59" s="1" t="n">
        <v>44133</v>
      </c>
      <c r="C59" s="1" t="n">
        <v>45888</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45888</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45888</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20397-2024</t>
        </is>
      </c>
      <c r="B62" s="1" t="n">
        <v>45435.54734953704</v>
      </c>
      <c r="C62" s="1" t="n">
        <v>45888</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41929-2023</t>
        </is>
      </c>
      <c r="B63" s="1" t="n">
        <v>45176</v>
      </c>
      <c r="C63" s="1" t="n">
        <v>45888</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41929-2023 artfynd.xlsx", "A 41929-2023")</f>
        <v/>
      </c>
      <c r="T63">
        <f>HYPERLINK("https://klasma.github.io/Logging_2303/kartor/A 41929-2023 karta.png", "A 41929-2023")</f>
        <v/>
      </c>
      <c r="U63">
        <f>HYPERLINK("https://klasma.github.io/Logging_2303/knärot/A 41929-2023 karta knärot.png", "A 41929-2023")</f>
        <v/>
      </c>
      <c r="V63">
        <f>HYPERLINK("https://klasma.github.io/Logging_2303/klagomål/A 41929-2023 FSC-klagomål.docx", "A 41929-2023")</f>
        <v/>
      </c>
      <c r="W63">
        <f>HYPERLINK("https://klasma.github.io/Logging_2303/klagomålsmail/A 41929-2023 FSC-klagomål mail.docx", "A 41929-2023")</f>
        <v/>
      </c>
      <c r="X63">
        <f>HYPERLINK("https://klasma.github.io/Logging_2303/tillsyn/A 41929-2023 tillsynsbegäran.docx", "A 41929-2023")</f>
        <v/>
      </c>
      <c r="Y63">
        <f>HYPERLINK("https://klasma.github.io/Logging_2303/tillsynsmail/A 41929-2023 tillsynsbegäran mail.docx", "A 41929-2023")</f>
        <v/>
      </c>
    </row>
    <row r="64" ht="15" customHeight="1">
      <c r="A64" t="inlineStr">
        <is>
          <t>A 15977-2024</t>
        </is>
      </c>
      <c r="B64" s="1" t="n">
        <v>45405.57392361111</v>
      </c>
      <c r="C64" s="1" t="n">
        <v>45888</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41719-2023</t>
        </is>
      </c>
      <c r="B65" s="1" t="n">
        <v>45176</v>
      </c>
      <c r="C65" s="1" t="n">
        <v>45888</v>
      </c>
      <c r="D65" t="inlineStr">
        <is>
          <t>JÄMTLANDS LÄN</t>
        </is>
      </c>
      <c r="E65" t="inlineStr">
        <is>
          <t>RAGUNDA</t>
        </is>
      </c>
      <c r="G65" t="n">
        <v>14.5</v>
      </c>
      <c r="H65" t="n">
        <v>1</v>
      </c>
      <c r="I65" t="n">
        <v>1</v>
      </c>
      <c r="J65" t="n">
        <v>5</v>
      </c>
      <c r="K65" t="n">
        <v>0</v>
      </c>
      <c r="L65" t="n">
        <v>0</v>
      </c>
      <c r="M65" t="n">
        <v>0</v>
      </c>
      <c r="N65" t="n">
        <v>0</v>
      </c>
      <c r="O65" t="n">
        <v>5</v>
      </c>
      <c r="P65" t="n">
        <v>0</v>
      </c>
      <c r="Q65" t="n">
        <v>7</v>
      </c>
      <c r="R65" s="2" t="inlineStr">
        <is>
          <t>Dvärgbägarlav
Garnlav
Lunglav
Rosenticka
Vedflikmossa
Skinnlav
Tjäder</t>
        </is>
      </c>
      <c r="S65">
        <f>HYPERLINK("https://klasma.github.io/Logging_2303/artfynd/A 41719-2023 artfynd.xlsx", "A 41719-2023")</f>
        <v/>
      </c>
      <c r="T65">
        <f>HYPERLINK("https://klasma.github.io/Logging_2303/kartor/A 41719-2023 karta.png", "A 41719-2023")</f>
        <v/>
      </c>
      <c r="V65">
        <f>HYPERLINK("https://klasma.github.io/Logging_2303/klagomål/A 41719-2023 FSC-klagomål.docx", "A 41719-2023")</f>
        <v/>
      </c>
      <c r="W65">
        <f>HYPERLINK("https://klasma.github.io/Logging_2303/klagomålsmail/A 41719-2023 FSC-klagomål mail.docx", "A 41719-2023")</f>
        <v/>
      </c>
      <c r="X65">
        <f>HYPERLINK("https://klasma.github.io/Logging_2303/tillsyn/A 41719-2023 tillsynsbegäran.docx", "A 41719-2023")</f>
        <v/>
      </c>
      <c r="Y65">
        <f>HYPERLINK("https://klasma.github.io/Logging_2303/tillsynsmail/A 41719-2023 tillsynsbegäran mail.docx", "A 41719-2023")</f>
        <v/>
      </c>
      <c r="Z65">
        <f>HYPERLINK("https://klasma.github.io/Logging_2303/fåglar/A 41719-2023 prioriterade fågelarter.docx", "A 41719-2023")</f>
        <v/>
      </c>
    </row>
    <row r="66" ht="15" customHeight="1">
      <c r="A66" t="inlineStr">
        <is>
          <t>A 11829-2023</t>
        </is>
      </c>
      <c r="B66" s="1" t="n">
        <v>44994</v>
      </c>
      <c r="C66" s="1" t="n">
        <v>45888</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45888</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24169-2021</t>
        </is>
      </c>
      <c r="B68" s="1" t="n">
        <v>44336</v>
      </c>
      <c r="C68" s="1" t="n">
        <v>45888</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26750-2025</t>
        </is>
      </c>
      <c r="B69" s="1" t="n">
        <v>45810.55061342593</v>
      </c>
      <c r="C69" s="1" t="n">
        <v>45888</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19399-2025</t>
        </is>
      </c>
      <c r="B70" s="1" t="n">
        <v>45769.67740740741</v>
      </c>
      <c r="C70" s="1" t="n">
        <v>45888</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37237-2023</t>
        </is>
      </c>
      <c r="B71" s="1" t="n">
        <v>45155</v>
      </c>
      <c r="C71" s="1" t="n">
        <v>45888</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37237-2023 artfynd.xlsx", "A 37237-2023")</f>
        <v/>
      </c>
      <c r="T71">
        <f>HYPERLINK("https://klasma.github.io/Logging_2303/kartor/A 37237-2023 karta.png", "A 37237-2023")</f>
        <v/>
      </c>
      <c r="U71">
        <f>HYPERLINK("https://klasma.github.io/Logging_2303/knärot/A 37237-2023 karta knärot.png", "A 37237-2023")</f>
        <v/>
      </c>
      <c r="V71">
        <f>HYPERLINK("https://klasma.github.io/Logging_2303/klagomål/A 37237-2023 FSC-klagomål.docx", "A 37237-2023")</f>
        <v/>
      </c>
      <c r="W71">
        <f>HYPERLINK("https://klasma.github.io/Logging_2303/klagomålsmail/A 37237-2023 FSC-klagomål mail.docx", "A 37237-2023")</f>
        <v/>
      </c>
      <c r="X71">
        <f>HYPERLINK("https://klasma.github.io/Logging_2303/tillsyn/A 37237-2023 tillsynsbegäran.docx", "A 37237-2023")</f>
        <v/>
      </c>
      <c r="Y71">
        <f>HYPERLINK("https://klasma.github.io/Logging_2303/tillsynsmail/A 37237-2023 tillsynsbegäran mail.docx", "A 37237-2023")</f>
        <v/>
      </c>
    </row>
    <row r="72" ht="15" customHeight="1">
      <c r="A72" t="inlineStr">
        <is>
          <t>A 27913-2024</t>
        </is>
      </c>
      <c r="B72" s="1" t="n">
        <v>45475.94796296296</v>
      </c>
      <c r="C72" s="1" t="n">
        <v>45888</v>
      </c>
      <c r="D72" t="inlineStr">
        <is>
          <t>JÄMTLANDS LÄN</t>
        </is>
      </c>
      <c r="E72" t="inlineStr">
        <is>
          <t>RAGUNDA</t>
        </is>
      </c>
      <c r="F72" t="inlineStr">
        <is>
          <t>SCA</t>
        </is>
      </c>
      <c r="G72" t="n">
        <v>11.1</v>
      </c>
      <c r="H72" t="n">
        <v>2</v>
      </c>
      <c r="I72" t="n">
        <v>4</v>
      </c>
      <c r="J72" t="n">
        <v>2</v>
      </c>
      <c r="K72" t="n">
        <v>1</v>
      </c>
      <c r="L72" t="n">
        <v>0</v>
      </c>
      <c r="M72" t="n">
        <v>0</v>
      </c>
      <c r="N72" t="n">
        <v>0</v>
      </c>
      <c r="O72" t="n">
        <v>3</v>
      </c>
      <c r="P72" t="n">
        <v>1</v>
      </c>
      <c r="Q72" t="n">
        <v>7</v>
      </c>
      <c r="R72" s="2" t="inlineStr">
        <is>
          <t>Knärot
Kolflarnlav
Lunglav
Bårdlav
Kransrams
Lappranunkel
Skinnlav</t>
        </is>
      </c>
      <c r="S72">
        <f>HYPERLINK("https://klasma.github.io/Logging_2303/artfynd/A 27913-2024 artfynd.xlsx", "A 27913-2024")</f>
        <v/>
      </c>
      <c r="T72">
        <f>HYPERLINK("https://klasma.github.io/Logging_2303/kartor/A 27913-2024 karta.png", "A 27913-2024")</f>
        <v/>
      </c>
      <c r="U72">
        <f>HYPERLINK("https://klasma.github.io/Logging_2303/knärot/A 27913-2024 karta knärot.png", "A 27913-2024")</f>
        <v/>
      </c>
      <c r="V72">
        <f>HYPERLINK("https://klasma.github.io/Logging_2303/klagomål/A 27913-2024 FSC-klagomål.docx", "A 27913-2024")</f>
        <v/>
      </c>
      <c r="W72">
        <f>HYPERLINK("https://klasma.github.io/Logging_2303/klagomålsmail/A 27913-2024 FSC-klagomål mail.docx", "A 27913-2024")</f>
        <v/>
      </c>
      <c r="X72">
        <f>HYPERLINK("https://klasma.github.io/Logging_2303/tillsyn/A 27913-2024 tillsynsbegäran.docx", "A 27913-2024")</f>
        <v/>
      </c>
      <c r="Y72">
        <f>HYPERLINK("https://klasma.github.io/Logging_2303/tillsynsmail/A 27913-2024 tillsynsbegäran mail.docx", "A 27913-2024")</f>
        <v/>
      </c>
    </row>
    <row r="73" ht="15" customHeight="1">
      <c r="A73" t="inlineStr">
        <is>
          <t>A 22466-2025</t>
        </is>
      </c>
      <c r="B73" s="1" t="n">
        <v>45786.61517361111</v>
      </c>
      <c r="C73" s="1" t="n">
        <v>45888</v>
      </c>
      <c r="D73" t="inlineStr">
        <is>
          <t>JÄMTLANDS LÄN</t>
        </is>
      </c>
      <c r="E73" t="inlineStr">
        <is>
          <t>RAGUNDA</t>
        </is>
      </c>
      <c r="F73" t="inlineStr">
        <is>
          <t>SCA</t>
        </is>
      </c>
      <c r="G73" t="n">
        <v>3.2</v>
      </c>
      <c r="H73" t="n">
        <v>3</v>
      </c>
      <c r="I73" t="n">
        <v>1</v>
      </c>
      <c r="J73" t="n">
        <v>4</v>
      </c>
      <c r="K73" t="n">
        <v>0</v>
      </c>
      <c r="L73" t="n">
        <v>0</v>
      </c>
      <c r="M73" t="n">
        <v>0</v>
      </c>
      <c r="N73" t="n">
        <v>0</v>
      </c>
      <c r="O73" t="n">
        <v>4</v>
      </c>
      <c r="P73" t="n">
        <v>0</v>
      </c>
      <c r="Q73" t="n">
        <v>7</v>
      </c>
      <c r="R73" s="2" t="inlineStr">
        <is>
          <t>Gammelgransskål
Garnlav
Lunglav
Tretåig hackspett
Stuplav
Kungsfågel
Revlummer</t>
        </is>
      </c>
      <c r="S73">
        <f>HYPERLINK("https://klasma.github.io/Logging_2303/artfynd/A 22466-2025 artfynd.xlsx", "A 22466-2025")</f>
        <v/>
      </c>
      <c r="T73">
        <f>HYPERLINK("https://klasma.github.io/Logging_2303/kartor/A 22466-2025 karta.png", "A 22466-2025")</f>
        <v/>
      </c>
      <c r="V73">
        <f>HYPERLINK("https://klasma.github.io/Logging_2303/klagomål/A 22466-2025 FSC-klagomål.docx", "A 22466-2025")</f>
        <v/>
      </c>
      <c r="W73">
        <f>HYPERLINK("https://klasma.github.io/Logging_2303/klagomålsmail/A 22466-2025 FSC-klagomål mail.docx", "A 22466-2025")</f>
        <v/>
      </c>
      <c r="X73">
        <f>HYPERLINK("https://klasma.github.io/Logging_2303/tillsyn/A 22466-2025 tillsynsbegäran.docx", "A 22466-2025")</f>
        <v/>
      </c>
      <c r="Y73">
        <f>HYPERLINK("https://klasma.github.io/Logging_2303/tillsynsmail/A 22466-2025 tillsynsbegäran mail.docx", "A 22466-2025")</f>
        <v/>
      </c>
      <c r="Z73">
        <f>HYPERLINK("https://klasma.github.io/Logging_2303/fåglar/A 22466-2025 prioriterade fågelarter.docx", "A 22466-2025")</f>
        <v/>
      </c>
    </row>
    <row r="74" ht="15" customHeight="1">
      <c r="A74" t="inlineStr">
        <is>
          <t>A 61386-2022</t>
        </is>
      </c>
      <c r="B74" s="1" t="n">
        <v>44915</v>
      </c>
      <c r="C74" s="1" t="n">
        <v>45888</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50987-2020</t>
        </is>
      </c>
      <c r="B75" s="1" t="n">
        <v>44111</v>
      </c>
      <c r="C75" s="1" t="n">
        <v>45888</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45888</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933-2023</t>
        </is>
      </c>
      <c r="B77" s="1" t="n">
        <v>44932</v>
      </c>
      <c r="C77" s="1" t="n">
        <v>45888</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11828-2023</t>
        </is>
      </c>
      <c r="B78" s="1" t="n">
        <v>44994</v>
      </c>
      <c r="C78" s="1" t="n">
        <v>45888</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12040-2025</t>
        </is>
      </c>
      <c r="B79" s="1" t="n">
        <v>45728.65684027778</v>
      </c>
      <c r="C79" s="1" t="n">
        <v>45888</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24431-2024</t>
        </is>
      </c>
      <c r="B80" s="1" t="n">
        <v>45457</v>
      </c>
      <c r="C80" s="1" t="n">
        <v>45888</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55646-2023</t>
        </is>
      </c>
      <c r="B81" s="1" t="n">
        <v>45238</v>
      </c>
      <c r="C81" s="1" t="n">
        <v>45888</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53021-2022</t>
        </is>
      </c>
      <c r="B82" s="1" t="n">
        <v>44875</v>
      </c>
      <c r="C82" s="1" t="n">
        <v>45888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34317-2025</t>
        </is>
      </c>
      <c r="B83" s="1" t="n">
        <v>45846.41361111111</v>
      </c>
      <c r="C83" s="1" t="n">
        <v>45888</v>
      </c>
      <c r="D83" t="inlineStr">
        <is>
          <t>JÄMTLANDS LÄN</t>
        </is>
      </c>
      <c r="E83" t="inlineStr">
        <is>
          <t>RAGUNDA</t>
        </is>
      </c>
      <c r="G83" t="n">
        <v>8.300000000000001</v>
      </c>
      <c r="H83" t="n">
        <v>2</v>
      </c>
      <c r="I83" t="n">
        <v>1</v>
      </c>
      <c r="J83" t="n">
        <v>4</v>
      </c>
      <c r="K83" t="n">
        <v>1</v>
      </c>
      <c r="L83" t="n">
        <v>0</v>
      </c>
      <c r="M83" t="n">
        <v>0</v>
      </c>
      <c r="N83" t="n">
        <v>0</v>
      </c>
      <c r="O83" t="n">
        <v>5</v>
      </c>
      <c r="P83" t="n">
        <v>1</v>
      </c>
      <c r="Q83" t="n">
        <v>6</v>
      </c>
      <c r="R83" s="2" t="inlineStr">
        <is>
          <t>Knärot
Garnlav
Lunglav
Nordtagging
Talltita
Skinnlav</t>
        </is>
      </c>
      <c r="S83">
        <f>HYPERLINK("https://klasma.github.io/Logging_2303/artfynd/A 34317-2025 artfynd.xlsx", "A 34317-2025")</f>
        <v/>
      </c>
      <c r="T83">
        <f>HYPERLINK("https://klasma.github.io/Logging_2303/kartor/A 34317-2025 karta.png", "A 34317-2025")</f>
        <v/>
      </c>
      <c r="U83">
        <f>HYPERLINK("https://klasma.github.io/Logging_2303/knärot/A 34317-2025 karta knärot.png", "A 34317-2025")</f>
        <v/>
      </c>
      <c r="V83">
        <f>HYPERLINK("https://klasma.github.io/Logging_2303/klagomål/A 34317-2025 FSC-klagomål.docx", "A 34317-2025")</f>
        <v/>
      </c>
      <c r="W83">
        <f>HYPERLINK("https://klasma.github.io/Logging_2303/klagomålsmail/A 34317-2025 FSC-klagomål mail.docx", "A 34317-2025")</f>
        <v/>
      </c>
      <c r="X83">
        <f>HYPERLINK("https://klasma.github.io/Logging_2303/tillsyn/A 34317-2025 tillsynsbegäran.docx", "A 34317-2025")</f>
        <v/>
      </c>
      <c r="Y83">
        <f>HYPERLINK("https://klasma.github.io/Logging_2303/tillsynsmail/A 34317-2025 tillsynsbegäran mail.docx", "A 34317-2025")</f>
        <v/>
      </c>
      <c r="Z83">
        <f>HYPERLINK("https://klasma.github.io/Logging_2303/fåglar/A 34317-2025 prioriterade fågelarter.docx", "A 34317-2025")</f>
        <v/>
      </c>
    </row>
    <row r="84" ht="15" customHeight="1">
      <c r="A84" t="inlineStr">
        <is>
          <t>A 60669-2022</t>
        </is>
      </c>
      <c r="B84" s="1" t="n">
        <v>44911</v>
      </c>
      <c r="C84" s="1" t="n">
        <v>45888</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36276-2025</t>
        </is>
      </c>
      <c r="B85" s="1" t="n">
        <v>45867.63619212963</v>
      </c>
      <c r="C85" s="1" t="n">
        <v>45888</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19402-2025</t>
        </is>
      </c>
      <c r="B86" s="1" t="n">
        <v>45769.67778935185</v>
      </c>
      <c r="C86" s="1" t="n">
        <v>45888</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30884-2025</t>
        </is>
      </c>
      <c r="B87" s="1" t="n">
        <v>45832.34564814815</v>
      </c>
      <c r="C87" s="1" t="n">
        <v>45888</v>
      </c>
      <c r="D87" t="inlineStr">
        <is>
          <t>JÄMTLANDS LÄN</t>
        </is>
      </c>
      <c r="E87" t="inlineStr">
        <is>
          <t>RAGUNDA</t>
        </is>
      </c>
      <c r="F87" t="inlineStr">
        <is>
          <t>SCA</t>
        </is>
      </c>
      <c r="G87" t="n">
        <v>5.7</v>
      </c>
      <c r="H87" t="n">
        <v>0</v>
      </c>
      <c r="I87" t="n">
        <v>1</v>
      </c>
      <c r="J87" t="n">
        <v>5</v>
      </c>
      <c r="K87" t="n">
        <v>0</v>
      </c>
      <c r="L87" t="n">
        <v>0</v>
      </c>
      <c r="M87" t="n">
        <v>0</v>
      </c>
      <c r="N87" t="n">
        <v>0</v>
      </c>
      <c r="O87" t="n">
        <v>5</v>
      </c>
      <c r="P87" t="n">
        <v>0</v>
      </c>
      <c r="Q87" t="n">
        <v>6</v>
      </c>
      <c r="R87" s="2" t="inlineStr">
        <is>
          <t>Garnlav
Granticka
Rosenticka
Stjärntagging
Ullticka
Rödgul trumpetsvamp</t>
        </is>
      </c>
      <c r="S87">
        <f>HYPERLINK("https://klasma.github.io/Logging_2303/artfynd/A 30884-2025 artfynd.xlsx", "A 30884-2025")</f>
        <v/>
      </c>
      <c r="T87">
        <f>HYPERLINK("https://klasma.github.io/Logging_2303/kartor/A 30884-2025 karta.png", "A 30884-2025")</f>
        <v/>
      </c>
      <c r="V87">
        <f>HYPERLINK("https://klasma.github.io/Logging_2303/klagomål/A 30884-2025 FSC-klagomål.docx", "A 30884-2025")</f>
        <v/>
      </c>
      <c r="W87">
        <f>HYPERLINK("https://klasma.github.io/Logging_2303/klagomålsmail/A 30884-2025 FSC-klagomål mail.docx", "A 30884-2025")</f>
        <v/>
      </c>
      <c r="X87">
        <f>HYPERLINK("https://klasma.github.io/Logging_2303/tillsyn/A 30884-2025 tillsynsbegäran.docx", "A 30884-2025")</f>
        <v/>
      </c>
      <c r="Y87">
        <f>HYPERLINK("https://klasma.github.io/Logging_2303/tillsynsmail/A 30884-2025 tillsynsbegäran mail.docx", "A 30884-2025")</f>
        <v/>
      </c>
    </row>
    <row r="88" ht="15" customHeight="1">
      <c r="A88" t="inlineStr">
        <is>
          <t>A 49239-2024</t>
        </is>
      </c>
      <c r="B88" s="1" t="n">
        <v>45595.44886574074</v>
      </c>
      <c r="C88" s="1" t="n">
        <v>45888</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30637-2024</t>
        </is>
      </c>
      <c r="B89" s="1" t="n">
        <v>45495.56244212963</v>
      </c>
      <c r="C89" s="1" t="n">
        <v>45888</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26326-2024</t>
        </is>
      </c>
      <c r="B90" s="1" t="n">
        <v>45468.97528935185</v>
      </c>
      <c r="C90" s="1" t="n">
        <v>45888</v>
      </c>
      <c r="D90" t="inlineStr">
        <is>
          <t>JÄMTLANDS LÄN</t>
        </is>
      </c>
      <c r="E90" t="inlineStr">
        <is>
          <t>RAGUNDA</t>
        </is>
      </c>
      <c r="F90" t="inlineStr">
        <is>
          <t>SCA</t>
        </is>
      </c>
      <c r="G90" t="n">
        <v>1.8</v>
      </c>
      <c r="H90" t="n">
        <v>1</v>
      </c>
      <c r="I90" t="n">
        <v>1</v>
      </c>
      <c r="J90" t="n">
        <v>4</v>
      </c>
      <c r="K90" t="n">
        <v>1</v>
      </c>
      <c r="L90" t="n">
        <v>0</v>
      </c>
      <c r="M90" t="n">
        <v>0</v>
      </c>
      <c r="N90" t="n">
        <v>0</v>
      </c>
      <c r="O90" t="n">
        <v>5</v>
      </c>
      <c r="P90" t="n">
        <v>1</v>
      </c>
      <c r="Q90" t="n">
        <v>6</v>
      </c>
      <c r="R90" s="2" t="inlineStr">
        <is>
          <t>Knärot
Gammelgransskål
Kortskaftad ärgspik
Mörk kolflarnlav
Vedtrappmossa
Gytterlav</t>
        </is>
      </c>
      <c r="S90">
        <f>HYPERLINK("https://klasma.github.io/Logging_2303/artfynd/A 26326-2024 artfynd.xlsx", "A 26326-2024")</f>
        <v/>
      </c>
      <c r="T90">
        <f>HYPERLINK("https://klasma.github.io/Logging_2303/kartor/A 26326-2024 karta.png", "A 26326-2024")</f>
        <v/>
      </c>
      <c r="U90">
        <f>HYPERLINK("https://klasma.github.io/Logging_2303/knärot/A 26326-2024 karta knärot.png", "A 26326-2024")</f>
        <v/>
      </c>
      <c r="V90">
        <f>HYPERLINK("https://klasma.github.io/Logging_2303/klagomål/A 26326-2024 FSC-klagomål.docx", "A 26326-2024")</f>
        <v/>
      </c>
      <c r="W90">
        <f>HYPERLINK("https://klasma.github.io/Logging_2303/klagomålsmail/A 26326-2024 FSC-klagomål mail.docx", "A 26326-2024")</f>
        <v/>
      </c>
      <c r="X90">
        <f>HYPERLINK("https://klasma.github.io/Logging_2303/tillsyn/A 26326-2024 tillsynsbegäran.docx", "A 26326-2024")</f>
        <v/>
      </c>
      <c r="Y90">
        <f>HYPERLINK("https://klasma.github.io/Logging_2303/tillsynsmail/A 26326-2024 tillsynsbegäran mail.docx", "A 26326-2024")</f>
        <v/>
      </c>
    </row>
    <row r="91" ht="15" customHeight="1">
      <c r="A91" t="inlineStr">
        <is>
          <t>A 27322-2024</t>
        </is>
      </c>
      <c r="B91" s="1" t="n">
        <v>45471.94783564815</v>
      </c>
      <c r="C91" s="1" t="n">
        <v>45888</v>
      </c>
      <c r="D91" t="inlineStr">
        <is>
          <t>JÄMTLANDS LÄN</t>
        </is>
      </c>
      <c r="E91" t="inlineStr">
        <is>
          <t>RAGUNDA</t>
        </is>
      </c>
      <c r="G91" t="n">
        <v>2.3</v>
      </c>
      <c r="H91" t="n">
        <v>1</v>
      </c>
      <c r="I91" t="n">
        <v>0</v>
      </c>
      <c r="J91" t="n">
        <v>5</v>
      </c>
      <c r="K91" t="n">
        <v>1</v>
      </c>
      <c r="L91" t="n">
        <v>0</v>
      </c>
      <c r="M91" t="n">
        <v>0</v>
      </c>
      <c r="N91" t="n">
        <v>0</v>
      </c>
      <c r="O91" t="n">
        <v>6</v>
      </c>
      <c r="P91" t="n">
        <v>1</v>
      </c>
      <c r="Q91" t="n">
        <v>6</v>
      </c>
      <c r="R91" s="2" t="inlineStr">
        <is>
          <t>Knärot
Gammelgransskål
Garnlav
Lunglav
Skrovellav
Vedtrappmossa</t>
        </is>
      </c>
      <c r="S91">
        <f>HYPERLINK("https://klasma.github.io/Logging_2303/artfynd/A 27322-2024 artfynd.xlsx", "A 27322-2024")</f>
        <v/>
      </c>
      <c r="T91">
        <f>HYPERLINK("https://klasma.github.io/Logging_2303/kartor/A 27322-2024 karta.png", "A 27322-2024")</f>
        <v/>
      </c>
      <c r="U91">
        <f>HYPERLINK("https://klasma.github.io/Logging_2303/knärot/A 27322-2024 karta knärot.png", "A 27322-2024")</f>
        <v/>
      </c>
      <c r="V91">
        <f>HYPERLINK("https://klasma.github.io/Logging_2303/klagomål/A 27322-2024 FSC-klagomål.docx", "A 27322-2024")</f>
        <v/>
      </c>
      <c r="W91">
        <f>HYPERLINK("https://klasma.github.io/Logging_2303/klagomålsmail/A 27322-2024 FSC-klagomål mail.docx", "A 27322-2024")</f>
        <v/>
      </c>
      <c r="X91">
        <f>HYPERLINK("https://klasma.github.io/Logging_2303/tillsyn/A 27322-2024 tillsynsbegäran.docx", "A 27322-2024")</f>
        <v/>
      </c>
      <c r="Y91">
        <f>HYPERLINK("https://klasma.github.io/Logging_2303/tillsynsmail/A 27322-2024 tillsynsbegäran mail.docx", "A 27322-2024")</f>
        <v/>
      </c>
    </row>
    <row r="92" ht="15" customHeight="1">
      <c r="A92" t="inlineStr">
        <is>
          <t>A 14908-2022</t>
        </is>
      </c>
      <c r="B92" s="1" t="n">
        <v>44656</v>
      </c>
      <c r="C92" s="1" t="n">
        <v>45888</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15379-2024</t>
        </is>
      </c>
      <c r="B93" s="1" t="n">
        <v>45400.94002314815</v>
      </c>
      <c r="C93" s="1" t="n">
        <v>45888</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45969-2023</t>
        </is>
      </c>
      <c r="B94" s="1" t="n">
        <v>45195</v>
      </c>
      <c r="C94" s="1" t="n">
        <v>45888</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38169-2024</t>
        </is>
      </c>
      <c r="B95" s="1" t="n">
        <v>45545.45748842593</v>
      </c>
      <c r="C95" s="1" t="n">
        <v>45888</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22469-2024</t>
        </is>
      </c>
      <c r="B96" s="1" t="n">
        <v>45446.95087962963</v>
      </c>
      <c r="C96" s="1" t="n">
        <v>45888</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39365-2024</t>
        </is>
      </c>
      <c r="B97" s="1" t="n">
        <v>45551.46912037037</v>
      </c>
      <c r="C97" s="1" t="n">
        <v>45888</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15244-2025</t>
        </is>
      </c>
      <c r="B98" s="1" t="n">
        <v>45744.61550925926</v>
      </c>
      <c r="C98" s="1" t="n">
        <v>45888</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27313-2024</t>
        </is>
      </c>
      <c r="B99" s="1" t="n">
        <v>45471.94623842592</v>
      </c>
      <c r="C99" s="1" t="n">
        <v>45888</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43106-2023</t>
        </is>
      </c>
      <c r="B100" s="1" t="n">
        <v>45182</v>
      </c>
      <c r="C100" s="1" t="n">
        <v>45888</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57073-2023</t>
        </is>
      </c>
      <c r="B101" s="1" t="n">
        <v>45244</v>
      </c>
      <c r="C101" s="1" t="n">
        <v>45888</v>
      </c>
      <c r="D101" t="inlineStr">
        <is>
          <t>JÄMTLANDS LÄN</t>
        </is>
      </c>
      <c r="E101" t="inlineStr">
        <is>
          <t>RAGUNDA</t>
        </is>
      </c>
      <c r="F101" t="inlineStr">
        <is>
          <t>SCA</t>
        </is>
      </c>
      <c r="G101" t="n">
        <v>4.1</v>
      </c>
      <c r="H101" t="n">
        <v>1</v>
      </c>
      <c r="I101" t="n">
        <v>0</v>
      </c>
      <c r="J101" t="n">
        <v>4</v>
      </c>
      <c r="K101" t="n">
        <v>1</v>
      </c>
      <c r="L101" t="n">
        <v>0</v>
      </c>
      <c r="M101" t="n">
        <v>0</v>
      </c>
      <c r="N101" t="n">
        <v>0</v>
      </c>
      <c r="O101" t="n">
        <v>5</v>
      </c>
      <c r="P101" t="n">
        <v>1</v>
      </c>
      <c r="Q101" t="n">
        <v>5</v>
      </c>
      <c r="R101" s="2" t="inlineStr">
        <is>
          <t>Aspgelélav
Granticka
Lunglav
Tretåig hackspett
Ullticka</t>
        </is>
      </c>
      <c r="S101">
        <f>HYPERLINK("https://klasma.github.io/Logging_2303/artfynd/A 57073-2023 artfynd.xlsx", "A 57073-2023")</f>
        <v/>
      </c>
      <c r="T101">
        <f>HYPERLINK("https://klasma.github.io/Logging_2303/kartor/A 57073-2023 karta.png", "A 57073-2023")</f>
        <v/>
      </c>
      <c r="V101">
        <f>HYPERLINK("https://klasma.github.io/Logging_2303/klagomål/A 57073-2023 FSC-klagomål.docx", "A 57073-2023")</f>
        <v/>
      </c>
      <c r="W101">
        <f>HYPERLINK("https://klasma.github.io/Logging_2303/klagomålsmail/A 57073-2023 FSC-klagomål mail.docx", "A 57073-2023")</f>
        <v/>
      </c>
      <c r="X101">
        <f>HYPERLINK("https://klasma.github.io/Logging_2303/tillsyn/A 57073-2023 tillsynsbegäran.docx", "A 57073-2023")</f>
        <v/>
      </c>
      <c r="Y101">
        <f>HYPERLINK("https://klasma.github.io/Logging_2303/tillsynsmail/A 57073-2023 tillsynsbegäran mail.docx", "A 57073-2023")</f>
        <v/>
      </c>
      <c r="Z101">
        <f>HYPERLINK("https://klasma.github.io/Logging_2303/fåglar/A 57073-2023 prioriterade fågelarter.docx", "A 57073-2023")</f>
        <v/>
      </c>
    </row>
    <row r="102" ht="15" customHeight="1">
      <c r="A102" t="inlineStr">
        <is>
          <t>A 30886-2025</t>
        </is>
      </c>
      <c r="B102" s="1" t="n">
        <v>45832.34578703704</v>
      </c>
      <c r="C102" s="1" t="n">
        <v>45888</v>
      </c>
      <c r="D102" t="inlineStr">
        <is>
          <t>JÄMTLANDS LÄN</t>
        </is>
      </c>
      <c r="E102" t="inlineStr">
        <is>
          <t>RAGUNDA</t>
        </is>
      </c>
      <c r="F102" t="inlineStr">
        <is>
          <t>SCA</t>
        </is>
      </c>
      <c r="G102" t="n">
        <v>4.4</v>
      </c>
      <c r="H102" t="n">
        <v>3</v>
      </c>
      <c r="I102" t="n">
        <v>1</v>
      </c>
      <c r="J102" t="n">
        <v>2</v>
      </c>
      <c r="K102" t="n">
        <v>1</v>
      </c>
      <c r="L102" t="n">
        <v>0</v>
      </c>
      <c r="M102" t="n">
        <v>0</v>
      </c>
      <c r="N102" t="n">
        <v>0</v>
      </c>
      <c r="O102" t="n">
        <v>3</v>
      </c>
      <c r="P102" t="n">
        <v>1</v>
      </c>
      <c r="Q102" t="n">
        <v>5</v>
      </c>
      <c r="R102" s="2" t="inlineStr">
        <is>
          <t>Knärot
Järpe
Lunglav
Ögonpyrola
Nattviol</t>
        </is>
      </c>
      <c r="S102">
        <f>HYPERLINK("https://klasma.github.io/Logging_2303/artfynd/A 30886-2025 artfynd.xlsx", "A 30886-2025")</f>
        <v/>
      </c>
      <c r="T102">
        <f>HYPERLINK("https://klasma.github.io/Logging_2303/kartor/A 30886-2025 karta.png", "A 30886-2025")</f>
        <v/>
      </c>
      <c r="U102">
        <f>HYPERLINK("https://klasma.github.io/Logging_2303/knärot/A 30886-2025 karta knärot.png", "A 30886-2025")</f>
        <v/>
      </c>
      <c r="V102">
        <f>HYPERLINK("https://klasma.github.io/Logging_2303/klagomål/A 30886-2025 FSC-klagomål.docx", "A 30886-2025")</f>
        <v/>
      </c>
      <c r="W102">
        <f>HYPERLINK("https://klasma.github.io/Logging_2303/klagomålsmail/A 30886-2025 FSC-klagomål mail.docx", "A 30886-2025")</f>
        <v/>
      </c>
      <c r="X102">
        <f>HYPERLINK("https://klasma.github.io/Logging_2303/tillsyn/A 30886-2025 tillsynsbegäran.docx", "A 30886-2025")</f>
        <v/>
      </c>
      <c r="Y102">
        <f>HYPERLINK("https://klasma.github.io/Logging_2303/tillsynsmail/A 30886-2025 tillsynsbegäran mail.docx", "A 30886-2025")</f>
        <v/>
      </c>
      <c r="Z102">
        <f>HYPERLINK("https://klasma.github.io/Logging_2303/fåglar/A 30886-2025 prioriterade fågelarter.docx", "A 30886-2025")</f>
        <v/>
      </c>
    </row>
    <row r="103" ht="15" customHeight="1">
      <c r="A103" t="inlineStr">
        <is>
          <t>A 13266-2023</t>
        </is>
      </c>
      <c r="B103" s="1" t="n">
        <v>45002.94356481481</v>
      </c>
      <c r="C103" s="1" t="n">
        <v>45888</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60683-2022</t>
        </is>
      </c>
      <c r="B104" s="1" t="n">
        <v>44911</v>
      </c>
      <c r="C104" s="1" t="n">
        <v>45888</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2579-2025</t>
        </is>
      </c>
      <c r="B105" s="1" t="n">
        <v>45674.67744212963</v>
      </c>
      <c r="C105" s="1" t="n">
        <v>45888</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18629-2024</t>
        </is>
      </c>
      <c r="B106" s="1" t="n">
        <v>45425.96472222222</v>
      </c>
      <c r="C106" s="1" t="n">
        <v>45888</v>
      </c>
      <c r="D106" t="inlineStr">
        <is>
          <t>JÄMTLANDS LÄN</t>
        </is>
      </c>
      <c r="E106" t="inlineStr">
        <is>
          <t>RAGUNDA</t>
        </is>
      </c>
      <c r="F106" t="inlineStr">
        <is>
          <t>SCA</t>
        </is>
      </c>
      <c r="G106" t="n">
        <v>1.6</v>
      </c>
      <c r="H106" t="n">
        <v>2</v>
      </c>
      <c r="I106" t="n">
        <v>1</v>
      </c>
      <c r="J106" t="n">
        <v>3</v>
      </c>
      <c r="K106" t="n">
        <v>0</v>
      </c>
      <c r="L106" t="n">
        <v>0</v>
      </c>
      <c r="M106" t="n">
        <v>0</v>
      </c>
      <c r="N106" t="n">
        <v>0</v>
      </c>
      <c r="O106" t="n">
        <v>3</v>
      </c>
      <c r="P106" t="n">
        <v>0</v>
      </c>
      <c r="Q106" t="n">
        <v>5</v>
      </c>
      <c r="R106" s="2" t="inlineStr">
        <is>
          <t>Garnlav
Lunglav
Tretåig hackspett
Stuplav
Fläcknycklar</t>
        </is>
      </c>
      <c r="S106">
        <f>HYPERLINK("https://klasma.github.io/Logging_2303/artfynd/A 18629-2024 artfynd.xlsx", "A 18629-2024")</f>
        <v/>
      </c>
      <c r="T106">
        <f>HYPERLINK("https://klasma.github.io/Logging_2303/kartor/A 18629-2024 karta.png", "A 18629-2024")</f>
        <v/>
      </c>
      <c r="V106">
        <f>HYPERLINK("https://klasma.github.io/Logging_2303/klagomål/A 18629-2024 FSC-klagomål.docx", "A 18629-2024")</f>
        <v/>
      </c>
      <c r="W106">
        <f>HYPERLINK("https://klasma.github.io/Logging_2303/klagomålsmail/A 18629-2024 FSC-klagomål mail.docx", "A 18629-2024")</f>
        <v/>
      </c>
      <c r="X106">
        <f>HYPERLINK("https://klasma.github.io/Logging_2303/tillsyn/A 18629-2024 tillsynsbegäran.docx", "A 18629-2024")</f>
        <v/>
      </c>
      <c r="Y106">
        <f>HYPERLINK("https://klasma.github.io/Logging_2303/tillsynsmail/A 18629-2024 tillsynsbegäran mail.docx", "A 18629-2024")</f>
        <v/>
      </c>
      <c r="Z106">
        <f>HYPERLINK("https://klasma.github.io/Logging_2303/fåglar/A 18629-2024 prioriterade fågelarter.docx", "A 18629-2024")</f>
        <v/>
      </c>
    </row>
    <row r="107" ht="15" customHeight="1">
      <c r="A107" t="inlineStr">
        <is>
          <t>A 8636-2021</t>
        </is>
      </c>
      <c r="B107" s="1" t="n">
        <v>44245</v>
      </c>
      <c r="C107" s="1" t="n">
        <v>45888</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45888</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45888</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23663-2021</t>
        </is>
      </c>
      <c r="B110" s="1" t="n">
        <v>44334</v>
      </c>
      <c r="C110" s="1" t="n">
        <v>45888</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15667-2022</t>
        </is>
      </c>
      <c r="B111" s="1" t="n">
        <v>44662</v>
      </c>
      <c r="C111" s="1" t="n">
        <v>45888</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23682-2021</t>
        </is>
      </c>
      <c r="B112" s="1" t="n">
        <v>44334</v>
      </c>
      <c r="C112" s="1" t="n">
        <v>45888</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17092-2022</t>
        </is>
      </c>
      <c r="B113" s="1" t="n">
        <v>44677</v>
      </c>
      <c r="C113" s="1" t="n">
        <v>45888</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60670-2022</t>
        </is>
      </c>
      <c r="B114" s="1" t="n">
        <v>44911</v>
      </c>
      <c r="C114" s="1" t="n">
        <v>45888</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21372-2025</t>
        </is>
      </c>
      <c r="B115" s="1" t="n">
        <v>45782.44871527778</v>
      </c>
      <c r="C115" s="1" t="n">
        <v>45888</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43960-2023</t>
        </is>
      </c>
      <c r="B116" s="1" t="n">
        <v>45187</v>
      </c>
      <c r="C116" s="1" t="n">
        <v>45888</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30483-2024</t>
        </is>
      </c>
      <c r="B117" s="1" t="n">
        <v>45491</v>
      </c>
      <c r="C117" s="1" t="n">
        <v>45888</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12640-2024</t>
        </is>
      </c>
      <c r="B118" s="1" t="n">
        <v>45384</v>
      </c>
      <c r="C118" s="1" t="n">
        <v>45888</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23931-2024</t>
        </is>
      </c>
      <c r="B119" s="1" t="n">
        <v>45455.96195601852</v>
      </c>
      <c r="C119" s="1" t="n">
        <v>45888</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52644-2024</t>
        </is>
      </c>
      <c r="B120" s="1" t="n">
        <v>45610.34415509259</v>
      </c>
      <c r="C120" s="1" t="n">
        <v>45888</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12268-2024</t>
        </is>
      </c>
      <c r="B121" s="1" t="n">
        <v>45378</v>
      </c>
      <c r="C121" s="1" t="n">
        <v>45888</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32067-2024</t>
        </is>
      </c>
      <c r="B122" s="1" t="n">
        <v>45510</v>
      </c>
      <c r="C122" s="1" t="n">
        <v>45888</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26082-2025</t>
        </is>
      </c>
      <c r="B123" s="1" t="n">
        <v>45805.34415509259</v>
      </c>
      <c r="C123" s="1" t="n">
        <v>45888</v>
      </c>
      <c r="D123" t="inlineStr">
        <is>
          <t>JÄMTLANDS LÄN</t>
        </is>
      </c>
      <c r="E123" t="inlineStr">
        <is>
          <t>RAGUNDA</t>
        </is>
      </c>
      <c r="F123" t="inlineStr">
        <is>
          <t>SCA</t>
        </is>
      </c>
      <c r="G123" t="n">
        <v>5</v>
      </c>
      <c r="H123" t="n">
        <v>1</v>
      </c>
      <c r="I123" t="n">
        <v>0</v>
      </c>
      <c r="J123" t="n">
        <v>3</v>
      </c>
      <c r="K123" t="n">
        <v>1</v>
      </c>
      <c r="L123" t="n">
        <v>0</v>
      </c>
      <c r="M123" t="n">
        <v>0</v>
      </c>
      <c r="N123" t="n">
        <v>0</v>
      </c>
      <c r="O123" t="n">
        <v>4</v>
      </c>
      <c r="P123" t="n">
        <v>1</v>
      </c>
      <c r="Q123" t="n">
        <v>4</v>
      </c>
      <c r="R123" s="2" t="inlineStr">
        <is>
          <t>Knärot
Gammelgransskål
Lunglav
Vitgrynig nållav</t>
        </is>
      </c>
      <c r="S123">
        <f>HYPERLINK("https://klasma.github.io/Logging_2303/artfynd/A 26082-2025 artfynd.xlsx", "A 26082-2025")</f>
        <v/>
      </c>
      <c r="T123">
        <f>HYPERLINK("https://klasma.github.io/Logging_2303/kartor/A 26082-2025 karta.png", "A 26082-2025")</f>
        <v/>
      </c>
      <c r="U123">
        <f>HYPERLINK("https://klasma.github.io/Logging_2303/knärot/A 26082-2025 karta knärot.png", "A 26082-2025")</f>
        <v/>
      </c>
      <c r="V123">
        <f>HYPERLINK("https://klasma.github.io/Logging_2303/klagomål/A 26082-2025 FSC-klagomål.docx", "A 26082-2025")</f>
        <v/>
      </c>
      <c r="W123">
        <f>HYPERLINK("https://klasma.github.io/Logging_2303/klagomålsmail/A 26082-2025 FSC-klagomål mail.docx", "A 26082-2025")</f>
        <v/>
      </c>
      <c r="X123">
        <f>HYPERLINK("https://klasma.github.io/Logging_2303/tillsyn/A 26082-2025 tillsynsbegäran.docx", "A 26082-2025")</f>
        <v/>
      </c>
      <c r="Y123">
        <f>HYPERLINK("https://klasma.github.io/Logging_2303/tillsynsmail/A 26082-2025 tillsynsbegäran mail.docx", "A 26082-2025")</f>
        <v/>
      </c>
    </row>
    <row r="124" ht="15" customHeight="1">
      <c r="A124" t="inlineStr">
        <is>
          <t>A 51686-2020</t>
        </is>
      </c>
      <c r="B124" s="1" t="n">
        <v>44113</v>
      </c>
      <c r="C124" s="1" t="n">
        <v>45888</v>
      </c>
      <c r="D124" t="inlineStr">
        <is>
          <t>JÄMTLANDS LÄN</t>
        </is>
      </c>
      <c r="E124" t="inlineStr">
        <is>
          <t>RAGUNDA</t>
        </is>
      </c>
      <c r="F124" t="inlineStr">
        <is>
          <t>SCA</t>
        </is>
      </c>
      <c r="G124" t="n">
        <v>1.8</v>
      </c>
      <c r="H124" t="n">
        <v>0</v>
      </c>
      <c r="I124" t="n">
        <v>1</v>
      </c>
      <c r="J124" t="n">
        <v>3</v>
      </c>
      <c r="K124" t="n">
        <v>0</v>
      </c>
      <c r="L124" t="n">
        <v>0</v>
      </c>
      <c r="M124" t="n">
        <v>0</v>
      </c>
      <c r="N124" t="n">
        <v>0</v>
      </c>
      <c r="O124" t="n">
        <v>3</v>
      </c>
      <c r="P124" t="n">
        <v>0</v>
      </c>
      <c r="Q124" t="n">
        <v>4</v>
      </c>
      <c r="R124" s="2" t="inlineStr">
        <is>
          <t>Kolflarnlav
Lunglav
Skrovellav
Stuplav</t>
        </is>
      </c>
      <c r="S124">
        <f>HYPERLINK("https://klasma.github.io/Logging_2303/artfynd/A 51686-2020 artfynd.xlsx", "A 51686-2020")</f>
        <v/>
      </c>
      <c r="T124">
        <f>HYPERLINK("https://klasma.github.io/Logging_2303/kartor/A 51686-2020 karta.png", "A 51686-2020")</f>
        <v/>
      </c>
      <c r="V124">
        <f>HYPERLINK("https://klasma.github.io/Logging_2303/klagomål/A 51686-2020 FSC-klagomål.docx", "A 51686-2020")</f>
        <v/>
      </c>
      <c r="W124">
        <f>HYPERLINK("https://klasma.github.io/Logging_2303/klagomålsmail/A 51686-2020 FSC-klagomål mail.docx", "A 51686-2020")</f>
        <v/>
      </c>
      <c r="X124">
        <f>HYPERLINK("https://klasma.github.io/Logging_2303/tillsyn/A 51686-2020 tillsynsbegäran.docx", "A 51686-2020")</f>
        <v/>
      </c>
      <c r="Y124">
        <f>HYPERLINK("https://klasma.github.io/Logging_2303/tillsynsmail/A 51686-2020 tillsynsbegäran mail.docx", "A 51686-2020")</f>
        <v/>
      </c>
    </row>
    <row r="125" ht="15" customHeight="1">
      <c r="A125" t="inlineStr">
        <is>
          <t>A 30465-2024</t>
        </is>
      </c>
      <c r="B125" s="1" t="n">
        <v>45491</v>
      </c>
      <c r="C125" s="1" t="n">
        <v>45888</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15836-2024</t>
        </is>
      </c>
      <c r="B126" s="1" t="n">
        <v>45404</v>
      </c>
      <c r="C126" s="1" t="n">
        <v>45888</v>
      </c>
      <c r="D126" t="inlineStr">
        <is>
          <t>JÄMTLANDS LÄN</t>
        </is>
      </c>
      <c r="E126" t="inlineStr">
        <is>
          <t>RAGUNDA</t>
        </is>
      </c>
      <c r="F126" t="inlineStr">
        <is>
          <t>Kommuner</t>
        </is>
      </c>
      <c r="G126" t="n">
        <v>3.1</v>
      </c>
      <c r="H126" t="n">
        <v>0</v>
      </c>
      <c r="I126" t="n">
        <v>2</v>
      </c>
      <c r="J126" t="n">
        <v>1</v>
      </c>
      <c r="K126" t="n">
        <v>0</v>
      </c>
      <c r="L126" t="n">
        <v>1</v>
      </c>
      <c r="M126" t="n">
        <v>0</v>
      </c>
      <c r="N126" t="n">
        <v>0</v>
      </c>
      <c r="O126" t="n">
        <v>2</v>
      </c>
      <c r="P126" t="n">
        <v>1</v>
      </c>
      <c r="Q126" t="n">
        <v>4</v>
      </c>
      <c r="R126" s="2" t="inlineStr">
        <is>
          <t>Trolldruvemätare
Lunglav
Stor aspticka
Svart trolldruva</t>
        </is>
      </c>
      <c r="S126">
        <f>HYPERLINK("https://klasma.github.io/Logging_2303/artfynd/A 15836-2024 artfynd.xlsx", "A 15836-2024")</f>
        <v/>
      </c>
      <c r="T126">
        <f>HYPERLINK("https://klasma.github.io/Logging_2303/kartor/A 15836-2024 karta.png", "A 15836-2024")</f>
        <v/>
      </c>
      <c r="V126">
        <f>HYPERLINK("https://klasma.github.io/Logging_2303/klagomål/A 15836-2024 FSC-klagomål.docx", "A 15836-2024")</f>
        <v/>
      </c>
      <c r="W126">
        <f>HYPERLINK("https://klasma.github.io/Logging_2303/klagomålsmail/A 15836-2024 FSC-klagomål mail.docx", "A 15836-2024")</f>
        <v/>
      </c>
      <c r="X126">
        <f>HYPERLINK("https://klasma.github.io/Logging_2303/tillsyn/A 15836-2024 tillsynsbegäran.docx", "A 15836-2024")</f>
        <v/>
      </c>
      <c r="Y126">
        <f>HYPERLINK("https://klasma.github.io/Logging_2303/tillsynsmail/A 15836-2024 tillsynsbegäran mail.docx", "A 15836-2024")</f>
        <v/>
      </c>
    </row>
    <row r="127" ht="15" customHeight="1">
      <c r="A127" t="inlineStr">
        <is>
          <t>A 22467-2025</t>
        </is>
      </c>
      <c r="B127" s="1" t="n">
        <v>45786.61534722222</v>
      </c>
      <c r="C127" s="1" t="n">
        <v>45888</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48052-2022</t>
        </is>
      </c>
      <c r="B128" s="1" t="n">
        <v>44855</v>
      </c>
      <c r="C128" s="1" t="n">
        <v>45888</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45888</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58368-2024</t>
        </is>
      </c>
      <c r="B130" s="1" t="n">
        <v>45632.69822916666</v>
      </c>
      <c r="C130" s="1" t="n">
        <v>45888</v>
      </c>
      <c r="D130" t="inlineStr">
        <is>
          <t>JÄMTLANDS LÄN</t>
        </is>
      </c>
      <c r="E130" t="inlineStr">
        <is>
          <t>RAGUNDA</t>
        </is>
      </c>
      <c r="F130" t="inlineStr">
        <is>
          <t>SCA</t>
        </is>
      </c>
      <c r="G130" t="n">
        <v>4.1</v>
      </c>
      <c r="H130" t="n">
        <v>2</v>
      </c>
      <c r="I130" t="n">
        <v>0</v>
      </c>
      <c r="J130" t="n">
        <v>3</v>
      </c>
      <c r="K130" t="n">
        <v>0</v>
      </c>
      <c r="L130" t="n">
        <v>0</v>
      </c>
      <c r="M130" t="n">
        <v>0</v>
      </c>
      <c r="N130" t="n">
        <v>0</v>
      </c>
      <c r="O130" t="n">
        <v>3</v>
      </c>
      <c r="P130" t="n">
        <v>0</v>
      </c>
      <c r="Q130" t="n">
        <v>3</v>
      </c>
      <c r="R130" s="2" t="inlineStr">
        <is>
          <t>Järpe
Lunglav
Tretåig hackspett</t>
        </is>
      </c>
      <c r="S130">
        <f>HYPERLINK("https://klasma.github.io/Logging_2303/artfynd/A 58368-2024 artfynd.xlsx", "A 58368-2024")</f>
        <v/>
      </c>
      <c r="T130">
        <f>HYPERLINK("https://klasma.github.io/Logging_2303/kartor/A 58368-2024 karta.png", "A 58368-2024")</f>
        <v/>
      </c>
      <c r="V130">
        <f>HYPERLINK("https://klasma.github.io/Logging_2303/klagomål/A 58368-2024 FSC-klagomål.docx", "A 58368-2024")</f>
        <v/>
      </c>
      <c r="W130">
        <f>HYPERLINK("https://klasma.github.io/Logging_2303/klagomålsmail/A 58368-2024 FSC-klagomål mail.docx", "A 58368-2024")</f>
        <v/>
      </c>
      <c r="X130">
        <f>HYPERLINK("https://klasma.github.io/Logging_2303/tillsyn/A 58368-2024 tillsynsbegäran.docx", "A 58368-2024")</f>
        <v/>
      </c>
      <c r="Y130">
        <f>HYPERLINK("https://klasma.github.io/Logging_2303/tillsynsmail/A 58368-2024 tillsynsbegäran mail.docx", "A 58368-2024")</f>
        <v/>
      </c>
      <c r="Z130">
        <f>HYPERLINK("https://klasma.github.io/Logging_2303/fåglar/A 58368-2024 prioriterade fågelarter.docx", "A 58368-2024")</f>
        <v/>
      </c>
    </row>
    <row r="131" ht="15" customHeight="1">
      <c r="A131" t="inlineStr">
        <is>
          <t>A 12737-2025</t>
        </is>
      </c>
      <c r="B131" s="1" t="n">
        <v>45733</v>
      </c>
      <c r="C131" s="1" t="n">
        <v>45888</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18616-2024</t>
        </is>
      </c>
      <c r="B132" s="1" t="n">
        <v>45425.96285879629</v>
      </c>
      <c r="C132" s="1" t="n">
        <v>45888</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5048-2025</t>
        </is>
      </c>
      <c r="B133" s="1" t="n">
        <v>45691.44769675926</v>
      </c>
      <c r="C133" s="1" t="n">
        <v>45888</v>
      </c>
      <c r="D133" t="inlineStr">
        <is>
          <t>JÄMTLANDS LÄN</t>
        </is>
      </c>
      <c r="E133" t="inlineStr">
        <is>
          <t>RAGUNDA</t>
        </is>
      </c>
      <c r="F133" t="inlineStr">
        <is>
          <t>SCA</t>
        </is>
      </c>
      <c r="G133" t="n">
        <v>1.8</v>
      </c>
      <c r="H133" t="n">
        <v>3</v>
      </c>
      <c r="I133" t="n">
        <v>2</v>
      </c>
      <c r="J133" t="n">
        <v>0</v>
      </c>
      <c r="K133" t="n">
        <v>0</v>
      </c>
      <c r="L133" t="n">
        <v>0</v>
      </c>
      <c r="M133" t="n">
        <v>0</v>
      </c>
      <c r="N133" t="n">
        <v>0</v>
      </c>
      <c r="O133" t="n">
        <v>0</v>
      </c>
      <c r="P133" t="n">
        <v>0</v>
      </c>
      <c r="Q133" t="n">
        <v>3</v>
      </c>
      <c r="R133" s="2" t="inlineStr">
        <is>
          <t>Guckusko
Tvåblad
Fläcknycklar</t>
        </is>
      </c>
      <c r="S133">
        <f>HYPERLINK("https://klasma.github.io/Logging_2303/artfynd/A 5048-2025 artfynd.xlsx", "A 5048-2025")</f>
        <v/>
      </c>
      <c r="T133">
        <f>HYPERLINK("https://klasma.github.io/Logging_2303/kartor/A 5048-2025 karta.png", "A 5048-2025")</f>
        <v/>
      </c>
      <c r="V133">
        <f>HYPERLINK("https://klasma.github.io/Logging_2303/klagomål/A 5048-2025 FSC-klagomål.docx", "A 5048-2025")</f>
        <v/>
      </c>
      <c r="W133">
        <f>HYPERLINK("https://klasma.github.io/Logging_2303/klagomålsmail/A 5048-2025 FSC-klagomål mail.docx", "A 5048-2025")</f>
        <v/>
      </c>
      <c r="X133">
        <f>HYPERLINK("https://klasma.github.io/Logging_2303/tillsyn/A 5048-2025 tillsynsbegäran.docx", "A 5048-2025")</f>
        <v/>
      </c>
      <c r="Y133">
        <f>HYPERLINK("https://klasma.github.io/Logging_2303/tillsynsmail/A 5048-2025 tillsynsbegäran mail.docx", "A 5048-2025")</f>
        <v/>
      </c>
    </row>
    <row r="134" ht="15" customHeight="1">
      <c r="A134" t="inlineStr">
        <is>
          <t>A 32903-2024</t>
        </is>
      </c>
      <c r="B134" s="1" t="n">
        <v>45516.94723379629</v>
      </c>
      <c r="C134" s="1" t="n">
        <v>45888</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53022-2022</t>
        </is>
      </c>
      <c r="B135" s="1" t="n">
        <v>44875</v>
      </c>
      <c r="C135" s="1" t="n">
        <v>45888</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21248-2025</t>
        </is>
      </c>
      <c r="B136" s="1" t="n">
        <v>45779.57392361111</v>
      </c>
      <c r="C136" s="1" t="n">
        <v>45888</v>
      </c>
      <c r="D136" t="inlineStr">
        <is>
          <t>JÄMTLANDS LÄN</t>
        </is>
      </c>
      <c r="E136" t="inlineStr">
        <is>
          <t>RAGUNDA</t>
        </is>
      </c>
      <c r="F136" t="inlineStr">
        <is>
          <t>SCA</t>
        </is>
      </c>
      <c r="G136" t="n">
        <v>2.9</v>
      </c>
      <c r="H136" t="n">
        <v>1</v>
      </c>
      <c r="I136" t="n">
        <v>1</v>
      </c>
      <c r="J136" t="n">
        <v>2</v>
      </c>
      <c r="K136" t="n">
        <v>0</v>
      </c>
      <c r="L136" t="n">
        <v>0</v>
      </c>
      <c r="M136" t="n">
        <v>0</v>
      </c>
      <c r="N136" t="n">
        <v>0</v>
      </c>
      <c r="O136" t="n">
        <v>2</v>
      </c>
      <c r="P136" t="n">
        <v>0</v>
      </c>
      <c r="Q136" t="n">
        <v>3</v>
      </c>
      <c r="R136" s="2" t="inlineStr">
        <is>
          <t>Garnlav
Tretåig hackspett
Vedticka</t>
        </is>
      </c>
      <c r="S136">
        <f>HYPERLINK("https://klasma.github.io/Logging_2303/artfynd/A 21248-2025 artfynd.xlsx", "A 21248-2025")</f>
        <v/>
      </c>
      <c r="T136">
        <f>HYPERLINK("https://klasma.github.io/Logging_2303/kartor/A 21248-2025 karta.png", "A 21248-2025")</f>
        <v/>
      </c>
      <c r="V136">
        <f>HYPERLINK("https://klasma.github.io/Logging_2303/klagomål/A 21248-2025 FSC-klagomål.docx", "A 21248-2025")</f>
        <v/>
      </c>
      <c r="W136">
        <f>HYPERLINK("https://klasma.github.io/Logging_2303/klagomålsmail/A 21248-2025 FSC-klagomål mail.docx", "A 21248-2025")</f>
        <v/>
      </c>
      <c r="X136">
        <f>HYPERLINK("https://klasma.github.io/Logging_2303/tillsyn/A 21248-2025 tillsynsbegäran.docx", "A 21248-2025")</f>
        <v/>
      </c>
      <c r="Y136">
        <f>HYPERLINK("https://klasma.github.io/Logging_2303/tillsynsmail/A 21248-2025 tillsynsbegäran mail.docx", "A 21248-2025")</f>
        <v/>
      </c>
      <c r="Z136">
        <f>HYPERLINK("https://klasma.github.io/Logging_2303/fåglar/A 21248-2025 prioriterade fågelarter.docx", "A 21248-2025")</f>
        <v/>
      </c>
    </row>
    <row r="137" ht="15" customHeight="1">
      <c r="A137" t="inlineStr">
        <is>
          <t>A 61790-2023</t>
        </is>
      </c>
      <c r="B137" s="1" t="n">
        <v>45265</v>
      </c>
      <c r="C137" s="1" t="n">
        <v>45888</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30470-2024</t>
        </is>
      </c>
      <c r="B138" s="1" t="n">
        <v>45491.94715277778</v>
      </c>
      <c r="C138" s="1" t="n">
        <v>45888</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58737-2022</t>
        </is>
      </c>
      <c r="B139" s="1" t="n">
        <v>44902</v>
      </c>
      <c r="C139" s="1" t="n">
        <v>45888</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44302-2023</t>
        </is>
      </c>
      <c r="B140" s="1" t="n">
        <v>45188</v>
      </c>
      <c r="C140" s="1" t="n">
        <v>45888</v>
      </c>
      <c r="D140" t="inlineStr">
        <is>
          <t>JÄMTLANDS LÄN</t>
        </is>
      </c>
      <c r="E140" t="inlineStr">
        <is>
          <t>RAGUNDA</t>
        </is>
      </c>
      <c r="G140" t="n">
        <v>9.1</v>
      </c>
      <c r="H140" t="n">
        <v>1</v>
      </c>
      <c r="I140" t="n">
        <v>1</v>
      </c>
      <c r="J140" t="n">
        <v>2</v>
      </c>
      <c r="K140" t="n">
        <v>0</v>
      </c>
      <c r="L140" t="n">
        <v>0</v>
      </c>
      <c r="M140" t="n">
        <v>0</v>
      </c>
      <c r="N140" t="n">
        <v>0</v>
      </c>
      <c r="O140" t="n">
        <v>2</v>
      </c>
      <c r="P140" t="n">
        <v>0</v>
      </c>
      <c r="Q140" t="n">
        <v>3</v>
      </c>
      <c r="R140" s="2" t="inlineStr">
        <is>
          <t>Lunglav
Skrovellav
Korallrot</t>
        </is>
      </c>
      <c r="S140">
        <f>HYPERLINK("https://klasma.github.io/Logging_2303/artfynd/A 44302-2023 artfynd.xlsx", "A 44302-2023")</f>
        <v/>
      </c>
      <c r="T140">
        <f>HYPERLINK("https://klasma.github.io/Logging_2303/kartor/A 44302-2023 karta.png", "A 44302-2023")</f>
        <v/>
      </c>
      <c r="V140">
        <f>HYPERLINK("https://klasma.github.io/Logging_2303/klagomål/A 44302-2023 FSC-klagomål.docx", "A 44302-2023")</f>
        <v/>
      </c>
      <c r="W140">
        <f>HYPERLINK("https://klasma.github.io/Logging_2303/klagomålsmail/A 44302-2023 FSC-klagomål mail.docx", "A 44302-2023")</f>
        <v/>
      </c>
      <c r="X140">
        <f>HYPERLINK("https://klasma.github.io/Logging_2303/tillsyn/A 44302-2023 tillsynsbegäran.docx", "A 44302-2023")</f>
        <v/>
      </c>
      <c r="Y140">
        <f>HYPERLINK("https://klasma.github.io/Logging_2303/tillsynsmail/A 44302-2023 tillsynsbegäran mail.docx", "A 44302-2023")</f>
        <v/>
      </c>
    </row>
    <row r="141" ht="15" customHeight="1">
      <c r="A141" t="inlineStr">
        <is>
          <t>A 57941-2024</t>
        </is>
      </c>
      <c r="B141" s="1" t="n">
        <v>45631</v>
      </c>
      <c r="C141" s="1" t="n">
        <v>45888</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48054-2022</t>
        </is>
      </c>
      <c r="B142" s="1" t="n">
        <v>44855</v>
      </c>
      <c r="C142" s="1" t="n">
        <v>45888</v>
      </c>
      <c r="D142" t="inlineStr">
        <is>
          <t>JÄMTLANDS LÄN</t>
        </is>
      </c>
      <c r="E142" t="inlineStr">
        <is>
          <t>RAGUNDA</t>
        </is>
      </c>
      <c r="F142" t="inlineStr">
        <is>
          <t>SCA</t>
        </is>
      </c>
      <c r="G142" t="n">
        <v>1.5</v>
      </c>
      <c r="H142" t="n">
        <v>2</v>
      </c>
      <c r="I142" t="n">
        <v>0</v>
      </c>
      <c r="J142" t="n">
        <v>1</v>
      </c>
      <c r="K142" t="n">
        <v>1</v>
      </c>
      <c r="L142" t="n">
        <v>0</v>
      </c>
      <c r="M142" t="n">
        <v>0</v>
      </c>
      <c r="N142" t="n">
        <v>0</v>
      </c>
      <c r="O142" t="n">
        <v>2</v>
      </c>
      <c r="P142" t="n">
        <v>1</v>
      </c>
      <c r="Q142" t="n">
        <v>3</v>
      </c>
      <c r="R142" s="2" t="inlineStr">
        <is>
          <t>Knärot
Lunglav
Blåsippa</t>
        </is>
      </c>
      <c r="S142">
        <f>HYPERLINK("https://klasma.github.io/Logging_2303/artfynd/A 48054-2022 artfynd.xlsx", "A 48054-2022")</f>
        <v/>
      </c>
      <c r="T142">
        <f>HYPERLINK("https://klasma.github.io/Logging_2303/kartor/A 48054-2022 karta.png", "A 48054-2022")</f>
        <v/>
      </c>
      <c r="U142">
        <f>HYPERLINK("https://klasma.github.io/Logging_2303/knärot/A 48054-2022 karta knärot.png", "A 48054-2022")</f>
        <v/>
      </c>
      <c r="V142">
        <f>HYPERLINK("https://klasma.github.io/Logging_2303/klagomål/A 48054-2022 FSC-klagomål.docx", "A 48054-2022")</f>
        <v/>
      </c>
      <c r="W142">
        <f>HYPERLINK("https://klasma.github.io/Logging_2303/klagomålsmail/A 48054-2022 FSC-klagomål mail.docx", "A 48054-2022")</f>
        <v/>
      </c>
      <c r="X142">
        <f>HYPERLINK("https://klasma.github.io/Logging_2303/tillsyn/A 48054-2022 tillsynsbegäran.docx", "A 48054-2022")</f>
        <v/>
      </c>
      <c r="Y142">
        <f>HYPERLINK("https://klasma.github.io/Logging_2303/tillsynsmail/A 48054-2022 tillsynsbegäran mail.docx", "A 48054-2022")</f>
        <v/>
      </c>
    </row>
    <row r="143" ht="15" customHeight="1">
      <c r="A143" t="inlineStr">
        <is>
          <t>A 25769-2025</t>
        </is>
      </c>
      <c r="B143" s="1" t="n">
        <v>45804.34474537037</v>
      </c>
      <c r="C143" s="1" t="n">
        <v>45888</v>
      </c>
      <c r="D143" t="inlineStr">
        <is>
          <t>JÄMTLANDS LÄN</t>
        </is>
      </c>
      <c r="E143" t="inlineStr">
        <is>
          <t>RAGUNDA</t>
        </is>
      </c>
      <c r="F143" t="inlineStr">
        <is>
          <t>SCA</t>
        </is>
      </c>
      <c r="G143" t="n">
        <v>5.3</v>
      </c>
      <c r="H143" t="n">
        <v>2</v>
      </c>
      <c r="I143" t="n">
        <v>0</v>
      </c>
      <c r="J143" t="n">
        <v>3</v>
      </c>
      <c r="K143" t="n">
        <v>0</v>
      </c>
      <c r="L143" t="n">
        <v>0</v>
      </c>
      <c r="M143" t="n">
        <v>0</v>
      </c>
      <c r="N143" t="n">
        <v>0</v>
      </c>
      <c r="O143" t="n">
        <v>3</v>
      </c>
      <c r="P143" t="n">
        <v>0</v>
      </c>
      <c r="Q143" t="n">
        <v>3</v>
      </c>
      <c r="R143" s="2" t="inlineStr">
        <is>
          <t>Garnlav
Rödvingetrast
Tretåig hackspett</t>
        </is>
      </c>
      <c r="S143">
        <f>HYPERLINK("https://klasma.github.io/Logging_2303/artfynd/A 25769-2025 artfynd.xlsx", "A 25769-2025")</f>
        <v/>
      </c>
      <c r="T143">
        <f>HYPERLINK("https://klasma.github.io/Logging_2303/kartor/A 25769-2025 karta.png", "A 25769-2025")</f>
        <v/>
      </c>
      <c r="V143">
        <f>HYPERLINK("https://klasma.github.io/Logging_2303/klagomål/A 25769-2025 FSC-klagomål.docx", "A 25769-2025")</f>
        <v/>
      </c>
      <c r="W143">
        <f>HYPERLINK("https://klasma.github.io/Logging_2303/klagomålsmail/A 25769-2025 FSC-klagomål mail.docx", "A 25769-2025")</f>
        <v/>
      </c>
      <c r="X143">
        <f>HYPERLINK("https://klasma.github.io/Logging_2303/tillsyn/A 25769-2025 tillsynsbegäran.docx", "A 25769-2025")</f>
        <v/>
      </c>
      <c r="Y143">
        <f>HYPERLINK("https://klasma.github.io/Logging_2303/tillsynsmail/A 25769-2025 tillsynsbegäran mail.docx", "A 25769-2025")</f>
        <v/>
      </c>
      <c r="Z143">
        <f>HYPERLINK("https://klasma.github.io/Logging_2303/fåglar/A 25769-2025 prioriterade fågelarter.docx", "A 25769-2025")</f>
        <v/>
      </c>
    </row>
    <row r="144" ht="15" customHeight="1">
      <c r="A144" t="inlineStr">
        <is>
          <t>A 20776-2024</t>
        </is>
      </c>
      <c r="B144" s="1" t="n">
        <v>45436.94686342592</v>
      </c>
      <c r="C144" s="1" t="n">
        <v>45888</v>
      </c>
      <c r="D144" t="inlineStr">
        <is>
          <t>JÄMTLANDS LÄN</t>
        </is>
      </c>
      <c r="E144" t="inlineStr">
        <is>
          <t>RAGUNDA</t>
        </is>
      </c>
      <c r="F144" t="inlineStr">
        <is>
          <t>SCA</t>
        </is>
      </c>
      <c r="G144" t="n">
        <v>5.2</v>
      </c>
      <c r="H144" t="n">
        <v>0</v>
      </c>
      <c r="I144" t="n">
        <v>0</v>
      </c>
      <c r="J144" t="n">
        <v>2</v>
      </c>
      <c r="K144" t="n">
        <v>1</v>
      </c>
      <c r="L144" t="n">
        <v>0</v>
      </c>
      <c r="M144" t="n">
        <v>0</v>
      </c>
      <c r="N144" t="n">
        <v>0</v>
      </c>
      <c r="O144" t="n">
        <v>3</v>
      </c>
      <c r="P144" t="n">
        <v>1</v>
      </c>
      <c r="Q144" t="n">
        <v>3</v>
      </c>
      <c r="R144" s="2" t="inlineStr">
        <is>
          <t>Liten hornflikmossa
Garnlav
Vedtrappmossa</t>
        </is>
      </c>
      <c r="S144">
        <f>HYPERLINK("https://klasma.github.io/Logging_2303/artfynd/A 20776-2024 artfynd.xlsx", "A 20776-2024")</f>
        <v/>
      </c>
      <c r="T144">
        <f>HYPERLINK("https://klasma.github.io/Logging_2303/kartor/A 20776-2024 karta.png", "A 20776-2024")</f>
        <v/>
      </c>
      <c r="V144">
        <f>HYPERLINK("https://klasma.github.io/Logging_2303/klagomål/A 20776-2024 FSC-klagomål.docx", "A 20776-2024")</f>
        <v/>
      </c>
      <c r="W144">
        <f>HYPERLINK("https://klasma.github.io/Logging_2303/klagomålsmail/A 20776-2024 FSC-klagomål mail.docx", "A 20776-2024")</f>
        <v/>
      </c>
      <c r="X144">
        <f>HYPERLINK("https://klasma.github.io/Logging_2303/tillsyn/A 20776-2024 tillsynsbegäran.docx", "A 20776-2024")</f>
        <v/>
      </c>
      <c r="Y144">
        <f>HYPERLINK("https://klasma.github.io/Logging_2303/tillsynsmail/A 20776-2024 tillsynsbegäran mail.docx", "A 20776-2024")</f>
        <v/>
      </c>
    </row>
    <row r="145" ht="15" customHeight="1">
      <c r="A145" t="inlineStr">
        <is>
          <t>A 34585-2025</t>
        </is>
      </c>
      <c r="B145" s="1" t="n">
        <v>45847.61498842593</v>
      </c>
      <c r="C145" s="1" t="n">
        <v>45888</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28178-2023</t>
        </is>
      </c>
      <c r="B146" s="1" t="n">
        <v>45093</v>
      </c>
      <c r="C146" s="1" t="n">
        <v>45888</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49047-2023</t>
        </is>
      </c>
      <c r="B147" s="1" t="n">
        <v>45209</v>
      </c>
      <c r="C147" s="1" t="n">
        <v>45888</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45888</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22571-2025</t>
        </is>
      </c>
      <c r="B149" s="1" t="n">
        <v>45789.36503472222</v>
      </c>
      <c r="C149" s="1" t="n">
        <v>45888</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14814-2024</t>
        </is>
      </c>
      <c r="B150" s="1" t="n">
        <v>45397.95748842593</v>
      </c>
      <c r="C150" s="1" t="n">
        <v>45888</v>
      </c>
      <c r="D150" t="inlineStr">
        <is>
          <t>JÄMTLANDS LÄN</t>
        </is>
      </c>
      <c r="E150" t="inlineStr">
        <is>
          <t>RAGUNDA</t>
        </is>
      </c>
      <c r="F150" t="inlineStr">
        <is>
          <t>SCA</t>
        </is>
      </c>
      <c r="G150" t="n">
        <v>10.5</v>
      </c>
      <c r="H150" t="n">
        <v>0</v>
      </c>
      <c r="I150" t="n">
        <v>2</v>
      </c>
      <c r="J150" t="n">
        <v>1</v>
      </c>
      <c r="K150" t="n">
        <v>0</v>
      </c>
      <c r="L150" t="n">
        <v>0</v>
      </c>
      <c r="M150" t="n">
        <v>0</v>
      </c>
      <c r="N150" t="n">
        <v>0</v>
      </c>
      <c r="O150" t="n">
        <v>1</v>
      </c>
      <c r="P150" t="n">
        <v>0</v>
      </c>
      <c r="Q150" t="n">
        <v>3</v>
      </c>
      <c r="R150" s="2" t="inlineStr">
        <is>
          <t>Rosenticka
Svart trolldruva
Tibast</t>
        </is>
      </c>
      <c r="S150">
        <f>HYPERLINK("https://klasma.github.io/Logging_2303/artfynd/A 14814-2024 artfynd.xlsx", "A 14814-2024")</f>
        <v/>
      </c>
      <c r="T150">
        <f>HYPERLINK("https://klasma.github.io/Logging_2303/kartor/A 14814-2024 karta.png", "A 14814-2024")</f>
        <v/>
      </c>
      <c r="V150">
        <f>HYPERLINK("https://klasma.github.io/Logging_2303/klagomål/A 14814-2024 FSC-klagomål.docx", "A 14814-2024")</f>
        <v/>
      </c>
      <c r="W150">
        <f>HYPERLINK("https://klasma.github.io/Logging_2303/klagomålsmail/A 14814-2024 FSC-klagomål mail.docx", "A 14814-2024")</f>
        <v/>
      </c>
      <c r="X150">
        <f>HYPERLINK("https://klasma.github.io/Logging_2303/tillsyn/A 14814-2024 tillsynsbegäran.docx", "A 14814-2024")</f>
        <v/>
      </c>
      <c r="Y150">
        <f>HYPERLINK("https://klasma.github.io/Logging_2303/tillsynsmail/A 14814-2024 tillsynsbegäran mail.docx", "A 14814-2024")</f>
        <v/>
      </c>
    </row>
    <row r="151" ht="15" customHeight="1">
      <c r="A151" t="inlineStr">
        <is>
          <t>A 33278-2022</t>
        </is>
      </c>
      <c r="B151" s="1" t="n">
        <v>44788</v>
      </c>
      <c r="C151" s="1" t="n">
        <v>45888</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32416-2025</t>
        </is>
      </c>
      <c r="B152" s="1" t="n">
        <v>45838</v>
      </c>
      <c r="C152" s="1" t="n">
        <v>45888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16305-2025</t>
        </is>
      </c>
      <c r="B153" s="1" t="n">
        <v>45751.34650462963</v>
      </c>
      <c r="C153" s="1" t="n">
        <v>45888</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7519-2023</t>
        </is>
      </c>
      <c r="B154" s="1" t="n">
        <v>44971</v>
      </c>
      <c r="C154" s="1" t="n">
        <v>45888</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22730-2023</t>
        </is>
      </c>
      <c r="B155" s="1" t="n">
        <v>45071</v>
      </c>
      <c r="C155" s="1" t="n">
        <v>45888</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51010-2020</t>
        </is>
      </c>
      <c r="B156" s="1" t="n">
        <v>44111</v>
      </c>
      <c r="C156" s="1" t="n">
        <v>45888</v>
      </c>
      <c r="D156" t="inlineStr">
        <is>
          <t>JÄMTLANDS LÄN</t>
        </is>
      </c>
      <c r="E156" t="inlineStr">
        <is>
          <t>RAGUNDA</t>
        </is>
      </c>
      <c r="F156" t="inlineStr">
        <is>
          <t>SCA</t>
        </is>
      </c>
      <c r="G156" t="n">
        <v>4.1</v>
      </c>
      <c r="H156" t="n">
        <v>0</v>
      </c>
      <c r="I156" t="n">
        <v>0</v>
      </c>
      <c r="J156" t="n">
        <v>3</v>
      </c>
      <c r="K156" t="n">
        <v>0</v>
      </c>
      <c r="L156" t="n">
        <v>0</v>
      </c>
      <c r="M156" t="n">
        <v>0</v>
      </c>
      <c r="N156" t="n">
        <v>0</v>
      </c>
      <c r="O156" t="n">
        <v>3</v>
      </c>
      <c r="P156" t="n">
        <v>0</v>
      </c>
      <c r="Q156" t="n">
        <v>3</v>
      </c>
      <c r="R156" s="2" t="inlineStr">
        <is>
          <t>Garnlav
Lunglav
Ullticka</t>
        </is>
      </c>
      <c r="S156">
        <f>HYPERLINK("https://klasma.github.io/Logging_2303/artfynd/A 51010-2020 artfynd.xlsx", "A 51010-2020")</f>
        <v/>
      </c>
      <c r="T156">
        <f>HYPERLINK("https://klasma.github.io/Logging_2303/kartor/A 51010-2020 karta.png", "A 51010-2020")</f>
        <v/>
      </c>
      <c r="V156">
        <f>HYPERLINK("https://klasma.github.io/Logging_2303/klagomål/A 51010-2020 FSC-klagomål.docx", "A 51010-2020")</f>
        <v/>
      </c>
      <c r="W156">
        <f>HYPERLINK("https://klasma.github.io/Logging_2303/klagomålsmail/A 51010-2020 FSC-klagomål mail.docx", "A 51010-2020")</f>
        <v/>
      </c>
      <c r="X156">
        <f>HYPERLINK("https://klasma.github.io/Logging_2303/tillsyn/A 51010-2020 tillsynsbegäran.docx", "A 51010-2020")</f>
        <v/>
      </c>
      <c r="Y156">
        <f>HYPERLINK("https://klasma.github.io/Logging_2303/tillsynsmail/A 51010-2020 tillsynsbegäran mail.docx", "A 51010-2020")</f>
        <v/>
      </c>
    </row>
    <row r="157" ht="15" customHeight="1">
      <c r="A157" t="inlineStr">
        <is>
          <t>A 17043-2022</t>
        </is>
      </c>
      <c r="B157" s="1" t="n">
        <v>44676</v>
      </c>
      <c r="C157" s="1" t="n">
        <v>45888</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45888</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14502-2024</t>
        </is>
      </c>
      <c r="B159" s="1" t="n">
        <v>45394</v>
      </c>
      <c r="C159" s="1" t="n">
        <v>45888</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46771-2024</t>
        </is>
      </c>
      <c r="B160" s="1" t="n">
        <v>45583.49642361111</v>
      </c>
      <c r="C160" s="1" t="n">
        <v>45888</v>
      </c>
      <c r="D160" t="inlineStr">
        <is>
          <t>JÄMTLANDS LÄN</t>
        </is>
      </c>
      <c r="E160" t="inlineStr">
        <is>
          <t>RAGUNDA</t>
        </is>
      </c>
      <c r="F160" t="inlineStr">
        <is>
          <t>SCA</t>
        </is>
      </c>
      <c r="G160" t="n">
        <v>3.1</v>
      </c>
      <c r="H160" t="n">
        <v>0</v>
      </c>
      <c r="I160" t="n">
        <v>0</v>
      </c>
      <c r="J160" t="n">
        <v>2</v>
      </c>
      <c r="K160" t="n">
        <v>0</v>
      </c>
      <c r="L160" t="n">
        <v>0</v>
      </c>
      <c r="M160" t="n">
        <v>0</v>
      </c>
      <c r="N160" t="n">
        <v>0</v>
      </c>
      <c r="O160" t="n">
        <v>2</v>
      </c>
      <c r="P160" t="n">
        <v>0</v>
      </c>
      <c r="Q160" t="n">
        <v>2</v>
      </c>
      <c r="R160" s="2" t="inlineStr">
        <is>
          <t>Doftskinn
Gammelgransskål</t>
        </is>
      </c>
      <c r="S160">
        <f>HYPERLINK("https://klasma.github.io/Logging_2303/artfynd/A 46771-2024 artfynd.xlsx", "A 46771-2024")</f>
        <v/>
      </c>
      <c r="T160">
        <f>HYPERLINK("https://klasma.github.io/Logging_2303/kartor/A 46771-2024 karta.png", "A 46771-2024")</f>
        <v/>
      </c>
      <c r="V160">
        <f>HYPERLINK("https://klasma.github.io/Logging_2303/klagomål/A 46771-2024 FSC-klagomål.docx", "A 46771-2024")</f>
        <v/>
      </c>
      <c r="W160">
        <f>HYPERLINK("https://klasma.github.io/Logging_2303/klagomålsmail/A 46771-2024 FSC-klagomål mail.docx", "A 46771-2024")</f>
        <v/>
      </c>
      <c r="X160">
        <f>HYPERLINK("https://klasma.github.io/Logging_2303/tillsyn/A 46771-2024 tillsynsbegäran.docx", "A 46771-2024")</f>
        <v/>
      </c>
      <c r="Y160">
        <f>HYPERLINK("https://klasma.github.io/Logging_2303/tillsynsmail/A 46771-2024 tillsynsbegäran mail.docx", "A 46771-2024")</f>
        <v/>
      </c>
    </row>
    <row r="161" ht="15" customHeight="1">
      <c r="A161" t="inlineStr">
        <is>
          <t>A 19384-2025</t>
        </is>
      </c>
      <c r="B161" s="1" t="n">
        <v>45769.65692129629</v>
      </c>
      <c r="C161" s="1" t="n">
        <v>45888</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44409-2023</t>
        </is>
      </c>
      <c r="B162" s="1" t="n">
        <v>45188</v>
      </c>
      <c r="C162" s="1" t="n">
        <v>45888</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Garnlav
Norrlandslav</t>
        </is>
      </c>
      <c r="S162">
        <f>HYPERLINK("https://klasma.github.io/Logging_2303/artfynd/A 44409-2023 artfynd.xlsx", "A 44409-2023")</f>
        <v/>
      </c>
      <c r="T162">
        <f>HYPERLINK("https://klasma.github.io/Logging_2303/kartor/A 44409-2023 karta.png", "A 44409-2023")</f>
        <v/>
      </c>
      <c r="V162">
        <f>HYPERLINK("https://klasma.github.io/Logging_2303/klagomål/A 44409-2023 FSC-klagomål.docx", "A 44409-2023")</f>
        <v/>
      </c>
      <c r="W162">
        <f>HYPERLINK("https://klasma.github.io/Logging_2303/klagomålsmail/A 44409-2023 FSC-klagomål mail.docx", "A 44409-2023")</f>
        <v/>
      </c>
      <c r="X162">
        <f>HYPERLINK("https://klasma.github.io/Logging_2303/tillsyn/A 44409-2023 tillsynsbegäran.docx", "A 44409-2023")</f>
        <v/>
      </c>
      <c r="Y162">
        <f>HYPERLINK("https://klasma.github.io/Logging_2303/tillsynsmail/A 44409-2023 tillsynsbegäran mail.docx", "A 44409-2023")</f>
        <v/>
      </c>
    </row>
    <row r="163" ht="15" customHeight="1">
      <c r="A163" t="inlineStr">
        <is>
          <t>A 48084-2022</t>
        </is>
      </c>
      <c r="B163" s="1" t="n">
        <v>44855</v>
      </c>
      <c r="C163" s="1" t="n">
        <v>45888</v>
      </c>
      <c r="D163" t="inlineStr">
        <is>
          <t>JÄMTLANDS LÄN</t>
        </is>
      </c>
      <c r="E163" t="inlineStr">
        <is>
          <t>RAGUNDA</t>
        </is>
      </c>
      <c r="F163" t="inlineStr">
        <is>
          <t>SCA</t>
        </is>
      </c>
      <c r="G163" t="n">
        <v>4.7</v>
      </c>
      <c r="H163" t="n">
        <v>1</v>
      </c>
      <c r="I163" t="n">
        <v>0</v>
      </c>
      <c r="J163" t="n">
        <v>2</v>
      </c>
      <c r="K163" t="n">
        <v>0</v>
      </c>
      <c r="L163" t="n">
        <v>0</v>
      </c>
      <c r="M163" t="n">
        <v>0</v>
      </c>
      <c r="N163" t="n">
        <v>0</v>
      </c>
      <c r="O163" t="n">
        <v>2</v>
      </c>
      <c r="P163" t="n">
        <v>0</v>
      </c>
      <c r="Q163" t="n">
        <v>2</v>
      </c>
      <c r="R163" s="2" t="inlineStr">
        <is>
          <t>Rosenticka
Tretåig hackspett</t>
        </is>
      </c>
      <c r="S163">
        <f>HYPERLINK("https://klasma.github.io/Logging_2303/artfynd/A 48084-2022 artfynd.xlsx", "A 48084-2022")</f>
        <v/>
      </c>
      <c r="T163">
        <f>HYPERLINK("https://klasma.github.io/Logging_2303/kartor/A 48084-2022 karta.png", "A 48084-2022")</f>
        <v/>
      </c>
      <c r="V163">
        <f>HYPERLINK("https://klasma.github.io/Logging_2303/klagomål/A 48084-2022 FSC-klagomål.docx", "A 48084-2022")</f>
        <v/>
      </c>
      <c r="W163">
        <f>HYPERLINK("https://klasma.github.io/Logging_2303/klagomålsmail/A 48084-2022 FSC-klagomål mail.docx", "A 48084-2022")</f>
        <v/>
      </c>
      <c r="X163">
        <f>HYPERLINK("https://klasma.github.io/Logging_2303/tillsyn/A 48084-2022 tillsynsbegäran.docx", "A 48084-2022")</f>
        <v/>
      </c>
      <c r="Y163">
        <f>HYPERLINK("https://klasma.github.io/Logging_2303/tillsynsmail/A 48084-2022 tillsynsbegäran mail.docx", "A 48084-2022")</f>
        <v/>
      </c>
      <c r="Z163">
        <f>HYPERLINK("https://klasma.github.io/Logging_2303/fåglar/A 48084-2022 prioriterade fågelarter.docx", "A 48084-2022")</f>
        <v/>
      </c>
    </row>
    <row r="164" ht="15" customHeight="1">
      <c r="A164" t="inlineStr">
        <is>
          <t>A 12271-2024</t>
        </is>
      </c>
      <c r="B164" s="1" t="n">
        <v>45378</v>
      </c>
      <c r="C164" s="1" t="n">
        <v>45888</v>
      </c>
      <c r="D164" t="inlineStr">
        <is>
          <t>JÄMTLANDS LÄN</t>
        </is>
      </c>
      <c r="E164" t="inlineStr">
        <is>
          <t>RAGUNDA</t>
        </is>
      </c>
      <c r="F164" t="inlineStr">
        <is>
          <t>Kommuner</t>
        </is>
      </c>
      <c r="G164" t="n">
        <v>6.1</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12271-2024 artfynd.xlsx", "A 12271-2024")</f>
        <v/>
      </c>
      <c r="T164">
        <f>HYPERLINK("https://klasma.github.io/Logging_2303/kartor/A 12271-2024 karta.png", "A 12271-2024")</f>
        <v/>
      </c>
      <c r="V164">
        <f>HYPERLINK("https://klasma.github.io/Logging_2303/klagomål/A 12271-2024 FSC-klagomål.docx", "A 12271-2024")</f>
        <v/>
      </c>
      <c r="W164">
        <f>HYPERLINK("https://klasma.github.io/Logging_2303/klagomålsmail/A 12271-2024 FSC-klagomål mail.docx", "A 12271-2024")</f>
        <v/>
      </c>
      <c r="X164">
        <f>HYPERLINK("https://klasma.github.io/Logging_2303/tillsyn/A 12271-2024 tillsynsbegäran.docx", "A 12271-2024")</f>
        <v/>
      </c>
      <c r="Y164">
        <f>HYPERLINK("https://klasma.github.io/Logging_2303/tillsynsmail/A 12271-2024 tillsynsbegäran mail.docx", "A 12271-2024")</f>
        <v/>
      </c>
    </row>
    <row r="165" ht="15" customHeight="1">
      <c r="A165" t="inlineStr">
        <is>
          <t>A 34715-2024</t>
        </is>
      </c>
      <c r="B165" s="1" t="n">
        <v>45526.56393518519</v>
      </c>
      <c r="C165" s="1" t="n">
        <v>45888</v>
      </c>
      <c r="D165" t="inlineStr">
        <is>
          <t>JÄMTLANDS LÄN</t>
        </is>
      </c>
      <c r="E165" t="inlineStr">
        <is>
          <t>RAGUNDA</t>
        </is>
      </c>
      <c r="F165" t="inlineStr">
        <is>
          <t>SCA</t>
        </is>
      </c>
      <c r="G165" t="n">
        <v>3</v>
      </c>
      <c r="H165" t="n">
        <v>0</v>
      </c>
      <c r="I165" t="n">
        <v>1</v>
      </c>
      <c r="J165" t="n">
        <v>1</v>
      </c>
      <c r="K165" t="n">
        <v>0</v>
      </c>
      <c r="L165" t="n">
        <v>0</v>
      </c>
      <c r="M165" t="n">
        <v>0</v>
      </c>
      <c r="N165" t="n">
        <v>0</v>
      </c>
      <c r="O165" t="n">
        <v>1</v>
      </c>
      <c r="P165" t="n">
        <v>0</v>
      </c>
      <c r="Q165" t="n">
        <v>2</v>
      </c>
      <c r="R165" s="2" t="inlineStr">
        <is>
          <t>Garnlav
Vedticka</t>
        </is>
      </c>
      <c r="S165">
        <f>HYPERLINK("https://klasma.github.io/Logging_2303/artfynd/A 34715-2024 artfynd.xlsx", "A 34715-2024")</f>
        <v/>
      </c>
      <c r="T165">
        <f>HYPERLINK("https://klasma.github.io/Logging_2303/kartor/A 34715-2024 karta.png", "A 34715-2024")</f>
        <v/>
      </c>
      <c r="V165">
        <f>HYPERLINK("https://klasma.github.io/Logging_2303/klagomål/A 34715-2024 FSC-klagomål.docx", "A 34715-2024")</f>
        <v/>
      </c>
      <c r="W165">
        <f>HYPERLINK("https://klasma.github.io/Logging_2303/klagomålsmail/A 34715-2024 FSC-klagomål mail.docx", "A 34715-2024")</f>
        <v/>
      </c>
      <c r="X165">
        <f>HYPERLINK("https://klasma.github.io/Logging_2303/tillsyn/A 34715-2024 tillsynsbegäran.docx", "A 34715-2024")</f>
        <v/>
      </c>
      <c r="Y165">
        <f>HYPERLINK("https://klasma.github.io/Logging_2303/tillsynsmail/A 34715-2024 tillsynsbegäran mail.docx", "A 34715-2024")</f>
        <v/>
      </c>
    </row>
    <row r="166" ht="15" customHeight="1">
      <c r="A166" t="inlineStr">
        <is>
          <t>A 26324-2024</t>
        </is>
      </c>
      <c r="B166" s="1" t="n">
        <v>45468.97495370371</v>
      </c>
      <c r="C166" s="1" t="n">
        <v>45888</v>
      </c>
      <c r="D166" t="inlineStr">
        <is>
          <t>JÄMTLANDS LÄN</t>
        </is>
      </c>
      <c r="E166" t="inlineStr">
        <is>
          <t>RAGUNDA</t>
        </is>
      </c>
      <c r="F166" t="inlineStr">
        <is>
          <t>SCA</t>
        </is>
      </c>
      <c r="G166" t="n">
        <v>2</v>
      </c>
      <c r="H166" t="n">
        <v>1</v>
      </c>
      <c r="I166" t="n">
        <v>0</v>
      </c>
      <c r="J166" t="n">
        <v>1</v>
      </c>
      <c r="K166" t="n">
        <v>1</v>
      </c>
      <c r="L166" t="n">
        <v>0</v>
      </c>
      <c r="M166" t="n">
        <v>0</v>
      </c>
      <c r="N166" t="n">
        <v>0</v>
      </c>
      <c r="O166" t="n">
        <v>2</v>
      </c>
      <c r="P166" t="n">
        <v>1</v>
      </c>
      <c r="Q166" t="n">
        <v>2</v>
      </c>
      <c r="R166" s="2" t="inlineStr">
        <is>
          <t>Knärot
Vedtrappmossa</t>
        </is>
      </c>
      <c r="S166">
        <f>HYPERLINK("https://klasma.github.io/Logging_2303/artfynd/A 26324-2024 artfynd.xlsx", "A 26324-2024")</f>
        <v/>
      </c>
      <c r="T166">
        <f>HYPERLINK("https://klasma.github.io/Logging_2303/kartor/A 26324-2024 karta.png", "A 26324-2024")</f>
        <v/>
      </c>
      <c r="U166">
        <f>HYPERLINK("https://klasma.github.io/Logging_2303/knärot/A 26324-2024 karta knärot.png", "A 26324-2024")</f>
        <v/>
      </c>
      <c r="V166">
        <f>HYPERLINK("https://klasma.github.io/Logging_2303/klagomål/A 26324-2024 FSC-klagomål.docx", "A 26324-2024")</f>
        <v/>
      </c>
      <c r="W166">
        <f>HYPERLINK("https://klasma.github.io/Logging_2303/klagomålsmail/A 26324-2024 FSC-klagomål mail.docx", "A 26324-2024")</f>
        <v/>
      </c>
      <c r="X166">
        <f>HYPERLINK("https://klasma.github.io/Logging_2303/tillsyn/A 26324-2024 tillsynsbegäran.docx", "A 26324-2024")</f>
        <v/>
      </c>
      <c r="Y166">
        <f>HYPERLINK("https://klasma.github.io/Logging_2303/tillsynsmail/A 26324-2024 tillsynsbegäran mail.docx", "A 26324-2024")</f>
        <v/>
      </c>
    </row>
    <row r="167" ht="15" customHeight="1">
      <c r="A167" t="inlineStr">
        <is>
          <t>A 57940-2024</t>
        </is>
      </c>
      <c r="B167" s="1" t="n">
        <v>45631</v>
      </c>
      <c r="C167" s="1" t="n">
        <v>45888</v>
      </c>
      <c r="D167" t="inlineStr">
        <is>
          <t>JÄMTLANDS LÄN</t>
        </is>
      </c>
      <c r="E167" t="inlineStr">
        <is>
          <t>RAGUNDA</t>
        </is>
      </c>
      <c r="F167" t="inlineStr">
        <is>
          <t>SCA</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HYPERLINK("https://klasma.github.io/Logging_2303/artfynd/A 57940-2024 artfynd.xlsx", "A 57940-2024")</f>
        <v/>
      </c>
      <c r="T167">
        <f>HYPERLINK("https://klasma.github.io/Logging_2303/kartor/A 57940-2024 karta.png", "A 57940-2024")</f>
        <v/>
      </c>
      <c r="V167">
        <f>HYPERLINK("https://klasma.github.io/Logging_2303/klagomål/A 57940-2024 FSC-klagomål.docx", "A 57940-2024")</f>
        <v/>
      </c>
      <c r="W167">
        <f>HYPERLINK("https://klasma.github.io/Logging_2303/klagomålsmail/A 57940-2024 FSC-klagomål mail.docx", "A 57940-2024")</f>
        <v/>
      </c>
      <c r="X167">
        <f>HYPERLINK("https://klasma.github.io/Logging_2303/tillsyn/A 57940-2024 tillsynsbegäran.docx", "A 57940-2024")</f>
        <v/>
      </c>
      <c r="Y167">
        <f>HYPERLINK("https://klasma.github.io/Logging_2303/tillsynsmail/A 57940-2024 tillsynsbegäran mail.docx", "A 57940-2024")</f>
        <v/>
      </c>
      <c r="Z167">
        <f>HYPERLINK("https://klasma.github.io/Logging_2303/fåglar/A 57940-2024 prioriterade fågelarter.docx", "A 57940-2024")</f>
        <v/>
      </c>
    </row>
    <row r="168" ht="15" customHeight="1">
      <c r="A168" t="inlineStr">
        <is>
          <t>A 10866-2025</t>
        </is>
      </c>
      <c r="B168" s="1" t="n">
        <v>45722.61543981481</v>
      </c>
      <c r="C168" s="1" t="n">
        <v>45888</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21245-2025</t>
        </is>
      </c>
      <c r="B169" s="1" t="n">
        <v>45779.57350694444</v>
      </c>
      <c r="C169" s="1" t="n">
        <v>45888</v>
      </c>
      <c r="D169" t="inlineStr">
        <is>
          <t>JÄMTLANDS LÄN</t>
        </is>
      </c>
      <c r="E169" t="inlineStr">
        <is>
          <t>RAGUNDA</t>
        </is>
      </c>
      <c r="F169" t="inlineStr">
        <is>
          <t>SCA</t>
        </is>
      </c>
      <c r="G169" t="n">
        <v>3.7</v>
      </c>
      <c r="H169" t="n">
        <v>1</v>
      </c>
      <c r="I169" t="n">
        <v>0</v>
      </c>
      <c r="J169" t="n">
        <v>1</v>
      </c>
      <c r="K169" t="n">
        <v>0</v>
      </c>
      <c r="L169" t="n">
        <v>0</v>
      </c>
      <c r="M169" t="n">
        <v>0</v>
      </c>
      <c r="N169" t="n">
        <v>0</v>
      </c>
      <c r="O169" t="n">
        <v>1</v>
      </c>
      <c r="P169" t="n">
        <v>0</v>
      </c>
      <c r="Q169" t="n">
        <v>2</v>
      </c>
      <c r="R169" s="2" t="inlineStr">
        <is>
          <t>Garnlav
Tjäder</t>
        </is>
      </c>
      <c r="S169">
        <f>HYPERLINK("https://klasma.github.io/Logging_2303/artfynd/A 21245-2025 artfynd.xlsx", "A 21245-2025")</f>
        <v/>
      </c>
      <c r="T169">
        <f>HYPERLINK("https://klasma.github.io/Logging_2303/kartor/A 21245-2025 karta.png", "A 21245-2025")</f>
        <v/>
      </c>
      <c r="V169">
        <f>HYPERLINK("https://klasma.github.io/Logging_2303/klagomål/A 21245-2025 FSC-klagomål.docx", "A 21245-2025")</f>
        <v/>
      </c>
      <c r="W169">
        <f>HYPERLINK("https://klasma.github.io/Logging_2303/klagomålsmail/A 21245-2025 FSC-klagomål mail.docx", "A 21245-2025")</f>
        <v/>
      </c>
      <c r="X169">
        <f>HYPERLINK("https://klasma.github.io/Logging_2303/tillsyn/A 21245-2025 tillsynsbegäran.docx", "A 21245-2025")</f>
        <v/>
      </c>
      <c r="Y169">
        <f>HYPERLINK("https://klasma.github.io/Logging_2303/tillsynsmail/A 21245-2025 tillsynsbegäran mail.docx", "A 21245-2025")</f>
        <v/>
      </c>
      <c r="Z169">
        <f>HYPERLINK("https://klasma.github.io/Logging_2303/fåglar/A 21245-2025 prioriterade fågelarter.docx", "A 21245-2025")</f>
        <v/>
      </c>
    </row>
    <row r="170" ht="15" customHeight="1">
      <c r="A170" t="inlineStr">
        <is>
          <t>A 32736-2023</t>
        </is>
      </c>
      <c r="B170" s="1" t="n">
        <v>45121</v>
      </c>
      <c r="C170" s="1" t="n">
        <v>45888</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55647-2023</t>
        </is>
      </c>
      <c r="B171" s="1" t="n">
        <v>45238</v>
      </c>
      <c r="C171" s="1" t="n">
        <v>45888</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3838-2024</t>
        </is>
      </c>
      <c r="B172" s="1" t="n">
        <v>45321</v>
      </c>
      <c r="C172" s="1" t="n">
        <v>45888</v>
      </c>
      <c r="D172" t="inlineStr">
        <is>
          <t>JÄMTLANDS LÄN</t>
        </is>
      </c>
      <c r="E172" t="inlineStr">
        <is>
          <t>RAGUNDA</t>
        </is>
      </c>
      <c r="F172" t="inlineStr">
        <is>
          <t>SCA</t>
        </is>
      </c>
      <c r="G172" t="n">
        <v>2</v>
      </c>
      <c r="H172" t="n">
        <v>1</v>
      </c>
      <c r="I172" t="n">
        <v>1</v>
      </c>
      <c r="J172" t="n">
        <v>1</v>
      </c>
      <c r="K172" t="n">
        <v>0</v>
      </c>
      <c r="L172" t="n">
        <v>0</v>
      </c>
      <c r="M172" t="n">
        <v>0</v>
      </c>
      <c r="N172" t="n">
        <v>0</v>
      </c>
      <c r="O172" t="n">
        <v>1</v>
      </c>
      <c r="P172" t="n">
        <v>0</v>
      </c>
      <c r="Q172" t="n">
        <v>2</v>
      </c>
      <c r="R172" s="2" t="inlineStr">
        <is>
          <t>Garnlav
Guckusko</t>
        </is>
      </c>
      <c r="S172">
        <f>HYPERLINK("https://klasma.github.io/Logging_2303/artfynd/A 3838-2024 artfynd.xlsx", "A 3838-2024")</f>
        <v/>
      </c>
      <c r="T172">
        <f>HYPERLINK("https://klasma.github.io/Logging_2303/kartor/A 3838-2024 karta.png", "A 3838-2024")</f>
        <v/>
      </c>
      <c r="V172">
        <f>HYPERLINK("https://klasma.github.io/Logging_2303/klagomål/A 3838-2024 FSC-klagomål.docx", "A 3838-2024")</f>
        <v/>
      </c>
      <c r="W172">
        <f>HYPERLINK("https://klasma.github.io/Logging_2303/klagomålsmail/A 3838-2024 FSC-klagomål mail.docx", "A 3838-2024")</f>
        <v/>
      </c>
      <c r="X172">
        <f>HYPERLINK("https://klasma.github.io/Logging_2303/tillsyn/A 3838-2024 tillsynsbegäran.docx", "A 3838-2024")</f>
        <v/>
      </c>
      <c r="Y172">
        <f>HYPERLINK("https://klasma.github.io/Logging_2303/tillsynsmail/A 3838-2024 tillsynsbegäran mail.docx", "A 3838-2024")</f>
        <v/>
      </c>
    </row>
    <row r="173" ht="15" customHeight="1">
      <c r="A173" t="inlineStr">
        <is>
          <t>A 47267-2022</t>
        </is>
      </c>
      <c r="B173" s="1" t="n">
        <v>44852</v>
      </c>
      <c r="C173" s="1" t="n">
        <v>45888</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45888</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36756-2023</t>
        </is>
      </c>
      <c r="B175" s="1" t="n">
        <v>45153</v>
      </c>
      <c r="C175" s="1" t="n">
        <v>45888</v>
      </c>
      <c r="D175" t="inlineStr">
        <is>
          <t>JÄMTLANDS LÄN</t>
        </is>
      </c>
      <c r="E175" t="inlineStr">
        <is>
          <t>RAGUNDA</t>
        </is>
      </c>
      <c r="G175" t="n">
        <v>3.5</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HYPERLINK("https://klasma.github.io/Logging_2303/artfynd/A 36756-2023 artfynd.xlsx", "A 36756-2023")</f>
        <v/>
      </c>
      <c r="T175">
        <f>HYPERLINK("https://klasma.github.io/Logging_2303/kartor/A 36756-2023 karta.png", "A 36756-2023")</f>
        <v/>
      </c>
      <c r="V175">
        <f>HYPERLINK("https://klasma.github.io/Logging_2303/klagomål/A 36756-2023 FSC-klagomål.docx", "A 36756-2023")</f>
        <v/>
      </c>
      <c r="W175">
        <f>HYPERLINK("https://klasma.github.io/Logging_2303/klagomålsmail/A 36756-2023 FSC-klagomål mail.docx", "A 36756-2023")</f>
        <v/>
      </c>
      <c r="X175">
        <f>HYPERLINK("https://klasma.github.io/Logging_2303/tillsyn/A 36756-2023 tillsynsbegäran.docx", "A 36756-2023")</f>
        <v/>
      </c>
      <c r="Y175">
        <f>HYPERLINK("https://klasma.github.io/Logging_2303/tillsynsmail/A 36756-2023 tillsynsbegäran mail.docx", "A 36756-2023")</f>
        <v/>
      </c>
      <c r="Z175">
        <f>HYPERLINK("https://klasma.github.io/Logging_2303/fåglar/A 36756-2023 prioriterade fågelarter.docx", "A 36756-2023")</f>
        <v/>
      </c>
    </row>
    <row r="176" ht="15" customHeight="1">
      <c r="A176" t="inlineStr">
        <is>
          <t>A 56285-2023</t>
        </is>
      </c>
      <c r="B176" s="1" t="n">
        <v>45241</v>
      </c>
      <c r="C176" s="1" t="n">
        <v>45888</v>
      </c>
      <c r="D176" t="inlineStr">
        <is>
          <t>JÄMTLANDS LÄN</t>
        </is>
      </c>
      <c r="E176" t="inlineStr">
        <is>
          <t>RAGUNDA</t>
        </is>
      </c>
      <c r="F176" t="inlineStr">
        <is>
          <t>SCA</t>
        </is>
      </c>
      <c r="G176" t="n">
        <v>5.5</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56285-2023 artfynd.xlsx", "A 56285-2023")</f>
        <v/>
      </c>
      <c r="T176">
        <f>HYPERLINK("https://klasma.github.io/Logging_2303/kartor/A 56285-2023 karta.png", "A 56285-2023")</f>
        <v/>
      </c>
      <c r="V176">
        <f>HYPERLINK("https://klasma.github.io/Logging_2303/klagomål/A 56285-2023 FSC-klagomål.docx", "A 56285-2023")</f>
        <v/>
      </c>
      <c r="W176">
        <f>HYPERLINK("https://klasma.github.io/Logging_2303/klagomålsmail/A 56285-2023 FSC-klagomål mail.docx", "A 56285-2023")</f>
        <v/>
      </c>
      <c r="X176">
        <f>HYPERLINK("https://klasma.github.io/Logging_2303/tillsyn/A 56285-2023 tillsynsbegäran.docx", "A 56285-2023")</f>
        <v/>
      </c>
      <c r="Y176">
        <f>HYPERLINK("https://klasma.github.io/Logging_2303/tillsynsmail/A 56285-2023 tillsynsbegäran mail.docx", "A 56285-2023")</f>
        <v/>
      </c>
    </row>
    <row r="177" ht="15" customHeight="1">
      <c r="A177" t="inlineStr">
        <is>
          <t>A 39495-2024</t>
        </is>
      </c>
      <c r="B177" s="1" t="n">
        <v>45551.65726851852</v>
      </c>
      <c r="C177" s="1" t="n">
        <v>45888</v>
      </c>
      <c r="D177" t="inlineStr">
        <is>
          <t>JÄMTLANDS LÄN</t>
        </is>
      </c>
      <c r="E177" t="inlineStr">
        <is>
          <t>RAGUNDA</t>
        </is>
      </c>
      <c r="F177" t="inlineStr">
        <is>
          <t>SCA</t>
        </is>
      </c>
      <c r="G177" t="n">
        <v>6.6</v>
      </c>
      <c r="H177" t="n">
        <v>0</v>
      </c>
      <c r="I177" t="n">
        <v>0</v>
      </c>
      <c r="J177" t="n">
        <v>2</v>
      </c>
      <c r="K177" t="n">
        <v>0</v>
      </c>
      <c r="L177" t="n">
        <v>0</v>
      </c>
      <c r="M177" t="n">
        <v>0</v>
      </c>
      <c r="N177" t="n">
        <v>0</v>
      </c>
      <c r="O177" t="n">
        <v>2</v>
      </c>
      <c r="P177" t="n">
        <v>0</v>
      </c>
      <c r="Q177" t="n">
        <v>2</v>
      </c>
      <c r="R177" s="2" t="inlineStr">
        <is>
          <t>Garnlav
Ullticka</t>
        </is>
      </c>
      <c r="S177">
        <f>HYPERLINK("https://klasma.github.io/Logging_2303/artfynd/A 39495-2024 artfynd.xlsx", "A 39495-2024")</f>
        <v/>
      </c>
      <c r="T177">
        <f>HYPERLINK("https://klasma.github.io/Logging_2303/kartor/A 39495-2024 karta.png", "A 39495-2024")</f>
        <v/>
      </c>
      <c r="V177">
        <f>HYPERLINK("https://klasma.github.io/Logging_2303/klagomål/A 39495-2024 FSC-klagomål.docx", "A 39495-2024")</f>
        <v/>
      </c>
      <c r="W177">
        <f>HYPERLINK("https://klasma.github.io/Logging_2303/klagomålsmail/A 39495-2024 FSC-klagomål mail.docx", "A 39495-2024")</f>
        <v/>
      </c>
      <c r="X177">
        <f>HYPERLINK("https://klasma.github.io/Logging_2303/tillsyn/A 39495-2024 tillsynsbegäran.docx", "A 39495-2024")</f>
        <v/>
      </c>
      <c r="Y177">
        <f>HYPERLINK("https://klasma.github.io/Logging_2303/tillsynsmail/A 39495-2024 tillsynsbegäran mail.docx", "A 39495-2024")</f>
        <v/>
      </c>
    </row>
    <row r="178" ht="15" customHeight="1">
      <c r="A178" t="inlineStr">
        <is>
          <t>A 25155-2025</t>
        </is>
      </c>
      <c r="B178" s="1" t="n">
        <v>45800.42782407408</v>
      </c>
      <c r="C178" s="1" t="n">
        <v>45888</v>
      </c>
      <c r="D178" t="inlineStr">
        <is>
          <t>JÄMTLANDS LÄN</t>
        </is>
      </c>
      <c r="E178" t="inlineStr">
        <is>
          <t>RAGUNDA</t>
        </is>
      </c>
      <c r="F178" t="inlineStr">
        <is>
          <t>SCA</t>
        </is>
      </c>
      <c r="G178" t="n">
        <v>1.7</v>
      </c>
      <c r="H178" t="n">
        <v>1</v>
      </c>
      <c r="I178" t="n">
        <v>0</v>
      </c>
      <c r="J178" t="n">
        <v>1</v>
      </c>
      <c r="K178" t="n">
        <v>0</v>
      </c>
      <c r="L178" t="n">
        <v>0</v>
      </c>
      <c r="M178" t="n">
        <v>0</v>
      </c>
      <c r="N178" t="n">
        <v>0</v>
      </c>
      <c r="O178" t="n">
        <v>1</v>
      </c>
      <c r="P178" t="n">
        <v>0</v>
      </c>
      <c r="Q178" t="n">
        <v>2</v>
      </c>
      <c r="R178" s="2" t="inlineStr">
        <is>
          <t>Leptoporus mollis
Fläcknycklar</t>
        </is>
      </c>
      <c r="S178">
        <f>HYPERLINK("https://klasma.github.io/Logging_2303/artfynd/A 25155-2025 artfynd.xlsx", "A 25155-2025")</f>
        <v/>
      </c>
      <c r="T178">
        <f>HYPERLINK("https://klasma.github.io/Logging_2303/kartor/A 25155-2025 karta.png", "A 25155-2025")</f>
        <v/>
      </c>
      <c r="V178">
        <f>HYPERLINK("https://klasma.github.io/Logging_2303/klagomål/A 25155-2025 FSC-klagomål.docx", "A 25155-2025")</f>
        <v/>
      </c>
      <c r="W178">
        <f>HYPERLINK("https://klasma.github.io/Logging_2303/klagomålsmail/A 25155-2025 FSC-klagomål mail.docx", "A 25155-2025")</f>
        <v/>
      </c>
      <c r="X178">
        <f>HYPERLINK("https://klasma.github.io/Logging_2303/tillsyn/A 25155-2025 tillsynsbegäran.docx", "A 25155-2025")</f>
        <v/>
      </c>
      <c r="Y178">
        <f>HYPERLINK("https://klasma.github.io/Logging_2303/tillsynsmail/A 25155-2025 tillsynsbegäran mail.docx", "A 25155-2025")</f>
        <v/>
      </c>
    </row>
    <row r="179" ht="15" customHeight="1">
      <c r="A179" t="inlineStr">
        <is>
          <t>A 35131-2025</t>
        </is>
      </c>
      <c r="B179" s="1" t="n">
        <v>45852.63597222222</v>
      </c>
      <c r="C179" s="1" t="n">
        <v>45888</v>
      </c>
      <c r="D179" t="inlineStr">
        <is>
          <t>JÄMTLANDS LÄN</t>
        </is>
      </c>
      <c r="E179" t="inlineStr">
        <is>
          <t>RAGUNDA</t>
        </is>
      </c>
      <c r="F179" t="inlineStr">
        <is>
          <t>SCA</t>
        </is>
      </c>
      <c r="G179" t="n">
        <v>6.9</v>
      </c>
      <c r="H179" t="n">
        <v>1</v>
      </c>
      <c r="I179" t="n">
        <v>1</v>
      </c>
      <c r="J179" t="n">
        <v>0</v>
      </c>
      <c r="K179" t="n">
        <v>0</v>
      </c>
      <c r="L179" t="n">
        <v>0</v>
      </c>
      <c r="M179" t="n">
        <v>0</v>
      </c>
      <c r="N179" t="n">
        <v>0</v>
      </c>
      <c r="O179" t="n">
        <v>0</v>
      </c>
      <c r="P179" t="n">
        <v>0</v>
      </c>
      <c r="Q179" t="n">
        <v>2</v>
      </c>
      <c r="R179" s="2" t="inlineStr">
        <is>
          <t>Ögonpyrola
Nattviol</t>
        </is>
      </c>
      <c r="S179">
        <f>HYPERLINK("https://klasma.github.io/Logging_2303/artfynd/A 35131-2025 artfynd.xlsx", "A 35131-2025")</f>
        <v/>
      </c>
      <c r="T179">
        <f>HYPERLINK("https://klasma.github.io/Logging_2303/kartor/A 35131-2025 karta.png", "A 35131-2025")</f>
        <v/>
      </c>
      <c r="V179">
        <f>HYPERLINK("https://klasma.github.io/Logging_2303/klagomål/A 35131-2025 FSC-klagomål.docx", "A 35131-2025")</f>
        <v/>
      </c>
      <c r="W179">
        <f>HYPERLINK("https://klasma.github.io/Logging_2303/klagomålsmail/A 35131-2025 FSC-klagomål mail.docx", "A 35131-2025")</f>
        <v/>
      </c>
      <c r="X179">
        <f>HYPERLINK("https://klasma.github.io/Logging_2303/tillsyn/A 35131-2025 tillsynsbegäran.docx", "A 35131-2025")</f>
        <v/>
      </c>
      <c r="Y179">
        <f>HYPERLINK("https://klasma.github.io/Logging_2303/tillsynsmail/A 35131-2025 tillsynsbegäran mail.docx", "A 35131-2025")</f>
        <v/>
      </c>
    </row>
    <row r="180" ht="15" customHeight="1">
      <c r="A180" t="inlineStr">
        <is>
          <t>A 50089-2022</t>
        </is>
      </c>
      <c r="B180" s="1" t="n">
        <v>44865</v>
      </c>
      <c r="C180" s="1" t="n">
        <v>45888</v>
      </c>
      <c r="D180" t="inlineStr">
        <is>
          <t>JÄMTLANDS LÄN</t>
        </is>
      </c>
      <c r="E180" t="inlineStr">
        <is>
          <t>RAGUNDA</t>
        </is>
      </c>
      <c r="G180" t="n">
        <v>5.7</v>
      </c>
      <c r="H180" t="n">
        <v>2</v>
      </c>
      <c r="I180" t="n">
        <v>0</v>
      </c>
      <c r="J180" t="n">
        <v>2</v>
      </c>
      <c r="K180" t="n">
        <v>0</v>
      </c>
      <c r="L180" t="n">
        <v>0</v>
      </c>
      <c r="M180" t="n">
        <v>0</v>
      </c>
      <c r="N180" t="n">
        <v>0</v>
      </c>
      <c r="O180" t="n">
        <v>2</v>
      </c>
      <c r="P180" t="n">
        <v>0</v>
      </c>
      <c r="Q180" t="n">
        <v>2</v>
      </c>
      <c r="R180" s="2" t="inlineStr">
        <is>
          <t>Björktrast
Drillsnäppa</t>
        </is>
      </c>
      <c r="S180">
        <f>HYPERLINK("https://klasma.github.io/Logging_2303/artfynd/A 50089-2022 artfynd.xlsx", "A 50089-2022")</f>
        <v/>
      </c>
      <c r="T180">
        <f>HYPERLINK("https://klasma.github.io/Logging_2303/kartor/A 50089-2022 karta.png", "A 50089-2022")</f>
        <v/>
      </c>
      <c r="V180">
        <f>HYPERLINK("https://klasma.github.io/Logging_2303/klagomål/A 50089-2022 FSC-klagomål.docx", "A 50089-2022")</f>
        <v/>
      </c>
      <c r="W180">
        <f>HYPERLINK("https://klasma.github.io/Logging_2303/klagomålsmail/A 50089-2022 FSC-klagomål mail.docx", "A 50089-2022")</f>
        <v/>
      </c>
      <c r="X180">
        <f>HYPERLINK("https://klasma.github.io/Logging_2303/tillsyn/A 50089-2022 tillsynsbegäran.docx", "A 50089-2022")</f>
        <v/>
      </c>
      <c r="Y180">
        <f>HYPERLINK("https://klasma.github.io/Logging_2303/tillsynsmail/A 50089-2022 tillsynsbegäran mail.docx", "A 50089-2022")</f>
        <v/>
      </c>
      <c r="Z180">
        <f>HYPERLINK("https://klasma.github.io/Logging_2303/fåglar/A 50089-2022 prioriterade fågelarter.docx", "A 50089-2022")</f>
        <v/>
      </c>
    </row>
    <row r="181" ht="15" customHeight="1">
      <c r="A181" t="inlineStr">
        <is>
          <t>A 35344-2025</t>
        </is>
      </c>
      <c r="B181" s="1" t="n">
        <v>45854.61494212963</v>
      </c>
      <c r="C181" s="1" t="n">
        <v>45888</v>
      </c>
      <c r="D181" t="inlineStr">
        <is>
          <t>JÄMTLANDS LÄN</t>
        </is>
      </c>
      <c r="E181" t="inlineStr">
        <is>
          <t>RAGUNDA</t>
        </is>
      </c>
      <c r="F181" t="inlineStr">
        <is>
          <t>SCA</t>
        </is>
      </c>
      <c r="G181" t="n">
        <v>6.1</v>
      </c>
      <c r="H181" t="n">
        <v>0</v>
      </c>
      <c r="I181" t="n">
        <v>0</v>
      </c>
      <c r="J181" t="n">
        <v>2</v>
      </c>
      <c r="K181" t="n">
        <v>0</v>
      </c>
      <c r="L181" t="n">
        <v>0</v>
      </c>
      <c r="M181" t="n">
        <v>0</v>
      </c>
      <c r="N181" t="n">
        <v>0</v>
      </c>
      <c r="O181" t="n">
        <v>2</v>
      </c>
      <c r="P181" t="n">
        <v>0</v>
      </c>
      <c r="Q181" t="n">
        <v>2</v>
      </c>
      <c r="R181" s="2" t="inlineStr">
        <is>
          <t>Svart taggsvamp
Vedtrappmossa</t>
        </is>
      </c>
      <c r="S181">
        <f>HYPERLINK("https://klasma.github.io/Logging_2303/artfynd/A 35344-2025 artfynd.xlsx", "A 35344-2025")</f>
        <v/>
      </c>
      <c r="T181">
        <f>HYPERLINK("https://klasma.github.io/Logging_2303/kartor/A 35344-2025 karta.png", "A 35344-2025")</f>
        <v/>
      </c>
      <c r="V181">
        <f>HYPERLINK("https://klasma.github.io/Logging_2303/klagomål/A 35344-2025 FSC-klagomål.docx", "A 35344-2025")</f>
        <v/>
      </c>
      <c r="W181">
        <f>HYPERLINK("https://klasma.github.io/Logging_2303/klagomålsmail/A 35344-2025 FSC-klagomål mail.docx", "A 35344-2025")</f>
        <v/>
      </c>
      <c r="X181">
        <f>HYPERLINK("https://klasma.github.io/Logging_2303/tillsyn/A 35344-2025 tillsynsbegäran.docx", "A 35344-2025")</f>
        <v/>
      </c>
      <c r="Y181">
        <f>HYPERLINK("https://klasma.github.io/Logging_2303/tillsynsmail/A 35344-2025 tillsynsbegäran mail.docx", "A 35344-2025")</f>
        <v/>
      </c>
    </row>
    <row r="182" ht="15" customHeight="1">
      <c r="A182" t="inlineStr">
        <is>
          <t>A 45035-2023</t>
        </is>
      </c>
      <c r="B182" s="1" t="n">
        <v>45191</v>
      </c>
      <c r="C182" s="1" t="n">
        <v>45888</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11544-2024</t>
        </is>
      </c>
      <c r="B183" s="1" t="n">
        <v>45372.95680555556</v>
      </c>
      <c r="C183" s="1" t="n">
        <v>45888</v>
      </c>
      <c r="D183" t="inlineStr">
        <is>
          <t>JÄMTLANDS LÄN</t>
        </is>
      </c>
      <c r="E183" t="inlineStr">
        <is>
          <t>RAGUNDA</t>
        </is>
      </c>
      <c r="F183" t="inlineStr">
        <is>
          <t>SCA</t>
        </is>
      </c>
      <c r="G183" t="n">
        <v>15.5</v>
      </c>
      <c r="H183" t="n">
        <v>0</v>
      </c>
      <c r="I183" t="n">
        <v>0</v>
      </c>
      <c r="J183" t="n">
        <v>2</v>
      </c>
      <c r="K183" t="n">
        <v>0</v>
      </c>
      <c r="L183" t="n">
        <v>0</v>
      </c>
      <c r="M183" t="n">
        <v>0</v>
      </c>
      <c r="N183" t="n">
        <v>0</v>
      </c>
      <c r="O183" t="n">
        <v>2</v>
      </c>
      <c r="P183" t="n">
        <v>0</v>
      </c>
      <c r="Q183" t="n">
        <v>2</v>
      </c>
      <c r="R183" s="2" t="inlineStr">
        <is>
          <t>Granticka
Mörk kolflarnlav</t>
        </is>
      </c>
      <c r="S183">
        <f>HYPERLINK("https://klasma.github.io/Logging_2303/artfynd/A 11544-2024 artfynd.xlsx", "A 11544-2024")</f>
        <v/>
      </c>
      <c r="T183">
        <f>HYPERLINK("https://klasma.github.io/Logging_2303/kartor/A 11544-2024 karta.png", "A 11544-2024")</f>
        <v/>
      </c>
      <c r="V183">
        <f>HYPERLINK("https://klasma.github.io/Logging_2303/klagomål/A 11544-2024 FSC-klagomål.docx", "A 11544-2024")</f>
        <v/>
      </c>
      <c r="W183">
        <f>HYPERLINK("https://klasma.github.io/Logging_2303/klagomålsmail/A 11544-2024 FSC-klagomål mail.docx", "A 11544-2024")</f>
        <v/>
      </c>
      <c r="X183">
        <f>HYPERLINK("https://klasma.github.io/Logging_2303/tillsyn/A 11544-2024 tillsynsbegäran.docx", "A 11544-2024")</f>
        <v/>
      </c>
      <c r="Y183">
        <f>HYPERLINK("https://klasma.github.io/Logging_2303/tillsynsmail/A 11544-2024 tillsynsbegäran mail.docx", "A 11544-2024")</f>
        <v/>
      </c>
    </row>
    <row r="184" ht="15" customHeight="1">
      <c r="A184" t="inlineStr">
        <is>
          <t>A 48427-2023</t>
        </is>
      </c>
      <c r="B184" s="1" t="n">
        <v>45205</v>
      </c>
      <c r="C184" s="1" t="n">
        <v>45888</v>
      </c>
      <c r="D184" t="inlineStr">
        <is>
          <t>JÄMTLANDS LÄN</t>
        </is>
      </c>
      <c r="E184" t="inlineStr">
        <is>
          <t>RAGUNDA</t>
        </is>
      </c>
      <c r="F184" t="inlineStr">
        <is>
          <t>SCA</t>
        </is>
      </c>
      <c r="G184" t="n">
        <v>10.1</v>
      </c>
      <c r="H184" t="n">
        <v>0</v>
      </c>
      <c r="I184" t="n">
        <v>1</v>
      </c>
      <c r="J184" t="n">
        <v>1</v>
      </c>
      <c r="K184" t="n">
        <v>0</v>
      </c>
      <c r="L184" t="n">
        <v>0</v>
      </c>
      <c r="M184" t="n">
        <v>0</v>
      </c>
      <c r="N184" t="n">
        <v>0</v>
      </c>
      <c r="O184" t="n">
        <v>1</v>
      </c>
      <c r="P184" t="n">
        <v>0</v>
      </c>
      <c r="Q184" t="n">
        <v>2</v>
      </c>
      <c r="R184" s="2" t="inlineStr">
        <is>
          <t>Lunglav
Luddlav</t>
        </is>
      </c>
      <c r="S184">
        <f>HYPERLINK("https://klasma.github.io/Logging_2303/artfynd/A 48427-2023 artfynd.xlsx", "A 48427-2023")</f>
        <v/>
      </c>
      <c r="T184">
        <f>HYPERLINK("https://klasma.github.io/Logging_2303/kartor/A 48427-2023 karta.png", "A 48427-2023")</f>
        <v/>
      </c>
      <c r="V184">
        <f>HYPERLINK("https://klasma.github.io/Logging_2303/klagomål/A 48427-2023 FSC-klagomål.docx", "A 48427-2023")</f>
        <v/>
      </c>
      <c r="W184">
        <f>HYPERLINK("https://klasma.github.io/Logging_2303/klagomålsmail/A 48427-2023 FSC-klagomål mail.docx", "A 48427-2023")</f>
        <v/>
      </c>
      <c r="X184">
        <f>HYPERLINK("https://klasma.github.io/Logging_2303/tillsyn/A 48427-2023 tillsynsbegäran.docx", "A 48427-2023")</f>
        <v/>
      </c>
      <c r="Y184">
        <f>HYPERLINK("https://klasma.github.io/Logging_2303/tillsynsmail/A 48427-2023 tillsynsbegäran mail.docx", "A 48427-2023")</f>
        <v/>
      </c>
    </row>
    <row r="185" ht="15" customHeight="1">
      <c r="A185" t="inlineStr">
        <is>
          <t>A 11086-2025</t>
        </is>
      </c>
      <c r="B185" s="1" t="n">
        <v>45723.57329861111</v>
      </c>
      <c r="C185" s="1" t="n">
        <v>45888</v>
      </c>
      <c r="D185" t="inlineStr">
        <is>
          <t>JÄMTLANDS LÄN</t>
        </is>
      </c>
      <c r="E185" t="inlineStr">
        <is>
          <t>RAGUNDA</t>
        </is>
      </c>
      <c r="F185" t="inlineStr">
        <is>
          <t>SCA</t>
        </is>
      </c>
      <c r="G185" t="n">
        <v>10.8</v>
      </c>
      <c r="H185" t="n">
        <v>0</v>
      </c>
      <c r="I185" t="n">
        <v>0</v>
      </c>
      <c r="J185" t="n">
        <v>1</v>
      </c>
      <c r="K185" t="n">
        <v>1</v>
      </c>
      <c r="L185" t="n">
        <v>0</v>
      </c>
      <c r="M185" t="n">
        <v>0</v>
      </c>
      <c r="N185" t="n">
        <v>0</v>
      </c>
      <c r="O185" t="n">
        <v>2</v>
      </c>
      <c r="P185" t="n">
        <v>1</v>
      </c>
      <c r="Q185" t="n">
        <v>2</v>
      </c>
      <c r="R185" s="2" t="inlineStr">
        <is>
          <t>Gräddporing
Dvärgbägarlav</t>
        </is>
      </c>
      <c r="S185">
        <f>HYPERLINK("https://klasma.github.io/Logging_2303/artfynd/A 11086-2025 artfynd.xlsx", "A 11086-2025")</f>
        <v/>
      </c>
      <c r="T185">
        <f>HYPERLINK("https://klasma.github.io/Logging_2303/kartor/A 11086-2025 karta.png", "A 11086-2025")</f>
        <v/>
      </c>
      <c r="V185">
        <f>HYPERLINK("https://klasma.github.io/Logging_2303/klagomål/A 11086-2025 FSC-klagomål.docx", "A 11086-2025")</f>
        <v/>
      </c>
      <c r="W185">
        <f>HYPERLINK("https://klasma.github.io/Logging_2303/klagomålsmail/A 11086-2025 FSC-klagomål mail.docx", "A 11086-2025")</f>
        <v/>
      </c>
      <c r="X185">
        <f>HYPERLINK("https://klasma.github.io/Logging_2303/tillsyn/A 11086-2025 tillsynsbegäran.docx", "A 11086-2025")</f>
        <v/>
      </c>
      <c r="Y185">
        <f>HYPERLINK("https://klasma.github.io/Logging_2303/tillsynsmail/A 11086-2025 tillsynsbegäran mail.docx", "A 11086-2025")</f>
        <v/>
      </c>
    </row>
    <row r="186" ht="15" customHeight="1">
      <c r="A186" t="inlineStr">
        <is>
          <t>A 31960-2025</t>
        </is>
      </c>
      <c r="B186" s="1" t="n">
        <v>45835.344375</v>
      </c>
      <c r="C186" s="1" t="n">
        <v>45888</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40826-2023</t>
        </is>
      </c>
      <c r="B187" s="1" t="n">
        <v>45171</v>
      </c>
      <c r="C187" s="1" t="n">
        <v>45888</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11843-2023</t>
        </is>
      </c>
      <c r="B188" s="1" t="n">
        <v>44993</v>
      </c>
      <c r="C188" s="1" t="n">
        <v>45888</v>
      </c>
      <c r="D188" t="inlineStr">
        <is>
          <t>JÄMTLANDS LÄN</t>
        </is>
      </c>
      <c r="E188" t="inlineStr">
        <is>
          <t>RAGUNDA</t>
        </is>
      </c>
      <c r="G188" t="n">
        <v>6.4</v>
      </c>
      <c r="H188" t="n">
        <v>2</v>
      </c>
      <c r="I188" t="n">
        <v>0</v>
      </c>
      <c r="J188" t="n">
        <v>1</v>
      </c>
      <c r="K188" t="n">
        <v>0</v>
      </c>
      <c r="L188" t="n">
        <v>0</v>
      </c>
      <c r="M188" t="n">
        <v>0</v>
      </c>
      <c r="N188" t="n">
        <v>0</v>
      </c>
      <c r="O188" t="n">
        <v>1</v>
      </c>
      <c r="P188" t="n">
        <v>0</v>
      </c>
      <c r="Q188" t="n">
        <v>2</v>
      </c>
      <c r="R188" s="2" t="inlineStr">
        <is>
          <t>Spillkråka
Revlummer</t>
        </is>
      </c>
      <c r="S188">
        <f>HYPERLINK("https://klasma.github.io/Logging_2303/artfynd/A 11843-2023 artfynd.xlsx", "A 11843-2023")</f>
        <v/>
      </c>
      <c r="T188">
        <f>HYPERLINK("https://klasma.github.io/Logging_2303/kartor/A 11843-2023 karta.png", "A 11843-2023")</f>
        <v/>
      </c>
      <c r="V188">
        <f>HYPERLINK("https://klasma.github.io/Logging_2303/klagomål/A 11843-2023 FSC-klagomål.docx", "A 11843-2023")</f>
        <v/>
      </c>
      <c r="W188">
        <f>HYPERLINK("https://klasma.github.io/Logging_2303/klagomålsmail/A 11843-2023 FSC-klagomål mail.docx", "A 11843-2023")</f>
        <v/>
      </c>
      <c r="X188">
        <f>HYPERLINK("https://klasma.github.io/Logging_2303/tillsyn/A 11843-2023 tillsynsbegäran.docx", "A 11843-2023")</f>
        <v/>
      </c>
      <c r="Y188">
        <f>HYPERLINK("https://klasma.github.io/Logging_2303/tillsynsmail/A 11843-2023 tillsynsbegäran mail.docx", "A 11843-2023")</f>
        <v/>
      </c>
      <c r="Z188">
        <f>HYPERLINK("https://klasma.github.io/Logging_2303/fåglar/A 11843-2023 prioriterade fågelarter.docx", "A 11843-2023")</f>
        <v/>
      </c>
    </row>
    <row r="189" ht="15" customHeight="1">
      <c r="A189" t="inlineStr">
        <is>
          <t>A 17733-2022</t>
        </is>
      </c>
      <c r="B189" s="1" t="n">
        <v>44680</v>
      </c>
      <c r="C189" s="1" t="n">
        <v>45888</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41490-2022</t>
        </is>
      </c>
      <c r="B190" s="1" t="n">
        <v>44826.94976851852</v>
      </c>
      <c r="C190" s="1" t="n">
        <v>45888</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26482-2023</t>
        </is>
      </c>
      <c r="B191" s="1" t="n">
        <v>45089</v>
      </c>
      <c r="C191" s="1" t="n">
        <v>45888</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51916-2021</t>
        </is>
      </c>
      <c r="B192" s="1" t="n">
        <v>44462</v>
      </c>
      <c r="C192" s="1" t="n">
        <v>45888</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45888</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45888</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45888</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45888</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39060-2020</t>
        </is>
      </c>
      <c r="B197" s="1" t="n">
        <v>44062</v>
      </c>
      <c r="C197" s="1" t="n">
        <v>45888</v>
      </c>
      <c r="D197" t="inlineStr">
        <is>
          <t>JÄMTLANDS LÄN</t>
        </is>
      </c>
      <c r="E197" t="inlineStr">
        <is>
          <t>RAGUNDA</t>
        </is>
      </c>
      <c r="F197" t="inlineStr">
        <is>
          <t>SCA</t>
        </is>
      </c>
      <c r="G197" t="n">
        <v>6.5</v>
      </c>
      <c r="H197" t="n">
        <v>0</v>
      </c>
      <c r="I197" t="n">
        <v>1</v>
      </c>
      <c r="J197" t="n">
        <v>0</v>
      </c>
      <c r="K197" t="n">
        <v>0</v>
      </c>
      <c r="L197" t="n">
        <v>0</v>
      </c>
      <c r="M197" t="n">
        <v>0</v>
      </c>
      <c r="N197" t="n">
        <v>0</v>
      </c>
      <c r="O197" t="n">
        <v>0</v>
      </c>
      <c r="P197" t="n">
        <v>0</v>
      </c>
      <c r="Q197" t="n">
        <v>1</v>
      </c>
      <c r="R197" s="2" t="inlineStr">
        <is>
          <t>Stuplav</t>
        </is>
      </c>
      <c r="S197">
        <f>HYPERLINK("https://klasma.github.io/Logging_2303/artfynd/A 39060-2020 artfynd.xlsx", "A 39060-2020")</f>
        <v/>
      </c>
      <c r="T197">
        <f>HYPERLINK("https://klasma.github.io/Logging_2303/kartor/A 39060-2020 karta.png", "A 39060-2020")</f>
        <v/>
      </c>
      <c r="V197">
        <f>HYPERLINK("https://klasma.github.io/Logging_2303/klagomål/A 39060-2020 FSC-klagomål.docx", "A 39060-2020")</f>
        <v/>
      </c>
      <c r="W197">
        <f>HYPERLINK("https://klasma.github.io/Logging_2303/klagomålsmail/A 39060-2020 FSC-klagomål mail.docx", "A 39060-2020")</f>
        <v/>
      </c>
      <c r="X197">
        <f>HYPERLINK("https://klasma.github.io/Logging_2303/tillsyn/A 39060-2020 tillsynsbegäran.docx", "A 39060-2020")</f>
        <v/>
      </c>
      <c r="Y197">
        <f>HYPERLINK("https://klasma.github.io/Logging_2303/tillsynsmail/A 39060-2020 tillsynsbegäran mail.docx", "A 39060-2020")</f>
        <v/>
      </c>
    </row>
    <row r="198" ht="15" customHeight="1">
      <c r="A198" t="inlineStr">
        <is>
          <t>A 42899-2022</t>
        </is>
      </c>
      <c r="B198" s="1" t="n">
        <v>44832</v>
      </c>
      <c r="C198" s="1" t="n">
        <v>45888</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27286-2022</t>
        </is>
      </c>
      <c r="B199" s="1" t="n">
        <v>44741</v>
      </c>
      <c r="C199" s="1" t="n">
        <v>45888</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31477-2022</t>
        </is>
      </c>
      <c r="B200" s="1" t="n">
        <v>44774.94347222222</v>
      </c>
      <c r="C200" s="1" t="n">
        <v>45888</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6703-2024</t>
        </is>
      </c>
      <c r="B201" s="1" t="n">
        <v>45341</v>
      </c>
      <c r="C201" s="1" t="n">
        <v>45888</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45888</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20575-2025</t>
        </is>
      </c>
      <c r="B203" s="1" t="n">
        <v>45775.67769675926</v>
      </c>
      <c r="C203" s="1" t="n">
        <v>45888</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59104-2023</t>
        </is>
      </c>
      <c r="B204" s="1" t="n">
        <v>45252</v>
      </c>
      <c r="C204" s="1" t="n">
        <v>45888</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25694-2023</t>
        </is>
      </c>
      <c r="B205" s="1" t="n">
        <v>45089</v>
      </c>
      <c r="C205" s="1" t="n">
        <v>45888</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48477-2023</t>
        </is>
      </c>
      <c r="B206" s="1" t="n">
        <v>45206</v>
      </c>
      <c r="C206" s="1" t="n">
        <v>45888</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48477-2023 artfynd.xlsx", "A 48477-2023")</f>
        <v/>
      </c>
      <c r="T206">
        <f>HYPERLINK("https://klasma.github.io/Logging_2303/kartor/A 48477-2023 karta.png", "A 48477-2023")</f>
        <v/>
      </c>
      <c r="V206">
        <f>HYPERLINK("https://klasma.github.io/Logging_2303/klagomål/A 48477-2023 FSC-klagomål.docx", "A 48477-2023")</f>
        <v/>
      </c>
      <c r="W206">
        <f>HYPERLINK("https://klasma.github.io/Logging_2303/klagomålsmail/A 48477-2023 FSC-klagomål mail.docx", "A 48477-2023")</f>
        <v/>
      </c>
      <c r="X206">
        <f>HYPERLINK("https://klasma.github.io/Logging_2303/tillsyn/A 48477-2023 tillsynsbegäran.docx", "A 48477-2023")</f>
        <v/>
      </c>
      <c r="Y206">
        <f>HYPERLINK("https://klasma.github.io/Logging_2303/tillsynsmail/A 48477-2023 tillsynsbegäran mail.docx", "A 48477-2023")</f>
        <v/>
      </c>
    </row>
    <row r="207" ht="15" customHeight="1">
      <c r="A207" t="inlineStr">
        <is>
          <t>A 16724-2025</t>
        </is>
      </c>
      <c r="B207" s="1" t="n">
        <v>45754.51064814815</v>
      </c>
      <c r="C207" s="1" t="n">
        <v>45888</v>
      </c>
      <c r="D207" t="inlineStr">
        <is>
          <t>JÄMTLANDS LÄN</t>
        </is>
      </c>
      <c r="E207" t="inlineStr">
        <is>
          <t>RAGUNDA</t>
        </is>
      </c>
      <c r="G207" t="n">
        <v>3.5</v>
      </c>
      <c r="H207" t="n">
        <v>0</v>
      </c>
      <c r="I207" t="n">
        <v>0</v>
      </c>
      <c r="J207" t="n">
        <v>1</v>
      </c>
      <c r="K207" t="n">
        <v>0</v>
      </c>
      <c r="L207" t="n">
        <v>0</v>
      </c>
      <c r="M207" t="n">
        <v>0</v>
      </c>
      <c r="N207" t="n">
        <v>0</v>
      </c>
      <c r="O207" t="n">
        <v>1</v>
      </c>
      <c r="P207" t="n">
        <v>0</v>
      </c>
      <c r="Q207" t="n">
        <v>1</v>
      </c>
      <c r="R207" s="2" t="inlineStr">
        <is>
          <t>Kolflarnlav</t>
        </is>
      </c>
      <c r="S207">
        <f>HYPERLINK("https://klasma.github.io/Logging_2303/artfynd/A 16724-2025 artfynd.xlsx", "A 16724-2025")</f>
        <v/>
      </c>
      <c r="T207">
        <f>HYPERLINK("https://klasma.github.io/Logging_2303/kartor/A 16724-2025 karta.png", "A 16724-2025")</f>
        <v/>
      </c>
      <c r="V207">
        <f>HYPERLINK("https://klasma.github.io/Logging_2303/klagomål/A 16724-2025 FSC-klagomål.docx", "A 16724-2025")</f>
        <v/>
      </c>
      <c r="W207">
        <f>HYPERLINK("https://klasma.github.io/Logging_2303/klagomålsmail/A 16724-2025 FSC-klagomål mail.docx", "A 16724-2025")</f>
        <v/>
      </c>
      <c r="X207">
        <f>HYPERLINK("https://klasma.github.io/Logging_2303/tillsyn/A 16724-2025 tillsynsbegäran.docx", "A 16724-2025")</f>
        <v/>
      </c>
      <c r="Y207">
        <f>HYPERLINK("https://klasma.github.io/Logging_2303/tillsynsmail/A 16724-2025 tillsynsbegäran mail.docx", "A 16724-2025")</f>
        <v/>
      </c>
    </row>
    <row r="208" ht="15" customHeight="1">
      <c r="A208" t="inlineStr">
        <is>
          <t>A 49770-2024</t>
        </is>
      </c>
      <c r="B208" s="1" t="n">
        <v>45597.34461805555</v>
      </c>
      <c r="C208" s="1" t="n">
        <v>45888</v>
      </c>
      <c r="D208" t="inlineStr">
        <is>
          <t>JÄMTLANDS LÄN</t>
        </is>
      </c>
      <c r="E208" t="inlineStr">
        <is>
          <t>RAGUNDA</t>
        </is>
      </c>
      <c r="F208" t="inlineStr">
        <is>
          <t>Naturvårdsverket</t>
        </is>
      </c>
      <c r="G208" t="n">
        <v>8.9</v>
      </c>
      <c r="H208" t="n">
        <v>1</v>
      </c>
      <c r="I208" t="n">
        <v>0</v>
      </c>
      <c r="J208" t="n">
        <v>0</v>
      </c>
      <c r="K208" t="n">
        <v>1</v>
      </c>
      <c r="L208" t="n">
        <v>0</v>
      </c>
      <c r="M208" t="n">
        <v>0</v>
      </c>
      <c r="N208" t="n">
        <v>0</v>
      </c>
      <c r="O208" t="n">
        <v>1</v>
      </c>
      <c r="P208" t="n">
        <v>1</v>
      </c>
      <c r="Q208" t="n">
        <v>1</v>
      </c>
      <c r="R208" s="2" t="inlineStr">
        <is>
          <t>Doftticka</t>
        </is>
      </c>
      <c r="S208">
        <f>HYPERLINK("https://klasma.github.io/Logging_2303/artfynd/A 49770-2024 artfynd.xlsx", "A 49770-2024")</f>
        <v/>
      </c>
      <c r="T208">
        <f>HYPERLINK("https://klasma.github.io/Logging_2303/kartor/A 49770-2024 karta.png", "A 49770-2024")</f>
        <v/>
      </c>
      <c r="V208">
        <f>HYPERLINK("https://klasma.github.io/Logging_2303/klagomål/A 49770-2024 FSC-klagomål.docx", "A 49770-2024")</f>
        <v/>
      </c>
      <c r="W208">
        <f>HYPERLINK("https://klasma.github.io/Logging_2303/klagomålsmail/A 49770-2024 FSC-klagomål mail.docx", "A 49770-2024")</f>
        <v/>
      </c>
      <c r="X208">
        <f>HYPERLINK("https://klasma.github.io/Logging_2303/tillsyn/A 49770-2024 tillsynsbegäran.docx", "A 49770-2024")</f>
        <v/>
      </c>
      <c r="Y208">
        <f>HYPERLINK("https://klasma.github.io/Logging_2303/tillsynsmail/A 49770-2024 tillsynsbegäran mail.docx", "A 49770-2024")</f>
        <v/>
      </c>
    </row>
    <row r="209" ht="15" customHeight="1">
      <c r="A209" t="inlineStr">
        <is>
          <t>A 11040-2023</t>
        </is>
      </c>
      <c r="B209" s="1" t="n">
        <v>44991</v>
      </c>
      <c r="C209" s="1" t="n">
        <v>45888</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29921-2024</t>
        </is>
      </c>
      <c r="B210" s="1" t="n">
        <v>45487.92863425926</v>
      </c>
      <c r="C210" s="1" t="n">
        <v>45888</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36975-2023</t>
        </is>
      </c>
      <c r="B211" s="1" t="n">
        <v>45154</v>
      </c>
      <c r="C211" s="1" t="n">
        <v>45888</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45888</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20774-2024</t>
        </is>
      </c>
      <c r="B213" s="1" t="n">
        <v>45436.94644675926</v>
      </c>
      <c r="C213" s="1" t="n">
        <v>45888</v>
      </c>
      <c r="D213" t="inlineStr">
        <is>
          <t>JÄMTLANDS LÄN</t>
        </is>
      </c>
      <c r="E213" t="inlineStr">
        <is>
          <t>RAGUNDA</t>
        </is>
      </c>
      <c r="F213" t="inlineStr">
        <is>
          <t>SCA</t>
        </is>
      </c>
      <c r="G213" t="n">
        <v>2.3</v>
      </c>
      <c r="H213" t="n">
        <v>0</v>
      </c>
      <c r="I213" t="n">
        <v>1</v>
      </c>
      <c r="J213" t="n">
        <v>0</v>
      </c>
      <c r="K213" t="n">
        <v>0</v>
      </c>
      <c r="L213" t="n">
        <v>0</v>
      </c>
      <c r="M213" t="n">
        <v>0</v>
      </c>
      <c r="N213" t="n">
        <v>0</v>
      </c>
      <c r="O213" t="n">
        <v>0</v>
      </c>
      <c r="P213" t="n">
        <v>0</v>
      </c>
      <c r="Q213" t="n">
        <v>1</v>
      </c>
      <c r="R213" s="2" t="inlineStr">
        <is>
          <t>Fjällig taggsvamp s.str.</t>
        </is>
      </c>
      <c r="S213">
        <f>HYPERLINK("https://klasma.github.io/Logging_2303/artfynd/A 20774-2024 artfynd.xlsx", "A 20774-2024")</f>
        <v/>
      </c>
      <c r="T213">
        <f>HYPERLINK("https://klasma.github.io/Logging_2303/kartor/A 20774-2024 karta.png", "A 20774-2024")</f>
        <v/>
      </c>
      <c r="V213">
        <f>HYPERLINK("https://klasma.github.io/Logging_2303/klagomål/A 20774-2024 FSC-klagomål.docx", "A 20774-2024")</f>
        <v/>
      </c>
      <c r="W213">
        <f>HYPERLINK("https://klasma.github.io/Logging_2303/klagomålsmail/A 20774-2024 FSC-klagomål mail.docx", "A 20774-2024")</f>
        <v/>
      </c>
      <c r="X213">
        <f>HYPERLINK("https://klasma.github.io/Logging_2303/tillsyn/A 20774-2024 tillsynsbegäran.docx", "A 20774-2024")</f>
        <v/>
      </c>
      <c r="Y213">
        <f>HYPERLINK("https://klasma.github.io/Logging_2303/tillsynsmail/A 20774-2024 tillsynsbegäran mail.docx", "A 20774-2024")</f>
        <v/>
      </c>
    </row>
    <row r="214" ht="15" customHeight="1">
      <c r="A214" t="inlineStr">
        <is>
          <t>A 36224-2023</t>
        </is>
      </c>
      <c r="B214" s="1" t="n">
        <v>45149</v>
      </c>
      <c r="C214" s="1" t="n">
        <v>45888</v>
      </c>
      <c r="D214" t="inlineStr">
        <is>
          <t>JÄMTLANDS LÄN</t>
        </is>
      </c>
      <c r="E214" t="inlineStr">
        <is>
          <t>RAGUNDA</t>
        </is>
      </c>
      <c r="F214" t="inlineStr">
        <is>
          <t>SCA</t>
        </is>
      </c>
      <c r="G214" t="n">
        <v>8.1</v>
      </c>
      <c r="H214" t="n">
        <v>0</v>
      </c>
      <c r="I214" t="n">
        <v>0</v>
      </c>
      <c r="J214" t="n">
        <v>1</v>
      </c>
      <c r="K214" t="n">
        <v>0</v>
      </c>
      <c r="L214" t="n">
        <v>0</v>
      </c>
      <c r="M214" t="n">
        <v>0</v>
      </c>
      <c r="N214" t="n">
        <v>0</v>
      </c>
      <c r="O214" t="n">
        <v>1</v>
      </c>
      <c r="P214" t="n">
        <v>0</v>
      </c>
      <c r="Q214" t="n">
        <v>1</v>
      </c>
      <c r="R214" s="2" t="inlineStr">
        <is>
          <t>Garnlav</t>
        </is>
      </c>
      <c r="S214">
        <f>HYPERLINK("https://klasma.github.io/Logging_2303/artfynd/A 36224-2023 artfynd.xlsx", "A 36224-2023")</f>
        <v/>
      </c>
      <c r="T214">
        <f>HYPERLINK("https://klasma.github.io/Logging_2303/kartor/A 36224-2023 karta.png", "A 36224-2023")</f>
        <v/>
      </c>
      <c r="V214">
        <f>HYPERLINK("https://klasma.github.io/Logging_2303/klagomål/A 36224-2023 FSC-klagomål.docx", "A 36224-2023")</f>
        <v/>
      </c>
      <c r="W214">
        <f>HYPERLINK("https://klasma.github.io/Logging_2303/klagomålsmail/A 36224-2023 FSC-klagomål mail.docx", "A 36224-2023")</f>
        <v/>
      </c>
      <c r="X214">
        <f>HYPERLINK("https://klasma.github.io/Logging_2303/tillsyn/A 36224-2023 tillsynsbegäran.docx", "A 36224-2023")</f>
        <v/>
      </c>
      <c r="Y214">
        <f>HYPERLINK("https://klasma.github.io/Logging_2303/tillsynsmail/A 36224-2023 tillsynsbegäran mail.docx", "A 36224-2023")</f>
        <v/>
      </c>
    </row>
    <row r="215" ht="15" customHeight="1">
      <c r="A215" t="inlineStr">
        <is>
          <t>A 36757-2023</t>
        </is>
      </c>
      <c r="B215" s="1" t="n">
        <v>45153</v>
      </c>
      <c r="C215" s="1" t="n">
        <v>45888</v>
      </c>
      <c r="D215" t="inlineStr">
        <is>
          <t>JÄMTLANDS LÄN</t>
        </is>
      </c>
      <c r="E215" t="inlineStr">
        <is>
          <t>RAGUNDA</t>
        </is>
      </c>
      <c r="G215" t="n">
        <v>0.7</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36757-2023 artfynd.xlsx", "A 36757-2023")</f>
        <v/>
      </c>
      <c r="T215">
        <f>HYPERLINK("https://klasma.github.io/Logging_2303/kartor/A 36757-2023 karta.png", "A 36757-2023")</f>
        <v/>
      </c>
      <c r="V215">
        <f>HYPERLINK("https://klasma.github.io/Logging_2303/klagomål/A 36757-2023 FSC-klagomål.docx", "A 36757-2023")</f>
        <v/>
      </c>
      <c r="W215">
        <f>HYPERLINK("https://klasma.github.io/Logging_2303/klagomålsmail/A 36757-2023 FSC-klagomål mail.docx", "A 36757-2023")</f>
        <v/>
      </c>
      <c r="X215">
        <f>HYPERLINK("https://klasma.github.io/Logging_2303/tillsyn/A 36757-2023 tillsynsbegäran.docx", "A 36757-2023")</f>
        <v/>
      </c>
      <c r="Y215">
        <f>HYPERLINK("https://klasma.github.io/Logging_2303/tillsynsmail/A 36757-2023 tillsynsbegäran mail.docx", "A 36757-2023")</f>
        <v/>
      </c>
      <c r="Z215">
        <f>HYPERLINK("https://klasma.github.io/Logging_2303/fåglar/A 36757-2023 prioriterade fågelarter.docx", "A 36757-2023")</f>
        <v/>
      </c>
    </row>
    <row r="216" ht="15" customHeight="1">
      <c r="A216" t="inlineStr">
        <is>
          <t>A 10884-2025</t>
        </is>
      </c>
      <c r="B216" s="1" t="n">
        <v>45722.65670138889</v>
      </c>
      <c r="C216" s="1" t="n">
        <v>45888</v>
      </c>
      <c r="D216" t="inlineStr">
        <is>
          <t>JÄMTLANDS LÄN</t>
        </is>
      </c>
      <c r="E216" t="inlineStr">
        <is>
          <t>RAGUNDA</t>
        </is>
      </c>
      <c r="F216" t="inlineStr">
        <is>
          <t>SCA</t>
        </is>
      </c>
      <c r="G216" t="n">
        <v>5.4</v>
      </c>
      <c r="H216" t="n">
        <v>0</v>
      </c>
      <c r="I216" t="n">
        <v>1</v>
      </c>
      <c r="J216" t="n">
        <v>0</v>
      </c>
      <c r="K216" t="n">
        <v>0</v>
      </c>
      <c r="L216" t="n">
        <v>0</v>
      </c>
      <c r="M216" t="n">
        <v>0</v>
      </c>
      <c r="N216" t="n">
        <v>0</v>
      </c>
      <c r="O216" t="n">
        <v>0</v>
      </c>
      <c r="P216" t="n">
        <v>0</v>
      </c>
      <c r="Q216" t="n">
        <v>1</v>
      </c>
      <c r="R216" s="2" t="inlineStr">
        <is>
          <t>Dropptaggsvamp</t>
        </is>
      </c>
      <c r="S216">
        <f>HYPERLINK("https://klasma.github.io/Logging_2303/artfynd/A 10884-2025 artfynd.xlsx", "A 10884-2025")</f>
        <v/>
      </c>
      <c r="T216">
        <f>HYPERLINK("https://klasma.github.io/Logging_2303/kartor/A 10884-2025 karta.png", "A 10884-2025")</f>
        <v/>
      </c>
      <c r="V216">
        <f>HYPERLINK("https://klasma.github.io/Logging_2303/klagomål/A 10884-2025 FSC-klagomål.docx", "A 10884-2025")</f>
        <v/>
      </c>
      <c r="W216">
        <f>HYPERLINK("https://klasma.github.io/Logging_2303/klagomålsmail/A 10884-2025 FSC-klagomål mail.docx", "A 10884-2025")</f>
        <v/>
      </c>
      <c r="X216">
        <f>HYPERLINK("https://klasma.github.io/Logging_2303/tillsyn/A 10884-2025 tillsynsbegäran.docx", "A 10884-2025")</f>
        <v/>
      </c>
      <c r="Y216">
        <f>HYPERLINK("https://klasma.github.io/Logging_2303/tillsynsmail/A 10884-2025 tillsynsbegäran mail.docx", "A 10884-2025")</f>
        <v/>
      </c>
    </row>
    <row r="217" ht="15" customHeight="1">
      <c r="A217" t="inlineStr">
        <is>
          <t>A 21212-2025</t>
        </is>
      </c>
      <c r="B217" s="1" t="n">
        <v>45779.48993055556</v>
      </c>
      <c r="C217" s="1" t="n">
        <v>45888</v>
      </c>
      <c r="D217" t="inlineStr">
        <is>
          <t>JÄMTLANDS LÄN</t>
        </is>
      </c>
      <c r="E217" t="inlineStr">
        <is>
          <t>RAGUNDA</t>
        </is>
      </c>
      <c r="F217" t="inlineStr">
        <is>
          <t>SCA</t>
        </is>
      </c>
      <c r="G217" t="n">
        <v>2.6</v>
      </c>
      <c r="H217" t="n">
        <v>0</v>
      </c>
      <c r="I217" t="n">
        <v>0</v>
      </c>
      <c r="J217" t="n">
        <v>1</v>
      </c>
      <c r="K217" t="n">
        <v>0</v>
      </c>
      <c r="L217" t="n">
        <v>0</v>
      </c>
      <c r="M217" t="n">
        <v>0</v>
      </c>
      <c r="N217" t="n">
        <v>0</v>
      </c>
      <c r="O217" t="n">
        <v>1</v>
      </c>
      <c r="P217" t="n">
        <v>0</v>
      </c>
      <c r="Q217" t="n">
        <v>1</v>
      </c>
      <c r="R217" s="2" t="inlineStr">
        <is>
          <t>Garnlav</t>
        </is>
      </c>
      <c r="S217">
        <f>HYPERLINK("https://klasma.github.io/Logging_2303/artfynd/A 21212-2025 artfynd.xlsx", "A 21212-2025")</f>
        <v/>
      </c>
      <c r="T217">
        <f>HYPERLINK("https://klasma.github.io/Logging_2303/kartor/A 21212-2025 karta.png", "A 21212-2025")</f>
        <v/>
      </c>
      <c r="V217">
        <f>HYPERLINK("https://klasma.github.io/Logging_2303/klagomål/A 21212-2025 FSC-klagomål.docx", "A 21212-2025")</f>
        <v/>
      </c>
      <c r="W217">
        <f>HYPERLINK("https://klasma.github.io/Logging_2303/klagomålsmail/A 21212-2025 FSC-klagomål mail.docx", "A 21212-2025")</f>
        <v/>
      </c>
      <c r="X217">
        <f>HYPERLINK("https://klasma.github.io/Logging_2303/tillsyn/A 21212-2025 tillsynsbegäran.docx", "A 21212-2025")</f>
        <v/>
      </c>
      <c r="Y217">
        <f>HYPERLINK("https://klasma.github.io/Logging_2303/tillsynsmail/A 21212-2025 tillsynsbegäran mail.docx", "A 21212-2025")</f>
        <v/>
      </c>
    </row>
    <row r="218" ht="15" customHeight="1">
      <c r="A218" t="inlineStr">
        <is>
          <t>A 61324-2024</t>
        </is>
      </c>
      <c r="B218" s="1" t="n">
        <v>45646.34438657408</v>
      </c>
      <c r="C218" s="1" t="n">
        <v>45888</v>
      </c>
      <c r="D218" t="inlineStr">
        <is>
          <t>JÄMTLANDS LÄN</t>
        </is>
      </c>
      <c r="E218" t="inlineStr">
        <is>
          <t>RAGUNDA</t>
        </is>
      </c>
      <c r="F218" t="inlineStr">
        <is>
          <t>SCA</t>
        </is>
      </c>
      <c r="G218" t="n">
        <v>11.2</v>
      </c>
      <c r="H218" t="n">
        <v>1</v>
      </c>
      <c r="I218" t="n">
        <v>0</v>
      </c>
      <c r="J218" t="n">
        <v>0</v>
      </c>
      <c r="K218" t="n">
        <v>0</v>
      </c>
      <c r="L218" t="n">
        <v>0</v>
      </c>
      <c r="M218" t="n">
        <v>0</v>
      </c>
      <c r="N218" t="n">
        <v>0</v>
      </c>
      <c r="O218" t="n">
        <v>0</v>
      </c>
      <c r="P218" t="n">
        <v>0</v>
      </c>
      <c r="Q218" t="n">
        <v>1</v>
      </c>
      <c r="R218" s="2" t="inlineStr">
        <is>
          <t>Trana</t>
        </is>
      </c>
      <c r="S218">
        <f>HYPERLINK("https://klasma.github.io/Logging_2303/artfynd/A 61324-2024 artfynd.xlsx", "A 61324-2024")</f>
        <v/>
      </c>
      <c r="T218">
        <f>HYPERLINK("https://klasma.github.io/Logging_2303/kartor/A 61324-2024 karta.png", "A 61324-2024")</f>
        <v/>
      </c>
      <c r="V218">
        <f>HYPERLINK("https://klasma.github.io/Logging_2303/klagomål/A 61324-2024 FSC-klagomål.docx", "A 61324-2024")</f>
        <v/>
      </c>
      <c r="W218">
        <f>HYPERLINK("https://klasma.github.io/Logging_2303/klagomålsmail/A 61324-2024 FSC-klagomål mail.docx", "A 61324-2024")</f>
        <v/>
      </c>
      <c r="X218">
        <f>HYPERLINK("https://klasma.github.io/Logging_2303/tillsyn/A 61324-2024 tillsynsbegäran.docx", "A 61324-2024")</f>
        <v/>
      </c>
      <c r="Y218">
        <f>HYPERLINK("https://klasma.github.io/Logging_2303/tillsynsmail/A 61324-2024 tillsynsbegäran mail.docx", "A 61324-2024")</f>
        <v/>
      </c>
      <c r="Z218">
        <f>HYPERLINK("https://klasma.github.io/Logging_2303/fåglar/A 61324-2024 prioriterade fågelarter.docx", "A 61324-2024")</f>
        <v/>
      </c>
    </row>
    <row r="219" ht="15" customHeight="1">
      <c r="A219" t="inlineStr">
        <is>
          <t>A 43404-2023</t>
        </is>
      </c>
      <c r="B219" s="1" t="n">
        <v>45183</v>
      </c>
      <c r="C219" s="1" t="n">
        <v>45888</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24443-2024</t>
        </is>
      </c>
      <c r="B220" s="1" t="n">
        <v>45457.9640625</v>
      </c>
      <c r="C220" s="1" t="n">
        <v>45888</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23930-2024</t>
        </is>
      </c>
      <c r="B221" s="1" t="n">
        <v>45455.96184027778</v>
      </c>
      <c r="C221" s="1" t="n">
        <v>45888</v>
      </c>
      <c r="D221" t="inlineStr">
        <is>
          <t>JÄMTLANDS LÄN</t>
        </is>
      </c>
      <c r="E221" t="inlineStr">
        <is>
          <t>RAGUNDA</t>
        </is>
      </c>
      <c r="F221" t="inlineStr">
        <is>
          <t>SCA</t>
        </is>
      </c>
      <c r="G221" t="n">
        <v>4.2</v>
      </c>
      <c r="H221" t="n">
        <v>1</v>
      </c>
      <c r="I221" t="n">
        <v>1</v>
      </c>
      <c r="J221" t="n">
        <v>0</v>
      </c>
      <c r="K221" t="n">
        <v>0</v>
      </c>
      <c r="L221" t="n">
        <v>0</v>
      </c>
      <c r="M221" t="n">
        <v>0</v>
      </c>
      <c r="N221" t="n">
        <v>0</v>
      </c>
      <c r="O221" t="n">
        <v>0</v>
      </c>
      <c r="P221" t="n">
        <v>0</v>
      </c>
      <c r="Q221" t="n">
        <v>1</v>
      </c>
      <c r="R221" s="2" t="inlineStr">
        <is>
          <t>Guckusko</t>
        </is>
      </c>
      <c r="S221">
        <f>HYPERLINK("https://klasma.github.io/Logging_2303/artfynd/A 23930-2024 artfynd.xlsx", "A 23930-2024")</f>
        <v/>
      </c>
      <c r="T221">
        <f>HYPERLINK("https://klasma.github.io/Logging_2303/kartor/A 23930-2024 karta.png", "A 23930-2024")</f>
        <v/>
      </c>
      <c r="V221">
        <f>HYPERLINK("https://klasma.github.io/Logging_2303/klagomål/A 23930-2024 FSC-klagomål.docx", "A 23930-2024")</f>
        <v/>
      </c>
      <c r="W221">
        <f>HYPERLINK("https://klasma.github.io/Logging_2303/klagomålsmail/A 23930-2024 FSC-klagomål mail.docx", "A 23930-2024")</f>
        <v/>
      </c>
      <c r="X221">
        <f>HYPERLINK("https://klasma.github.io/Logging_2303/tillsyn/A 23930-2024 tillsynsbegäran.docx", "A 23930-2024")</f>
        <v/>
      </c>
      <c r="Y221">
        <f>HYPERLINK("https://klasma.github.io/Logging_2303/tillsynsmail/A 23930-2024 tillsynsbegäran mail.docx", "A 23930-2024")</f>
        <v/>
      </c>
    </row>
    <row r="222" ht="15" customHeight="1">
      <c r="A222" t="inlineStr">
        <is>
          <t>A 32069-2024</t>
        </is>
      </c>
      <c r="B222" s="1" t="n">
        <v>45510</v>
      </c>
      <c r="C222" s="1" t="n">
        <v>45888</v>
      </c>
      <c r="D222" t="inlineStr">
        <is>
          <t>JÄMTLANDS LÄN</t>
        </is>
      </c>
      <c r="E222" t="inlineStr">
        <is>
          <t>RAGUNDA</t>
        </is>
      </c>
      <c r="F222" t="inlineStr">
        <is>
          <t>SCA</t>
        </is>
      </c>
      <c r="G222" t="n">
        <v>1.8</v>
      </c>
      <c r="H222" t="n">
        <v>0</v>
      </c>
      <c r="I222" t="n">
        <v>0</v>
      </c>
      <c r="J222" t="n">
        <v>1</v>
      </c>
      <c r="K222" t="n">
        <v>0</v>
      </c>
      <c r="L222" t="n">
        <v>0</v>
      </c>
      <c r="M222" t="n">
        <v>0</v>
      </c>
      <c r="N222" t="n">
        <v>0</v>
      </c>
      <c r="O222" t="n">
        <v>1</v>
      </c>
      <c r="P222" t="n">
        <v>0</v>
      </c>
      <c r="Q222" t="n">
        <v>1</v>
      </c>
      <c r="R222" s="2" t="inlineStr">
        <is>
          <t>Lunglav</t>
        </is>
      </c>
      <c r="S222">
        <f>HYPERLINK("https://klasma.github.io/Logging_2303/artfynd/A 32069-2024 artfynd.xlsx", "A 32069-2024")</f>
        <v/>
      </c>
      <c r="T222">
        <f>HYPERLINK("https://klasma.github.io/Logging_2303/kartor/A 32069-2024 karta.png", "A 32069-2024")</f>
        <v/>
      </c>
      <c r="V222">
        <f>HYPERLINK("https://klasma.github.io/Logging_2303/klagomål/A 32069-2024 FSC-klagomål.docx", "A 32069-2024")</f>
        <v/>
      </c>
      <c r="W222">
        <f>HYPERLINK("https://klasma.github.io/Logging_2303/klagomålsmail/A 32069-2024 FSC-klagomål mail.docx", "A 32069-2024")</f>
        <v/>
      </c>
      <c r="X222">
        <f>HYPERLINK("https://klasma.github.io/Logging_2303/tillsyn/A 32069-2024 tillsynsbegäran.docx", "A 32069-2024")</f>
        <v/>
      </c>
      <c r="Y222">
        <f>HYPERLINK("https://klasma.github.io/Logging_2303/tillsynsmail/A 32069-2024 tillsynsbegäran mail.docx", "A 32069-2024")</f>
        <v/>
      </c>
    </row>
    <row r="223" ht="15" customHeight="1">
      <c r="A223" t="inlineStr">
        <is>
          <t>A 19751-2025</t>
        </is>
      </c>
      <c r="B223" s="1" t="n">
        <v>45771.3859837963</v>
      </c>
      <c r="C223" s="1" t="n">
        <v>45888</v>
      </c>
      <c r="D223" t="inlineStr">
        <is>
          <t>JÄMTLANDS LÄN</t>
        </is>
      </c>
      <c r="E223" t="inlineStr">
        <is>
          <t>RAGUNDA</t>
        </is>
      </c>
      <c r="F223" t="inlineStr">
        <is>
          <t>SCA</t>
        </is>
      </c>
      <c r="G223" t="n">
        <v>1.1</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19751-2025 artfynd.xlsx", "A 19751-2025")</f>
        <v/>
      </c>
      <c r="T223">
        <f>HYPERLINK("https://klasma.github.io/Logging_2303/kartor/A 19751-2025 karta.png", "A 19751-2025")</f>
        <v/>
      </c>
      <c r="V223">
        <f>HYPERLINK("https://klasma.github.io/Logging_2303/klagomål/A 19751-2025 FSC-klagomål.docx", "A 19751-2025")</f>
        <v/>
      </c>
      <c r="W223">
        <f>HYPERLINK("https://klasma.github.io/Logging_2303/klagomålsmail/A 19751-2025 FSC-klagomål mail.docx", "A 19751-2025")</f>
        <v/>
      </c>
      <c r="X223">
        <f>HYPERLINK("https://klasma.github.io/Logging_2303/tillsyn/A 19751-2025 tillsynsbegäran.docx", "A 19751-2025")</f>
        <v/>
      </c>
      <c r="Y223">
        <f>HYPERLINK("https://klasma.github.io/Logging_2303/tillsynsmail/A 19751-2025 tillsynsbegäran mail.docx", "A 19751-2025")</f>
        <v/>
      </c>
      <c r="Z223">
        <f>HYPERLINK("https://klasma.github.io/Logging_2303/fåglar/A 19751-2025 prioriterade fågelarter.docx", "A 19751-2025")</f>
        <v/>
      </c>
    </row>
    <row r="224" ht="15" customHeight="1">
      <c r="A224" t="inlineStr">
        <is>
          <t>A 52898-2020</t>
        </is>
      </c>
      <c r="B224" s="1" t="n">
        <v>44119</v>
      </c>
      <c r="C224" s="1" t="n">
        <v>45888</v>
      </c>
      <c r="D224" t="inlineStr">
        <is>
          <t>JÄMTLANDS LÄN</t>
        </is>
      </c>
      <c r="E224" t="inlineStr">
        <is>
          <t>RAGUNDA</t>
        </is>
      </c>
      <c r="G224" t="n">
        <v>1.4</v>
      </c>
      <c r="H224" t="n">
        <v>1</v>
      </c>
      <c r="I224" t="n">
        <v>0</v>
      </c>
      <c r="J224" t="n">
        <v>0</v>
      </c>
      <c r="K224" t="n">
        <v>0</v>
      </c>
      <c r="L224" t="n">
        <v>0</v>
      </c>
      <c r="M224" t="n">
        <v>0</v>
      </c>
      <c r="N224" t="n">
        <v>0</v>
      </c>
      <c r="O224" t="n">
        <v>0</v>
      </c>
      <c r="P224" t="n">
        <v>0</v>
      </c>
      <c r="Q224" t="n">
        <v>1</v>
      </c>
      <c r="R224" s="2" t="inlineStr">
        <is>
          <t>Revlummer</t>
        </is>
      </c>
      <c r="S224">
        <f>HYPERLINK("https://klasma.github.io/Logging_2303/artfynd/A 52898-2020 artfynd.xlsx", "A 52898-2020")</f>
        <v/>
      </c>
      <c r="T224">
        <f>HYPERLINK("https://klasma.github.io/Logging_2303/kartor/A 52898-2020 karta.png", "A 52898-2020")</f>
        <v/>
      </c>
      <c r="V224">
        <f>HYPERLINK("https://klasma.github.io/Logging_2303/klagomål/A 52898-2020 FSC-klagomål.docx", "A 52898-2020")</f>
        <v/>
      </c>
      <c r="W224">
        <f>HYPERLINK("https://klasma.github.io/Logging_2303/klagomålsmail/A 52898-2020 FSC-klagomål mail.docx", "A 52898-2020")</f>
        <v/>
      </c>
      <c r="X224">
        <f>HYPERLINK("https://klasma.github.io/Logging_2303/tillsyn/A 52898-2020 tillsynsbegäran.docx", "A 52898-2020")</f>
        <v/>
      </c>
      <c r="Y224">
        <f>HYPERLINK("https://klasma.github.io/Logging_2303/tillsynsmail/A 52898-2020 tillsynsbegäran mail.docx", "A 52898-2020")</f>
        <v/>
      </c>
    </row>
    <row r="225" ht="15" customHeight="1">
      <c r="A225" t="inlineStr">
        <is>
          <t>A 978-2024</t>
        </is>
      </c>
      <c r="B225" s="1" t="n">
        <v>45301</v>
      </c>
      <c r="C225" s="1" t="n">
        <v>45888</v>
      </c>
      <c r="D225" t="inlineStr">
        <is>
          <t>JÄMTLANDS LÄN</t>
        </is>
      </c>
      <c r="E225" t="inlineStr">
        <is>
          <t>RAGUNDA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978-2024 artfynd.xlsx", "A 978-2024")</f>
        <v/>
      </c>
      <c r="T225">
        <f>HYPERLINK("https://klasma.github.io/Logging_2303/kartor/A 978-2024 karta.png", "A 978-2024")</f>
        <v/>
      </c>
      <c r="V225">
        <f>HYPERLINK("https://klasma.github.io/Logging_2303/klagomål/A 978-2024 FSC-klagomål.docx", "A 978-2024")</f>
        <v/>
      </c>
      <c r="W225">
        <f>HYPERLINK("https://klasma.github.io/Logging_2303/klagomålsmail/A 978-2024 FSC-klagomål mail.docx", "A 978-2024")</f>
        <v/>
      </c>
      <c r="X225">
        <f>HYPERLINK("https://klasma.github.io/Logging_2303/tillsyn/A 978-2024 tillsynsbegäran.docx", "A 978-2024")</f>
        <v/>
      </c>
      <c r="Y225">
        <f>HYPERLINK("https://klasma.github.io/Logging_2303/tillsynsmail/A 978-2024 tillsynsbegäran mail.docx", "A 978-2024")</f>
        <v/>
      </c>
      <c r="Z225">
        <f>HYPERLINK("https://klasma.github.io/Logging_2303/fåglar/A 978-2024 prioriterade fågelarter.docx", "A 978-2024")</f>
        <v/>
      </c>
    </row>
    <row r="226" ht="15" customHeight="1">
      <c r="A226" t="inlineStr">
        <is>
          <t>A 1057-2024</t>
        </is>
      </c>
      <c r="B226" s="1" t="n">
        <v>45301</v>
      </c>
      <c r="C226" s="1" t="n">
        <v>45888</v>
      </c>
      <c r="D226" t="inlineStr">
        <is>
          <t>JÄMTLANDS LÄN</t>
        </is>
      </c>
      <c r="E226" t="inlineStr">
        <is>
          <t>RAGUNDA</t>
        </is>
      </c>
      <c r="F226" t="inlineStr">
        <is>
          <t>SCA</t>
        </is>
      </c>
      <c r="G226" t="n">
        <v>6.8</v>
      </c>
      <c r="H226" t="n">
        <v>0</v>
      </c>
      <c r="I226" t="n">
        <v>1</v>
      </c>
      <c r="J226" t="n">
        <v>0</v>
      </c>
      <c r="K226" t="n">
        <v>0</v>
      </c>
      <c r="L226" t="n">
        <v>0</v>
      </c>
      <c r="M226" t="n">
        <v>0</v>
      </c>
      <c r="N226" t="n">
        <v>0</v>
      </c>
      <c r="O226" t="n">
        <v>0</v>
      </c>
      <c r="P226" t="n">
        <v>0</v>
      </c>
      <c r="Q226" t="n">
        <v>1</v>
      </c>
      <c r="R226" s="2" t="inlineStr">
        <is>
          <t>Stor aspticka</t>
        </is>
      </c>
      <c r="S226">
        <f>HYPERLINK("https://klasma.github.io/Logging_2303/artfynd/A 1057-2024 artfynd.xlsx", "A 1057-2024")</f>
        <v/>
      </c>
      <c r="T226">
        <f>HYPERLINK("https://klasma.github.io/Logging_2303/kartor/A 1057-2024 karta.png", "A 1057-2024")</f>
        <v/>
      </c>
      <c r="V226">
        <f>HYPERLINK("https://klasma.github.io/Logging_2303/klagomål/A 1057-2024 FSC-klagomål.docx", "A 1057-2024")</f>
        <v/>
      </c>
      <c r="W226">
        <f>HYPERLINK("https://klasma.github.io/Logging_2303/klagomålsmail/A 1057-2024 FSC-klagomål mail.docx", "A 1057-2024")</f>
        <v/>
      </c>
      <c r="X226">
        <f>HYPERLINK("https://klasma.github.io/Logging_2303/tillsyn/A 1057-2024 tillsynsbegäran.docx", "A 1057-2024")</f>
        <v/>
      </c>
      <c r="Y226">
        <f>HYPERLINK("https://klasma.github.io/Logging_2303/tillsynsmail/A 1057-2024 tillsynsbegäran mail.docx", "A 1057-2024")</f>
        <v/>
      </c>
    </row>
    <row r="227" ht="15" customHeight="1">
      <c r="A227" t="inlineStr">
        <is>
          <t>A 19387-2025</t>
        </is>
      </c>
      <c r="B227" s="1" t="n">
        <v>45769.65736111111</v>
      </c>
      <c r="C227" s="1" t="n">
        <v>45888</v>
      </c>
      <c r="D227" t="inlineStr">
        <is>
          <t>JÄMTLANDS LÄN</t>
        </is>
      </c>
      <c r="E227" t="inlineStr">
        <is>
          <t>RAGUNDA</t>
        </is>
      </c>
      <c r="F227" t="inlineStr">
        <is>
          <t>SCA</t>
        </is>
      </c>
      <c r="G227" t="n">
        <v>16.4</v>
      </c>
      <c r="H227" t="n">
        <v>1</v>
      </c>
      <c r="I227" t="n">
        <v>0</v>
      </c>
      <c r="J227" t="n">
        <v>0</v>
      </c>
      <c r="K227" t="n">
        <v>1</v>
      </c>
      <c r="L227" t="n">
        <v>0</v>
      </c>
      <c r="M227" t="n">
        <v>0</v>
      </c>
      <c r="N227" t="n">
        <v>0</v>
      </c>
      <c r="O227" t="n">
        <v>1</v>
      </c>
      <c r="P227" t="n">
        <v>1</v>
      </c>
      <c r="Q227" t="n">
        <v>1</v>
      </c>
      <c r="R227" s="2" t="inlineStr">
        <is>
          <t>Norna</t>
        </is>
      </c>
      <c r="S227">
        <f>HYPERLINK("https://klasma.github.io/Logging_2303/artfynd/A 19387-2025 artfynd.xlsx", "A 19387-2025")</f>
        <v/>
      </c>
      <c r="T227">
        <f>HYPERLINK("https://klasma.github.io/Logging_2303/kartor/A 19387-2025 karta.png", "A 19387-2025")</f>
        <v/>
      </c>
      <c r="V227">
        <f>HYPERLINK("https://klasma.github.io/Logging_2303/klagomål/A 19387-2025 FSC-klagomål.docx", "A 19387-2025")</f>
        <v/>
      </c>
      <c r="W227">
        <f>HYPERLINK("https://klasma.github.io/Logging_2303/klagomålsmail/A 19387-2025 FSC-klagomål mail.docx", "A 19387-2025")</f>
        <v/>
      </c>
      <c r="X227">
        <f>HYPERLINK("https://klasma.github.io/Logging_2303/tillsyn/A 19387-2025 tillsynsbegäran.docx", "A 19387-2025")</f>
        <v/>
      </c>
      <c r="Y227">
        <f>HYPERLINK("https://klasma.github.io/Logging_2303/tillsynsmail/A 19387-2025 tillsynsbegäran mail.docx", "A 19387-2025")</f>
        <v/>
      </c>
    </row>
    <row r="228" ht="15" customHeight="1">
      <c r="A228" t="inlineStr">
        <is>
          <t>A 2929-2024</t>
        </is>
      </c>
      <c r="B228" s="1" t="n">
        <v>45315</v>
      </c>
      <c r="C228" s="1" t="n">
        <v>45888</v>
      </c>
      <c r="D228" t="inlineStr">
        <is>
          <t>JÄMTLANDS LÄN</t>
        </is>
      </c>
      <c r="E228" t="inlineStr">
        <is>
          <t>RAGUNDA</t>
        </is>
      </c>
      <c r="G228" t="n">
        <v>1</v>
      </c>
      <c r="H228" t="n">
        <v>0</v>
      </c>
      <c r="I228" t="n">
        <v>0</v>
      </c>
      <c r="J228" t="n">
        <v>1</v>
      </c>
      <c r="K228" t="n">
        <v>0</v>
      </c>
      <c r="L228" t="n">
        <v>0</v>
      </c>
      <c r="M228" t="n">
        <v>0</v>
      </c>
      <c r="N228" t="n">
        <v>0</v>
      </c>
      <c r="O228" t="n">
        <v>1</v>
      </c>
      <c r="P228" t="n">
        <v>0</v>
      </c>
      <c r="Q228" t="n">
        <v>1</v>
      </c>
      <c r="R228" s="2" t="inlineStr">
        <is>
          <t>Klådris</t>
        </is>
      </c>
      <c r="S228">
        <f>HYPERLINK("https://klasma.github.io/Logging_2303/artfynd/A 2929-2024 artfynd.xlsx", "A 2929-2024")</f>
        <v/>
      </c>
      <c r="T228">
        <f>HYPERLINK("https://klasma.github.io/Logging_2303/kartor/A 2929-2024 karta.png", "A 2929-2024")</f>
        <v/>
      </c>
      <c r="V228">
        <f>HYPERLINK("https://klasma.github.io/Logging_2303/klagomål/A 2929-2024 FSC-klagomål.docx", "A 2929-2024")</f>
        <v/>
      </c>
      <c r="W228">
        <f>HYPERLINK("https://klasma.github.io/Logging_2303/klagomålsmail/A 2929-2024 FSC-klagomål mail.docx", "A 2929-2024")</f>
        <v/>
      </c>
      <c r="X228">
        <f>HYPERLINK("https://klasma.github.io/Logging_2303/tillsyn/A 2929-2024 tillsynsbegäran.docx", "A 2929-2024")</f>
        <v/>
      </c>
      <c r="Y228">
        <f>HYPERLINK("https://klasma.github.io/Logging_2303/tillsynsmail/A 2929-2024 tillsynsbegäran mail.docx", "A 2929-2024")</f>
        <v/>
      </c>
    </row>
    <row r="229" ht="15" customHeight="1">
      <c r="A229" t="inlineStr">
        <is>
          <t>A 31773-2021</t>
        </is>
      </c>
      <c r="B229" s="1" t="n">
        <v>44369</v>
      </c>
      <c r="C229" s="1" t="n">
        <v>45888</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19728-2025</t>
        </is>
      </c>
      <c r="B230" s="1" t="n">
        <v>45771.36548611111</v>
      </c>
      <c r="C230" s="1" t="n">
        <v>45888</v>
      </c>
      <c r="D230" t="inlineStr">
        <is>
          <t>JÄMTLANDS LÄN</t>
        </is>
      </c>
      <c r="E230" t="inlineStr">
        <is>
          <t>RAGUNDA</t>
        </is>
      </c>
      <c r="F230" t="inlineStr">
        <is>
          <t>SCA</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19728-2025 artfynd.xlsx", "A 19728-2025")</f>
        <v/>
      </c>
      <c r="T230">
        <f>HYPERLINK("https://klasma.github.io/Logging_2303/kartor/A 19728-2025 karta.png", "A 19728-2025")</f>
        <v/>
      </c>
      <c r="V230">
        <f>HYPERLINK("https://klasma.github.io/Logging_2303/klagomål/A 19728-2025 FSC-klagomål.docx", "A 19728-2025")</f>
        <v/>
      </c>
      <c r="W230">
        <f>HYPERLINK("https://klasma.github.io/Logging_2303/klagomålsmail/A 19728-2025 FSC-klagomål mail.docx", "A 19728-2025")</f>
        <v/>
      </c>
      <c r="X230">
        <f>HYPERLINK("https://klasma.github.io/Logging_2303/tillsyn/A 19728-2025 tillsynsbegäran.docx", "A 19728-2025")</f>
        <v/>
      </c>
      <c r="Y230">
        <f>HYPERLINK("https://klasma.github.io/Logging_2303/tillsynsmail/A 19728-2025 tillsynsbegäran mail.docx", "A 19728-2025")</f>
        <v/>
      </c>
      <c r="Z230">
        <f>HYPERLINK("https://klasma.github.io/Logging_2303/fåglar/A 19728-2025 prioriterade fågelarter.docx", "A 19728-2025")</f>
        <v/>
      </c>
    </row>
    <row r="231" ht="15" customHeight="1">
      <c r="A231" t="inlineStr">
        <is>
          <t>A 34474-2025</t>
        </is>
      </c>
      <c r="B231" s="1" t="n">
        <v>45847.36528935185</v>
      </c>
      <c r="C231" s="1" t="n">
        <v>45888</v>
      </c>
      <c r="D231" t="inlineStr">
        <is>
          <t>JÄMTLANDS LÄN</t>
        </is>
      </c>
      <c r="E231" t="inlineStr">
        <is>
          <t>RAGUNDA</t>
        </is>
      </c>
      <c r="F231" t="inlineStr">
        <is>
          <t>SCA</t>
        </is>
      </c>
      <c r="G231" t="n">
        <v>9.699999999999999</v>
      </c>
      <c r="H231" t="n">
        <v>1</v>
      </c>
      <c r="I231" t="n">
        <v>0</v>
      </c>
      <c r="J231" t="n">
        <v>1</v>
      </c>
      <c r="K231" t="n">
        <v>0</v>
      </c>
      <c r="L231" t="n">
        <v>0</v>
      </c>
      <c r="M231" t="n">
        <v>0</v>
      </c>
      <c r="N231" t="n">
        <v>0</v>
      </c>
      <c r="O231" t="n">
        <v>1</v>
      </c>
      <c r="P231" t="n">
        <v>0</v>
      </c>
      <c r="Q231" t="n">
        <v>1</v>
      </c>
      <c r="R231" s="2" t="inlineStr">
        <is>
          <t>Fjällvråk</t>
        </is>
      </c>
      <c r="S231">
        <f>HYPERLINK("https://klasma.github.io/Logging_2303/artfynd/A 34474-2025 artfynd.xlsx", "A 34474-2025")</f>
        <v/>
      </c>
      <c r="T231">
        <f>HYPERLINK("https://klasma.github.io/Logging_2303/kartor/A 34474-2025 karta.png", "A 34474-2025")</f>
        <v/>
      </c>
      <c r="V231">
        <f>HYPERLINK("https://klasma.github.io/Logging_2303/klagomål/A 34474-2025 FSC-klagomål.docx", "A 34474-2025")</f>
        <v/>
      </c>
      <c r="W231">
        <f>HYPERLINK("https://klasma.github.io/Logging_2303/klagomålsmail/A 34474-2025 FSC-klagomål mail.docx", "A 34474-2025")</f>
        <v/>
      </c>
      <c r="X231">
        <f>HYPERLINK("https://klasma.github.io/Logging_2303/tillsyn/A 34474-2025 tillsynsbegäran.docx", "A 34474-2025")</f>
        <v/>
      </c>
      <c r="Y231">
        <f>HYPERLINK("https://klasma.github.io/Logging_2303/tillsynsmail/A 34474-2025 tillsynsbegäran mail.docx", "A 34474-2025")</f>
        <v/>
      </c>
      <c r="Z231">
        <f>HYPERLINK("https://klasma.github.io/Logging_2303/fåglar/A 34474-2025 prioriterade fågelarter.docx", "A 34474-2025")</f>
        <v/>
      </c>
    </row>
    <row r="232" ht="15" customHeight="1">
      <c r="A232" t="inlineStr">
        <is>
          <t>A 58846-2024</t>
        </is>
      </c>
      <c r="B232" s="1" t="n">
        <v>45636.3863425926</v>
      </c>
      <c r="C232" s="1" t="n">
        <v>45888</v>
      </c>
      <c r="D232" t="inlineStr">
        <is>
          <t>JÄMTLANDS LÄN</t>
        </is>
      </c>
      <c r="E232" t="inlineStr">
        <is>
          <t>RAGUNDA</t>
        </is>
      </c>
      <c r="F232" t="inlineStr">
        <is>
          <t>SCA</t>
        </is>
      </c>
      <c r="G232" t="n">
        <v>1.5</v>
      </c>
      <c r="H232" t="n">
        <v>0</v>
      </c>
      <c r="I232" t="n">
        <v>0</v>
      </c>
      <c r="J232" t="n">
        <v>0</v>
      </c>
      <c r="K232" t="n">
        <v>1</v>
      </c>
      <c r="L232" t="n">
        <v>0</v>
      </c>
      <c r="M232" t="n">
        <v>0</v>
      </c>
      <c r="N232" t="n">
        <v>0</v>
      </c>
      <c r="O232" t="n">
        <v>1</v>
      </c>
      <c r="P232" t="n">
        <v>1</v>
      </c>
      <c r="Q232" t="n">
        <v>1</v>
      </c>
      <c r="R232" s="2" t="inlineStr">
        <is>
          <t>Rynkskinn</t>
        </is>
      </c>
      <c r="S232">
        <f>HYPERLINK("https://klasma.github.io/Logging_2303/artfynd/A 58846-2024 artfynd.xlsx", "A 58846-2024")</f>
        <v/>
      </c>
      <c r="T232">
        <f>HYPERLINK("https://klasma.github.io/Logging_2303/kartor/A 58846-2024 karta.png", "A 58846-2024")</f>
        <v/>
      </c>
      <c r="V232">
        <f>HYPERLINK("https://klasma.github.io/Logging_2303/klagomål/A 58846-2024 FSC-klagomål.docx", "A 58846-2024")</f>
        <v/>
      </c>
      <c r="W232">
        <f>HYPERLINK("https://klasma.github.io/Logging_2303/klagomålsmail/A 58846-2024 FSC-klagomål mail.docx", "A 58846-2024")</f>
        <v/>
      </c>
      <c r="X232">
        <f>HYPERLINK("https://klasma.github.io/Logging_2303/tillsyn/A 58846-2024 tillsynsbegäran.docx", "A 58846-2024")</f>
        <v/>
      </c>
      <c r="Y232">
        <f>HYPERLINK("https://klasma.github.io/Logging_2303/tillsynsmail/A 58846-2024 tillsynsbegäran mail.docx", "A 58846-2024")</f>
        <v/>
      </c>
    </row>
    <row r="233" ht="15" customHeight="1">
      <c r="A233" t="inlineStr">
        <is>
          <t>A 26317-2024</t>
        </is>
      </c>
      <c r="B233" s="1" t="n">
        <v>45468</v>
      </c>
      <c r="C233" s="1" t="n">
        <v>45888</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27573-2025</t>
        </is>
      </c>
      <c r="B234" s="1" t="n">
        <v>45813.49061342593</v>
      </c>
      <c r="C234" s="1" t="n">
        <v>45888</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49091-2022</t>
        </is>
      </c>
      <c r="B235" s="1" t="n">
        <v>44860</v>
      </c>
      <c r="C235" s="1" t="n">
        <v>45888</v>
      </c>
      <c r="D235" t="inlineStr">
        <is>
          <t>JÄMTLANDS LÄN</t>
        </is>
      </c>
      <c r="E235" t="inlineStr">
        <is>
          <t>RAGUNDA</t>
        </is>
      </c>
      <c r="G235" t="n">
        <v>3.5</v>
      </c>
      <c r="H235" t="n">
        <v>1</v>
      </c>
      <c r="I235" t="n">
        <v>0</v>
      </c>
      <c r="J235" t="n">
        <v>0</v>
      </c>
      <c r="K235" t="n">
        <v>1</v>
      </c>
      <c r="L235" t="n">
        <v>0</v>
      </c>
      <c r="M235" t="n">
        <v>0</v>
      </c>
      <c r="N235" t="n">
        <v>0</v>
      </c>
      <c r="O235" t="n">
        <v>1</v>
      </c>
      <c r="P235" t="n">
        <v>1</v>
      </c>
      <c r="Q235" t="n">
        <v>1</v>
      </c>
      <c r="R235" s="2" t="inlineStr">
        <is>
          <t>Doftticka</t>
        </is>
      </c>
      <c r="S235">
        <f>HYPERLINK("https://klasma.github.io/Logging_2303/artfynd/A 49091-2022 artfynd.xlsx", "A 49091-2022")</f>
        <v/>
      </c>
      <c r="T235">
        <f>HYPERLINK("https://klasma.github.io/Logging_2303/kartor/A 49091-2022 karta.png", "A 49091-2022")</f>
        <v/>
      </c>
      <c r="V235">
        <f>HYPERLINK("https://klasma.github.io/Logging_2303/klagomål/A 49091-2022 FSC-klagomål.docx", "A 49091-2022")</f>
        <v/>
      </c>
      <c r="W235">
        <f>HYPERLINK("https://klasma.github.io/Logging_2303/klagomålsmail/A 49091-2022 FSC-klagomål mail.docx", "A 49091-2022")</f>
        <v/>
      </c>
      <c r="X235">
        <f>HYPERLINK("https://klasma.github.io/Logging_2303/tillsyn/A 49091-2022 tillsynsbegäran.docx", "A 49091-2022")</f>
        <v/>
      </c>
      <c r="Y235">
        <f>HYPERLINK("https://klasma.github.io/Logging_2303/tillsynsmail/A 49091-2022 tillsynsbegäran mail.docx", "A 49091-2022")</f>
        <v/>
      </c>
    </row>
    <row r="236" ht="15" customHeight="1">
      <c r="A236" t="inlineStr">
        <is>
          <t>A 36854-2023</t>
        </is>
      </c>
      <c r="B236" s="1" t="n">
        <v>45153</v>
      </c>
      <c r="C236" s="1" t="n">
        <v>45888</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18985-2023</t>
        </is>
      </c>
      <c r="B237" s="1" t="n">
        <v>45044</v>
      </c>
      <c r="C237" s="1" t="n">
        <v>45888</v>
      </c>
      <c r="D237" t="inlineStr">
        <is>
          <t>JÄMTLANDS LÄN</t>
        </is>
      </c>
      <c r="E237" t="inlineStr">
        <is>
          <t>RAGUNDA</t>
        </is>
      </c>
      <c r="F237" t="inlineStr">
        <is>
          <t>SCA</t>
        </is>
      </c>
      <c r="G237" t="n">
        <v>2.6</v>
      </c>
      <c r="H237" t="n">
        <v>0</v>
      </c>
      <c r="I237" t="n">
        <v>0</v>
      </c>
      <c r="J237" t="n">
        <v>1</v>
      </c>
      <c r="K237" t="n">
        <v>0</v>
      </c>
      <c r="L237" t="n">
        <v>0</v>
      </c>
      <c r="M237" t="n">
        <v>0</v>
      </c>
      <c r="N237" t="n">
        <v>0</v>
      </c>
      <c r="O237" t="n">
        <v>1</v>
      </c>
      <c r="P237" t="n">
        <v>0</v>
      </c>
      <c r="Q237" t="n">
        <v>1</v>
      </c>
      <c r="R237" s="2" t="inlineStr">
        <is>
          <t>Doftskinn</t>
        </is>
      </c>
      <c r="S237">
        <f>HYPERLINK("https://klasma.github.io/Logging_2303/artfynd/A 18985-2023 artfynd.xlsx", "A 18985-2023")</f>
        <v/>
      </c>
      <c r="T237">
        <f>HYPERLINK("https://klasma.github.io/Logging_2303/kartor/A 18985-2023 karta.png", "A 18985-2023")</f>
        <v/>
      </c>
      <c r="V237">
        <f>HYPERLINK("https://klasma.github.io/Logging_2303/klagomål/A 18985-2023 FSC-klagomål.docx", "A 18985-2023")</f>
        <v/>
      </c>
      <c r="W237">
        <f>HYPERLINK("https://klasma.github.io/Logging_2303/klagomålsmail/A 18985-2023 FSC-klagomål mail.docx", "A 18985-2023")</f>
        <v/>
      </c>
      <c r="X237">
        <f>HYPERLINK("https://klasma.github.io/Logging_2303/tillsyn/A 18985-2023 tillsynsbegäran.docx", "A 18985-2023")</f>
        <v/>
      </c>
      <c r="Y237">
        <f>HYPERLINK("https://klasma.github.io/Logging_2303/tillsynsmail/A 18985-2023 tillsynsbegäran mail.docx", "A 18985-2023")</f>
        <v/>
      </c>
    </row>
    <row r="238" ht="15" customHeight="1">
      <c r="A238" t="inlineStr">
        <is>
          <t>A 30485-2024</t>
        </is>
      </c>
      <c r="B238" s="1" t="n">
        <v>45491.95008101852</v>
      </c>
      <c r="C238" s="1" t="n">
        <v>45888</v>
      </c>
      <c r="D238" t="inlineStr">
        <is>
          <t>JÄMTLANDS LÄN</t>
        </is>
      </c>
      <c r="E238" t="inlineStr">
        <is>
          <t>RAGUNDA</t>
        </is>
      </c>
      <c r="F238" t="inlineStr">
        <is>
          <t>SCA</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HYPERLINK("https://klasma.github.io/Logging_2303/artfynd/A 30485-2024 artfynd.xlsx", "A 30485-2024")</f>
        <v/>
      </c>
      <c r="T238">
        <f>HYPERLINK("https://klasma.github.io/Logging_2303/kartor/A 30485-2024 karta.png", "A 30485-2024")</f>
        <v/>
      </c>
      <c r="V238">
        <f>HYPERLINK("https://klasma.github.io/Logging_2303/klagomål/A 30485-2024 FSC-klagomål.docx", "A 30485-2024")</f>
        <v/>
      </c>
      <c r="W238">
        <f>HYPERLINK("https://klasma.github.io/Logging_2303/klagomålsmail/A 30485-2024 FSC-klagomål mail.docx", "A 30485-2024")</f>
        <v/>
      </c>
      <c r="X238">
        <f>HYPERLINK("https://klasma.github.io/Logging_2303/tillsyn/A 30485-2024 tillsynsbegäran.docx", "A 30485-2024")</f>
        <v/>
      </c>
      <c r="Y238">
        <f>HYPERLINK("https://klasma.github.io/Logging_2303/tillsynsmail/A 30485-2024 tillsynsbegäran mail.docx", "A 30485-2024")</f>
        <v/>
      </c>
    </row>
    <row r="239" ht="15" customHeight="1">
      <c r="A239" t="inlineStr">
        <is>
          <t>A 35750-2023</t>
        </is>
      </c>
      <c r="B239" s="1" t="n">
        <v>45147</v>
      </c>
      <c r="C239" s="1" t="n">
        <v>45888</v>
      </c>
      <c r="D239" t="inlineStr">
        <is>
          <t>JÄMTLANDS LÄN</t>
        </is>
      </c>
      <c r="E239" t="inlineStr">
        <is>
          <t>RAGUNDA</t>
        </is>
      </c>
      <c r="F239" t="inlineStr">
        <is>
          <t>SCA</t>
        </is>
      </c>
      <c r="G239" t="n">
        <v>4.8</v>
      </c>
      <c r="H239" t="n">
        <v>0</v>
      </c>
      <c r="I239" t="n">
        <v>0</v>
      </c>
      <c r="J239" t="n">
        <v>1</v>
      </c>
      <c r="K239" t="n">
        <v>0</v>
      </c>
      <c r="L239" t="n">
        <v>0</v>
      </c>
      <c r="M239" t="n">
        <v>0</v>
      </c>
      <c r="N239" t="n">
        <v>0</v>
      </c>
      <c r="O239" t="n">
        <v>1</v>
      </c>
      <c r="P239" t="n">
        <v>0</v>
      </c>
      <c r="Q239" t="n">
        <v>1</v>
      </c>
      <c r="R239" s="2" t="inlineStr">
        <is>
          <t>Grantaggsvamp</t>
        </is>
      </c>
      <c r="S239">
        <f>HYPERLINK("https://klasma.github.io/Logging_2303/artfynd/A 35750-2023 artfynd.xlsx", "A 35750-2023")</f>
        <v/>
      </c>
      <c r="T239">
        <f>HYPERLINK("https://klasma.github.io/Logging_2303/kartor/A 35750-2023 karta.png", "A 35750-2023")</f>
        <v/>
      </c>
      <c r="V239">
        <f>HYPERLINK("https://klasma.github.io/Logging_2303/klagomål/A 35750-2023 FSC-klagomål.docx", "A 35750-2023")</f>
        <v/>
      </c>
      <c r="W239">
        <f>HYPERLINK("https://klasma.github.io/Logging_2303/klagomålsmail/A 35750-2023 FSC-klagomål mail.docx", "A 35750-2023")</f>
        <v/>
      </c>
      <c r="X239">
        <f>HYPERLINK("https://klasma.github.io/Logging_2303/tillsyn/A 35750-2023 tillsynsbegäran.docx", "A 35750-2023")</f>
        <v/>
      </c>
      <c r="Y239">
        <f>HYPERLINK("https://klasma.github.io/Logging_2303/tillsynsmail/A 35750-2023 tillsynsbegäran mail.docx", "A 35750-2023")</f>
        <v/>
      </c>
    </row>
    <row r="240" ht="15" customHeight="1">
      <c r="A240" t="inlineStr">
        <is>
          <t>A 30390-2025</t>
        </is>
      </c>
      <c r="B240" s="1" t="n">
        <v>45827.57371527778</v>
      </c>
      <c r="C240" s="1" t="n">
        <v>45888</v>
      </c>
      <c r="D240" t="inlineStr">
        <is>
          <t>JÄMTLANDS LÄN</t>
        </is>
      </c>
      <c r="E240" t="inlineStr">
        <is>
          <t>RAGUNDA</t>
        </is>
      </c>
      <c r="F240" t="inlineStr">
        <is>
          <t>SCA</t>
        </is>
      </c>
      <c r="G240" t="n">
        <v>11.2</v>
      </c>
      <c r="H240" t="n">
        <v>0</v>
      </c>
      <c r="I240" t="n">
        <v>0</v>
      </c>
      <c r="J240" t="n">
        <v>1</v>
      </c>
      <c r="K240" t="n">
        <v>0</v>
      </c>
      <c r="L240" t="n">
        <v>0</v>
      </c>
      <c r="M240" t="n">
        <v>0</v>
      </c>
      <c r="N240" t="n">
        <v>0</v>
      </c>
      <c r="O240" t="n">
        <v>1</v>
      </c>
      <c r="P240" t="n">
        <v>0</v>
      </c>
      <c r="Q240" t="n">
        <v>1</v>
      </c>
      <c r="R240" s="2" t="inlineStr">
        <is>
          <t>Lunglav</t>
        </is>
      </c>
      <c r="S240">
        <f>HYPERLINK("https://klasma.github.io/Logging_2303/artfynd/A 30390-2025 artfynd.xlsx", "A 30390-2025")</f>
        <v/>
      </c>
      <c r="T240">
        <f>HYPERLINK("https://klasma.github.io/Logging_2303/kartor/A 30390-2025 karta.png", "A 30390-2025")</f>
        <v/>
      </c>
      <c r="U240">
        <f>HYPERLINK("https://klasma.github.io/Logging_2303/knärot/A 30390-2025 karta knärot.png", "A 30390-2025")</f>
        <v/>
      </c>
      <c r="V240">
        <f>HYPERLINK("https://klasma.github.io/Logging_2303/klagomål/A 30390-2025 FSC-klagomål.docx", "A 30390-2025")</f>
        <v/>
      </c>
      <c r="W240">
        <f>HYPERLINK("https://klasma.github.io/Logging_2303/klagomålsmail/A 30390-2025 FSC-klagomål mail.docx", "A 30390-2025")</f>
        <v/>
      </c>
      <c r="X240">
        <f>HYPERLINK("https://klasma.github.io/Logging_2303/tillsyn/A 30390-2025 tillsynsbegäran.docx", "A 30390-2025")</f>
        <v/>
      </c>
      <c r="Y240">
        <f>HYPERLINK("https://klasma.github.io/Logging_2303/tillsynsmail/A 30390-2025 tillsynsbegäran mail.docx", "A 30390-2025")</f>
        <v/>
      </c>
    </row>
    <row r="241" ht="15" customHeight="1">
      <c r="A241" t="inlineStr">
        <is>
          <t>A 50164-2023</t>
        </is>
      </c>
      <c r="B241" s="1" t="n">
        <v>45208</v>
      </c>
      <c r="C241" s="1" t="n">
        <v>45888</v>
      </c>
      <c r="D241" t="inlineStr">
        <is>
          <t>JÄMTLANDS LÄN</t>
        </is>
      </c>
      <c r="E241" t="inlineStr">
        <is>
          <t>RAGUNDA</t>
        </is>
      </c>
      <c r="G241" t="n">
        <v>2.9</v>
      </c>
      <c r="H241" t="n">
        <v>0</v>
      </c>
      <c r="I241" t="n">
        <v>0</v>
      </c>
      <c r="J241" t="n">
        <v>0</v>
      </c>
      <c r="K241" t="n">
        <v>1</v>
      </c>
      <c r="L241" t="n">
        <v>0</v>
      </c>
      <c r="M241" t="n">
        <v>0</v>
      </c>
      <c r="N241" t="n">
        <v>0</v>
      </c>
      <c r="O241" t="n">
        <v>1</v>
      </c>
      <c r="P241" t="n">
        <v>1</v>
      </c>
      <c r="Q241" t="n">
        <v>1</v>
      </c>
      <c r="R241" s="2" t="inlineStr">
        <is>
          <t>Mindre barkplattbagge</t>
        </is>
      </c>
      <c r="S241">
        <f>HYPERLINK("https://klasma.github.io/Logging_2303/artfynd/A 50164-2023 artfynd.xlsx", "A 50164-2023")</f>
        <v/>
      </c>
      <c r="T241">
        <f>HYPERLINK("https://klasma.github.io/Logging_2303/kartor/A 50164-2023 karta.png", "A 50164-2023")</f>
        <v/>
      </c>
      <c r="V241">
        <f>HYPERLINK("https://klasma.github.io/Logging_2303/klagomål/A 50164-2023 FSC-klagomål.docx", "A 50164-2023")</f>
        <v/>
      </c>
      <c r="W241">
        <f>HYPERLINK("https://klasma.github.io/Logging_2303/klagomålsmail/A 50164-2023 FSC-klagomål mail.docx", "A 50164-2023")</f>
        <v/>
      </c>
      <c r="X241">
        <f>HYPERLINK("https://klasma.github.io/Logging_2303/tillsyn/A 50164-2023 tillsynsbegäran.docx", "A 50164-2023")</f>
        <v/>
      </c>
      <c r="Y241">
        <f>HYPERLINK("https://klasma.github.io/Logging_2303/tillsynsmail/A 50164-2023 tillsynsbegäran mail.docx", "A 50164-2023")</f>
        <v/>
      </c>
    </row>
    <row r="242" ht="15" customHeight="1">
      <c r="A242" t="inlineStr">
        <is>
          <t>A 22054-2025</t>
        </is>
      </c>
      <c r="B242" s="1" t="n">
        <v>45785.36525462963</v>
      </c>
      <c r="C242" s="1" t="n">
        <v>45888</v>
      </c>
      <c r="D242" t="inlineStr">
        <is>
          <t>JÄMTLANDS LÄN</t>
        </is>
      </c>
      <c r="E242" t="inlineStr">
        <is>
          <t>RAGUNDA</t>
        </is>
      </c>
      <c r="F242" t="inlineStr">
        <is>
          <t>SCA</t>
        </is>
      </c>
      <c r="G242" t="n">
        <v>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22054-2025 artfynd.xlsx", "A 22054-2025")</f>
        <v/>
      </c>
      <c r="T242">
        <f>HYPERLINK("https://klasma.github.io/Logging_2303/kartor/A 22054-2025 karta.png", "A 22054-2025")</f>
        <v/>
      </c>
      <c r="V242">
        <f>HYPERLINK("https://klasma.github.io/Logging_2303/klagomål/A 22054-2025 FSC-klagomål.docx", "A 22054-2025")</f>
        <v/>
      </c>
      <c r="W242">
        <f>HYPERLINK("https://klasma.github.io/Logging_2303/klagomålsmail/A 22054-2025 FSC-klagomål mail.docx", "A 22054-2025")</f>
        <v/>
      </c>
      <c r="X242">
        <f>HYPERLINK("https://klasma.github.io/Logging_2303/tillsyn/A 22054-2025 tillsynsbegäran.docx", "A 22054-2025")</f>
        <v/>
      </c>
      <c r="Y242">
        <f>HYPERLINK("https://klasma.github.io/Logging_2303/tillsynsmail/A 22054-2025 tillsynsbegäran mail.docx", "A 22054-2025")</f>
        <v/>
      </c>
      <c r="Z242">
        <f>HYPERLINK("https://klasma.github.io/Logging_2303/fåglar/A 22054-2025 prioriterade fågelarter.docx", "A 22054-2025")</f>
        <v/>
      </c>
    </row>
    <row r="243" ht="15" customHeight="1">
      <c r="A243" t="inlineStr">
        <is>
          <t>A 48429-2023</t>
        </is>
      </c>
      <c r="B243" s="1" t="n">
        <v>45205</v>
      </c>
      <c r="C243" s="1" t="n">
        <v>45888</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48429-2023 artfynd.xlsx", "A 48429-2023")</f>
        <v/>
      </c>
      <c r="T243">
        <f>HYPERLINK("https://klasma.github.io/Logging_2303/kartor/A 48429-2023 karta.png", "A 48429-2023")</f>
        <v/>
      </c>
      <c r="V243">
        <f>HYPERLINK("https://klasma.github.io/Logging_2303/klagomål/A 48429-2023 FSC-klagomål.docx", "A 48429-2023")</f>
        <v/>
      </c>
      <c r="W243">
        <f>HYPERLINK("https://klasma.github.io/Logging_2303/klagomålsmail/A 48429-2023 FSC-klagomål mail.docx", "A 48429-2023")</f>
        <v/>
      </c>
      <c r="X243">
        <f>HYPERLINK("https://klasma.github.io/Logging_2303/tillsyn/A 48429-2023 tillsynsbegäran.docx", "A 48429-2023")</f>
        <v/>
      </c>
      <c r="Y243">
        <f>HYPERLINK("https://klasma.github.io/Logging_2303/tillsynsmail/A 48429-2023 tillsynsbegäran mail.docx", "A 48429-2023")</f>
        <v/>
      </c>
    </row>
    <row r="244" ht="15" customHeight="1">
      <c r="A244" t="inlineStr">
        <is>
          <t>A 32445-2025</t>
        </is>
      </c>
      <c r="B244" s="1" t="n">
        <v>45838.38627314815</v>
      </c>
      <c r="C244" s="1" t="n">
        <v>45888</v>
      </c>
      <c r="D244" t="inlineStr">
        <is>
          <t>JÄMTLANDS LÄN</t>
        </is>
      </c>
      <c r="E244" t="inlineStr">
        <is>
          <t>RAGUNDA</t>
        </is>
      </c>
      <c r="F244" t="inlineStr">
        <is>
          <t>SCA</t>
        </is>
      </c>
      <c r="G244" t="n">
        <v>1.6</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32445-2025 artfynd.xlsx", "A 32445-2025")</f>
        <v/>
      </c>
      <c r="T244">
        <f>HYPERLINK("https://klasma.github.io/Logging_2303/kartor/A 32445-2025 karta.png", "A 32445-2025")</f>
        <v/>
      </c>
      <c r="V244">
        <f>HYPERLINK("https://klasma.github.io/Logging_2303/klagomål/A 32445-2025 FSC-klagomål.docx", "A 32445-2025")</f>
        <v/>
      </c>
      <c r="W244">
        <f>HYPERLINK("https://klasma.github.io/Logging_2303/klagomålsmail/A 32445-2025 FSC-klagomål mail.docx", "A 32445-2025")</f>
        <v/>
      </c>
      <c r="X244">
        <f>HYPERLINK("https://klasma.github.io/Logging_2303/tillsyn/A 32445-2025 tillsynsbegäran.docx", "A 32445-2025")</f>
        <v/>
      </c>
      <c r="Y244">
        <f>HYPERLINK("https://klasma.github.io/Logging_2303/tillsynsmail/A 32445-2025 tillsynsbegäran mail.docx", "A 32445-2025")</f>
        <v/>
      </c>
      <c r="Z244">
        <f>HYPERLINK("https://klasma.github.io/Logging_2303/fåglar/A 32445-2025 prioriterade fågelarter.docx", "A 32445-2025")</f>
        <v/>
      </c>
    </row>
    <row r="245" ht="15" customHeight="1">
      <c r="A245" t="inlineStr">
        <is>
          <t>A 17340-2023</t>
        </is>
      </c>
      <c r="B245" s="1" t="n">
        <v>45033</v>
      </c>
      <c r="C245" s="1" t="n">
        <v>45888</v>
      </c>
      <c r="D245" t="inlineStr">
        <is>
          <t>JÄMTLANDS LÄN</t>
        </is>
      </c>
      <c r="E245" t="inlineStr">
        <is>
          <t>RAGUNDA</t>
        </is>
      </c>
      <c r="G245" t="n">
        <v>1.6</v>
      </c>
      <c r="H245" t="n">
        <v>0</v>
      </c>
      <c r="I245" t="n">
        <v>0</v>
      </c>
      <c r="J245" t="n">
        <v>1</v>
      </c>
      <c r="K245" t="n">
        <v>0</v>
      </c>
      <c r="L245" t="n">
        <v>0</v>
      </c>
      <c r="M245" t="n">
        <v>0</v>
      </c>
      <c r="N245" t="n">
        <v>0</v>
      </c>
      <c r="O245" t="n">
        <v>1</v>
      </c>
      <c r="P245" t="n">
        <v>0</v>
      </c>
      <c r="Q245" t="n">
        <v>1</v>
      </c>
      <c r="R245" s="2" t="inlineStr">
        <is>
          <t>Vedtrappmossa</t>
        </is>
      </c>
      <c r="S245">
        <f>HYPERLINK("https://klasma.github.io/Logging_2303/artfynd/A 17340-2023 artfynd.xlsx", "A 17340-2023")</f>
        <v/>
      </c>
      <c r="T245">
        <f>HYPERLINK("https://klasma.github.io/Logging_2303/kartor/A 17340-2023 karta.png", "A 17340-2023")</f>
        <v/>
      </c>
      <c r="U245">
        <f>HYPERLINK("https://klasma.github.io/Logging_2303/knärot/A 17340-2023 karta knärot.png", "A 17340-2023")</f>
        <v/>
      </c>
      <c r="V245">
        <f>HYPERLINK("https://klasma.github.io/Logging_2303/klagomål/A 17340-2023 FSC-klagomål.docx", "A 17340-2023")</f>
        <v/>
      </c>
      <c r="W245">
        <f>HYPERLINK("https://klasma.github.io/Logging_2303/klagomålsmail/A 17340-2023 FSC-klagomål mail.docx", "A 17340-2023")</f>
        <v/>
      </c>
      <c r="X245">
        <f>HYPERLINK("https://klasma.github.io/Logging_2303/tillsyn/A 17340-2023 tillsynsbegäran.docx", "A 17340-2023")</f>
        <v/>
      </c>
      <c r="Y245">
        <f>HYPERLINK("https://klasma.github.io/Logging_2303/tillsynsmail/A 17340-2023 tillsynsbegäran mail.docx", "A 17340-2023")</f>
        <v/>
      </c>
    </row>
    <row r="246" ht="15" customHeight="1">
      <c r="A246" t="inlineStr">
        <is>
          <t>A 26322-2024</t>
        </is>
      </c>
      <c r="B246" s="1" t="n">
        <v>45468.97461805555</v>
      </c>
      <c r="C246" s="1" t="n">
        <v>45888</v>
      </c>
      <c r="D246" t="inlineStr">
        <is>
          <t>JÄMTLANDS LÄN</t>
        </is>
      </c>
      <c r="E246" t="inlineStr">
        <is>
          <t>RAGUNDA</t>
        </is>
      </c>
      <c r="F246" t="inlineStr">
        <is>
          <t>SCA</t>
        </is>
      </c>
      <c r="G246" t="n">
        <v>9.6</v>
      </c>
      <c r="H246" t="n">
        <v>0</v>
      </c>
      <c r="I246" t="n">
        <v>0</v>
      </c>
      <c r="J246" t="n">
        <v>1</v>
      </c>
      <c r="K246" t="n">
        <v>0</v>
      </c>
      <c r="L246" t="n">
        <v>0</v>
      </c>
      <c r="M246" t="n">
        <v>0</v>
      </c>
      <c r="N246" t="n">
        <v>0</v>
      </c>
      <c r="O246" t="n">
        <v>1</v>
      </c>
      <c r="P246" t="n">
        <v>0</v>
      </c>
      <c r="Q246" t="n">
        <v>1</v>
      </c>
      <c r="R246" s="2" t="inlineStr">
        <is>
          <t>Rosenticka</t>
        </is>
      </c>
      <c r="S246">
        <f>HYPERLINK("https://klasma.github.io/Logging_2303/artfynd/A 26322-2024 artfynd.xlsx", "A 26322-2024")</f>
        <v/>
      </c>
      <c r="T246">
        <f>HYPERLINK("https://klasma.github.io/Logging_2303/kartor/A 26322-2024 karta.png", "A 26322-2024")</f>
        <v/>
      </c>
      <c r="U246">
        <f>HYPERLINK("https://klasma.github.io/Logging_2303/knärot/A 26322-2024 karta knärot.png", "A 26322-2024")</f>
        <v/>
      </c>
      <c r="V246">
        <f>HYPERLINK("https://klasma.github.io/Logging_2303/klagomål/A 26322-2024 FSC-klagomål.docx", "A 26322-2024")</f>
        <v/>
      </c>
      <c r="W246">
        <f>HYPERLINK("https://klasma.github.io/Logging_2303/klagomålsmail/A 26322-2024 FSC-klagomål mail.docx", "A 26322-2024")</f>
        <v/>
      </c>
      <c r="X246">
        <f>HYPERLINK("https://klasma.github.io/Logging_2303/tillsyn/A 26322-2024 tillsynsbegäran.docx", "A 26322-2024")</f>
        <v/>
      </c>
      <c r="Y246">
        <f>HYPERLINK("https://klasma.github.io/Logging_2303/tillsynsmail/A 26322-2024 tillsynsbegäran mail.docx", "A 26322-2024")</f>
        <v/>
      </c>
    </row>
    <row r="247" ht="15" customHeight="1">
      <c r="A247" t="inlineStr">
        <is>
          <t>A 62072-2023</t>
        </is>
      </c>
      <c r="B247" s="1" t="n">
        <v>45266</v>
      </c>
      <c r="C247" s="1" t="n">
        <v>45888</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57941-2020</t>
        </is>
      </c>
      <c r="B248" s="1" t="n">
        <v>44141</v>
      </c>
      <c r="C248" s="1" t="n">
        <v>45888</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45888</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45888</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45888</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45888</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45888</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45888</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45888</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45888</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45888</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45888</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45888</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45888</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45888</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45888</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45888</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45888</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45888</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45888</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45888</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14790-2021</t>
        </is>
      </c>
      <c r="B268" s="1" t="n">
        <v>44280</v>
      </c>
      <c r="C268" s="1" t="n">
        <v>45888</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45888</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45888</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45888</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45888</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45888</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45888</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45888</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45888</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45888</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45888</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45888</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45888</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45888</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45888</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45888</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45888</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45888</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45888</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45888</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45888</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45888</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45888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42899-2020</t>
        </is>
      </c>
      <c r="B291" s="1" t="n">
        <v>44078</v>
      </c>
      <c r="C291" s="1" t="n">
        <v>45888</v>
      </c>
      <c r="D291" t="inlineStr">
        <is>
          <t>JÄMTLANDS LÄN</t>
        </is>
      </c>
      <c r="E291" t="inlineStr">
        <is>
          <t>RAGUNDA</t>
        </is>
      </c>
      <c r="G291" t="n">
        <v>0.6</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45888</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45888</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45888</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45888</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45888</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45888</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45888</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45888</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54580-2020</t>
        </is>
      </c>
      <c r="B300" s="1" t="n">
        <v>44126</v>
      </c>
      <c r="C300" s="1" t="n">
        <v>45888</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45888</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45888</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45888</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45888</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45888</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45888</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45888</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44511-2020</t>
        </is>
      </c>
      <c r="B308" s="1" t="n">
        <v>44084</v>
      </c>
      <c r="C308" s="1" t="n">
        <v>45888</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45888</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45888</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45888</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45888</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45888</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45888</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45888</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45888</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45888</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45888</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45888</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40742-2020</t>
        </is>
      </c>
      <c r="B320" s="1" t="n">
        <v>44069</v>
      </c>
      <c r="C320" s="1" t="n">
        <v>45888</v>
      </c>
      <c r="D320" t="inlineStr">
        <is>
          <t>JÄMTLANDS LÄN</t>
        </is>
      </c>
      <c r="E320" t="inlineStr">
        <is>
          <t>RAGUNDA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45888</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45888</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45888</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45888</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45888</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45888</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45888</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45888</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45888</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45888</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45888</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45888</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45888</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45888</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45888</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45888</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45888</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36084-2022</t>
        </is>
      </c>
      <c r="B338" s="1" t="n">
        <v>44802</v>
      </c>
      <c r="C338" s="1" t="n">
        <v>45888</v>
      </c>
      <c r="D338" t="inlineStr">
        <is>
          <t>JÄMTLANDS LÄN</t>
        </is>
      </c>
      <c r="E338" t="inlineStr">
        <is>
          <t>RAGUNDA</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40612-2022</t>
        </is>
      </c>
      <c r="B339" s="1" t="n">
        <v>44823.94993055556</v>
      </c>
      <c r="C339" s="1" t="n">
        <v>45888</v>
      </c>
      <c r="D339" t="inlineStr">
        <is>
          <t>JÄMTLANDS LÄN</t>
        </is>
      </c>
      <c r="E339" t="inlineStr">
        <is>
          <t>RAGUNDA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45888</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20548-2021</t>
        </is>
      </c>
      <c r="B341" s="1" t="n">
        <v>44315</v>
      </c>
      <c r="C341" s="1" t="n">
        <v>45888</v>
      </c>
      <c r="D341" t="inlineStr">
        <is>
          <t>JÄMTLANDS LÄN</t>
        </is>
      </c>
      <c r="E341" t="inlineStr">
        <is>
          <t>RAGUNDA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49530-2022</t>
        </is>
      </c>
      <c r="B342" s="1" t="n">
        <v>44861</v>
      </c>
      <c r="C342" s="1" t="n">
        <v>45888</v>
      </c>
      <c r="D342" t="inlineStr">
        <is>
          <t>JÄMTLANDS LÄN</t>
        </is>
      </c>
      <c r="E342" t="inlineStr">
        <is>
          <t>RAGUNDA</t>
        </is>
      </c>
      <c r="F342" t="inlineStr">
        <is>
          <t>SCA</t>
        </is>
      </c>
      <c r="G342" t="n">
        <v>13.4</v>
      </c>
      <c r="H342" t="n">
        <v>0</v>
      </c>
      <c r="I342" t="n">
        <v>0</v>
      </c>
      <c r="J342" t="n">
        <v>0</v>
      </c>
      <c r="K342" t="n">
        <v>0</v>
      </c>
      <c r="L342" t="n">
        <v>0</v>
      </c>
      <c r="M342" t="n">
        <v>0</v>
      </c>
      <c r="N342" t="n">
        <v>0</v>
      </c>
      <c r="O342" t="n">
        <v>0</v>
      </c>
      <c r="P342" t="n">
        <v>0</v>
      </c>
      <c r="Q342" t="n">
        <v>0</v>
      </c>
      <c r="R342" s="2" t="inlineStr"/>
    </row>
    <row r="343" ht="15" customHeight="1">
      <c r="A343" t="inlineStr">
        <is>
          <t>A 31854-2022</t>
        </is>
      </c>
      <c r="B343" s="1" t="n">
        <v>44776</v>
      </c>
      <c r="C343" s="1" t="n">
        <v>45888</v>
      </c>
      <c r="D343" t="inlineStr">
        <is>
          <t>JÄMTLANDS LÄN</t>
        </is>
      </c>
      <c r="E343" t="inlineStr">
        <is>
          <t>RAGUNDA</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42882-2022</t>
        </is>
      </c>
      <c r="B344" s="1" t="n">
        <v>44832.95300925926</v>
      </c>
      <c r="C344" s="1" t="n">
        <v>45888</v>
      </c>
      <c r="D344" t="inlineStr">
        <is>
          <t>JÄMTLANDS LÄN</t>
        </is>
      </c>
      <c r="E344" t="inlineStr">
        <is>
          <t>RAGUNDA</t>
        </is>
      </c>
      <c r="F344" t="inlineStr">
        <is>
          <t>SCA</t>
        </is>
      </c>
      <c r="G344" t="n">
        <v>3.7</v>
      </c>
      <c r="H344" t="n">
        <v>0</v>
      </c>
      <c r="I344" t="n">
        <v>0</v>
      </c>
      <c r="J344" t="n">
        <v>0</v>
      </c>
      <c r="K344" t="n">
        <v>0</v>
      </c>
      <c r="L344" t="n">
        <v>0</v>
      </c>
      <c r="M344" t="n">
        <v>0</v>
      </c>
      <c r="N344" t="n">
        <v>0</v>
      </c>
      <c r="O344" t="n">
        <v>0</v>
      </c>
      <c r="P344" t="n">
        <v>0</v>
      </c>
      <c r="Q344" t="n">
        <v>0</v>
      </c>
      <c r="R344" s="2" t="inlineStr"/>
    </row>
    <row r="345" ht="15" customHeight="1">
      <c r="A345" t="inlineStr">
        <is>
          <t>A 42267-2022</t>
        </is>
      </c>
      <c r="B345" s="1" t="n">
        <v>44830</v>
      </c>
      <c r="C345" s="1" t="n">
        <v>45888</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47568-2022</t>
        </is>
      </c>
      <c r="B346" s="1" t="n">
        <v>44853.9499537037</v>
      </c>
      <c r="C346" s="1" t="n">
        <v>45888</v>
      </c>
      <c r="D346" t="inlineStr">
        <is>
          <t>JÄMTLANDS LÄN</t>
        </is>
      </c>
      <c r="E346" t="inlineStr">
        <is>
          <t>RAGUNDA</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65017-2021</t>
        </is>
      </c>
      <c r="B347" s="1" t="n">
        <v>44512</v>
      </c>
      <c r="C347" s="1" t="n">
        <v>45888</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26948-2021</t>
        </is>
      </c>
      <c r="B348" s="1" t="n">
        <v>44349.92013888889</v>
      </c>
      <c r="C348" s="1" t="n">
        <v>45888</v>
      </c>
      <c r="D348" t="inlineStr">
        <is>
          <t>JÄMTLANDS LÄN</t>
        </is>
      </c>
      <c r="E348" t="inlineStr">
        <is>
          <t>RAGUNDA</t>
        </is>
      </c>
      <c r="G348" t="n">
        <v>2.5</v>
      </c>
      <c r="H348" t="n">
        <v>0</v>
      </c>
      <c r="I348" t="n">
        <v>0</v>
      </c>
      <c r="J348" t="n">
        <v>0</v>
      </c>
      <c r="K348" t="n">
        <v>0</v>
      </c>
      <c r="L348" t="n">
        <v>0</v>
      </c>
      <c r="M348" t="n">
        <v>0</v>
      </c>
      <c r="N348" t="n">
        <v>0</v>
      </c>
      <c r="O348" t="n">
        <v>0</v>
      </c>
      <c r="P348" t="n">
        <v>0</v>
      </c>
      <c r="Q348" t="n">
        <v>0</v>
      </c>
      <c r="R348" s="2" t="inlineStr"/>
    </row>
    <row r="349" ht="15" customHeight="1">
      <c r="A349" t="inlineStr">
        <is>
          <t>A 19600-2021</t>
        </is>
      </c>
      <c r="B349" s="1" t="n">
        <v>44308</v>
      </c>
      <c r="C349" s="1" t="n">
        <v>45888</v>
      </c>
      <c r="D349" t="inlineStr">
        <is>
          <t>JÄMTLANDS LÄN</t>
        </is>
      </c>
      <c r="E349" t="inlineStr">
        <is>
          <t>RAGUNDA</t>
        </is>
      </c>
      <c r="G349" t="n">
        <v>4.3</v>
      </c>
      <c r="H349" t="n">
        <v>0</v>
      </c>
      <c r="I349" t="n">
        <v>0</v>
      </c>
      <c r="J349" t="n">
        <v>0</v>
      </c>
      <c r="K349" t="n">
        <v>0</v>
      </c>
      <c r="L349" t="n">
        <v>0</v>
      </c>
      <c r="M349" t="n">
        <v>0</v>
      </c>
      <c r="N349" t="n">
        <v>0</v>
      </c>
      <c r="O349" t="n">
        <v>0</v>
      </c>
      <c r="P349" t="n">
        <v>0</v>
      </c>
      <c r="Q349" t="n">
        <v>0</v>
      </c>
      <c r="R349" s="2" t="inlineStr"/>
    </row>
    <row r="350" ht="15" customHeight="1">
      <c r="A350" t="inlineStr">
        <is>
          <t>A 26945-2021</t>
        </is>
      </c>
      <c r="B350" s="1" t="n">
        <v>44349.91995370371</v>
      </c>
      <c r="C350" s="1" t="n">
        <v>45888</v>
      </c>
      <c r="D350" t="inlineStr">
        <is>
          <t>JÄMTLANDS LÄN</t>
        </is>
      </c>
      <c r="E350" t="inlineStr">
        <is>
          <t>RAGUNDA</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45888</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16460-2022</t>
        </is>
      </c>
      <c r="B352" s="1" t="n">
        <v>44671</v>
      </c>
      <c r="C352" s="1" t="n">
        <v>45888</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21984-2022</t>
        </is>
      </c>
      <c r="B353" s="1" t="n">
        <v>44704</v>
      </c>
      <c r="C353" s="1" t="n">
        <v>45888</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18341-2022</t>
        </is>
      </c>
      <c r="B354" s="1" t="n">
        <v>44685</v>
      </c>
      <c r="C354" s="1" t="n">
        <v>45888</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9185-2022</t>
        </is>
      </c>
      <c r="B355" s="1" t="n">
        <v>44615</v>
      </c>
      <c r="C355" s="1" t="n">
        <v>45888</v>
      </c>
      <c r="D355" t="inlineStr">
        <is>
          <t>JÄMTLANDS LÄN</t>
        </is>
      </c>
      <c r="E355" t="inlineStr">
        <is>
          <t>RAGUNDA</t>
        </is>
      </c>
      <c r="G355" t="n">
        <v>1.1</v>
      </c>
      <c r="H355" t="n">
        <v>0</v>
      </c>
      <c r="I355" t="n">
        <v>0</v>
      </c>
      <c r="J355" t="n">
        <v>0</v>
      </c>
      <c r="K355" t="n">
        <v>0</v>
      </c>
      <c r="L355" t="n">
        <v>0</v>
      </c>
      <c r="M355" t="n">
        <v>0</v>
      </c>
      <c r="N355" t="n">
        <v>0</v>
      </c>
      <c r="O355" t="n">
        <v>0</v>
      </c>
      <c r="P355" t="n">
        <v>0</v>
      </c>
      <c r="Q355" t="n">
        <v>0</v>
      </c>
      <c r="R355" s="2" t="inlineStr"/>
    </row>
    <row r="356" ht="15" customHeight="1">
      <c r="A356" t="inlineStr">
        <is>
          <t>A 49904-2022</t>
        </is>
      </c>
      <c r="B356" s="1" t="n">
        <v>44864.94835648148</v>
      </c>
      <c r="C356" s="1" t="n">
        <v>45888</v>
      </c>
      <c r="D356" t="inlineStr">
        <is>
          <t>JÄMTLANDS LÄN</t>
        </is>
      </c>
      <c r="E356" t="inlineStr">
        <is>
          <t>RAGUNDA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21195-2022</t>
        </is>
      </c>
      <c r="B357" s="1" t="n">
        <v>44704.94229166667</v>
      </c>
      <c r="C357" s="1" t="n">
        <v>45888</v>
      </c>
      <c r="D357" t="inlineStr">
        <is>
          <t>JÄMTLANDS LÄN</t>
        </is>
      </c>
      <c r="E357" t="inlineStr">
        <is>
          <t>RAGUNDA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49531-2022</t>
        </is>
      </c>
      <c r="B358" s="1" t="n">
        <v>44861</v>
      </c>
      <c r="C358" s="1" t="n">
        <v>45888</v>
      </c>
      <c r="D358" t="inlineStr">
        <is>
          <t>JÄMTLANDS LÄN</t>
        </is>
      </c>
      <c r="E358" t="inlineStr">
        <is>
          <t>RAGUNDA</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19595-2021</t>
        </is>
      </c>
      <c r="B359" s="1" t="n">
        <v>44308</v>
      </c>
      <c r="C359" s="1" t="n">
        <v>45888</v>
      </c>
      <c r="D359" t="inlineStr">
        <is>
          <t>JÄMTLANDS LÄN</t>
        </is>
      </c>
      <c r="E359" t="inlineStr">
        <is>
          <t>RAGUNDA</t>
        </is>
      </c>
      <c r="G359" t="n">
        <v>5.4</v>
      </c>
      <c r="H359" t="n">
        <v>0</v>
      </c>
      <c r="I359" t="n">
        <v>0</v>
      </c>
      <c r="J359" t="n">
        <v>0</v>
      </c>
      <c r="K359" t="n">
        <v>0</v>
      </c>
      <c r="L359" t="n">
        <v>0</v>
      </c>
      <c r="M359" t="n">
        <v>0</v>
      </c>
      <c r="N359" t="n">
        <v>0</v>
      </c>
      <c r="O359" t="n">
        <v>0</v>
      </c>
      <c r="P359" t="n">
        <v>0</v>
      </c>
      <c r="Q359" t="n">
        <v>0</v>
      </c>
      <c r="R359" s="2" t="inlineStr"/>
    </row>
    <row r="360" ht="15" customHeight="1">
      <c r="A360" t="inlineStr">
        <is>
          <t>A 42208-2020</t>
        </is>
      </c>
      <c r="B360" s="1" t="n">
        <v>44075</v>
      </c>
      <c r="C360" s="1" t="n">
        <v>45888</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44241-2021</t>
        </is>
      </c>
      <c r="B361" s="1" t="n">
        <v>44434.94517361111</v>
      </c>
      <c r="C361" s="1" t="n">
        <v>45888</v>
      </c>
      <c r="D361" t="inlineStr">
        <is>
          <t>JÄMTLANDS LÄN</t>
        </is>
      </c>
      <c r="E361" t="inlineStr">
        <is>
          <t>RAGUNDA</t>
        </is>
      </c>
      <c r="G361" t="n">
        <v>0.8</v>
      </c>
      <c r="H361" t="n">
        <v>0</v>
      </c>
      <c r="I361" t="n">
        <v>0</v>
      </c>
      <c r="J361" t="n">
        <v>0</v>
      </c>
      <c r="K361" t="n">
        <v>0</v>
      </c>
      <c r="L361" t="n">
        <v>0</v>
      </c>
      <c r="M361" t="n">
        <v>0</v>
      </c>
      <c r="N361" t="n">
        <v>0</v>
      </c>
      <c r="O361" t="n">
        <v>0</v>
      </c>
      <c r="P361" t="n">
        <v>0</v>
      </c>
      <c r="Q361" t="n">
        <v>0</v>
      </c>
      <c r="R361" s="2" t="inlineStr"/>
    </row>
    <row r="362" ht="15" customHeight="1">
      <c r="A362" t="inlineStr">
        <is>
          <t>A 41346-2020</t>
        </is>
      </c>
      <c r="B362" s="1" t="n">
        <v>44071</v>
      </c>
      <c r="C362" s="1" t="n">
        <v>45888</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57194-2021</t>
        </is>
      </c>
      <c r="B363" s="1" t="n">
        <v>44482.92271990741</v>
      </c>
      <c r="C363" s="1" t="n">
        <v>45888</v>
      </c>
      <c r="D363" t="inlineStr">
        <is>
          <t>JÄMTLANDS LÄN</t>
        </is>
      </c>
      <c r="E363" t="inlineStr">
        <is>
          <t>RAGUNDA</t>
        </is>
      </c>
      <c r="G363" t="n">
        <v>7.3</v>
      </c>
      <c r="H363" t="n">
        <v>0</v>
      </c>
      <c r="I363" t="n">
        <v>0</v>
      </c>
      <c r="J363" t="n">
        <v>0</v>
      </c>
      <c r="K363" t="n">
        <v>0</v>
      </c>
      <c r="L363" t="n">
        <v>0</v>
      </c>
      <c r="M363" t="n">
        <v>0</v>
      </c>
      <c r="N363" t="n">
        <v>0</v>
      </c>
      <c r="O363" t="n">
        <v>0</v>
      </c>
      <c r="P363" t="n">
        <v>0</v>
      </c>
      <c r="Q363" t="n">
        <v>0</v>
      </c>
      <c r="R363" s="2" t="inlineStr"/>
    </row>
    <row r="364" ht="15" customHeight="1">
      <c r="A364" t="inlineStr">
        <is>
          <t>A 39698-2022</t>
        </is>
      </c>
      <c r="B364" s="1" t="n">
        <v>44818</v>
      </c>
      <c r="C364" s="1" t="n">
        <v>45888</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48056-2020</t>
        </is>
      </c>
      <c r="B365" s="1" t="n">
        <v>44099</v>
      </c>
      <c r="C365" s="1" t="n">
        <v>45888</v>
      </c>
      <c r="D365" t="inlineStr">
        <is>
          <t>JÄMTLANDS LÄN</t>
        </is>
      </c>
      <c r="E365" t="inlineStr">
        <is>
          <t>RAGUNDA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45888</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10120-2022</t>
        </is>
      </c>
      <c r="B367" s="1" t="n">
        <v>44621</v>
      </c>
      <c r="C367" s="1" t="n">
        <v>45888</v>
      </c>
      <c r="D367" t="inlineStr">
        <is>
          <t>JÄMTLANDS LÄN</t>
        </is>
      </c>
      <c r="E367" t="inlineStr">
        <is>
          <t>RAGUNDA</t>
        </is>
      </c>
      <c r="G367" t="n">
        <v>0.4</v>
      </c>
      <c r="H367" t="n">
        <v>0</v>
      </c>
      <c r="I367" t="n">
        <v>0</v>
      </c>
      <c r="J367" t="n">
        <v>0</v>
      </c>
      <c r="K367" t="n">
        <v>0</v>
      </c>
      <c r="L367" t="n">
        <v>0</v>
      </c>
      <c r="M367" t="n">
        <v>0</v>
      </c>
      <c r="N367" t="n">
        <v>0</v>
      </c>
      <c r="O367" t="n">
        <v>0</v>
      </c>
      <c r="P367" t="n">
        <v>0</v>
      </c>
      <c r="Q367" t="n">
        <v>0</v>
      </c>
      <c r="R367" s="2" t="inlineStr"/>
    </row>
    <row r="368" ht="15" customHeight="1">
      <c r="A368" t="inlineStr">
        <is>
          <t>A 41875-2020</t>
        </is>
      </c>
      <c r="B368" s="1" t="n">
        <v>44074</v>
      </c>
      <c r="C368" s="1" t="n">
        <v>45888</v>
      </c>
      <c r="D368" t="inlineStr">
        <is>
          <t>JÄMTLANDS LÄN</t>
        </is>
      </c>
      <c r="E368" t="inlineStr">
        <is>
          <t>RAGUNDA</t>
        </is>
      </c>
      <c r="F368" t="inlineStr">
        <is>
          <t>Naturvårdsverket</t>
        </is>
      </c>
      <c r="G368" t="n">
        <v>3.3</v>
      </c>
      <c r="H368" t="n">
        <v>0</v>
      </c>
      <c r="I368" t="n">
        <v>0</v>
      </c>
      <c r="J368" t="n">
        <v>0</v>
      </c>
      <c r="K368" t="n">
        <v>0</v>
      </c>
      <c r="L368" t="n">
        <v>0</v>
      </c>
      <c r="M368" t="n">
        <v>0</v>
      </c>
      <c r="N368" t="n">
        <v>0</v>
      </c>
      <c r="O368" t="n">
        <v>0</v>
      </c>
      <c r="P368" t="n">
        <v>0</v>
      </c>
      <c r="Q368" t="n">
        <v>0</v>
      </c>
      <c r="R368" s="2" t="inlineStr"/>
    </row>
    <row r="369" ht="15" customHeight="1">
      <c r="A369" t="inlineStr">
        <is>
          <t>A 41887-2020</t>
        </is>
      </c>
      <c r="B369" s="1" t="n">
        <v>44074</v>
      </c>
      <c r="C369" s="1" t="n">
        <v>45888</v>
      </c>
      <c r="D369" t="inlineStr">
        <is>
          <t>JÄMTLANDS LÄN</t>
        </is>
      </c>
      <c r="E369" t="inlineStr">
        <is>
          <t>RAGUNDA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13964-2022</t>
        </is>
      </c>
      <c r="B370" s="1" t="n">
        <v>44650</v>
      </c>
      <c r="C370" s="1" t="n">
        <v>45888</v>
      </c>
      <c r="D370" t="inlineStr">
        <is>
          <t>JÄMTLANDS LÄN</t>
        </is>
      </c>
      <c r="E370" t="inlineStr">
        <is>
          <t>RAGUNDA</t>
        </is>
      </c>
      <c r="G370" t="n">
        <v>2.6</v>
      </c>
      <c r="H370" t="n">
        <v>0</v>
      </c>
      <c r="I370" t="n">
        <v>0</v>
      </c>
      <c r="J370" t="n">
        <v>0</v>
      </c>
      <c r="K370" t="n">
        <v>0</v>
      </c>
      <c r="L370" t="n">
        <v>0</v>
      </c>
      <c r="M370" t="n">
        <v>0</v>
      </c>
      <c r="N370" t="n">
        <v>0</v>
      </c>
      <c r="O370" t="n">
        <v>0</v>
      </c>
      <c r="P370" t="n">
        <v>0</v>
      </c>
      <c r="Q370" t="n">
        <v>0</v>
      </c>
      <c r="R370" s="2" t="inlineStr"/>
    </row>
    <row r="371" ht="15" customHeight="1">
      <c r="A371" t="inlineStr">
        <is>
          <t>A 40829-2022</t>
        </is>
      </c>
      <c r="B371" s="1" t="n">
        <v>44824.94635416667</v>
      </c>
      <c r="C371" s="1" t="n">
        <v>45888</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46992-2022</t>
        </is>
      </c>
      <c r="B372" s="1" t="n">
        <v>44851.95488425926</v>
      </c>
      <c r="C372" s="1" t="n">
        <v>45888</v>
      </c>
      <c r="D372" t="inlineStr">
        <is>
          <t>JÄMTLANDS LÄN</t>
        </is>
      </c>
      <c r="E372" t="inlineStr">
        <is>
          <t>RAGUNDA</t>
        </is>
      </c>
      <c r="F372" t="inlineStr">
        <is>
          <t>SCA</t>
        </is>
      </c>
      <c r="G372" t="n">
        <v>26.4</v>
      </c>
      <c r="H372" t="n">
        <v>0</v>
      </c>
      <c r="I372" t="n">
        <v>0</v>
      </c>
      <c r="J372" t="n">
        <v>0</v>
      </c>
      <c r="K372" t="n">
        <v>0</v>
      </c>
      <c r="L372" t="n">
        <v>0</v>
      </c>
      <c r="M372" t="n">
        <v>0</v>
      </c>
      <c r="N372" t="n">
        <v>0</v>
      </c>
      <c r="O372" t="n">
        <v>0</v>
      </c>
      <c r="P372" t="n">
        <v>0</v>
      </c>
      <c r="Q372" t="n">
        <v>0</v>
      </c>
      <c r="R372" s="2" t="inlineStr"/>
    </row>
    <row r="373" ht="15" customHeight="1">
      <c r="A373" t="inlineStr">
        <is>
          <t>A 52334-2021</t>
        </is>
      </c>
      <c r="B373" s="1" t="n">
        <v>44463.94077546296</v>
      </c>
      <c r="C373" s="1" t="n">
        <v>45888</v>
      </c>
      <c r="D373" t="inlineStr">
        <is>
          <t>JÄMTLANDS LÄN</t>
        </is>
      </c>
      <c r="E373" t="inlineStr">
        <is>
          <t>RAGUNDA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34348-2021</t>
        </is>
      </c>
      <c r="B374" s="1" t="n">
        <v>44379</v>
      </c>
      <c r="C374" s="1" t="n">
        <v>45888</v>
      </c>
      <c r="D374" t="inlineStr">
        <is>
          <t>JÄMTLANDS LÄN</t>
        </is>
      </c>
      <c r="E374" t="inlineStr">
        <is>
          <t>RAGUNDA</t>
        </is>
      </c>
      <c r="G374" t="n">
        <v>8.1</v>
      </c>
      <c r="H374" t="n">
        <v>0</v>
      </c>
      <c r="I374" t="n">
        <v>0</v>
      </c>
      <c r="J374" t="n">
        <v>0</v>
      </c>
      <c r="K374" t="n">
        <v>0</v>
      </c>
      <c r="L374" t="n">
        <v>0</v>
      </c>
      <c r="M374" t="n">
        <v>0</v>
      </c>
      <c r="N374" t="n">
        <v>0</v>
      </c>
      <c r="O374" t="n">
        <v>0</v>
      </c>
      <c r="P374" t="n">
        <v>0</v>
      </c>
      <c r="Q374" t="n">
        <v>0</v>
      </c>
      <c r="R374" s="2" t="inlineStr"/>
    </row>
    <row r="375" ht="15" customHeight="1">
      <c r="A375" t="inlineStr">
        <is>
          <t>A 25253-2022</t>
        </is>
      </c>
      <c r="B375" s="1" t="n">
        <v>44729.94136574074</v>
      </c>
      <c r="C375" s="1" t="n">
        <v>45888</v>
      </c>
      <c r="D375" t="inlineStr">
        <is>
          <t>JÄMTLANDS LÄN</t>
        </is>
      </c>
      <c r="E375" t="inlineStr">
        <is>
          <t>RAGUNDA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31972-2022</t>
        </is>
      </c>
      <c r="B376" s="1" t="n">
        <v>44777.95504629629</v>
      </c>
      <c r="C376" s="1" t="n">
        <v>45888</v>
      </c>
      <c r="D376" t="inlineStr">
        <is>
          <t>JÄMTLANDS LÄN</t>
        </is>
      </c>
      <c r="E376" t="inlineStr">
        <is>
          <t>RAGUNDA</t>
        </is>
      </c>
      <c r="F376" t="inlineStr">
        <is>
          <t>Naturvårdsverket</t>
        </is>
      </c>
      <c r="G376" t="n">
        <v>0.8</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45888</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48086-2022</t>
        </is>
      </c>
      <c r="B378" s="1" t="n">
        <v>44855.9471875</v>
      </c>
      <c r="C378" s="1" t="n">
        <v>45888</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57246-2020</t>
        </is>
      </c>
      <c r="B379" s="1" t="n">
        <v>44138</v>
      </c>
      <c r="C379" s="1" t="n">
        <v>45888</v>
      </c>
      <c r="D379" t="inlineStr">
        <is>
          <t>JÄMTLANDS LÄN</t>
        </is>
      </c>
      <c r="E379" t="inlineStr">
        <is>
          <t>RAGUNDA</t>
        </is>
      </c>
      <c r="G379" t="n">
        <v>3.1</v>
      </c>
      <c r="H379" t="n">
        <v>0</v>
      </c>
      <c r="I379" t="n">
        <v>0</v>
      </c>
      <c r="J379" t="n">
        <v>0</v>
      </c>
      <c r="K379" t="n">
        <v>0</v>
      </c>
      <c r="L379" t="n">
        <v>0</v>
      </c>
      <c r="M379" t="n">
        <v>0</v>
      </c>
      <c r="N379" t="n">
        <v>0</v>
      </c>
      <c r="O379" t="n">
        <v>0</v>
      </c>
      <c r="P379" t="n">
        <v>0</v>
      </c>
      <c r="Q379" t="n">
        <v>0</v>
      </c>
      <c r="R379" s="2" t="inlineStr"/>
    </row>
    <row r="380" ht="15" customHeight="1">
      <c r="A380" t="inlineStr">
        <is>
          <t>A 40316-2020</t>
        </is>
      </c>
      <c r="B380" s="1" t="n">
        <v>44068.62614583333</v>
      </c>
      <c r="C380" s="1" t="n">
        <v>45888</v>
      </c>
      <c r="D380" t="inlineStr">
        <is>
          <t>JÄMTLANDS LÄN</t>
        </is>
      </c>
      <c r="E380" t="inlineStr">
        <is>
          <t>RAGUNDA</t>
        </is>
      </c>
      <c r="G380" t="n">
        <v>2.4</v>
      </c>
      <c r="H380" t="n">
        <v>0</v>
      </c>
      <c r="I380" t="n">
        <v>0</v>
      </c>
      <c r="J380" t="n">
        <v>0</v>
      </c>
      <c r="K380" t="n">
        <v>0</v>
      </c>
      <c r="L380" t="n">
        <v>0</v>
      </c>
      <c r="M380" t="n">
        <v>0</v>
      </c>
      <c r="N380" t="n">
        <v>0</v>
      </c>
      <c r="O380" t="n">
        <v>0</v>
      </c>
      <c r="P380" t="n">
        <v>0</v>
      </c>
      <c r="Q380" t="n">
        <v>0</v>
      </c>
      <c r="R380" s="2" t="inlineStr"/>
    </row>
    <row r="381" ht="15" customHeight="1">
      <c r="A381" t="inlineStr">
        <is>
          <t>A 40213-2021</t>
        </is>
      </c>
      <c r="B381" s="1" t="n">
        <v>44418.9369212963</v>
      </c>
      <c r="C381" s="1" t="n">
        <v>45888</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9187-2022</t>
        </is>
      </c>
      <c r="B382" s="1" t="n">
        <v>44615</v>
      </c>
      <c r="C382" s="1" t="n">
        <v>45888</v>
      </c>
      <c r="D382" t="inlineStr">
        <is>
          <t>JÄMTLANDS LÄN</t>
        </is>
      </c>
      <c r="E382" t="inlineStr">
        <is>
          <t>RAGUNDA</t>
        </is>
      </c>
      <c r="G382" t="n">
        <v>2</v>
      </c>
      <c r="H382" t="n">
        <v>0</v>
      </c>
      <c r="I382" t="n">
        <v>0</v>
      </c>
      <c r="J382" t="n">
        <v>0</v>
      </c>
      <c r="K382" t="n">
        <v>0</v>
      </c>
      <c r="L382" t="n">
        <v>0</v>
      </c>
      <c r="M382" t="n">
        <v>0</v>
      </c>
      <c r="N382" t="n">
        <v>0</v>
      </c>
      <c r="O382" t="n">
        <v>0</v>
      </c>
      <c r="P382" t="n">
        <v>0</v>
      </c>
      <c r="Q382" t="n">
        <v>0</v>
      </c>
      <c r="R382" s="2" t="inlineStr"/>
    </row>
    <row r="383" ht="15" customHeight="1">
      <c r="A383" t="inlineStr">
        <is>
          <t>A 57730-2020</t>
        </is>
      </c>
      <c r="B383" s="1" t="n">
        <v>44140</v>
      </c>
      <c r="C383" s="1" t="n">
        <v>45888</v>
      </c>
      <c r="D383" t="inlineStr">
        <is>
          <t>JÄMTLANDS LÄN</t>
        </is>
      </c>
      <c r="E383" t="inlineStr">
        <is>
          <t>RAGUNDA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57713-2020</t>
        </is>
      </c>
      <c r="B384" s="1" t="n">
        <v>44140</v>
      </c>
      <c r="C384" s="1" t="n">
        <v>45888</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35749-2022</t>
        </is>
      </c>
      <c r="B385" s="1" t="n">
        <v>44799.94394675926</v>
      </c>
      <c r="C385" s="1" t="n">
        <v>45888</v>
      </c>
      <c r="D385" t="inlineStr">
        <is>
          <t>JÄMTLANDS LÄN</t>
        </is>
      </c>
      <c r="E385" t="inlineStr">
        <is>
          <t>RAGUNDA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33279-2022</t>
        </is>
      </c>
      <c r="B386" s="1" t="n">
        <v>44788</v>
      </c>
      <c r="C386" s="1" t="n">
        <v>45888</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47567-2022</t>
        </is>
      </c>
      <c r="B387" s="1" t="n">
        <v>44853</v>
      </c>
      <c r="C387" s="1" t="n">
        <v>45888</v>
      </c>
      <c r="D387" t="inlineStr">
        <is>
          <t>JÄMTLANDS LÄN</t>
        </is>
      </c>
      <c r="E387" t="inlineStr">
        <is>
          <t>RAGUNDA</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1858-2022</t>
        </is>
      </c>
      <c r="B388" s="1" t="n">
        <v>44574</v>
      </c>
      <c r="C388" s="1" t="n">
        <v>45888</v>
      </c>
      <c r="D388" t="inlineStr">
        <is>
          <t>JÄMTLANDS LÄN</t>
        </is>
      </c>
      <c r="E388" t="inlineStr">
        <is>
          <t>RAGUNDA</t>
        </is>
      </c>
      <c r="G388" t="n">
        <v>5.7</v>
      </c>
      <c r="H388" t="n">
        <v>0</v>
      </c>
      <c r="I388" t="n">
        <v>0</v>
      </c>
      <c r="J388" t="n">
        <v>0</v>
      </c>
      <c r="K388" t="n">
        <v>0</v>
      </c>
      <c r="L388" t="n">
        <v>0</v>
      </c>
      <c r="M388" t="n">
        <v>0</v>
      </c>
      <c r="N388" t="n">
        <v>0</v>
      </c>
      <c r="O388" t="n">
        <v>0</v>
      </c>
      <c r="P388" t="n">
        <v>0</v>
      </c>
      <c r="Q388" t="n">
        <v>0</v>
      </c>
      <c r="R388" s="2" t="inlineStr"/>
    </row>
    <row r="389" ht="15" customHeight="1">
      <c r="A389" t="inlineStr">
        <is>
          <t>A 54836-2022</t>
        </is>
      </c>
      <c r="B389" s="1" t="n">
        <v>44883.94918981481</v>
      </c>
      <c r="C389" s="1" t="n">
        <v>45888</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6177-2022</t>
        </is>
      </c>
      <c r="B390" s="1" t="n">
        <v>44599.98685185185</v>
      </c>
      <c r="C390" s="1" t="n">
        <v>45888</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53522-2020</t>
        </is>
      </c>
      <c r="B391" s="1" t="n">
        <v>44124</v>
      </c>
      <c r="C391" s="1" t="n">
        <v>45888</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43040-2021</t>
        </is>
      </c>
      <c r="B392" s="1" t="n">
        <v>44431</v>
      </c>
      <c r="C392" s="1" t="n">
        <v>45888</v>
      </c>
      <c r="D392" t="inlineStr">
        <is>
          <t>JÄMTLANDS LÄN</t>
        </is>
      </c>
      <c r="E392" t="inlineStr">
        <is>
          <t>RAGUNDA</t>
        </is>
      </c>
      <c r="G392" t="n">
        <v>4.9</v>
      </c>
      <c r="H392" t="n">
        <v>0</v>
      </c>
      <c r="I392" t="n">
        <v>0</v>
      </c>
      <c r="J392" t="n">
        <v>0</v>
      </c>
      <c r="K392" t="n">
        <v>0</v>
      </c>
      <c r="L392" t="n">
        <v>0</v>
      </c>
      <c r="M392" t="n">
        <v>0</v>
      </c>
      <c r="N392" t="n">
        <v>0</v>
      </c>
      <c r="O392" t="n">
        <v>0</v>
      </c>
      <c r="P392" t="n">
        <v>0</v>
      </c>
      <c r="Q392" t="n">
        <v>0</v>
      </c>
      <c r="R392" s="2" t="inlineStr"/>
    </row>
    <row r="393" ht="15" customHeight="1">
      <c r="A393" t="inlineStr">
        <is>
          <t>A 37806-2021</t>
        </is>
      </c>
      <c r="B393" s="1" t="n">
        <v>44402.42243055555</v>
      </c>
      <c r="C393" s="1" t="n">
        <v>45888</v>
      </c>
      <c r="D393" t="inlineStr">
        <is>
          <t>JÄMTLANDS LÄN</t>
        </is>
      </c>
      <c r="E393" t="inlineStr">
        <is>
          <t>RAGUNDA</t>
        </is>
      </c>
      <c r="G393" t="n">
        <v>0.3</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45888</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45888</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40978-2022</t>
        </is>
      </c>
      <c r="B396" s="1" t="n">
        <v>44823</v>
      </c>
      <c r="C396" s="1" t="n">
        <v>45888</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24741-2022</t>
        </is>
      </c>
      <c r="B397" s="1" t="n">
        <v>44727</v>
      </c>
      <c r="C397" s="1" t="n">
        <v>45888</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38733-2022</t>
        </is>
      </c>
      <c r="B398" s="1" t="n">
        <v>44815</v>
      </c>
      <c r="C398" s="1" t="n">
        <v>45888</v>
      </c>
      <c r="D398" t="inlineStr">
        <is>
          <t>JÄMTLANDS LÄN</t>
        </is>
      </c>
      <c r="E398" t="inlineStr">
        <is>
          <t>RAGUNDA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48536-2022</t>
        </is>
      </c>
      <c r="B399" s="1" t="n">
        <v>44858</v>
      </c>
      <c r="C399" s="1" t="n">
        <v>45888</v>
      </c>
      <c r="D399" t="inlineStr">
        <is>
          <t>JÄMTLANDS LÄN</t>
        </is>
      </c>
      <c r="E399" t="inlineStr">
        <is>
          <t>RAGUNDA</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2336-2022</t>
        </is>
      </c>
      <c r="B400" s="1" t="n">
        <v>44578.92284722222</v>
      </c>
      <c r="C400" s="1" t="n">
        <v>45888</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41613-2021</t>
        </is>
      </c>
      <c r="B401" s="1" t="n">
        <v>44425</v>
      </c>
      <c r="C401" s="1" t="n">
        <v>45888</v>
      </c>
      <c r="D401" t="inlineStr">
        <is>
          <t>JÄMTLANDS LÄN</t>
        </is>
      </c>
      <c r="E401" t="inlineStr">
        <is>
          <t>RAGUNDA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24197-2024</t>
        </is>
      </c>
      <c r="B402" s="1" t="n">
        <v>45456.96601851852</v>
      </c>
      <c r="C402" s="1" t="n">
        <v>45888</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45888</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14896-2022</t>
        </is>
      </c>
      <c r="B404" s="1" t="n">
        <v>44656</v>
      </c>
      <c r="C404" s="1" t="n">
        <v>45888</v>
      </c>
      <c r="D404" t="inlineStr">
        <is>
          <t>JÄMTLANDS LÄN</t>
        </is>
      </c>
      <c r="E404" t="inlineStr">
        <is>
          <t>RAGUNDA</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20574-2025</t>
        </is>
      </c>
      <c r="B405" s="1" t="n">
        <v>45775.67747685185</v>
      </c>
      <c r="C405" s="1" t="n">
        <v>45888</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58537-2022</t>
        </is>
      </c>
      <c r="B406" s="1" t="n">
        <v>44894</v>
      </c>
      <c r="C406" s="1" t="n">
        <v>45888</v>
      </c>
      <c r="D406" t="inlineStr">
        <is>
          <t>JÄMTLANDS LÄN</t>
        </is>
      </c>
      <c r="E406" t="inlineStr">
        <is>
          <t>RAGUNDA</t>
        </is>
      </c>
      <c r="G406" t="n">
        <v>1.2</v>
      </c>
      <c r="H406" t="n">
        <v>0</v>
      </c>
      <c r="I406" t="n">
        <v>0</v>
      </c>
      <c r="J406" t="n">
        <v>0</v>
      </c>
      <c r="K406" t="n">
        <v>0</v>
      </c>
      <c r="L406" t="n">
        <v>0</v>
      </c>
      <c r="M406" t="n">
        <v>0</v>
      </c>
      <c r="N406" t="n">
        <v>0</v>
      </c>
      <c r="O406" t="n">
        <v>0</v>
      </c>
      <c r="P406" t="n">
        <v>0</v>
      </c>
      <c r="Q406" t="n">
        <v>0</v>
      </c>
      <c r="R406" s="2" t="inlineStr"/>
    </row>
    <row r="407" ht="15" customHeight="1">
      <c r="A407" t="inlineStr">
        <is>
          <t>A 35153-2024</t>
        </is>
      </c>
      <c r="B407" s="1" t="n">
        <v>45530</v>
      </c>
      <c r="C407" s="1" t="n">
        <v>45888</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29409-2021</t>
        </is>
      </c>
      <c r="B408" s="1" t="n">
        <v>44361.55445601852</v>
      </c>
      <c r="C408" s="1" t="n">
        <v>45888</v>
      </c>
      <c r="D408" t="inlineStr">
        <is>
          <t>JÄMTLANDS LÄN</t>
        </is>
      </c>
      <c r="E408" t="inlineStr">
        <is>
          <t>RAGUNDA</t>
        </is>
      </c>
      <c r="G408" t="n">
        <v>0.3</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45888</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22655-2021</t>
        </is>
      </c>
      <c r="B410" s="1" t="n">
        <v>44322</v>
      </c>
      <c r="C410" s="1" t="n">
        <v>45888</v>
      </c>
      <c r="D410" t="inlineStr">
        <is>
          <t>JÄMTLANDS LÄN</t>
        </is>
      </c>
      <c r="E410" t="inlineStr">
        <is>
          <t>RAGUNDA</t>
        </is>
      </c>
      <c r="G410" t="n">
        <v>5.8</v>
      </c>
      <c r="H410" t="n">
        <v>0</v>
      </c>
      <c r="I410" t="n">
        <v>0</v>
      </c>
      <c r="J410" t="n">
        <v>0</v>
      </c>
      <c r="K410" t="n">
        <v>0</v>
      </c>
      <c r="L410" t="n">
        <v>0</v>
      </c>
      <c r="M410" t="n">
        <v>0</v>
      </c>
      <c r="N410" t="n">
        <v>0</v>
      </c>
      <c r="O410" t="n">
        <v>0</v>
      </c>
      <c r="P410" t="n">
        <v>0</v>
      </c>
      <c r="Q410" t="n">
        <v>0</v>
      </c>
      <c r="R410" s="2" t="inlineStr"/>
    </row>
    <row r="411" ht="15" customHeight="1">
      <c r="A411" t="inlineStr">
        <is>
          <t>A 25027-2022</t>
        </is>
      </c>
      <c r="B411" s="1" t="n">
        <v>44728.94392361111</v>
      </c>
      <c r="C411" s="1" t="n">
        <v>45888</v>
      </c>
      <c r="D411" t="inlineStr">
        <is>
          <t>JÄMTLANDS LÄN</t>
        </is>
      </c>
      <c r="E411" t="inlineStr">
        <is>
          <t>RAGUNDA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21194-2022</t>
        </is>
      </c>
      <c r="B412" s="1" t="n">
        <v>44704.9422337963</v>
      </c>
      <c r="C412" s="1" t="n">
        <v>45888</v>
      </c>
      <c r="D412" t="inlineStr">
        <is>
          <t>JÄMTLANDS LÄN</t>
        </is>
      </c>
      <c r="E412" t="inlineStr">
        <is>
          <t>RAGUNDA</t>
        </is>
      </c>
      <c r="F412" t="inlineStr">
        <is>
          <t>SCA</t>
        </is>
      </c>
      <c r="G412" t="n">
        <v>10.6</v>
      </c>
      <c r="H412" t="n">
        <v>0</v>
      </c>
      <c r="I412" t="n">
        <v>0</v>
      </c>
      <c r="J412" t="n">
        <v>0</v>
      </c>
      <c r="K412" t="n">
        <v>0</v>
      </c>
      <c r="L412" t="n">
        <v>0</v>
      </c>
      <c r="M412" t="n">
        <v>0</v>
      </c>
      <c r="N412" t="n">
        <v>0</v>
      </c>
      <c r="O412" t="n">
        <v>0</v>
      </c>
      <c r="P412" t="n">
        <v>0</v>
      </c>
      <c r="Q412" t="n">
        <v>0</v>
      </c>
      <c r="R412" s="2" t="inlineStr"/>
    </row>
    <row r="413" ht="15" customHeight="1">
      <c r="A413" t="inlineStr">
        <is>
          <t>A 24196-2024</t>
        </is>
      </c>
      <c r="B413" s="1" t="n">
        <v>45456.96569444444</v>
      </c>
      <c r="C413" s="1" t="n">
        <v>45888</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11558-2023</t>
        </is>
      </c>
      <c r="B414" s="1" t="n">
        <v>44993.94958333333</v>
      </c>
      <c r="C414" s="1" t="n">
        <v>45888</v>
      </c>
      <c r="D414" t="inlineStr">
        <is>
          <t>JÄMTLANDS LÄN</t>
        </is>
      </c>
      <c r="E414" t="inlineStr">
        <is>
          <t>RAGUNDA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60313-2021</t>
        </is>
      </c>
      <c r="B415" s="1" t="n">
        <v>44495</v>
      </c>
      <c r="C415" s="1" t="n">
        <v>45888</v>
      </c>
      <c r="D415" t="inlineStr">
        <is>
          <t>JÄMTLANDS LÄN</t>
        </is>
      </c>
      <c r="E415" t="inlineStr">
        <is>
          <t>RAGUNDA</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28597-2021</t>
        </is>
      </c>
      <c r="B416" s="1" t="n">
        <v>44356.91935185185</v>
      </c>
      <c r="C416" s="1" t="n">
        <v>45888</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44630-2023</t>
        </is>
      </c>
      <c r="B417" s="1" t="n">
        <v>45184</v>
      </c>
      <c r="C417" s="1" t="n">
        <v>45888</v>
      </c>
      <c r="D417" t="inlineStr">
        <is>
          <t>JÄMTLANDS LÄN</t>
        </is>
      </c>
      <c r="E417" t="inlineStr">
        <is>
          <t>RAGUNDA</t>
        </is>
      </c>
      <c r="G417" t="n">
        <v>3.4</v>
      </c>
      <c r="H417" t="n">
        <v>0</v>
      </c>
      <c r="I417" t="n">
        <v>0</v>
      </c>
      <c r="J417" t="n">
        <v>0</v>
      </c>
      <c r="K417" t="n">
        <v>0</v>
      </c>
      <c r="L417" t="n">
        <v>0</v>
      </c>
      <c r="M417" t="n">
        <v>0</v>
      </c>
      <c r="N417" t="n">
        <v>0</v>
      </c>
      <c r="O417" t="n">
        <v>0</v>
      </c>
      <c r="P417" t="n">
        <v>0</v>
      </c>
      <c r="Q417" t="n">
        <v>0</v>
      </c>
      <c r="R417" s="2" t="inlineStr"/>
    </row>
    <row r="418" ht="15" customHeight="1">
      <c r="A418" t="inlineStr">
        <is>
          <t>A 56193-2022</t>
        </is>
      </c>
      <c r="B418" s="1" t="n">
        <v>44889</v>
      </c>
      <c r="C418" s="1" t="n">
        <v>45888</v>
      </c>
      <c r="D418" t="inlineStr">
        <is>
          <t>JÄMTLANDS LÄN</t>
        </is>
      </c>
      <c r="E418" t="inlineStr">
        <is>
          <t>RAGUNDA</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5515-2022</t>
        </is>
      </c>
      <c r="B419" s="1" t="n">
        <v>44595</v>
      </c>
      <c r="C419" s="1" t="n">
        <v>45888</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46048-2022</t>
        </is>
      </c>
      <c r="B420" s="1" t="n">
        <v>44846</v>
      </c>
      <c r="C420" s="1" t="n">
        <v>45888</v>
      </c>
      <c r="D420" t="inlineStr">
        <is>
          <t>JÄMTLANDS LÄN</t>
        </is>
      </c>
      <c r="E420" t="inlineStr">
        <is>
          <t>RAGUNDA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60957-2021</t>
        </is>
      </c>
      <c r="B421" s="1" t="n">
        <v>44496</v>
      </c>
      <c r="C421" s="1" t="n">
        <v>45888</v>
      </c>
      <c r="D421" t="inlineStr">
        <is>
          <t>JÄMTLANDS LÄN</t>
        </is>
      </c>
      <c r="E421" t="inlineStr">
        <is>
          <t>RAGUNDA</t>
        </is>
      </c>
      <c r="G421" t="n">
        <v>1.6</v>
      </c>
      <c r="H421" t="n">
        <v>0</v>
      </c>
      <c r="I421" t="n">
        <v>0</v>
      </c>
      <c r="J421" t="n">
        <v>0</v>
      </c>
      <c r="K421" t="n">
        <v>0</v>
      </c>
      <c r="L421" t="n">
        <v>0</v>
      </c>
      <c r="M421" t="n">
        <v>0</v>
      </c>
      <c r="N421" t="n">
        <v>0</v>
      </c>
      <c r="O421" t="n">
        <v>0</v>
      </c>
      <c r="P421" t="n">
        <v>0</v>
      </c>
      <c r="Q421" t="n">
        <v>0</v>
      </c>
      <c r="R421" s="2" t="inlineStr"/>
    </row>
    <row r="422" ht="15" customHeight="1">
      <c r="A422" t="inlineStr">
        <is>
          <t>A 26122-2022</t>
        </is>
      </c>
      <c r="B422" s="1" t="n">
        <v>44734.94193287037</v>
      </c>
      <c r="C422" s="1" t="n">
        <v>45888</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26942-2021</t>
        </is>
      </c>
      <c r="B423" s="1" t="n">
        <v>44349.91978009259</v>
      </c>
      <c r="C423" s="1" t="n">
        <v>45888</v>
      </c>
      <c r="D423" t="inlineStr">
        <is>
          <t>JÄMTLANDS LÄN</t>
        </is>
      </c>
      <c r="E423" t="inlineStr">
        <is>
          <t>RAGUNDA</t>
        </is>
      </c>
      <c r="G423" t="n">
        <v>6.2</v>
      </c>
      <c r="H423" t="n">
        <v>0</v>
      </c>
      <c r="I423" t="n">
        <v>0</v>
      </c>
      <c r="J423" t="n">
        <v>0</v>
      </c>
      <c r="K423" t="n">
        <v>0</v>
      </c>
      <c r="L423" t="n">
        <v>0</v>
      </c>
      <c r="M423" t="n">
        <v>0</v>
      </c>
      <c r="N423" t="n">
        <v>0</v>
      </c>
      <c r="O423" t="n">
        <v>0</v>
      </c>
      <c r="P423" t="n">
        <v>0</v>
      </c>
      <c r="Q423" t="n">
        <v>0</v>
      </c>
      <c r="R423" s="2" t="inlineStr"/>
    </row>
    <row r="424" ht="15" customHeight="1">
      <c r="A424" t="inlineStr">
        <is>
          <t>A 14156-2024</t>
        </is>
      </c>
      <c r="B424" s="1" t="n">
        <v>45392</v>
      </c>
      <c r="C424" s="1" t="n">
        <v>45888</v>
      </c>
      <c r="D424" t="inlineStr">
        <is>
          <t>JÄMTLANDS LÄN</t>
        </is>
      </c>
      <c r="E424" t="inlineStr">
        <is>
          <t>RAGUNDA</t>
        </is>
      </c>
      <c r="G424" t="n">
        <v>0.6</v>
      </c>
      <c r="H424" t="n">
        <v>0</v>
      </c>
      <c r="I424" t="n">
        <v>0</v>
      </c>
      <c r="J424" t="n">
        <v>0</v>
      </c>
      <c r="K424" t="n">
        <v>0</v>
      </c>
      <c r="L424" t="n">
        <v>0</v>
      </c>
      <c r="M424" t="n">
        <v>0</v>
      </c>
      <c r="N424" t="n">
        <v>0</v>
      </c>
      <c r="O424" t="n">
        <v>0</v>
      </c>
      <c r="P424" t="n">
        <v>0</v>
      </c>
      <c r="Q424" t="n">
        <v>0</v>
      </c>
      <c r="R424" s="2" t="inlineStr"/>
    </row>
    <row r="425" ht="15" customHeight="1">
      <c r="A425" t="inlineStr">
        <is>
          <t>A 14157-2024</t>
        </is>
      </c>
      <c r="B425" s="1" t="n">
        <v>45392.92903935185</v>
      </c>
      <c r="C425" s="1" t="n">
        <v>45888</v>
      </c>
      <c r="D425" t="inlineStr">
        <is>
          <t>JÄMTLANDS LÄN</t>
        </is>
      </c>
      <c r="E425" t="inlineStr">
        <is>
          <t>RAGUNDA</t>
        </is>
      </c>
      <c r="G425" t="n">
        <v>1.7</v>
      </c>
      <c r="H425" t="n">
        <v>0</v>
      </c>
      <c r="I425" t="n">
        <v>0</v>
      </c>
      <c r="J425" t="n">
        <v>0</v>
      </c>
      <c r="K425" t="n">
        <v>0</v>
      </c>
      <c r="L425" t="n">
        <v>0</v>
      </c>
      <c r="M425" t="n">
        <v>0</v>
      </c>
      <c r="N425" t="n">
        <v>0</v>
      </c>
      <c r="O425" t="n">
        <v>0</v>
      </c>
      <c r="P425" t="n">
        <v>0</v>
      </c>
      <c r="Q425" t="n">
        <v>0</v>
      </c>
      <c r="R425" s="2" t="inlineStr"/>
    </row>
    <row r="426" ht="15" customHeight="1">
      <c r="A426" t="inlineStr">
        <is>
          <t>A 46546-2023</t>
        </is>
      </c>
      <c r="B426" s="1" t="n">
        <v>45197.94152777778</v>
      </c>
      <c r="C426" s="1" t="n">
        <v>45888</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32288-2022</t>
        </is>
      </c>
      <c r="B427" s="1" t="n">
        <v>44781</v>
      </c>
      <c r="C427" s="1" t="n">
        <v>45888</v>
      </c>
      <c r="D427" t="inlineStr">
        <is>
          <t>JÄMTLANDS LÄN</t>
        </is>
      </c>
      <c r="E427" t="inlineStr">
        <is>
          <t>RAGUNDA</t>
        </is>
      </c>
      <c r="G427" t="n">
        <v>0.8</v>
      </c>
      <c r="H427" t="n">
        <v>0</v>
      </c>
      <c r="I427" t="n">
        <v>0</v>
      </c>
      <c r="J427" t="n">
        <v>0</v>
      </c>
      <c r="K427" t="n">
        <v>0</v>
      </c>
      <c r="L427" t="n">
        <v>0</v>
      </c>
      <c r="M427" t="n">
        <v>0</v>
      </c>
      <c r="N427" t="n">
        <v>0</v>
      </c>
      <c r="O427" t="n">
        <v>0</v>
      </c>
      <c r="P427" t="n">
        <v>0</v>
      </c>
      <c r="Q427" t="n">
        <v>0</v>
      </c>
      <c r="R427" s="2" t="inlineStr"/>
    </row>
    <row r="428" ht="15" customHeight="1">
      <c r="A428" t="inlineStr">
        <is>
          <t>A 4212-2024</t>
        </is>
      </c>
      <c r="B428" s="1" t="n">
        <v>45324</v>
      </c>
      <c r="C428" s="1" t="n">
        <v>45888</v>
      </c>
      <c r="D428" t="inlineStr">
        <is>
          <t>JÄMTLANDS LÄN</t>
        </is>
      </c>
      <c r="E428" t="inlineStr">
        <is>
          <t>RAGUNDA</t>
        </is>
      </c>
      <c r="G428" t="n">
        <v>2</v>
      </c>
      <c r="H428" t="n">
        <v>0</v>
      </c>
      <c r="I428" t="n">
        <v>0</v>
      </c>
      <c r="J428" t="n">
        <v>0</v>
      </c>
      <c r="K428" t="n">
        <v>0</v>
      </c>
      <c r="L428" t="n">
        <v>0</v>
      </c>
      <c r="M428" t="n">
        <v>0</v>
      </c>
      <c r="N428" t="n">
        <v>0</v>
      </c>
      <c r="O428" t="n">
        <v>0</v>
      </c>
      <c r="P428" t="n">
        <v>0</v>
      </c>
      <c r="Q428" t="n">
        <v>0</v>
      </c>
      <c r="R428" s="2" t="inlineStr"/>
    </row>
    <row r="429" ht="15" customHeight="1">
      <c r="A429" t="inlineStr">
        <is>
          <t>A 19865-2023</t>
        </is>
      </c>
      <c r="B429" s="1" t="n">
        <v>45053.94305555556</v>
      </c>
      <c r="C429" s="1" t="n">
        <v>45888</v>
      </c>
      <c r="D429" t="inlineStr">
        <is>
          <t>JÄMTLANDS LÄN</t>
        </is>
      </c>
      <c r="E429" t="inlineStr">
        <is>
          <t>RAGUNDA</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9262-2025</t>
        </is>
      </c>
      <c r="B430" s="1" t="n">
        <v>45714.60649305556</v>
      </c>
      <c r="C430" s="1" t="n">
        <v>45888</v>
      </c>
      <c r="D430" t="inlineStr">
        <is>
          <t>JÄMTLANDS LÄN</t>
        </is>
      </c>
      <c r="E430" t="inlineStr">
        <is>
          <t>RAGUNDA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47803-2022</t>
        </is>
      </c>
      <c r="B431" s="1" t="n">
        <v>44854.95390046296</v>
      </c>
      <c r="C431" s="1" t="n">
        <v>45888</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42652-2022</t>
        </is>
      </c>
      <c r="B432" s="1" t="n">
        <v>44831.94846064815</v>
      </c>
      <c r="C432" s="1" t="n">
        <v>45888</v>
      </c>
      <c r="D432" t="inlineStr">
        <is>
          <t>JÄMTLANDS LÄN</t>
        </is>
      </c>
      <c r="E432" t="inlineStr">
        <is>
          <t>RAGUNDA</t>
        </is>
      </c>
      <c r="F432" t="inlineStr">
        <is>
          <t>SCA</t>
        </is>
      </c>
      <c r="G432" t="n">
        <v>5.6</v>
      </c>
      <c r="H432" t="n">
        <v>0</v>
      </c>
      <c r="I432" t="n">
        <v>0</v>
      </c>
      <c r="J432" t="n">
        <v>0</v>
      </c>
      <c r="K432" t="n">
        <v>0</v>
      </c>
      <c r="L432" t="n">
        <v>0</v>
      </c>
      <c r="M432" t="n">
        <v>0</v>
      </c>
      <c r="N432" t="n">
        <v>0</v>
      </c>
      <c r="O432" t="n">
        <v>0</v>
      </c>
      <c r="P432" t="n">
        <v>0</v>
      </c>
      <c r="Q432" t="n">
        <v>0</v>
      </c>
      <c r="R432" s="2" t="inlineStr"/>
    </row>
    <row r="433" ht="15" customHeight="1">
      <c r="A433" t="inlineStr">
        <is>
          <t>A 42653-2022</t>
        </is>
      </c>
      <c r="B433" s="1" t="n">
        <v>44831.9485300926</v>
      </c>
      <c r="C433" s="1" t="n">
        <v>45888</v>
      </c>
      <c r="D433" t="inlineStr">
        <is>
          <t>JÄMTLANDS LÄN</t>
        </is>
      </c>
      <c r="E433" t="inlineStr">
        <is>
          <t>RAGUNDA</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32986-2022</t>
        </is>
      </c>
      <c r="B434" s="1" t="n">
        <v>44784.94157407407</v>
      </c>
      <c r="C434" s="1" t="n">
        <v>45888</v>
      </c>
      <c r="D434" t="inlineStr">
        <is>
          <t>JÄMTLANDS LÄN</t>
        </is>
      </c>
      <c r="E434" t="inlineStr">
        <is>
          <t>RAGUNDA</t>
        </is>
      </c>
      <c r="F434" t="inlineStr">
        <is>
          <t>SCA</t>
        </is>
      </c>
      <c r="G434" t="n">
        <v>6.7</v>
      </c>
      <c r="H434" t="n">
        <v>0</v>
      </c>
      <c r="I434" t="n">
        <v>0</v>
      </c>
      <c r="J434" t="n">
        <v>0</v>
      </c>
      <c r="K434" t="n">
        <v>0</v>
      </c>
      <c r="L434" t="n">
        <v>0</v>
      </c>
      <c r="M434" t="n">
        <v>0</v>
      </c>
      <c r="N434" t="n">
        <v>0</v>
      </c>
      <c r="O434" t="n">
        <v>0</v>
      </c>
      <c r="P434" t="n">
        <v>0</v>
      </c>
      <c r="Q434" t="n">
        <v>0</v>
      </c>
      <c r="R434" s="2" t="inlineStr"/>
    </row>
    <row r="435" ht="15" customHeight="1">
      <c r="A435" t="inlineStr">
        <is>
          <t>A 20088-2023</t>
        </is>
      </c>
      <c r="B435" s="1" t="n">
        <v>45054</v>
      </c>
      <c r="C435" s="1" t="n">
        <v>45888</v>
      </c>
      <c r="D435" t="inlineStr">
        <is>
          <t>JÄMTLANDS LÄN</t>
        </is>
      </c>
      <c r="E435" t="inlineStr">
        <is>
          <t>RAGUNDA</t>
        </is>
      </c>
      <c r="F435" t="inlineStr">
        <is>
          <t>SCA</t>
        </is>
      </c>
      <c r="G435" t="n">
        <v>23.4</v>
      </c>
      <c r="H435" t="n">
        <v>0</v>
      </c>
      <c r="I435" t="n">
        <v>0</v>
      </c>
      <c r="J435" t="n">
        <v>0</v>
      </c>
      <c r="K435" t="n">
        <v>0</v>
      </c>
      <c r="L435" t="n">
        <v>0</v>
      </c>
      <c r="M435" t="n">
        <v>0</v>
      </c>
      <c r="N435" t="n">
        <v>0</v>
      </c>
      <c r="O435" t="n">
        <v>0</v>
      </c>
      <c r="P435" t="n">
        <v>0</v>
      </c>
      <c r="Q435" t="n">
        <v>0</v>
      </c>
      <c r="R435" s="2" t="inlineStr"/>
    </row>
    <row r="436" ht="15" customHeight="1">
      <c r="A436" t="inlineStr">
        <is>
          <t>A 60012-2023</t>
        </is>
      </c>
      <c r="B436" s="1" t="n">
        <v>45257</v>
      </c>
      <c r="C436" s="1" t="n">
        <v>45888</v>
      </c>
      <c r="D436" t="inlineStr">
        <is>
          <t>JÄMTLANDS LÄN</t>
        </is>
      </c>
      <c r="E436" t="inlineStr">
        <is>
          <t>RAGUNDA</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564-2025</t>
        </is>
      </c>
      <c r="B437" s="1" t="n">
        <v>45664.55241898148</v>
      </c>
      <c r="C437" s="1" t="n">
        <v>45888</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53676-2022</t>
        </is>
      </c>
      <c r="B438" s="1" t="n">
        <v>44879</v>
      </c>
      <c r="C438" s="1" t="n">
        <v>45888</v>
      </c>
      <c r="D438" t="inlineStr">
        <is>
          <t>JÄMTLANDS LÄN</t>
        </is>
      </c>
      <c r="E438" t="inlineStr">
        <is>
          <t>RAGUNDA</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4882-2023</t>
        </is>
      </c>
      <c r="B439" s="1" t="n">
        <v>44957.94075231482</v>
      </c>
      <c r="C439" s="1" t="n">
        <v>45888</v>
      </c>
      <c r="D439" t="inlineStr">
        <is>
          <t>JÄMTLANDS LÄN</t>
        </is>
      </c>
      <c r="E439" t="inlineStr">
        <is>
          <t>RAGUNDA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15554-2025</t>
        </is>
      </c>
      <c r="B440" s="1" t="n">
        <v>45747.67739583334</v>
      </c>
      <c r="C440" s="1" t="n">
        <v>45888</v>
      </c>
      <c r="D440" t="inlineStr">
        <is>
          <t>JÄMTLANDS LÄN</t>
        </is>
      </c>
      <c r="E440" t="inlineStr">
        <is>
          <t>RAGUNDA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50555-2024</t>
        </is>
      </c>
      <c r="B441" s="1" t="n">
        <v>45601.59518518519</v>
      </c>
      <c r="C441" s="1" t="n">
        <v>45888</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65216-2023</t>
        </is>
      </c>
      <c r="B442" s="1" t="n">
        <v>45289</v>
      </c>
      <c r="C442" s="1" t="n">
        <v>45888</v>
      </c>
      <c r="D442" t="inlineStr">
        <is>
          <t>JÄMTLANDS LÄN</t>
        </is>
      </c>
      <c r="E442" t="inlineStr">
        <is>
          <t>RAGUNDA</t>
        </is>
      </c>
      <c r="G442" t="n">
        <v>2.9</v>
      </c>
      <c r="H442" t="n">
        <v>0</v>
      </c>
      <c r="I442" t="n">
        <v>0</v>
      </c>
      <c r="J442" t="n">
        <v>0</v>
      </c>
      <c r="K442" t="n">
        <v>0</v>
      </c>
      <c r="L442" t="n">
        <v>0</v>
      </c>
      <c r="M442" t="n">
        <v>0</v>
      </c>
      <c r="N442" t="n">
        <v>0</v>
      </c>
      <c r="O442" t="n">
        <v>0</v>
      </c>
      <c r="P442" t="n">
        <v>0</v>
      </c>
      <c r="Q442" t="n">
        <v>0</v>
      </c>
      <c r="R442" s="2" t="inlineStr"/>
    </row>
    <row r="443" ht="15" customHeight="1">
      <c r="A443" t="inlineStr">
        <is>
          <t>A 52148-2024</t>
        </is>
      </c>
      <c r="B443" s="1" t="n">
        <v>45608.52354166667</v>
      </c>
      <c r="C443" s="1" t="n">
        <v>45888</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59658-2023</t>
        </is>
      </c>
      <c r="B444" s="1" t="n">
        <v>45254.96402777778</v>
      </c>
      <c r="C444" s="1" t="n">
        <v>45888</v>
      </c>
      <c r="D444" t="inlineStr">
        <is>
          <t>JÄMTLANDS LÄN</t>
        </is>
      </c>
      <c r="E444" t="inlineStr">
        <is>
          <t>RAGUNDA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49649-2024</t>
        </is>
      </c>
      <c r="B445" s="1" t="n">
        <v>45596.61553240741</v>
      </c>
      <c r="C445" s="1" t="n">
        <v>45888</v>
      </c>
      <c r="D445" t="inlineStr">
        <is>
          <t>JÄMTLANDS LÄN</t>
        </is>
      </c>
      <c r="E445" t="inlineStr">
        <is>
          <t>RAGUNDA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56504-2024</t>
        </is>
      </c>
      <c r="B446" s="1" t="n">
        <v>45625.51068287037</v>
      </c>
      <c r="C446" s="1" t="n">
        <v>45888</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13276-2025</t>
        </is>
      </c>
      <c r="B447" s="1" t="n">
        <v>45735.5517824074</v>
      </c>
      <c r="C447" s="1" t="n">
        <v>45888</v>
      </c>
      <c r="D447" t="inlineStr">
        <is>
          <t>JÄMTLANDS LÄN</t>
        </is>
      </c>
      <c r="E447" t="inlineStr">
        <is>
          <t>RAGUNDA</t>
        </is>
      </c>
      <c r="G447" t="n">
        <v>16.6</v>
      </c>
      <c r="H447" t="n">
        <v>0</v>
      </c>
      <c r="I447" t="n">
        <v>0</v>
      </c>
      <c r="J447" t="n">
        <v>0</v>
      </c>
      <c r="K447" t="n">
        <v>0</v>
      </c>
      <c r="L447" t="n">
        <v>0</v>
      </c>
      <c r="M447" t="n">
        <v>0</v>
      </c>
      <c r="N447" t="n">
        <v>0</v>
      </c>
      <c r="O447" t="n">
        <v>0</v>
      </c>
      <c r="P447" t="n">
        <v>0</v>
      </c>
      <c r="Q447" t="n">
        <v>0</v>
      </c>
      <c r="R447" s="2" t="inlineStr"/>
    </row>
    <row r="448" ht="15" customHeight="1">
      <c r="A448" t="inlineStr">
        <is>
          <t>A 2831-2024</t>
        </is>
      </c>
      <c r="B448" s="1" t="n">
        <v>45314.92758101852</v>
      </c>
      <c r="C448" s="1" t="n">
        <v>45888</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12024-2022</t>
        </is>
      </c>
      <c r="B449" s="1" t="n">
        <v>44635</v>
      </c>
      <c r="C449" s="1" t="n">
        <v>45888</v>
      </c>
      <c r="D449" t="inlineStr">
        <is>
          <t>JÄMTLANDS LÄN</t>
        </is>
      </c>
      <c r="E449" t="inlineStr">
        <is>
          <t>RAGUNDA</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53740-2024</t>
        </is>
      </c>
      <c r="B450" s="1" t="n">
        <v>45615.47091435185</v>
      </c>
      <c r="C450" s="1" t="n">
        <v>45888</v>
      </c>
      <c r="D450" t="inlineStr">
        <is>
          <t>JÄMTLANDS LÄN</t>
        </is>
      </c>
      <c r="E450" t="inlineStr">
        <is>
          <t>RAGUNDA</t>
        </is>
      </c>
      <c r="G450" t="n">
        <v>2.7</v>
      </c>
      <c r="H450" t="n">
        <v>0</v>
      </c>
      <c r="I450" t="n">
        <v>0</v>
      </c>
      <c r="J450" t="n">
        <v>0</v>
      </c>
      <c r="K450" t="n">
        <v>0</v>
      </c>
      <c r="L450" t="n">
        <v>0</v>
      </c>
      <c r="M450" t="n">
        <v>0</v>
      </c>
      <c r="N450" t="n">
        <v>0</v>
      </c>
      <c r="O450" t="n">
        <v>0</v>
      </c>
      <c r="P450" t="n">
        <v>0</v>
      </c>
      <c r="Q450" t="n">
        <v>0</v>
      </c>
      <c r="R450" s="2" t="inlineStr"/>
    </row>
    <row r="451" ht="15" customHeight="1">
      <c r="A451" t="inlineStr">
        <is>
          <t>A 45335-2023</t>
        </is>
      </c>
      <c r="B451" s="1" t="n">
        <v>45191</v>
      </c>
      <c r="C451" s="1" t="n">
        <v>45888</v>
      </c>
      <c r="D451" t="inlineStr">
        <is>
          <t>JÄMTLANDS LÄN</t>
        </is>
      </c>
      <c r="E451" t="inlineStr">
        <is>
          <t>RAGUNDA</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59372-2024</t>
        </is>
      </c>
      <c r="B452" s="1" t="n">
        <v>45638.34431712963</v>
      </c>
      <c r="C452" s="1" t="n">
        <v>45888</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55487-2023</t>
        </is>
      </c>
      <c r="B453" s="1" t="n">
        <v>45238</v>
      </c>
      <c r="C453" s="1" t="n">
        <v>45888</v>
      </c>
      <c r="D453" t="inlineStr">
        <is>
          <t>JÄMTLANDS LÄN</t>
        </is>
      </c>
      <c r="E453" t="inlineStr">
        <is>
          <t>RAGUNDA</t>
        </is>
      </c>
      <c r="G453" t="n">
        <v>3</v>
      </c>
      <c r="H453" t="n">
        <v>0</v>
      </c>
      <c r="I453" t="n">
        <v>0</v>
      </c>
      <c r="J453" t="n">
        <v>0</v>
      </c>
      <c r="K453" t="n">
        <v>0</v>
      </c>
      <c r="L453" t="n">
        <v>0</v>
      </c>
      <c r="M453" t="n">
        <v>0</v>
      </c>
      <c r="N453" t="n">
        <v>0</v>
      </c>
      <c r="O453" t="n">
        <v>0</v>
      </c>
      <c r="P453" t="n">
        <v>0</v>
      </c>
      <c r="Q453" t="n">
        <v>0</v>
      </c>
      <c r="R453" s="2" t="inlineStr"/>
    </row>
    <row r="454" ht="15" customHeight="1">
      <c r="A454" t="inlineStr">
        <is>
          <t>A 18454-2021</t>
        </is>
      </c>
      <c r="B454" s="1" t="n">
        <v>44305.92047453704</v>
      </c>
      <c r="C454" s="1" t="n">
        <v>45888</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9360-2023</t>
        </is>
      </c>
      <c r="B455" s="1" t="n">
        <v>44980.93865740741</v>
      </c>
      <c r="C455" s="1" t="n">
        <v>45888</v>
      </c>
      <c r="D455" t="inlineStr">
        <is>
          <t>JÄMTLANDS LÄN</t>
        </is>
      </c>
      <c r="E455" t="inlineStr">
        <is>
          <t>RAGUNDA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13767-2022</t>
        </is>
      </c>
      <c r="B456" s="1" t="n">
        <v>44649.47048611111</v>
      </c>
      <c r="C456" s="1" t="n">
        <v>45888</v>
      </c>
      <c r="D456" t="inlineStr">
        <is>
          <t>JÄMTLANDS LÄN</t>
        </is>
      </c>
      <c r="E456" t="inlineStr">
        <is>
          <t>RAGUNDA</t>
        </is>
      </c>
      <c r="F456" t="inlineStr">
        <is>
          <t>Kommuner</t>
        </is>
      </c>
      <c r="G456" t="n">
        <v>3.1</v>
      </c>
      <c r="H456" t="n">
        <v>0</v>
      </c>
      <c r="I456" t="n">
        <v>0</v>
      </c>
      <c r="J456" t="n">
        <v>0</v>
      </c>
      <c r="K456" t="n">
        <v>0</v>
      </c>
      <c r="L456" t="n">
        <v>0</v>
      </c>
      <c r="M456" t="n">
        <v>0</v>
      </c>
      <c r="N456" t="n">
        <v>0</v>
      </c>
      <c r="O456" t="n">
        <v>0</v>
      </c>
      <c r="P456" t="n">
        <v>0</v>
      </c>
      <c r="Q456" t="n">
        <v>0</v>
      </c>
      <c r="R456" s="2" t="inlineStr"/>
    </row>
    <row r="457" ht="15" customHeight="1">
      <c r="A457" t="inlineStr">
        <is>
          <t>A 1308-2025</t>
        </is>
      </c>
      <c r="B457" s="1" t="n">
        <v>45667.55239583334</v>
      </c>
      <c r="C457" s="1" t="n">
        <v>45888</v>
      </c>
      <c r="D457" t="inlineStr">
        <is>
          <t>JÄMTLANDS LÄN</t>
        </is>
      </c>
      <c r="E457" t="inlineStr">
        <is>
          <t>RAGUNDA</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934-2023</t>
        </is>
      </c>
      <c r="B458" s="1" t="n">
        <v>44932.93927083333</v>
      </c>
      <c r="C458" s="1" t="n">
        <v>45888</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36106-2022</t>
        </is>
      </c>
      <c r="B459" s="1" t="n">
        <v>44802.94811342593</v>
      </c>
      <c r="C459" s="1" t="n">
        <v>45888</v>
      </c>
      <c r="D459" t="inlineStr">
        <is>
          <t>JÄMTLANDS LÄN</t>
        </is>
      </c>
      <c r="E459" t="inlineStr">
        <is>
          <t>RAGUNDA</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57839-2022</t>
        </is>
      </c>
      <c r="B460" s="1" t="n">
        <v>44897</v>
      </c>
      <c r="C460" s="1" t="n">
        <v>45888</v>
      </c>
      <c r="D460" t="inlineStr">
        <is>
          <t>JÄMTLANDS LÄN</t>
        </is>
      </c>
      <c r="E460" t="inlineStr">
        <is>
          <t>RAGUNDA</t>
        </is>
      </c>
      <c r="F460" t="inlineStr">
        <is>
          <t>SCA</t>
        </is>
      </c>
      <c r="G460" t="n">
        <v>8.5</v>
      </c>
      <c r="H460" t="n">
        <v>0</v>
      </c>
      <c r="I460" t="n">
        <v>0</v>
      </c>
      <c r="J460" t="n">
        <v>0</v>
      </c>
      <c r="K460" t="n">
        <v>0</v>
      </c>
      <c r="L460" t="n">
        <v>0</v>
      </c>
      <c r="M460" t="n">
        <v>0</v>
      </c>
      <c r="N460" t="n">
        <v>0</v>
      </c>
      <c r="O460" t="n">
        <v>0</v>
      </c>
      <c r="P460" t="n">
        <v>0</v>
      </c>
      <c r="Q460" t="n">
        <v>0</v>
      </c>
      <c r="R460" s="2" t="inlineStr"/>
    </row>
    <row r="461" ht="15" customHeight="1">
      <c r="A461" t="inlineStr">
        <is>
          <t>A 11252-2025</t>
        </is>
      </c>
      <c r="B461" s="1" t="n">
        <v>45726.38615740741</v>
      </c>
      <c r="C461" s="1" t="n">
        <v>45888</v>
      </c>
      <c r="D461" t="inlineStr">
        <is>
          <t>JÄMTLANDS LÄN</t>
        </is>
      </c>
      <c r="E461" t="inlineStr">
        <is>
          <t>RAGUNDA</t>
        </is>
      </c>
      <c r="G461" t="n">
        <v>1.9</v>
      </c>
      <c r="H461" t="n">
        <v>0</v>
      </c>
      <c r="I461" t="n">
        <v>0</v>
      </c>
      <c r="J461" t="n">
        <v>0</v>
      </c>
      <c r="K461" t="n">
        <v>0</v>
      </c>
      <c r="L461" t="n">
        <v>0</v>
      </c>
      <c r="M461" t="n">
        <v>0</v>
      </c>
      <c r="N461" t="n">
        <v>0</v>
      </c>
      <c r="O461" t="n">
        <v>0</v>
      </c>
      <c r="P461" t="n">
        <v>0</v>
      </c>
      <c r="Q461" t="n">
        <v>0</v>
      </c>
      <c r="R461" s="2" t="inlineStr"/>
    </row>
    <row r="462" ht="15" customHeight="1">
      <c r="A462" t="inlineStr">
        <is>
          <t>A 11253-2025</t>
        </is>
      </c>
      <c r="B462" s="1" t="n">
        <v>45726.3862037037</v>
      </c>
      <c r="C462" s="1" t="n">
        <v>45888</v>
      </c>
      <c r="D462" t="inlineStr">
        <is>
          <t>JÄMTLANDS LÄN</t>
        </is>
      </c>
      <c r="E462" t="inlineStr">
        <is>
          <t>RAGUNDA</t>
        </is>
      </c>
      <c r="G462" t="n">
        <v>1.5</v>
      </c>
      <c r="H462" t="n">
        <v>0</v>
      </c>
      <c r="I462" t="n">
        <v>0</v>
      </c>
      <c r="J462" t="n">
        <v>0</v>
      </c>
      <c r="K462" t="n">
        <v>0</v>
      </c>
      <c r="L462" t="n">
        <v>0</v>
      </c>
      <c r="M462" t="n">
        <v>0</v>
      </c>
      <c r="N462" t="n">
        <v>0</v>
      </c>
      <c r="O462" t="n">
        <v>0</v>
      </c>
      <c r="P462" t="n">
        <v>0</v>
      </c>
      <c r="Q462" t="n">
        <v>0</v>
      </c>
      <c r="R462" s="2" t="inlineStr"/>
    </row>
    <row r="463" ht="15" customHeight="1">
      <c r="A463" t="inlineStr">
        <is>
          <t>A 41693-2023</t>
        </is>
      </c>
      <c r="B463" s="1" t="n">
        <v>45176</v>
      </c>
      <c r="C463" s="1" t="n">
        <v>45888</v>
      </c>
      <c r="D463" t="inlineStr">
        <is>
          <t>JÄMTLANDS LÄN</t>
        </is>
      </c>
      <c r="E463" t="inlineStr">
        <is>
          <t>RAGUNDA</t>
        </is>
      </c>
      <c r="G463" t="n">
        <v>5.5</v>
      </c>
      <c r="H463" t="n">
        <v>0</v>
      </c>
      <c r="I463" t="n">
        <v>0</v>
      </c>
      <c r="J463" t="n">
        <v>0</v>
      </c>
      <c r="K463" t="n">
        <v>0</v>
      </c>
      <c r="L463" t="n">
        <v>0</v>
      </c>
      <c r="M463" t="n">
        <v>0</v>
      </c>
      <c r="N463" t="n">
        <v>0</v>
      </c>
      <c r="O463" t="n">
        <v>0</v>
      </c>
      <c r="P463" t="n">
        <v>0</v>
      </c>
      <c r="Q463" t="n">
        <v>0</v>
      </c>
      <c r="R463" s="2" t="inlineStr"/>
    </row>
    <row r="464" ht="15" customHeight="1">
      <c r="A464" t="inlineStr">
        <is>
          <t>A 12522-2023</t>
        </is>
      </c>
      <c r="B464" s="1" t="n">
        <v>45000</v>
      </c>
      <c r="C464" s="1" t="n">
        <v>45888</v>
      </c>
      <c r="D464" t="inlineStr">
        <is>
          <t>JÄMTLANDS LÄN</t>
        </is>
      </c>
      <c r="E464" t="inlineStr">
        <is>
          <t>RAGUNDA</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12523-2023</t>
        </is>
      </c>
      <c r="B465" s="1" t="n">
        <v>45000</v>
      </c>
      <c r="C465" s="1" t="n">
        <v>45888</v>
      </c>
      <c r="D465" t="inlineStr">
        <is>
          <t>JÄMTLANDS LÄN</t>
        </is>
      </c>
      <c r="E465" t="inlineStr">
        <is>
          <t>RAGUNDA</t>
        </is>
      </c>
      <c r="F465" t="inlineStr">
        <is>
          <t>SCA</t>
        </is>
      </c>
      <c r="G465" t="n">
        <v>14.3</v>
      </c>
      <c r="H465" t="n">
        <v>0</v>
      </c>
      <c r="I465" t="n">
        <v>0</v>
      </c>
      <c r="J465" t="n">
        <v>0</v>
      </c>
      <c r="K465" t="n">
        <v>0</v>
      </c>
      <c r="L465" t="n">
        <v>0</v>
      </c>
      <c r="M465" t="n">
        <v>0</v>
      </c>
      <c r="N465" t="n">
        <v>0</v>
      </c>
      <c r="O465" t="n">
        <v>0</v>
      </c>
      <c r="P465" t="n">
        <v>0</v>
      </c>
      <c r="Q465" t="n">
        <v>0</v>
      </c>
      <c r="R465" s="2" t="inlineStr"/>
    </row>
    <row r="466" ht="15" customHeight="1">
      <c r="A466" t="inlineStr">
        <is>
          <t>A 22569-2023</t>
        </is>
      </c>
      <c r="B466" s="1" t="n">
        <v>45069</v>
      </c>
      <c r="C466" s="1" t="n">
        <v>45888</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24861-2023</t>
        </is>
      </c>
      <c r="B467" s="1" t="n">
        <v>45078</v>
      </c>
      <c r="C467" s="1" t="n">
        <v>45888</v>
      </c>
      <c r="D467" t="inlineStr">
        <is>
          <t>JÄMTLANDS LÄN</t>
        </is>
      </c>
      <c r="E467" t="inlineStr">
        <is>
          <t>RAGUNDA</t>
        </is>
      </c>
      <c r="G467" t="n">
        <v>1.3</v>
      </c>
      <c r="H467" t="n">
        <v>0</v>
      </c>
      <c r="I467" t="n">
        <v>0</v>
      </c>
      <c r="J467" t="n">
        <v>0</v>
      </c>
      <c r="K467" t="n">
        <v>0</v>
      </c>
      <c r="L467" t="n">
        <v>0</v>
      </c>
      <c r="M467" t="n">
        <v>0</v>
      </c>
      <c r="N467" t="n">
        <v>0</v>
      </c>
      <c r="O467" t="n">
        <v>0</v>
      </c>
      <c r="P467" t="n">
        <v>0</v>
      </c>
      <c r="Q467" t="n">
        <v>0</v>
      </c>
      <c r="R467" s="2" t="inlineStr"/>
    </row>
    <row r="468" ht="15" customHeight="1">
      <c r="A468" t="inlineStr">
        <is>
          <t>A 13905-2025</t>
        </is>
      </c>
      <c r="B468" s="1" t="n">
        <v>45737.63574074074</v>
      </c>
      <c r="C468" s="1" t="n">
        <v>45888</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13941-2025</t>
        </is>
      </c>
      <c r="B469" s="1" t="n">
        <v>45737.69822916666</v>
      </c>
      <c r="C469" s="1" t="n">
        <v>45888</v>
      </c>
      <c r="D469" t="inlineStr">
        <is>
          <t>JÄMTLANDS LÄN</t>
        </is>
      </c>
      <c r="E469" t="inlineStr">
        <is>
          <t>RAGUNDA</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11048-2023</t>
        </is>
      </c>
      <c r="B470" s="1" t="n">
        <v>44991</v>
      </c>
      <c r="C470" s="1" t="n">
        <v>45888</v>
      </c>
      <c r="D470" t="inlineStr">
        <is>
          <t>JÄMTLANDS LÄN</t>
        </is>
      </c>
      <c r="E470" t="inlineStr">
        <is>
          <t>RAGUNDA</t>
        </is>
      </c>
      <c r="F470" t="inlineStr">
        <is>
          <t>SCA</t>
        </is>
      </c>
      <c r="G470" t="n">
        <v>13.5</v>
      </c>
      <c r="H470" t="n">
        <v>0</v>
      </c>
      <c r="I470" t="n">
        <v>0</v>
      </c>
      <c r="J470" t="n">
        <v>0</v>
      </c>
      <c r="K470" t="n">
        <v>0</v>
      </c>
      <c r="L470" t="n">
        <v>0</v>
      </c>
      <c r="M470" t="n">
        <v>0</v>
      </c>
      <c r="N470" t="n">
        <v>0</v>
      </c>
      <c r="O470" t="n">
        <v>0</v>
      </c>
      <c r="P470" t="n">
        <v>0</v>
      </c>
      <c r="Q470" t="n">
        <v>0</v>
      </c>
      <c r="R470" s="2" t="inlineStr"/>
    </row>
    <row r="471" ht="15" customHeight="1">
      <c r="A471" t="inlineStr">
        <is>
          <t>A 11062-2023</t>
        </is>
      </c>
      <c r="B471" s="1" t="n">
        <v>44991</v>
      </c>
      <c r="C471" s="1" t="n">
        <v>45888</v>
      </c>
      <c r="D471" t="inlineStr">
        <is>
          <t>JÄMTLANDS LÄN</t>
        </is>
      </c>
      <c r="E471" t="inlineStr">
        <is>
          <t>RAGUNDA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50160-2023</t>
        </is>
      </c>
      <c r="B472" s="1" t="n">
        <v>45208</v>
      </c>
      <c r="C472" s="1" t="n">
        <v>45888</v>
      </c>
      <c r="D472" t="inlineStr">
        <is>
          <t>JÄMTLANDS LÄN</t>
        </is>
      </c>
      <c r="E472" t="inlineStr">
        <is>
          <t>RAGUNDA</t>
        </is>
      </c>
      <c r="G472" t="n">
        <v>4.6</v>
      </c>
      <c r="H472" t="n">
        <v>0</v>
      </c>
      <c r="I472" t="n">
        <v>0</v>
      </c>
      <c r="J472" t="n">
        <v>0</v>
      </c>
      <c r="K472" t="n">
        <v>0</v>
      </c>
      <c r="L472" t="n">
        <v>0</v>
      </c>
      <c r="M472" t="n">
        <v>0</v>
      </c>
      <c r="N472" t="n">
        <v>0</v>
      </c>
      <c r="O472" t="n">
        <v>0</v>
      </c>
      <c r="P472" t="n">
        <v>0</v>
      </c>
      <c r="Q472" t="n">
        <v>0</v>
      </c>
      <c r="R472" s="2" t="inlineStr"/>
    </row>
    <row r="473" ht="15" customHeight="1">
      <c r="A473" t="inlineStr">
        <is>
          <t>A 53678-2022</t>
        </is>
      </c>
      <c r="B473" s="1" t="n">
        <v>44879.95768518518</v>
      </c>
      <c r="C473" s="1" t="n">
        <v>45888</v>
      </c>
      <c r="D473" t="inlineStr">
        <is>
          <t>JÄMTLANDS LÄN</t>
        </is>
      </c>
      <c r="E473" t="inlineStr">
        <is>
          <t>RAGUNDA</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57064-2024</t>
        </is>
      </c>
      <c r="B474" s="1" t="n">
        <v>45629.35326388889</v>
      </c>
      <c r="C474" s="1" t="n">
        <v>45888</v>
      </c>
      <c r="D474" t="inlineStr">
        <is>
          <t>JÄMTLANDS LÄN</t>
        </is>
      </c>
      <c r="E474" t="inlineStr">
        <is>
          <t>RAGUNDA</t>
        </is>
      </c>
      <c r="F474" t="inlineStr">
        <is>
          <t>Naturvårdsverket</t>
        </is>
      </c>
      <c r="G474" t="n">
        <v>0.5</v>
      </c>
      <c r="H474" t="n">
        <v>0</v>
      </c>
      <c r="I474" t="n">
        <v>0</v>
      </c>
      <c r="J474" t="n">
        <v>0</v>
      </c>
      <c r="K474" t="n">
        <v>0</v>
      </c>
      <c r="L474" t="n">
        <v>0</v>
      </c>
      <c r="M474" t="n">
        <v>0</v>
      </c>
      <c r="N474" t="n">
        <v>0</v>
      </c>
      <c r="O474" t="n">
        <v>0</v>
      </c>
      <c r="P474" t="n">
        <v>0</v>
      </c>
      <c r="Q474" t="n">
        <v>0</v>
      </c>
      <c r="R474" s="2" t="inlineStr"/>
    </row>
    <row r="475" ht="15" customHeight="1">
      <c r="A475" t="inlineStr">
        <is>
          <t>A 55524-2024</t>
        </is>
      </c>
      <c r="B475" s="1" t="n">
        <v>45622.47435185185</v>
      </c>
      <c r="C475" s="1" t="n">
        <v>45888</v>
      </c>
      <c r="D475" t="inlineStr">
        <is>
          <t>JÄMTLANDS LÄN</t>
        </is>
      </c>
      <c r="E475" t="inlineStr">
        <is>
          <t>RAGUNDA</t>
        </is>
      </c>
      <c r="G475" t="n">
        <v>1.4</v>
      </c>
      <c r="H475" t="n">
        <v>0</v>
      </c>
      <c r="I475" t="n">
        <v>0</v>
      </c>
      <c r="J475" t="n">
        <v>0</v>
      </c>
      <c r="K475" t="n">
        <v>0</v>
      </c>
      <c r="L475" t="n">
        <v>0</v>
      </c>
      <c r="M475" t="n">
        <v>0</v>
      </c>
      <c r="N475" t="n">
        <v>0</v>
      </c>
      <c r="O475" t="n">
        <v>0</v>
      </c>
      <c r="P475" t="n">
        <v>0</v>
      </c>
      <c r="Q475" t="n">
        <v>0</v>
      </c>
      <c r="R475" s="2" t="inlineStr"/>
    </row>
    <row r="476" ht="15" customHeight="1">
      <c r="A476" t="inlineStr">
        <is>
          <t>A 25332-2023</t>
        </is>
      </c>
      <c r="B476" s="1" t="n">
        <v>45086.94010416666</v>
      </c>
      <c r="C476" s="1" t="n">
        <v>45888</v>
      </c>
      <c r="D476" t="inlineStr">
        <is>
          <t>JÄMTLANDS LÄN</t>
        </is>
      </c>
      <c r="E476" t="inlineStr">
        <is>
          <t>RAGUNDA</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29920-2024</t>
        </is>
      </c>
      <c r="B477" s="1" t="n">
        <v>45487.92856481481</v>
      </c>
      <c r="C477" s="1" t="n">
        <v>45888</v>
      </c>
      <c r="D477" t="inlineStr">
        <is>
          <t>JÄMTLANDS LÄN</t>
        </is>
      </c>
      <c r="E477" t="inlineStr">
        <is>
          <t>RAGUNDA</t>
        </is>
      </c>
      <c r="G477" t="n">
        <v>3.4</v>
      </c>
      <c r="H477" t="n">
        <v>0</v>
      </c>
      <c r="I477" t="n">
        <v>0</v>
      </c>
      <c r="J477" t="n">
        <v>0</v>
      </c>
      <c r="K477" t="n">
        <v>0</v>
      </c>
      <c r="L477" t="n">
        <v>0</v>
      </c>
      <c r="M477" t="n">
        <v>0</v>
      </c>
      <c r="N477" t="n">
        <v>0</v>
      </c>
      <c r="O477" t="n">
        <v>0</v>
      </c>
      <c r="P477" t="n">
        <v>0</v>
      </c>
      <c r="Q477" t="n">
        <v>0</v>
      </c>
      <c r="R477" s="2" t="inlineStr"/>
    </row>
    <row r="478" ht="15" customHeight="1">
      <c r="A478" t="inlineStr">
        <is>
          <t>A 51245-2024</t>
        </is>
      </c>
      <c r="B478" s="1" t="n">
        <v>45603.67850694444</v>
      </c>
      <c r="C478" s="1" t="n">
        <v>45888</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3767-2025</t>
        </is>
      </c>
      <c r="B479" s="1" t="n">
        <v>45681.60203703704</v>
      </c>
      <c r="C479" s="1" t="n">
        <v>45888</v>
      </c>
      <c r="D479" t="inlineStr">
        <is>
          <t>JÄMTLANDS LÄN</t>
        </is>
      </c>
      <c r="E479" t="inlineStr">
        <is>
          <t>RAGUNDA</t>
        </is>
      </c>
      <c r="G479" t="n">
        <v>4.9</v>
      </c>
      <c r="H479" t="n">
        <v>0</v>
      </c>
      <c r="I479" t="n">
        <v>0</v>
      </c>
      <c r="J479" t="n">
        <v>0</v>
      </c>
      <c r="K479" t="n">
        <v>0</v>
      </c>
      <c r="L479" t="n">
        <v>0</v>
      </c>
      <c r="M479" t="n">
        <v>0</v>
      </c>
      <c r="N479" t="n">
        <v>0</v>
      </c>
      <c r="O479" t="n">
        <v>0</v>
      </c>
      <c r="P479" t="n">
        <v>0</v>
      </c>
      <c r="Q479" t="n">
        <v>0</v>
      </c>
      <c r="R479" s="2" t="inlineStr"/>
    </row>
    <row r="480" ht="15" customHeight="1">
      <c r="A480" t="inlineStr">
        <is>
          <t>A 23305-2023</t>
        </is>
      </c>
      <c r="B480" s="1" t="n">
        <v>45075.94506944445</v>
      </c>
      <c r="C480" s="1" t="n">
        <v>45888</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7280-2024</t>
        </is>
      </c>
      <c r="B481" s="1" t="n">
        <v>45344</v>
      </c>
      <c r="C481" s="1" t="n">
        <v>45888</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18194-2025</t>
        </is>
      </c>
      <c r="B482" s="1" t="n">
        <v>45761.67744212963</v>
      </c>
      <c r="C482" s="1" t="n">
        <v>45888</v>
      </c>
      <c r="D482" t="inlineStr">
        <is>
          <t>JÄMTLANDS LÄN</t>
        </is>
      </c>
      <c r="E482" t="inlineStr">
        <is>
          <t>RAGUNDA</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18225-2024</t>
        </is>
      </c>
      <c r="B483" s="1" t="n">
        <v>45420</v>
      </c>
      <c r="C483" s="1" t="n">
        <v>45888</v>
      </c>
      <c r="D483" t="inlineStr">
        <is>
          <t>JÄMTLANDS LÄN</t>
        </is>
      </c>
      <c r="E483" t="inlineStr">
        <is>
          <t>RAGUNDA</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54764-2024</t>
        </is>
      </c>
      <c r="B484" s="1" t="n">
        <v>45618.46921296296</v>
      </c>
      <c r="C484" s="1" t="n">
        <v>45888</v>
      </c>
      <c r="D484" t="inlineStr">
        <is>
          <t>JÄMTLANDS LÄN</t>
        </is>
      </c>
      <c r="E484" t="inlineStr">
        <is>
          <t>RAGUNDA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44778-2024</t>
        </is>
      </c>
      <c r="B485" s="1" t="n">
        <v>45574.63355324074</v>
      </c>
      <c r="C485" s="1" t="n">
        <v>45888</v>
      </c>
      <c r="D485" t="inlineStr">
        <is>
          <t>JÄMTLANDS LÄN</t>
        </is>
      </c>
      <c r="E485" t="inlineStr">
        <is>
          <t>RAGUNDA</t>
        </is>
      </c>
      <c r="G485" t="n">
        <v>5.5</v>
      </c>
      <c r="H485" t="n">
        <v>0</v>
      </c>
      <c r="I485" t="n">
        <v>0</v>
      </c>
      <c r="J485" t="n">
        <v>0</v>
      </c>
      <c r="K485" t="n">
        <v>0</v>
      </c>
      <c r="L485" t="n">
        <v>0</v>
      </c>
      <c r="M485" t="n">
        <v>0</v>
      </c>
      <c r="N485" t="n">
        <v>0</v>
      </c>
      <c r="O485" t="n">
        <v>0</v>
      </c>
      <c r="P485" t="n">
        <v>0</v>
      </c>
      <c r="Q485" t="n">
        <v>0</v>
      </c>
      <c r="R485" s="2" t="inlineStr"/>
    </row>
    <row r="486" ht="15" customHeight="1">
      <c r="A486" t="inlineStr">
        <is>
          <t>A 2673-2024</t>
        </is>
      </c>
      <c r="B486" s="1" t="n">
        <v>45314</v>
      </c>
      <c r="C486" s="1" t="n">
        <v>45888</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32904-2024</t>
        </is>
      </c>
      <c r="B487" s="1" t="n">
        <v>45516.94732638889</v>
      </c>
      <c r="C487" s="1" t="n">
        <v>45888</v>
      </c>
      <c r="D487" t="inlineStr">
        <is>
          <t>JÄMTLANDS LÄN</t>
        </is>
      </c>
      <c r="E487" t="inlineStr">
        <is>
          <t>RAGUNDA</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64492-2023</t>
        </is>
      </c>
      <c r="B488" s="1" t="n">
        <v>45280.92645833334</v>
      </c>
      <c r="C488" s="1" t="n">
        <v>45888</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12976-2025</t>
        </is>
      </c>
      <c r="B489" s="1" t="n">
        <v>45734.45268518518</v>
      </c>
      <c r="C489" s="1" t="n">
        <v>45888</v>
      </c>
      <c r="D489" t="inlineStr">
        <is>
          <t>JÄMTLANDS LÄN</t>
        </is>
      </c>
      <c r="E489" t="inlineStr">
        <is>
          <t>RAGUNDA</t>
        </is>
      </c>
      <c r="G489" t="n">
        <v>24.2</v>
      </c>
      <c r="H489" t="n">
        <v>0</v>
      </c>
      <c r="I489" t="n">
        <v>0</v>
      </c>
      <c r="J489" t="n">
        <v>0</v>
      </c>
      <c r="K489" t="n">
        <v>0</v>
      </c>
      <c r="L489" t="n">
        <v>0</v>
      </c>
      <c r="M489" t="n">
        <v>0</v>
      </c>
      <c r="N489" t="n">
        <v>0</v>
      </c>
      <c r="O489" t="n">
        <v>0</v>
      </c>
      <c r="P489" t="n">
        <v>0</v>
      </c>
      <c r="Q489" t="n">
        <v>0</v>
      </c>
      <c r="R489" s="2" t="inlineStr"/>
    </row>
    <row r="490" ht="15" customHeight="1">
      <c r="A490" t="inlineStr">
        <is>
          <t>A 59286-2023</t>
        </is>
      </c>
      <c r="B490" s="1" t="n">
        <v>45253</v>
      </c>
      <c r="C490" s="1" t="n">
        <v>45888</v>
      </c>
      <c r="D490" t="inlineStr">
        <is>
          <t>JÄMTLANDS LÄN</t>
        </is>
      </c>
      <c r="E490" t="inlineStr">
        <is>
          <t>RAGUNDA</t>
        </is>
      </c>
      <c r="G490" t="n">
        <v>1</v>
      </c>
      <c r="H490" t="n">
        <v>0</v>
      </c>
      <c r="I490" t="n">
        <v>0</v>
      </c>
      <c r="J490" t="n">
        <v>0</v>
      </c>
      <c r="K490" t="n">
        <v>0</v>
      </c>
      <c r="L490" t="n">
        <v>0</v>
      </c>
      <c r="M490" t="n">
        <v>0</v>
      </c>
      <c r="N490" t="n">
        <v>0</v>
      </c>
      <c r="O490" t="n">
        <v>0</v>
      </c>
      <c r="P490" t="n">
        <v>0</v>
      </c>
      <c r="Q490" t="n">
        <v>0</v>
      </c>
      <c r="R490" s="2" t="inlineStr"/>
    </row>
    <row r="491" ht="15" customHeight="1">
      <c r="A491" t="inlineStr">
        <is>
          <t>A 15672-2021</t>
        </is>
      </c>
      <c r="B491" s="1" t="n">
        <v>44286</v>
      </c>
      <c r="C491" s="1" t="n">
        <v>45888</v>
      </c>
      <c r="D491" t="inlineStr">
        <is>
          <t>JÄMTLANDS LÄN</t>
        </is>
      </c>
      <c r="E491" t="inlineStr">
        <is>
          <t>RAGUNDA</t>
        </is>
      </c>
      <c r="G491" t="n">
        <v>1.7</v>
      </c>
      <c r="H491" t="n">
        <v>0</v>
      </c>
      <c r="I491" t="n">
        <v>0</v>
      </c>
      <c r="J491" t="n">
        <v>0</v>
      </c>
      <c r="K491" t="n">
        <v>0</v>
      </c>
      <c r="L491" t="n">
        <v>0</v>
      </c>
      <c r="M491" t="n">
        <v>0</v>
      </c>
      <c r="N491" t="n">
        <v>0</v>
      </c>
      <c r="O491" t="n">
        <v>0</v>
      </c>
      <c r="P491" t="n">
        <v>0</v>
      </c>
      <c r="Q491" t="n">
        <v>0</v>
      </c>
      <c r="R491" s="2" t="inlineStr"/>
    </row>
    <row r="492" ht="15" customHeight="1">
      <c r="A492" t="inlineStr">
        <is>
          <t>A 53955-2022</t>
        </is>
      </c>
      <c r="B492" s="1" t="n">
        <v>44880.95741898148</v>
      </c>
      <c r="C492" s="1" t="n">
        <v>45888</v>
      </c>
      <c r="D492" t="inlineStr">
        <is>
          <t>JÄMTLANDS LÄN</t>
        </is>
      </c>
      <c r="E492" t="inlineStr">
        <is>
          <t>RAGUNDA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6688-2024</t>
        </is>
      </c>
      <c r="B493" s="1" t="n">
        <v>45341</v>
      </c>
      <c r="C493" s="1" t="n">
        <v>45888</v>
      </c>
      <c r="D493" t="inlineStr">
        <is>
          <t>JÄMTLANDS LÄN</t>
        </is>
      </c>
      <c r="E493" t="inlineStr">
        <is>
          <t>RAGUNDA</t>
        </is>
      </c>
      <c r="G493" t="n">
        <v>2</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45888</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50650-2023</t>
        </is>
      </c>
      <c r="B495" s="1" t="n">
        <v>45210</v>
      </c>
      <c r="C495" s="1" t="n">
        <v>45888</v>
      </c>
      <c r="D495" t="inlineStr">
        <is>
          <t>JÄMTLANDS LÄN</t>
        </is>
      </c>
      <c r="E495" t="inlineStr">
        <is>
          <t>RAGUNDA</t>
        </is>
      </c>
      <c r="G495" t="n">
        <v>1.3</v>
      </c>
      <c r="H495" t="n">
        <v>0</v>
      </c>
      <c r="I495" t="n">
        <v>0</v>
      </c>
      <c r="J495" t="n">
        <v>0</v>
      </c>
      <c r="K495" t="n">
        <v>0</v>
      </c>
      <c r="L495" t="n">
        <v>0</v>
      </c>
      <c r="M495" t="n">
        <v>0</v>
      </c>
      <c r="N495" t="n">
        <v>0</v>
      </c>
      <c r="O495" t="n">
        <v>0</v>
      </c>
      <c r="P495" t="n">
        <v>0</v>
      </c>
      <c r="Q495" t="n">
        <v>0</v>
      </c>
      <c r="R495" s="2" t="inlineStr"/>
    </row>
    <row r="496" ht="15" customHeight="1">
      <c r="A496" t="inlineStr">
        <is>
          <t>A 41344-2024</t>
        </is>
      </c>
      <c r="B496" s="1" t="n">
        <v>45559.67759259259</v>
      </c>
      <c r="C496" s="1" t="n">
        <v>45888</v>
      </c>
      <c r="D496" t="inlineStr">
        <is>
          <t>JÄMTLANDS LÄN</t>
        </is>
      </c>
      <c r="E496" t="inlineStr">
        <is>
          <t>RAGUNDA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14368-2024</t>
        </is>
      </c>
      <c r="B497" s="1" t="n">
        <v>45393.94431712963</v>
      </c>
      <c r="C497" s="1" t="n">
        <v>45888</v>
      </c>
      <c r="D497" t="inlineStr">
        <is>
          <t>JÄMTLANDS LÄN</t>
        </is>
      </c>
      <c r="E497" t="inlineStr">
        <is>
          <t>RAGUNDA</t>
        </is>
      </c>
      <c r="F497" t="inlineStr">
        <is>
          <t>Naturvårdsverket</t>
        </is>
      </c>
      <c r="G497" t="n">
        <v>1.6</v>
      </c>
      <c r="H497" t="n">
        <v>0</v>
      </c>
      <c r="I497" t="n">
        <v>0</v>
      </c>
      <c r="J497" t="n">
        <v>0</v>
      </c>
      <c r="K497" t="n">
        <v>0</v>
      </c>
      <c r="L497" t="n">
        <v>0</v>
      </c>
      <c r="M497" t="n">
        <v>0</v>
      </c>
      <c r="N497" t="n">
        <v>0</v>
      </c>
      <c r="O497" t="n">
        <v>0</v>
      </c>
      <c r="P497" t="n">
        <v>0</v>
      </c>
      <c r="Q497" t="n">
        <v>0</v>
      </c>
      <c r="R497" s="2" t="inlineStr"/>
    </row>
    <row r="498" ht="15" customHeight="1">
      <c r="A498" t="inlineStr">
        <is>
          <t>A 19438-2023</t>
        </is>
      </c>
      <c r="B498" s="1" t="n">
        <v>45049</v>
      </c>
      <c r="C498" s="1" t="n">
        <v>45888</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12783-2023</t>
        </is>
      </c>
      <c r="B499" s="1" t="n">
        <v>45000</v>
      </c>
      <c r="C499" s="1" t="n">
        <v>45888</v>
      </c>
      <c r="D499" t="inlineStr">
        <is>
          <t>JÄMTLANDS LÄN</t>
        </is>
      </c>
      <c r="E499" t="inlineStr">
        <is>
          <t>RAGUNDA</t>
        </is>
      </c>
      <c r="G499" t="n">
        <v>0.9</v>
      </c>
      <c r="H499" t="n">
        <v>0</v>
      </c>
      <c r="I499" t="n">
        <v>0</v>
      </c>
      <c r="J499" t="n">
        <v>0</v>
      </c>
      <c r="K499" t="n">
        <v>0</v>
      </c>
      <c r="L499" t="n">
        <v>0</v>
      </c>
      <c r="M499" t="n">
        <v>0</v>
      </c>
      <c r="N499" t="n">
        <v>0</v>
      </c>
      <c r="O499" t="n">
        <v>0</v>
      </c>
      <c r="P499" t="n">
        <v>0</v>
      </c>
      <c r="Q499" t="n">
        <v>0</v>
      </c>
      <c r="R499" s="2" t="inlineStr"/>
    </row>
    <row r="500" ht="15" customHeight="1">
      <c r="A500" t="inlineStr">
        <is>
          <t>A 53171-2024</t>
        </is>
      </c>
      <c r="B500" s="1" t="n">
        <v>45611.65679398148</v>
      </c>
      <c r="C500" s="1" t="n">
        <v>45888</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7279-2024</t>
        </is>
      </c>
      <c r="B501" s="1" t="n">
        <v>45344.92822916667</v>
      </c>
      <c r="C501" s="1" t="n">
        <v>45888</v>
      </c>
      <c r="D501" t="inlineStr">
        <is>
          <t>JÄMTLANDS LÄN</t>
        </is>
      </c>
      <c r="E501" t="inlineStr">
        <is>
          <t>RAGUNDA</t>
        </is>
      </c>
      <c r="G501" t="n">
        <v>2.1</v>
      </c>
      <c r="H501" t="n">
        <v>0</v>
      </c>
      <c r="I501" t="n">
        <v>0</v>
      </c>
      <c r="J501" t="n">
        <v>0</v>
      </c>
      <c r="K501" t="n">
        <v>0</v>
      </c>
      <c r="L501" t="n">
        <v>0</v>
      </c>
      <c r="M501" t="n">
        <v>0</v>
      </c>
      <c r="N501" t="n">
        <v>0</v>
      </c>
      <c r="O501" t="n">
        <v>0</v>
      </c>
      <c r="P501" t="n">
        <v>0</v>
      </c>
      <c r="Q501" t="n">
        <v>0</v>
      </c>
      <c r="R501" s="2" t="inlineStr"/>
    </row>
    <row r="502" ht="15" customHeight="1">
      <c r="A502" t="inlineStr">
        <is>
          <t>A 59670-2023</t>
        </is>
      </c>
      <c r="B502" s="1" t="n">
        <v>45254.96516203704</v>
      </c>
      <c r="C502" s="1" t="n">
        <v>45888</v>
      </c>
      <c r="D502" t="inlineStr">
        <is>
          <t>JÄMTLANDS LÄN</t>
        </is>
      </c>
      <c r="E502" t="inlineStr">
        <is>
          <t>RAGUNDA</t>
        </is>
      </c>
      <c r="F502" t="inlineStr">
        <is>
          <t>SCA</t>
        </is>
      </c>
      <c r="G502" t="n">
        <v>7.6</v>
      </c>
      <c r="H502" t="n">
        <v>0</v>
      </c>
      <c r="I502" t="n">
        <v>0</v>
      </c>
      <c r="J502" t="n">
        <v>0</v>
      </c>
      <c r="K502" t="n">
        <v>0</v>
      </c>
      <c r="L502" t="n">
        <v>0</v>
      </c>
      <c r="M502" t="n">
        <v>0</v>
      </c>
      <c r="N502" t="n">
        <v>0</v>
      </c>
      <c r="O502" t="n">
        <v>0</v>
      </c>
      <c r="P502" t="n">
        <v>0</v>
      </c>
      <c r="Q502" t="n">
        <v>0</v>
      </c>
      <c r="R502" s="2" t="inlineStr"/>
    </row>
    <row r="503" ht="15" customHeight="1">
      <c r="A503" t="inlineStr">
        <is>
          <t>A 41772-2024</t>
        </is>
      </c>
      <c r="B503" s="1" t="n">
        <v>45561.34663194444</v>
      </c>
      <c r="C503" s="1" t="n">
        <v>45888</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54599-2023</t>
        </is>
      </c>
      <c r="B504" s="1" t="n">
        <v>45233.92591435185</v>
      </c>
      <c r="C504" s="1" t="n">
        <v>45888</v>
      </c>
      <c r="D504" t="inlineStr">
        <is>
          <t>JÄMTLANDS LÄN</t>
        </is>
      </c>
      <c r="E504" t="inlineStr">
        <is>
          <t>RAGUNDA</t>
        </is>
      </c>
      <c r="G504" t="n">
        <v>3.7</v>
      </c>
      <c r="H504" t="n">
        <v>0</v>
      </c>
      <c r="I504" t="n">
        <v>0</v>
      </c>
      <c r="J504" t="n">
        <v>0</v>
      </c>
      <c r="K504" t="n">
        <v>0</v>
      </c>
      <c r="L504" t="n">
        <v>0</v>
      </c>
      <c r="M504" t="n">
        <v>0</v>
      </c>
      <c r="N504" t="n">
        <v>0</v>
      </c>
      <c r="O504" t="n">
        <v>0</v>
      </c>
      <c r="P504" t="n">
        <v>0</v>
      </c>
      <c r="Q504" t="n">
        <v>0</v>
      </c>
      <c r="R504" s="2" t="inlineStr"/>
    </row>
    <row r="505" ht="15" customHeight="1">
      <c r="A505" t="inlineStr">
        <is>
          <t>A 10972-2022</t>
        </is>
      </c>
      <c r="B505" s="1" t="n">
        <v>44628</v>
      </c>
      <c r="C505" s="1" t="n">
        <v>45888</v>
      </c>
      <c r="D505" t="inlineStr">
        <is>
          <t>JÄMTLANDS LÄN</t>
        </is>
      </c>
      <c r="E505" t="inlineStr">
        <is>
          <t>RAGUNDA</t>
        </is>
      </c>
      <c r="G505" t="n">
        <v>9.5</v>
      </c>
      <c r="H505" t="n">
        <v>0</v>
      </c>
      <c r="I505" t="n">
        <v>0</v>
      </c>
      <c r="J505" t="n">
        <v>0</v>
      </c>
      <c r="K505" t="n">
        <v>0</v>
      </c>
      <c r="L505" t="n">
        <v>0</v>
      </c>
      <c r="M505" t="n">
        <v>0</v>
      </c>
      <c r="N505" t="n">
        <v>0</v>
      </c>
      <c r="O505" t="n">
        <v>0</v>
      </c>
      <c r="P505" t="n">
        <v>0</v>
      </c>
      <c r="Q505" t="n">
        <v>0</v>
      </c>
      <c r="R505" s="2" t="inlineStr"/>
    </row>
    <row r="506" ht="15" customHeight="1">
      <c r="A506" t="inlineStr">
        <is>
          <t>A 11834-2023</t>
        </is>
      </c>
      <c r="B506" s="1" t="n">
        <v>44994.94296296296</v>
      </c>
      <c r="C506" s="1" t="n">
        <v>45888</v>
      </c>
      <c r="D506" t="inlineStr">
        <is>
          <t>JÄMTLANDS LÄN</t>
        </is>
      </c>
      <c r="E506" t="inlineStr">
        <is>
          <t>RAGUNDA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55508-2024</t>
        </is>
      </c>
      <c r="B507" s="1" t="n">
        <v>45622.46200231482</v>
      </c>
      <c r="C507" s="1" t="n">
        <v>45888</v>
      </c>
      <c r="D507" t="inlineStr">
        <is>
          <t>JÄMTLANDS LÄN</t>
        </is>
      </c>
      <c r="E507" t="inlineStr">
        <is>
          <t>RAGUNDA</t>
        </is>
      </c>
      <c r="G507" t="n">
        <v>1.8</v>
      </c>
      <c r="H507" t="n">
        <v>0</v>
      </c>
      <c r="I507" t="n">
        <v>0</v>
      </c>
      <c r="J507" t="n">
        <v>0</v>
      </c>
      <c r="K507" t="n">
        <v>0</v>
      </c>
      <c r="L507" t="n">
        <v>0</v>
      </c>
      <c r="M507" t="n">
        <v>0</v>
      </c>
      <c r="N507" t="n">
        <v>0</v>
      </c>
      <c r="O507" t="n">
        <v>0</v>
      </c>
      <c r="P507" t="n">
        <v>0</v>
      </c>
      <c r="Q507" t="n">
        <v>0</v>
      </c>
      <c r="R507" s="2" t="inlineStr"/>
    </row>
    <row r="508" ht="15" customHeight="1">
      <c r="A508" t="inlineStr">
        <is>
          <t>A 59492-2024</t>
        </is>
      </c>
      <c r="B508" s="1" t="n">
        <v>45638</v>
      </c>
      <c r="C508" s="1" t="n">
        <v>45888</v>
      </c>
      <c r="D508" t="inlineStr">
        <is>
          <t>JÄMTLANDS LÄN</t>
        </is>
      </c>
      <c r="E508" t="inlineStr">
        <is>
          <t>RAGUNDA</t>
        </is>
      </c>
      <c r="G508" t="n">
        <v>1.2</v>
      </c>
      <c r="H508" t="n">
        <v>0</v>
      </c>
      <c r="I508" t="n">
        <v>0</v>
      </c>
      <c r="J508" t="n">
        <v>0</v>
      </c>
      <c r="K508" t="n">
        <v>0</v>
      </c>
      <c r="L508" t="n">
        <v>0</v>
      </c>
      <c r="M508" t="n">
        <v>0</v>
      </c>
      <c r="N508" t="n">
        <v>0</v>
      </c>
      <c r="O508" t="n">
        <v>0</v>
      </c>
      <c r="P508" t="n">
        <v>0</v>
      </c>
      <c r="Q508" t="n">
        <v>0</v>
      </c>
      <c r="R508" s="2" t="inlineStr"/>
    </row>
    <row r="509" ht="15" customHeight="1">
      <c r="A509" t="inlineStr">
        <is>
          <t>A 20772-2024</t>
        </is>
      </c>
      <c r="B509" s="1" t="n">
        <v>45436.94628472222</v>
      </c>
      <c r="C509" s="1" t="n">
        <v>45888</v>
      </c>
      <c r="D509" t="inlineStr">
        <is>
          <t>JÄMTLANDS LÄN</t>
        </is>
      </c>
      <c r="E509" t="inlineStr">
        <is>
          <t>RAGUNDA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9504-2025</t>
        </is>
      </c>
      <c r="B510" s="1" t="n">
        <v>45714</v>
      </c>
      <c r="C510" s="1" t="n">
        <v>45888</v>
      </c>
      <c r="D510" t="inlineStr">
        <is>
          <t>JÄMTLANDS LÄN</t>
        </is>
      </c>
      <c r="E510" t="inlineStr">
        <is>
          <t>RAGUNDA</t>
        </is>
      </c>
      <c r="G510" t="n">
        <v>6</v>
      </c>
      <c r="H510" t="n">
        <v>0</v>
      </c>
      <c r="I510" t="n">
        <v>0</v>
      </c>
      <c r="J510" t="n">
        <v>0</v>
      </c>
      <c r="K510" t="n">
        <v>0</v>
      </c>
      <c r="L510" t="n">
        <v>0</v>
      </c>
      <c r="M510" t="n">
        <v>0</v>
      </c>
      <c r="N510" t="n">
        <v>0</v>
      </c>
      <c r="O510" t="n">
        <v>0</v>
      </c>
      <c r="P510" t="n">
        <v>0</v>
      </c>
      <c r="Q510" t="n">
        <v>0</v>
      </c>
      <c r="R510" s="2" t="inlineStr"/>
    </row>
    <row r="511" ht="15" customHeight="1">
      <c r="A511" t="inlineStr">
        <is>
          <t>A 53757-2024</t>
        </is>
      </c>
      <c r="B511" s="1" t="n">
        <v>45615.50034722222</v>
      </c>
      <c r="C511" s="1" t="n">
        <v>45888</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17559-2023</t>
        </is>
      </c>
      <c r="B512" s="1" t="n">
        <v>45034</v>
      </c>
      <c r="C512" s="1" t="n">
        <v>45888</v>
      </c>
      <c r="D512" t="inlineStr">
        <is>
          <t>JÄMTLANDS LÄN</t>
        </is>
      </c>
      <c r="E512" t="inlineStr">
        <is>
          <t>RAGUNDA</t>
        </is>
      </c>
      <c r="G512" t="n">
        <v>7.5</v>
      </c>
      <c r="H512" t="n">
        <v>0</v>
      </c>
      <c r="I512" t="n">
        <v>0</v>
      </c>
      <c r="J512" t="n">
        <v>0</v>
      </c>
      <c r="K512" t="n">
        <v>0</v>
      </c>
      <c r="L512" t="n">
        <v>0</v>
      </c>
      <c r="M512" t="n">
        <v>0</v>
      </c>
      <c r="N512" t="n">
        <v>0</v>
      </c>
      <c r="O512" t="n">
        <v>0</v>
      </c>
      <c r="P512" t="n">
        <v>0</v>
      </c>
      <c r="Q512" t="n">
        <v>0</v>
      </c>
      <c r="R512" s="2" t="inlineStr"/>
    </row>
    <row r="513" ht="15" customHeight="1">
      <c r="A513" t="inlineStr">
        <is>
          <t>A 38312-2024</t>
        </is>
      </c>
      <c r="B513" s="1" t="n">
        <v>45545.64957175926</v>
      </c>
      <c r="C513" s="1" t="n">
        <v>45888</v>
      </c>
      <c r="D513" t="inlineStr">
        <is>
          <t>JÄMTLANDS LÄN</t>
        </is>
      </c>
      <c r="E513" t="inlineStr">
        <is>
          <t>RAGUNDA</t>
        </is>
      </c>
      <c r="G513" t="n">
        <v>1.2</v>
      </c>
      <c r="H513" t="n">
        <v>0</v>
      </c>
      <c r="I513" t="n">
        <v>0</v>
      </c>
      <c r="J513" t="n">
        <v>0</v>
      </c>
      <c r="K513" t="n">
        <v>0</v>
      </c>
      <c r="L513" t="n">
        <v>0</v>
      </c>
      <c r="M513" t="n">
        <v>0</v>
      </c>
      <c r="N513" t="n">
        <v>0</v>
      </c>
      <c r="O513" t="n">
        <v>0</v>
      </c>
      <c r="P513" t="n">
        <v>0</v>
      </c>
      <c r="Q513" t="n">
        <v>0</v>
      </c>
      <c r="R513" s="2" t="inlineStr"/>
    </row>
    <row r="514" ht="15" customHeight="1">
      <c r="A514" t="inlineStr">
        <is>
          <t>A 32910-2024</t>
        </is>
      </c>
      <c r="B514" s="1" t="n">
        <v>45516.94934027778</v>
      </c>
      <c r="C514" s="1" t="n">
        <v>45888</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12660-2024</t>
        </is>
      </c>
      <c r="B515" s="1" t="n">
        <v>45384</v>
      </c>
      <c r="C515" s="1" t="n">
        <v>45888</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32832-2021</t>
        </is>
      </c>
      <c r="B516" s="1" t="n">
        <v>44375</v>
      </c>
      <c r="C516" s="1" t="n">
        <v>45888</v>
      </c>
      <c r="D516" t="inlineStr">
        <is>
          <t>JÄMTLANDS LÄN</t>
        </is>
      </c>
      <c r="E516" t="inlineStr">
        <is>
          <t>RAGUNDA</t>
        </is>
      </c>
      <c r="G516" t="n">
        <v>3</v>
      </c>
      <c r="H516" t="n">
        <v>0</v>
      </c>
      <c r="I516" t="n">
        <v>0</v>
      </c>
      <c r="J516" t="n">
        <v>0</v>
      </c>
      <c r="K516" t="n">
        <v>0</v>
      </c>
      <c r="L516" t="n">
        <v>0</v>
      </c>
      <c r="M516" t="n">
        <v>0</v>
      </c>
      <c r="N516" t="n">
        <v>0</v>
      </c>
      <c r="O516" t="n">
        <v>0</v>
      </c>
      <c r="P516" t="n">
        <v>0</v>
      </c>
      <c r="Q516" t="n">
        <v>0</v>
      </c>
      <c r="R516" s="2" t="inlineStr"/>
    </row>
    <row r="517" ht="15" customHeight="1">
      <c r="A517" t="inlineStr">
        <is>
          <t>A 22011-2023</t>
        </is>
      </c>
      <c r="B517" s="1" t="n">
        <v>45068</v>
      </c>
      <c r="C517" s="1" t="n">
        <v>45888</v>
      </c>
      <c r="D517" t="inlineStr">
        <is>
          <t>JÄMTLANDS LÄN</t>
        </is>
      </c>
      <c r="E517" t="inlineStr">
        <is>
          <t>RAGUNDA</t>
        </is>
      </c>
      <c r="F517" t="inlineStr">
        <is>
          <t>SCA</t>
        </is>
      </c>
      <c r="G517" t="n">
        <v>12.2</v>
      </c>
      <c r="H517" t="n">
        <v>0</v>
      </c>
      <c r="I517" t="n">
        <v>0</v>
      </c>
      <c r="J517" t="n">
        <v>0</v>
      </c>
      <c r="K517" t="n">
        <v>0</v>
      </c>
      <c r="L517" t="n">
        <v>0</v>
      </c>
      <c r="M517" t="n">
        <v>0</v>
      </c>
      <c r="N517" t="n">
        <v>0</v>
      </c>
      <c r="O517" t="n">
        <v>0</v>
      </c>
      <c r="P517" t="n">
        <v>0</v>
      </c>
      <c r="Q517" t="n">
        <v>0</v>
      </c>
      <c r="R517" s="2" t="inlineStr"/>
    </row>
    <row r="518" ht="15" customHeight="1">
      <c r="A518" t="inlineStr">
        <is>
          <t>A 55649-2023</t>
        </is>
      </c>
      <c r="B518" s="1" t="n">
        <v>45238</v>
      </c>
      <c r="C518" s="1" t="n">
        <v>45888</v>
      </c>
      <c r="D518" t="inlineStr">
        <is>
          <t>JÄMTLANDS LÄN</t>
        </is>
      </c>
      <c r="E518" t="inlineStr">
        <is>
          <t>RAGUNDA</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6716-2025</t>
        </is>
      </c>
      <c r="B519" s="1" t="n">
        <v>45700.57324074074</v>
      </c>
      <c r="C519" s="1" t="n">
        <v>45888</v>
      </c>
      <c r="D519" t="inlineStr">
        <is>
          <t>JÄMTLANDS LÄN</t>
        </is>
      </c>
      <c r="E519" t="inlineStr">
        <is>
          <t>RAGUNDA</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52345-2024</t>
        </is>
      </c>
      <c r="B520" s="1" t="n">
        <v>45609.34412037037</v>
      </c>
      <c r="C520" s="1" t="n">
        <v>45888</v>
      </c>
      <c r="D520" t="inlineStr">
        <is>
          <t>JÄMTLANDS LÄN</t>
        </is>
      </c>
      <c r="E520" t="inlineStr">
        <is>
          <t>RAGUNDA</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19866-2023</t>
        </is>
      </c>
      <c r="B521" s="1" t="n">
        <v>45053.94313657407</v>
      </c>
      <c r="C521" s="1" t="n">
        <v>45888</v>
      </c>
      <c r="D521" t="inlineStr">
        <is>
          <t>JÄMTLANDS LÄN</t>
        </is>
      </c>
      <c r="E521" t="inlineStr">
        <is>
          <t>RAGUNDA</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21853-2024</t>
        </is>
      </c>
      <c r="B522" s="1" t="n">
        <v>45442.96296296296</v>
      </c>
      <c r="C522" s="1" t="n">
        <v>45888</v>
      </c>
      <c r="D522" t="inlineStr">
        <is>
          <t>JÄMTLANDS LÄN</t>
        </is>
      </c>
      <c r="E522" t="inlineStr">
        <is>
          <t>RAGUNDA</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12521-2023</t>
        </is>
      </c>
      <c r="B523" s="1" t="n">
        <v>45000</v>
      </c>
      <c r="C523" s="1" t="n">
        <v>45888</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12475-2025</t>
        </is>
      </c>
      <c r="B524" s="1" t="n">
        <v>45730.56346064815</v>
      </c>
      <c r="C524" s="1" t="n">
        <v>45888</v>
      </c>
      <c r="D524" t="inlineStr">
        <is>
          <t>JÄMTLANDS LÄN</t>
        </is>
      </c>
      <c r="E524" t="inlineStr">
        <is>
          <t>RAGUNDA</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8241-2024</t>
        </is>
      </c>
      <c r="B525" s="1" t="n">
        <v>45351.98496527778</v>
      </c>
      <c r="C525" s="1" t="n">
        <v>45888</v>
      </c>
      <c r="D525" t="inlineStr">
        <is>
          <t>JÄMTLANDS LÄN</t>
        </is>
      </c>
      <c r="E525" t="inlineStr">
        <is>
          <t>RAGUNDA</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40365-2024</t>
        </is>
      </c>
      <c r="B526" s="1" t="n">
        <v>45555.38509259259</v>
      </c>
      <c r="C526" s="1" t="n">
        <v>45888</v>
      </c>
      <c r="D526" t="inlineStr">
        <is>
          <t>JÄMTLANDS LÄN</t>
        </is>
      </c>
      <c r="E526" t="inlineStr">
        <is>
          <t>RAGUNDA</t>
        </is>
      </c>
      <c r="G526" t="n">
        <v>7.8</v>
      </c>
      <c r="H526" t="n">
        <v>0</v>
      </c>
      <c r="I526" t="n">
        <v>0</v>
      </c>
      <c r="J526" t="n">
        <v>0</v>
      </c>
      <c r="K526" t="n">
        <v>0</v>
      </c>
      <c r="L526" t="n">
        <v>0</v>
      </c>
      <c r="M526" t="n">
        <v>0</v>
      </c>
      <c r="N526" t="n">
        <v>0</v>
      </c>
      <c r="O526" t="n">
        <v>0</v>
      </c>
      <c r="P526" t="n">
        <v>0</v>
      </c>
      <c r="Q526" t="n">
        <v>0</v>
      </c>
      <c r="R526" s="2" t="inlineStr"/>
    </row>
    <row r="527" ht="15" customHeight="1">
      <c r="A527" t="inlineStr">
        <is>
          <t>A 20770-2024</t>
        </is>
      </c>
      <c r="B527" s="1" t="n">
        <v>45436.94613425926</v>
      </c>
      <c r="C527" s="1" t="n">
        <v>45888</v>
      </c>
      <c r="D527" t="inlineStr">
        <is>
          <t>JÄMTLANDS LÄN</t>
        </is>
      </c>
      <c r="E527" t="inlineStr">
        <is>
          <t>RAGUNDA</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14158-2024</t>
        </is>
      </c>
      <c r="B528" s="1" t="n">
        <v>45392</v>
      </c>
      <c r="C528" s="1" t="n">
        <v>45888</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29319-2023</t>
        </is>
      </c>
      <c r="B529" s="1" t="n">
        <v>45105</v>
      </c>
      <c r="C529" s="1" t="n">
        <v>45888</v>
      </c>
      <c r="D529" t="inlineStr">
        <is>
          <t>JÄMTLANDS LÄN</t>
        </is>
      </c>
      <c r="E529" t="inlineStr">
        <is>
          <t>RAGUNDA</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18612-2024</t>
        </is>
      </c>
      <c r="B530" s="1" t="n">
        <v>45425.96239583333</v>
      </c>
      <c r="C530" s="1" t="n">
        <v>45888</v>
      </c>
      <c r="D530" t="inlineStr">
        <is>
          <t>JÄMTLANDS LÄN</t>
        </is>
      </c>
      <c r="E530" t="inlineStr">
        <is>
          <t>RAGUNDA</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464-2023</t>
        </is>
      </c>
      <c r="B531" s="1" t="n">
        <v>44929.92489583333</v>
      </c>
      <c r="C531" s="1" t="n">
        <v>45888</v>
      </c>
      <c r="D531" t="inlineStr">
        <is>
          <t>JÄMTLANDS LÄN</t>
        </is>
      </c>
      <c r="E531" t="inlineStr">
        <is>
          <t>RAGUNDA</t>
        </is>
      </c>
      <c r="G531" t="n">
        <v>1.4</v>
      </c>
      <c r="H531" t="n">
        <v>0</v>
      </c>
      <c r="I531" t="n">
        <v>0</v>
      </c>
      <c r="J531" t="n">
        <v>0</v>
      </c>
      <c r="K531" t="n">
        <v>0</v>
      </c>
      <c r="L531" t="n">
        <v>0</v>
      </c>
      <c r="M531" t="n">
        <v>0</v>
      </c>
      <c r="N531" t="n">
        <v>0</v>
      </c>
      <c r="O531" t="n">
        <v>0</v>
      </c>
      <c r="P531" t="n">
        <v>0</v>
      </c>
      <c r="Q531" t="n">
        <v>0</v>
      </c>
      <c r="R531" s="2" t="inlineStr"/>
    </row>
    <row r="532" ht="15" customHeight="1">
      <c r="A532" t="inlineStr">
        <is>
          <t>A 42508-2023</t>
        </is>
      </c>
      <c r="B532" s="1" t="n">
        <v>45180.95907407408</v>
      </c>
      <c r="C532" s="1" t="n">
        <v>45888</v>
      </c>
      <c r="D532" t="inlineStr">
        <is>
          <t>JÄMTLANDS LÄN</t>
        </is>
      </c>
      <c r="E532" t="inlineStr">
        <is>
          <t>RAGUNDA</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7281-2024</t>
        </is>
      </c>
      <c r="B533" s="1" t="n">
        <v>45344</v>
      </c>
      <c r="C533" s="1" t="n">
        <v>45888</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7284-2024</t>
        </is>
      </c>
      <c r="B534" s="1" t="n">
        <v>45344.92865740741</v>
      </c>
      <c r="C534" s="1" t="n">
        <v>45888</v>
      </c>
      <c r="D534" t="inlineStr">
        <is>
          <t>JÄMTLANDS LÄN</t>
        </is>
      </c>
      <c r="E534" t="inlineStr">
        <is>
          <t>RAGUNDA</t>
        </is>
      </c>
      <c r="G534" t="n">
        <v>2.1</v>
      </c>
      <c r="H534" t="n">
        <v>0</v>
      </c>
      <c r="I534" t="n">
        <v>0</v>
      </c>
      <c r="J534" t="n">
        <v>0</v>
      </c>
      <c r="K534" t="n">
        <v>0</v>
      </c>
      <c r="L534" t="n">
        <v>0</v>
      </c>
      <c r="M534" t="n">
        <v>0</v>
      </c>
      <c r="N534" t="n">
        <v>0</v>
      </c>
      <c r="O534" t="n">
        <v>0</v>
      </c>
      <c r="P534" t="n">
        <v>0</v>
      </c>
      <c r="Q534" t="n">
        <v>0</v>
      </c>
      <c r="R534" s="2" t="inlineStr"/>
    </row>
    <row r="535" ht="15" customHeight="1">
      <c r="A535" t="inlineStr">
        <is>
          <t>A 7285-2024</t>
        </is>
      </c>
      <c r="B535" s="1" t="n">
        <v>45344.92873842592</v>
      </c>
      <c r="C535" s="1" t="n">
        <v>45888</v>
      </c>
      <c r="D535" t="inlineStr">
        <is>
          <t>JÄMTLANDS LÄN</t>
        </is>
      </c>
      <c r="E535" t="inlineStr">
        <is>
          <t>RAGUNDA</t>
        </is>
      </c>
      <c r="G535" t="n">
        <v>0.5</v>
      </c>
      <c r="H535" t="n">
        <v>0</v>
      </c>
      <c r="I535" t="n">
        <v>0</v>
      </c>
      <c r="J535" t="n">
        <v>0</v>
      </c>
      <c r="K535" t="n">
        <v>0</v>
      </c>
      <c r="L535" t="n">
        <v>0</v>
      </c>
      <c r="M535" t="n">
        <v>0</v>
      </c>
      <c r="N535" t="n">
        <v>0</v>
      </c>
      <c r="O535" t="n">
        <v>0</v>
      </c>
      <c r="P535" t="n">
        <v>0</v>
      </c>
      <c r="Q535" t="n">
        <v>0</v>
      </c>
      <c r="R535" s="2" t="inlineStr"/>
    </row>
    <row r="536" ht="15" customHeight="1">
      <c r="A536" t="inlineStr">
        <is>
          <t>A 53769-2023</t>
        </is>
      </c>
      <c r="B536" s="1" t="n">
        <v>45230</v>
      </c>
      <c r="C536" s="1" t="n">
        <v>45888</v>
      </c>
      <c r="D536" t="inlineStr">
        <is>
          <t>JÄMTLANDS LÄN</t>
        </is>
      </c>
      <c r="E536" t="inlineStr">
        <is>
          <t>RAGUNDA</t>
        </is>
      </c>
      <c r="F536" t="inlineStr">
        <is>
          <t>SCA</t>
        </is>
      </c>
      <c r="G536" t="n">
        <v>11.6</v>
      </c>
      <c r="H536" t="n">
        <v>0</v>
      </c>
      <c r="I536" t="n">
        <v>0</v>
      </c>
      <c r="J536" t="n">
        <v>0</v>
      </c>
      <c r="K536" t="n">
        <v>0</v>
      </c>
      <c r="L536" t="n">
        <v>0</v>
      </c>
      <c r="M536" t="n">
        <v>0</v>
      </c>
      <c r="N536" t="n">
        <v>0</v>
      </c>
      <c r="O536" t="n">
        <v>0</v>
      </c>
      <c r="P536" t="n">
        <v>0</v>
      </c>
      <c r="Q536" t="n">
        <v>0</v>
      </c>
      <c r="R536" s="2" t="inlineStr"/>
    </row>
    <row r="537" ht="15" customHeight="1">
      <c r="A537" t="inlineStr">
        <is>
          <t>A 52228-2024</t>
        </is>
      </c>
      <c r="B537" s="1" t="n">
        <v>45608.6078587963</v>
      </c>
      <c r="C537" s="1" t="n">
        <v>45888</v>
      </c>
      <c r="D537" t="inlineStr">
        <is>
          <t>JÄMTLANDS LÄN</t>
        </is>
      </c>
      <c r="E537" t="inlineStr">
        <is>
          <t>RAGUNDA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35274-2023</t>
        </is>
      </c>
      <c r="B538" s="1" t="n">
        <v>45145</v>
      </c>
      <c r="C538" s="1" t="n">
        <v>45888</v>
      </c>
      <c r="D538" t="inlineStr">
        <is>
          <t>JÄMTLANDS LÄN</t>
        </is>
      </c>
      <c r="E538" t="inlineStr">
        <is>
          <t>RAGUNDA</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53347-2023</t>
        </is>
      </c>
      <c r="B539" s="1" t="n">
        <v>45223</v>
      </c>
      <c r="C539" s="1" t="n">
        <v>45888</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60838-2023</t>
        </is>
      </c>
      <c r="B540" s="1" t="n">
        <v>45260.92561342593</v>
      </c>
      <c r="C540" s="1" t="n">
        <v>45888</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33432-2023</t>
        </is>
      </c>
      <c r="B541" s="1" t="n">
        <v>45128</v>
      </c>
      <c r="C541" s="1" t="n">
        <v>45888</v>
      </c>
      <c r="D541" t="inlineStr">
        <is>
          <t>JÄMTLANDS LÄN</t>
        </is>
      </c>
      <c r="E541" t="inlineStr">
        <is>
          <t>RAGUNDA</t>
        </is>
      </c>
      <c r="F541" t="inlineStr">
        <is>
          <t>SCA</t>
        </is>
      </c>
      <c r="G541" t="n">
        <v>10</v>
      </c>
      <c r="H541" t="n">
        <v>0</v>
      </c>
      <c r="I541" t="n">
        <v>0</v>
      </c>
      <c r="J541" t="n">
        <v>0</v>
      </c>
      <c r="K541" t="n">
        <v>0</v>
      </c>
      <c r="L541" t="n">
        <v>0</v>
      </c>
      <c r="M541" t="n">
        <v>0</v>
      </c>
      <c r="N541" t="n">
        <v>0</v>
      </c>
      <c r="O541" t="n">
        <v>0</v>
      </c>
      <c r="P541" t="n">
        <v>0</v>
      </c>
      <c r="Q541" t="n">
        <v>0</v>
      </c>
      <c r="R541" s="2" t="inlineStr"/>
    </row>
    <row r="542" ht="15" customHeight="1">
      <c r="A542" t="inlineStr">
        <is>
          <t>A 2242-2024</t>
        </is>
      </c>
      <c r="B542" s="1" t="n">
        <v>45309</v>
      </c>
      <c r="C542" s="1" t="n">
        <v>45888</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2248-2024</t>
        </is>
      </c>
      <c r="B543" s="1" t="n">
        <v>45309</v>
      </c>
      <c r="C543" s="1" t="n">
        <v>45888</v>
      </c>
      <c r="D543" t="inlineStr">
        <is>
          <t>JÄMTLANDS LÄN</t>
        </is>
      </c>
      <c r="E543" t="inlineStr">
        <is>
          <t>RAGUNDA</t>
        </is>
      </c>
      <c r="G543" t="n">
        <v>4.2</v>
      </c>
      <c r="H543" t="n">
        <v>0</v>
      </c>
      <c r="I543" t="n">
        <v>0</v>
      </c>
      <c r="J543" t="n">
        <v>0</v>
      </c>
      <c r="K543" t="n">
        <v>0</v>
      </c>
      <c r="L543" t="n">
        <v>0</v>
      </c>
      <c r="M543" t="n">
        <v>0</v>
      </c>
      <c r="N543" t="n">
        <v>0</v>
      </c>
      <c r="O543" t="n">
        <v>0</v>
      </c>
      <c r="P543" t="n">
        <v>0</v>
      </c>
      <c r="Q543" t="n">
        <v>0</v>
      </c>
      <c r="R543" s="2" t="inlineStr"/>
    </row>
    <row r="544" ht="15" customHeight="1">
      <c r="A544" t="inlineStr">
        <is>
          <t>A 12983-2025</t>
        </is>
      </c>
      <c r="B544" s="1" t="n">
        <v>45734.4633912037</v>
      </c>
      <c r="C544" s="1" t="n">
        <v>45888</v>
      </c>
      <c r="D544" t="inlineStr">
        <is>
          <t>JÄMTLANDS LÄN</t>
        </is>
      </c>
      <c r="E544" t="inlineStr">
        <is>
          <t>RAGUNDA</t>
        </is>
      </c>
      <c r="G544" t="n">
        <v>5.2</v>
      </c>
      <c r="H544" t="n">
        <v>0</v>
      </c>
      <c r="I544" t="n">
        <v>0</v>
      </c>
      <c r="J544" t="n">
        <v>0</v>
      </c>
      <c r="K544" t="n">
        <v>0</v>
      </c>
      <c r="L544" t="n">
        <v>0</v>
      </c>
      <c r="M544" t="n">
        <v>0</v>
      </c>
      <c r="N544" t="n">
        <v>0</v>
      </c>
      <c r="O544" t="n">
        <v>0</v>
      </c>
      <c r="P544" t="n">
        <v>0</v>
      </c>
      <c r="Q544" t="n">
        <v>0</v>
      </c>
      <c r="R544" s="2" t="inlineStr"/>
    </row>
    <row r="545" ht="15" customHeight="1">
      <c r="A545" t="inlineStr">
        <is>
          <t>A 17598-2021</t>
        </is>
      </c>
      <c r="B545" s="1" t="n">
        <v>44299</v>
      </c>
      <c r="C545" s="1" t="n">
        <v>45888</v>
      </c>
      <c r="D545" t="inlineStr">
        <is>
          <t>JÄMTLANDS LÄN</t>
        </is>
      </c>
      <c r="E545" t="inlineStr">
        <is>
          <t>RAGUNDA</t>
        </is>
      </c>
      <c r="G545" t="n">
        <v>4.6</v>
      </c>
      <c r="H545" t="n">
        <v>0</v>
      </c>
      <c r="I545" t="n">
        <v>0</v>
      </c>
      <c r="J545" t="n">
        <v>0</v>
      </c>
      <c r="K545" t="n">
        <v>0</v>
      </c>
      <c r="L545" t="n">
        <v>0</v>
      </c>
      <c r="M545" t="n">
        <v>0</v>
      </c>
      <c r="N545" t="n">
        <v>0</v>
      </c>
      <c r="O545" t="n">
        <v>0</v>
      </c>
      <c r="P545" t="n">
        <v>0</v>
      </c>
      <c r="Q545" t="n">
        <v>0</v>
      </c>
      <c r="R545" s="2" t="inlineStr"/>
    </row>
    <row r="546" ht="15" customHeight="1">
      <c r="A546" t="inlineStr">
        <is>
          <t>A 9548-2025</t>
        </is>
      </c>
      <c r="B546" s="1" t="n">
        <v>45715.59405092592</v>
      </c>
      <c r="C546" s="1" t="n">
        <v>45888</v>
      </c>
      <c r="D546" t="inlineStr">
        <is>
          <t>JÄMTLANDS LÄN</t>
        </is>
      </c>
      <c r="E546" t="inlineStr">
        <is>
          <t>RAGUNDA</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3938-2024</t>
        </is>
      </c>
      <c r="B547" s="1" t="n">
        <v>45322</v>
      </c>
      <c r="C547" s="1" t="n">
        <v>45888</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19264-2025</t>
        </is>
      </c>
      <c r="B548" s="1" t="n">
        <v>45769.51087962963</v>
      </c>
      <c r="C548" s="1" t="n">
        <v>45888</v>
      </c>
      <c r="D548" t="inlineStr">
        <is>
          <t>JÄMTLANDS LÄN</t>
        </is>
      </c>
      <c r="E548" t="inlineStr">
        <is>
          <t>RAGUNDA</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53989-2024</t>
        </is>
      </c>
      <c r="B549" s="1" t="n">
        <v>45616.34479166667</v>
      </c>
      <c r="C549" s="1" t="n">
        <v>45888</v>
      </c>
      <c r="D549" t="inlineStr">
        <is>
          <t>JÄMTLANDS LÄN</t>
        </is>
      </c>
      <c r="E549" t="inlineStr">
        <is>
          <t>RAGUNDA</t>
        </is>
      </c>
      <c r="F549" t="inlineStr">
        <is>
          <t>SCA</t>
        </is>
      </c>
      <c r="G549" t="n">
        <v>7.2</v>
      </c>
      <c r="H549" t="n">
        <v>0</v>
      </c>
      <c r="I549" t="n">
        <v>0</v>
      </c>
      <c r="J549" t="n">
        <v>0</v>
      </c>
      <c r="K549" t="n">
        <v>0</v>
      </c>
      <c r="L549" t="n">
        <v>0</v>
      </c>
      <c r="M549" t="n">
        <v>0</v>
      </c>
      <c r="N549" t="n">
        <v>0</v>
      </c>
      <c r="O549" t="n">
        <v>0</v>
      </c>
      <c r="P549" t="n">
        <v>0</v>
      </c>
      <c r="Q549" t="n">
        <v>0</v>
      </c>
      <c r="R549" s="2" t="inlineStr"/>
    </row>
    <row r="550" ht="15" customHeight="1">
      <c r="A550" t="inlineStr">
        <is>
          <t>A 29263-2024</t>
        </is>
      </c>
      <c r="B550" s="1" t="n">
        <v>45482.94891203703</v>
      </c>
      <c r="C550" s="1" t="n">
        <v>45888</v>
      </c>
      <c r="D550" t="inlineStr">
        <is>
          <t>JÄMTLANDS LÄN</t>
        </is>
      </c>
      <c r="E550" t="inlineStr">
        <is>
          <t>RAGUNDA</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8800-2025</t>
        </is>
      </c>
      <c r="B551" s="1" t="n">
        <v>45712.65671296296</v>
      </c>
      <c r="C551" s="1" t="n">
        <v>45888</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15581-2024</t>
        </is>
      </c>
      <c r="B552" s="1" t="n">
        <v>45401</v>
      </c>
      <c r="C552" s="1" t="n">
        <v>45888</v>
      </c>
      <c r="D552" t="inlineStr">
        <is>
          <t>JÄMTLANDS LÄN</t>
        </is>
      </c>
      <c r="E552" t="inlineStr">
        <is>
          <t>RAGUNDA</t>
        </is>
      </c>
      <c r="F552" t="inlineStr">
        <is>
          <t>Kommuner</t>
        </is>
      </c>
      <c r="G552" t="n">
        <v>2.2</v>
      </c>
      <c r="H552" t="n">
        <v>0</v>
      </c>
      <c r="I552" t="n">
        <v>0</v>
      </c>
      <c r="J552" t="n">
        <v>0</v>
      </c>
      <c r="K552" t="n">
        <v>0</v>
      </c>
      <c r="L552" t="n">
        <v>0</v>
      </c>
      <c r="M552" t="n">
        <v>0</v>
      </c>
      <c r="N552" t="n">
        <v>0</v>
      </c>
      <c r="O552" t="n">
        <v>0</v>
      </c>
      <c r="P552" t="n">
        <v>0</v>
      </c>
      <c r="Q552" t="n">
        <v>0</v>
      </c>
      <c r="R552" s="2" t="inlineStr"/>
    </row>
    <row r="553" ht="15" customHeight="1">
      <c r="A553" t="inlineStr">
        <is>
          <t>A 15611-2024</t>
        </is>
      </c>
      <c r="B553" s="1" t="n">
        <v>45401</v>
      </c>
      <c r="C553" s="1" t="n">
        <v>45888</v>
      </c>
      <c r="D553" t="inlineStr">
        <is>
          <t>JÄMTLANDS LÄN</t>
        </is>
      </c>
      <c r="E553" t="inlineStr">
        <is>
          <t>RAGUNDA</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23528-2024</t>
        </is>
      </c>
      <c r="B554" s="1" t="n">
        <v>45453.95016203704</v>
      </c>
      <c r="C554" s="1" t="n">
        <v>45888</v>
      </c>
      <c r="D554" t="inlineStr">
        <is>
          <t>JÄMTLANDS LÄN</t>
        </is>
      </c>
      <c r="E554" t="inlineStr">
        <is>
          <t>RAGUNDA</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4594-2024</t>
        </is>
      </c>
      <c r="B555" s="1" t="n">
        <v>45327.94459490741</v>
      </c>
      <c r="C555" s="1" t="n">
        <v>45888</v>
      </c>
      <c r="D555" t="inlineStr">
        <is>
          <t>JÄMTLANDS LÄN</t>
        </is>
      </c>
      <c r="E555" t="inlineStr">
        <is>
          <t>RAGUNDA</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29265-2024</t>
        </is>
      </c>
      <c r="B556" s="1" t="n">
        <v>45482.9491087963</v>
      </c>
      <c r="C556" s="1" t="n">
        <v>45888</v>
      </c>
      <c r="D556" t="inlineStr">
        <is>
          <t>JÄMTLANDS LÄN</t>
        </is>
      </c>
      <c r="E556" t="inlineStr">
        <is>
          <t>RAGUNDA</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27291-2022</t>
        </is>
      </c>
      <c r="B557" s="1" t="n">
        <v>44741.94070601852</v>
      </c>
      <c r="C557" s="1" t="n">
        <v>45888</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30824-2023</t>
        </is>
      </c>
      <c r="B558" s="1" t="n">
        <v>45112.94303240741</v>
      </c>
      <c r="C558" s="1" t="n">
        <v>45888</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8776-2025</t>
        </is>
      </c>
      <c r="B559" s="1" t="n">
        <v>45712.61510416667</v>
      </c>
      <c r="C559" s="1" t="n">
        <v>45888</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53144-2024</t>
        </is>
      </c>
      <c r="B560" s="1" t="n">
        <v>45611</v>
      </c>
      <c r="C560" s="1" t="n">
        <v>45888</v>
      </c>
      <c r="D560" t="inlineStr">
        <is>
          <t>JÄMTLANDS LÄN</t>
        </is>
      </c>
      <c r="E560" t="inlineStr">
        <is>
          <t>RAGUNDA</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14821-2025</t>
        </is>
      </c>
      <c r="B561" s="1" t="n">
        <v>45743.36</v>
      </c>
      <c r="C561" s="1" t="n">
        <v>45888</v>
      </c>
      <c r="D561" t="inlineStr">
        <is>
          <t>JÄMTLANDS LÄN</t>
        </is>
      </c>
      <c r="E561" t="inlineStr">
        <is>
          <t>RAGUNDA</t>
        </is>
      </c>
      <c r="F561" t="inlineStr">
        <is>
          <t>Kyrkan</t>
        </is>
      </c>
      <c r="G561" t="n">
        <v>6.4</v>
      </c>
      <c r="H561" t="n">
        <v>0</v>
      </c>
      <c r="I561" t="n">
        <v>0</v>
      </c>
      <c r="J561" t="n">
        <v>0</v>
      </c>
      <c r="K561" t="n">
        <v>0</v>
      </c>
      <c r="L561" t="n">
        <v>0</v>
      </c>
      <c r="M561" t="n">
        <v>0</v>
      </c>
      <c r="N561" t="n">
        <v>0</v>
      </c>
      <c r="O561" t="n">
        <v>0</v>
      </c>
      <c r="P561" t="n">
        <v>0</v>
      </c>
      <c r="Q561" t="n">
        <v>0</v>
      </c>
      <c r="R561" s="2" t="inlineStr"/>
    </row>
    <row r="562" ht="15" customHeight="1">
      <c r="A562" t="inlineStr">
        <is>
          <t>A 16635-2025</t>
        </is>
      </c>
      <c r="B562" s="1" t="n">
        <v>45754</v>
      </c>
      <c r="C562" s="1" t="n">
        <v>45888</v>
      </c>
      <c r="D562" t="inlineStr">
        <is>
          <t>JÄMTLANDS LÄN</t>
        </is>
      </c>
      <c r="E562" t="inlineStr">
        <is>
          <t>RAGUNDA</t>
        </is>
      </c>
      <c r="F562" t="inlineStr">
        <is>
          <t>SCA</t>
        </is>
      </c>
      <c r="G562" t="n">
        <v>55.4</v>
      </c>
      <c r="H562" t="n">
        <v>0</v>
      </c>
      <c r="I562" t="n">
        <v>0</v>
      </c>
      <c r="J562" t="n">
        <v>0</v>
      </c>
      <c r="K562" t="n">
        <v>0</v>
      </c>
      <c r="L562" t="n">
        <v>0</v>
      </c>
      <c r="M562" t="n">
        <v>0</v>
      </c>
      <c r="N562" t="n">
        <v>0</v>
      </c>
      <c r="O562" t="n">
        <v>0</v>
      </c>
      <c r="P562" t="n">
        <v>0</v>
      </c>
      <c r="Q562" t="n">
        <v>0</v>
      </c>
      <c r="R562" s="2" t="inlineStr"/>
    </row>
    <row r="563" ht="15" customHeight="1">
      <c r="A563" t="inlineStr">
        <is>
          <t>A 4014-2022</t>
        </is>
      </c>
      <c r="B563" s="1" t="n">
        <v>44587.92144675926</v>
      </c>
      <c r="C563" s="1" t="n">
        <v>45888</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36375-2022</t>
        </is>
      </c>
      <c r="B564" s="1" t="n">
        <v>44803.94351851852</v>
      </c>
      <c r="C564" s="1" t="n">
        <v>45888</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22311-2024</t>
        </is>
      </c>
      <c r="B565" s="1" t="n">
        <v>45446.57052083333</v>
      </c>
      <c r="C565" s="1" t="n">
        <v>45888</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1554-2024</t>
        </is>
      </c>
      <c r="B566" s="1" t="n">
        <v>45306</v>
      </c>
      <c r="C566" s="1" t="n">
        <v>45888</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8679-2023</t>
        </is>
      </c>
      <c r="B567" s="1" t="n">
        <v>44977.98670138889</v>
      </c>
      <c r="C567" s="1" t="n">
        <v>45888</v>
      </c>
      <c r="D567" t="inlineStr">
        <is>
          <t>JÄMTLANDS LÄN</t>
        </is>
      </c>
      <c r="E567" t="inlineStr">
        <is>
          <t>RAGUNDA</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9325-2024</t>
        </is>
      </c>
      <c r="B568" s="1" t="n">
        <v>45358.95813657407</v>
      </c>
      <c r="C568" s="1" t="n">
        <v>45888</v>
      </c>
      <c r="D568" t="inlineStr">
        <is>
          <t>JÄMTLANDS LÄN</t>
        </is>
      </c>
      <c r="E568" t="inlineStr">
        <is>
          <t>RAGUNDA</t>
        </is>
      </c>
      <c r="G568" t="n">
        <v>3.1</v>
      </c>
      <c r="H568" t="n">
        <v>0</v>
      </c>
      <c r="I568" t="n">
        <v>0</v>
      </c>
      <c r="J568" t="n">
        <v>0</v>
      </c>
      <c r="K568" t="n">
        <v>0</v>
      </c>
      <c r="L568" t="n">
        <v>0</v>
      </c>
      <c r="M568" t="n">
        <v>0</v>
      </c>
      <c r="N568" t="n">
        <v>0</v>
      </c>
      <c r="O568" t="n">
        <v>0</v>
      </c>
      <c r="P568" t="n">
        <v>0</v>
      </c>
      <c r="Q568" t="n">
        <v>0</v>
      </c>
      <c r="R568" s="2" t="inlineStr"/>
    </row>
    <row r="569" ht="15" customHeight="1">
      <c r="A569" t="inlineStr">
        <is>
          <t>A 5930-2025</t>
        </is>
      </c>
      <c r="B569" s="1" t="n">
        <v>45695.44724537037</v>
      </c>
      <c r="C569" s="1" t="n">
        <v>45888</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38782-2021</t>
        </is>
      </c>
      <c r="B570" s="1" t="n">
        <v>44410</v>
      </c>
      <c r="C570" s="1" t="n">
        <v>45888</v>
      </c>
      <c r="D570" t="inlineStr">
        <is>
          <t>JÄMTLANDS LÄN</t>
        </is>
      </c>
      <c r="E570" t="inlineStr">
        <is>
          <t>RAGUNDA</t>
        </is>
      </c>
      <c r="G570" t="n">
        <v>3.2</v>
      </c>
      <c r="H570" t="n">
        <v>0</v>
      </c>
      <c r="I570" t="n">
        <v>0</v>
      </c>
      <c r="J570" t="n">
        <v>0</v>
      </c>
      <c r="K570" t="n">
        <v>0</v>
      </c>
      <c r="L570" t="n">
        <v>0</v>
      </c>
      <c r="M570" t="n">
        <v>0</v>
      </c>
      <c r="N570" t="n">
        <v>0</v>
      </c>
      <c r="O570" t="n">
        <v>0</v>
      </c>
      <c r="P570" t="n">
        <v>0</v>
      </c>
      <c r="Q570" t="n">
        <v>0</v>
      </c>
      <c r="R570" s="2" t="inlineStr"/>
    </row>
    <row r="571" ht="15" customHeight="1">
      <c r="A571" t="inlineStr">
        <is>
          <t>A 57170-2024</t>
        </is>
      </c>
      <c r="B571" s="1" t="n">
        <v>45629.42759259259</v>
      </c>
      <c r="C571" s="1" t="n">
        <v>45888</v>
      </c>
      <c r="D571" t="inlineStr">
        <is>
          <t>JÄMTLANDS LÄN</t>
        </is>
      </c>
      <c r="E571" t="inlineStr">
        <is>
          <t>RAGUNDA</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20728-2025</t>
        </is>
      </c>
      <c r="B572" s="1" t="n">
        <v>45776.51130787037</v>
      </c>
      <c r="C572" s="1" t="n">
        <v>45888</v>
      </c>
      <c r="D572" t="inlineStr">
        <is>
          <t>JÄMTLANDS LÄN</t>
        </is>
      </c>
      <c r="E572" t="inlineStr">
        <is>
          <t>RAGUNDA</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19403-2025</t>
        </is>
      </c>
      <c r="B573" s="1" t="n">
        <v>45769.67790509259</v>
      </c>
      <c r="C573" s="1" t="n">
        <v>45888</v>
      </c>
      <c r="D573" t="inlineStr">
        <is>
          <t>JÄMTLANDS LÄN</t>
        </is>
      </c>
      <c r="E573" t="inlineStr">
        <is>
          <t>RAGUNDA</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65341-2020</t>
        </is>
      </c>
      <c r="B574" s="1" t="n">
        <v>44173</v>
      </c>
      <c r="C574" s="1" t="n">
        <v>45888</v>
      </c>
      <c r="D574" t="inlineStr">
        <is>
          <t>JÄMTLANDS LÄN</t>
        </is>
      </c>
      <c r="E574" t="inlineStr">
        <is>
          <t>RAGUNDA</t>
        </is>
      </c>
      <c r="G574" t="n">
        <v>2.6</v>
      </c>
      <c r="H574" t="n">
        <v>0</v>
      </c>
      <c r="I574" t="n">
        <v>0</v>
      </c>
      <c r="J574" t="n">
        <v>0</v>
      </c>
      <c r="K574" t="n">
        <v>0</v>
      </c>
      <c r="L574" t="n">
        <v>0</v>
      </c>
      <c r="M574" t="n">
        <v>0</v>
      </c>
      <c r="N574" t="n">
        <v>0</v>
      </c>
      <c r="O574" t="n">
        <v>0</v>
      </c>
      <c r="P574" t="n">
        <v>0</v>
      </c>
      <c r="Q574" t="n">
        <v>0</v>
      </c>
      <c r="R574" s="2" t="inlineStr"/>
    </row>
    <row r="575" ht="15" customHeight="1">
      <c r="A575" t="inlineStr">
        <is>
          <t>A 20653-2025</t>
        </is>
      </c>
      <c r="B575" s="1" t="n">
        <v>45776.40311342593</v>
      </c>
      <c r="C575" s="1" t="n">
        <v>45888</v>
      </c>
      <c r="D575" t="inlineStr">
        <is>
          <t>JÄMTLANDS LÄN</t>
        </is>
      </c>
      <c r="E575" t="inlineStr">
        <is>
          <t>RAGUNDA</t>
        </is>
      </c>
      <c r="G575" t="n">
        <v>10.8</v>
      </c>
      <c r="H575" t="n">
        <v>0</v>
      </c>
      <c r="I575" t="n">
        <v>0</v>
      </c>
      <c r="J575" t="n">
        <v>0</v>
      </c>
      <c r="K575" t="n">
        <v>0</v>
      </c>
      <c r="L575" t="n">
        <v>0</v>
      </c>
      <c r="M575" t="n">
        <v>0</v>
      </c>
      <c r="N575" t="n">
        <v>0</v>
      </c>
      <c r="O575" t="n">
        <v>0</v>
      </c>
      <c r="P575" t="n">
        <v>0</v>
      </c>
      <c r="Q575" t="n">
        <v>0</v>
      </c>
      <c r="R575" s="2" t="inlineStr"/>
    </row>
    <row r="576" ht="15" customHeight="1">
      <c r="A576" t="inlineStr">
        <is>
          <t>A 11147-2025</t>
        </is>
      </c>
      <c r="B576" s="1" t="n">
        <v>45723.67777777778</v>
      </c>
      <c r="C576" s="1" t="n">
        <v>45888</v>
      </c>
      <c r="D576" t="inlineStr">
        <is>
          <t>JÄMTLANDS LÄN</t>
        </is>
      </c>
      <c r="E576" t="inlineStr">
        <is>
          <t>RAGUNDA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20722-2025</t>
        </is>
      </c>
      <c r="B577" s="1" t="n">
        <v>45776.50651620371</v>
      </c>
      <c r="C577" s="1" t="n">
        <v>45888</v>
      </c>
      <c r="D577" t="inlineStr">
        <is>
          <t>JÄMTLANDS LÄN</t>
        </is>
      </c>
      <c r="E577" t="inlineStr">
        <is>
          <t>RAGUNDA</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8795-2022</t>
        </is>
      </c>
      <c r="B578" s="1" t="n">
        <v>44614</v>
      </c>
      <c r="C578" s="1" t="n">
        <v>45888</v>
      </c>
      <c r="D578" t="inlineStr">
        <is>
          <t>JÄMTLANDS LÄN</t>
        </is>
      </c>
      <c r="E578" t="inlineStr">
        <is>
          <t>RAGUNDA</t>
        </is>
      </c>
      <c r="G578" t="n">
        <v>3.9</v>
      </c>
      <c r="H578" t="n">
        <v>0</v>
      </c>
      <c r="I578" t="n">
        <v>0</v>
      </c>
      <c r="J578" t="n">
        <v>0</v>
      </c>
      <c r="K578" t="n">
        <v>0</v>
      </c>
      <c r="L578" t="n">
        <v>0</v>
      </c>
      <c r="M578" t="n">
        <v>0</v>
      </c>
      <c r="N578" t="n">
        <v>0</v>
      </c>
      <c r="O578" t="n">
        <v>0</v>
      </c>
      <c r="P578" t="n">
        <v>0</v>
      </c>
      <c r="Q578" t="n">
        <v>0</v>
      </c>
      <c r="R578" s="2" t="inlineStr"/>
    </row>
    <row r="579" ht="15" customHeight="1">
      <c r="A579" t="inlineStr">
        <is>
          <t>A 20777-2025</t>
        </is>
      </c>
      <c r="B579" s="1" t="n">
        <v>45776.59422453704</v>
      </c>
      <c r="C579" s="1" t="n">
        <v>45888</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21150-2025</t>
        </is>
      </c>
      <c r="B580" s="1" t="n">
        <v>45779.34417824074</v>
      </c>
      <c r="C580" s="1" t="n">
        <v>45888</v>
      </c>
      <c r="D580" t="inlineStr">
        <is>
          <t>JÄMTLANDS LÄN</t>
        </is>
      </c>
      <c r="E580" t="inlineStr">
        <is>
          <t>RAGUNDA</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21177-2025</t>
        </is>
      </c>
      <c r="B581" s="1" t="n">
        <v>45779.4281712963</v>
      </c>
      <c r="C581" s="1" t="n">
        <v>45888</v>
      </c>
      <c r="D581" t="inlineStr">
        <is>
          <t>JÄMTLANDS LÄN</t>
        </is>
      </c>
      <c r="E581" t="inlineStr">
        <is>
          <t>RAGUNDA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21214-2025</t>
        </is>
      </c>
      <c r="B582" s="1" t="n">
        <v>45779.49025462963</v>
      </c>
      <c r="C582" s="1" t="n">
        <v>45888</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35265-2023</t>
        </is>
      </c>
      <c r="B583" s="1" t="n">
        <v>45145.95326388889</v>
      </c>
      <c r="C583" s="1" t="n">
        <v>45888</v>
      </c>
      <c r="D583" t="inlineStr">
        <is>
          <t>JÄMTLANDS LÄN</t>
        </is>
      </c>
      <c r="E583" t="inlineStr">
        <is>
          <t>RAGUNDA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22941-2024</t>
        </is>
      </c>
      <c r="B584" s="1" t="n">
        <v>45448.94520833333</v>
      </c>
      <c r="C584" s="1" t="n">
        <v>45888</v>
      </c>
      <c r="D584" t="inlineStr">
        <is>
          <t>JÄMTLANDS LÄN</t>
        </is>
      </c>
      <c r="E584" t="inlineStr">
        <is>
          <t>RAGUNDA</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5148-2023</t>
        </is>
      </c>
      <c r="B585" s="1" t="n">
        <v>44958</v>
      </c>
      <c r="C585" s="1" t="n">
        <v>45888</v>
      </c>
      <c r="D585" t="inlineStr">
        <is>
          <t>JÄMTLANDS LÄN</t>
        </is>
      </c>
      <c r="E585" t="inlineStr">
        <is>
          <t>RAGUNDA</t>
        </is>
      </c>
      <c r="G585" t="n">
        <v>2.9</v>
      </c>
      <c r="H585" t="n">
        <v>0</v>
      </c>
      <c r="I585" t="n">
        <v>0</v>
      </c>
      <c r="J585" t="n">
        <v>0</v>
      </c>
      <c r="K585" t="n">
        <v>0</v>
      </c>
      <c r="L585" t="n">
        <v>0</v>
      </c>
      <c r="M585" t="n">
        <v>0</v>
      </c>
      <c r="N585" t="n">
        <v>0</v>
      </c>
      <c r="O585" t="n">
        <v>0</v>
      </c>
      <c r="P585" t="n">
        <v>0</v>
      </c>
      <c r="Q585" t="n">
        <v>0</v>
      </c>
      <c r="R585" s="2" t="inlineStr"/>
    </row>
    <row r="586" ht="15" customHeight="1">
      <c r="A586" t="inlineStr">
        <is>
          <t>A 66471-2021</t>
        </is>
      </c>
      <c r="B586" s="1" t="n">
        <v>44518</v>
      </c>
      <c r="C586" s="1" t="n">
        <v>45888</v>
      </c>
      <c r="D586" t="inlineStr">
        <is>
          <t>JÄMTLANDS LÄN</t>
        </is>
      </c>
      <c r="E586" t="inlineStr">
        <is>
          <t>RAGUNDA</t>
        </is>
      </c>
      <c r="G586" t="n">
        <v>13.4</v>
      </c>
      <c r="H586" t="n">
        <v>0</v>
      </c>
      <c r="I586" t="n">
        <v>0</v>
      </c>
      <c r="J586" t="n">
        <v>0</v>
      </c>
      <c r="K586" t="n">
        <v>0</v>
      </c>
      <c r="L586" t="n">
        <v>0</v>
      </c>
      <c r="M586" t="n">
        <v>0</v>
      </c>
      <c r="N586" t="n">
        <v>0</v>
      </c>
      <c r="O586" t="n">
        <v>0</v>
      </c>
      <c r="P586" t="n">
        <v>0</v>
      </c>
      <c r="Q586" t="n">
        <v>0</v>
      </c>
      <c r="R586" s="2" t="inlineStr"/>
    </row>
    <row r="587" ht="15" customHeight="1">
      <c r="A587" t="inlineStr">
        <is>
          <t>A 21430-2025</t>
        </is>
      </c>
      <c r="B587" s="1" t="n">
        <v>45782.51099537037</v>
      </c>
      <c r="C587" s="1" t="n">
        <v>45888</v>
      </c>
      <c r="D587" t="inlineStr">
        <is>
          <t>JÄMTLANDS LÄN</t>
        </is>
      </c>
      <c r="E587" t="inlineStr">
        <is>
          <t>RAGUNDA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18778-2024</t>
        </is>
      </c>
      <c r="B588" s="1" t="n">
        <v>45426</v>
      </c>
      <c r="C588" s="1" t="n">
        <v>45888</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59556-2024</t>
        </is>
      </c>
      <c r="B589" s="1" t="n">
        <v>45638.63600694444</v>
      </c>
      <c r="C589" s="1" t="n">
        <v>45888</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44881-2023</t>
        </is>
      </c>
      <c r="B590" s="1" t="n">
        <v>45187</v>
      </c>
      <c r="C590" s="1" t="n">
        <v>45888</v>
      </c>
      <c r="D590" t="inlineStr">
        <is>
          <t>JÄMTLANDS LÄN</t>
        </is>
      </c>
      <c r="E590" t="inlineStr">
        <is>
          <t>RAGUNDA</t>
        </is>
      </c>
      <c r="G590" t="n">
        <v>2.4</v>
      </c>
      <c r="H590" t="n">
        <v>0</v>
      </c>
      <c r="I590" t="n">
        <v>0</v>
      </c>
      <c r="J590" t="n">
        <v>0</v>
      </c>
      <c r="K590" t="n">
        <v>0</v>
      </c>
      <c r="L590" t="n">
        <v>0</v>
      </c>
      <c r="M590" t="n">
        <v>0</v>
      </c>
      <c r="N590" t="n">
        <v>0</v>
      </c>
      <c r="O590" t="n">
        <v>0</v>
      </c>
      <c r="P590" t="n">
        <v>0</v>
      </c>
      <c r="Q590" t="n">
        <v>0</v>
      </c>
      <c r="R590" s="2" t="inlineStr"/>
    </row>
    <row r="591" ht="15" customHeight="1">
      <c r="A591" t="inlineStr">
        <is>
          <t>A 21451-2025</t>
        </is>
      </c>
      <c r="B591" s="1" t="n">
        <v>45782.55287037037</v>
      </c>
      <c r="C591" s="1" t="n">
        <v>45888</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21332-2025</t>
        </is>
      </c>
      <c r="B592" s="1" t="n">
        <v>45782.36506944444</v>
      </c>
      <c r="C592" s="1" t="n">
        <v>45888</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21405-2025</t>
        </is>
      </c>
      <c r="B593" s="1" t="n">
        <v>45782.49032407408</v>
      </c>
      <c r="C593" s="1" t="n">
        <v>45888</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21406-2025</t>
        </is>
      </c>
      <c r="B594" s="1" t="n">
        <v>45782.49046296296</v>
      </c>
      <c r="C594" s="1" t="n">
        <v>45888</v>
      </c>
      <c r="D594" t="inlineStr">
        <is>
          <t>JÄMTLANDS LÄN</t>
        </is>
      </c>
      <c r="E594" t="inlineStr">
        <is>
          <t>RAGUNDA</t>
        </is>
      </c>
      <c r="F594" t="inlineStr">
        <is>
          <t>SCA</t>
        </is>
      </c>
      <c r="G594" t="n">
        <v>8.6</v>
      </c>
      <c r="H594" t="n">
        <v>0</v>
      </c>
      <c r="I594" t="n">
        <v>0</v>
      </c>
      <c r="J594" t="n">
        <v>0</v>
      </c>
      <c r="K594" t="n">
        <v>0</v>
      </c>
      <c r="L594" t="n">
        <v>0</v>
      </c>
      <c r="M594" t="n">
        <v>0</v>
      </c>
      <c r="N594" t="n">
        <v>0</v>
      </c>
      <c r="O594" t="n">
        <v>0</v>
      </c>
      <c r="P594" t="n">
        <v>0</v>
      </c>
      <c r="Q594" t="n">
        <v>0</v>
      </c>
      <c r="R594" s="2" t="inlineStr"/>
    </row>
    <row r="595" ht="15" customHeight="1">
      <c r="A595" t="inlineStr">
        <is>
          <t>A 21432-2025</t>
        </is>
      </c>
      <c r="B595" s="1" t="n">
        <v>45782.51109953703</v>
      </c>
      <c r="C595" s="1" t="n">
        <v>45888</v>
      </c>
      <c r="D595" t="inlineStr">
        <is>
          <t>JÄMTLANDS LÄN</t>
        </is>
      </c>
      <c r="E595" t="inlineStr">
        <is>
          <t>RAGUNDA</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21331-2025</t>
        </is>
      </c>
      <c r="B596" s="1" t="n">
        <v>45782.36494212963</v>
      </c>
      <c r="C596" s="1" t="n">
        <v>45888</v>
      </c>
      <c r="D596" t="inlineStr">
        <is>
          <t>JÄMTLANDS LÄN</t>
        </is>
      </c>
      <c r="E596" t="inlineStr">
        <is>
          <t>RAGUNDA</t>
        </is>
      </c>
      <c r="F596" t="inlineStr">
        <is>
          <t>SCA</t>
        </is>
      </c>
      <c r="G596" t="n">
        <v>23.1</v>
      </c>
      <c r="H596" t="n">
        <v>0</v>
      </c>
      <c r="I596" t="n">
        <v>0</v>
      </c>
      <c r="J596" t="n">
        <v>0</v>
      </c>
      <c r="K596" t="n">
        <v>0</v>
      </c>
      <c r="L596" t="n">
        <v>0</v>
      </c>
      <c r="M596" t="n">
        <v>0</v>
      </c>
      <c r="N596" t="n">
        <v>0</v>
      </c>
      <c r="O596" t="n">
        <v>0</v>
      </c>
      <c r="P596" t="n">
        <v>0</v>
      </c>
      <c r="Q596" t="n">
        <v>0</v>
      </c>
      <c r="R596" s="2" t="inlineStr"/>
    </row>
    <row r="597" ht="15" customHeight="1">
      <c r="A597" t="inlineStr">
        <is>
          <t>A 21550-2025</t>
        </is>
      </c>
      <c r="B597" s="1" t="n">
        <v>45782.67758101852</v>
      </c>
      <c r="C597" s="1" t="n">
        <v>45888</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16529-2022</t>
        </is>
      </c>
      <c r="B598" s="1" t="n">
        <v>44671</v>
      </c>
      <c r="C598" s="1" t="n">
        <v>45888</v>
      </c>
      <c r="D598" t="inlineStr">
        <is>
          <t>JÄMTLANDS LÄN</t>
        </is>
      </c>
      <c r="E598" t="inlineStr">
        <is>
          <t>RAGUNDA</t>
        </is>
      </c>
      <c r="G598" t="n">
        <v>1.5</v>
      </c>
      <c r="H598" t="n">
        <v>0</v>
      </c>
      <c r="I598" t="n">
        <v>0</v>
      </c>
      <c r="J598" t="n">
        <v>0</v>
      </c>
      <c r="K598" t="n">
        <v>0</v>
      </c>
      <c r="L598" t="n">
        <v>0</v>
      </c>
      <c r="M598" t="n">
        <v>0</v>
      </c>
      <c r="N598" t="n">
        <v>0</v>
      </c>
      <c r="O598" t="n">
        <v>0</v>
      </c>
      <c r="P598" t="n">
        <v>0</v>
      </c>
      <c r="Q598" t="n">
        <v>0</v>
      </c>
      <c r="R598" s="2" t="inlineStr"/>
    </row>
    <row r="599" ht="15" customHeight="1">
      <c r="A599" t="inlineStr">
        <is>
          <t>A 9847-2025</t>
        </is>
      </c>
      <c r="B599" s="1" t="n">
        <v>45716.61487268518</v>
      </c>
      <c r="C599" s="1" t="n">
        <v>45888</v>
      </c>
      <c r="D599" t="inlineStr">
        <is>
          <t>JÄMTLANDS LÄN</t>
        </is>
      </c>
      <c r="E599" t="inlineStr">
        <is>
          <t>RAGUNDA</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28173-2024</t>
        </is>
      </c>
      <c r="B600" s="1" t="n">
        <v>45476.94533564815</v>
      </c>
      <c r="C600" s="1" t="n">
        <v>45888</v>
      </c>
      <c r="D600" t="inlineStr">
        <is>
          <t>JÄMTLANDS LÄN</t>
        </is>
      </c>
      <c r="E600" t="inlineStr">
        <is>
          <t>RAGUNDA</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23734-2024</t>
        </is>
      </c>
      <c r="B601" s="1" t="n">
        <v>45454.95960648148</v>
      </c>
      <c r="C601" s="1" t="n">
        <v>45888</v>
      </c>
      <c r="D601" t="inlineStr">
        <is>
          <t>JÄMTLANDS LÄN</t>
        </is>
      </c>
      <c r="E601" t="inlineStr">
        <is>
          <t>RAGUNDA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38425-2022</t>
        </is>
      </c>
      <c r="B602" s="1" t="n">
        <v>44812.94709490741</v>
      </c>
      <c r="C602" s="1" t="n">
        <v>45888</v>
      </c>
      <c r="D602" t="inlineStr">
        <is>
          <t>JÄMTLANDS LÄN</t>
        </is>
      </c>
      <c r="E602" t="inlineStr">
        <is>
          <t>RAGUNDA</t>
        </is>
      </c>
      <c r="F602" t="inlineStr">
        <is>
          <t>SCA</t>
        </is>
      </c>
      <c r="G602" t="n">
        <v>6.1</v>
      </c>
      <c r="H602" t="n">
        <v>0</v>
      </c>
      <c r="I602" t="n">
        <v>0</v>
      </c>
      <c r="J602" t="n">
        <v>0</v>
      </c>
      <c r="K602" t="n">
        <v>0</v>
      </c>
      <c r="L602" t="n">
        <v>0</v>
      </c>
      <c r="M602" t="n">
        <v>0</v>
      </c>
      <c r="N602" t="n">
        <v>0</v>
      </c>
      <c r="O602" t="n">
        <v>0</v>
      </c>
      <c r="P602" t="n">
        <v>0</v>
      </c>
      <c r="Q602" t="n">
        <v>0</v>
      </c>
      <c r="R602" s="2" t="inlineStr"/>
    </row>
    <row r="603" ht="15" customHeight="1">
      <c r="A603" t="inlineStr">
        <is>
          <t>A 61934-2022</t>
        </is>
      </c>
      <c r="B603" s="1" t="n">
        <v>44917</v>
      </c>
      <c r="C603" s="1" t="n">
        <v>45888</v>
      </c>
      <c r="D603" t="inlineStr">
        <is>
          <t>JÄMTLANDS LÄN</t>
        </is>
      </c>
      <c r="E603" t="inlineStr">
        <is>
          <t>RAGUNDA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8678-2023</t>
        </is>
      </c>
      <c r="B604" s="1" t="n">
        <v>44977.98660879629</v>
      </c>
      <c r="C604" s="1" t="n">
        <v>45888</v>
      </c>
      <c r="D604" t="inlineStr">
        <is>
          <t>JÄMTLANDS LÄN</t>
        </is>
      </c>
      <c r="E604" t="inlineStr">
        <is>
          <t>RAGUNDA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12995-2023</t>
        </is>
      </c>
      <c r="B605" s="1" t="n">
        <v>45002.0328125</v>
      </c>
      <c r="C605" s="1" t="n">
        <v>45888</v>
      </c>
      <c r="D605" t="inlineStr">
        <is>
          <t>JÄMTLANDS LÄN</t>
        </is>
      </c>
      <c r="E605" t="inlineStr">
        <is>
          <t>RAGUNDA</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44755-2024</t>
        </is>
      </c>
      <c r="B606" s="1" t="n">
        <v>45574.61184027778</v>
      </c>
      <c r="C606" s="1" t="n">
        <v>45888</v>
      </c>
      <c r="D606" t="inlineStr">
        <is>
          <t>JÄMTLANDS LÄN</t>
        </is>
      </c>
      <c r="E606" t="inlineStr">
        <is>
          <t>RAGUNDA</t>
        </is>
      </c>
      <c r="G606" t="n">
        <v>4.4</v>
      </c>
      <c r="H606" t="n">
        <v>0</v>
      </c>
      <c r="I606" t="n">
        <v>0</v>
      </c>
      <c r="J606" t="n">
        <v>0</v>
      </c>
      <c r="K606" t="n">
        <v>0</v>
      </c>
      <c r="L606" t="n">
        <v>0</v>
      </c>
      <c r="M606" t="n">
        <v>0</v>
      </c>
      <c r="N606" t="n">
        <v>0</v>
      </c>
      <c r="O606" t="n">
        <v>0</v>
      </c>
      <c r="P606" t="n">
        <v>0</v>
      </c>
      <c r="Q606" t="n">
        <v>0</v>
      </c>
      <c r="R606" s="2" t="inlineStr"/>
    </row>
    <row r="607" ht="15" customHeight="1">
      <c r="A607" t="inlineStr">
        <is>
          <t>A 44766-2024</t>
        </is>
      </c>
      <c r="B607" s="1" t="n">
        <v>45574.62297453704</v>
      </c>
      <c r="C607" s="1" t="n">
        <v>45888</v>
      </c>
      <c r="D607" t="inlineStr">
        <is>
          <t>JÄMTLANDS LÄN</t>
        </is>
      </c>
      <c r="E607" t="inlineStr">
        <is>
          <t>RAGUNDA</t>
        </is>
      </c>
      <c r="G607" t="n">
        <v>3.2</v>
      </c>
      <c r="H607" t="n">
        <v>0</v>
      </c>
      <c r="I607" t="n">
        <v>0</v>
      </c>
      <c r="J607" t="n">
        <v>0</v>
      </c>
      <c r="K607" t="n">
        <v>0</v>
      </c>
      <c r="L607" t="n">
        <v>0</v>
      </c>
      <c r="M607" t="n">
        <v>0</v>
      </c>
      <c r="N607" t="n">
        <v>0</v>
      </c>
      <c r="O607" t="n">
        <v>0</v>
      </c>
      <c r="P607" t="n">
        <v>0</v>
      </c>
      <c r="Q607" t="n">
        <v>0</v>
      </c>
      <c r="R607" s="2" t="inlineStr"/>
    </row>
    <row r="608" ht="15" customHeight="1">
      <c r="A608" t="inlineStr">
        <is>
          <t>A 16676-2022</t>
        </is>
      </c>
      <c r="B608" s="1" t="n">
        <v>44672.94018518519</v>
      </c>
      <c r="C608" s="1" t="n">
        <v>45888</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28742-2023</t>
        </is>
      </c>
      <c r="B609" s="1" t="n">
        <v>45103</v>
      </c>
      <c r="C609" s="1" t="n">
        <v>45888</v>
      </c>
      <c r="D609" t="inlineStr">
        <is>
          <t>JÄMTLANDS LÄN</t>
        </is>
      </c>
      <c r="E609" t="inlineStr">
        <is>
          <t>RAGUNDA</t>
        </is>
      </c>
      <c r="G609" t="n">
        <v>1.8</v>
      </c>
      <c r="H609" t="n">
        <v>0</v>
      </c>
      <c r="I609" t="n">
        <v>0</v>
      </c>
      <c r="J609" t="n">
        <v>0</v>
      </c>
      <c r="K609" t="n">
        <v>0</v>
      </c>
      <c r="L609" t="n">
        <v>0</v>
      </c>
      <c r="M609" t="n">
        <v>0</v>
      </c>
      <c r="N609" t="n">
        <v>0</v>
      </c>
      <c r="O609" t="n">
        <v>0</v>
      </c>
      <c r="P609" t="n">
        <v>0</v>
      </c>
      <c r="Q609" t="n">
        <v>0</v>
      </c>
      <c r="R609" s="2" t="inlineStr"/>
    </row>
    <row r="610" ht="15" customHeight="1">
      <c r="A610" t="inlineStr">
        <is>
          <t>A 17323-2025</t>
        </is>
      </c>
      <c r="B610" s="1" t="n">
        <v>45756.63601851852</v>
      </c>
      <c r="C610" s="1" t="n">
        <v>45888</v>
      </c>
      <c r="D610" t="inlineStr">
        <is>
          <t>JÄMTLANDS LÄN</t>
        </is>
      </c>
      <c r="E610" t="inlineStr">
        <is>
          <t>RAGUNDA</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55536-2024</t>
        </is>
      </c>
      <c r="B611" s="1" t="n">
        <v>45622</v>
      </c>
      <c r="C611" s="1" t="n">
        <v>45888</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16364-2023</t>
        </is>
      </c>
      <c r="B612" s="1" t="n">
        <v>45028</v>
      </c>
      <c r="C612" s="1" t="n">
        <v>45888</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59136-2023</t>
        </is>
      </c>
      <c r="B613" s="1" t="n">
        <v>45251</v>
      </c>
      <c r="C613" s="1" t="n">
        <v>45888</v>
      </c>
      <c r="D613" t="inlineStr">
        <is>
          <t>JÄMTLANDS LÄN</t>
        </is>
      </c>
      <c r="E613" t="inlineStr">
        <is>
          <t>RAGUNDA</t>
        </is>
      </c>
      <c r="G613" t="n">
        <v>1.7</v>
      </c>
      <c r="H613" t="n">
        <v>0</v>
      </c>
      <c r="I613" t="n">
        <v>0</v>
      </c>
      <c r="J613" t="n">
        <v>0</v>
      </c>
      <c r="K613" t="n">
        <v>0</v>
      </c>
      <c r="L613" t="n">
        <v>0</v>
      </c>
      <c r="M613" t="n">
        <v>0</v>
      </c>
      <c r="N613" t="n">
        <v>0</v>
      </c>
      <c r="O613" t="n">
        <v>0</v>
      </c>
      <c r="P613" t="n">
        <v>0</v>
      </c>
      <c r="Q613" t="n">
        <v>0</v>
      </c>
      <c r="R613" s="2" t="inlineStr"/>
    </row>
    <row r="614" ht="15" customHeight="1">
      <c r="A614" t="inlineStr">
        <is>
          <t>A 44597-2024</t>
        </is>
      </c>
      <c r="B614" s="1" t="n">
        <v>45574.51087962963</v>
      </c>
      <c r="C614" s="1" t="n">
        <v>45888</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44598-2024</t>
        </is>
      </c>
      <c r="B615" s="1" t="n">
        <v>45574.51090277778</v>
      </c>
      <c r="C615" s="1" t="n">
        <v>45888</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49659-2023</t>
        </is>
      </c>
      <c r="B616" s="1" t="n">
        <v>45211.95134259259</v>
      </c>
      <c r="C616" s="1" t="n">
        <v>45888</v>
      </c>
      <c r="D616" t="inlineStr">
        <is>
          <t>JÄMTLANDS LÄN</t>
        </is>
      </c>
      <c r="E616" t="inlineStr">
        <is>
          <t>RAGUNDA</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50521-2024</t>
        </is>
      </c>
      <c r="B617" s="1" t="n">
        <v>45601.55331018518</v>
      </c>
      <c r="C617" s="1" t="n">
        <v>45888</v>
      </c>
      <c r="D617" t="inlineStr">
        <is>
          <t>JÄMTLANDS LÄN</t>
        </is>
      </c>
      <c r="E617" t="inlineStr">
        <is>
          <t>RAGUNDA</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4916-2025</t>
        </is>
      </c>
      <c r="B618" s="1" t="n">
        <v>45688.68196759259</v>
      </c>
      <c r="C618" s="1" t="n">
        <v>45888</v>
      </c>
      <c r="D618" t="inlineStr">
        <is>
          <t>JÄMTLANDS LÄN</t>
        </is>
      </c>
      <c r="E618" t="inlineStr">
        <is>
          <t>RAGUNDA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18610-2024</t>
        </is>
      </c>
      <c r="B619" s="1" t="n">
        <v>45425.96230324074</v>
      </c>
      <c r="C619" s="1" t="n">
        <v>45888</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59557-2023</t>
        </is>
      </c>
      <c r="B620" s="1" t="n">
        <v>45253</v>
      </c>
      <c r="C620" s="1" t="n">
        <v>45888</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57116-2024</t>
        </is>
      </c>
      <c r="B621" s="1" t="n">
        <v>45629.36513888889</v>
      </c>
      <c r="C621" s="1" t="n">
        <v>45888</v>
      </c>
      <c r="D621" t="inlineStr">
        <is>
          <t>JÄMTLANDS LÄN</t>
        </is>
      </c>
      <c r="E621" t="inlineStr">
        <is>
          <t>RAGUNDA</t>
        </is>
      </c>
      <c r="G621" t="n">
        <v>0.6</v>
      </c>
      <c r="H621" t="n">
        <v>0</v>
      </c>
      <c r="I621" t="n">
        <v>0</v>
      </c>
      <c r="J621" t="n">
        <v>0</v>
      </c>
      <c r="K621" t="n">
        <v>0</v>
      </c>
      <c r="L621" t="n">
        <v>0</v>
      </c>
      <c r="M621" t="n">
        <v>0</v>
      </c>
      <c r="N621" t="n">
        <v>0</v>
      </c>
      <c r="O621" t="n">
        <v>0</v>
      </c>
      <c r="P621" t="n">
        <v>0</v>
      </c>
      <c r="Q621" t="n">
        <v>0</v>
      </c>
      <c r="R621" s="2" t="inlineStr"/>
    </row>
    <row r="622" ht="15" customHeight="1">
      <c r="A622" t="inlineStr">
        <is>
          <t>A 3104-2025</t>
        </is>
      </c>
      <c r="B622" s="1" t="n">
        <v>45678.67761574074</v>
      </c>
      <c r="C622" s="1" t="n">
        <v>45888</v>
      </c>
      <c r="D622" t="inlineStr">
        <is>
          <t>JÄMTLANDS LÄN</t>
        </is>
      </c>
      <c r="E622" t="inlineStr">
        <is>
          <t>RAGUNDA</t>
        </is>
      </c>
      <c r="F622" t="inlineStr">
        <is>
          <t>SCA</t>
        </is>
      </c>
      <c r="G622" t="n">
        <v>46.2</v>
      </c>
      <c r="H622" t="n">
        <v>0</v>
      </c>
      <c r="I622" t="n">
        <v>0</v>
      </c>
      <c r="J622" t="n">
        <v>0</v>
      </c>
      <c r="K622" t="n">
        <v>0</v>
      </c>
      <c r="L622" t="n">
        <v>0</v>
      </c>
      <c r="M622" t="n">
        <v>0</v>
      </c>
      <c r="N622" t="n">
        <v>0</v>
      </c>
      <c r="O622" t="n">
        <v>0</v>
      </c>
      <c r="P622" t="n">
        <v>0</v>
      </c>
      <c r="Q622" t="n">
        <v>0</v>
      </c>
      <c r="R622" s="2" t="inlineStr"/>
    </row>
    <row r="623" ht="15" customHeight="1">
      <c r="A623" t="inlineStr">
        <is>
          <t>A 57112-2024</t>
        </is>
      </c>
      <c r="B623" s="1" t="n">
        <v>45629.36486111111</v>
      </c>
      <c r="C623" s="1" t="n">
        <v>45888</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53136-2024</t>
        </is>
      </c>
      <c r="B624" s="1" t="n">
        <v>45611.5953125</v>
      </c>
      <c r="C624" s="1" t="n">
        <v>45888</v>
      </c>
      <c r="D624" t="inlineStr">
        <is>
          <t>JÄMTLANDS LÄN</t>
        </is>
      </c>
      <c r="E624" t="inlineStr">
        <is>
          <t>RAGUNDA</t>
        </is>
      </c>
      <c r="G624" t="n">
        <v>3.8</v>
      </c>
      <c r="H624" t="n">
        <v>0</v>
      </c>
      <c r="I624" t="n">
        <v>0</v>
      </c>
      <c r="J624" t="n">
        <v>0</v>
      </c>
      <c r="K624" t="n">
        <v>0</v>
      </c>
      <c r="L624" t="n">
        <v>0</v>
      </c>
      <c r="M624" t="n">
        <v>0</v>
      </c>
      <c r="N624" t="n">
        <v>0</v>
      </c>
      <c r="O624" t="n">
        <v>0</v>
      </c>
      <c r="P624" t="n">
        <v>0</v>
      </c>
      <c r="Q624" t="n">
        <v>0</v>
      </c>
      <c r="R624" s="2" t="inlineStr"/>
    </row>
    <row r="625" ht="15" customHeight="1">
      <c r="A625" t="inlineStr">
        <is>
          <t>A 33621-2023</t>
        </is>
      </c>
      <c r="B625" s="1" t="n">
        <v>45119</v>
      </c>
      <c r="C625" s="1" t="n">
        <v>45888</v>
      </c>
      <c r="D625" t="inlineStr">
        <is>
          <t>JÄMTLANDS LÄN</t>
        </is>
      </c>
      <c r="E625" t="inlineStr">
        <is>
          <t>RAGUNDA</t>
        </is>
      </c>
      <c r="G625" t="n">
        <v>0.5</v>
      </c>
      <c r="H625" t="n">
        <v>0</v>
      </c>
      <c r="I625" t="n">
        <v>0</v>
      </c>
      <c r="J625" t="n">
        <v>0</v>
      </c>
      <c r="K625" t="n">
        <v>0</v>
      </c>
      <c r="L625" t="n">
        <v>0</v>
      </c>
      <c r="M625" t="n">
        <v>0</v>
      </c>
      <c r="N625" t="n">
        <v>0</v>
      </c>
      <c r="O625" t="n">
        <v>0</v>
      </c>
      <c r="P625" t="n">
        <v>0</v>
      </c>
      <c r="Q625" t="n">
        <v>0</v>
      </c>
      <c r="R625" s="2" t="inlineStr"/>
    </row>
    <row r="626" ht="15" customHeight="1">
      <c r="A626" t="inlineStr">
        <is>
          <t>A 6694-2024</t>
        </is>
      </c>
      <c r="B626" s="1" t="n">
        <v>45341.95381944445</v>
      </c>
      <c r="C626" s="1" t="n">
        <v>45888</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1537-2024</t>
        </is>
      </c>
      <c r="B627" s="1" t="n">
        <v>45306</v>
      </c>
      <c r="C627" s="1" t="n">
        <v>45888</v>
      </c>
      <c r="D627" t="inlineStr">
        <is>
          <t>JÄMTLANDS LÄN</t>
        </is>
      </c>
      <c r="E627" t="inlineStr">
        <is>
          <t>RAGUNDA</t>
        </is>
      </c>
      <c r="G627" t="n">
        <v>0.2</v>
      </c>
      <c r="H627" t="n">
        <v>0</v>
      </c>
      <c r="I627" t="n">
        <v>0</v>
      </c>
      <c r="J627" t="n">
        <v>0</v>
      </c>
      <c r="K627" t="n">
        <v>0</v>
      </c>
      <c r="L627" t="n">
        <v>0</v>
      </c>
      <c r="M627" t="n">
        <v>0</v>
      </c>
      <c r="N627" t="n">
        <v>0</v>
      </c>
      <c r="O627" t="n">
        <v>0</v>
      </c>
      <c r="P627" t="n">
        <v>0</v>
      </c>
      <c r="Q627" t="n">
        <v>0</v>
      </c>
      <c r="R627" s="2" t="inlineStr"/>
    </row>
    <row r="628" ht="15" customHeight="1">
      <c r="A628" t="inlineStr">
        <is>
          <t>A 60935-2024</t>
        </is>
      </c>
      <c r="B628" s="1" t="n">
        <v>45645.36740740741</v>
      </c>
      <c r="C628" s="1" t="n">
        <v>45888</v>
      </c>
      <c r="D628" t="inlineStr">
        <is>
          <t>JÄMTLANDS LÄN</t>
        </is>
      </c>
      <c r="E628" t="inlineStr">
        <is>
          <t>RAGUNDA</t>
        </is>
      </c>
      <c r="G628" t="n">
        <v>2.6</v>
      </c>
      <c r="H628" t="n">
        <v>0</v>
      </c>
      <c r="I628" t="n">
        <v>0</v>
      </c>
      <c r="J628" t="n">
        <v>0</v>
      </c>
      <c r="K628" t="n">
        <v>0</v>
      </c>
      <c r="L628" t="n">
        <v>0</v>
      </c>
      <c r="M628" t="n">
        <v>0</v>
      </c>
      <c r="N628" t="n">
        <v>0</v>
      </c>
      <c r="O628" t="n">
        <v>0</v>
      </c>
      <c r="P628" t="n">
        <v>0</v>
      </c>
      <c r="Q628" t="n">
        <v>0</v>
      </c>
      <c r="R628" s="2" t="inlineStr"/>
    </row>
    <row r="629" ht="15" customHeight="1">
      <c r="A629" t="inlineStr">
        <is>
          <t>A 40246-2024</t>
        </is>
      </c>
      <c r="B629" s="1" t="n">
        <v>45554.61583333334</v>
      </c>
      <c r="C629" s="1" t="n">
        <v>45888</v>
      </c>
      <c r="D629" t="inlineStr">
        <is>
          <t>JÄMTLANDS LÄN</t>
        </is>
      </c>
      <c r="E629" t="inlineStr">
        <is>
          <t>RAGUNDA</t>
        </is>
      </c>
      <c r="G629" t="n">
        <v>1</v>
      </c>
      <c r="H629" t="n">
        <v>0</v>
      </c>
      <c r="I629" t="n">
        <v>0</v>
      </c>
      <c r="J629" t="n">
        <v>0</v>
      </c>
      <c r="K629" t="n">
        <v>0</v>
      </c>
      <c r="L629" t="n">
        <v>0</v>
      </c>
      <c r="M629" t="n">
        <v>0</v>
      </c>
      <c r="N629" t="n">
        <v>0</v>
      </c>
      <c r="O629" t="n">
        <v>0</v>
      </c>
      <c r="P629" t="n">
        <v>0</v>
      </c>
      <c r="Q629" t="n">
        <v>0</v>
      </c>
      <c r="R629" s="2" t="inlineStr"/>
    </row>
    <row r="630" ht="15" customHeight="1">
      <c r="A630" t="inlineStr">
        <is>
          <t>A 6257-2025</t>
        </is>
      </c>
      <c r="B630" s="1" t="n">
        <v>45698.59409722222</v>
      </c>
      <c r="C630" s="1" t="n">
        <v>45888</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4878-2022</t>
        </is>
      </c>
      <c r="B631" s="1" t="n">
        <v>44593</v>
      </c>
      <c r="C631" s="1" t="n">
        <v>45888</v>
      </c>
      <c r="D631" t="inlineStr">
        <is>
          <t>JÄMTLANDS LÄN</t>
        </is>
      </c>
      <c r="E631" t="inlineStr">
        <is>
          <t>RAGUNDA</t>
        </is>
      </c>
      <c r="G631" t="n">
        <v>21.7</v>
      </c>
      <c r="H631" t="n">
        <v>0</v>
      </c>
      <c r="I631" t="n">
        <v>0</v>
      </c>
      <c r="J631" t="n">
        <v>0</v>
      </c>
      <c r="K631" t="n">
        <v>0</v>
      </c>
      <c r="L631" t="n">
        <v>0</v>
      </c>
      <c r="M631" t="n">
        <v>0</v>
      </c>
      <c r="N631" t="n">
        <v>0</v>
      </c>
      <c r="O631" t="n">
        <v>0</v>
      </c>
      <c r="P631" t="n">
        <v>0</v>
      </c>
      <c r="Q631" t="n">
        <v>0</v>
      </c>
      <c r="R631" s="2" t="inlineStr"/>
    </row>
    <row r="632" ht="15" customHeight="1">
      <c r="A632" t="inlineStr">
        <is>
          <t>A 57237-2022</t>
        </is>
      </c>
      <c r="B632" s="1" t="n">
        <v>44889</v>
      </c>
      <c r="C632" s="1" t="n">
        <v>45888</v>
      </c>
      <c r="D632" t="inlineStr">
        <is>
          <t>JÄMTLANDS LÄN</t>
        </is>
      </c>
      <c r="E632" t="inlineStr">
        <is>
          <t>RAGUNDA</t>
        </is>
      </c>
      <c r="G632" t="n">
        <v>2.2</v>
      </c>
      <c r="H632" t="n">
        <v>0</v>
      </c>
      <c r="I632" t="n">
        <v>0</v>
      </c>
      <c r="J632" t="n">
        <v>0</v>
      </c>
      <c r="K632" t="n">
        <v>0</v>
      </c>
      <c r="L632" t="n">
        <v>0</v>
      </c>
      <c r="M632" t="n">
        <v>0</v>
      </c>
      <c r="N632" t="n">
        <v>0</v>
      </c>
      <c r="O632" t="n">
        <v>0</v>
      </c>
      <c r="P632" t="n">
        <v>0</v>
      </c>
      <c r="Q632" t="n">
        <v>0</v>
      </c>
      <c r="R632" s="2" t="inlineStr"/>
    </row>
    <row r="633" ht="15" customHeight="1">
      <c r="A633" t="inlineStr">
        <is>
          <t>A 14074-2023</t>
        </is>
      </c>
      <c r="B633" s="1" t="n">
        <v>45009.089375</v>
      </c>
      <c r="C633" s="1" t="n">
        <v>45888</v>
      </c>
      <c r="D633" t="inlineStr">
        <is>
          <t>JÄMTLANDS LÄN</t>
        </is>
      </c>
      <c r="E633" t="inlineStr">
        <is>
          <t>RAGUNDA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37265-2024</t>
        </is>
      </c>
      <c r="B634" s="1" t="n">
        <v>45540.38564814815</v>
      </c>
      <c r="C634" s="1" t="n">
        <v>45888</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57889-2024</t>
        </is>
      </c>
      <c r="B635" s="1" t="n">
        <v>45631.46665509259</v>
      </c>
      <c r="C635" s="1" t="n">
        <v>45888</v>
      </c>
      <c r="D635" t="inlineStr">
        <is>
          <t>JÄMTLANDS LÄN</t>
        </is>
      </c>
      <c r="E635" t="inlineStr">
        <is>
          <t>RAGUNDA</t>
        </is>
      </c>
      <c r="G635" t="n">
        <v>11.1</v>
      </c>
      <c r="H635" t="n">
        <v>0</v>
      </c>
      <c r="I635" t="n">
        <v>0</v>
      </c>
      <c r="J635" t="n">
        <v>0</v>
      </c>
      <c r="K635" t="n">
        <v>0</v>
      </c>
      <c r="L635" t="n">
        <v>0</v>
      </c>
      <c r="M635" t="n">
        <v>0</v>
      </c>
      <c r="N635" t="n">
        <v>0</v>
      </c>
      <c r="O635" t="n">
        <v>0</v>
      </c>
      <c r="P635" t="n">
        <v>0</v>
      </c>
      <c r="Q635" t="n">
        <v>0</v>
      </c>
      <c r="R635" s="2" t="inlineStr"/>
    </row>
    <row r="636" ht="15" customHeight="1">
      <c r="A636" t="inlineStr">
        <is>
          <t>A 2133-2023</t>
        </is>
      </c>
      <c r="B636" s="1" t="n">
        <v>44939</v>
      </c>
      <c r="C636" s="1" t="n">
        <v>45888</v>
      </c>
      <c r="D636" t="inlineStr">
        <is>
          <t>JÄMTLANDS LÄN</t>
        </is>
      </c>
      <c r="E636" t="inlineStr">
        <is>
          <t>RAGUNDA</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19419-2024</t>
        </is>
      </c>
      <c r="B637" s="1" t="n">
        <v>45429</v>
      </c>
      <c r="C637" s="1" t="n">
        <v>45888</v>
      </c>
      <c r="D637" t="inlineStr">
        <is>
          <t>JÄMTLANDS LÄN</t>
        </is>
      </c>
      <c r="E637" t="inlineStr">
        <is>
          <t>RAGUNDA</t>
        </is>
      </c>
      <c r="G637" t="n">
        <v>3.5</v>
      </c>
      <c r="H637" t="n">
        <v>0</v>
      </c>
      <c r="I637" t="n">
        <v>0</v>
      </c>
      <c r="J637" t="n">
        <v>0</v>
      </c>
      <c r="K637" t="n">
        <v>0</v>
      </c>
      <c r="L637" t="n">
        <v>0</v>
      </c>
      <c r="M637" t="n">
        <v>0</v>
      </c>
      <c r="N637" t="n">
        <v>0</v>
      </c>
      <c r="O637" t="n">
        <v>0</v>
      </c>
      <c r="P637" t="n">
        <v>0</v>
      </c>
      <c r="Q637" t="n">
        <v>0</v>
      </c>
      <c r="R637" s="2" t="inlineStr"/>
    </row>
    <row r="638" ht="15" customHeight="1">
      <c r="A638" t="inlineStr">
        <is>
          <t>A 18777-2024</t>
        </is>
      </c>
      <c r="B638" s="1" t="n">
        <v>45426</v>
      </c>
      <c r="C638" s="1" t="n">
        <v>45888</v>
      </c>
      <c r="D638" t="inlineStr">
        <is>
          <t>JÄMTLANDS LÄN</t>
        </is>
      </c>
      <c r="E638" t="inlineStr">
        <is>
          <t>RAGUNDA</t>
        </is>
      </c>
      <c r="G638" t="n">
        <v>1.9</v>
      </c>
      <c r="H638" t="n">
        <v>0</v>
      </c>
      <c r="I638" t="n">
        <v>0</v>
      </c>
      <c r="J638" t="n">
        <v>0</v>
      </c>
      <c r="K638" t="n">
        <v>0</v>
      </c>
      <c r="L638" t="n">
        <v>0</v>
      </c>
      <c r="M638" t="n">
        <v>0</v>
      </c>
      <c r="N638" t="n">
        <v>0</v>
      </c>
      <c r="O638" t="n">
        <v>0</v>
      </c>
      <c r="P638" t="n">
        <v>0</v>
      </c>
      <c r="Q638" t="n">
        <v>0</v>
      </c>
      <c r="R638" s="2" t="inlineStr"/>
    </row>
    <row r="639" ht="15" customHeight="1">
      <c r="A639" t="inlineStr">
        <is>
          <t>A 60629-2023</t>
        </is>
      </c>
      <c r="B639" s="1" t="n">
        <v>45259</v>
      </c>
      <c r="C639" s="1" t="n">
        <v>45888</v>
      </c>
      <c r="D639" t="inlineStr">
        <is>
          <t>JÄMTLANDS LÄN</t>
        </is>
      </c>
      <c r="E639" t="inlineStr">
        <is>
          <t>RAGUNDA</t>
        </is>
      </c>
      <c r="G639" t="n">
        <v>3.4</v>
      </c>
      <c r="H639" t="n">
        <v>0</v>
      </c>
      <c r="I639" t="n">
        <v>0</v>
      </c>
      <c r="J639" t="n">
        <v>0</v>
      </c>
      <c r="K639" t="n">
        <v>0</v>
      </c>
      <c r="L639" t="n">
        <v>0</v>
      </c>
      <c r="M639" t="n">
        <v>0</v>
      </c>
      <c r="N639" t="n">
        <v>0</v>
      </c>
      <c r="O639" t="n">
        <v>0</v>
      </c>
      <c r="P639" t="n">
        <v>0</v>
      </c>
      <c r="Q639" t="n">
        <v>0</v>
      </c>
      <c r="R639" s="2" t="inlineStr"/>
    </row>
    <row r="640" ht="15" customHeight="1">
      <c r="A640" t="inlineStr">
        <is>
          <t>A 58564-2024</t>
        </is>
      </c>
      <c r="B640" s="1" t="n">
        <v>45635.47243055556</v>
      </c>
      <c r="C640" s="1" t="n">
        <v>45888</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19383-2025</t>
        </is>
      </c>
      <c r="B641" s="1" t="n">
        <v>45769.65688657408</v>
      </c>
      <c r="C641" s="1" t="n">
        <v>45888</v>
      </c>
      <c r="D641" t="inlineStr">
        <is>
          <t>JÄMTLANDS LÄN</t>
        </is>
      </c>
      <c r="E641" t="inlineStr">
        <is>
          <t>RAGUNDA</t>
        </is>
      </c>
      <c r="F641" t="inlineStr">
        <is>
          <t>SCA</t>
        </is>
      </c>
      <c r="G641" t="n">
        <v>6</v>
      </c>
      <c r="H641" t="n">
        <v>0</v>
      </c>
      <c r="I641" t="n">
        <v>0</v>
      </c>
      <c r="J641" t="n">
        <v>0</v>
      </c>
      <c r="K641" t="n">
        <v>0</v>
      </c>
      <c r="L641" t="n">
        <v>0</v>
      </c>
      <c r="M641" t="n">
        <v>0</v>
      </c>
      <c r="N641" t="n">
        <v>0</v>
      </c>
      <c r="O641" t="n">
        <v>0</v>
      </c>
      <c r="P641" t="n">
        <v>0</v>
      </c>
      <c r="Q641" t="n">
        <v>0</v>
      </c>
      <c r="R641" s="2" t="inlineStr"/>
    </row>
    <row r="642" ht="15" customHeight="1">
      <c r="A642" t="inlineStr">
        <is>
          <t>A 8243-2024</t>
        </is>
      </c>
      <c r="B642" s="1" t="n">
        <v>45351.98532407408</v>
      </c>
      <c r="C642" s="1" t="n">
        <v>45888</v>
      </c>
      <c r="D642" t="inlineStr">
        <is>
          <t>JÄMTLANDS LÄN</t>
        </is>
      </c>
      <c r="E642" t="inlineStr">
        <is>
          <t>RAGUNDA</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49229-2024</t>
        </is>
      </c>
      <c r="B643" s="1" t="n">
        <v>45595.42738425926</v>
      </c>
      <c r="C643" s="1" t="n">
        <v>45888</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13700-2023</t>
        </is>
      </c>
      <c r="B644" s="1" t="n">
        <v>45006</v>
      </c>
      <c r="C644" s="1" t="n">
        <v>45888</v>
      </c>
      <c r="D644" t="inlineStr">
        <is>
          <t>JÄMTLANDS LÄN</t>
        </is>
      </c>
      <c r="E644" t="inlineStr">
        <is>
          <t>RAGUNDA</t>
        </is>
      </c>
      <c r="F644" t="inlineStr">
        <is>
          <t>SCA</t>
        </is>
      </c>
      <c r="G644" t="n">
        <v>50.3</v>
      </c>
      <c r="H644" t="n">
        <v>0</v>
      </c>
      <c r="I644" t="n">
        <v>0</v>
      </c>
      <c r="J644" t="n">
        <v>0</v>
      </c>
      <c r="K644" t="n">
        <v>0</v>
      </c>
      <c r="L644" t="n">
        <v>0</v>
      </c>
      <c r="M644" t="n">
        <v>0</v>
      </c>
      <c r="N644" t="n">
        <v>0</v>
      </c>
      <c r="O644" t="n">
        <v>0</v>
      </c>
      <c r="P644" t="n">
        <v>0</v>
      </c>
      <c r="Q644" t="n">
        <v>0</v>
      </c>
      <c r="R644" s="2" t="inlineStr"/>
    </row>
    <row r="645" ht="15" customHeight="1">
      <c r="A645" t="inlineStr">
        <is>
          <t>A 51389-2024</t>
        </is>
      </c>
      <c r="B645" s="1" t="n">
        <v>45604.40540509259</v>
      </c>
      <c r="C645" s="1" t="n">
        <v>45888</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51393-2024</t>
        </is>
      </c>
      <c r="B646" s="1" t="n">
        <v>45604.41625</v>
      </c>
      <c r="C646" s="1" t="n">
        <v>45888</v>
      </c>
      <c r="D646" t="inlineStr">
        <is>
          <t>JÄMTLANDS LÄN</t>
        </is>
      </c>
      <c r="E646" t="inlineStr">
        <is>
          <t>RAGUNDA</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1325-2025</t>
        </is>
      </c>
      <c r="B647" s="1" t="n">
        <v>45667.57342592593</v>
      </c>
      <c r="C647" s="1" t="n">
        <v>45888</v>
      </c>
      <c r="D647" t="inlineStr">
        <is>
          <t>JÄMTLANDS LÄN</t>
        </is>
      </c>
      <c r="E647" t="inlineStr">
        <is>
          <t>RAGUNDA</t>
        </is>
      </c>
      <c r="F647" t="inlineStr">
        <is>
          <t>SCA</t>
        </is>
      </c>
      <c r="G647" t="n">
        <v>20.2</v>
      </c>
      <c r="H647" t="n">
        <v>0</v>
      </c>
      <c r="I647" t="n">
        <v>0</v>
      </c>
      <c r="J647" t="n">
        <v>0</v>
      </c>
      <c r="K647" t="n">
        <v>0</v>
      </c>
      <c r="L647" t="n">
        <v>0</v>
      </c>
      <c r="M647" t="n">
        <v>0</v>
      </c>
      <c r="N647" t="n">
        <v>0</v>
      </c>
      <c r="O647" t="n">
        <v>0</v>
      </c>
      <c r="P647" t="n">
        <v>0</v>
      </c>
      <c r="Q647" t="n">
        <v>0</v>
      </c>
      <c r="R647" s="2" t="inlineStr"/>
    </row>
    <row r="648" ht="15" customHeight="1">
      <c r="A648" t="inlineStr">
        <is>
          <t>A 18159-2023</t>
        </is>
      </c>
      <c r="B648" s="1" t="n">
        <v>45040.94277777777</v>
      </c>
      <c r="C648" s="1" t="n">
        <v>45888</v>
      </c>
      <c r="D648" t="inlineStr">
        <is>
          <t>JÄMTLANDS LÄN</t>
        </is>
      </c>
      <c r="E648" t="inlineStr">
        <is>
          <t>RAGUNDA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20987-2023</t>
        </is>
      </c>
      <c r="B649" s="1" t="n">
        <v>45056</v>
      </c>
      <c r="C649" s="1" t="n">
        <v>45888</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20994-2023</t>
        </is>
      </c>
      <c r="B650" s="1" t="n">
        <v>45056</v>
      </c>
      <c r="C650" s="1" t="n">
        <v>45888</v>
      </c>
      <c r="D650" t="inlineStr">
        <is>
          <t>JÄMTLANDS LÄN</t>
        </is>
      </c>
      <c r="E650" t="inlineStr">
        <is>
          <t>RAGUNDA</t>
        </is>
      </c>
      <c r="G650" t="n">
        <v>1.3</v>
      </c>
      <c r="H650" t="n">
        <v>0</v>
      </c>
      <c r="I650" t="n">
        <v>0</v>
      </c>
      <c r="J650" t="n">
        <v>0</v>
      </c>
      <c r="K650" t="n">
        <v>0</v>
      </c>
      <c r="L650" t="n">
        <v>0</v>
      </c>
      <c r="M650" t="n">
        <v>0</v>
      </c>
      <c r="N650" t="n">
        <v>0</v>
      </c>
      <c r="O650" t="n">
        <v>0</v>
      </c>
      <c r="P650" t="n">
        <v>0</v>
      </c>
      <c r="Q650" t="n">
        <v>0</v>
      </c>
      <c r="R650" s="2" t="inlineStr"/>
    </row>
    <row r="651" ht="15" customHeight="1">
      <c r="A651" t="inlineStr">
        <is>
          <t>A 55669-2023</t>
        </is>
      </c>
      <c r="B651" s="1" t="n">
        <v>45238.96797453704</v>
      </c>
      <c r="C651" s="1" t="n">
        <v>45888</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19486-2024</t>
        </is>
      </c>
      <c r="B652" s="1" t="n">
        <v>45429</v>
      </c>
      <c r="C652" s="1" t="n">
        <v>45888</v>
      </c>
      <c r="D652" t="inlineStr">
        <is>
          <t>JÄMTLANDS LÄN</t>
        </is>
      </c>
      <c r="E652" t="inlineStr">
        <is>
          <t>RAGUNDA</t>
        </is>
      </c>
      <c r="G652" t="n">
        <v>2.3</v>
      </c>
      <c r="H652" t="n">
        <v>0</v>
      </c>
      <c r="I652" t="n">
        <v>0</v>
      </c>
      <c r="J652" t="n">
        <v>0</v>
      </c>
      <c r="K652" t="n">
        <v>0</v>
      </c>
      <c r="L652" t="n">
        <v>0</v>
      </c>
      <c r="M652" t="n">
        <v>0</v>
      </c>
      <c r="N652" t="n">
        <v>0</v>
      </c>
      <c r="O652" t="n">
        <v>0</v>
      </c>
      <c r="P652" t="n">
        <v>0</v>
      </c>
      <c r="Q652" t="n">
        <v>0</v>
      </c>
      <c r="R652" s="2" t="inlineStr"/>
    </row>
    <row r="653" ht="15" customHeight="1">
      <c r="A653" t="inlineStr">
        <is>
          <t>A 1326-2025</t>
        </is>
      </c>
      <c r="B653" s="1" t="n">
        <v>45667.57347222222</v>
      </c>
      <c r="C653" s="1" t="n">
        <v>45888</v>
      </c>
      <c r="D653" t="inlineStr">
        <is>
          <t>JÄMTLANDS LÄN</t>
        </is>
      </c>
      <c r="E653" t="inlineStr">
        <is>
          <t>RAGUNDA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44066-2024</t>
        </is>
      </c>
      <c r="B654" s="1" t="n">
        <v>45572.60363425926</v>
      </c>
      <c r="C654" s="1" t="n">
        <v>45888</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32063-2024</t>
        </is>
      </c>
      <c r="B655" s="1" t="n">
        <v>45510</v>
      </c>
      <c r="C655" s="1" t="n">
        <v>45888</v>
      </c>
      <c r="D655" t="inlineStr">
        <is>
          <t>JÄMTLANDS LÄN</t>
        </is>
      </c>
      <c r="E655" t="inlineStr">
        <is>
          <t>RAGUNDA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10641-2024</t>
        </is>
      </c>
      <c r="B656" s="1" t="n">
        <v>45367.69850694444</v>
      </c>
      <c r="C656" s="1" t="n">
        <v>45888</v>
      </c>
      <c r="D656" t="inlineStr">
        <is>
          <t>JÄMTLANDS LÄN</t>
        </is>
      </c>
      <c r="E656" t="inlineStr">
        <is>
          <t>RAGUNDA</t>
        </is>
      </c>
      <c r="G656" t="n">
        <v>0.9</v>
      </c>
      <c r="H656" t="n">
        <v>0</v>
      </c>
      <c r="I656" t="n">
        <v>0</v>
      </c>
      <c r="J656" t="n">
        <v>0</v>
      </c>
      <c r="K656" t="n">
        <v>0</v>
      </c>
      <c r="L656" t="n">
        <v>0</v>
      </c>
      <c r="M656" t="n">
        <v>0</v>
      </c>
      <c r="N656" t="n">
        <v>0</v>
      </c>
      <c r="O656" t="n">
        <v>0</v>
      </c>
      <c r="P656" t="n">
        <v>0</v>
      </c>
      <c r="Q656" t="n">
        <v>0</v>
      </c>
      <c r="R656" s="2" t="inlineStr"/>
    </row>
    <row r="657" ht="15" customHeight="1">
      <c r="A657" t="inlineStr">
        <is>
          <t>A 10644-2024</t>
        </is>
      </c>
      <c r="B657" s="1" t="n">
        <v>45367.71348379629</v>
      </c>
      <c r="C657" s="1" t="n">
        <v>45888</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30642-2024</t>
        </is>
      </c>
      <c r="B658" s="1" t="n">
        <v>45495.57677083334</v>
      </c>
      <c r="C658" s="1" t="n">
        <v>45888</v>
      </c>
      <c r="D658" t="inlineStr">
        <is>
          <t>JÄMTLANDS LÄN</t>
        </is>
      </c>
      <c r="E658" t="inlineStr">
        <is>
          <t>RAGUNDA</t>
        </is>
      </c>
      <c r="G658" t="n">
        <v>2.7</v>
      </c>
      <c r="H658" t="n">
        <v>0</v>
      </c>
      <c r="I658" t="n">
        <v>0</v>
      </c>
      <c r="J658" t="n">
        <v>0</v>
      </c>
      <c r="K658" t="n">
        <v>0</v>
      </c>
      <c r="L658" t="n">
        <v>0</v>
      </c>
      <c r="M658" t="n">
        <v>0</v>
      </c>
      <c r="N658" t="n">
        <v>0</v>
      </c>
      <c r="O658" t="n">
        <v>0</v>
      </c>
      <c r="P658" t="n">
        <v>0</v>
      </c>
      <c r="Q658" t="n">
        <v>0</v>
      </c>
      <c r="R658" s="2" t="inlineStr"/>
    </row>
    <row r="659" ht="15" customHeight="1">
      <c r="A659" t="inlineStr">
        <is>
          <t>A 993-2025</t>
        </is>
      </c>
      <c r="B659" s="1" t="n">
        <v>45666.44943287037</v>
      </c>
      <c r="C659" s="1" t="n">
        <v>45888</v>
      </c>
      <c r="D659" t="inlineStr">
        <is>
          <t>JÄMTLANDS LÄN</t>
        </is>
      </c>
      <c r="E659" t="inlineStr">
        <is>
          <t>RAGUNDA</t>
        </is>
      </c>
      <c r="G659" t="n">
        <v>11.3</v>
      </c>
      <c r="H659" t="n">
        <v>0</v>
      </c>
      <c r="I659" t="n">
        <v>0</v>
      </c>
      <c r="J659" t="n">
        <v>0</v>
      </c>
      <c r="K659" t="n">
        <v>0</v>
      </c>
      <c r="L659" t="n">
        <v>0</v>
      </c>
      <c r="M659" t="n">
        <v>0</v>
      </c>
      <c r="N659" t="n">
        <v>0</v>
      </c>
      <c r="O659" t="n">
        <v>0</v>
      </c>
      <c r="P659" t="n">
        <v>0</v>
      </c>
      <c r="Q659" t="n">
        <v>0</v>
      </c>
      <c r="R659" s="2" t="inlineStr"/>
    </row>
    <row r="660" ht="15" customHeight="1">
      <c r="A660" t="inlineStr">
        <is>
          <t>A 20426-2024</t>
        </is>
      </c>
      <c r="B660" s="1" t="n">
        <v>45435</v>
      </c>
      <c r="C660" s="1" t="n">
        <v>45888</v>
      </c>
      <c r="D660" t="inlineStr">
        <is>
          <t>JÄMTLANDS LÄN</t>
        </is>
      </c>
      <c r="E660" t="inlineStr">
        <is>
          <t>RAGUNDA</t>
        </is>
      </c>
      <c r="G660" t="n">
        <v>2.1</v>
      </c>
      <c r="H660" t="n">
        <v>0</v>
      </c>
      <c r="I660" t="n">
        <v>0</v>
      </c>
      <c r="J660" t="n">
        <v>0</v>
      </c>
      <c r="K660" t="n">
        <v>0</v>
      </c>
      <c r="L660" t="n">
        <v>0</v>
      </c>
      <c r="M660" t="n">
        <v>0</v>
      </c>
      <c r="N660" t="n">
        <v>0</v>
      </c>
      <c r="O660" t="n">
        <v>0</v>
      </c>
      <c r="P660" t="n">
        <v>0</v>
      </c>
      <c r="Q660" t="n">
        <v>0</v>
      </c>
      <c r="R660" s="2" t="inlineStr"/>
    </row>
    <row r="661" ht="15" customHeight="1">
      <c r="A661" t="inlineStr">
        <is>
          <t>A 17742-2022</t>
        </is>
      </c>
      <c r="B661" s="1" t="n">
        <v>44680.95246527778</v>
      </c>
      <c r="C661" s="1" t="n">
        <v>45888</v>
      </c>
      <c r="D661" t="inlineStr">
        <is>
          <t>JÄMTLANDS LÄN</t>
        </is>
      </c>
      <c r="E661" t="inlineStr">
        <is>
          <t>RAGUNDA</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58193-2022</t>
        </is>
      </c>
      <c r="B662" s="1" t="n">
        <v>44900.95700231481</v>
      </c>
      <c r="C662" s="1" t="n">
        <v>45888</v>
      </c>
      <c r="D662" t="inlineStr">
        <is>
          <t>JÄMTLANDS LÄN</t>
        </is>
      </c>
      <c r="E662" t="inlineStr">
        <is>
          <t>RAGUNDA</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28081-2022</t>
        </is>
      </c>
      <c r="B663" s="1" t="n">
        <v>44746</v>
      </c>
      <c r="C663" s="1" t="n">
        <v>45888</v>
      </c>
      <c r="D663" t="inlineStr">
        <is>
          <t>JÄMTLANDS LÄN</t>
        </is>
      </c>
      <c r="E663" t="inlineStr">
        <is>
          <t>RAGUNDA</t>
        </is>
      </c>
      <c r="G663" t="n">
        <v>7.2</v>
      </c>
      <c r="H663" t="n">
        <v>0</v>
      </c>
      <c r="I663" t="n">
        <v>0</v>
      </c>
      <c r="J663" t="n">
        <v>0</v>
      </c>
      <c r="K663" t="n">
        <v>0</v>
      </c>
      <c r="L663" t="n">
        <v>0</v>
      </c>
      <c r="M663" t="n">
        <v>0</v>
      </c>
      <c r="N663" t="n">
        <v>0</v>
      </c>
      <c r="O663" t="n">
        <v>0</v>
      </c>
      <c r="P663" t="n">
        <v>0</v>
      </c>
      <c r="Q663" t="n">
        <v>0</v>
      </c>
      <c r="R663" s="2" t="inlineStr"/>
    </row>
    <row r="664" ht="15" customHeight="1">
      <c r="A664" t="inlineStr">
        <is>
          <t>A 22388-2025</t>
        </is>
      </c>
      <c r="B664" s="1" t="n">
        <v>45786.51077546296</v>
      </c>
      <c r="C664" s="1" t="n">
        <v>45888</v>
      </c>
      <c r="D664" t="inlineStr">
        <is>
          <t>JÄMTLANDS LÄN</t>
        </is>
      </c>
      <c r="E664" t="inlineStr">
        <is>
          <t>RAGUNDA</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30825-2023</t>
        </is>
      </c>
      <c r="B665" s="1" t="n">
        <v>45112.94310185185</v>
      </c>
      <c r="C665" s="1" t="n">
        <v>45888</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51049-2024</t>
        </is>
      </c>
      <c r="B666" s="1" t="n">
        <v>45603.44644675926</v>
      </c>
      <c r="C666" s="1" t="n">
        <v>45888</v>
      </c>
      <c r="D666" t="inlineStr">
        <is>
          <t>JÄMTLANDS LÄN</t>
        </is>
      </c>
      <c r="E666" t="inlineStr">
        <is>
          <t>RAGUNDA</t>
        </is>
      </c>
      <c r="F666" t="inlineStr">
        <is>
          <t>SCA</t>
        </is>
      </c>
      <c r="G666" t="n">
        <v>6.9</v>
      </c>
      <c r="H666" t="n">
        <v>0</v>
      </c>
      <c r="I666" t="n">
        <v>0</v>
      </c>
      <c r="J666" t="n">
        <v>0</v>
      </c>
      <c r="K666" t="n">
        <v>0</v>
      </c>
      <c r="L666" t="n">
        <v>0</v>
      </c>
      <c r="M666" t="n">
        <v>0</v>
      </c>
      <c r="N666" t="n">
        <v>0</v>
      </c>
      <c r="O666" t="n">
        <v>0</v>
      </c>
      <c r="P666" t="n">
        <v>0</v>
      </c>
      <c r="Q666" t="n">
        <v>0</v>
      </c>
      <c r="R666" s="2" t="inlineStr"/>
    </row>
    <row r="667" ht="15" customHeight="1">
      <c r="A667" t="inlineStr">
        <is>
          <t>A 44759-2024</t>
        </is>
      </c>
      <c r="B667" s="1" t="n">
        <v>45574.61634259259</v>
      </c>
      <c r="C667" s="1" t="n">
        <v>45888</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37324-2022</t>
        </is>
      </c>
      <c r="B668" s="1" t="n">
        <v>44806</v>
      </c>
      <c r="C668" s="1" t="n">
        <v>45888</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41343-2024</t>
        </is>
      </c>
      <c r="B669" s="1" t="n">
        <v>45559.67745370371</v>
      </c>
      <c r="C669" s="1" t="n">
        <v>45888</v>
      </c>
      <c r="D669" t="inlineStr">
        <is>
          <t>JÄMTLANDS LÄN</t>
        </is>
      </c>
      <c r="E669" t="inlineStr">
        <is>
          <t>RAGUNDA</t>
        </is>
      </c>
      <c r="F669" t="inlineStr">
        <is>
          <t>SCA</t>
        </is>
      </c>
      <c r="G669" t="n">
        <v>25.1</v>
      </c>
      <c r="H669" t="n">
        <v>0</v>
      </c>
      <c r="I669" t="n">
        <v>0</v>
      </c>
      <c r="J669" t="n">
        <v>0</v>
      </c>
      <c r="K669" t="n">
        <v>0</v>
      </c>
      <c r="L669" t="n">
        <v>0</v>
      </c>
      <c r="M669" t="n">
        <v>0</v>
      </c>
      <c r="N669" t="n">
        <v>0</v>
      </c>
      <c r="O669" t="n">
        <v>0</v>
      </c>
      <c r="P669" t="n">
        <v>0</v>
      </c>
      <c r="Q669" t="n">
        <v>0</v>
      </c>
      <c r="R669" s="2" t="inlineStr"/>
    </row>
    <row r="670" ht="15" customHeight="1">
      <c r="A670" t="inlineStr">
        <is>
          <t>A 45953-2023</t>
        </is>
      </c>
      <c r="B670" s="1" t="n">
        <v>45195.94672453704</v>
      </c>
      <c r="C670" s="1" t="n">
        <v>45888</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16982-2024</t>
        </is>
      </c>
      <c r="B671" s="1" t="n">
        <v>45412.02506944445</v>
      </c>
      <c r="C671" s="1" t="n">
        <v>45888</v>
      </c>
      <c r="D671" t="inlineStr">
        <is>
          <t>JÄMTLANDS LÄN</t>
        </is>
      </c>
      <c r="E671" t="inlineStr">
        <is>
          <t>RAGUNDA</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9084-2023</t>
        </is>
      </c>
      <c r="B672" s="1" t="n">
        <v>44979</v>
      </c>
      <c r="C672" s="1" t="n">
        <v>45888</v>
      </c>
      <c r="D672" t="inlineStr">
        <is>
          <t>JÄMTLANDS LÄN</t>
        </is>
      </c>
      <c r="E672" t="inlineStr">
        <is>
          <t>RAGUNDA</t>
        </is>
      </c>
      <c r="G672" t="n">
        <v>1.9</v>
      </c>
      <c r="H672" t="n">
        <v>0</v>
      </c>
      <c r="I672" t="n">
        <v>0</v>
      </c>
      <c r="J672" t="n">
        <v>0</v>
      </c>
      <c r="K672" t="n">
        <v>0</v>
      </c>
      <c r="L672" t="n">
        <v>0</v>
      </c>
      <c r="M672" t="n">
        <v>0</v>
      </c>
      <c r="N672" t="n">
        <v>0</v>
      </c>
      <c r="O672" t="n">
        <v>0</v>
      </c>
      <c r="P672" t="n">
        <v>0</v>
      </c>
      <c r="Q672" t="n">
        <v>0</v>
      </c>
      <c r="R672" s="2" t="inlineStr"/>
    </row>
    <row r="673" ht="15" customHeight="1">
      <c r="A673" t="inlineStr">
        <is>
          <t>A 49650-2024</t>
        </is>
      </c>
      <c r="B673" s="1" t="n">
        <v>45596.61569444444</v>
      </c>
      <c r="C673" s="1" t="n">
        <v>45888</v>
      </c>
      <c r="D673" t="inlineStr">
        <is>
          <t>JÄMTLANDS LÄN</t>
        </is>
      </c>
      <c r="E673" t="inlineStr">
        <is>
          <t>RAGUNDA</t>
        </is>
      </c>
      <c r="F673" t="inlineStr">
        <is>
          <t>Naturvårdsverket</t>
        </is>
      </c>
      <c r="G673" t="n">
        <v>3</v>
      </c>
      <c r="H673" t="n">
        <v>0</v>
      </c>
      <c r="I673" t="n">
        <v>0</v>
      </c>
      <c r="J673" t="n">
        <v>0</v>
      </c>
      <c r="K673" t="n">
        <v>0</v>
      </c>
      <c r="L673" t="n">
        <v>0</v>
      </c>
      <c r="M673" t="n">
        <v>0</v>
      </c>
      <c r="N673" t="n">
        <v>0</v>
      </c>
      <c r="O673" t="n">
        <v>0</v>
      </c>
      <c r="P673" t="n">
        <v>0</v>
      </c>
      <c r="Q673" t="n">
        <v>0</v>
      </c>
      <c r="R673" s="2" t="inlineStr"/>
    </row>
    <row r="674" ht="15" customHeight="1">
      <c r="A674" t="inlineStr">
        <is>
          <t>A 49651-2024</t>
        </is>
      </c>
      <c r="B674" s="1" t="n">
        <v>45596.61582175926</v>
      </c>
      <c r="C674" s="1" t="n">
        <v>45888</v>
      </c>
      <c r="D674" t="inlineStr">
        <is>
          <t>JÄMTLANDS LÄN</t>
        </is>
      </c>
      <c r="E674" t="inlineStr">
        <is>
          <t>RAGUNDA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9326-2024</t>
        </is>
      </c>
      <c r="B675" s="1" t="n">
        <v>45358.95818287037</v>
      </c>
      <c r="C675" s="1" t="n">
        <v>45888</v>
      </c>
      <c r="D675" t="inlineStr">
        <is>
          <t>JÄMTLANDS LÄN</t>
        </is>
      </c>
      <c r="E675" t="inlineStr">
        <is>
          <t>RAGUNDA</t>
        </is>
      </c>
      <c r="G675" t="n">
        <v>0.7</v>
      </c>
      <c r="H675" t="n">
        <v>0</v>
      </c>
      <c r="I675" t="n">
        <v>0</v>
      </c>
      <c r="J675" t="n">
        <v>0</v>
      </c>
      <c r="K675" t="n">
        <v>0</v>
      </c>
      <c r="L675" t="n">
        <v>0</v>
      </c>
      <c r="M675" t="n">
        <v>0</v>
      </c>
      <c r="N675" t="n">
        <v>0</v>
      </c>
      <c r="O675" t="n">
        <v>0</v>
      </c>
      <c r="P675" t="n">
        <v>0</v>
      </c>
      <c r="Q675" t="n">
        <v>0</v>
      </c>
      <c r="R675" s="2" t="inlineStr"/>
    </row>
    <row r="676" ht="15" customHeight="1">
      <c r="A676" t="inlineStr">
        <is>
          <t>A 7520-2023</t>
        </is>
      </c>
      <c r="B676" s="1" t="n">
        <v>44971</v>
      </c>
      <c r="C676" s="1" t="n">
        <v>45888</v>
      </c>
      <c r="D676" t="inlineStr">
        <is>
          <t>JÄMTLANDS LÄN</t>
        </is>
      </c>
      <c r="E676" t="inlineStr">
        <is>
          <t>RAGUNDA</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21662-2023</t>
        </is>
      </c>
      <c r="B677" s="1" t="n">
        <v>45063</v>
      </c>
      <c r="C677" s="1" t="n">
        <v>45888</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22898-2025</t>
        </is>
      </c>
      <c r="B678" s="1" t="n">
        <v>45790.40670138889</v>
      </c>
      <c r="C678" s="1" t="n">
        <v>45888</v>
      </c>
      <c r="D678" t="inlineStr">
        <is>
          <t>JÄMTLANDS LÄN</t>
        </is>
      </c>
      <c r="E678" t="inlineStr">
        <is>
          <t>RAGUNDA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44727-2024</t>
        </is>
      </c>
      <c r="B679" s="1" t="n">
        <v>45574.57967592592</v>
      </c>
      <c r="C679" s="1" t="n">
        <v>45888</v>
      </c>
      <c r="D679" t="inlineStr">
        <is>
          <t>JÄMTLANDS LÄN</t>
        </is>
      </c>
      <c r="E679" t="inlineStr">
        <is>
          <t>RAGUNDA</t>
        </is>
      </c>
      <c r="G679" t="n">
        <v>4.7</v>
      </c>
      <c r="H679" t="n">
        <v>0</v>
      </c>
      <c r="I679" t="n">
        <v>0</v>
      </c>
      <c r="J679" t="n">
        <v>0</v>
      </c>
      <c r="K679" t="n">
        <v>0</v>
      </c>
      <c r="L679" t="n">
        <v>0</v>
      </c>
      <c r="M679" t="n">
        <v>0</v>
      </c>
      <c r="N679" t="n">
        <v>0</v>
      </c>
      <c r="O679" t="n">
        <v>0</v>
      </c>
      <c r="P679" t="n">
        <v>0</v>
      </c>
      <c r="Q679" t="n">
        <v>0</v>
      </c>
      <c r="R679" s="2" t="inlineStr"/>
    </row>
    <row r="680" ht="15" customHeight="1">
      <c r="A680" t="inlineStr">
        <is>
          <t>A 64264-2023</t>
        </is>
      </c>
      <c r="B680" s="1" t="n">
        <v>45279.94564814815</v>
      </c>
      <c r="C680" s="1" t="n">
        <v>45888</v>
      </c>
      <c r="D680" t="inlineStr">
        <is>
          <t>JÄMTLANDS LÄN</t>
        </is>
      </c>
      <c r="E680" t="inlineStr">
        <is>
          <t>RAGUNDA</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23253-2025</t>
        </is>
      </c>
      <c r="B681" s="1" t="n">
        <v>45791.53238425926</v>
      </c>
      <c r="C681" s="1" t="n">
        <v>45888</v>
      </c>
      <c r="D681" t="inlineStr">
        <is>
          <t>JÄMTLANDS LÄN</t>
        </is>
      </c>
      <c r="E681" t="inlineStr">
        <is>
          <t>RAGUNDA</t>
        </is>
      </c>
      <c r="G681" t="n">
        <v>0.7</v>
      </c>
      <c r="H681" t="n">
        <v>0</v>
      </c>
      <c r="I681" t="n">
        <v>0</v>
      </c>
      <c r="J681" t="n">
        <v>0</v>
      </c>
      <c r="K681" t="n">
        <v>0</v>
      </c>
      <c r="L681" t="n">
        <v>0</v>
      </c>
      <c r="M681" t="n">
        <v>0</v>
      </c>
      <c r="N681" t="n">
        <v>0</v>
      </c>
      <c r="O681" t="n">
        <v>0</v>
      </c>
      <c r="P681" t="n">
        <v>0</v>
      </c>
      <c r="Q681" t="n">
        <v>0</v>
      </c>
      <c r="R681" s="2" t="inlineStr"/>
    </row>
    <row r="682" ht="15" customHeight="1">
      <c r="A682" t="inlineStr">
        <is>
          <t>A 23413-2025</t>
        </is>
      </c>
      <c r="B682" s="1" t="n">
        <v>45792.34606481482</v>
      </c>
      <c r="C682" s="1" t="n">
        <v>45888</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23586-2025</t>
        </is>
      </c>
      <c r="B683" s="1" t="n">
        <v>45792.63584490741</v>
      </c>
      <c r="C683" s="1" t="n">
        <v>45888</v>
      </c>
      <c r="D683" t="inlineStr">
        <is>
          <t>JÄMTLANDS LÄN</t>
        </is>
      </c>
      <c r="E683" t="inlineStr">
        <is>
          <t>RAGUNDA</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23841-2025</t>
        </is>
      </c>
      <c r="B684" s="1" t="n">
        <v>45793.61523148148</v>
      </c>
      <c r="C684" s="1" t="n">
        <v>45888</v>
      </c>
      <c r="D684" t="inlineStr">
        <is>
          <t>JÄMTLANDS LÄN</t>
        </is>
      </c>
      <c r="E684" t="inlineStr">
        <is>
          <t>RAGUNDA</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23507-2025</t>
        </is>
      </c>
      <c r="B685" s="1" t="n">
        <v>45792.49023148148</v>
      </c>
      <c r="C685" s="1" t="n">
        <v>45888</v>
      </c>
      <c r="D685" t="inlineStr">
        <is>
          <t>JÄMTLANDS LÄN</t>
        </is>
      </c>
      <c r="E685" t="inlineStr">
        <is>
          <t>RAGUNDA</t>
        </is>
      </c>
      <c r="F685" t="inlineStr">
        <is>
          <t>SCA</t>
        </is>
      </c>
      <c r="G685" t="n">
        <v>16.4</v>
      </c>
      <c r="H685" t="n">
        <v>0</v>
      </c>
      <c r="I685" t="n">
        <v>0</v>
      </c>
      <c r="J685" t="n">
        <v>0</v>
      </c>
      <c r="K685" t="n">
        <v>0</v>
      </c>
      <c r="L685" t="n">
        <v>0</v>
      </c>
      <c r="M685" t="n">
        <v>0</v>
      </c>
      <c r="N685" t="n">
        <v>0</v>
      </c>
      <c r="O685" t="n">
        <v>0</v>
      </c>
      <c r="P685" t="n">
        <v>0</v>
      </c>
      <c r="Q685" t="n">
        <v>0</v>
      </c>
      <c r="R685" s="2" t="inlineStr"/>
    </row>
    <row r="686" ht="15" customHeight="1">
      <c r="A686" t="inlineStr">
        <is>
          <t>A 23840-2025</t>
        </is>
      </c>
      <c r="B686" s="1" t="n">
        <v>45793</v>
      </c>
      <c r="C686" s="1" t="n">
        <v>45888</v>
      </c>
      <c r="D686" t="inlineStr">
        <is>
          <t>JÄMTLANDS LÄN</t>
        </is>
      </c>
      <c r="E686" t="inlineStr">
        <is>
          <t>RAGUNDA</t>
        </is>
      </c>
      <c r="G686" t="n">
        <v>0.8</v>
      </c>
      <c r="H686" t="n">
        <v>0</v>
      </c>
      <c r="I686" t="n">
        <v>0</v>
      </c>
      <c r="J686" t="n">
        <v>0</v>
      </c>
      <c r="K686" t="n">
        <v>0</v>
      </c>
      <c r="L686" t="n">
        <v>0</v>
      </c>
      <c r="M686" t="n">
        <v>0</v>
      </c>
      <c r="N686" t="n">
        <v>0</v>
      </c>
      <c r="O686" t="n">
        <v>0</v>
      </c>
      <c r="P686" t="n">
        <v>0</v>
      </c>
      <c r="Q686" t="n">
        <v>0</v>
      </c>
      <c r="R686" s="2" t="inlineStr"/>
    </row>
    <row r="687" ht="15" customHeight="1">
      <c r="A687" t="inlineStr">
        <is>
          <t>A 23654-2025</t>
        </is>
      </c>
      <c r="B687" s="1" t="n">
        <v>45792.71905092592</v>
      </c>
      <c r="C687" s="1" t="n">
        <v>45888</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23405-2025</t>
        </is>
      </c>
      <c r="B688" s="1" t="n">
        <v>45792.34527777778</v>
      </c>
      <c r="C688" s="1" t="n">
        <v>45888</v>
      </c>
      <c r="D688" t="inlineStr">
        <is>
          <t>JÄMTLANDS LÄN</t>
        </is>
      </c>
      <c r="E688" t="inlineStr">
        <is>
          <t>RAGUNDA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21083-2024</t>
        </is>
      </c>
      <c r="B689" s="1" t="n">
        <v>45439.92752314815</v>
      </c>
      <c r="C689" s="1" t="n">
        <v>45888</v>
      </c>
      <c r="D689" t="inlineStr">
        <is>
          <t>JÄMTLANDS LÄN</t>
        </is>
      </c>
      <c r="E689" t="inlineStr">
        <is>
          <t>RAGUNDA</t>
        </is>
      </c>
      <c r="G689" t="n">
        <v>1.5</v>
      </c>
      <c r="H689" t="n">
        <v>0</v>
      </c>
      <c r="I689" t="n">
        <v>0</v>
      </c>
      <c r="J689" t="n">
        <v>0</v>
      </c>
      <c r="K689" t="n">
        <v>0</v>
      </c>
      <c r="L689" t="n">
        <v>0</v>
      </c>
      <c r="M689" t="n">
        <v>0</v>
      </c>
      <c r="N689" t="n">
        <v>0</v>
      </c>
      <c r="O689" t="n">
        <v>0</v>
      </c>
      <c r="P689" t="n">
        <v>0</v>
      </c>
      <c r="Q689" t="n">
        <v>0</v>
      </c>
      <c r="R689" s="2" t="inlineStr"/>
    </row>
    <row r="690" ht="15" customHeight="1">
      <c r="A690" t="inlineStr">
        <is>
          <t>A 462-2023</t>
        </is>
      </c>
      <c r="B690" s="1" t="n">
        <v>44929</v>
      </c>
      <c r="C690" s="1" t="n">
        <v>45888</v>
      </c>
      <c r="D690" t="inlineStr">
        <is>
          <t>JÄMTLANDS LÄN</t>
        </is>
      </c>
      <c r="E690" t="inlineStr">
        <is>
          <t>RAGUNDA</t>
        </is>
      </c>
      <c r="G690" t="n">
        <v>4.5</v>
      </c>
      <c r="H690" t="n">
        <v>0</v>
      </c>
      <c r="I690" t="n">
        <v>0</v>
      </c>
      <c r="J690" t="n">
        <v>0</v>
      </c>
      <c r="K690" t="n">
        <v>0</v>
      </c>
      <c r="L690" t="n">
        <v>0</v>
      </c>
      <c r="M690" t="n">
        <v>0</v>
      </c>
      <c r="N690" t="n">
        <v>0</v>
      </c>
      <c r="O690" t="n">
        <v>0</v>
      </c>
      <c r="P690" t="n">
        <v>0</v>
      </c>
      <c r="Q690" t="n">
        <v>0</v>
      </c>
      <c r="R690" s="2" t="inlineStr"/>
    </row>
    <row r="691" ht="15" customHeight="1">
      <c r="A691" t="inlineStr">
        <is>
          <t>A 42893-2022</t>
        </is>
      </c>
      <c r="B691" s="1" t="n">
        <v>44832</v>
      </c>
      <c r="C691" s="1" t="n">
        <v>45888</v>
      </c>
      <c r="D691" t="inlineStr">
        <is>
          <t>JÄMTLANDS LÄN</t>
        </is>
      </c>
      <c r="E691" t="inlineStr">
        <is>
          <t>RAGUNDA</t>
        </is>
      </c>
      <c r="F691" t="inlineStr">
        <is>
          <t>SCA</t>
        </is>
      </c>
      <c r="G691" t="n">
        <v>28.4</v>
      </c>
      <c r="H691" t="n">
        <v>0</v>
      </c>
      <c r="I691" t="n">
        <v>0</v>
      </c>
      <c r="J691" t="n">
        <v>0</v>
      </c>
      <c r="K691" t="n">
        <v>0</v>
      </c>
      <c r="L691" t="n">
        <v>0</v>
      </c>
      <c r="M691" t="n">
        <v>0</v>
      </c>
      <c r="N691" t="n">
        <v>0</v>
      </c>
      <c r="O691" t="n">
        <v>0</v>
      </c>
      <c r="P691" t="n">
        <v>0</v>
      </c>
      <c r="Q691" t="n">
        <v>0</v>
      </c>
      <c r="R691" s="2" t="inlineStr"/>
    </row>
    <row r="692" ht="15" customHeight="1">
      <c r="A692" t="inlineStr">
        <is>
          <t>A 12050-2023</t>
        </is>
      </c>
      <c r="B692" s="1" t="n">
        <v>44995.98644675926</v>
      </c>
      <c r="C692" s="1" t="n">
        <v>45888</v>
      </c>
      <c r="D692" t="inlineStr">
        <is>
          <t>JÄMTLANDS LÄN</t>
        </is>
      </c>
      <c r="E692" t="inlineStr">
        <is>
          <t>RAGUNDA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62358-2023</t>
        </is>
      </c>
      <c r="B693" s="1" t="n">
        <v>45267</v>
      </c>
      <c r="C693" s="1" t="n">
        <v>45888</v>
      </c>
      <c r="D693" t="inlineStr">
        <is>
          <t>JÄMTLANDS LÄN</t>
        </is>
      </c>
      <c r="E693" t="inlineStr">
        <is>
          <t>RAGUNDA</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18820-2023</t>
        </is>
      </c>
      <c r="B694" s="1" t="n">
        <v>45042</v>
      </c>
      <c r="C694" s="1" t="n">
        <v>45888</v>
      </c>
      <c r="D694" t="inlineStr">
        <is>
          <t>JÄMTLANDS LÄN</t>
        </is>
      </c>
      <c r="E694" t="inlineStr">
        <is>
          <t>RAGUNDA</t>
        </is>
      </c>
      <c r="G694" t="n">
        <v>18.8</v>
      </c>
      <c r="H694" t="n">
        <v>0</v>
      </c>
      <c r="I694" t="n">
        <v>0</v>
      </c>
      <c r="J694" t="n">
        <v>0</v>
      </c>
      <c r="K694" t="n">
        <v>0</v>
      </c>
      <c r="L694" t="n">
        <v>0</v>
      </c>
      <c r="M694" t="n">
        <v>0</v>
      </c>
      <c r="N694" t="n">
        <v>0</v>
      </c>
      <c r="O694" t="n">
        <v>0</v>
      </c>
      <c r="P694" t="n">
        <v>0</v>
      </c>
      <c r="Q694" t="n">
        <v>0</v>
      </c>
      <c r="R694" s="2" t="inlineStr"/>
    </row>
    <row r="695" ht="15" customHeight="1">
      <c r="A695" t="inlineStr">
        <is>
          <t>A 24157-2025</t>
        </is>
      </c>
      <c r="B695" s="1" t="n">
        <v>45796</v>
      </c>
      <c r="C695" s="1" t="n">
        <v>45888</v>
      </c>
      <c r="D695" t="inlineStr">
        <is>
          <t>JÄMTLANDS LÄN</t>
        </is>
      </c>
      <c r="E695" t="inlineStr">
        <is>
          <t>RAGUNDA</t>
        </is>
      </c>
      <c r="G695" t="n">
        <v>1.1</v>
      </c>
      <c r="H695" t="n">
        <v>0</v>
      </c>
      <c r="I695" t="n">
        <v>0</v>
      </c>
      <c r="J695" t="n">
        <v>0</v>
      </c>
      <c r="K695" t="n">
        <v>0</v>
      </c>
      <c r="L695" t="n">
        <v>0</v>
      </c>
      <c r="M695" t="n">
        <v>0</v>
      </c>
      <c r="N695" t="n">
        <v>0</v>
      </c>
      <c r="O695" t="n">
        <v>0</v>
      </c>
      <c r="P695" t="n">
        <v>0</v>
      </c>
      <c r="Q695" t="n">
        <v>0</v>
      </c>
      <c r="R695" s="2" t="inlineStr"/>
    </row>
    <row r="696" ht="15" customHeight="1">
      <c r="A696" t="inlineStr">
        <is>
          <t>A 29940-2023</t>
        </is>
      </c>
      <c r="B696" s="1" t="n">
        <v>45107</v>
      </c>
      <c r="C696" s="1" t="n">
        <v>45888</v>
      </c>
      <c r="D696" t="inlineStr">
        <is>
          <t>JÄMTLANDS LÄN</t>
        </is>
      </c>
      <c r="E696" t="inlineStr">
        <is>
          <t>RAGUNDA</t>
        </is>
      </c>
      <c r="G696" t="n">
        <v>13.5</v>
      </c>
      <c r="H696" t="n">
        <v>0</v>
      </c>
      <c r="I696" t="n">
        <v>0</v>
      </c>
      <c r="J696" t="n">
        <v>0</v>
      </c>
      <c r="K696" t="n">
        <v>0</v>
      </c>
      <c r="L696" t="n">
        <v>0</v>
      </c>
      <c r="M696" t="n">
        <v>0</v>
      </c>
      <c r="N696" t="n">
        <v>0</v>
      </c>
      <c r="O696" t="n">
        <v>0</v>
      </c>
      <c r="P696" t="n">
        <v>0</v>
      </c>
      <c r="Q696" t="n">
        <v>0</v>
      </c>
      <c r="R696" s="2" t="inlineStr"/>
    </row>
    <row r="697" ht="15" customHeight="1">
      <c r="A697" t="inlineStr">
        <is>
          <t>A 49648-2023</t>
        </is>
      </c>
      <c r="B697" s="1" t="n">
        <v>45211.95061342593</v>
      </c>
      <c r="C697" s="1" t="n">
        <v>45888</v>
      </c>
      <c r="D697" t="inlineStr">
        <is>
          <t>JÄMTLANDS LÄN</t>
        </is>
      </c>
      <c r="E697" t="inlineStr">
        <is>
          <t>RAGUNDA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18284-2025</t>
        </is>
      </c>
      <c r="B698" s="1" t="n">
        <v>45762.39876157408</v>
      </c>
      <c r="C698" s="1" t="n">
        <v>45888</v>
      </c>
      <c r="D698" t="inlineStr">
        <is>
          <t>JÄMTLANDS LÄN</t>
        </is>
      </c>
      <c r="E698" t="inlineStr">
        <is>
          <t>RAGUNDA</t>
        </is>
      </c>
      <c r="G698" t="n">
        <v>0.2</v>
      </c>
      <c r="H698" t="n">
        <v>0</v>
      </c>
      <c r="I698" t="n">
        <v>0</v>
      </c>
      <c r="J698" t="n">
        <v>0</v>
      </c>
      <c r="K698" t="n">
        <v>0</v>
      </c>
      <c r="L698" t="n">
        <v>0</v>
      </c>
      <c r="M698" t="n">
        <v>0</v>
      </c>
      <c r="N698" t="n">
        <v>0</v>
      </c>
      <c r="O698" t="n">
        <v>0</v>
      </c>
      <c r="P698" t="n">
        <v>0</v>
      </c>
      <c r="Q698" t="n">
        <v>0</v>
      </c>
      <c r="R698" s="2" t="inlineStr"/>
      <c r="U698">
        <f>HYPERLINK("https://klasma.github.io/Logging_2303/knärot/A 18284-2025 karta knärot.png", "A 18284-2025")</f>
        <v/>
      </c>
      <c r="V698">
        <f>HYPERLINK("https://klasma.github.io/Logging_2303/klagomål/A 18284-2025 FSC-klagomål.docx", "A 18284-2025")</f>
        <v/>
      </c>
      <c r="W698">
        <f>HYPERLINK("https://klasma.github.io/Logging_2303/klagomålsmail/A 18284-2025 FSC-klagomål mail.docx", "A 18284-2025")</f>
        <v/>
      </c>
      <c r="X698">
        <f>HYPERLINK("https://klasma.github.io/Logging_2303/tillsyn/A 18284-2025 tillsynsbegäran.docx", "A 18284-2025")</f>
        <v/>
      </c>
      <c r="Y698">
        <f>HYPERLINK("https://klasma.github.io/Logging_2303/tillsynsmail/A 18284-2025 tillsynsbegäran mail.docx", "A 18284-2025")</f>
        <v/>
      </c>
    </row>
    <row r="699" ht="15" customHeight="1">
      <c r="A699" t="inlineStr">
        <is>
          <t>A 51537-2022</t>
        </is>
      </c>
      <c r="B699" s="1" t="n">
        <v>44869</v>
      </c>
      <c r="C699" s="1" t="n">
        <v>45888</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59044-2022</t>
        </is>
      </c>
      <c r="B700" s="1" t="n">
        <v>44903</v>
      </c>
      <c r="C700" s="1" t="n">
        <v>45888</v>
      </c>
      <c r="D700" t="inlineStr">
        <is>
          <t>JÄMTLANDS LÄN</t>
        </is>
      </c>
      <c r="E700" t="inlineStr">
        <is>
          <t>RAGUNDA</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5958-2023</t>
        </is>
      </c>
      <c r="B701" s="1" t="n">
        <v>44963</v>
      </c>
      <c r="C701" s="1" t="n">
        <v>45888</v>
      </c>
      <c r="D701" t="inlineStr">
        <is>
          <t>JÄMTLANDS LÄN</t>
        </is>
      </c>
      <c r="E701" t="inlineStr">
        <is>
          <t>RAGUNDA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23303-2024</t>
        </is>
      </c>
      <c r="B702" s="1" t="n">
        <v>45453.4444212963</v>
      </c>
      <c r="C702" s="1" t="n">
        <v>45888</v>
      </c>
      <c r="D702" t="inlineStr">
        <is>
          <t>JÄMTLANDS LÄN</t>
        </is>
      </c>
      <c r="E702" t="inlineStr">
        <is>
          <t>RAGUNDA</t>
        </is>
      </c>
      <c r="G702" t="n">
        <v>0.7</v>
      </c>
      <c r="H702" t="n">
        <v>0</v>
      </c>
      <c r="I702" t="n">
        <v>0</v>
      </c>
      <c r="J702" t="n">
        <v>0</v>
      </c>
      <c r="K702" t="n">
        <v>0</v>
      </c>
      <c r="L702" t="n">
        <v>0</v>
      </c>
      <c r="M702" t="n">
        <v>0</v>
      </c>
      <c r="N702" t="n">
        <v>0</v>
      </c>
      <c r="O702" t="n">
        <v>0</v>
      </c>
      <c r="P702" t="n">
        <v>0</v>
      </c>
      <c r="Q702" t="n">
        <v>0</v>
      </c>
      <c r="R702" s="2" t="inlineStr"/>
    </row>
    <row r="703" ht="15" customHeight="1">
      <c r="A703" t="inlineStr">
        <is>
          <t>A 179-2025</t>
        </is>
      </c>
      <c r="B703" s="1" t="n">
        <v>45659.69822916666</v>
      </c>
      <c r="C703" s="1" t="n">
        <v>45888</v>
      </c>
      <c r="D703" t="inlineStr">
        <is>
          <t>JÄMTLANDS LÄN</t>
        </is>
      </c>
      <c r="E703" t="inlineStr">
        <is>
          <t>RAGUNDA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8779-2025</t>
        </is>
      </c>
      <c r="B704" s="1" t="n">
        <v>45712.61552083334</v>
      </c>
      <c r="C704" s="1" t="n">
        <v>45888</v>
      </c>
      <c r="D704" t="inlineStr">
        <is>
          <t>JÄMTLANDS LÄN</t>
        </is>
      </c>
      <c r="E704" t="inlineStr">
        <is>
          <t>RAGUNDA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40051-2020</t>
        </is>
      </c>
      <c r="B705" s="1" t="n">
        <v>44067</v>
      </c>
      <c r="C705" s="1" t="n">
        <v>45888</v>
      </c>
      <c r="D705" t="inlineStr">
        <is>
          <t>JÄMTLANDS LÄN</t>
        </is>
      </c>
      <c r="E705" t="inlineStr">
        <is>
          <t>RAGUNDA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22412-2024</t>
        </is>
      </c>
      <c r="B706" s="1" t="n">
        <v>45446.68947916666</v>
      </c>
      <c r="C706" s="1" t="n">
        <v>45888</v>
      </c>
      <c r="D706" t="inlineStr">
        <is>
          <t>JÄMTLANDS LÄN</t>
        </is>
      </c>
      <c r="E706" t="inlineStr">
        <is>
          <t>RAGUNDA</t>
        </is>
      </c>
      <c r="G706" t="n">
        <v>0.8</v>
      </c>
      <c r="H706" t="n">
        <v>0</v>
      </c>
      <c r="I706" t="n">
        <v>0</v>
      </c>
      <c r="J706" t="n">
        <v>0</v>
      </c>
      <c r="K706" t="n">
        <v>0</v>
      </c>
      <c r="L706" t="n">
        <v>0</v>
      </c>
      <c r="M706" t="n">
        <v>0</v>
      </c>
      <c r="N706" t="n">
        <v>0</v>
      </c>
      <c r="O706" t="n">
        <v>0</v>
      </c>
      <c r="P706" t="n">
        <v>0</v>
      </c>
      <c r="Q706" t="n">
        <v>0</v>
      </c>
      <c r="R706" s="2" t="inlineStr"/>
    </row>
    <row r="707" ht="15" customHeight="1">
      <c r="A707" t="inlineStr">
        <is>
          <t>A 61400-2022</t>
        </is>
      </c>
      <c r="B707" s="1" t="n">
        <v>44915</v>
      </c>
      <c r="C707" s="1" t="n">
        <v>45888</v>
      </c>
      <c r="D707" t="inlineStr">
        <is>
          <t>JÄMTLANDS LÄN</t>
        </is>
      </c>
      <c r="E707" t="inlineStr">
        <is>
          <t>RAGUNDA</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13334-2024</t>
        </is>
      </c>
      <c r="B708" s="1" t="n">
        <v>45386</v>
      </c>
      <c r="C708" s="1" t="n">
        <v>45888</v>
      </c>
      <c r="D708" t="inlineStr">
        <is>
          <t>JÄMTLANDS LÄN</t>
        </is>
      </c>
      <c r="E708" t="inlineStr">
        <is>
          <t>RAGUNDA</t>
        </is>
      </c>
      <c r="G708" t="n">
        <v>8.6</v>
      </c>
      <c r="H708" t="n">
        <v>0</v>
      </c>
      <c r="I708" t="n">
        <v>0</v>
      </c>
      <c r="J708" t="n">
        <v>0</v>
      </c>
      <c r="K708" t="n">
        <v>0</v>
      </c>
      <c r="L708" t="n">
        <v>0</v>
      </c>
      <c r="M708" t="n">
        <v>0</v>
      </c>
      <c r="N708" t="n">
        <v>0</v>
      </c>
      <c r="O708" t="n">
        <v>0</v>
      </c>
      <c r="P708" t="n">
        <v>0</v>
      </c>
      <c r="Q708" t="n">
        <v>0</v>
      </c>
      <c r="R708" s="2" t="inlineStr"/>
    </row>
    <row r="709" ht="15" customHeight="1">
      <c r="A709" t="inlineStr">
        <is>
          <t>A 60443-2023</t>
        </is>
      </c>
      <c r="B709" s="1" t="n">
        <v>45258</v>
      </c>
      <c r="C709" s="1" t="n">
        <v>45888</v>
      </c>
      <c r="D709" t="inlineStr">
        <is>
          <t>JÄMTLANDS LÄN</t>
        </is>
      </c>
      <c r="E709" t="inlineStr">
        <is>
          <t>RAGUNDA</t>
        </is>
      </c>
      <c r="G709" t="n">
        <v>2.9</v>
      </c>
      <c r="H709" t="n">
        <v>0</v>
      </c>
      <c r="I709" t="n">
        <v>0</v>
      </c>
      <c r="J709" t="n">
        <v>0</v>
      </c>
      <c r="K709" t="n">
        <v>0</v>
      </c>
      <c r="L709" t="n">
        <v>0</v>
      </c>
      <c r="M709" t="n">
        <v>0</v>
      </c>
      <c r="N709" t="n">
        <v>0</v>
      </c>
      <c r="O709" t="n">
        <v>0</v>
      </c>
      <c r="P709" t="n">
        <v>0</v>
      </c>
      <c r="Q709" t="n">
        <v>0</v>
      </c>
      <c r="R709" s="2" t="inlineStr"/>
    </row>
    <row r="710" ht="15" customHeight="1">
      <c r="A710" t="inlineStr">
        <is>
          <t>A 4348-2023</t>
        </is>
      </c>
      <c r="B710" s="1" t="n">
        <v>44953</v>
      </c>
      <c r="C710" s="1" t="n">
        <v>45888</v>
      </c>
      <c r="D710" t="inlineStr">
        <is>
          <t>JÄMTLANDS LÄN</t>
        </is>
      </c>
      <c r="E710" t="inlineStr">
        <is>
          <t>RAGUNDA</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21726-2023</t>
        </is>
      </c>
      <c r="B711" s="1" t="n">
        <v>45065.42894675926</v>
      </c>
      <c r="C711" s="1" t="n">
        <v>45888</v>
      </c>
      <c r="D711" t="inlineStr">
        <is>
          <t>JÄMTLANDS LÄN</t>
        </is>
      </c>
      <c r="E711" t="inlineStr">
        <is>
          <t>RAGUNDA</t>
        </is>
      </c>
      <c r="G711" t="n">
        <v>0.4</v>
      </c>
      <c r="H711" t="n">
        <v>0</v>
      </c>
      <c r="I711" t="n">
        <v>0</v>
      </c>
      <c r="J711" t="n">
        <v>0</v>
      </c>
      <c r="K711" t="n">
        <v>0</v>
      </c>
      <c r="L711" t="n">
        <v>0</v>
      </c>
      <c r="M711" t="n">
        <v>0</v>
      </c>
      <c r="N711" t="n">
        <v>0</v>
      </c>
      <c r="O711" t="n">
        <v>0</v>
      </c>
      <c r="P711" t="n">
        <v>0</v>
      </c>
      <c r="Q711" t="n">
        <v>0</v>
      </c>
      <c r="R711" s="2" t="inlineStr"/>
    </row>
    <row r="712" ht="15" customHeight="1">
      <c r="A712" t="inlineStr">
        <is>
          <t>A 56286-2023</t>
        </is>
      </c>
      <c r="B712" s="1" t="n">
        <v>45241.95741898148</v>
      </c>
      <c r="C712" s="1" t="n">
        <v>45888</v>
      </c>
      <c r="D712" t="inlineStr">
        <is>
          <t>JÄMTLANDS LÄN</t>
        </is>
      </c>
      <c r="E712" t="inlineStr">
        <is>
          <t>RAGUNDA</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56287-2023</t>
        </is>
      </c>
      <c r="B713" s="1" t="n">
        <v>45241</v>
      </c>
      <c r="C713" s="1" t="n">
        <v>45888</v>
      </c>
      <c r="D713" t="inlineStr">
        <is>
          <t>JÄMTLANDS LÄN</t>
        </is>
      </c>
      <c r="E713" t="inlineStr">
        <is>
          <t>RAGUNDA</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62135-2024</t>
        </is>
      </c>
      <c r="B714" s="1" t="n">
        <v>45656.64223379629</v>
      </c>
      <c r="C714" s="1" t="n">
        <v>45888</v>
      </c>
      <c r="D714" t="inlineStr">
        <is>
          <t>JÄMTLANDS LÄN</t>
        </is>
      </c>
      <c r="E714" t="inlineStr">
        <is>
          <t>RAGUNDA</t>
        </is>
      </c>
      <c r="G714" t="n">
        <v>1.5</v>
      </c>
      <c r="H714" t="n">
        <v>0</v>
      </c>
      <c r="I714" t="n">
        <v>0</v>
      </c>
      <c r="J714" t="n">
        <v>0</v>
      </c>
      <c r="K714" t="n">
        <v>0</v>
      </c>
      <c r="L714" t="n">
        <v>0</v>
      </c>
      <c r="M714" t="n">
        <v>0</v>
      </c>
      <c r="N714" t="n">
        <v>0</v>
      </c>
      <c r="O714" t="n">
        <v>0</v>
      </c>
      <c r="P714" t="n">
        <v>0</v>
      </c>
      <c r="Q714" t="n">
        <v>0</v>
      </c>
      <c r="R714" s="2" t="inlineStr"/>
    </row>
    <row r="715" ht="15" customHeight="1">
      <c r="A715" t="inlineStr">
        <is>
          <t>A 18248-2023</t>
        </is>
      </c>
      <c r="B715" s="1" t="n">
        <v>45040</v>
      </c>
      <c r="C715" s="1" t="n">
        <v>45888</v>
      </c>
      <c r="D715" t="inlineStr">
        <is>
          <t>JÄMTLANDS LÄN</t>
        </is>
      </c>
      <c r="E715" t="inlineStr">
        <is>
          <t>RAGUNDA</t>
        </is>
      </c>
      <c r="G715" t="n">
        <v>4.3</v>
      </c>
      <c r="H715" t="n">
        <v>0</v>
      </c>
      <c r="I715" t="n">
        <v>0</v>
      </c>
      <c r="J715" t="n">
        <v>0</v>
      </c>
      <c r="K715" t="n">
        <v>0</v>
      </c>
      <c r="L715" t="n">
        <v>0</v>
      </c>
      <c r="M715" t="n">
        <v>0</v>
      </c>
      <c r="N715" t="n">
        <v>0</v>
      </c>
      <c r="O715" t="n">
        <v>0</v>
      </c>
      <c r="P715" t="n">
        <v>0</v>
      </c>
      <c r="Q715" t="n">
        <v>0</v>
      </c>
      <c r="R715" s="2" t="inlineStr"/>
    </row>
    <row r="716" ht="15" customHeight="1">
      <c r="A716" t="inlineStr">
        <is>
          <t>A 45952-2023</t>
        </is>
      </c>
      <c r="B716" s="1" t="n">
        <v>45195</v>
      </c>
      <c r="C716" s="1" t="n">
        <v>45888</v>
      </c>
      <c r="D716" t="inlineStr">
        <is>
          <t>JÄMTLANDS LÄN</t>
        </is>
      </c>
      <c r="E716" t="inlineStr">
        <is>
          <t>RAGUNDA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45954-2023</t>
        </is>
      </c>
      <c r="B717" s="1" t="n">
        <v>45195.94679398148</v>
      </c>
      <c r="C717" s="1" t="n">
        <v>45888</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45955-2023</t>
        </is>
      </c>
      <c r="B718" s="1" t="n">
        <v>45195.94685185186</v>
      </c>
      <c r="C718" s="1" t="n">
        <v>45888</v>
      </c>
      <c r="D718" t="inlineStr">
        <is>
          <t>JÄMTLANDS LÄN</t>
        </is>
      </c>
      <c r="E718" t="inlineStr">
        <is>
          <t>RAGUNDA</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8802-2022</t>
        </is>
      </c>
      <c r="B719" s="1" t="n">
        <v>44614</v>
      </c>
      <c r="C719" s="1" t="n">
        <v>45888</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39489-2023</t>
        </is>
      </c>
      <c r="B720" s="1" t="n">
        <v>45166</v>
      </c>
      <c r="C720" s="1" t="n">
        <v>45888</v>
      </c>
      <c r="D720" t="inlineStr">
        <is>
          <t>JÄMTLANDS LÄN</t>
        </is>
      </c>
      <c r="E720" t="inlineStr">
        <is>
          <t>RAGUNDA</t>
        </is>
      </c>
      <c r="G720" t="n">
        <v>5</v>
      </c>
      <c r="H720" t="n">
        <v>0</v>
      </c>
      <c r="I720" t="n">
        <v>0</v>
      </c>
      <c r="J720" t="n">
        <v>0</v>
      </c>
      <c r="K720" t="n">
        <v>0</v>
      </c>
      <c r="L720" t="n">
        <v>0</v>
      </c>
      <c r="M720" t="n">
        <v>0</v>
      </c>
      <c r="N720" t="n">
        <v>0</v>
      </c>
      <c r="O720" t="n">
        <v>0</v>
      </c>
      <c r="P720" t="n">
        <v>0</v>
      </c>
      <c r="Q720" t="n">
        <v>0</v>
      </c>
      <c r="R720" s="2" t="inlineStr"/>
    </row>
    <row r="721" ht="15" customHeight="1">
      <c r="A721" t="inlineStr">
        <is>
          <t>A 19263-2025</t>
        </is>
      </c>
      <c r="B721" s="1" t="n">
        <v>45769.51075231482</v>
      </c>
      <c r="C721" s="1" t="n">
        <v>45888</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55214-2022</t>
        </is>
      </c>
      <c r="B722" s="1" t="n">
        <v>44886</v>
      </c>
      <c r="C722" s="1" t="n">
        <v>45888</v>
      </c>
      <c r="D722" t="inlineStr">
        <is>
          <t>JÄMTLANDS LÄN</t>
        </is>
      </c>
      <c r="E722" t="inlineStr">
        <is>
          <t>RAGUNDA</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60456-2023</t>
        </is>
      </c>
      <c r="B723" s="1" t="n">
        <v>45258</v>
      </c>
      <c r="C723" s="1" t="n">
        <v>45888</v>
      </c>
      <c r="D723" t="inlineStr">
        <is>
          <t>JÄMTLANDS LÄN</t>
        </is>
      </c>
      <c r="E723" t="inlineStr">
        <is>
          <t>RAGUNDA</t>
        </is>
      </c>
      <c r="G723" t="n">
        <v>1.8</v>
      </c>
      <c r="H723" t="n">
        <v>0</v>
      </c>
      <c r="I723" t="n">
        <v>0</v>
      </c>
      <c r="J723" t="n">
        <v>0</v>
      </c>
      <c r="K723" t="n">
        <v>0</v>
      </c>
      <c r="L723" t="n">
        <v>0</v>
      </c>
      <c r="M723" t="n">
        <v>0</v>
      </c>
      <c r="N723" t="n">
        <v>0</v>
      </c>
      <c r="O723" t="n">
        <v>0</v>
      </c>
      <c r="P723" t="n">
        <v>0</v>
      </c>
      <c r="Q723" t="n">
        <v>0</v>
      </c>
      <c r="R723" s="2" t="inlineStr"/>
    </row>
    <row r="724" ht="15" customHeight="1">
      <c r="A724" t="inlineStr">
        <is>
          <t>A 16334-2025</t>
        </is>
      </c>
      <c r="B724" s="1" t="n">
        <v>45751.36490740741</v>
      </c>
      <c r="C724" s="1" t="n">
        <v>45888</v>
      </c>
      <c r="D724" t="inlineStr">
        <is>
          <t>JÄMTLANDS LÄN</t>
        </is>
      </c>
      <c r="E724" t="inlineStr">
        <is>
          <t>RAGUNDA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24158-2025</t>
        </is>
      </c>
      <c r="B725" s="1" t="n">
        <v>45796</v>
      </c>
      <c r="C725" s="1" t="n">
        <v>45888</v>
      </c>
      <c r="D725" t="inlineStr">
        <is>
          <t>JÄMTLANDS LÄN</t>
        </is>
      </c>
      <c r="E725" t="inlineStr">
        <is>
          <t>RAGUNDA</t>
        </is>
      </c>
      <c r="G725" t="n">
        <v>2.9</v>
      </c>
      <c r="H725" t="n">
        <v>0</v>
      </c>
      <c r="I725" t="n">
        <v>0</v>
      </c>
      <c r="J725" t="n">
        <v>0</v>
      </c>
      <c r="K725" t="n">
        <v>0</v>
      </c>
      <c r="L725" t="n">
        <v>0</v>
      </c>
      <c r="M725" t="n">
        <v>0</v>
      </c>
      <c r="N725" t="n">
        <v>0</v>
      </c>
      <c r="O725" t="n">
        <v>0</v>
      </c>
      <c r="P725" t="n">
        <v>0</v>
      </c>
      <c r="Q725" t="n">
        <v>0</v>
      </c>
      <c r="R725" s="2" t="inlineStr"/>
    </row>
    <row r="726" ht="15" customHeight="1">
      <c r="A726" t="inlineStr">
        <is>
          <t>A 24161-2025</t>
        </is>
      </c>
      <c r="B726" s="1" t="n">
        <v>45796</v>
      </c>
      <c r="C726" s="1" t="n">
        <v>45888</v>
      </c>
      <c r="D726" t="inlineStr">
        <is>
          <t>JÄMTLANDS LÄN</t>
        </is>
      </c>
      <c r="E726" t="inlineStr">
        <is>
          <t>RAGUNDA</t>
        </is>
      </c>
      <c r="G726" t="n">
        <v>2.4</v>
      </c>
      <c r="H726" t="n">
        <v>0</v>
      </c>
      <c r="I726" t="n">
        <v>0</v>
      </c>
      <c r="J726" t="n">
        <v>0</v>
      </c>
      <c r="K726" t="n">
        <v>0</v>
      </c>
      <c r="L726" t="n">
        <v>0</v>
      </c>
      <c r="M726" t="n">
        <v>0</v>
      </c>
      <c r="N726" t="n">
        <v>0</v>
      </c>
      <c r="O726" t="n">
        <v>0</v>
      </c>
      <c r="P726" t="n">
        <v>0</v>
      </c>
      <c r="Q726" t="n">
        <v>0</v>
      </c>
      <c r="R726" s="2" t="inlineStr"/>
    </row>
    <row r="727" ht="15" customHeight="1">
      <c r="A727" t="inlineStr">
        <is>
          <t>A 58438-2022</t>
        </is>
      </c>
      <c r="B727" s="1" t="n">
        <v>44901</v>
      </c>
      <c r="C727" s="1" t="n">
        <v>45888</v>
      </c>
      <c r="D727" t="inlineStr">
        <is>
          <t>JÄMTLANDS LÄN</t>
        </is>
      </c>
      <c r="E727" t="inlineStr">
        <is>
          <t>RAGUNDA</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58442-2022</t>
        </is>
      </c>
      <c r="B728" s="1" t="n">
        <v>44901</v>
      </c>
      <c r="C728" s="1" t="n">
        <v>45888</v>
      </c>
      <c r="D728" t="inlineStr">
        <is>
          <t>JÄMTLANDS LÄN</t>
        </is>
      </c>
      <c r="E728" t="inlineStr">
        <is>
          <t>RAGUNDA</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5806-2025</t>
        </is>
      </c>
      <c r="B729" s="1" t="n">
        <v>45694.69826388889</v>
      </c>
      <c r="C729" s="1" t="n">
        <v>45888</v>
      </c>
      <c r="D729" t="inlineStr">
        <is>
          <t>JÄMTLANDS LÄN</t>
        </is>
      </c>
      <c r="E729" t="inlineStr">
        <is>
          <t>RAGUNDA</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41179-2022</t>
        </is>
      </c>
      <c r="B730" s="1" t="n">
        <v>44825</v>
      </c>
      <c r="C730" s="1" t="n">
        <v>45888</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24149-2025</t>
        </is>
      </c>
      <c r="B731" s="1" t="n">
        <v>45796</v>
      </c>
      <c r="C731" s="1" t="n">
        <v>45888</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row>
    <row r="732" ht="15" customHeight="1">
      <c r="A732" t="inlineStr">
        <is>
          <t>A 24159-2025</t>
        </is>
      </c>
      <c r="B732" s="1" t="n">
        <v>45796</v>
      </c>
      <c r="C732" s="1" t="n">
        <v>45888</v>
      </c>
      <c r="D732" t="inlineStr">
        <is>
          <t>JÄMTLANDS LÄN</t>
        </is>
      </c>
      <c r="E732" t="inlineStr">
        <is>
          <t>RAGUNDA</t>
        </is>
      </c>
      <c r="G732" t="n">
        <v>0.8</v>
      </c>
      <c r="H732" t="n">
        <v>0</v>
      </c>
      <c r="I732" t="n">
        <v>0</v>
      </c>
      <c r="J732" t="n">
        <v>0</v>
      </c>
      <c r="K732" t="n">
        <v>0</v>
      </c>
      <c r="L732" t="n">
        <v>0</v>
      </c>
      <c r="M732" t="n">
        <v>0</v>
      </c>
      <c r="N732" t="n">
        <v>0</v>
      </c>
      <c r="O732" t="n">
        <v>0</v>
      </c>
      <c r="P732" t="n">
        <v>0</v>
      </c>
      <c r="Q732" t="n">
        <v>0</v>
      </c>
      <c r="R732" s="2" t="inlineStr"/>
    </row>
    <row r="733" ht="15" customHeight="1">
      <c r="A733" t="inlineStr">
        <is>
          <t>A 24391-2025</t>
        </is>
      </c>
      <c r="B733" s="1" t="n">
        <v>45797.63627314815</v>
      </c>
      <c r="C733" s="1" t="n">
        <v>45888</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61598-2024</t>
        </is>
      </c>
      <c r="B734" s="1" t="n">
        <v>45646.63605324074</v>
      </c>
      <c r="C734" s="1" t="n">
        <v>45888</v>
      </c>
      <c r="D734" t="inlineStr">
        <is>
          <t>JÄMTLANDS LÄN</t>
        </is>
      </c>
      <c r="E734" t="inlineStr">
        <is>
          <t>RAGUNDA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17667-2025</t>
        </is>
      </c>
      <c r="B735" s="1" t="n">
        <v>45758.36487268518</v>
      </c>
      <c r="C735" s="1" t="n">
        <v>45888</v>
      </c>
      <c r="D735" t="inlineStr">
        <is>
          <t>JÄMTLANDS LÄN</t>
        </is>
      </c>
      <c r="E735" t="inlineStr">
        <is>
          <t>RAGUNDA</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50157-2023</t>
        </is>
      </c>
      <c r="B736" s="1" t="n">
        <v>45208</v>
      </c>
      <c r="C736" s="1" t="n">
        <v>45888</v>
      </c>
      <c r="D736" t="inlineStr">
        <is>
          <t>JÄMTLANDS LÄN</t>
        </is>
      </c>
      <c r="E736" t="inlineStr">
        <is>
          <t>RAGUNDA</t>
        </is>
      </c>
      <c r="G736" t="n">
        <v>0.9</v>
      </c>
      <c r="H736" t="n">
        <v>0</v>
      </c>
      <c r="I736" t="n">
        <v>0</v>
      </c>
      <c r="J736" t="n">
        <v>0</v>
      </c>
      <c r="K736" t="n">
        <v>0</v>
      </c>
      <c r="L736" t="n">
        <v>0</v>
      </c>
      <c r="M736" t="n">
        <v>0</v>
      </c>
      <c r="N736" t="n">
        <v>0</v>
      </c>
      <c r="O736" t="n">
        <v>0</v>
      </c>
      <c r="P736" t="n">
        <v>0</v>
      </c>
      <c r="Q736" t="n">
        <v>0</v>
      </c>
      <c r="R736" s="2" t="inlineStr"/>
    </row>
    <row r="737" ht="15" customHeight="1">
      <c r="A737" t="inlineStr">
        <is>
          <t>A 7722-2023</t>
        </is>
      </c>
      <c r="B737" s="1" t="n">
        <v>44972.94140046297</v>
      </c>
      <c r="C737" s="1" t="n">
        <v>45888</v>
      </c>
      <c r="D737" t="inlineStr">
        <is>
          <t>JÄMTLANDS LÄN</t>
        </is>
      </c>
      <c r="E737" t="inlineStr">
        <is>
          <t>RAGUNDA</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12204-2025</t>
        </is>
      </c>
      <c r="B738" s="1" t="n">
        <v>45729.51074074074</v>
      </c>
      <c r="C738" s="1" t="n">
        <v>45888</v>
      </c>
      <c r="D738" t="inlineStr">
        <is>
          <t>JÄMTLANDS LÄN</t>
        </is>
      </c>
      <c r="E738" t="inlineStr">
        <is>
          <t>RAGUNDA</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62407-2023</t>
        </is>
      </c>
      <c r="B739" s="1" t="n">
        <v>45266</v>
      </c>
      <c r="C739" s="1" t="n">
        <v>45888</v>
      </c>
      <c r="D739" t="inlineStr">
        <is>
          <t>JÄMTLANDS LÄN</t>
        </is>
      </c>
      <c r="E739" t="inlineStr">
        <is>
          <t>RAGUNDA</t>
        </is>
      </c>
      <c r="G739" t="n">
        <v>1.6</v>
      </c>
      <c r="H739" t="n">
        <v>0</v>
      </c>
      <c r="I739" t="n">
        <v>0</v>
      </c>
      <c r="J739" t="n">
        <v>0</v>
      </c>
      <c r="K739" t="n">
        <v>0</v>
      </c>
      <c r="L739" t="n">
        <v>0</v>
      </c>
      <c r="M739" t="n">
        <v>0</v>
      </c>
      <c r="N739" t="n">
        <v>0</v>
      </c>
      <c r="O739" t="n">
        <v>0</v>
      </c>
      <c r="P739" t="n">
        <v>0</v>
      </c>
      <c r="Q739" t="n">
        <v>0</v>
      </c>
      <c r="R739" s="2" t="inlineStr"/>
    </row>
    <row r="740" ht="15" customHeight="1">
      <c r="A740" t="inlineStr">
        <is>
          <t>A 12405-2025</t>
        </is>
      </c>
      <c r="B740" s="1" t="n">
        <v>45730.42738425926</v>
      </c>
      <c r="C740" s="1" t="n">
        <v>45888</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13299-2024</t>
        </is>
      </c>
      <c r="B741" s="1" t="n">
        <v>45386.68003472222</v>
      </c>
      <c r="C741" s="1" t="n">
        <v>45888</v>
      </c>
      <c r="D741" t="inlineStr">
        <is>
          <t>JÄMTLANDS LÄN</t>
        </is>
      </c>
      <c r="E741" t="inlineStr">
        <is>
          <t>RAGUNDA</t>
        </is>
      </c>
      <c r="G741" t="n">
        <v>1.9</v>
      </c>
      <c r="H741" t="n">
        <v>0</v>
      </c>
      <c r="I741" t="n">
        <v>0</v>
      </c>
      <c r="J741" t="n">
        <v>0</v>
      </c>
      <c r="K741" t="n">
        <v>0</v>
      </c>
      <c r="L741" t="n">
        <v>0</v>
      </c>
      <c r="M741" t="n">
        <v>0</v>
      </c>
      <c r="N741" t="n">
        <v>0</v>
      </c>
      <c r="O741" t="n">
        <v>0</v>
      </c>
      <c r="P741" t="n">
        <v>0</v>
      </c>
      <c r="Q741" t="n">
        <v>0</v>
      </c>
      <c r="R741" s="2" t="inlineStr"/>
    </row>
    <row r="742" ht="15" customHeight="1">
      <c r="A742" t="inlineStr">
        <is>
          <t>A 15024-2022</t>
        </is>
      </c>
      <c r="B742" s="1" t="n">
        <v>44657</v>
      </c>
      <c r="C742" s="1" t="n">
        <v>45888</v>
      </c>
      <c r="D742" t="inlineStr">
        <is>
          <t>JÄMTLANDS LÄN</t>
        </is>
      </c>
      <c r="E742" t="inlineStr">
        <is>
          <t>RAGUNDA</t>
        </is>
      </c>
      <c r="G742" t="n">
        <v>1.8</v>
      </c>
      <c r="H742" t="n">
        <v>0</v>
      </c>
      <c r="I742" t="n">
        <v>0</v>
      </c>
      <c r="J742" t="n">
        <v>0</v>
      </c>
      <c r="K742" t="n">
        <v>0</v>
      </c>
      <c r="L742" t="n">
        <v>0</v>
      </c>
      <c r="M742" t="n">
        <v>0</v>
      </c>
      <c r="N742" t="n">
        <v>0</v>
      </c>
      <c r="O742" t="n">
        <v>0</v>
      </c>
      <c r="P742" t="n">
        <v>0</v>
      </c>
      <c r="Q742" t="n">
        <v>0</v>
      </c>
      <c r="R742" s="2" t="inlineStr"/>
    </row>
    <row r="743" ht="15" customHeight="1">
      <c r="A743" t="inlineStr">
        <is>
          <t>A 36986-2023</t>
        </is>
      </c>
      <c r="B743" s="1" t="n">
        <v>45154.95525462963</v>
      </c>
      <c r="C743" s="1" t="n">
        <v>45888</v>
      </c>
      <c r="D743" t="inlineStr">
        <is>
          <t>JÄMTLANDS LÄN</t>
        </is>
      </c>
      <c r="E743" t="inlineStr">
        <is>
          <t>RAGUNDA</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891-2022</t>
        </is>
      </c>
      <c r="B744" s="1" t="n">
        <v>44571</v>
      </c>
      <c r="C744" s="1" t="n">
        <v>45888</v>
      </c>
      <c r="D744" t="inlineStr">
        <is>
          <t>JÄMTLANDS LÄN</t>
        </is>
      </c>
      <c r="E744" t="inlineStr">
        <is>
          <t>RAGUNDA</t>
        </is>
      </c>
      <c r="G744" t="n">
        <v>1.7</v>
      </c>
      <c r="H744" t="n">
        <v>0</v>
      </c>
      <c r="I744" t="n">
        <v>0</v>
      </c>
      <c r="J744" t="n">
        <v>0</v>
      </c>
      <c r="K744" t="n">
        <v>0</v>
      </c>
      <c r="L744" t="n">
        <v>0</v>
      </c>
      <c r="M744" t="n">
        <v>0</v>
      </c>
      <c r="N744" t="n">
        <v>0</v>
      </c>
      <c r="O744" t="n">
        <v>0</v>
      </c>
      <c r="P744" t="n">
        <v>0</v>
      </c>
      <c r="Q744" t="n">
        <v>0</v>
      </c>
      <c r="R744" s="2" t="inlineStr"/>
    </row>
    <row r="745" ht="15" customHeight="1">
      <c r="A745" t="inlineStr">
        <is>
          <t>A 21524-2024</t>
        </is>
      </c>
      <c r="B745" s="1" t="n">
        <v>45441</v>
      </c>
      <c r="C745" s="1" t="n">
        <v>45888</v>
      </c>
      <c r="D745" t="inlineStr">
        <is>
          <t>JÄMTLANDS LÄN</t>
        </is>
      </c>
      <c r="E745" t="inlineStr">
        <is>
          <t>RAGUNDA</t>
        </is>
      </c>
      <c r="G745" t="n">
        <v>1.6</v>
      </c>
      <c r="H745" t="n">
        <v>0</v>
      </c>
      <c r="I745" t="n">
        <v>0</v>
      </c>
      <c r="J745" t="n">
        <v>0</v>
      </c>
      <c r="K745" t="n">
        <v>0</v>
      </c>
      <c r="L745" t="n">
        <v>0</v>
      </c>
      <c r="M745" t="n">
        <v>0</v>
      </c>
      <c r="N745" t="n">
        <v>0</v>
      </c>
      <c r="O745" t="n">
        <v>0</v>
      </c>
      <c r="P745" t="n">
        <v>0</v>
      </c>
      <c r="Q745" t="n">
        <v>0</v>
      </c>
      <c r="R745" s="2" t="inlineStr"/>
    </row>
    <row r="746" ht="15" customHeight="1">
      <c r="A746" t="inlineStr">
        <is>
          <t>A 24732-2025</t>
        </is>
      </c>
      <c r="B746" s="1" t="n">
        <v>45799.34421296296</v>
      </c>
      <c r="C746" s="1" t="n">
        <v>45888</v>
      </c>
      <c r="D746" t="inlineStr">
        <is>
          <t>JÄMTLANDS LÄN</t>
        </is>
      </c>
      <c r="E746" t="inlineStr">
        <is>
          <t>RAGUNDA</t>
        </is>
      </c>
      <c r="F746" t="inlineStr">
        <is>
          <t>SCA</t>
        </is>
      </c>
      <c r="G746" t="n">
        <v>16.2</v>
      </c>
      <c r="H746" t="n">
        <v>0</v>
      </c>
      <c r="I746" t="n">
        <v>0</v>
      </c>
      <c r="J746" t="n">
        <v>0</v>
      </c>
      <c r="K746" t="n">
        <v>0</v>
      </c>
      <c r="L746" t="n">
        <v>0</v>
      </c>
      <c r="M746" t="n">
        <v>0</v>
      </c>
      <c r="N746" t="n">
        <v>0</v>
      </c>
      <c r="O746" t="n">
        <v>0</v>
      </c>
      <c r="P746" t="n">
        <v>0</v>
      </c>
      <c r="Q746" t="n">
        <v>0</v>
      </c>
      <c r="R746" s="2" t="inlineStr"/>
    </row>
    <row r="747" ht="15" customHeight="1">
      <c r="A747" t="inlineStr">
        <is>
          <t>A 36371-2023</t>
        </is>
      </c>
      <c r="B747" s="1" t="n">
        <v>45149</v>
      </c>
      <c r="C747" s="1" t="n">
        <v>45888</v>
      </c>
      <c r="D747" t="inlineStr">
        <is>
          <t>JÄMTLANDS LÄN</t>
        </is>
      </c>
      <c r="E747" t="inlineStr">
        <is>
          <t>RAGUNDA</t>
        </is>
      </c>
      <c r="G747" t="n">
        <v>25.7</v>
      </c>
      <c r="H747" t="n">
        <v>0</v>
      </c>
      <c r="I747" t="n">
        <v>0</v>
      </c>
      <c r="J747" t="n">
        <v>0</v>
      </c>
      <c r="K747" t="n">
        <v>0</v>
      </c>
      <c r="L747" t="n">
        <v>0</v>
      </c>
      <c r="M747" t="n">
        <v>0</v>
      </c>
      <c r="N747" t="n">
        <v>0</v>
      </c>
      <c r="O747" t="n">
        <v>0</v>
      </c>
      <c r="P747" t="n">
        <v>0</v>
      </c>
      <c r="Q747" t="n">
        <v>0</v>
      </c>
      <c r="R747" s="2" t="inlineStr"/>
    </row>
    <row r="748" ht="15" customHeight="1">
      <c r="A748" t="inlineStr">
        <is>
          <t>A 38191-2024</t>
        </is>
      </c>
      <c r="B748" s="1" t="n">
        <v>45545.49078703704</v>
      </c>
      <c r="C748" s="1" t="n">
        <v>45888</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56702-2023</t>
        </is>
      </c>
      <c r="B749" s="1" t="n">
        <v>45243</v>
      </c>
      <c r="C749" s="1" t="n">
        <v>45888</v>
      </c>
      <c r="D749" t="inlineStr">
        <is>
          <t>JÄMTLANDS LÄN</t>
        </is>
      </c>
      <c r="E749" t="inlineStr">
        <is>
          <t>RAGUNDA</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32259-2024</t>
        </is>
      </c>
      <c r="B750" s="1" t="n">
        <v>45511</v>
      </c>
      <c r="C750" s="1" t="n">
        <v>45888</v>
      </c>
      <c r="D750" t="inlineStr">
        <is>
          <t>JÄMTLANDS LÄN</t>
        </is>
      </c>
      <c r="E750" t="inlineStr">
        <is>
          <t>RAGUNDA</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25631-2025</t>
        </is>
      </c>
      <c r="B751" s="1" t="n">
        <v>45803.5946875</v>
      </c>
      <c r="C751" s="1" t="n">
        <v>45888</v>
      </c>
      <c r="D751" t="inlineStr">
        <is>
          <t>JÄMTLANDS LÄN</t>
        </is>
      </c>
      <c r="E751" t="inlineStr">
        <is>
          <t>RAGUNDA</t>
        </is>
      </c>
      <c r="G751" t="n">
        <v>1.1</v>
      </c>
      <c r="H751" t="n">
        <v>0</v>
      </c>
      <c r="I751" t="n">
        <v>0</v>
      </c>
      <c r="J751" t="n">
        <v>0</v>
      </c>
      <c r="K751" t="n">
        <v>0</v>
      </c>
      <c r="L751" t="n">
        <v>0</v>
      </c>
      <c r="M751" t="n">
        <v>0</v>
      </c>
      <c r="N751" t="n">
        <v>0</v>
      </c>
      <c r="O751" t="n">
        <v>0</v>
      </c>
      <c r="P751" t="n">
        <v>0</v>
      </c>
      <c r="Q751" t="n">
        <v>0</v>
      </c>
      <c r="R751" s="2" t="inlineStr"/>
    </row>
    <row r="752" ht="15" customHeight="1">
      <c r="A752" t="inlineStr">
        <is>
          <t>A 2224-2024</t>
        </is>
      </c>
      <c r="B752" s="1" t="n">
        <v>45309.92524305556</v>
      </c>
      <c r="C752" s="1" t="n">
        <v>45888</v>
      </c>
      <c r="D752" t="inlineStr">
        <is>
          <t>JÄMTLANDS LÄN</t>
        </is>
      </c>
      <c r="E752" t="inlineStr">
        <is>
          <t>RAGUNDA</t>
        </is>
      </c>
      <c r="G752" t="n">
        <v>0.9</v>
      </c>
      <c r="H752" t="n">
        <v>0</v>
      </c>
      <c r="I752" t="n">
        <v>0</v>
      </c>
      <c r="J752" t="n">
        <v>0</v>
      </c>
      <c r="K752" t="n">
        <v>0</v>
      </c>
      <c r="L752" t="n">
        <v>0</v>
      </c>
      <c r="M752" t="n">
        <v>0</v>
      </c>
      <c r="N752" t="n">
        <v>0</v>
      </c>
      <c r="O752" t="n">
        <v>0</v>
      </c>
      <c r="P752" t="n">
        <v>0</v>
      </c>
      <c r="Q752" t="n">
        <v>0</v>
      </c>
      <c r="R752" s="2" t="inlineStr"/>
    </row>
    <row r="753" ht="15" customHeight="1">
      <c r="A753" t="inlineStr">
        <is>
          <t>A 1523-2024</t>
        </is>
      </c>
      <c r="B753" s="1" t="n">
        <v>45306</v>
      </c>
      <c r="C753" s="1" t="n">
        <v>45888</v>
      </c>
      <c r="D753" t="inlineStr">
        <is>
          <t>JÄMTLANDS LÄN</t>
        </is>
      </c>
      <c r="E753" t="inlineStr">
        <is>
          <t>RAGUNDA</t>
        </is>
      </c>
      <c r="G753" t="n">
        <v>4.1</v>
      </c>
      <c r="H753" t="n">
        <v>0</v>
      </c>
      <c r="I753" t="n">
        <v>0</v>
      </c>
      <c r="J753" t="n">
        <v>0</v>
      </c>
      <c r="K753" t="n">
        <v>0</v>
      </c>
      <c r="L753" t="n">
        <v>0</v>
      </c>
      <c r="M753" t="n">
        <v>0</v>
      </c>
      <c r="N753" t="n">
        <v>0</v>
      </c>
      <c r="O753" t="n">
        <v>0</v>
      </c>
      <c r="P753" t="n">
        <v>0</v>
      </c>
      <c r="Q753" t="n">
        <v>0</v>
      </c>
      <c r="R753" s="2" t="inlineStr"/>
    </row>
    <row r="754" ht="15" customHeight="1">
      <c r="A754" t="inlineStr">
        <is>
          <t>A 25630-2025</t>
        </is>
      </c>
      <c r="B754" s="1" t="n">
        <v>45803.59417824074</v>
      </c>
      <c r="C754" s="1" t="n">
        <v>45888</v>
      </c>
      <c r="D754" t="inlineStr">
        <is>
          <t>JÄMTLANDS LÄN</t>
        </is>
      </c>
      <c r="E754" t="inlineStr">
        <is>
          <t>RAGUNDA</t>
        </is>
      </c>
      <c r="G754" t="n">
        <v>6.9</v>
      </c>
      <c r="H754" t="n">
        <v>0</v>
      </c>
      <c r="I754" t="n">
        <v>0</v>
      </c>
      <c r="J754" t="n">
        <v>0</v>
      </c>
      <c r="K754" t="n">
        <v>0</v>
      </c>
      <c r="L754" t="n">
        <v>0</v>
      </c>
      <c r="M754" t="n">
        <v>0</v>
      </c>
      <c r="N754" t="n">
        <v>0</v>
      </c>
      <c r="O754" t="n">
        <v>0</v>
      </c>
      <c r="P754" t="n">
        <v>0</v>
      </c>
      <c r="Q754" t="n">
        <v>0</v>
      </c>
      <c r="R754" s="2" t="inlineStr"/>
    </row>
    <row r="755" ht="15" customHeight="1">
      <c r="A755" t="inlineStr">
        <is>
          <t>A 25597-2025</t>
        </is>
      </c>
      <c r="B755" s="1" t="n">
        <v>45803.53157407408</v>
      </c>
      <c r="C755" s="1" t="n">
        <v>45888</v>
      </c>
      <c r="D755" t="inlineStr">
        <is>
          <t>JÄMTLANDS LÄN</t>
        </is>
      </c>
      <c r="E755" t="inlineStr">
        <is>
          <t>RAGUNDA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25376-2025</t>
        </is>
      </c>
      <c r="B756" s="1" t="n">
        <v>45800.63619212963</v>
      </c>
      <c r="C756" s="1" t="n">
        <v>45888</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12464-2025</t>
        </is>
      </c>
      <c r="B757" s="1" t="n">
        <v>45730.53208333333</v>
      </c>
      <c r="C757" s="1" t="n">
        <v>45888</v>
      </c>
      <c r="D757" t="inlineStr">
        <is>
          <t>JÄMTLANDS LÄN</t>
        </is>
      </c>
      <c r="E757" t="inlineStr">
        <is>
          <t>RAGUNDA</t>
        </is>
      </c>
      <c r="F757" t="inlineStr">
        <is>
          <t>SCA</t>
        </is>
      </c>
      <c r="G757" t="n">
        <v>4.3</v>
      </c>
      <c r="H757" t="n">
        <v>0</v>
      </c>
      <c r="I757" t="n">
        <v>0</v>
      </c>
      <c r="J757" t="n">
        <v>0</v>
      </c>
      <c r="K757" t="n">
        <v>0</v>
      </c>
      <c r="L757" t="n">
        <v>0</v>
      </c>
      <c r="M757" t="n">
        <v>0</v>
      </c>
      <c r="N757" t="n">
        <v>0</v>
      </c>
      <c r="O757" t="n">
        <v>0</v>
      </c>
      <c r="P757" t="n">
        <v>0</v>
      </c>
      <c r="Q757" t="n">
        <v>0</v>
      </c>
      <c r="R757" s="2" t="inlineStr"/>
    </row>
    <row r="758" ht="15" customHeight="1">
      <c r="A758" t="inlineStr">
        <is>
          <t>A 25175-2025</t>
        </is>
      </c>
      <c r="B758" s="1" t="n">
        <v>45800.44822916666</v>
      </c>
      <c r="C758" s="1" t="n">
        <v>45888</v>
      </c>
      <c r="D758" t="inlineStr">
        <is>
          <t>JÄMTLANDS LÄN</t>
        </is>
      </c>
      <c r="E758" t="inlineStr">
        <is>
          <t>RAGUNDA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25177-2025</t>
        </is>
      </c>
      <c r="B759" s="1" t="n">
        <v>45800.44862268519</v>
      </c>
      <c r="C759" s="1" t="n">
        <v>45888</v>
      </c>
      <c r="D759" t="inlineStr">
        <is>
          <t>JÄMTLANDS LÄN</t>
        </is>
      </c>
      <c r="E759" t="inlineStr">
        <is>
          <t>RAGUNDA</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25659-2025</t>
        </is>
      </c>
      <c r="B760" s="1" t="n">
        <v>45803.61552083334</v>
      </c>
      <c r="C760" s="1" t="n">
        <v>45888</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25661-2025</t>
        </is>
      </c>
      <c r="B761" s="1" t="n">
        <v>45803.61557870371</v>
      </c>
      <c r="C761" s="1" t="n">
        <v>45888</v>
      </c>
      <c r="D761" t="inlineStr">
        <is>
          <t>JÄMTLANDS LÄN</t>
        </is>
      </c>
      <c r="E761" t="inlineStr">
        <is>
          <t>RAGUNDA</t>
        </is>
      </c>
      <c r="G761" t="n">
        <v>1.4</v>
      </c>
      <c r="H761" t="n">
        <v>0</v>
      </c>
      <c r="I761" t="n">
        <v>0</v>
      </c>
      <c r="J761" t="n">
        <v>0</v>
      </c>
      <c r="K761" t="n">
        <v>0</v>
      </c>
      <c r="L761" t="n">
        <v>0</v>
      </c>
      <c r="M761" t="n">
        <v>0</v>
      </c>
      <c r="N761" t="n">
        <v>0</v>
      </c>
      <c r="O761" t="n">
        <v>0</v>
      </c>
      <c r="P761" t="n">
        <v>0</v>
      </c>
      <c r="Q761" t="n">
        <v>0</v>
      </c>
      <c r="R761" s="2" t="inlineStr"/>
    </row>
    <row r="762" ht="15" customHeight="1">
      <c r="A762" t="inlineStr">
        <is>
          <t>A 58630-2024</t>
        </is>
      </c>
      <c r="B762" s="1" t="n">
        <v>45635.57331018519</v>
      </c>
      <c r="C762" s="1" t="n">
        <v>45888</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5313-2025</t>
        </is>
      </c>
      <c r="B763" s="1" t="n">
        <v>45692.51069444444</v>
      </c>
      <c r="C763" s="1" t="n">
        <v>45888</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5357-2025</t>
        </is>
      </c>
      <c r="B764" s="1" t="n">
        <v>45692.57326388889</v>
      </c>
      <c r="C764" s="1" t="n">
        <v>45888</v>
      </c>
      <c r="D764" t="inlineStr">
        <is>
          <t>JÄMTLANDS LÄN</t>
        </is>
      </c>
      <c r="E764" t="inlineStr">
        <is>
          <t>RAGUNDA</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3018-2024</t>
        </is>
      </c>
      <c r="B765" s="1" t="n">
        <v>45315.9492824074</v>
      </c>
      <c r="C765" s="1" t="n">
        <v>45888</v>
      </c>
      <c r="D765" t="inlineStr">
        <is>
          <t>JÄMTLANDS LÄN</t>
        </is>
      </c>
      <c r="E765" t="inlineStr">
        <is>
          <t>RAGUNDA</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44605-2024</t>
        </is>
      </c>
      <c r="B766" s="1" t="n">
        <v>45574.51185185185</v>
      </c>
      <c r="C766" s="1" t="n">
        <v>45888</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25350-2025</t>
        </is>
      </c>
      <c r="B767" s="1" t="n">
        <v>45800</v>
      </c>
      <c r="C767" s="1" t="n">
        <v>45888</v>
      </c>
      <c r="D767" t="inlineStr">
        <is>
          <t>JÄMTLANDS LÄN</t>
        </is>
      </c>
      <c r="E767" t="inlineStr">
        <is>
          <t>RAGUNDA</t>
        </is>
      </c>
      <c r="G767" t="n">
        <v>2.4</v>
      </c>
      <c r="H767" t="n">
        <v>0</v>
      </c>
      <c r="I767" t="n">
        <v>0</v>
      </c>
      <c r="J767" t="n">
        <v>0</v>
      </c>
      <c r="K767" t="n">
        <v>0</v>
      </c>
      <c r="L767" t="n">
        <v>0</v>
      </c>
      <c r="M767" t="n">
        <v>0</v>
      </c>
      <c r="N767" t="n">
        <v>0</v>
      </c>
      <c r="O767" t="n">
        <v>0</v>
      </c>
      <c r="P767" t="n">
        <v>0</v>
      </c>
      <c r="Q767" t="n">
        <v>0</v>
      </c>
      <c r="R767" s="2" t="inlineStr"/>
    </row>
    <row r="768" ht="15" customHeight="1">
      <c r="A768" t="inlineStr">
        <is>
          <t>A 25152-2025</t>
        </is>
      </c>
      <c r="B768" s="1" t="n">
        <v>45800.42743055556</v>
      </c>
      <c r="C768" s="1" t="n">
        <v>45888</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34461-2025</t>
        </is>
      </c>
      <c r="B769" s="1" t="n">
        <v>45847.34474537037</v>
      </c>
      <c r="C769" s="1" t="n">
        <v>45888</v>
      </c>
      <c r="D769" t="inlineStr">
        <is>
          <t>JÄMTLANDS LÄN</t>
        </is>
      </c>
      <c r="E769" t="inlineStr">
        <is>
          <t>RAGUNDA</t>
        </is>
      </c>
      <c r="F769" t="inlineStr">
        <is>
          <t>SCA</t>
        </is>
      </c>
      <c r="G769" t="n">
        <v>44.8</v>
      </c>
      <c r="H769" t="n">
        <v>0</v>
      </c>
      <c r="I769" t="n">
        <v>0</v>
      </c>
      <c r="J769" t="n">
        <v>0</v>
      </c>
      <c r="K769" t="n">
        <v>0</v>
      </c>
      <c r="L769" t="n">
        <v>0</v>
      </c>
      <c r="M769" t="n">
        <v>0</v>
      </c>
      <c r="N769" t="n">
        <v>0</v>
      </c>
      <c r="O769" t="n">
        <v>0</v>
      </c>
      <c r="P769" t="n">
        <v>0</v>
      </c>
      <c r="Q769" t="n">
        <v>0</v>
      </c>
      <c r="R769" s="2" t="inlineStr"/>
    </row>
    <row r="770" ht="15" customHeight="1">
      <c r="A770" t="inlineStr">
        <is>
          <t>A 34607-2025</t>
        </is>
      </c>
      <c r="B770" s="1" t="n">
        <v>45847.65703703704</v>
      </c>
      <c r="C770" s="1" t="n">
        <v>45888</v>
      </c>
      <c r="D770" t="inlineStr">
        <is>
          <t>JÄMTLANDS LÄN</t>
        </is>
      </c>
      <c r="E770" t="inlineStr">
        <is>
          <t>RAGUNDA</t>
        </is>
      </c>
      <c r="F770" t="inlineStr">
        <is>
          <t>SCA</t>
        </is>
      </c>
      <c r="G770" t="n">
        <v>31.4</v>
      </c>
      <c r="H770" t="n">
        <v>0</v>
      </c>
      <c r="I770" t="n">
        <v>0</v>
      </c>
      <c r="J770" t="n">
        <v>0</v>
      </c>
      <c r="K770" t="n">
        <v>0</v>
      </c>
      <c r="L770" t="n">
        <v>0</v>
      </c>
      <c r="M770" t="n">
        <v>0</v>
      </c>
      <c r="N770" t="n">
        <v>0</v>
      </c>
      <c r="O770" t="n">
        <v>0</v>
      </c>
      <c r="P770" t="n">
        <v>0</v>
      </c>
      <c r="Q770" t="n">
        <v>0</v>
      </c>
      <c r="R770" s="2" t="inlineStr"/>
    </row>
    <row r="771" ht="15" customHeight="1">
      <c r="A771" t="inlineStr">
        <is>
          <t>A 46549-2023</t>
        </is>
      </c>
      <c r="B771" s="1" t="n">
        <v>45197.94171296297</v>
      </c>
      <c r="C771" s="1" t="n">
        <v>45888</v>
      </c>
      <c r="D771" t="inlineStr">
        <is>
          <t>JÄMTLANDS LÄN</t>
        </is>
      </c>
      <c r="E771" t="inlineStr">
        <is>
          <t>RAGUNDA</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20773-2024</t>
        </is>
      </c>
      <c r="B772" s="1" t="n">
        <v>45436.94636574074</v>
      </c>
      <c r="C772" s="1" t="n">
        <v>45888</v>
      </c>
      <c r="D772" t="inlineStr">
        <is>
          <t>JÄMTLANDS LÄN</t>
        </is>
      </c>
      <c r="E772" t="inlineStr">
        <is>
          <t>RAGUNDA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34323-2023</t>
        </is>
      </c>
      <c r="B773" s="1" t="n">
        <v>45138.94925925926</v>
      </c>
      <c r="C773" s="1" t="n">
        <v>45888</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19613-2023</t>
        </is>
      </c>
      <c r="B774" s="1" t="n">
        <v>45050.94020833333</v>
      </c>
      <c r="C774" s="1" t="n">
        <v>45888</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25814-2025</t>
        </is>
      </c>
      <c r="B775" s="1" t="n">
        <v>45804.42642361111</v>
      </c>
      <c r="C775" s="1" t="n">
        <v>45888</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34464-2025</t>
        </is>
      </c>
      <c r="B776" s="1" t="n">
        <v>45847.34528935186</v>
      </c>
      <c r="C776" s="1" t="n">
        <v>45888</v>
      </c>
      <c r="D776" t="inlineStr">
        <is>
          <t>JÄMTLANDS LÄN</t>
        </is>
      </c>
      <c r="E776" t="inlineStr">
        <is>
          <t>RAGUNDA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25944-2025</t>
        </is>
      </c>
      <c r="B777" s="1" t="n">
        <v>45804.59487268519</v>
      </c>
      <c r="C777" s="1" t="n">
        <v>45888</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34466-2025</t>
        </is>
      </c>
      <c r="B778" s="1" t="n">
        <v>45847.34565972222</v>
      </c>
      <c r="C778" s="1" t="n">
        <v>45888</v>
      </c>
      <c r="D778" t="inlineStr">
        <is>
          <t>JÄMTLANDS LÄN</t>
        </is>
      </c>
      <c r="E778" t="inlineStr">
        <is>
          <t>RAGUNDA</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50486-2023</t>
        </is>
      </c>
      <c r="B779" s="1" t="n">
        <v>45216.92424768519</v>
      </c>
      <c r="C779" s="1" t="n">
        <v>45888</v>
      </c>
      <c r="D779" t="inlineStr">
        <is>
          <t>JÄMTLANDS LÄN</t>
        </is>
      </c>
      <c r="E779" t="inlineStr">
        <is>
          <t>RAGUNDA</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26283-2025</t>
        </is>
      </c>
      <c r="B780" s="1" t="n">
        <v>45805.61495370371</v>
      </c>
      <c r="C780" s="1" t="n">
        <v>45888</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10788-2025</t>
        </is>
      </c>
      <c r="B781" s="1" t="n">
        <v>45722.48982638889</v>
      </c>
      <c r="C781" s="1" t="n">
        <v>45888</v>
      </c>
      <c r="D781" t="inlineStr">
        <is>
          <t>JÄMTLANDS LÄN</t>
        </is>
      </c>
      <c r="E781" t="inlineStr">
        <is>
          <t>RAGUNDA</t>
        </is>
      </c>
      <c r="G781" t="n">
        <v>3.5</v>
      </c>
      <c r="H781" t="n">
        <v>0</v>
      </c>
      <c r="I781" t="n">
        <v>0</v>
      </c>
      <c r="J781" t="n">
        <v>0</v>
      </c>
      <c r="K781" t="n">
        <v>0</v>
      </c>
      <c r="L781" t="n">
        <v>0</v>
      </c>
      <c r="M781" t="n">
        <v>0</v>
      </c>
      <c r="N781" t="n">
        <v>0</v>
      </c>
      <c r="O781" t="n">
        <v>0</v>
      </c>
      <c r="P781" t="n">
        <v>0</v>
      </c>
      <c r="Q781" t="n">
        <v>0</v>
      </c>
      <c r="R781" s="2" t="inlineStr"/>
    </row>
    <row r="782" ht="15" customHeight="1">
      <c r="A782" t="inlineStr">
        <is>
          <t>A 24258-2025</t>
        </is>
      </c>
      <c r="B782" s="1" t="n">
        <v>45797.40800925926</v>
      </c>
      <c r="C782" s="1" t="n">
        <v>45888</v>
      </c>
      <c r="D782" t="inlineStr">
        <is>
          <t>JÄMTLANDS LÄN</t>
        </is>
      </c>
      <c r="E782" t="inlineStr">
        <is>
          <t>RAGUNDA</t>
        </is>
      </c>
      <c r="G782" t="n">
        <v>1.2</v>
      </c>
      <c r="H782" t="n">
        <v>0</v>
      </c>
      <c r="I782" t="n">
        <v>0</v>
      </c>
      <c r="J782" t="n">
        <v>0</v>
      </c>
      <c r="K782" t="n">
        <v>0</v>
      </c>
      <c r="L782" t="n">
        <v>0</v>
      </c>
      <c r="M782" t="n">
        <v>0</v>
      </c>
      <c r="N782" t="n">
        <v>0</v>
      </c>
      <c r="O782" t="n">
        <v>0</v>
      </c>
      <c r="P782" t="n">
        <v>0</v>
      </c>
      <c r="Q782" t="n">
        <v>0</v>
      </c>
      <c r="R782" s="2" t="inlineStr"/>
    </row>
    <row r="783" ht="15" customHeight="1">
      <c r="A783" t="inlineStr">
        <is>
          <t>A 32258-2024</t>
        </is>
      </c>
      <c r="B783" s="1" t="n">
        <v>45511</v>
      </c>
      <c r="C783" s="1" t="n">
        <v>45888</v>
      </c>
      <c r="D783" t="inlineStr">
        <is>
          <t>JÄMTLANDS LÄN</t>
        </is>
      </c>
      <c r="E783" t="inlineStr">
        <is>
          <t>RAGUNDA</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38270-2021</t>
        </is>
      </c>
      <c r="B784" s="1" t="n">
        <v>44405.92065972222</v>
      </c>
      <c r="C784" s="1" t="n">
        <v>45888</v>
      </c>
      <c r="D784" t="inlineStr">
        <is>
          <t>JÄMTLANDS LÄN</t>
        </is>
      </c>
      <c r="E784" t="inlineStr">
        <is>
          <t>RAGUNDA</t>
        </is>
      </c>
      <c r="G784" t="n">
        <v>1.3</v>
      </c>
      <c r="H784" t="n">
        <v>0</v>
      </c>
      <c r="I784" t="n">
        <v>0</v>
      </c>
      <c r="J784" t="n">
        <v>0</v>
      </c>
      <c r="K784" t="n">
        <v>0</v>
      </c>
      <c r="L784" t="n">
        <v>0</v>
      </c>
      <c r="M784" t="n">
        <v>0</v>
      </c>
      <c r="N784" t="n">
        <v>0</v>
      </c>
      <c r="O784" t="n">
        <v>0</v>
      </c>
      <c r="P784" t="n">
        <v>0</v>
      </c>
      <c r="Q784" t="n">
        <v>0</v>
      </c>
      <c r="R784" s="2" t="inlineStr"/>
    </row>
    <row r="785" ht="15" customHeight="1">
      <c r="A785" t="inlineStr">
        <is>
          <t>A 25994-2025</t>
        </is>
      </c>
      <c r="B785" s="1" t="n">
        <v>45804.65672453704</v>
      </c>
      <c r="C785" s="1" t="n">
        <v>45888</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29257-2024</t>
        </is>
      </c>
      <c r="B786" s="1" t="n">
        <v>45482.94815972223</v>
      </c>
      <c r="C786" s="1" t="n">
        <v>45888</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55309-2020</t>
        </is>
      </c>
      <c r="B787" s="1" t="n">
        <v>44130.9416550926</v>
      </c>
      <c r="C787" s="1" t="n">
        <v>45888</v>
      </c>
      <c r="D787" t="inlineStr">
        <is>
          <t>JÄMTLANDS LÄN</t>
        </is>
      </c>
      <c r="E787" t="inlineStr">
        <is>
          <t>RAGUNDA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27373-2023</t>
        </is>
      </c>
      <c r="B788" s="1" t="n">
        <v>45096.93866898148</v>
      </c>
      <c r="C788" s="1" t="n">
        <v>45888</v>
      </c>
      <c r="D788" t="inlineStr">
        <is>
          <t>JÄMTLANDS LÄN</t>
        </is>
      </c>
      <c r="E788" t="inlineStr">
        <is>
          <t>RAGUNDA</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62115-2024</t>
        </is>
      </c>
      <c r="B789" s="1" t="n">
        <v>45656</v>
      </c>
      <c r="C789" s="1" t="n">
        <v>45888</v>
      </c>
      <c r="D789" t="inlineStr">
        <is>
          <t>JÄMTLANDS LÄN</t>
        </is>
      </c>
      <c r="E789" t="inlineStr">
        <is>
          <t>RAGUNDA</t>
        </is>
      </c>
      <c r="G789" t="n">
        <v>3.3</v>
      </c>
      <c r="H789" t="n">
        <v>0</v>
      </c>
      <c r="I789" t="n">
        <v>0</v>
      </c>
      <c r="J789" t="n">
        <v>0</v>
      </c>
      <c r="K789" t="n">
        <v>0</v>
      </c>
      <c r="L789" t="n">
        <v>0</v>
      </c>
      <c r="M789" t="n">
        <v>0</v>
      </c>
      <c r="N789" t="n">
        <v>0</v>
      </c>
      <c r="O789" t="n">
        <v>0</v>
      </c>
      <c r="P789" t="n">
        <v>0</v>
      </c>
      <c r="Q789" t="n">
        <v>0</v>
      </c>
      <c r="R789" s="2" t="inlineStr"/>
    </row>
    <row r="790" ht="15" customHeight="1">
      <c r="A790" t="inlineStr">
        <is>
          <t>A 51538-2022</t>
        </is>
      </c>
      <c r="B790" s="1" t="n">
        <v>44869</v>
      </c>
      <c r="C790" s="1" t="n">
        <v>45888</v>
      </c>
      <c r="D790" t="inlineStr">
        <is>
          <t>JÄMTLANDS LÄN</t>
        </is>
      </c>
      <c r="E790" t="inlineStr">
        <is>
          <t>RAGUNDA</t>
        </is>
      </c>
      <c r="G790" t="n">
        <v>6.8</v>
      </c>
      <c r="H790" t="n">
        <v>0</v>
      </c>
      <c r="I790" t="n">
        <v>0</v>
      </c>
      <c r="J790" t="n">
        <v>0</v>
      </c>
      <c r="K790" t="n">
        <v>0</v>
      </c>
      <c r="L790" t="n">
        <v>0</v>
      </c>
      <c r="M790" t="n">
        <v>0</v>
      </c>
      <c r="N790" t="n">
        <v>0</v>
      </c>
      <c r="O790" t="n">
        <v>0</v>
      </c>
      <c r="P790" t="n">
        <v>0</v>
      </c>
      <c r="Q790" t="n">
        <v>0</v>
      </c>
      <c r="R790" s="2" t="inlineStr"/>
    </row>
    <row r="791" ht="15" customHeight="1">
      <c r="A791" t="inlineStr">
        <is>
          <t>A 34468-2025</t>
        </is>
      </c>
      <c r="B791" s="1" t="n">
        <v>45847.34597222223</v>
      </c>
      <c r="C791" s="1" t="n">
        <v>45888</v>
      </c>
      <c r="D791" t="inlineStr">
        <is>
          <t>JÄMTLANDS LÄN</t>
        </is>
      </c>
      <c r="E791" t="inlineStr">
        <is>
          <t>RAGUNDA</t>
        </is>
      </c>
      <c r="F791" t="inlineStr">
        <is>
          <t>SCA</t>
        </is>
      </c>
      <c r="G791" t="n">
        <v>10</v>
      </c>
      <c r="H791" t="n">
        <v>0</v>
      </c>
      <c r="I791" t="n">
        <v>0</v>
      </c>
      <c r="J791" t="n">
        <v>0</v>
      </c>
      <c r="K791" t="n">
        <v>0</v>
      </c>
      <c r="L791" t="n">
        <v>0</v>
      </c>
      <c r="M791" t="n">
        <v>0</v>
      </c>
      <c r="N791" t="n">
        <v>0</v>
      </c>
      <c r="O791" t="n">
        <v>0</v>
      </c>
      <c r="P791" t="n">
        <v>0</v>
      </c>
      <c r="Q791" t="n">
        <v>0</v>
      </c>
      <c r="R791" s="2" t="inlineStr"/>
    </row>
    <row r="792" ht="15" customHeight="1">
      <c r="A792" t="inlineStr">
        <is>
          <t>A 34296-2025</t>
        </is>
      </c>
      <c r="B792" s="1" t="n">
        <v>45846.34454861111</v>
      </c>
      <c r="C792" s="1" t="n">
        <v>45888</v>
      </c>
      <c r="D792" t="inlineStr">
        <is>
          <t>JÄMTLANDS LÄN</t>
        </is>
      </c>
      <c r="E792" t="inlineStr">
        <is>
          <t>RAGUNDA</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12653-2024</t>
        </is>
      </c>
      <c r="B793" s="1" t="n">
        <v>45384</v>
      </c>
      <c r="C793" s="1" t="n">
        <v>45888</v>
      </c>
      <c r="D793" t="inlineStr">
        <is>
          <t>JÄMTLANDS LÄN</t>
        </is>
      </c>
      <c r="E793" t="inlineStr">
        <is>
          <t>RAGUNDA</t>
        </is>
      </c>
      <c r="G793" t="n">
        <v>1.1</v>
      </c>
      <c r="H793" t="n">
        <v>0</v>
      </c>
      <c r="I793" t="n">
        <v>0</v>
      </c>
      <c r="J793" t="n">
        <v>0</v>
      </c>
      <c r="K793" t="n">
        <v>0</v>
      </c>
      <c r="L793" t="n">
        <v>0</v>
      </c>
      <c r="M793" t="n">
        <v>0</v>
      </c>
      <c r="N793" t="n">
        <v>0</v>
      </c>
      <c r="O793" t="n">
        <v>0</v>
      </c>
      <c r="P793" t="n">
        <v>0</v>
      </c>
      <c r="Q793" t="n">
        <v>0</v>
      </c>
      <c r="R793" s="2" t="inlineStr"/>
    </row>
    <row r="794" ht="15" customHeight="1">
      <c r="A794" t="inlineStr">
        <is>
          <t>A 50211-2023</t>
        </is>
      </c>
      <c r="B794" s="1" t="n">
        <v>45215.94657407407</v>
      </c>
      <c r="C794" s="1" t="n">
        <v>45888</v>
      </c>
      <c r="D794" t="inlineStr">
        <is>
          <t>JÄMTLANDS LÄN</t>
        </is>
      </c>
      <c r="E794" t="inlineStr">
        <is>
          <t>RAGUNDA</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26172-2025</t>
        </is>
      </c>
      <c r="B795" s="1" t="n">
        <v>45805.46613425926</v>
      </c>
      <c r="C795" s="1" t="n">
        <v>45888</v>
      </c>
      <c r="D795" t="inlineStr">
        <is>
          <t>JÄMTLANDS LÄN</t>
        </is>
      </c>
      <c r="E795" t="inlineStr">
        <is>
          <t>RAGUNDA</t>
        </is>
      </c>
      <c r="G795" t="n">
        <v>2.1</v>
      </c>
      <c r="H795" t="n">
        <v>0</v>
      </c>
      <c r="I795" t="n">
        <v>0</v>
      </c>
      <c r="J795" t="n">
        <v>0</v>
      </c>
      <c r="K795" t="n">
        <v>0</v>
      </c>
      <c r="L795" t="n">
        <v>0</v>
      </c>
      <c r="M795" t="n">
        <v>0</v>
      </c>
      <c r="N795" t="n">
        <v>0</v>
      </c>
      <c r="O795" t="n">
        <v>0</v>
      </c>
      <c r="P795" t="n">
        <v>0</v>
      </c>
      <c r="Q795" t="n">
        <v>0</v>
      </c>
      <c r="R795" s="2" t="inlineStr"/>
    </row>
    <row r="796" ht="15" customHeight="1">
      <c r="A796" t="inlineStr">
        <is>
          <t>A 19727-2025</t>
        </is>
      </c>
      <c r="B796" s="1" t="n">
        <v>45771.36538194444</v>
      </c>
      <c r="C796" s="1" t="n">
        <v>45888</v>
      </c>
      <c r="D796" t="inlineStr">
        <is>
          <t>JÄMTLANDS LÄN</t>
        </is>
      </c>
      <c r="E796" t="inlineStr">
        <is>
          <t>RAGUNDA</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34463-2025</t>
        </is>
      </c>
      <c r="B797" s="1" t="n">
        <v>45847.34515046296</v>
      </c>
      <c r="C797" s="1" t="n">
        <v>45888</v>
      </c>
      <c r="D797" t="inlineStr">
        <is>
          <t>JÄMTLANDS LÄN</t>
        </is>
      </c>
      <c r="E797" t="inlineStr">
        <is>
          <t>RAGUNDA</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19854-2025</t>
        </is>
      </c>
      <c r="B798" s="1" t="n">
        <v>45771.51074074074</v>
      </c>
      <c r="C798" s="1" t="n">
        <v>45888</v>
      </c>
      <c r="D798" t="inlineStr">
        <is>
          <t>JÄMTLANDS LÄN</t>
        </is>
      </c>
      <c r="E798" t="inlineStr">
        <is>
          <t>RAGUNDA</t>
        </is>
      </c>
      <c r="F798" t="inlineStr">
        <is>
          <t>SCA</t>
        </is>
      </c>
      <c r="G798" t="n">
        <v>8.4</v>
      </c>
      <c r="H798" t="n">
        <v>0</v>
      </c>
      <c r="I798" t="n">
        <v>0</v>
      </c>
      <c r="J798" t="n">
        <v>0</v>
      </c>
      <c r="K798" t="n">
        <v>0</v>
      </c>
      <c r="L798" t="n">
        <v>0</v>
      </c>
      <c r="M798" t="n">
        <v>0</v>
      </c>
      <c r="N798" t="n">
        <v>0</v>
      </c>
      <c r="O798" t="n">
        <v>0</v>
      </c>
      <c r="P798" t="n">
        <v>0</v>
      </c>
      <c r="Q798" t="n">
        <v>0</v>
      </c>
      <c r="R798" s="2" t="inlineStr"/>
    </row>
    <row r="799" ht="15" customHeight="1">
      <c r="A799" t="inlineStr">
        <is>
          <t>A 34588-2025</t>
        </is>
      </c>
      <c r="B799" s="1" t="n">
        <v>45847.61548611111</v>
      </c>
      <c r="C799" s="1" t="n">
        <v>45888</v>
      </c>
      <c r="D799" t="inlineStr">
        <is>
          <t>JÄMTLANDS LÄN</t>
        </is>
      </c>
      <c r="E799" t="inlineStr">
        <is>
          <t>RAGUNDA</t>
        </is>
      </c>
      <c r="G799" t="n">
        <v>32.3</v>
      </c>
      <c r="H799" t="n">
        <v>0</v>
      </c>
      <c r="I799" t="n">
        <v>0</v>
      </c>
      <c r="J799" t="n">
        <v>0</v>
      </c>
      <c r="K799" t="n">
        <v>0</v>
      </c>
      <c r="L799" t="n">
        <v>0</v>
      </c>
      <c r="M799" t="n">
        <v>0</v>
      </c>
      <c r="N799" t="n">
        <v>0</v>
      </c>
      <c r="O799" t="n">
        <v>0</v>
      </c>
      <c r="P799" t="n">
        <v>0</v>
      </c>
      <c r="Q799" t="n">
        <v>0</v>
      </c>
      <c r="R799" s="2" t="inlineStr"/>
    </row>
    <row r="800" ht="15" customHeight="1">
      <c r="A800" t="inlineStr">
        <is>
          <t>A 34586-2025</t>
        </is>
      </c>
      <c r="B800" s="1" t="n">
        <v>45847.61513888889</v>
      </c>
      <c r="C800" s="1" t="n">
        <v>45888</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26246-2025</t>
        </is>
      </c>
      <c r="B801" s="1" t="n">
        <v>45805.57390046296</v>
      </c>
      <c r="C801" s="1" t="n">
        <v>45888</v>
      </c>
      <c r="D801" t="inlineStr">
        <is>
          <t>JÄMTLANDS LÄN</t>
        </is>
      </c>
      <c r="E801" t="inlineStr">
        <is>
          <t>RAGUNDA</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50503-2024</t>
        </is>
      </c>
      <c r="B802" s="1" t="n">
        <v>45601.5315625</v>
      </c>
      <c r="C802" s="1" t="n">
        <v>45888</v>
      </c>
      <c r="D802" t="inlineStr">
        <is>
          <t>JÄMTLANDS LÄN</t>
        </is>
      </c>
      <c r="E802" t="inlineStr">
        <is>
          <t>RAGUNDA</t>
        </is>
      </c>
      <c r="F802" t="inlineStr">
        <is>
          <t>SCA</t>
        </is>
      </c>
      <c r="G802" t="n">
        <v>5.2</v>
      </c>
      <c r="H802" t="n">
        <v>0</v>
      </c>
      <c r="I802" t="n">
        <v>0</v>
      </c>
      <c r="J802" t="n">
        <v>0</v>
      </c>
      <c r="K802" t="n">
        <v>0</v>
      </c>
      <c r="L802" t="n">
        <v>0</v>
      </c>
      <c r="M802" t="n">
        <v>0</v>
      </c>
      <c r="N802" t="n">
        <v>0</v>
      </c>
      <c r="O802" t="n">
        <v>0</v>
      </c>
      <c r="P802" t="n">
        <v>0</v>
      </c>
      <c r="Q802" t="n">
        <v>0</v>
      </c>
      <c r="R802" s="2" t="inlineStr"/>
    </row>
    <row r="803" ht="15" customHeight="1">
      <c r="A803" t="inlineStr">
        <is>
          <t>A 9232-2025</t>
        </is>
      </c>
      <c r="B803" s="1" t="n">
        <v>45714.55064814815</v>
      </c>
      <c r="C803" s="1" t="n">
        <v>45888</v>
      </c>
      <c r="D803" t="inlineStr">
        <is>
          <t>JÄMTLANDS LÄN</t>
        </is>
      </c>
      <c r="E803" t="inlineStr">
        <is>
          <t>RAGUNDA</t>
        </is>
      </c>
      <c r="G803" t="n">
        <v>1.9</v>
      </c>
      <c r="H803" t="n">
        <v>0</v>
      </c>
      <c r="I803" t="n">
        <v>0</v>
      </c>
      <c r="J803" t="n">
        <v>0</v>
      </c>
      <c r="K803" t="n">
        <v>0</v>
      </c>
      <c r="L803" t="n">
        <v>0</v>
      </c>
      <c r="M803" t="n">
        <v>0</v>
      </c>
      <c r="N803" t="n">
        <v>0</v>
      </c>
      <c r="O803" t="n">
        <v>0</v>
      </c>
      <c r="P803" t="n">
        <v>0</v>
      </c>
      <c r="Q803" t="n">
        <v>0</v>
      </c>
      <c r="R803" s="2" t="inlineStr"/>
    </row>
    <row r="804" ht="15" customHeight="1">
      <c r="A804" t="inlineStr">
        <is>
          <t>A 10610-2024</t>
        </is>
      </c>
      <c r="B804" s="1" t="n">
        <v>45367.04693287037</v>
      </c>
      <c r="C804" s="1" t="n">
        <v>45888</v>
      </c>
      <c r="D804" t="inlineStr">
        <is>
          <t>JÄMTLANDS LÄN</t>
        </is>
      </c>
      <c r="E804" t="inlineStr">
        <is>
          <t>RAGUNDA</t>
        </is>
      </c>
      <c r="F804" t="inlineStr">
        <is>
          <t>SCA</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21401-2024</t>
        </is>
      </c>
      <c r="B805" s="1" t="n">
        <v>45441.33313657407</v>
      </c>
      <c r="C805" s="1" t="n">
        <v>45888</v>
      </c>
      <c r="D805" t="inlineStr">
        <is>
          <t>JÄMTLANDS LÄN</t>
        </is>
      </c>
      <c r="E805" t="inlineStr">
        <is>
          <t>RAGUNDA</t>
        </is>
      </c>
      <c r="G805" t="n">
        <v>3.7</v>
      </c>
      <c r="H805" t="n">
        <v>0</v>
      </c>
      <c r="I805" t="n">
        <v>0</v>
      </c>
      <c r="J805" t="n">
        <v>0</v>
      </c>
      <c r="K805" t="n">
        <v>0</v>
      </c>
      <c r="L805" t="n">
        <v>0</v>
      </c>
      <c r="M805" t="n">
        <v>0</v>
      </c>
      <c r="N805" t="n">
        <v>0</v>
      </c>
      <c r="O805" t="n">
        <v>0</v>
      </c>
      <c r="P805" t="n">
        <v>0</v>
      </c>
      <c r="Q805" t="n">
        <v>0</v>
      </c>
      <c r="R805" s="2" t="inlineStr"/>
    </row>
    <row r="806" ht="15" customHeight="1">
      <c r="A806" t="inlineStr">
        <is>
          <t>A 29775-2023</t>
        </is>
      </c>
      <c r="B806" s="1" t="n">
        <v>45098</v>
      </c>
      <c r="C806" s="1" t="n">
        <v>45888</v>
      </c>
      <c r="D806" t="inlineStr">
        <is>
          <t>JÄMTLANDS LÄN</t>
        </is>
      </c>
      <c r="E806" t="inlineStr">
        <is>
          <t>RAGUNDA</t>
        </is>
      </c>
      <c r="G806" t="n">
        <v>3.6</v>
      </c>
      <c r="H806" t="n">
        <v>0</v>
      </c>
      <c r="I806" t="n">
        <v>0</v>
      </c>
      <c r="J806" t="n">
        <v>0</v>
      </c>
      <c r="K806" t="n">
        <v>0</v>
      </c>
      <c r="L806" t="n">
        <v>0</v>
      </c>
      <c r="M806" t="n">
        <v>0</v>
      </c>
      <c r="N806" t="n">
        <v>0</v>
      </c>
      <c r="O806" t="n">
        <v>0</v>
      </c>
      <c r="P806" t="n">
        <v>0</v>
      </c>
      <c r="Q806" t="n">
        <v>0</v>
      </c>
      <c r="R806" s="2" t="inlineStr"/>
    </row>
    <row r="807" ht="15" customHeight="1">
      <c r="A807" t="inlineStr">
        <is>
          <t>A 10706-2023</t>
        </is>
      </c>
      <c r="B807" s="1" t="n">
        <v>44984</v>
      </c>
      <c r="C807" s="1" t="n">
        <v>45888</v>
      </c>
      <c r="D807" t="inlineStr">
        <is>
          <t>JÄMTLANDS LÄN</t>
        </is>
      </c>
      <c r="E807" t="inlineStr">
        <is>
          <t>RAGUNDA</t>
        </is>
      </c>
      <c r="G807" t="n">
        <v>7.7</v>
      </c>
      <c r="H807" t="n">
        <v>0</v>
      </c>
      <c r="I807" t="n">
        <v>0</v>
      </c>
      <c r="J807" t="n">
        <v>0</v>
      </c>
      <c r="K807" t="n">
        <v>0</v>
      </c>
      <c r="L807" t="n">
        <v>0</v>
      </c>
      <c r="M807" t="n">
        <v>0</v>
      </c>
      <c r="N807" t="n">
        <v>0</v>
      </c>
      <c r="O807" t="n">
        <v>0</v>
      </c>
      <c r="P807" t="n">
        <v>0</v>
      </c>
      <c r="Q807" t="n">
        <v>0</v>
      </c>
      <c r="R807" s="2" t="inlineStr"/>
    </row>
    <row r="808" ht="15" customHeight="1">
      <c r="A808" t="inlineStr">
        <is>
          <t>A 63708-2023</t>
        </is>
      </c>
      <c r="B808" s="1" t="n">
        <v>45275.95060185185</v>
      </c>
      <c r="C808" s="1" t="n">
        <v>45888</v>
      </c>
      <c r="D808" t="inlineStr">
        <is>
          <t>JÄMTLANDS LÄN</t>
        </is>
      </c>
      <c r="E808" t="inlineStr">
        <is>
          <t>RAGUNDA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16250-2022</t>
        </is>
      </c>
      <c r="B809" s="1" t="n">
        <v>44670</v>
      </c>
      <c r="C809" s="1" t="n">
        <v>45888</v>
      </c>
      <c r="D809" t="inlineStr">
        <is>
          <t>JÄMTLANDS LÄN</t>
        </is>
      </c>
      <c r="E809" t="inlineStr">
        <is>
          <t>RAGUNDA</t>
        </is>
      </c>
      <c r="G809" t="n">
        <v>1</v>
      </c>
      <c r="H809" t="n">
        <v>0</v>
      </c>
      <c r="I809" t="n">
        <v>0</v>
      </c>
      <c r="J809" t="n">
        <v>0</v>
      </c>
      <c r="K809" t="n">
        <v>0</v>
      </c>
      <c r="L809" t="n">
        <v>0</v>
      </c>
      <c r="M809" t="n">
        <v>0</v>
      </c>
      <c r="N809" t="n">
        <v>0</v>
      </c>
      <c r="O809" t="n">
        <v>0</v>
      </c>
      <c r="P809" t="n">
        <v>0</v>
      </c>
      <c r="Q809" t="n">
        <v>0</v>
      </c>
      <c r="R809" s="2" t="inlineStr"/>
    </row>
    <row r="810" ht="15" customHeight="1">
      <c r="A810" t="inlineStr">
        <is>
          <t>A 44494-2024</t>
        </is>
      </c>
      <c r="B810" s="1" t="n">
        <v>45574.39081018518</v>
      </c>
      <c r="C810" s="1" t="n">
        <v>45888</v>
      </c>
      <c r="D810" t="inlineStr">
        <is>
          <t>JÄMTLANDS LÄN</t>
        </is>
      </c>
      <c r="E810" t="inlineStr">
        <is>
          <t>RAGUNDA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34968-2025</t>
        </is>
      </c>
      <c r="B811" s="1" t="n">
        <v>45849.65663194445</v>
      </c>
      <c r="C811" s="1" t="n">
        <v>45888</v>
      </c>
      <c r="D811" t="inlineStr">
        <is>
          <t>JÄMTLANDS LÄN</t>
        </is>
      </c>
      <c r="E811" t="inlineStr">
        <is>
          <t>RAGUNDA</t>
        </is>
      </c>
      <c r="F811" t="inlineStr">
        <is>
          <t>SCA</t>
        </is>
      </c>
      <c r="G811" t="n">
        <v>20.2</v>
      </c>
      <c r="H811" t="n">
        <v>0</v>
      </c>
      <c r="I811" t="n">
        <v>0</v>
      </c>
      <c r="J811" t="n">
        <v>0</v>
      </c>
      <c r="K811" t="n">
        <v>0</v>
      </c>
      <c r="L811" t="n">
        <v>0</v>
      </c>
      <c r="M811" t="n">
        <v>0</v>
      </c>
      <c r="N811" t="n">
        <v>0</v>
      </c>
      <c r="O811" t="n">
        <v>0</v>
      </c>
      <c r="P811" t="n">
        <v>0</v>
      </c>
      <c r="Q811" t="n">
        <v>0</v>
      </c>
      <c r="R811" s="2" t="inlineStr"/>
    </row>
    <row r="812" ht="15" customHeight="1">
      <c r="A812" t="inlineStr">
        <is>
          <t>A 60663-2022</t>
        </is>
      </c>
      <c r="B812" s="1" t="n">
        <v>44911.93846064815</v>
      </c>
      <c r="C812" s="1" t="n">
        <v>45888</v>
      </c>
      <c r="D812" t="inlineStr">
        <is>
          <t>JÄMTLANDS LÄN</t>
        </is>
      </c>
      <c r="E812" t="inlineStr">
        <is>
          <t>RAGUNDA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13898-2023</t>
        </is>
      </c>
      <c r="B813" s="1" t="n">
        <v>45008.01408564814</v>
      </c>
      <c r="C813" s="1" t="n">
        <v>45888</v>
      </c>
      <c r="D813" t="inlineStr">
        <is>
          <t>JÄMTLANDS LÄN</t>
        </is>
      </c>
      <c r="E813" t="inlineStr">
        <is>
          <t>RAGUNDA</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58847-2024</t>
        </is>
      </c>
      <c r="B814" s="1" t="n">
        <v>45636.3864699074</v>
      </c>
      <c r="C814" s="1" t="n">
        <v>45888</v>
      </c>
      <c r="D814" t="inlineStr">
        <is>
          <t>JÄMTLANDS LÄN</t>
        </is>
      </c>
      <c r="E814" t="inlineStr">
        <is>
          <t>RAGUNDA</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34709-2025</t>
        </is>
      </c>
      <c r="B815" s="1" t="n">
        <v>45848.49761574074</v>
      </c>
      <c r="C815" s="1" t="n">
        <v>45888</v>
      </c>
      <c r="D815" t="inlineStr">
        <is>
          <t>JÄMTLANDS LÄN</t>
        </is>
      </c>
      <c r="E815" t="inlineStr">
        <is>
          <t>RAGUNDA</t>
        </is>
      </c>
      <c r="G815" t="n">
        <v>3.1</v>
      </c>
      <c r="H815" t="n">
        <v>0</v>
      </c>
      <c r="I815" t="n">
        <v>0</v>
      </c>
      <c r="J815" t="n">
        <v>0</v>
      </c>
      <c r="K815" t="n">
        <v>0</v>
      </c>
      <c r="L815" t="n">
        <v>0</v>
      </c>
      <c r="M815" t="n">
        <v>0</v>
      </c>
      <c r="N815" t="n">
        <v>0</v>
      </c>
      <c r="O815" t="n">
        <v>0</v>
      </c>
      <c r="P815" t="n">
        <v>0</v>
      </c>
      <c r="Q815" t="n">
        <v>0</v>
      </c>
      <c r="R815" s="2" t="inlineStr"/>
    </row>
    <row r="816" ht="15" customHeight="1">
      <c r="A816" t="inlineStr">
        <is>
          <t>A 34710-2025</t>
        </is>
      </c>
      <c r="B816" s="1" t="n">
        <v>45848.49774305556</v>
      </c>
      <c r="C816" s="1" t="n">
        <v>45888</v>
      </c>
      <c r="D816" t="inlineStr">
        <is>
          <t>JÄMTLANDS LÄN</t>
        </is>
      </c>
      <c r="E816" t="inlineStr">
        <is>
          <t>RAGUNDA</t>
        </is>
      </c>
      <c r="G816" t="n">
        <v>4.1</v>
      </c>
      <c r="H816" t="n">
        <v>0</v>
      </c>
      <c r="I816" t="n">
        <v>0</v>
      </c>
      <c r="J816" t="n">
        <v>0</v>
      </c>
      <c r="K816" t="n">
        <v>0</v>
      </c>
      <c r="L816" t="n">
        <v>0</v>
      </c>
      <c r="M816" t="n">
        <v>0</v>
      </c>
      <c r="N816" t="n">
        <v>0</v>
      </c>
      <c r="O816" t="n">
        <v>0</v>
      </c>
      <c r="P816" t="n">
        <v>0</v>
      </c>
      <c r="Q816" t="n">
        <v>0</v>
      </c>
      <c r="R816" s="2" t="inlineStr"/>
    </row>
    <row r="817" ht="15" customHeight="1">
      <c r="A817" t="inlineStr">
        <is>
          <t>A 34772-2025</t>
        </is>
      </c>
      <c r="B817" s="1" t="n">
        <v>45848.65658564815</v>
      </c>
      <c r="C817" s="1" t="n">
        <v>45888</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27777-2022</t>
        </is>
      </c>
      <c r="B818" s="1" t="n">
        <v>44743</v>
      </c>
      <c r="C818" s="1" t="n">
        <v>45888</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73278-2021</t>
        </is>
      </c>
      <c r="B819" s="1" t="n">
        <v>44550.92168981482</v>
      </c>
      <c r="C819" s="1" t="n">
        <v>45888</v>
      </c>
      <c r="D819" t="inlineStr">
        <is>
          <t>JÄMTLANDS LÄN</t>
        </is>
      </c>
      <c r="E819" t="inlineStr">
        <is>
          <t>RAGUNDA</t>
        </is>
      </c>
      <c r="G819" t="n">
        <v>4.4</v>
      </c>
      <c r="H819" t="n">
        <v>0</v>
      </c>
      <c r="I819" t="n">
        <v>0</v>
      </c>
      <c r="J819" t="n">
        <v>0</v>
      </c>
      <c r="K819" t="n">
        <v>0</v>
      </c>
      <c r="L819" t="n">
        <v>0</v>
      </c>
      <c r="M819" t="n">
        <v>0</v>
      </c>
      <c r="N819" t="n">
        <v>0</v>
      </c>
      <c r="O819" t="n">
        <v>0</v>
      </c>
      <c r="P819" t="n">
        <v>0</v>
      </c>
      <c r="Q819" t="n">
        <v>0</v>
      </c>
      <c r="R819" s="2" t="inlineStr"/>
    </row>
    <row r="820" ht="15" customHeight="1">
      <c r="A820" t="inlineStr">
        <is>
          <t>A 34999-2025</t>
        </is>
      </c>
      <c r="B820" s="1" t="n">
        <v>45850.34450231482</v>
      </c>
      <c r="C820" s="1" t="n">
        <v>45888</v>
      </c>
      <c r="D820" t="inlineStr">
        <is>
          <t>JÄMTLANDS LÄN</t>
        </is>
      </c>
      <c r="E820" t="inlineStr">
        <is>
          <t>RAGUNDA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42875-2024</t>
        </is>
      </c>
      <c r="B821" s="1" t="n">
        <v>45566.68125</v>
      </c>
      <c r="C821" s="1" t="n">
        <v>45888</v>
      </c>
      <c r="D821" t="inlineStr">
        <is>
          <t>JÄMTLANDS LÄN</t>
        </is>
      </c>
      <c r="E821" t="inlineStr">
        <is>
          <t>RAGUNDA</t>
        </is>
      </c>
      <c r="G821" t="n">
        <v>0.5</v>
      </c>
      <c r="H821" t="n">
        <v>0</v>
      </c>
      <c r="I821" t="n">
        <v>0</v>
      </c>
      <c r="J821" t="n">
        <v>0</v>
      </c>
      <c r="K821" t="n">
        <v>0</v>
      </c>
      <c r="L821" t="n">
        <v>0</v>
      </c>
      <c r="M821" t="n">
        <v>0</v>
      </c>
      <c r="N821" t="n">
        <v>0</v>
      </c>
      <c r="O821" t="n">
        <v>0</v>
      </c>
      <c r="P821" t="n">
        <v>0</v>
      </c>
      <c r="Q821" t="n">
        <v>0</v>
      </c>
      <c r="R821" s="2" t="inlineStr"/>
    </row>
    <row r="822" ht="15" customHeight="1">
      <c r="A822" t="inlineStr">
        <is>
          <t>A 51396-2024</t>
        </is>
      </c>
      <c r="B822" s="1" t="n">
        <v>45604.4190625</v>
      </c>
      <c r="C822" s="1" t="n">
        <v>45888</v>
      </c>
      <c r="D822" t="inlineStr">
        <is>
          <t>JÄMTLANDS LÄN</t>
        </is>
      </c>
      <c r="E822" t="inlineStr">
        <is>
          <t>RAGUNDA</t>
        </is>
      </c>
      <c r="G822" t="n">
        <v>0.8</v>
      </c>
      <c r="H822" t="n">
        <v>0</v>
      </c>
      <c r="I822" t="n">
        <v>0</v>
      </c>
      <c r="J822" t="n">
        <v>0</v>
      </c>
      <c r="K822" t="n">
        <v>0</v>
      </c>
      <c r="L822" t="n">
        <v>0</v>
      </c>
      <c r="M822" t="n">
        <v>0</v>
      </c>
      <c r="N822" t="n">
        <v>0</v>
      </c>
      <c r="O822" t="n">
        <v>0</v>
      </c>
      <c r="P822" t="n">
        <v>0</v>
      </c>
      <c r="Q822" t="n">
        <v>0</v>
      </c>
      <c r="R822" s="2" t="inlineStr"/>
    </row>
    <row r="823" ht="15" customHeight="1">
      <c r="A823" t="inlineStr">
        <is>
          <t>A 35092-2025</t>
        </is>
      </c>
      <c r="B823" s="1" t="n">
        <v>45852.53185185185</v>
      </c>
      <c r="C823" s="1" t="n">
        <v>45888</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26026-2024</t>
        </is>
      </c>
      <c r="B824" s="1" t="n">
        <v>45467.96207175926</v>
      </c>
      <c r="C824" s="1" t="n">
        <v>45888</v>
      </c>
      <c r="D824" t="inlineStr">
        <is>
          <t>JÄMTLANDS LÄN</t>
        </is>
      </c>
      <c r="E824" t="inlineStr">
        <is>
          <t>RAGUNDA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26640-2025</t>
        </is>
      </c>
      <c r="B825" s="1" t="n">
        <v>45810.36495370371</v>
      </c>
      <c r="C825" s="1" t="n">
        <v>45888</v>
      </c>
      <c r="D825" t="inlineStr">
        <is>
          <t>JÄMTLANDS LÄN</t>
        </is>
      </c>
      <c r="E825" t="inlineStr">
        <is>
          <t>RAGUNDA</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53935-2022</t>
        </is>
      </c>
      <c r="B826" s="1" t="n">
        <v>44880</v>
      </c>
      <c r="C826" s="1" t="n">
        <v>45888</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5429-2024</t>
        </is>
      </c>
      <c r="B827" s="1" t="n">
        <v>45331.92746527777</v>
      </c>
      <c r="C827" s="1" t="n">
        <v>45888</v>
      </c>
      <c r="D827" t="inlineStr">
        <is>
          <t>JÄMTLANDS LÄN</t>
        </is>
      </c>
      <c r="E827" t="inlineStr">
        <is>
          <t>RAGUNDA</t>
        </is>
      </c>
      <c r="G827" t="n">
        <v>1.1</v>
      </c>
      <c r="H827" t="n">
        <v>0</v>
      </c>
      <c r="I827" t="n">
        <v>0</v>
      </c>
      <c r="J827" t="n">
        <v>0</v>
      </c>
      <c r="K827" t="n">
        <v>0</v>
      </c>
      <c r="L827" t="n">
        <v>0</v>
      </c>
      <c r="M827" t="n">
        <v>0</v>
      </c>
      <c r="N827" t="n">
        <v>0</v>
      </c>
      <c r="O827" t="n">
        <v>0</v>
      </c>
      <c r="P827" t="n">
        <v>0</v>
      </c>
      <c r="Q827" t="n">
        <v>0</v>
      </c>
      <c r="R827" s="2" t="inlineStr"/>
    </row>
    <row r="828" ht="15" customHeight="1">
      <c r="A828" t="inlineStr">
        <is>
          <t>A 35091-2025</t>
        </is>
      </c>
      <c r="B828" s="1" t="n">
        <v>45852.53168981482</v>
      </c>
      <c r="C828" s="1" t="n">
        <v>45888</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51685-2020</t>
        </is>
      </c>
      <c r="B829" s="1" t="n">
        <v>44113</v>
      </c>
      <c r="C829" s="1" t="n">
        <v>45888</v>
      </c>
      <c r="D829" t="inlineStr">
        <is>
          <t>JÄMTLANDS LÄN</t>
        </is>
      </c>
      <c r="E829" t="inlineStr">
        <is>
          <t>RAGUNDA</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3720-2025</t>
        </is>
      </c>
      <c r="B830" s="1" t="n">
        <v>45681.5315625</v>
      </c>
      <c r="C830" s="1" t="n">
        <v>45888</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2001-2025</t>
        </is>
      </c>
      <c r="B831" s="1" t="n">
        <v>45672.44898148148</v>
      </c>
      <c r="C831" s="1" t="n">
        <v>45888</v>
      </c>
      <c r="D831" t="inlineStr">
        <is>
          <t>JÄMTLANDS LÄN</t>
        </is>
      </c>
      <c r="E831" t="inlineStr">
        <is>
          <t>RAGUNDA</t>
        </is>
      </c>
      <c r="F831" t="inlineStr">
        <is>
          <t>SCA</t>
        </is>
      </c>
      <c r="G831" t="n">
        <v>16.2</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45888</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53762-2023</t>
        </is>
      </c>
      <c r="B833" s="1" t="n">
        <v>45230.96376157407</v>
      </c>
      <c r="C833" s="1" t="n">
        <v>45888</v>
      </c>
      <c r="D833" t="inlineStr">
        <is>
          <t>JÄMTLANDS LÄN</t>
        </is>
      </c>
      <c r="E833" t="inlineStr">
        <is>
          <t>RAGUNDA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30053-2024</t>
        </is>
      </c>
      <c r="B834" s="1" t="n">
        <v>45488.94747685185</v>
      </c>
      <c r="C834" s="1" t="n">
        <v>45888</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51579-2024</t>
        </is>
      </c>
      <c r="B835" s="1" t="n">
        <v>45604.63575231482</v>
      </c>
      <c r="C835" s="1" t="n">
        <v>45888</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8775-2025</t>
        </is>
      </c>
      <c r="B836" s="1" t="n">
        <v>45712.61502314815</v>
      </c>
      <c r="C836" s="1" t="n">
        <v>45888</v>
      </c>
      <c r="D836" t="inlineStr">
        <is>
          <t>JÄMTLANDS LÄN</t>
        </is>
      </c>
      <c r="E836" t="inlineStr">
        <is>
          <t>RAGUNDA</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34998-2025</t>
        </is>
      </c>
      <c r="B837" s="1" t="n">
        <v>45850.34434027778</v>
      </c>
      <c r="C837" s="1" t="n">
        <v>45888</v>
      </c>
      <c r="D837" t="inlineStr">
        <is>
          <t>JÄMTLANDS LÄN</t>
        </is>
      </c>
      <c r="E837" t="inlineStr">
        <is>
          <t>RAGUNDA</t>
        </is>
      </c>
      <c r="G837" t="n">
        <v>1.4</v>
      </c>
      <c r="H837" t="n">
        <v>0</v>
      </c>
      <c r="I837" t="n">
        <v>0</v>
      </c>
      <c r="J837" t="n">
        <v>0</v>
      </c>
      <c r="K837" t="n">
        <v>0</v>
      </c>
      <c r="L837" t="n">
        <v>0</v>
      </c>
      <c r="M837" t="n">
        <v>0</v>
      </c>
      <c r="N837" t="n">
        <v>0</v>
      </c>
      <c r="O837" t="n">
        <v>0</v>
      </c>
      <c r="P837" t="n">
        <v>0</v>
      </c>
      <c r="Q837" t="n">
        <v>0</v>
      </c>
      <c r="R837" s="2" t="inlineStr"/>
    </row>
    <row r="838" ht="15" customHeight="1">
      <c r="A838" t="inlineStr">
        <is>
          <t>A 2339-2025</t>
        </is>
      </c>
      <c r="B838" s="1" t="n">
        <v>45673.66358796296</v>
      </c>
      <c r="C838" s="1" t="n">
        <v>45888</v>
      </c>
      <c r="D838" t="inlineStr">
        <is>
          <t>JÄMTLANDS LÄN</t>
        </is>
      </c>
      <c r="E838" t="inlineStr">
        <is>
          <t>RAGUNDA</t>
        </is>
      </c>
      <c r="G838" t="n">
        <v>5</v>
      </c>
      <c r="H838" t="n">
        <v>0</v>
      </c>
      <c r="I838" t="n">
        <v>0</v>
      </c>
      <c r="J838" t="n">
        <v>0</v>
      </c>
      <c r="K838" t="n">
        <v>0</v>
      </c>
      <c r="L838" t="n">
        <v>0</v>
      </c>
      <c r="M838" t="n">
        <v>0</v>
      </c>
      <c r="N838" t="n">
        <v>0</v>
      </c>
      <c r="O838" t="n">
        <v>0</v>
      </c>
      <c r="P838" t="n">
        <v>0</v>
      </c>
      <c r="Q838" t="n">
        <v>0</v>
      </c>
      <c r="R838" s="2" t="inlineStr"/>
    </row>
    <row r="839" ht="15" customHeight="1">
      <c r="A839" t="inlineStr">
        <is>
          <t>A 19089-2024</t>
        </is>
      </c>
      <c r="B839" s="1" t="n">
        <v>45428.00471064815</v>
      </c>
      <c r="C839" s="1" t="n">
        <v>45888</v>
      </c>
      <c r="D839" t="inlineStr">
        <is>
          <t>JÄMTLANDS LÄN</t>
        </is>
      </c>
      <c r="E839" t="inlineStr">
        <is>
          <t>RAGUNDA</t>
        </is>
      </c>
      <c r="F839" t="inlineStr">
        <is>
          <t>SCA</t>
        </is>
      </c>
      <c r="G839" t="n">
        <v>6.1</v>
      </c>
      <c r="H839" t="n">
        <v>0</v>
      </c>
      <c r="I839" t="n">
        <v>0</v>
      </c>
      <c r="J839" t="n">
        <v>0</v>
      </c>
      <c r="K839" t="n">
        <v>0</v>
      </c>
      <c r="L839" t="n">
        <v>0</v>
      </c>
      <c r="M839" t="n">
        <v>0</v>
      </c>
      <c r="N839" t="n">
        <v>0</v>
      </c>
      <c r="O839" t="n">
        <v>0</v>
      </c>
      <c r="P839" t="n">
        <v>0</v>
      </c>
      <c r="Q839" t="n">
        <v>0</v>
      </c>
      <c r="R839" s="2" t="inlineStr"/>
    </row>
    <row r="840" ht="15" customHeight="1">
      <c r="A840" t="inlineStr">
        <is>
          <t>A 35462-2025</t>
        </is>
      </c>
      <c r="B840" s="1" t="n">
        <v>45855.61523148148</v>
      </c>
      <c r="C840" s="1" t="n">
        <v>45888</v>
      </c>
      <c r="D840" t="inlineStr">
        <is>
          <t>JÄMTLANDS LÄN</t>
        </is>
      </c>
      <c r="E840" t="inlineStr">
        <is>
          <t>RAGUNDA</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35477-2025</t>
        </is>
      </c>
      <c r="B841" s="1" t="n">
        <v>45855.67899305555</v>
      </c>
      <c r="C841" s="1" t="n">
        <v>45888</v>
      </c>
      <c r="D841" t="inlineStr">
        <is>
          <t>JÄMTLANDS LÄN</t>
        </is>
      </c>
      <c r="E841" t="inlineStr">
        <is>
          <t>RAGUNDA</t>
        </is>
      </c>
      <c r="G841" t="n">
        <v>3.6</v>
      </c>
      <c r="H841" t="n">
        <v>0</v>
      </c>
      <c r="I841" t="n">
        <v>0</v>
      </c>
      <c r="J841" t="n">
        <v>0</v>
      </c>
      <c r="K841" t="n">
        <v>0</v>
      </c>
      <c r="L841" t="n">
        <v>0</v>
      </c>
      <c r="M841" t="n">
        <v>0</v>
      </c>
      <c r="N841" t="n">
        <v>0</v>
      </c>
      <c r="O841" t="n">
        <v>0</v>
      </c>
      <c r="P841" t="n">
        <v>0</v>
      </c>
      <c r="Q841" t="n">
        <v>0</v>
      </c>
      <c r="R841" s="2" t="inlineStr"/>
    </row>
    <row r="842" ht="15" customHeight="1">
      <c r="A842" t="inlineStr">
        <is>
          <t>A 35355-2025</t>
        </is>
      </c>
      <c r="B842" s="1" t="n">
        <v>45854.65663194445</v>
      </c>
      <c r="C842" s="1" t="n">
        <v>45888</v>
      </c>
      <c r="D842" t="inlineStr">
        <is>
          <t>JÄMTLANDS LÄN</t>
        </is>
      </c>
      <c r="E842" t="inlineStr">
        <is>
          <t>RAGUNDA</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27499-2024</t>
        </is>
      </c>
      <c r="B843" s="1" t="n">
        <v>45474.50608796296</v>
      </c>
      <c r="C843" s="1" t="n">
        <v>45888</v>
      </c>
      <c r="D843" t="inlineStr">
        <is>
          <t>JÄMTLANDS LÄN</t>
        </is>
      </c>
      <c r="E843" t="inlineStr">
        <is>
          <t>RAGUNDA</t>
        </is>
      </c>
      <c r="G843" t="n">
        <v>1.3</v>
      </c>
      <c r="H843" t="n">
        <v>0</v>
      </c>
      <c r="I843" t="n">
        <v>0</v>
      </c>
      <c r="J843" t="n">
        <v>0</v>
      </c>
      <c r="K843" t="n">
        <v>0</v>
      </c>
      <c r="L843" t="n">
        <v>0</v>
      </c>
      <c r="M843" t="n">
        <v>0</v>
      </c>
      <c r="N843" t="n">
        <v>0</v>
      </c>
      <c r="O843" t="n">
        <v>0</v>
      </c>
      <c r="P843" t="n">
        <v>0</v>
      </c>
      <c r="Q843" t="n">
        <v>0</v>
      </c>
      <c r="R843" s="2" t="inlineStr"/>
    </row>
    <row r="844" ht="15" customHeight="1">
      <c r="A844" t="inlineStr">
        <is>
          <t>A 57078-2023</t>
        </is>
      </c>
      <c r="B844" s="1" t="n">
        <v>45244.96774305555</v>
      </c>
      <c r="C844" s="1" t="n">
        <v>45888</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41262-2021</t>
        </is>
      </c>
      <c r="B845" s="1" t="n">
        <v>44424</v>
      </c>
      <c r="C845" s="1" t="n">
        <v>45888</v>
      </c>
      <c r="D845" t="inlineStr">
        <is>
          <t>JÄMTLANDS LÄN</t>
        </is>
      </c>
      <c r="E845" t="inlineStr">
        <is>
          <t>RAGUNDA</t>
        </is>
      </c>
      <c r="G845" t="n">
        <v>2.6</v>
      </c>
      <c r="H845" t="n">
        <v>0</v>
      </c>
      <c r="I845" t="n">
        <v>0</v>
      </c>
      <c r="J845" t="n">
        <v>0</v>
      </c>
      <c r="K845" t="n">
        <v>0</v>
      </c>
      <c r="L845" t="n">
        <v>0</v>
      </c>
      <c r="M845" t="n">
        <v>0</v>
      </c>
      <c r="N845" t="n">
        <v>0</v>
      </c>
      <c r="O845" t="n">
        <v>0</v>
      </c>
      <c r="P845" t="n">
        <v>0</v>
      </c>
      <c r="Q845" t="n">
        <v>0</v>
      </c>
      <c r="R845" s="2" t="inlineStr"/>
    </row>
    <row r="846" ht="15" customHeight="1">
      <c r="A846" t="inlineStr">
        <is>
          <t>A 59368-2022</t>
        </is>
      </c>
      <c r="B846" s="1" t="n">
        <v>44904.94824074074</v>
      </c>
      <c r="C846" s="1" t="n">
        <v>45888</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6801-2023</t>
        </is>
      </c>
      <c r="B847" s="1" t="n">
        <v>44966.95328703704</v>
      </c>
      <c r="C847" s="1" t="n">
        <v>45888</v>
      </c>
      <c r="D847" t="inlineStr">
        <is>
          <t>JÄMTLANDS LÄN</t>
        </is>
      </c>
      <c r="E847" t="inlineStr">
        <is>
          <t>RAGUNDA</t>
        </is>
      </c>
      <c r="F847" t="inlineStr">
        <is>
          <t>SCA</t>
        </is>
      </c>
      <c r="G847" t="n">
        <v>10.6</v>
      </c>
      <c r="H847" t="n">
        <v>0</v>
      </c>
      <c r="I847" t="n">
        <v>0</v>
      </c>
      <c r="J847" t="n">
        <v>0</v>
      </c>
      <c r="K847" t="n">
        <v>0</v>
      </c>
      <c r="L847" t="n">
        <v>0</v>
      </c>
      <c r="M847" t="n">
        <v>0</v>
      </c>
      <c r="N847" t="n">
        <v>0</v>
      </c>
      <c r="O847" t="n">
        <v>0</v>
      </c>
      <c r="P847" t="n">
        <v>0</v>
      </c>
      <c r="Q847" t="n">
        <v>0</v>
      </c>
      <c r="R847" s="2" t="inlineStr"/>
    </row>
    <row r="848" ht="15" customHeight="1">
      <c r="A848" t="inlineStr">
        <is>
          <t>A 27510-2025</t>
        </is>
      </c>
      <c r="B848" s="1" t="n">
        <v>45813.42790509259</v>
      </c>
      <c r="C848" s="1" t="n">
        <v>45888</v>
      </c>
      <c r="D848" t="inlineStr">
        <is>
          <t>JÄMTLANDS LÄN</t>
        </is>
      </c>
      <c r="E848" t="inlineStr">
        <is>
          <t>RAGUNDA</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41656-2023</t>
        </is>
      </c>
      <c r="B849" s="1" t="n">
        <v>45175</v>
      </c>
      <c r="C849" s="1" t="n">
        <v>45888</v>
      </c>
      <c r="D849" t="inlineStr">
        <is>
          <t>JÄMTLANDS LÄN</t>
        </is>
      </c>
      <c r="E849" t="inlineStr">
        <is>
          <t>RAGUNDA</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19404-2025</t>
        </is>
      </c>
      <c r="B850" s="1" t="n">
        <v>45769.67802083334</v>
      </c>
      <c r="C850" s="1" t="n">
        <v>45888</v>
      </c>
      <c r="D850" t="inlineStr">
        <is>
          <t>JÄMTLANDS LÄN</t>
        </is>
      </c>
      <c r="E850" t="inlineStr">
        <is>
          <t>RAGUNDA</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51646-2023</t>
        </is>
      </c>
      <c r="B851" s="1" t="n">
        <v>45215</v>
      </c>
      <c r="C851" s="1" t="n">
        <v>45888</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37268-2024</t>
        </is>
      </c>
      <c r="B852" s="1" t="n">
        <v>45540.38586805556</v>
      </c>
      <c r="C852" s="1" t="n">
        <v>45888</v>
      </c>
      <c r="D852" t="inlineStr">
        <is>
          <t>JÄMTLANDS LÄN</t>
        </is>
      </c>
      <c r="E852" t="inlineStr">
        <is>
          <t>RAGUNDA</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20221-2025</t>
        </is>
      </c>
      <c r="B853" s="1" t="n">
        <v>45772.6565625</v>
      </c>
      <c r="C853" s="1" t="n">
        <v>45888</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4015-2022</t>
        </is>
      </c>
      <c r="B854" s="1" t="n">
        <v>44587.92149305555</v>
      </c>
      <c r="C854" s="1" t="n">
        <v>45888</v>
      </c>
      <c r="D854" t="inlineStr">
        <is>
          <t>JÄMTLANDS LÄN</t>
        </is>
      </c>
      <c r="E854" t="inlineStr">
        <is>
          <t>RAGUNDA</t>
        </is>
      </c>
      <c r="G854" t="n">
        <v>3.9</v>
      </c>
      <c r="H854" t="n">
        <v>0</v>
      </c>
      <c r="I854" t="n">
        <v>0</v>
      </c>
      <c r="J854" t="n">
        <v>0</v>
      </c>
      <c r="K854" t="n">
        <v>0</v>
      </c>
      <c r="L854" t="n">
        <v>0</v>
      </c>
      <c r="M854" t="n">
        <v>0</v>
      </c>
      <c r="N854" t="n">
        <v>0</v>
      </c>
      <c r="O854" t="n">
        <v>0</v>
      </c>
      <c r="P854" t="n">
        <v>0</v>
      </c>
      <c r="Q854" t="n">
        <v>0</v>
      </c>
      <c r="R854" s="2" t="inlineStr"/>
    </row>
    <row r="855" ht="15" customHeight="1">
      <c r="A855" t="inlineStr">
        <is>
          <t>A 14512-2025</t>
        </is>
      </c>
      <c r="B855" s="1" t="n">
        <v>45741.63659722222</v>
      </c>
      <c r="C855" s="1" t="n">
        <v>45888</v>
      </c>
      <c r="D855" t="inlineStr">
        <is>
          <t>JÄMTLANDS LÄN</t>
        </is>
      </c>
      <c r="E855" t="inlineStr">
        <is>
          <t>RAGUNDA</t>
        </is>
      </c>
      <c r="F855" t="inlineStr">
        <is>
          <t>SCA</t>
        </is>
      </c>
      <c r="G855" t="n">
        <v>8.9</v>
      </c>
      <c r="H855" t="n">
        <v>0</v>
      </c>
      <c r="I855" t="n">
        <v>0</v>
      </c>
      <c r="J855" t="n">
        <v>0</v>
      </c>
      <c r="K855" t="n">
        <v>0</v>
      </c>
      <c r="L855" t="n">
        <v>0</v>
      </c>
      <c r="M855" t="n">
        <v>0</v>
      </c>
      <c r="N855" t="n">
        <v>0</v>
      </c>
      <c r="O855" t="n">
        <v>0</v>
      </c>
      <c r="P855" t="n">
        <v>0</v>
      </c>
      <c r="Q855" t="n">
        <v>0</v>
      </c>
      <c r="R855" s="2" t="inlineStr"/>
    </row>
    <row r="856" ht="15" customHeight="1">
      <c r="A856" t="inlineStr">
        <is>
          <t>A 8416-2023</t>
        </is>
      </c>
      <c r="B856" s="1" t="n">
        <v>44977.44373842593</v>
      </c>
      <c r="C856" s="1" t="n">
        <v>45888</v>
      </c>
      <c r="D856" t="inlineStr">
        <is>
          <t>JÄMTLANDS LÄN</t>
        </is>
      </c>
      <c r="E856" t="inlineStr">
        <is>
          <t>RAGUNDA</t>
        </is>
      </c>
      <c r="G856" t="n">
        <v>0.7</v>
      </c>
      <c r="H856" t="n">
        <v>0</v>
      </c>
      <c r="I856" t="n">
        <v>0</v>
      </c>
      <c r="J856" t="n">
        <v>0</v>
      </c>
      <c r="K856" t="n">
        <v>0</v>
      </c>
      <c r="L856" t="n">
        <v>0</v>
      </c>
      <c r="M856" t="n">
        <v>0</v>
      </c>
      <c r="N856" t="n">
        <v>0</v>
      </c>
      <c r="O856" t="n">
        <v>0</v>
      </c>
      <c r="P856" t="n">
        <v>0</v>
      </c>
      <c r="Q856" t="n">
        <v>0</v>
      </c>
      <c r="R856" s="2" t="inlineStr"/>
    </row>
    <row r="857" ht="15" customHeight="1">
      <c r="A857" t="inlineStr">
        <is>
          <t>A 35658-2025</t>
        </is>
      </c>
      <c r="B857" s="1" t="n">
        <v>45859.594375</v>
      </c>
      <c r="C857" s="1" t="n">
        <v>45888</v>
      </c>
      <c r="D857" t="inlineStr">
        <is>
          <t>JÄMTLANDS LÄN</t>
        </is>
      </c>
      <c r="E857" t="inlineStr">
        <is>
          <t>RAGUNDA</t>
        </is>
      </c>
      <c r="F857" t="inlineStr">
        <is>
          <t>SCA</t>
        </is>
      </c>
      <c r="G857" t="n">
        <v>6</v>
      </c>
      <c r="H857" t="n">
        <v>0</v>
      </c>
      <c r="I857" t="n">
        <v>0</v>
      </c>
      <c r="J857" t="n">
        <v>0</v>
      </c>
      <c r="K857" t="n">
        <v>0</v>
      </c>
      <c r="L857" t="n">
        <v>0</v>
      </c>
      <c r="M857" t="n">
        <v>0</v>
      </c>
      <c r="N857" t="n">
        <v>0</v>
      </c>
      <c r="O857" t="n">
        <v>0</v>
      </c>
      <c r="P857" t="n">
        <v>0</v>
      </c>
      <c r="Q857" t="n">
        <v>0</v>
      </c>
      <c r="R857" s="2" t="inlineStr"/>
    </row>
    <row r="858" ht="15" customHeight="1">
      <c r="A858" t="inlineStr">
        <is>
          <t>A 45253-2023</t>
        </is>
      </c>
      <c r="B858" s="1" t="n">
        <v>45187</v>
      </c>
      <c r="C858" s="1" t="n">
        <v>45888</v>
      </c>
      <c r="D858" t="inlineStr">
        <is>
          <t>JÄMTLANDS LÄN</t>
        </is>
      </c>
      <c r="E858" t="inlineStr">
        <is>
          <t>RAGUNDA</t>
        </is>
      </c>
      <c r="G858" t="n">
        <v>3.3</v>
      </c>
      <c r="H858" t="n">
        <v>0</v>
      </c>
      <c r="I858" t="n">
        <v>0</v>
      </c>
      <c r="J858" t="n">
        <v>0</v>
      </c>
      <c r="K858" t="n">
        <v>0</v>
      </c>
      <c r="L858" t="n">
        <v>0</v>
      </c>
      <c r="M858" t="n">
        <v>0</v>
      </c>
      <c r="N858" t="n">
        <v>0</v>
      </c>
      <c r="O858" t="n">
        <v>0</v>
      </c>
      <c r="P858" t="n">
        <v>0</v>
      </c>
      <c r="Q858" t="n">
        <v>0</v>
      </c>
      <c r="R858" s="2" t="inlineStr"/>
    </row>
    <row r="859" ht="15" customHeight="1">
      <c r="A859" t="inlineStr">
        <is>
          <t>A 50649-2022</t>
        </is>
      </c>
      <c r="B859" s="1" t="n">
        <v>44866</v>
      </c>
      <c r="C859" s="1" t="n">
        <v>45888</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14369-2024</t>
        </is>
      </c>
      <c r="B860" s="1" t="n">
        <v>45393.94459490741</v>
      </c>
      <c r="C860" s="1" t="n">
        <v>45888</v>
      </c>
      <c r="D860" t="inlineStr">
        <is>
          <t>JÄMTLANDS LÄN</t>
        </is>
      </c>
      <c r="E860" t="inlineStr">
        <is>
          <t>RAGUNDA</t>
        </is>
      </c>
      <c r="F860" t="inlineStr">
        <is>
          <t>Naturvårdsverket</t>
        </is>
      </c>
      <c r="G860" t="n">
        <v>1.8</v>
      </c>
      <c r="H860" t="n">
        <v>0</v>
      </c>
      <c r="I860" t="n">
        <v>0</v>
      </c>
      <c r="J860" t="n">
        <v>0</v>
      </c>
      <c r="K860" t="n">
        <v>0</v>
      </c>
      <c r="L860" t="n">
        <v>0</v>
      </c>
      <c r="M860" t="n">
        <v>0</v>
      </c>
      <c r="N860" t="n">
        <v>0</v>
      </c>
      <c r="O860" t="n">
        <v>0</v>
      </c>
      <c r="P860" t="n">
        <v>0</v>
      </c>
      <c r="Q860" t="n">
        <v>0</v>
      </c>
      <c r="R860" s="2" t="inlineStr"/>
    </row>
    <row r="861" ht="15" customHeight="1">
      <c r="A861" t="inlineStr">
        <is>
          <t>A 59759-2024</t>
        </is>
      </c>
      <c r="B861" s="1" t="n">
        <v>45639.55240740741</v>
      </c>
      <c r="C861" s="1" t="n">
        <v>45888</v>
      </c>
      <c r="D861" t="inlineStr">
        <is>
          <t>JÄMTLANDS LÄN</t>
        </is>
      </c>
      <c r="E861" t="inlineStr">
        <is>
          <t>RAGUNDA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35537-2021</t>
        </is>
      </c>
      <c r="B862" s="1" t="n">
        <v>44384</v>
      </c>
      <c r="C862" s="1" t="n">
        <v>45888</v>
      </c>
      <c r="D862" t="inlineStr">
        <is>
          <t>JÄMTLANDS LÄN</t>
        </is>
      </c>
      <c r="E862" t="inlineStr">
        <is>
          <t>RAGUNDA</t>
        </is>
      </c>
      <c r="G862" t="n">
        <v>3.1</v>
      </c>
      <c r="H862" t="n">
        <v>0</v>
      </c>
      <c r="I862" t="n">
        <v>0</v>
      </c>
      <c r="J862" t="n">
        <v>0</v>
      </c>
      <c r="K862" t="n">
        <v>0</v>
      </c>
      <c r="L862" t="n">
        <v>0</v>
      </c>
      <c r="M862" t="n">
        <v>0</v>
      </c>
      <c r="N862" t="n">
        <v>0</v>
      </c>
      <c r="O862" t="n">
        <v>0</v>
      </c>
      <c r="P862" t="n">
        <v>0</v>
      </c>
      <c r="Q862" t="n">
        <v>0</v>
      </c>
      <c r="R862" s="2" t="inlineStr"/>
    </row>
    <row r="863" ht="15" customHeight="1">
      <c r="A863" t="inlineStr">
        <is>
          <t>A 2819-2023</t>
        </is>
      </c>
      <c r="B863" s="1" t="n">
        <v>44944</v>
      </c>
      <c r="C863" s="1" t="n">
        <v>45888</v>
      </c>
      <c r="D863" t="inlineStr">
        <is>
          <t>JÄMTLANDS LÄN</t>
        </is>
      </c>
      <c r="E863" t="inlineStr">
        <is>
          <t>RAGUNDA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44536-2022</t>
        </is>
      </c>
      <c r="B864" s="1" t="n">
        <v>44839</v>
      </c>
      <c r="C864" s="1" t="n">
        <v>45888</v>
      </c>
      <c r="D864" t="inlineStr">
        <is>
          <t>JÄMTLANDS LÄN</t>
        </is>
      </c>
      <c r="E864" t="inlineStr">
        <is>
          <t>RAGUNDA</t>
        </is>
      </c>
      <c r="G864" t="n">
        <v>4</v>
      </c>
      <c r="H864" t="n">
        <v>0</v>
      </c>
      <c r="I864" t="n">
        <v>0</v>
      </c>
      <c r="J864" t="n">
        <v>0</v>
      </c>
      <c r="K864" t="n">
        <v>0</v>
      </c>
      <c r="L864" t="n">
        <v>0</v>
      </c>
      <c r="M864" t="n">
        <v>0</v>
      </c>
      <c r="N864" t="n">
        <v>0</v>
      </c>
      <c r="O864" t="n">
        <v>0</v>
      </c>
      <c r="P864" t="n">
        <v>0</v>
      </c>
      <c r="Q864" t="n">
        <v>0</v>
      </c>
      <c r="R864" s="2" t="inlineStr"/>
    </row>
    <row r="865" ht="15" customHeight="1">
      <c r="A865" t="inlineStr">
        <is>
          <t>A 28084-2025</t>
        </is>
      </c>
      <c r="B865" s="1" t="n">
        <v>45817.71910879629</v>
      </c>
      <c r="C865" s="1" t="n">
        <v>45888</v>
      </c>
      <c r="D865" t="inlineStr">
        <is>
          <t>JÄMTLANDS LÄN</t>
        </is>
      </c>
      <c r="E865" t="inlineStr">
        <is>
          <t>RAGUNDA</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35541-2025</t>
        </is>
      </c>
      <c r="B866" s="1" t="n">
        <v>45856.46931712963</v>
      </c>
      <c r="C866" s="1" t="n">
        <v>45888</v>
      </c>
      <c r="D866" t="inlineStr">
        <is>
          <t>JÄMTLANDS LÄN</t>
        </is>
      </c>
      <c r="E866" t="inlineStr">
        <is>
          <t>RAGUNDA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18989-2025</t>
        </is>
      </c>
      <c r="B867" s="1" t="n">
        <v>45764</v>
      </c>
      <c r="C867" s="1" t="n">
        <v>45888</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182-2023</t>
        </is>
      </c>
      <c r="B868" s="1" t="n">
        <v>44922</v>
      </c>
      <c r="C868" s="1" t="n">
        <v>45888</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30459-2021</t>
        </is>
      </c>
      <c r="B869" s="1" t="n">
        <v>44362</v>
      </c>
      <c r="C869" s="1" t="n">
        <v>45888</v>
      </c>
      <c r="D869" t="inlineStr">
        <is>
          <t>JÄMTLANDS LÄN</t>
        </is>
      </c>
      <c r="E869" t="inlineStr">
        <is>
          <t>RAGUNDA</t>
        </is>
      </c>
      <c r="G869" t="n">
        <v>1</v>
      </c>
      <c r="H869" t="n">
        <v>0</v>
      </c>
      <c r="I869" t="n">
        <v>0</v>
      </c>
      <c r="J869" t="n">
        <v>0</v>
      </c>
      <c r="K869" t="n">
        <v>0</v>
      </c>
      <c r="L869" t="n">
        <v>0</v>
      </c>
      <c r="M869" t="n">
        <v>0</v>
      </c>
      <c r="N869" t="n">
        <v>0</v>
      </c>
      <c r="O869" t="n">
        <v>0</v>
      </c>
      <c r="P869" t="n">
        <v>0</v>
      </c>
      <c r="Q869" t="n">
        <v>0</v>
      </c>
      <c r="R869" s="2" t="inlineStr"/>
    </row>
    <row r="870" ht="15" customHeight="1">
      <c r="A870" t="inlineStr">
        <is>
          <t>A 6490-2022</t>
        </is>
      </c>
      <c r="B870" s="1" t="n">
        <v>44601</v>
      </c>
      <c r="C870" s="1" t="n">
        <v>45888</v>
      </c>
      <c r="D870" t="inlineStr">
        <is>
          <t>JÄMTLANDS LÄN</t>
        </is>
      </c>
      <c r="E870" t="inlineStr">
        <is>
          <t>RAGUNDA</t>
        </is>
      </c>
      <c r="G870" t="n">
        <v>3.8</v>
      </c>
      <c r="H870" t="n">
        <v>0</v>
      </c>
      <c r="I870" t="n">
        <v>0</v>
      </c>
      <c r="J870" t="n">
        <v>0</v>
      </c>
      <c r="K870" t="n">
        <v>0</v>
      </c>
      <c r="L870" t="n">
        <v>0</v>
      </c>
      <c r="M870" t="n">
        <v>0</v>
      </c>
      <c r="N870" t="n">
        <v>0</v>
      </c>
      <c r="O870" t="n">
        <v>0</v>
      </c>
      <c r="P870" t="n">
        <v>0</v>
      </c>
      <c r="Q870" t="n">
        <v>0</v>
      </c>
      <c r="R870" s="2" t="inlineStr"/>
    </row>
    <row r="871" ht="15" customHeight="1">
      <c r="A871" t="inlineStr">
        <is>
          <t>A 28216-2025</t>
        </is>
      </c>
      <c r="B871" s="1" t="n">
        <v>45818.46898148148</v>
      </c>
      <c r="C871" s="1" t="n">
        <v>45888</v>
      </c>
      <c r="D871" t="inlineStr">
        <is>
          <t>JÄMTLANDS LÄN</t>
        </is>
      </c>
      <c r="E871" t="inlineStr">
        <is>
          <t>RAGUNDA</t>
        </is>
      </c>
      <c r="G871" t="n">
        <v>6.6</v>
      </c>
      <c r="H871" t="n">
        <v>0</v>
      </c>
      <c r="I871" t="n">
        <v>0</v>
      </c>
      <c r="J871" t="n">
        <v>0</v>
      </c>
      <c r="K871" t="n">
        <v>0</v>
      </c>
      <c r="L871" t="n">
        <v>0</v>
      </c>
      <c r="M871" t="n">
        <v>0</v>
      </c>
      <c r="N871" t="n">
        <v>0</v>
      </c>
      <c r="O871" t="n">
        <v>0</v>
      </c>
      <c r="P871" t="n">
        <v>0</v>
      </c>
      <c r="Q871" t="n">
        <v>0</v>
      </c>
      <c r="R871" s="2" t="inlineStr"/>
    </row>
    <row r="872" ht="15" customHeight="1">
      <c r="A872" t="inlineStr">
        <is>
          <t>A 6802-2021</t>
        </is>
      </c>
      <c r="B872" s="1" t="n">
        <v>44236</v>
      </c>
      <c r="C872" s="1" t="n">
        <v>45888</v>
      </c>
      <c r="D872" t="inlineStr">
        <is>
          <t>JÄMTLANDS LÄN</t>
        </is>
      </c>
      <c r="E872" t="inlineStr">
        <is>
          <t>RAGUNDA</t>
        </is>
      </c>
      <c r="G872" t="n">
        <v>11.2</v>
      </c>
      <c r="H872" t="n">
        <v>0</v>
      </c>
      <c r="I872" t="n">
        <v>0</v>
      </c>
      <c r="J872" t="n">
        <v>0</v>
      </c>
      <c r="K872" t="n">
        <v>0</v>
      </c>
      <c r="L872" t="n">
        <v>0</v>
      </c>
      <c r="M872" t="n">
        <v>0</v>
      </c>
      <c r="N872" t="n">
        <v>0</v>
      </c>
      <c r="O872" t="n">
        <v>0</v>
      </c>
      <c r="P872" t="n">
        <v>0</v>
      </c>
      <c r="Q872" t="n">
        <v>0</v>
      </c>
      <c r="R872" s="2" t="inlineStr"/>
    </row>
    <row r="873" ht="15" customHeight="1">
      <c r="A873" t="inlineStr">
        <is>
          <t>A 6477-2024</t>
        </is>
      </c>
      <c r="B873" s="1" t="n">
        <v>45338.95405092592</v>
      </c>
      <c r="C873" s="1" t="n">
        <v>45888</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35689-2025</t>
        </is>
      </c>
      <c r="B874" s="1" t="n">
        <v>45860.30229166667</v>
      </c>
      <c r="C874" s="1" t="n">
        <v>45888</v>
      </c>
      <c r="D874" t="inlineStr">
        <is>
          <t>JÄMTLANDS LÄN</t>
        </is>
      </c>
      <c r="E874" t="inlineStr">
        <is>
          <t>RAGUNDA</t>
        </is>
      </c>
      <c r="G874" t="n">
        <v>1.9</v>
      </c>
      <c r="H874" t="n">
        <v>0</v>
      </c>
      <c r="I874" t="n">
        <v>0</v>
      </c>
      <c r="J874" t="n">
        <v>0</v>
      </c>
      <c r="K874" t="n">
        <v>0</v>
      </c>
      <c r="L874" t="n">
        <v>0</v>
      </c>
      <c r="M874" t="n">
        <v>0</v>
      </c>
      <c r="N874" t="n">
        <v>0</v>
      </c>
      <c r="O874" t="n">
        <v>0</v>
      </c>
      <c r="P874" t="n">
        <v>0</v>
      </c>
      <c r="Q874" t="n">
        <v>0</v>
      </c>
      <c r="R874" s="2" t="inlineStr"/>
    </row>
    <row r="875" ht="15" customHeight="1">
      <c r="A875" t="inlineStr">
        <is>
          <t>A 18193-2022</t>
        </is>
      </c>
      <c r="B875" s="1" t="n">
        <v>44684.94032407407</v>
      </c>
      <c r="C875" s="1" t="n">
        <v>45888</v>
      </c>
      <c r="D875" t="inlineStr">
        <is>
          <t>JÄMTLANDS LÄN</t>
        </is>
      </c>
      <c r="E875" t="inlineStr">
        <is>
          <t>RAGUNDA</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11551-2024</t>
        </is>
      </c>
      <c r="B876" s="1" t="n">
        <v>45372.95762731481</v>
      </c>
      <c r="C876" s="1" t="n">
        <v>45888</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37543-2023</t>
        </is>
      </c>
      <c r="B877" s="1" t="n">
        <v>45158.94231481481</v>
      </c>
      <c r="C877" s="1" t="n">
        <v>45888</v>
      </c>
      <c r="D877" t="inlineStr">
        <is>
          <t>JÄMTLANDS LÄN</t>
        </is>
      </c>
      <c r="E877" t="inlineStr">
        <is>
          <t>RAGUNDA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49647-2024</t>
        </is>
      </c>
      <c r="B878" s="1" t="n">
        <v>45596.61533564814</v>
      </c>
      <c r="C878" s="1" t="n">
        <v>45888</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28637-2025</t>
        </is>
      </c>
      <c r="B879" s="1" t="n">
        <v>45819.6359375</v>
      </c>
      <c r="C879" s="1" t="n">
        <v>45888</v>
      </c>
      <c r="D879" t="inlineStr">
        <is>
          <t>JÄMTLANDS LÄN</t>
        </is>
      </c>
      <c r="E879" t="inlineStr">
        <is>
          <t>RAGUNDA</t>
        </is>
      </c>
      <c r="F879" t="inlineStr">
        <is>
          <t>SCA</t>
        </is>
      </c>
      <c r="G879" t="n">
        <v>6.6</v>
      </c>
      <c r="H879" t="n">
        <v>0</v>
      </c>
      <c r="I879" t="n">
        <v>0</v>
      </c>
      <c r="J879" t="n">
        <v>0</v>
      </c>
      <c r="K879" t="n">
        <v>0</v>
      </c>
      <c r="L879" t="n">
        <v>0</v>
      </c>
      <c r="M879" t="n">
        <v>0</v>
      </c>
      <c r="N879" t="n">
        <v>0</v>
      </c>
      <c r="O879" t="n">
        <v>0</v>
      </c>
      <c r="P879" t="n">
        <v>0</v>
      </c>
      <c r="Q879" t="n">
        <v>0</v>
      </c>
      <c r="R879" s="2" t="inlineStr"/>
    </row>
    <row r="880" ht="15" customHeight="1">
      <c r="A880" t="inlineStr">
        <is>
          <t>A 28973-2025</t>
        </is>
      </c>
      <c r="B880" s="1" t="n">
        <v>45821.34513888889</v>
      </c>
      <c r="C880" s="1" t="n">
        <v>45888</v>
      </c>
      <c r="D880" t="inlineStr">
        <is>
          <t>JÄMTLANDS LÄN</t>
        </is>
      </c>
      <c r="E880" t="inlineStr">
        <is>
          <t>RAGUNDA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53264-2024</t>
        </is>
      </c>
      <c r="B881" s="1" t="n">
        <v>45614.34545138889</v>
      </c>
      <c r="C881" s="1" t="n">
        <v>45888</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13389-2025</t>
        </is>
      </c>
      <c r="B882" s="1" t="n">
        <v>45735.69842592593</v>
      </c>
      <c r="C882" s="1" t="n">
        <v>45888</v>
      </c>
      <c r="D882" t="inlineStr">
        <is>
          <t>JÄMTLANDS LÄN</t>
        </is>
      </c>
      <c r="E882" t="inlineStr">
        <is>
          <t>RAGUNDA</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7668-2025</t>
        </is>
      </c>
      <c r="B883" s="1" t="n">
        <v>45706.34450231482</v>
      </c>
      <c r="C883" s="1" t="n">
        <v>45888</v>
      </c>
      <c r="D883" t="inlineStr">
        <is>
          <t>JÄMTLANDS LÄN</t>
        </is>
      </c>
      <c r="E883" t="inlineStr">
        <is>
          <t>RAGUNDA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36046-2023</t>
        </is>
      </c>
      <c r="B884" s="1" t="n">
        <v>45148</v>
      </c>
      <c r="C884" s="1" t="n">
        <v>45888</v>
      </c>
      <c r="D884" t="inlineStr">
        <is>
          <t>JÄMTLANDS LÄN</t>
        </is>
      </c>
      <c r="E884" t="inlineStr">
        <is>
          <t>RAGUNDA</t>
        </is>
      </c>
      <c r="G884" t="n">
        <v>1.9</v>
      </c>
      <c r="H884" t="n">
        <v>0</v>
      </c>
      <c r="I884" t="n">
        <v>0</v>
      </c>
      <c r="J884" t="n">
        <v>0</v>
      </c>
      <c r="K884" t="n">
        <v>0</v>
      </c>
      <c r="L884" t="n">
        <v>0</v>
      </c>
      <c r="M884" t="n">
        <v>0</v>
      </c>
      <c r="N884" t="n">
        <v>0</v>
      </c>
      <c r="O884" t="n">
        <v>0</v>
      </c>
      <c r="P884" t="n">
        <v>0</v>
      </c>
      <c r="Q884" t="n">
        <v>0</v>
      </c>
      <c r="R884" s="2" t="inlineStr"/>
    </row>
    <row r="885" ht="15" customHeight="1">
      <c r="A885" t="inlineStr">
        <is>
          <t>A 29714-2025</t>
        </is>
      </c>
      <c r="B885" s="1" t="n">
        <v>45825.56762731481</v>
      </c>
      <c r="C885" s="1" t="n">
        <v>45888</v>
      </c>
      <c r="D885" t="inlineStr">
        <is>
          <t>JÄMTLANDS LÄN</t>
        </is>
      </c>
      <c r="E885" t="inlineStr">
        <is>
          <t>RAGUNDA</t>
        </is>
      </c>
      <c r="G885" t="n">
        <v>2.7</v>
      </c>
      <c r="H885" t="n">
        <v>0</v>
      </c>
      <c r="I885" t="n">
        <v>0</v>
      </c>
      <c r="J885" t="n">
        <v>0</v>
      </c>
      <c r="K885" t="n">
        <v>0</v>
      </c>
      <c r="L885" t="n">
        <v>0</v>
      </c>
      <c r="M885" t="n">
        <v>0</v>
      </c>
      <c r="N885" t="n">
        <v>0</v>
      </c>
      <c r="O885" t="n">
        <v>0</v>
      </c>
      <c r="P885" t="n">
        <v>0</v>
      </c>
      <c r="Q885" t="n">
        <v>0</v>
      </c>
      <c r="R885" s="2" t="inlineStr"/>
    </row>
    <row r="886" ht="15" customHeight="1">
      <c r="A886" t="inlineStr">
        <is>
          <t>A 29731-2025</t>
        </is>
      </c>
      <c r="B886" s="1" t="n">
        <v>45825.58252314815</v>
      </c>
      <c r="C886" s="1" t="n">
        <v>45888</v>
      </c>
      <c r="D886" t="inlineStr">
        <is>
          <t>JÄMTLANDS LÄN</t>
        </is>
      </c>
      <c r="E886" t="inlineStr">
        <is>
          <t>RAGUNDA</t>
        </is>
      </c>
      <c r="G886" t="n">
        <v>2.3</v>
      </c>
      <c r="H886" t="n">
        <v>0</v>
      </c>
      <c r="I886" t="n">
        <v>0</v>
      </c>
      <c r="J886" t="n">
        <v>0</v>
      </c>
      <c r="K886" t="n">
        <v>0</v>
      </c>
      <c r="L886" t="n">
        <v>0</v>
      </c>
      <c r="M886" t="n">
        <v>0</v>
      </c>
      <c r="N886" t="n">
        <v>0</v>
      </c>
      <c r="O886" t="n">
        <v>0</v>
      </c>
      <c r="P886" t="n">
        <v>0</v>
      </c>
      <c r="Q886" t="n">
        <v>0</v>
      </c>
      <c r="R886" s="2" t="inlineStr"/>
    </row>
    <row r="887" ht="15" customHeight="1">
      <c r="A887" t="inlineStr">
        <is>
          <t>A 45631-2024</t>
        </is>
      </c>
      <c r="B887" s="1" t="n">
        <v>45579.47052083333</v>
      </c>
      <c r="C887" s="1" t="n">
        <v>45888</v>
      </c>
      <c r="D887" t="inlineStr">
        <is>
          <t>JÄMTLANDS LÄN</t>
        </is>
      </c>
      <c r="E887" t="inlineStr">
        <is>
          <t>RAGUNDA</t>
        </is>
      </c>
      <c r="G887" t="n">
        <v>15.1</v>
      </c>
      <c r="H887" t="n">
        <v>0</v>
      </c>
      <c r="I887" t="n">
        <v>0</v>
      </c>
      <c r="J887" t="n">
        <v>0</v>
      </c>
      <c r="K887" t="n">
        <v>0</v>
      </c>
      <c r="L887" t="n">
        <v>0</v>
      </c>
      <c r="M887" t="n">
        <v>0</v>
      </c>
      <c r="N887" t="n">
        <v>0</v>
      </c>
      <c r="O887" t="n">
        <v>0</v>
      </c>
      <c r="P887" t="n">
        <v>0</v>
      </c>
      <c r="Q887" t="n">
        <v>0</v>
      </c>
      <c r="R887" s="2" t="inlineStr"/>
    </row>
    <row r="888" ht="15" customHeight="1">
      <c r="A888" t="inlineStr">
        <is>
          <t>A 55701-2021</t>
        </is>
      </c>
      <c r="B888" s="1" t="n">
        <v>44475</v>
      </c>
      <c r="C888" s="1" t="n">
        <v>45888</v>
      </c>
      <c r="D888" t="inlineStr">
        <is>
          <t>JÄMTLANDS LÄN</t>
        </is>
      </c>
      <c r="E888" t="inlineStr">
        <is>
          <t>RAGUNDA</t>
        </is>
      </c>
      <c r="G888" t="n">
        <v>5.6</v>
      </c>
      <c r="H888" t="n">
        <v>0</v>
      </c>
      <c r="I888" t="n">
        <v>0</v>
      </c>
      <c r="J888" t="n">
        <v>0</v>
      </c>
      <c r="K888" t="n">
        <v>0</v>
      </c>
      <c r="L888" t="n">
        <v>0</v>
      </c>
      <c r="M888" t="n">
        <v>0</v>
      </c>
      <c r="N888" t="n">
        <v>0</v>
      </c>
      <c r="O888" t="n">
        <v>0</v>
      </c>
      <c r="P888" t="n">
        <v>0</v>
      </c>
      <c r="Q888" t="n">
        <v>0</v>
      </c>
      <c r="R888" s="2" t="inlineStr"/>
    </row>
    <row r="889" ht="15" customHeight="1">
      <c r="A889" t="inlineStr">
        <is>
          <t>A 29723-2025</t>
        </is>
      </c>
      <c r="B889" s="1" t="n">
        <v>45825.57675925926</v>
      </c>
      <c r="C889" s="1" t="n">
        <v>45888</v>
      </c>
      <c r="D889" t="inlineStr">
        <is>
          <t>JÄMTLANDS LÄN</t>
        </is>
      </c>
      <c r="E889" t="inlineStr">
        <is>
          <t>RAGUNDA</t>
        </is>
      </c>
      <c r="G889" t="n">
        <v>3.1</v>
      </c>
      <c r="H889" t="n">
        <v>0</v>
      </c>
      <c r="I889" t="n">
        <v>0</v>
      </c>
      <c r="J889" t="n">
        <v>0</v>
      </c>
      <c r="K889" t="n">
        <v>0</v>
      </c>
      <c r="L889" t="n">
        <v>0</v>
      </c>
      <c r="M889" t="n">
        <v>0</v>
      </c>
      <c r="N889" t="n">
        <v>0</v>
      </c>
      <c r="O889" t="n">
        <v>0</v>
      </c>
      <c r="P889" t="n">
        <v>0</v>
      </c>
      <c r="Q889" t="n">
        <v>0</v>
      </c>
      <c r="R889" s="2" t="inlineStr"/>
    </row>
    <row r="890" ht="15" customHeight="1">
      <c r="A890" t="inlineStr">
        <is>
          <t>A 8654-2024</t>
        </is>
      </c>
      <c r="B890" s="1" t="n">
        <v>45356.03784722222</v>
      </c>
      <c r="C890" s="1" t="n">
        <v>45888</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25304-2023</t>
        </is>
      </c>
      <c r="B891" s="1" t="n">
        <v>45086</v>
      </c>
      <c r="C891" s="1" t="n">
        <v>45888</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6902-2024</t>
        </is>
      </c>
      <c r="B892" s="1" t="n">
        <v>45342</v>
      </c>
      <c r="C892" s="1" t="n">
        <v>45888</v>
      </c>
      <c r="D892" t="inlineStr">
        <is>
          <t>JÄMTLANDS LÄN</t>
        </is>
      </c>
      <c r="E892" t="inlineStr">
        <is>
          <t>RAGUNDA</t>
        </is>
      </c>
      <c r="F892" t="inlineStr">
        <is>
          <t>SCA</t>
        </is>
      </c>
      <c r="G892" t="n">
        <v>18.7</v>
      </c>
      <c r="H892" t="n">
        <v>0</v>
      </c>
      <c r="I892" t="n">
        <v>0</v>
      </c>
      <c r="J892" t="n">
        <v>0</v>
      </c>
      <c r="K892" t="n">
        <v>0</v>
      </c>
      <c r="L892" t="n">
        <v>0</v>
      </c>
      <c r="M892" t="n">
        <v>0</v>
      </c>
      <c r="N892" t="n">
        <v>0</v>
      </c>
      <c r="O892" t="n">
        <v>0</v>
      </c>
      <c r="P892" t="n">
        <v>0</v>
      </c>
      <c r="Q892" t="n">
        <v>0</v>
      </c>
      <c r="R892" s="2" t="inlineStr"/>
    </row>
    <row r="893" ht="15" customHeight="1">
      <c r="A893" t="inlineStr">
        <is>
          <t>A 6905-2024</t>
        </is>
      </c>
      <c r="B893" s="1" t="n">
        <v>45342.9462037037</v>
      </c>
      <c r="C893" s="1" t="n">
        <v>45888</v>
      </c>
      <c r="D893" t="inlineStr">
        <is>
          <t>JÄMTLANDS LÄN</t>
        </is>
      </c>
      <c r="E893" t="inlineStr">
        <is>
          <t>RAGUNDA</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22731-2023</t>
        </is>
      </c>
      <c r="B894" s="1" t="n">
        <v>45071</v>
      </c>
      <c r="C894" s="1" t="n">
        <v>45888</v>
      </c>
      <c r="D894" t="inlineStr">
        <is>
          <t>JÄMTLANDS LÄN</t>
        </is>
      </c>
      <c r="E894" t="inlineStr">
        <is>
          <t>RAGUNDA</t>
        </is>
      </c>
      <c r="G894" t="n">
        <v>1.5</v>
      </c>
      <c r="H894" t="n">
        <v>0</v>
      </c>
      <c r="I894" t="n">
        <v>0</v>
      </c>
      <c r="J894" t="n">
        <v>0</v>
      </c>
      <c r="K894" t="n">
        <v>0</v>
      </c>
      <c r="L894" t="n">
        <v>0</v>
      </c>
      <c r="M894" t="n">
        <v>0</v>
      </c>
      <c r="N894" t="n">
        <v>0</v>
      </c>
      <c r="O894" t="n">
        <v>0</v>
      </c>
      <c r="P894" t="n">
        <v>0</v>
      </c>
      <c r="Q894" t="n">
        <v>0</v>
      </c>
      <c r="R894" s="2" t="inlineStr"/>
    </row>
    <row r="895" ht="15" customHeight="1">
      <c r="A895" t="inlineStr">
        <is>
          <t>A 11245-2025</t>
        </is>
      </c>
      <c r="B895" s="1" t="n">
        <v>45726.38575231482</v>
      </c>
      <c r="C895" s="1" t="n">
        <v>45888</v>
      </c>
      <c r="D895" t="inlineStr">
        <is>
          <t>JÄMTLANDS LÄN</t>
        </is>
      </c>
      <c r="E895" t="inlineStr">
        <is>
          <t>RAGUNDA</t>
        </is>
      </c>
      <c r="G895" t="n">
        <v>2.3</v>
      </c>
      <c r="H895" t="n">
        <v>0</v>
      </c>
      <c r="I895" t="n">
        <v>0</v>
      </c>
      <c r="J895" t="n">
        <v>0</v>
      </c>
      <c r="K895" t="n">
        <v>0</v>
      </c>
      <c r="L895" t="n">
        <v>0</v>
      </c>
      <c r="M895" t="n">
        <v>0</v>
      </c>
      <c r="N895" t="n">
        <v>0</v>
      </c>
      <c r="O895" t="n">
        <v>0</v>
      </c>
      <c r="P895" t="n">
        <v>0</v>
      </c>
      <c r="Q895" t="n">
        <v>0</v>
      </c>
      <c r="R895" s="2" t="inlineStr"/>
    </row>
    <row r="896" ht="15" customHeight="1">
      <c r="A896" t="inlineStr">
        <is>
          <t>A 61923-2024</t>
        </is>
      </c>
      <c r="B896" s="1" t="n">
        <v>45653.44836805556</v>
      </c>
      <c r="C896" s="1" t="n">
        <v>45888</v>
      </c>
      <c r="D896" t="inlineStr">
        <is>
          <t>JÄMTLANDS LÄN</t>
        </is>
      </c>
      <c r="E896" t="inlineStr">
        <is>
          <t>RAGUNDA</t>
        </is>
      </c>
      <c r="F896" t="inlineStr">
        <is>
          <t>SCA</t>
        </is>
      </c>
      <c r="G896" t="n">
        <v>11.1</v>
      </c>
      <c r="H896" t="n">
        <v>0</v>
      </c>
      <c r="I896" t="n">
        <v>0</v>
      </c>
      <c r="J896" t="n">
        <v>0</v>
      </c>
      <c r="K896" t="n">
        <v>0</v>
      </c>
      <c r="L896" t="n">
        <v>0</v>
      </c>
      <c r="M896" t="n">
        <v>0</v>
      </c>
      <c r="N896" t="n">
        <v>0</v>
      </c>
      <c r="O896" t="n">
        <v>0</v>
      </c>
      <c r="P896" t="n">
        <v>0</v>
      </c>
      <c r="Q896" t="n">
        <v>0</v>
      </c>
      <c r="R896" s="2" t="inlineStr"/>
    </row>
    <row r="897" ht="15" customHeight="1">
      <c r="A897" t="inlineStr">
        <is>
          <t>A 30484-2024</t>
        </is>
      </c>
      <c r="B897" s="1" t="n">
        <v>45491</v>
      </c>
      <c r="C897" s="1" t="n">
        <v>45888</v>
      </c>
      <c r="D897" t="inlineStr">
        <is>
          <t>JÄMTLANDS LÄN</t>
        </is>
      </c>
      <c r="E897" t="inlineStr">
        <is>
          <t>RAGUNDA</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23567-2024</t>
        </is>
      </c>
      <c r="B898" s="1" t="n">
        <v>45453.95538194444</v>
      </c>
      <c r="C898" s="1" t="n">
        <v>45888</v>
      </c>
      <c r="D898" t="inlineStr">
        <is>
          <t>JÄMTLANDS LÄN</t>
        </is>
      </c>
      <c r="E898" t="inlineStr">
        <is>
          <t>RAGUNDA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19246-2023</t>
        </is>
      </c>
      <c r="B899" s="1" t="n">
        <v>45048.94340277778</v>
      </c>
      <c r="C899" s="1" t="n">
        <v>45888</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36544-2025</t>
        </is>
      </c>
      <c r="B900" s="1" t="n">
        <v>45869.67744212963</v>
      </c>
      <c r="C900" s="1" t="n">
        <v>45888</v>
      </c>
      <c r="D900" t="inlineStr">
        <is>
          <t>JÄMTLANDS LÄN</t>
        </is>
      </c>
      <c r="E900" t="inlineStr">
        <is>
          <t>RAGUNDA</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61109-2024</t>
        </is>
      </c>
      <c r="B901" s="1" t="n">
        <v>45645.55672453704</v>
      </c>
      <c r="C901" s="1" t="n">
        <v>45888</v>
      </c>
      <c r="D901" t="inlineStr">
        <is>
          <t>JÄMTLANDS LÄN</t>
        </is>
      </c>
      <c r="E901" t="inlineStr">
        <is>
          <t>RAGUNDA</t>
        </is>
      </c>
      <c r="G901" t="n">
        <v>4</v>
      </c>
      <c r="H901" t="n">
        <v>0</v>
      </c>
      <c r="I901" t="n">
        <v>0</v>
      </c>
      <c r="J901" t="n">
        <v>0</v>
      </c>
      <c r="K901" t="n">
        <v>0</v>
      </c>
      <c r="L901" t="n">
        <v>0</v>
      </c>
      <c r="M901" t="n">
        <v>0</v>
      </c>
      <c r="N901" t="n">
        <v>0</v>
      </c>
      <c r="O901" t="n">
        <v>0</v>
      </c>
      <c r="P901" t="n">
        <v>0</v>
      </c>
      <c r="Q901" t="n">
        <v>0</v>
      </c>
      <c r="R901" s="2" t="inlineStr"/>
    </row>
    <row r="902" ht="15" customHeight="1">
      <c r="A902" t="inlineStr">
        <is>
          <t>A 36541-2025</t>
        </is>
      </c>
      <c r="B902" s="1" t="n">
        <v>45869.65666666667</v>
      </c>
      <c r="C902" s="1" t="n">
        <v>45888</v>
      </c>
      <c r="D902" t="inlineStr">
        <is>
          <t>JÄMTLANDS LÄN</t>
        </is>
      </c>
      <c r="E902" t="inlineStr">
        <is>
          <t>RAGUNDA</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58955-2024</t>
        </is>
      </c>
      <c r="B903" s="1" t="n">
        <v>45636.57329861111</v>
      </c>
      <c r="C903" s="1" t="n">
        <v>45888</v>
      </c>
      <c r="D903" t="inlineStr">
        <is>
          <t>JÄMTLANDS LÄN</t>
        </is>
      </c>
      <c r="E903" t="inlineStr">
        <is>
          <t>RAGUNDA</t>
        </is>
      </c>
      <c r="F903" t="inlineStr">
        <is>
          <t>SCA</t>
        </is>
      </c>
      <c r="G903" t="n">
        <v>4.1</v>
      </c>
      <c r="H903" t="n">
        <v>0</v>
      </c>
      <c r="I903" t="n">
        <v>0</v>
      </c>
      <c r="J903" t="n">
        <v>0</v>
      </c>
      <c r="K903" t="n">
        <v>0</v>
      </c>
      <c r="L903" t="n">
        <v>0</v>
      </c>
      <c r="M903" t="n">
        <v>0</v>
      </c>
      <c r="N903" t="n">
        <v>0</v>
      </c>
      <c r="O903" t="n">
        <v>0</v>
      </c>
      <c r="P903" t="n">
        <v>0</v>
      </c>
      <c r="Q903" t="n">
        <v>0</v>
      </c>
      <c r="R903" s="2" t="inlineStr"/>
    </row>
    <row r="904" ht="15" customHeight="1">
      <c r="A904" t="inlineStr">
        <is>
          <t>A 30088-2025</t>
        </is>
      </c>
      <c r="B904" s="1" t="n">
        <v>45826.65759259259</v>
      </c>
      <c r="C904" s="1" t="n">
        <v>45888</v>
      </c>
      <c r="D904" t="inlineStr">
        <is>
          <t>JÄMTLANDS LÄN</t>
        </is>
      </c>
      <c r="E904" t="inlineStr">
        <is>
          <t>RAGUNDA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30348-2025</t>
        </is>
      </c>
      <c r="B905" s="1" t="n">
        <v>45827.53178240741</v>
      </c>
      <c r="C905" s="1" t="n">
        <v>45888</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30434-2025</t>
        </is>
      </c>
      <c r="B906" s="1" t="n">
        <v>45827.63582175926</v>
      </c>
      <c r="C906" s="1" t="n">
        <v>45888</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33877-2023</t>
        </is>
      </c>
      <c r="B907" s="1" t="n">
        <v>45133</v>
      </c>
      <c r="C907" s="1" t="n">
        <v>45888</v>
      </c>
      <c r="D907" t="inlineStr">
        <is>
          <t>JÄMTLANDS LÄN</t>
        </is>
      </c>
      <c r="E907" t="inlineStr">
        <is>
          <t>RAGUNDA</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31463-2024</t>
        </is>
      </c>
      <c r="B908" s="1" t="n">
        <v>45505</v>
      </c>
      <c r="C908" s="1" t="n">
        <v>45888</v>
      </c>
      <c r="D908" t="inlineStr">
        <is>
          <t>JÄMTLANDS LÄN</t>
        </is>
      </c>
      <c r="E908" t="inlineStr">
        <is>
          <t>RAGUNDA</t>
        </is>
      </c>
      <c r="F908" t="inlineStr">
        <is>
          <t>SCA</t>
        </is>
      </c>
      <c r="G908" t="n">
        <v>20.3</v>
      </c>
      <c r="H908" t="n">
        <v>0</v>
      </c>
      <c r="I908" t="n">
        <v>0</v>
      </c>
      <c r="J908" t="n">
        <v>0</v>
      </c>
      <c r="K908" t="n">
        <v>0</v>
      </c>
      <c r="L908" t="n">
        <v>0</v>
      </c>
      <c r="M908" t="n">
        <v>0</v>
      </c>
      <c r="N908" t="n">
        <v>0</v>
      </c>
      <c r="O908" t="n">
        <v>0</v>
      </c>
      <c r="P908" t="n">
        <v>0</v>
      </c>
      <c r="Q908" t="n">
        <v>0</v>
      </c>
      <c r="R908" s="2" t="inlineStr"/>
    </row>
    <row r="909" ht="15" customHeight="1">
      <c r="A909" t="inlineStr">
        <is>
          <t>A 36553-2025</t>
        </is>
      </c>
      <c r="B909" s="1" t="n">
        <v>45870.34439814815</v>
      </c>
      <c r="C909" s="1" t="n">
        <v>45888</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62541-2022</t>
        </is>
      </c>
      <c r="B910" s="1" t="n">
        <v>44917</v>
      </c>
      <c r="C910" s="1" t="n">
        <v>45888</v>
      </c>
      <c r="D910" t="inlineStr">
        <is>
          <t>JÄMTLANDS LÄN</t>
        </is>
      </c>
      <c r="E910" t="inlineStr">
        <is>
          <t>RAGUNDA</t>
        </is>
      </c>
      <c r="G910" t="n">
        <v>2.6</v>
      </c>
      <c r="H910" t="n">
        <v>0</v>
      </c>
      <c r="I910" t="n">
        <v>0</v>
      </c>
      <c r="J910" t="n">
        <v>0</v>
      </c>
      <c r="K910" t="n">
        <v>0</v>
      </c>
      <c r="L910" t="n">
        <v>0</v>
      </c>
      <c r="M910" t="n">
        <v>0</v>
      </c>
      <c r="N910" t="n">
        <v>0</v>
      </c>
      <c r="O910" t="n">
        <v>0</v>
      </c>
      <c r="P910" t="n">
        <v>0</v>
      </c>
      <c r="Q910" t="n">
        <v>0</v>
      </c>
      <c r="R910" s="2" t="inlineStr"/>
    </row>
    <row r="911" ht="15" customHeight="1">
      <c r="A911" t="inlineStr">
        <is>
          <t>A 14513-2025</t>
        </is>
      </c>
      <c r="B911" s="1" t="n">
        <v>45741.63675925926</v>
      </c>
      <c r="C911" s="1" t="n">
        <v>45888</v>
      </c>
      <c r="D911" t="inlineStr">
        <is>
          <t>JÄMTLANDS LÄN</t>
        </is>
      </c>
      <c r="E911" t="inlineStr">
        <is>
          <t>RAGUNDA</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9567-2025</t>
        </is>
      </c>
      <c r="B912" s="1" t="n">
        <v>45715.61523148148</v>
      </c>
      <c r="C912" s="1" t="n">
        <v>45888</v>
      </c>
      <c r="D912" t="inlineStr">
        <is>
          <t>JÄMTLANDS LÄN</t>
        </is>
      </c>
      <c r="E912" t="inlineStr">
        <is>
          <t>RAGUNDA</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21661-2023</t>
        </is>
      </c>
      <c r="B913" s="1" t="n">
        <v>45063</v>
      </c>
      <c r="C913" s="1" t="n">
        <v>45888</v>
      </c>
      <c r="D913" t="inlineStr">
        <is>
          <t>JÄMTLANDS LÄN</t>
        </is>
      </c>
      <c r="E913" t="inlineStr">
        <is>
          <t>RAGUNDA</t>
        </is>
      </c>
      <c r="G913" t="n">
        <v>1.5</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45888</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7281-2025</t>
        </is>
      </c>
      <c r="B915" s="1" t="n">
        <v>45702.63572916666</v>
      </c>
      <c r="C915" s="1" t="n">
        <v>45888</v>
      </c>
      <c r="D915" t="inlineStr">
        <is>
          <t>JÄMTLANDS LÄN</t>
        </is>
      </c>
      <c r="E915" t="inlineStr">
        <is>
          <t>RAGUNDA</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48192-2024</t>
        </is>
      </c>
      <c r="B916" s="1" t="n">
        <v>45590</v>
      </c>
      <c r="C916" s="1" t="n">
        <v>45888</v>
      </c>
      <c r="D916" t="inlineStr">
        <is>
          <t>JÄMTLANDS LÄN</t>
        </is>
      </c>
      <c r="E916" t="inlineStr">
        <is>
          <t>RAGUNDA</t>
        </is>
      </c>
      <c r="G916" t="n">
        <v>2.3</v>
      </c>
      <c r="H916" t="n">
        <v>0</v>
      </c>
      <c r="I916" t="n">
        <v>0</v>
      </c>
      <c r="J916" t="n">
        <v>0</v>
      </c>
      <c r="K916" t="n">
        <v>0</v>
      </c>
      <c r="L916" t="n">
        <v>0</v>
      </c>
      <c r="M916" t="n">
        <v>0</v>
      </c>
      <c r="N916" t="n">
        <v>0</v>
      </c>
      <c r="O916" t="n">
        <v>0</v>
      </c>
      <c r="P916" t="n">
        <v>0</v>
      </c>
      <c r="Q916" t="n">
        <v>0</v>
      </c>
      <c r="R916" s="2" t="inlineStr"/>
    </row>
    <row r="917" ht="15" customHeight="1">
      <c r="A917" t="inlineStr">
        <is>
          <t>A 2599-2023</t>
        </is>
      </c>
      <c r="B917" s="1" t="n">
        <v>44943.94802083333</v>
      </c>
      <c r="C917" s="1" t="n">
        <v>45888</v>
      </c>
      <c r="D917" t="inlineStr">
        <is>
          <t>JÄMTLANDS LÄN</t>
        </is>
      </c>
      <c r="E917" t="inlineStr">
        <is>
          <t>RAGUNDA</t>
        </is>
      </c>
      <c r="F917" t="inlineStr">
        <is>
          <t>SCA</t>
        </is>
      </c>
      <c r="G917" t="n">
        <v>5.9</v>
      </c>
      <c r="H917" t="n">
        <v>0</v>
      </c>
      <c r="I917" t="n">
        <v>0</v>
      </c>
      <c r="J917" t="n">
        <v>0</v>
      </c>
      <c r="K917" t="n">
        <v>0</v>
      </c>
      <c r="L917" t="n">
        <v>0</v>
      </c>
      <c r="M917" t="n">
        <v>0</v>
      </c>
      <c r="N917" t="n">
        <v>0</v>
      </c>
      <c r="O917" t="n">
        <v>0</v>
      </c>
      <c r="P917" t="n">
        <v>0</v>
      </c>
      <c r="Q917" t="n">
        <v>0</v>
      </c>
      <c r="R917" s="2" t="inlineStr"/>
    </row>
    <row r="918" ht="15" customHeight="1">
      <c r="A918" t="inlineStr">
        <is>
          <t>A 30887-2025</t>
        </is>
      </c>
      <c r="B918" s="1" t="n">
        <v>45832.3459375</v>
      </c>
      <c r="C918" s="1" t="n">
        <v>45888</v>
      </c>
      <c r="D918" t="inlineStr">
        <is>
          <t>JÄMTLANDS LÄN</t>
        </is>
      </c>
      <c r="E918" t="inlineStr">
        <is>
          <t>RAGUNDA</t>
        </is>
      </c>
      <c r="F918" t="inlineStr">
        <is>
          <t>SCA</t>
        </is>
      </c>
      <c r="G918" t="n">
        <v>10.1</v>
      </c>
      <c r="H918" t="n">
        <v>0</v>
      </c>
      <c r="I918" t="n">
        <v>0</v>
      </c>
      <c r="J918" t="n">
        <v>0</v>
      </c>
      <c r="K918" t="n">
        <v>0</v>
      </c>
      <c r="L918" t="n">
        <v>0</v>
      </c>
      <c r="M918" t="n">
        <v>0</v>
      </c>
      <c r="N918" t="n">
        <v>0</v>
      </c>
      <c r="O918" t="n">
        <v>0</v>
      </c>
      <c r="P918" t="n">
        <v>0</v>
      </c>
      <c r="Q918" t="n">
        <v>0</v>
      </c>
      <c r="R918" s="2" t="inlineStr"/>
    </row>
    <row r="919" ht="15" customHeight="1">
      <c r="A919" t="inlineStr">
        <is>
          <t>A 32874-2025</t>
        </is>
      </c>
      <c r="B919" s="1" t="n">
        <v>45839</v>
      </c>
      <c r="C919" s="1" t="n">
        <v>45888</v>
      </c>
      <c r="D919" t="inlineStr">
        <is>
          <t>JÄMTLANDS LÄN</t>
        </is>
      </c>
      <c r="E919" t="inlineStr">
        <is>
          <t>RAGUNDA</t>
        </is>
      </c>
      <c r="G919" t="n">
        <v>2.3</v>
      </c>
      <c r="H919" t="n">
        <v>0</v>
      </c>
      <c r="I919" t="n">
        <v>0</v>
      </c>
      <c r="J919" t="n">
        <v>0</v>
      </c>
      <c r="K919" t="n">
        <v>0</v>
      </c>
      <c r="L919" t="n">
        <v>0</v>
      </c>
      <c r="M919" t="n">
        <v>0</v>
      </c>
      <c r="N919" t="n">
        <v>0</v>
      </c>
      <c r="O919" t="n">
        <v>0</v>
      </c>
      <c r="P919" t="n">
        <v>0</v>
      </c>
      <c r="Q919" t="n">
        <v>0</v>
      </c>
      <c r="R919" s="2" t="inlineStr"/>
    </row>
    <row r="920" ht="15" customHeight="1">
      <c r="A920" t="inlineStr">
        <is>
          <t>A 30883-2025</t>
        </is>
      </c>
      <c r="B920" s="1" t="n">
        <v>45832.34552083333</v>
      </c>
      <c r="C920" s="1" t="n">
        <v>45888</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37008-2025</t>
        </is>
      </c>
      <c r="B921" s="1" t="n">
        <v>45874.69844907407</v>
      </c>
      <c r="C921" s="1" t="n">
        <v>45888</v>
      </c>
      <c r="D921" t="inlineStr">
        <is>
          <t>JÄMTLANDS LÄN</t>
        </is>
      </c>
      <c r="E921" t="inlineStr">
        <is>
          <t>RAGUNDA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48249-2024</t>
        </is>
      </c>
      <c r="B922" s="1" t="n">
        <v>45590.40675925926</v>
      </c>
      <c r="C922" s="1" t="n">
        <v>45888</v>
      </c>
      <c r="D922" t="inlineStr">
        <is>
          <t>JÄMTLANDS LÄN</t>
        </is>
      </c>
      <c r="E922" t="inlineStr">
        <is>
          <t>RAGUNDA</t>
        </is>
      </c>
      <c r="F922" t="inlineStr">
        <is>
          <t>SCA</t>
        </is>
      </c>
      <c r="G922" t="n">
        <v>14.4</v>
      </c>
      <c r="H922" t="n">
        <v>0</v>
      </c>
      <c r="I922" t="n">
        <v>0</v>
      </c>
      <c r="J922" t="n">
        <v>0</v>
      </c>
      <c r="K922" t="n">
        <v>0</v>
      </c>
      <c r="L922" t="n">
        <v>0</v>
      </c>
      <c r="M922" t="n">
        <v>0</v>
      </c>
      <c r="N922" t="n">
        <v>0</v>
      </c>
      <c r="O922" t="n">
        <v>0</v>
      </c>
      <c r="P922" t="n">
        <v>0</v>
      </c>
      <c r="Q922" t="n">
        <v>0</v>
      </c>
      <c r="R922" s="2" t="inlineStr"/>
    </row>
    <row r="923" ht="15" customHeight="1">
      <c r="A923" t="inlineStr">
        <is>
          <t>A 64265-2023</t>
        </is>
      </c>
      <c r="B923" s="1" t="n">
        <v>45279.94572916667</v>
      </c>
      <c r="C923" s="1" t="n">
        <v>45888</v>
      </c>
      <c r="D923" t="inlineStr">
        <is>
          <t>JÄMTLANDS LÄN</t>
        </is>
      </c>
      <c r="E923" t="inlineStr">
        <is>
          <t>RAGUNDA</t>
        </is>
      </c>
      <c r="F923" t="inlineStr">
        <is>
          <t>SCA</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10754-2025</t>
        </is>
      </c>
      <c r="B924" s="1" t="n">
        <v>45722.44849537037</v>
      </c>
      <c r="C924" s="1" t="n">
        <v>45888</v>
      </c>
      <c r="D924" t="inlineStr">
        <is>
          <t>JÄMTLANDS LÄN</t>
        </is>
      </c>
      <c r="E924" t="inlineStr">
        <is>
          <t>RAGUNDA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36994-2025</t>
        </is>
      </c>
      <c r="B925" s="1" t="n">
        <v>45874.67746527777</v>
      </c>
      <c r="C925" s="1" t="n">
        <v>45888</v>
      </c>
      <c r="D925" t="inlineStr">
        <is>
          <t>JÄMTLANDS LÄN</t>
        </is>
      </c>
      <c r="E925" t="inlineStr">
        <is>
          <t>RAGUNDA</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66706-2021</t>
        </is>
      </c>
      <c r="B926" s="1" t="n">
        <v>44519.94440972222</v>
      </c>
      <c r="C926" s="1" t="n">
        <v>45888</v>
      </c>
      <c r="D926" t="inlineStr">
        <is>
          <t>JÄMTLANDS LÄN</t>
        </is>
      </c>
      <c r="E926" t="inlineStr">
        <is>
          <t>RAGUNDA</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30880-2025</t>
        </is>
      </c>
      <c r="B927" s="1" t="n">
        <v>45832.34524305556</v>
      </c>
      <c r="C927" s="1" t="n">
        <v>45888</v>
      </c>
      <c r="D927" t="inlineStr">
        <is>
          <t>JÄMTLANDS LÄN</t>
        </is>
      </c>
      <c r="E927" t="inlineStr">
        <is>
          <t>RAGUNDA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36947-2025</t>
        </is>
      </c>
      <c r="B928" s="1" t="n">
        <v>45874.59496527778</v>
      </c>
      <c r="C928" s="1" t="n">
        <v>45888</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55222-2024</t>
        </is>
      </c>
      <c r="B929" s="1" t="n">
        <v>45621.57395833333</v>
      </c>
      <c r="C929" s="1" t="n">
        <v>45888</v>
      </c>
      <c r="D929" t="inlineStr">
        <is>
          <t>JÄMTLANDS LÄN</t>
        </is>
      </c>
      <c r="E929" t="inlineStr">
        <is>
          <t>RAGUNDA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46211-2024</t>
        </is>
      </c>
      <c r="B930" s="1" t="n">
        <v>45581.55260416667</v>
      </c>
      <c r="C930" s="1" t="n">
        <v>45888</v>
      </c>
      <c r="D930" t="inlineStr">
        <is>
          <t>JÄMTLANDS LÄN</t>
        </is>
      </c>
      <c r="E930" t="inlineStr">
        <is>
          <t>RAGUNDA</t>
        </is>
      </c>
      <c r="G930" t="n">
        <v>7.3</v>
      </c>
      <c r="H930" t="n">
        <v>0</v>
      </c>
      <c r="I930" t="n">
        <v>0</v>
      </c>
      <c r="J930" t="n">
        <v>0</v>
      </c>
      <c r="K930" t="n">
        <v>0</v>
      </c>
      <c r="L930" t="n">
        <v>0</v>
      </c>
      <c r="M930" t="n">
        <v>0</v>
      </c>
      <c r="N930" t="n">
        <v>0</v>
      </c>
      <c r="O930" t="n">
        <v>0</v>
      </c>
      <c r="P930" t="n">
        <v>0</v>
      </c>
      <c r="Q930" t="n">
        <v>0</v>
      </c>
      <c r="R930" s="2" t="inlineStr"/>
    </row>
    <row r="931" ht="15" customHeight="1">
      <c r="A931" t="inlineStr">
        <is>
          <t>A 31435-2022</t>
        </is>
      </c>
      <c r="B931" s="1" t="n">
        <v>44774</v>
      </c>
      <c r="C931" s="1" t="n">
        <v>45888</v>
      </c>
      <c r="D931" t="inlineStr">
        <is>
          <t>JÄMTLANDS LÄN</t>
        </is>
      </c>
      <c r="E931" t="inlineStr">
        <is>
          <t>RAGUNDA</t>
        </is>
      </c>
      <c r="G931" t="n">
        <v>1.6</v>
      </c>
      <c r="H931" t="n">
        <v>0</v>
      </c>
      <c r="I931" t="n">
        <v>0</v>
      </c>
      <c r="J931" t="n">
        <v>0</v>
      </c>
      <c r="K931" t="n">
        <v>0</v>
      </c>
      <c r="L931" t="n">
        <v>0</v>
      </c>
      <c r="M931" t="n">
        <v>0</v>
      </c>
      <c r="N931" t="n">
        <v>0</v>
      </c>
      <c r="O931" t="n">
        <v>0</v>
      </c>
      <c r="P931" t="n">
        <v>0</v>
      </c>
      <c r="Q931" t="n">
        <v>0</v>
      </c>
      <c r="R931" s="2" t="inlineStr"/>
    </row>
    <row r="932" ht="15" customHeight="1">
      <c r="A932" t="inlineStr">
        <is>
          <t>A 69153-2021</t>
        </is>
      </c>
      <c r="B932" s="1" t="n">
        <v>44530.94694444445</v>
      </c>
      <c r="C932" s="1" t="n">
        <v>45888</v>
      </c>
      <c r="D932" t="inlineStr">
        <is>
          <t>JÄMTLANDS LÄN</t>
        </is>
      </c>
      <c r="E932" t="inlineStr">
        <is>
          <t>RAGUNDA</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12585-2024</t>
        </is>
      </c>
      <c r="B933" s="1" t="n">
        <v>45379.93637731481</v>
      </c>
      <c r="C933" s="1" t="n">
        <v>45888</v>
      </c>
      <c r="D933" t="inlineStr">
        <is>
          <t>JÄMTLANDS LÄN</t>
        </is>
      </c>
      <c r="E933" t="inlineStr">
        <is>
          <t>RAGUNDA</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55489-2024</t>
        </is>
      </c>
      <c r="B934" s="1" t="n">
        <v>45622.44774305556</v>
      </c>
      <c r="C934" s="1" t="n">
        <v>45888</v>
      </c>
      <c r="D934" t="inlineStr">
        <is>
          <t>JÄMTLANDS LÄN</t>
        </is>
      </c>
      <c r="E934" t="inlineStr">
        <is>
          <t>RAGUNDA</t>
        </is>
      </c>
      <c r="G934" t="n">
        <v>1.6</v>
      </c>
      <c r="H934" t="n">
        <v>0</v>
      </c>
      <c r="I934" t="n">
        <v>0</v>
      </c>
      <c r="J934" t="n">
        <v>0</v>
      </c>
      <c r="K934" t="n">
        <v>0</v>
      </c>
      <c r="L934" t="n">
        <v>0</v>
      </c>
      <c r="M934" t="n">
        <v>0</v>
      </c>
      <c r="N934" t="n">
        <v>0</v>
      </c>
      <c r="O934" t="n">
        <v>0</v>
      </c>
      <c r="P934" t="n">
        <v>0</v>
      </c>
      <c r="Q934" t="n">
        <v>0</v>
      </c>
      <c r="R934" s="2" t="inlineStr"/>
    </row>
    <row r="935" ht="15" customHeight="1">
      <c r="A935" t="inlineStr">
        <is>
          <t>A 18631-2024</t>
        </is>
      </c>
      <c r="B935" s="1" t="n">
        <v>45425.96494212963</v>
      </c>
      <c r="C935" s="1" t="n">
        <v>45888</v>
      </c>
      <c r="D935" t="inlineStr">
        <is>
          <t>JÄMTLANDS LÄN</t>
        </is>
      </c>
      <c r="E935" t="inlineStr">
        <is>
          <t>RAGUNDA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32088-2025</t>
        </is>
      </c>
      <c r="B936" s="1" t="n">
        <v>45835.45686342593</v>
      </c>
      <c r="C936" s="1" t="n">
        <v>45888</v>
      </c>
      <c r="D936" t="inlineStr">
        <is>
          <t>JÄMTLANDS LÄN</t>
        </is>
      </c>
      <c r="E936" t="inlineStr">
        <is>
          <t>RAGUNDA</t>
        </is>
      </c>
      <c r="G936" t="n">
        <v>0.8</v>
      </c>
      <c r="H936" t="n">
        <v>0</v>
      </c>
      <c r="I936" t="n">
        <v>0</v>
      </c>
      <c r="J936" t="n">
        <v>0</v>
      </c>
      <c r="K936" t="n">
        <v>0</v>
      </c>
      <c r="L936" t="n">
        <v>0</v>
      </c>
      <c r="M936" t="n">
        <v>0</v>
      </c>
      <c r="N936" t="n">
        <v>0</v>
      </c>
      <c r="O936" t="n">
        <v>0</v>
      </c>
      <c r="P936" t="n">
        <v>0</v>
      </c>
      <c r="Q936" t="n">
        <v>0</v>
      </c>
      <c r="R936" s="2" t="inlineStr"/>
    </row>
    <row r="937" ht="15" customHeight="1">
      <c r="A937" t="inlineStr">
        <is>
          <t>A 26646-2023</t>
        </is>
      </c>
      <c r="B937" s="1" t="n">
        <v>45092</v>
      </c>
      <c r="C937" s="1" t="n">
        <v>45888</v>
      </c>
      <c r="D937" t="inlineStr">
        <is>
          <t>JÄMTLANDS LÄN</t>
        </is>
      </c>
      <c r="E937" t="inlineStr">
        <is>
          <t>RAGUNDA</t>
        </is>
      </c>
      <c r="G937" t="n">
        <v>1.4</v>
      </c>
      <c r="H937" t="n">
        <v>0</v>
      </c>
      <c r="I937" t="n">
        <v>0</v>
      </c>
      <c r="J937" t="n">
        <v>0</v>
      </c>
      <c r="K937" t="n">
        <v>0</v>
      </c>
      <c r="L937" t="n">
        <v>0</v>
      </c>
      <c r="M937" t="n">
        <v>0</v>
      </c>
      <c r="N937" t="n">
        <v>0</v>
      </c>
      <c r="O937" t="n">
        <v>0</v>
      </c>
      <c r="P937" t="n">
        <v>0</v>
      </c>
      <c r="Q937" t="n">
        <v>0</v>
      </c>
      <c r="R937" s="2" t="inlineStr"/>
    </row>
    <row r="938" ht="15" customHeight="1">
      <c r="A938" t="inlineStr">
        <is>
          <t>A 39608-2024</t>
        </is>
      </c>
      <c r="B938" s="1" t="n">
        <v>45552.39113425926</v>
      </c>
      <c r="C938" s="1" t="n">
        <v>45888</v>
      </c>
      <c r="D938" t="inlineStr">
        <is>
          <t>JÄMTLANDS LÄN</t>
        </is>
      </c>
      <c r="E938" t="inlineStr">
        <is>
          <t>RAGUNDA</t>
        </is>
      </c>
      <c r="G938" t="n">
        <v>3.2</v>
      </c>
      <c r="H938" t="n">
        <v>0</v>
      </c>
      <c r="I938" t="n">
        <v>0</v>
      </c>
      <c r="J938" t="n">
        <v>0</v>
      </c>
      <c r="K938" t="n">
        <v>0</v>
      </c>
      <c r="L938" t="n">
        <v>0</v>
      </c>
      <c r="M938" t="n">
        <v>0</v>
      </c>
      <c r="N938" t="n">
        <v>0</v>
      </c>
      <c r="O938" t="n">
        <v>0</v>
      </c>
      <c r="P938" t="n">
        <v>0</v>
      </c>
      <c r="Q938" t="n">
        <v>0</v>
      </c>
      <c r="R938" s="2" t="inlineStr"/>
    </row>
    <row r="939" ht="15" customHeight="1">
      <c r="A939" t="inlineStr">
        <is>
          <t>A 39626-2024</t>
        </is>
      </c>
      <c r="B939" s="1" t="n">
        <v>45552.44096064815</v>
      </c>
      <c r="C939" s="1" t="n">
        <v>45888</v>
      </c>
      <c r="D939" t="inlineStr">
        <is>
          <t>JÄMTLANDS LÄN</t>
        </is>
      </c>
      <c r="E939" t="inlineStr">
        <is>
          <t>RAGUNDA</t>
        </is>
      </c>
      <c r="G939" t="n">
        <v>23.5</v>
      </c>
      <c r="H939" t="n">
        <v>0</v>
      </c>
      <c r="I939" t="n">
        <v>0</v>
      </c>
      <c r="J939" t="n">
        <v>0</v>
      </c>
      <c r="K939" t="n">
        <v>0</v>
      </c>
      <c r="L939" t="n">
        <v>0</v>
      </c>
      <c r="M939" t="n">
        <v>0</v>
      </c>
      <c r="N939" t="n">
        <v>0</v>
      </c>
      <c r="O939" t="n">
        <v>0</v>
      </c>
      <c r="P939" t="n">
        <v>0</v>
      </c>
      <c r="Q939" t="n">
        <v>0</v>
      </c>
      <c r="R939" s="2" t="inlineStr"/>
    </row>
    <row r="940" ht="15" customHeight="1">
      <c r="A940" t="inlineStr">
        <is>
          <t>A 32096-2025</t>
        </is>
      </c>
      <c r="B940" s="1" t="n">
        <v>45835.46334490741</v>
      </c>
      <c r="C940" s="1" t="n">
        <v>45888</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43405-2023</t>
        </is>
      </c>
      <c r="B941" s="1" t="n">
        <v>45183.95563657407</v>
      </c>
      <c r="C941" s="1" t="n">
        <v>45888</v>
      </c>
      <c r="D941" t="inlineStr">
        <is>
          <t>JÄMTLANDS LÄN</t>
        </is>
      </c>
      <c r="E941" t="inlineStr">
        <is>
          <t>RAGUNDA</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59496-2024</t>
        </is>
      </c>
      <c r="B942" s="1" t="n">
        <v>45638</v>
      </c>
      <c r="C942" s="1" t="n">
        <v>45888</v>
      </c>
      <c r="D942" t="inlineStr">
        <is>
          <t>JÄMTLANDS LÄN</t>
        </is>
      </c>
      <c r="E942" t="inlineStr">
        <is>
          <t>RAGUNDA</t>
        </is>
      </c>
      <c r="G942" t="n">
        <v>13.1</v>
      </c>
      <c r="H942" t="n">
        <v>0</v>
      </c>
      <c r="I942" t="n">
        <v>0</v>
      </c>
      <c r="J942" t="n">
        <v>0</v>
      </c>
      <c r="K942" t="n">
        <v>0</v>
      </c>
      <c r="L942" t="n">
        <v>0</v>
      </c>
      <c r="M942" t="n">
        <v>0</v>
      </c>
      <c r="N942" t="n">
        <v>0</v>
      </c>
      <c r="O942" t="n">
        <v>0</v>
      </c>
      <c r="P942" t="n">
        <v>0</v>
      </c>
      <c r="Q942" t="n">
        <v>0</v>
      </c>
      <c r="R942" s="2" t="inlineStr"/>
    </row>
    <row r="943" ht="15" customHeight="1">
      <c r="A943" t="inlineStr">
        <is>
          <t>A 32151-2025</t>
        </is>
      </c>
      <c r="B943" s="1" t="n">
        <v>45835.53166666667</v>
      </c>
      <c r="C943" s="1" t="n">
        <v>45888</v>
      </c>
      <c r="D943" t="inlineStr">
        <is>
          <t>JÄMTLANDS LÄN</t>
        </is>
      </c>
      <c r="E943" t="inlineStr">
        <is>
          <t>RAGUNDA</t>
        </is>
      </c>
      <c r="F943" t="inlineStr">
        <is>
          <t>SCA</t>
        </is>
      </c>
      <c r="G943" t="n">
        <v>12.3</v>
      </c>
      <c r="H943" t="n">
        <v>0</v>
      </c>
      <c r="I943" t="n">
        <v>0</v>
      </c>
      <c r="J943" t="n">
        <v>0</v>
      </c>
      <c r="K943" t="n">
        <v>0</v>
      </c>
      <c r="L943" t="n">
        <v>0</v>
      </c>
      <c r="M943" t="n">
        <v>0</v>
      </c>
      <c r="N943" t="n">
        <v>0</v>
      </c>
      <c r="O943" t="n">
        <v>0</v>
      </c>
      <c r="P943" t="n">
        <v>0</v>
      </c>
      <c r="Q943" t="n">
        <v>0</v>
      </c>
      <c r="R943" s="2" t="inlineStr"/>
    </row>
    <row r="944" ht="15" customHeight="1">
      <c r="A944" t="inlineStr">
        <is>
          <t>A 32306-2025</t>
        </is>
      </c>
      <c r="B944" s="1" t="n">
        <v>45835.72046296296</v>
      </c>
      <c r="C944" s="1" t="n">
        <v>45888</v>
      </c>
      <c r="D944" t="inlineStr">
        <is>
          <t>JÄMTLANDS LÄN</t>
        </is>
      </c>
      <c r="E944" t="inlineStr">
        <is>
          <t>RAGUNDA</t>
        </is>
      </c>
      <c r="G944" t="n">
        <v>10.2</v>
      </c>
      <c r="H944" t="n">
        <v>0</v>
      </c>
      <c r="I944" t="n">
        <v>0</v>
      </c>
      <c r="J944" t="n">
        <v>0</v>
      </c>
      <c r="K944" t="n">
        <v>0</v>
      </c>
      <c r="L944" t="n">
        <v>0</v>
      </c>
      <c r="M944" t="n">
        <v>0</v>
      </c>
      <c r="N944" t="n">
        <v>0</v>
      </c>
      <c r="O944" t="n">
        <v>0</v>
      </c>
      <c r="P944" t="n">
        <v>0</v>
      </c>
      <c r="Q944" t="n">
        <v>0</v>
      </c>
      <c r="R944" s="2" t="inlineStr"/>
    </row>
    <row r="945" ht="15" customHeight="1">
      <c r="A945" t="inlineStr">
        <is>
          <t>A 62106-2023</t>
        </is>
      </c>
      <c r="B945" s="1" t="n">
        <v>45266.95082175926</v>
      </c>
      <c r="C945" s="1" t="n">
        <v>45888</v>
      </c>
      <c r="D945" t="inlineStr">
        <is>
          <t>JÄMTLANDS LÄN</t>
        </is>
      </c>
      <c r="E945" t="inlineStr">
        <is>
          <t>RAGUNDA</t>
        </is>
      </c>
      <c r="F945" t="inlineStr">
        <is>
          <t>SCA</t>
        </is>
      </c>
      <c r="G945" t="n">
        <v>6.6</v>
      </c>
      <c r="H945" t="n">
        <v>0</v>
      </c>
      <c r="I945" t="n">
        <v>0</v>
      </c>
      <c r="J945" t="n">
        <v>0</v>
      </c>
      <c r="K945" t="n">
        <v>0</v>
      </c>
      <c r="L945" t="n">
        <v>0</v>
      </c>
      <c r="M945" t="n">
        <v>0</v>
      </c>
      <c r="N945" t="n">
        <v>0</v>
      </c>
      <c r="O945" t="n">
        <v>0</v>
      </c>
      <c r="P945" t="n">
        <v>0</v>
      </c>
      <c r="Q945" t="n">
        <v>0</v>
      </c>
      <c r="R945" s="2" t="inlineStr"/>
    </row>
    <row r="946" ht="15" customHeight="1">
      <c r="A946" t="inlineStr">
        <is>
          <t>A 18781-2024</t>
        </is>
      </c>
      <c r="B946" s="1" t="n">
        <v>45426</v>
      </c>
      <c r="C946" s="1" t="n">
        <v>45888</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32021-2025</t>
        </is>
      </c>
      <c r="B947" s="1" t="n">
        <v>45835.40668981482</v>
      </c>
      <c r="C947" s="1" t="n">
        <v>45888</v>
      </c>
      <c r="D947" t="inlineStr">
        <is>
          <t>JÄMTLANDS LÄN</t>
        </is>
      </c>
      <c r="E947" t="inlineStr">
        <is>
          <t>RAGUNDA</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32075-2025</t>
        </is>
      </c>
      <c r="B948" s="1" t="n">
        <v>45835.4506712963</v>
      </c>
      <c r="C948" s="1" t="n">
        <v>45888</v>
      </c>
      <c r="D948" t="inlineStr">
        <is>
          <t>JÄMTLANDS LÄN</t>
        </is>
      </c>
      <c r="E948" t="inlineStr">
        <is>
          <t>RAGUNDA</t>
        </is>
      </c>
      <c r="G948" t="n">
        <v>1.1</v>
      </c>
      <c r="H948" t="n">
        <v>0</v>
      </c>
      <c r="I948" t="n">
        <v>0</v>
      </c>
      <c r="J948" t="n">
        <v>0</v>
      </c>
      <c r="K948" t="n">
        <v>0</v>
      </c>
      <c r="L948" t="n">
        <v>0</v>
      </c>
      <c r="M948" t="n">
        <v>0</v>
      </c>
      <c r="N948" t="n">
        <v>0</v>
      </c>
      <c r="O948" t="n">
        <v>0</v>
      </c>
      <c r="P948" t="n">
        <v>0</v>
      </c>
      <c r="Q948" t="n">
        <v>0</v>
      </c>
      <c r="R948" s="2" t="inlineStr"/>
    </row>
    <row r="949" ht="15" customHeight="1">
      <c r="A949" t="inlineStr">
        <is>
          <t>A 62081-2022</t>
        </is>
      </c>
      <c r="B949" s="1" t="n">
        <v>44918</v>
      </c>
      <c r="C949" s="1" t="n">
        <v>45888</v>
      </c>
      <c r="D949" t="inlineStr">
        <is>
          <t>JÄMTLANDS LÄN</t>
        </is>
      </c>
      <c r="E949" t="inlineStr">
        <is>
          <t>RAGUNDA</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31882-2025</t>
        </is>
      </c>
      <c r="B950" s="1" t="n">
        <v>45834.65662037037</v>
      </c>
      <c r="C950" s="1" t="n">
        <v>45888</v>
      </c>
      <c r="D950" t="inlineStr">
        <is>
          <t>JÄMTLANDS LÄN</t>
        </is>
      </c>
      <c r="E950" t="inlineStr">
        <is>
          <t>RAGUNDA</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56984-2022</t>
        </is>
      </c>
      <c r="B951" s="1" t="n">
        <v>44894.79018518519</v>
      </c>
      <c r="C951" s="1" t="n">
        <v>45888</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30826-2023</t>
        </is>
      </c>
      <c r="B952" s="1" t="n">
        <v>45112</v>
      </c>
      <c r="C952" s="1" t="n">
        <v>45888</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37292-2025</t>
        </is>
      </c>
      <c r="B953" s="1" t="n">
        <v>45876.53188657408</v>
      </c>
      <c r="C953" s="1" t="n">
        <v>45888</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53263-2024</t>
        </is>
      </c>
      <c r="B954" s="1" t="n">
        <v>45614.34541666666</v>
      </c>
      <c r="C954" s="1" t="n">
        <v>45888</v>
      </c>
      <c r="D954" t="inlineStr">
        <is>
          <t>JÄMTLANDS LÄN</t>
        </is>
      </c>
      <c r="E954" t="inlineStr">
        <is>
          <t>RAGUNDA</t>
        </is>
      </c>
      <c r="G954" t="n">
        <v>1.9</v>
      </c>
      <c r="H954" t="n">
        <v>0</v>
      </c>
      <c r="I954" t="n">
        <v>0</v>
      </c>
      <c r="J954" t="n">
        <v>0</v>
      </c>
      <c r="K954" t="n">
        <v>0</v>
      </c>
      <c r="L954" t="n">
        <v>0</v>
      </c>
      <c r="M954" t="n">
        <v>0</v>
      </c>
      <c r="N954" t="n">
        <v>0</v>
      </c>
      <c r="O954" t="n">
        <v>0</v>
      </c>
      <c r="P954" t="n">
        <v>0</v>
      </c>
      <c r="Q954" t="n">
        <v>0</v>
      </c>
      <c r="R954" s="2" t="inlineStr"/>
    </row>
    <row r="955" ht="15" customHeight="1">
      <c r="A955" t="inlineStr">
        <is>
          <t>A 26645-2024</t>
        </is>
      </c>
      <c r="B955" s="1" t="n">
        <v>45469.94667824074</v>
      </c>
      <c r="C955" s="1" t="n">
        <v>45888</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13264-2025</t>
        </is>
      </c>
      <c r="B956" s="1" t="n">
        <v>45735</v>
      </c>
      <c r="C956" s="1" t="n">
        <v>45888</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32796-2025</t>
        </is>
      </c>
      <c r="B957" s="1" t="n">
        <v>45839.49082175926</v>
      </c>
      <c r="C957" s="1" t="n">
        <v>45888</v>
      </c>
      <c r="D957" t="inlineStr">
        <is>
          <t>JÄMTLANDS LÄN</t>
        </is>
      </c>
      <c r="E957" t="inlineStr">
        <is>
          <t>RAGUNDA</t>
        </is>
      </c>
      <c r="G957" t="n">
        <v>1.7</v>
      </c>
      <c r="H957" t="n">
        <v>0</v>
      </c>
      <c r="I957" t="n">
        <v>0</v>
      </c>
      <c r="J957" t="n">
        <v>0</v>
      </c>
      <c r="K957" t="n">
        <v>0</v>
      </c>
      <c r="L957" t="n">
        <v>0</v>
      </c>
      <c r="M957" t="n">
        <v>0</v>
      </c>
      <c r="N957" t="n">
        <v>0</v>
      </c>
      <c r="O957" t="n">
        <v>0</v>
      </c>
      <c r="P957" t="n">
        <v>0</v>
      </c>
      <c r="Q957" t="n">
        <v>0</v>
      </c>
      <c r="R957" s="2" t="inlineStr"/>
    </row>
    <row r="958" ht="15" customHeight="1">
      <c r="A958" t="inlineStr">
        <is>
          <t>A 893-2025</t>
        </is>
      </c>
      <c r="B958" s="1" t="n">
        <v>45665.65684027778</v>
      </c>
      <c r="C958" s="1" t="n">
        <v>45888</v>
      </c>
      <c r="D958" t="inlineStr">
        <is>
          <t>JÄMTLANDS LÄN</t>
        </is>
      </c>
      <c r="E958" t="inlineStr">
        <is>
          <t>RAGUNDA</t>
        </is>
      </c>
      <c r="F958" t="inlineStr">
        <is>
          <t>SCA</t>
        </is>
      </c>
      <c r="G958" t="n">
        <v>45.1</v>
      </c>
      <c r="H958" t="n">
        <v>0</v>
      </c>
      <c r="I958" t="n">
        <v>0</v>
      </c>
      <c r="J958" t="n">
        <v>0</v>
      </c>
      <c r="K958" t="n">
        <v>0</v>
      </c>
      <c r="L958" t="n">
        <v>0</v>
      </c>
      <c r="M958" t="n">
        <v>0</v>
      </c>
      <c r="N958" t="n">
        <v>0</v>
      </c>
      <c r="O958" t="n">
        <v>0</v>
      </c>
      <c r="P958" t="n">
        <v>0</v>
      </c>
      <c r="Q958" t="n">
        <v>0</v>
      </c>
      <c r="R958" s="2" t="inlineStr"/>
    </row>
    <row r="959" ht="15" customHeight="1">
      <c r="A959" t="inlineStr">
        <is>
          <t>A 31135-2023</t>
        </is>
      </c>
      <c r="B959" s="1" t="n">
        <v>45103</v>
      </c>
      <c r="C959" s="1" t="n">
        <v>45888</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32655-2025</t>
        </is>
      </c>
      <c r="B960" s="1" t="n">
        <v>45838.67800925926</v>
      </c>
      <c r="C960" s="1" t="n">
        <v>45888</v>
      </c>
      <c r="D960" t="inlineStr">
        <is>
          <t>JÄMTLANDS LÄN</t>
        </is>
      </c>
      <c r="E960" t="inlineStr">
        <is>
          <t>RAGUNDA</t>
        </is>
      </c>
      <c r="G960" t="n">
        <v>2.8</v>
      </c>
      <c r="H960" t="n">
        <v>0</v>
      </c>
      <c r="I960" t="n">
        <v>0</v>
      </c>
      <c r="J960" t="n">
        <v>0</v>
      </c>
      <c r="K960" t="n">
        <v>0</v>
      </c>
      <c r="L960" t="n">
        <v>0</v>
      </c>
      <c r="M960" t="n">
        <v>0</v>
      </c>
      <c r="N960" t="n">
        <v>0</v>
      </c>
      <c r="O960" t="n">
        <v>0</v>
      </c>
      <c r="P960" t="n">
        <v>0</v>
      </c>
      <c r="Q960" t="n">
        <v>0</v>
      </c>
      <c r="R960" s="2" t="inlineStr"/>
    </row>
    <row r="961" ht="15" customHeight="1">
      <c r="A961" t="inlineStr">
        <is>
          <t>A 32751-2025</t>
        </is>
      </c>
      <c r="B961" s="1" t="n">
        <v>45839.42864583333</v>
      </c>
      <c r="C961" s="1" t="n">
        <v>45888</v>
      </c>
      <c r="D961" t="inlineStr">
        <is>
          <t>JÄMTLANDS LÄN</t>
        </is>
      </c>
      <c r="E961" t="inlineStr">
        <is>
          <t>RAGUNDA</t>
        </is>
      </c>
      <c r="F961" t="inlineStr">
        <is>
          <t>SCA</t>
        </is>
      </c>
      <c r="G961" t="n">
        <v>10</v>
      </c>
      <c r="H961" t="n">
        <v>0</v>
      </c>
      <c r="I961" t="n">
        <v>0</v>
      </c>
      <c r="J961" t="n">
        <v>0</v>
      </c>
      <c r="K961" t="n">
        <v>0</v>
      </c>
      <c r="L961" t="n">
        <v>0</v>
      </c>
      <c r="M961" t="n">
        <v>0</v>
      </c>
      <c r="N961" t="n">
        <v>0</v>
      </c>
      <c r="O961" t="n">
        <v>0</v>
      </c>
      <c r="P961" t="n">
        <v>0</v>
      </c>
      <c r="Q961" t="n">
        <v>0</v>
      </c>
      <c r="R961" s="2" t="inlineStr"/>
    </row>
    <row r="962" ht="15" customHeight="1">
      <c r="A962" t="inlineStr">
        <is>
          <t>A 5307-2025</t>
        </is>
      </c>
      <c r="B962" s="1" t="n">
        <v>45692.48993055556</v>
      </c>
      <c r="C962" s="1" t="n">
        <v>45888</v>
      </c>
      <c r="D962" t="inlineStr">
        <is>
          <t>JÄMTLANDS LÄN</t>
        </is>
      </c>
      <c r="E962" t="inlineStr">
        <is>
          <t>RAGUNDA</t>
        </is>
      </c>
      <c r="F962" t="inlineStr">
        <is>
          <t>SCA</t>
        </is>
      </c>
      <c r="G962" t="n">
        <v>20.9</v>
      </c>
      <c r="H962" t="n">
        <v>0</v>
      </c>
      <c r="I962" t="n">
        <v>0</v>
      </c>
      <c r="J962" t="n">
        <v>0</v>
      </c>
      <c r="K962" t="n">
        <v>0</v>
      </c>
      <c r="L962" t="n">
        <v>0</v>
      </c>
      <c r="M962" t="n">
        <v>0</v>
      </c>
      <c r="N962" t="n">
        <v>0</v>
      </c>
      <c r="O962" t="n">
        <v>0</v>
      </c>
      <c r="P962" t="n">
        <v>0</v>
      </c>
      <c r="Q962" t="n">
        <v>0</v>
      </c>
      <c r="R962" s="2" t="inlineStr"/>
    </row>
    <row r="963" ht="15" customHeight="1">
      <c r="A963" t="inlineStr">
        <is>
          <t>A 38548-2024</t>
        </is>
      </c>
      <c r="B963" s="1" t="n">
        <v>45546</v>
      </c>
      <c r="C963" s="1" t="n">
        <v>45888</v>
      </c>
      <c r="D963" t="inlineStr">
        <is>
          <t>JÄMTLANDS LÄN</t>
        </is>
      </c>
      <c r="E963" t="inlineStr">
        <is>
          <t>RAGUNDA</t>
        </is>
      </c>
      <c r="G963" t="n">
        <v>1.4</v>
      </c>
      <c r="H963" t="n">
        <v>0</v>
      </c>
      <c r="I963" t="n">
        <v>0</v>
      </c>
      <c r="J963" t="n">
        <v>0</v>
      </c>
      <c r="K963" t="n">
        <v>0</v>
      </c>
      <c r="L963" t="n">
        <v>0</v>
      </c>
      <c r="M963" t="n">
        <v>0</v>
      </c>
      <c r="N963" t="n">
        <v>0</v>
      </c>
      <c r="O963" t="n">
        <v>0</v>
      </c>
      <c r="P963" t="n">
        <v>0</v>
      </c>
      <c r="Q963" t="n">
        <v>0</v>
      </c>
      <c r="R963" s="2" t="inlineStr"/>
    </row>
    <row r="964" ht="15" customHeight="1">
      <c r="A964" t="inlineStr">
        <is>
          <t>A 2411-2023</t>
        </is>
      </c>
      <c r="B964" s="1" t="n">
        <v>44942</v>
      </c>
      <c r="C964" s="1" t="n">
        <v>45888</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13935-2024</t>
        </is>
      </c>
      <c r="B965" s="1" t="n">
        <v>45391.95329861111</v>
      </c>
      <c r="C965" s="1" t="n">
        <v>45888</v>
      </c>
      <c r="D965" t="inlineStr">
        <is>
          <t>JÄMTLANDS LÄN</t>
        </is>
      </c>
      <c r="E965" t="inlineStr">
        <is>
          <t>RAGUNDA</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32777-2025</t>
        </is>
      </c>
      <c r="B966" s="1" t="n">
        <v>45839.46915509259</v>
      </c>
      <c r="C966" s="1" t="n">
        <v>45888</v>
      </c>
      <c r="D966" t="inlineStr">
        <is>
          <t>JÄMTLANDS LÄN</t>
        </is>
      </c>
      <c r="E966" t="inlineStr">
        <is>
          <t>RAGUNDA</t>
        </is>
      </c>
      <c r="F966" t="inlineStr">
        <is>
          <t>SCA</t>
        </is>
      </c>
      <c r="G966" t="n">
        <v>21.7</v>
      </c>
      <c r="H966" t="n">
        <v>0</v>
      </c>
      <c r="I966" t="n">
        <v>0</v>
      </c>
      <c r="J966" t="n">
        <v>0</v>
      </c>
      <c r="K966" t="n">
        <v>0</v>
      </c>
      <c r="L966" t="n">
        <v>0</v>
      </c>
      <c r="M966" t="n">
        <v>0</v>
      </c>
      <c r="N966" t="n">
        <v>0</v>
      </c>
      <c r="O966" t="n">
        <v>0</v>
      </c>
      <c r="P966" t="n">
        <v>0</v>
      </c>
      <c r="Q966" t="n">
        <v>0</v>
      </c>
      <c r="R966" s="2" t="inlineStr"/>
    </row>
    <row r="967" ht="15" customHeight="1">
      <c r="A967" t="inlineStr">
        <is>
          <t>A 5308-2025</t>
        </is>
      </c>
      <c r="B967" s="1" t="n">
        <v>45692.49008101852</v>
      </c>
      <c r="C967" s="1" t="n">
        <v>45888</v>
      </c>
      <c r="D967" t="inlineStr">
        <is>
          <t>JÄMTLANDS LÄN</t>
        </is>
      </c>
      <c r="E967" t="inlineStr">
        <is>
          <t>RAGUNDA</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58194-2022</t>
        </is>
      </c>
      <c r="B968" s="1" t="n">
        <v>44900</v>
      </c>
      <c r="C968" s="1" t="n">
        <v>45888</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32430-2025</t>
        </is>
      </c>
      <c r="B969" s="1" t="n">
        <v>45838.36532407408</v>
      </c>
      <c r="C969" s="1" t="n">
        <v>45888</v>
      </c>
      <c r="D969" t="inlineStr">
        <is>
          <t>JÄMTLANDS LÄN</t>
        </is>
      </c>
      <c r="E969" t="inlineStr">
        <is>
          <t>RAGUNDA</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43132-2023</t>
        </is>
      </c>
      <c r="B970" s="1" t="n">
        <v>45182</v>
      </c>
      <c r="C970" s="1" t="n">
        <v>45888</v>
      </c>
      <c r="D970" t="inlineStr">
        <is>
          <t>JÄMTLANDS LÄN</t>
        </is>
      </c>
      <c r="E970" t="inlineStr">
        <is>
          <t>RAGUNDA</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32747-2025</t>
        </is>
      </c>
      <c r="B971" s="1" t="n">
        <v>45839.42810185185</v>
      </c>
      <c r="C971" s="1" t="n">
        <v>45888</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32757-2025</t>
        </is>
      </c>
      <c r="B972" s="1" t="n">
        <v>45838</v>
      </c>
      <c r="C972" s="1" t="n">
        <v>45888</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32846-2025</t>
        </is>
      </c>
      <c r="B973" s="1" t="n">
        <v>45839.57331018519</v>
      </c>
      <c r="C973" s="1" t="n">
        <v>45888</v>
      </c>
      <c r="D973" t="inlineStr">
        <is>
          <t>JÄMTLANDS LÄN</t>
        </is>
      </c>
      <c r="E973" t="inlineStr">
        <is>
          <t>RAGUNDA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32748-2025</t>
        </is>
      </c>
      <c r="B974" s="1" t="n">
        <v>45839.42822916667</v>
      </c>
      <c r="C974" s="1" t="n">
        <v>45888</v>
      </c>
      <c r="D974" t="inlineStr">
        <is>
          <t>JÄMTLANDS LÄN</t>
        </is>
      </c>
      <c r="E974" t="inlineStr">
        <is>
          <t>RAGUNDA</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32762-2025</t>
        </is>
      </c>
      <c r="B975" s="1" t="n">
        <v>45838</v>
      </c>
      <c r="C975" s="1" t="n">
        <v>45888</v>
      </c>
      <c r="D975" t="inlineStr">
        <is>
          <t>JÄMTLANDS LÄN</t>
        </is>
      </c>
      <c r="E975" t="inlineStr">
        <is>
          <t>RAGUNDA</t>
        </is>
      </c>
      <c r="G975" t="n">
        <v>0.6</v>
      </c>
      <c r="H975" t="n">
        <v>0</v>
      </c>
      <c r="I975" t="n">
        <v>0</v>
      </c>
      <c r="J975" t="n">
        <v>0</v>
      </c>
      <c r="K975" t="n">
        <v>0</v>
      </c>
      <c r="L975" t="n">
        <v>0</v>
      </c>
      <c r="M975" t="n">
        <v>0</v>
      </c>
      <c r="N975" t="n">
        <v>0</v>
      </c>
      <c r="O975" t="n">
        <v>0</v>
      </c>
      <c r="P975" t="n">
        <v>0</v>
      </c>
      <c r="Q975" t="n">
        <v>0</v>
      </c>
      <c r="R975" s="2" t="inlineStr"/>
    </row>
    <row r="976" ht="15" customHeight="1">
      <c r="A976" t="inlineStr">
        <is>
          <t>A 24171-2021</t>
        </is>
      </c>
      <c r="B976" s="1" t="n">
        <v>44336</v>
      </c>
      <c r="C976" s="1" t="n">
        <v>45888</v>
      </c>
      <c r="D976" t="inlineStr">
        <is>
          <t>JÄMTLANDS LÄN</t>
        </is>
      </c>
      <c r="E976" t="inlineStr">
        <is>
          <t>RAGUNDA</t>
        </is>
      </c>
      <c r="G976" t="n">
        <v>3.6</v>
      </c>
      <c r="H976" t="n">
        <v>0</v>
      </c>
      <c r="I976" t="n">
        <v>0</v>
      </c>
      <c r="J976" t="n">
        <v>0</v>
      </c>
      <c r="K976" t="n">
        <v>0</v>
      </c>
      <c r="L976" t="n">
        <v>0</v>
      </c>
      <c r="M976" t="n">
        <v>0</v>
      </c>
      <c r="N976" t="n">
        <v>0</v>
      </c>
      <c r="O976" t="n">
        <v>0</v>
      </c>
      <c r="P976" t="n">
        <v>0</v>
      </c>
      <c r="Q976" t="n">
        <v>0</v>
      </c>
      <c r="R976" s="2" t="inlineStr"/>
    </row>
    <row r="977" ht="15" customHeight="1">
      <c r="A977" t="inlineStr">
        <is>
          <t>A 32660-2025</t>
        </is>
      </c>
      <c r="B977" s="1" t="n">
        <v>45838.67887731481</v>
      </c>
      <c r="C977" s="1" t="n">
        <v>45888</v>
      </c>
      <c r="D977" t="inlineStr">
        <is>
          <t>JÄMTLANDS LÄN</t>
        </is>
      </c>
      <c r="E977" t="inlineStr">
        <is>
          <t>RAGUNDA</t>
        </is>
      </c>
      <c r="F977" t="inlineStr">
        <is>
          <t>SCA</t>
        </is>
      </c>
      <c r="G977" t="n">
        <v>10.3</v>
      </c>
      <c r="H977" t="n">
        <v>0</v>
      </c>
      <c r="I977" t="n">
        <v>0</v>
      </c>
      <c r="J977" t="n">
        <v>0</v>
      </c>
      <c r="K977" t="n">
        <v>0</v>
      </c>
      <c r="L977" t="n">
        <v>0</v>
      </c>
      <c r="M977" t="n">
        <v>0</v>
      </c>
      <c r="N977" t="n">
        <v>0</v>
      </c>
      <c r="O977" t="n">
        <v>0</v>
      </c>
      <c r="P977" t="n">
        <v>0</v>
      </c>
      <c r="Q977" t="n">
        <v>0</v>
      </c>
      <c r="R977" s="2" t="inlineStr"/>
    </row>
    <row r="978" ht="15" customHeight="1">
      <c r="A978" t="inlineStr">
        <is>
          <t>A 58843-2024</t>
        </is>
      </c>
      <c r="B978" s="1" t="n">
        <v>45636.38599537037</v>
      </c>
      <c r="C978" s="1" t="n">
        <v>45888</v>
      </c>
      <c r="D978" t="inlineStr">
        <is>
          <t>JÄMTLANDS LÄN</t>
        </is>
      </c>
      <c r="E978" t="inlineStr">
        <is>
          <t>RAGUNDA</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56284-2023</t>
        </is>
      </c>
      <c r="B979" s="1" t="n">
        <v>45241.95724537037</v>
      </c>
      <c r="C979" s="1" t="n">
        <v>45888</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32527-2025</t>
        </is>
      </c>
      <c r="B980" s="1" t="n">
        <v>45838.48996527777</v>
      </c>
      <c r="C980" s="1" t="n">
        <v>45888</v>
      </c>
      <c r="D980" t="inlineStr">
        <is>
          <t>JÄMTLANDS LÄN</t>
        </is>
      </c>
      <c r="E980" t="inlineStr">
        <is>
          <t>RAGUNDA</t>
        </is>
      </c>
      <c r="G980" t="n">
        <v>5</v>
      </c>
      <c r="H980" t="n">
        <v>0</v>
      </c>
      <c r="I980" t="n">
        <v>0</v>
      </c>
      <c r="J980" t="n">
        <v>0</v>
      </c>
      <c r="K980" t="n">
        <v>0</v>
      </c>
      <c r="L980" t="n">
        <v>0</v>
      </c>
      <c r="M980" t="n">
        <v>0</v>
      </c>
      <c r="N980" t="n">
        <v>0</v>
      </c>
      <c r="O980" t="n">
        <v>0</v>
      </c>
      <c r="P980" t="n">
        <v>0</v>
      </c>
      <c r="Q980" t="n">
        <v>0</v>
      </c>
      <c r="R980" s="2" t="inlineStr"/>
    </row>
    <row r="981" ht="15" customHeight="1">
      <c r="A981" t="inlineStr">
        <is>
          <t>A 33140-2025</t>
        </is>
      </c>
      <c r="B981" s="1" t="n">
        <v>45840.52225694444</v>
      </c>
      <c r="C981" s="1" t="n">
        <v>45888</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61045-2022</t>
        </is>
      </c>
      <c r="B982" s="1" t="n">
        <v>44914</v>
      </c>
      <c r="C982" s="1" t="n">
        <v>45888</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53287-2022</t>
        </is>
      </c>
      <c r="B983" s="1" t="n">
        <v>44876</v>
      </c>
      <c r="C983" s="1" t="n">
        <v>45888</v>
      </c>
      <c r="D983" t="inlineStr">
        <is>
          <t>JÄMTLANDS LÄN</t>
        </is>
      </c>
      <c r="E983" t="inlineStr">
        <is>
          <t>RAGUNDA</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61197-2023</t>
        </is>
      </c>
      <c r="B984" s="1" t="n">
        <v>45260</v>
      </c>
      <c r="C984" s="1" t="n">
        <v>45888</v>
      </c>
      <c r="D984" t="inlineStr">
        <is>
          <t>JÄMTLANDS LÄN</t>
        </is>
      </c>
      <c r="E984" t="inlineStr">
        <is>
          <t>RAGUNDA</t>
        </is>
      </c>
      <c r="G984" t="n">
        <v>2.5</v>
      </c>
      <c r="H984" t="n">
        <v>0</v>
      </c>
      <c r="I984" t="n">
        <v>0</v>
      </c>
      <c r="J984" t="n">
        <v>0</v>
      </c>
      <c r="K984" t="n">
        <v>0</v>
      </c>
      <c r="L984" t="n">
        <v>0</v>
      </c>
      <c r="M984" t="n">
        <v>0</v>
      </c>
      <c r="N984" t="n">
        <v>0</v>
      </c>
      <c r="O984" t="n">
        <v>0</v>
      </c>
      <c r="P984" t="n">
        <v>0</v>
      </c>
      <c r="Q984" t="n">
        <v>0</v>
      </c>
      <c r="R984" s="2" t="inlineStr"/>
    </row>
    <row r="985" ht="15" customHeight="1">
      <c r="A985" t="inlineStr">
        <is>
          <t>A 13263-2025</t>
        </is>
      </c>
      <c r="B985" s="1" t="n">
        <v>45735.53177083333</v>
      </c>
      <c r="C985" s="1" t="n">
        <v>45888</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48066-2022</t>
        </is>
      </c>
      <c r="B986" s="1" t="n">
        <v>44855</v>
      </c>
      <c r="C986" s="1" t="n">
        <v>45888</v>
      </c>
      <c r="D986" t="inlineStr">
        <is>
          <t>JÄMTLANDS LÄN</t>
        </is>
      </c>
      <c r="E986" t="inlineStr">
        <is>
          <t>RAGUNDA</t>
        </is>
      </c>
      <c r="F986" t="inlineStr">
        <is>
          <t>SCA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16320-2025</t>
        </is>
      </c>
      <c r="B987" s="1" t="n">
        <v>45751.34859953704</v>
      </c>
      <c r="C987" s="1" t="n">
        <v>45888</v>
      </c>
      <c r="D987" t="inlineStr">
        <is>
          <t>JÄMTLANDS LÄN</t>
        </is>
      </c>
      <c r="E987" t="inlineStr">
        <is>
          <t>RAGUNDA</t>
        </is>
      </c>
      <c r="F987" t="inlineStr">
        <is>
          <t>SCA</t>
        </is>
      </c>
      <c r="G987" t="n">
        <v>16.2</v>
      </c>
      <c r="H987" t="n">
        <v>0</v>
      </c>
      <c r="I987" t="n">
        <v>0</v>
      </c>
      <c r="J987" t="n">
        <v>0</v>
      </c>
      <c r="K987" t="n">
        <v>0</v>
      </c>
      <c r="L987" t="n">
        <v>0</v>
      </c>
      <c r="M987" t="n">
        <v>0</v>
      </c>
      <c r="N987" t="n">
        <v>0</v>
      </c>
      <c r="O987" t="n">
        <v>0</v>
      </c>
      <c r="P987" t="n">
        <v>0</v>
      </c>
      <c r="Q987" t="n">
        <v>0</v>
      </c>
      <c r="R987" s="2" t="inlineStr"/>
    </row>
    <row r="988" ht="15" customHeight="1">
      <c r="A988" t="inlineStr">
        <is>
          <t>A 16321-2025</t>
        </is>
      </c>
      <c r="B988" s="1" t="n">
        <v>45751.34873842593</v>
      </c>
      <c r="C988" s="1" t="n">
        <v>45888</v>
      </c>
      <c r="D988" t="inlineStr">
        <is>
          <t>JÄMTLANDS LÄN</t>
        </is>
      </c>
      <c r="E988" t="inlineStr">
        <is>
          <t>RAGUNDA</t>
        </is>
      </c>
      <c r="F988" t="inlineStr">
        <is>
          <t>SCA</t>
        </is>
      </c>
      <c r="G988" t="n">
        <v>63.3</v>
      </c>
      <c r="H988" t="n">
        <v>0</v>
      </c>
      <c r="I988" t="n">
        <v>0</v>
      </c>
      <c r="J988" t="n">
        <v>0</v>
      </c>
      <c r="K988" t="n">
        <v>0</v>
      </c>
      <c r="L988" t="n">
        <v>0</v>
      </c>
      <c r="M988" t="n">
        <v>0</v>
      </c>
      <c r="N988" t="n">
        <v>0</v>
      </c>
      <c r="O988" t="n">
        <v>0</v>
      </c>
      <c r="P988" t="n">
        <v>0</v>
      </c>
      <c r="Q988" t="n">
        <v>0</v>
      </c>
      <c r="R988" s="2" t="inlineStr"/>
    </row>
    <row r="989" ht="15" customHeight="1">
      <c r="A989" t="inlineStr">
        <is>
          <t>A 33556-2025</t>
        </is>
      </c>
      <c r="B989" s="1" t="n">
        <v>45841.57427083333</v>
      </c>
      <c r="C989" s="1" t="n">
        <v>45888</v>
      </c>
      <c r="D989" t="inlineStr">
        <is>
          <t>JÄMTLANDS LÄN</t>
        </is>
      </c>
      <c r="E989" t="inlineStr">
        <is>
          <t>RAGUNDA</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14696-2022</t>
        </is>
      </c>
      <c r="B990" s="1" t="n">
        <v>44655</v>
      </c>
      <c r="C990" s="1" t="n">
        <v>45888</v>
      </c>
      <c r="D990" t="inlineStr">
        <is>
          <t>JÄMTLANDS LÄN</t>
        </is>
      </c>
      <c r="E990" t="inlineStr">
        <is>
          <t>RAGUNDA</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55514-2024</t>
        </is>
      </c>
      <c r="B991" s="1" t="n">
        <v>45622.46910879629</v>
      </c>
      <c r="C991" s="1" t="n">
        <v>45888</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18375-2022</t>
        </is>
      </c>
      <c r="B992" s="1" t="n">
        <v>44685</v>
      </c>
      <c r="C992" s="1" t="n">
        <v>45888</v>
      </c>
      <c r="D992" t="inlineStr">
        <is>
          <t>JÄMTLANDS LÄN</t>
        </is>
      </c>
      <c r="E992" t="inlineStr">
        <is>
          <t>RAGUNDA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17248-2023</t>
        </is>
      </c>
      <c r="B993" s="1" t="n">
        <v>45033</v>
      </c>
      <c r="C993" s="1" t="n">
        <v>45888</v>
      </c>
      <c r="D993" t="inlineStr">
        <is>
          <t>JÄMTLANDS LÄN</t>
        </is>
      </c>
      <c r="E993" t="inlineStr">
        <is>
          <t>RAGUNDA</t>
        </is>
      </c>
      <c r="G993" t="n">
        <v>3</v>
      </c>
      <c r="H993" t="n">
        <v>0</v>
      </c>
      <c r="I993" t="n">
        <v>0</v>
      </c>
      <c r="J993" t="n">
        <v>0</v>
      </c>
      <c r="K993" t="n">
        <v>0</v>
      </c>
      <c r="L993" t="n">
        <v>0</v>
      </c>
      <c r="M993" t="n">
        <v>0</v>
      </c>
      <c r="N993" t="n">
        <v>0</v>
      </c>
      <c r="O993" t="n">
        <v>0</v>
      </c>
      <c r="P993" t="n">
        <v>0</v>
      </c>
      <c r="Q993" t="n">
        <v>0</v>
      </c>
      <c r="R993" s="2" t="inlineStr"/>
    </row>
    <row r="994" ht="15" customHeight="1">
      <c r="A994" t="inlineStr">
        <is>
          <t>A 64415-2023</t>
        </is>
      </c>
      <c r="B994" s="1" t="n">
        <v>45280</v>
      </c>
      <c r="C994" s="1" t="n">
        <v>45888</v>
      </c>
      <c r="D994" t="inlineStr">
        <is>
          <t>JÄMTLANDS LÄN</t>
        </is>
      </c>
      <c r="E994" t="inlineStr">
        <is>
          <t>RAGUNDA</t>
        </is>
      </c>
      <c r="G994" t="n">
        <v>5.1</v>
      </c>
      <c r="H994" t="n">
        <v>0</v>
      </c>
      <c r="I994" t="n">
        <v>0</v>
      </c>
      <c r="J994" t="n">
        <v>0</v>
      </c>
      <c r="K994" t="n">
        <v>0</v>
      </c>
      <c r="L994" t="n">
        <v>0</v>
      </c>
      <c r="M994" t="n">
        <v>0</v>
      </c>
      <c r="N994" t="n">
        <v>0</v>
      </c>
      <c r="O994" t="n">
        <v>0</v>
      </c>
      <c r="P994" t="n">
        <v>0</v>
      </c>
      <c r="Q994" t="n">
        <v>0</v>
      </c>
      <c r="R994" s="2" t="inlineStr"/>
    </row>
    <row r="995" ht="15" customHeight="1">
      <c r="A995" t="inlineStr">
        <is>
          <t>A 62011-2022</t>
        </is>
      </c>
      <c r="B995" s="1" t="n">
        <v>44914</v>
      </c>
      <c r="C995" s="1" t="n">
        <v>45888</v>
      </c>
      <c r="D995" t="inlineStr">
        <is>
          <t>JÄMTLANDS LÄN</t>
        </is>
      </c>
      <c r="E995" t="inlineStr">
        <is>
          <t>RAGUNDA</t>
        </is>
      </c>
      <c r="G995" t="n">
        <v>0.3</v>
      </c>
      <c r="H995" t="n">
        <v>0</v>
      </c>
      <c r="I995" t="n">
        <v>0</v>
      </c>
      <c r="J995" t="n">
        <v>0</v>
      </c>
      <c r="K995" t="n">
        <v>0</v>
      </c>
      <c r="L995" t="n">
        <v>0</v>
      </c>
      <c r="M995" t="n">
        <v>0</v>
      </c>
      <c r="N995" t="n">
        <v>0</v>
      </c>
      <c r="O995" t="n">
        <v>0</v>
      </c>
      <c r="P995" t="n">
        <v>0</v>
      </c>
      <c r="Q995" t="n">
        <v>0</v>
      </c>
      <c r="R995" s="2" t="inlineStr"/>
    </row>
    <row r="996" ht="15" customHeight="1">
      <c r="A996" t="inlineStr">
        <is>
          <t>A 11557-2023</t>
        </is>
      </c>
      <c r="B996" s="1" t="n">
        <v>44993.94950231481</v>
      </c>
      <c r="C996" s="1" t="n">
        <v>45888</v>
      </c>
      <c r="D996" t="inlineStr">
        <is>
          <t>JÄMTLANDS LÄN</t>
        </is>
      </c>
      <c r="E996" t="inlineStr">
        <is>
          <t>RAGUNDA</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11562-2023</t>
        </is>
      </c>
      <c r="B997" s="1" t="n">
        <v>44993</v>
      </c>
      <c r="C997" s="1" t="n">
        <v>45888</v>
      </c>
      <c r="D997" t="inlineStr">
        <is>
          <t>JÄMTLANDS LÄN</t>
        </is>
      </c>
      <c r="E997" t="inlineStr">
        <is>
          <t>RAGUNDA</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22131-2021</t>
        </is>
      </c>
      <c r="B998" s="1" t="n">
        <v>44323</v>
      </c>
      <c r="C998" s="1" t="n">
        <v>45888</v>
      </c>
      <c r="D998" t="inlineStr">
        <is>
          <t>JÄMTLANDS LÄN</t>
        </is>
      </c>
      <c r="E998" t="inlineStr">
        <is>
          <t>RAGUNDA</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5971-2025</t>
        </is>
      </c>
      <c r="B999" s="1" t="n">
        <v>45695.51070601852</v>
      </c>
      <c r="C999" s="1" t="n">
        <v>45888</v>
      </c>
      <c r="D999" t="inlineStr">
        <is>
          <t>JÄMTLANDS LÄN</t>
        </is>
      </c>
      <c r="E999" t="inlineStr">
        <is>
          <t>RAGUNDA</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60225-2022</t>
        </is>
      </c>
      <c r="B1000" s="1" t="n">
        <v>44903</v>
      </c>
      <c r="C1000" s="1" t="n">
        <v>45888</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30563-2023</t>
        </is>
      </c>
      <c r="B1001" s="1" t="n">
        <v>45111.92793981481</v>
      </c>
      <c r="C1001" s="1" t="n">
        <v>45888</v>
      </c>
      <c r="D1001" t="inlineStr">
        <is>
          <t>JÄMTLANDS LÄN</t>
        </is>
      </c>
      <c r="E1001" t="inlineStr">
        <is>
          <t>RAGUNDA</t>
        </is>
      </c>
      <c r="F1001" t="inlineStr">
        <is>
          <t>Övriga Aktiebolag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15864-2024</t>
        </is>
      </c>
      <c r="B1002" s="1" t="n">
        <v>45404.99792824074</v>
      </c>
      <c r="C1002" s="1" t="n">
        <v>45888</v>
      </c>
      <c r="D1002" t="inlineStr">
        <is>
          <t>JÄMTLANDS LÄN</t>
        </is>
      </c>
      <c r="E1002" t="inlineStr">
        <is>
          <t>RAGUNDA</t>
        </is>
      </c>
      <c r="F1002" t="inlineStr">
        <is>
          <t>SCA</t>
        </is>
      </c>
      <c r="G1002" t="n">
        <v>1.1</v>
      </c>
      <c r="H1002" t="n">
        <v>0</v>
      </c>
      <c r="I1002" t="n">
        <v>0</v>
      </c>
      <c r="J1002" t="n">
        <v>0</v>
      </c>
      <c r="K1002" t="n">
        <v>0</v>
      </c>
      <c r="L1002" t="n">
        <v>0</v>
      </c>
      <c r="M1002" t="n">
        <v>0</v>
      </c>
      <c r="N1002" t="n">
        <v>0</v>
      </c>
      <c r="O1002" t="n">
        <v>0</v>
      </c>
      <c r="P1002" t="n">
        <v>0</v>
      </c>
      <c r="Q1002" t="n">
        <v>0</v>
      </c>
      <c r="R1002" s="2" t="inlineStr"/>
      <c r="U1002">
        <f>HYPERLINK("https://klasma.github.io/Logging_2303/knärot/A 15864-2024 karta knärot.png", "A 15864-2024")</f>
        <v/>
      </c>
      <c r="V1002">
        <f>HYPERLINK("https://klasma.github.io/Logging_2303/klagomål/A 15864-2024 FSC-klagomål.docx", "A 15864-2024")</f>
        <v/>
      </c>
      <c r="W1002">
        <f>HYPERLINK("https://klasma.github.io/Logging_2303/klagomålsmail/A 15864-2024 FSC-klagomål mail.docx", "A 15864-2024")</f>
        <v/>
      </c>
      <c r="X1002">
        <f>HYPERLINK("https://klasma.github.io/Logging_2303/tillsyn/A 15864-2024 tillsynsbegäran.docx", "A 15864-2024")</f>
        <v/>
      </c>
      <c r="Y1002">
        <f>HYPERLINK("https://klasma.github.io/Logging_2303/tillsynsmail/A 15864-2024 tillsynsbegäran mail.docx", "A 15864-2024")</f>
        <v/>
      </c>
    </row>
    <row r="1003" ht="15" customHeight="1">
      <c r="A1003" t="inlineStr">
        <is>
          <t>A 36212-2023</t>
        </is>
      </c>
      <c r="B1003" s="1" t="n">
        <v>45149.95241898148</v>
      </c>
      <c r="C1003" s="1" t="n">
        <v>45888</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57749-2024</t>
        </is>
      </c>
      <c r="B1004" s="1" t="n">
        <v>45630.7862037037</v>
      </c>
      <c r="C1004" s="1" t="n">
        <v>45888</v>
      </c>
      <c r="D1004" t="inlineStr">
        <is>
          <t>JÄMTLANDS LÄN</t>
        </is>
      </c>
      <c r="E1004" t="inlineStr">
        <is>
          <t>RAGUNDA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24280-2021</t>
        </is>
      </c>
      <c r="B1005" s="1" t="n">
        <v>44336</v>
      </c>
      <c r="C1005" s="1" t="n">
        <v>45888</v>
      </c>
      <c r="D1005" t="inlineStr">
        <is>
          <t>JÄMTLANDS LÄN</t>
        </is>
      </c>
      <c r="E1005" t="inlineStr">
        <is>
          <t>RAGUNDA</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8886-2024</t>
        </is>
      </c>
      <c r="B1006" s="1" t="n">
        <v>45357.05300925926</v>
      </c>
      <c r="C1006" s="1" t="n">
        <v>45888</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12768-2022</t>
        </is>
      </c>
      <c r="B1007" s="1" t="n">
        <v>44641</v>
      </c>
      <c r="C1007" s="1" t="n">
        <v>45888</v>
      </c>
      <c r="D1007" t="inlineStr">
        <is>
          <t>JÄMTLANDS LÄN</t>
        </is>
      </c>
      <c r="E1007" t="inlineStr">
        <is>
          <t>RAGUNDA</t>
        </is>
      </c>
      <c r="F1007" t="inlineStr">
        <is>
          <t>SCA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12773-2022</t>
        </is>
      </c>
      <c r="B1008" s="1" t="n">
        <v>44641</v>
      </c>
      <c r="C1008" s="1" t="n">
        <v>45888</v>
      </c>
      <c r="D1008" t="inlineStr">
        <is>
          <t>JÄMTLANDS LÄN</t>
        </is>
      </c>
      <c r="E1008" t="inlineStr">
        <is>
          <t>RAGUNDA</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28596-2021</t>
        </is>
      </c>
      <c r="B1009" s="1" t="n">
        <v>44356</v>
      </c>
      <c r="C1009" s="1" t="n">
        <v>45888</v>
      </c>
      <c r="D1009" t="inlineStr">
        <is>
          <t>JÄMTLANDS LÄN</t>
        </is>
      </c>
      <c r="E1009" t="inlineStr">
        <is>
          <t>RAGUNDA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5067-2024</t>
        </is>
      </c>
      <c r="B1010" s="1" t="n">
        <v>45329.95806712963</v>
      </c>
      <c r="C1010" s="1" t="n">
        <v>45888</v>
      </c>
      <c r="D1010" t="inlineStr">
        <is>
          <t>JÄMTLANDS LÄN</t>
        </is>
      </c>
      <c r="E1010" t="inlineStr">
        <is>
          <t>RAGUNDA</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11058-2025</t>
        </is>
      </c>
      <c r="B1011" s="1" t="n">
        <v>45723.51079861111</v>
      </c>
      <c r="C1011" s="1" t="n">
        <v>45888</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38664-2022</t>
        </is>
      </c>
      <c r="B1012" s="1" t="n">
        <v>44813</v>
      </c>
      <c r="C1012" s="1" t="n">
        <v>45888</v>
      </c>
      <c r="D1012" t="inlineStr">
        <is>
          <t>JÄMTLANDS LÄN</t>
        </is>
      </c>
      <c r="E1012" t="inlineStr">
        <is>
          <t>RAGUNDA</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14905-2022</t>
        </is>
      </c>
      <c r="B1013" s="1" t="n">
        <v>44656.94708333333</v>
      </c>
      <c r="C1013" s="1" t="n">
        <v>45888</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33650-2025</t>
        </is>
      </c>
      <c r="B1014" s="1" t="n">
        <v>45841.6571412037</v>
      </c>
      <c r="C1014" s="1" t="n">
        <v>45888</v>
      </c>
      <c r="D1014" t="inlineStr">
        <is>
          <t>JÄMTLANDS LÄN</t>
        </is>
      </c>
      <c r="E1014" t="inlineStr">
        <is>
          <t>RAGUNDA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24441-2024</t>
        </is>
      </c>
      <c r="B1015" s="1" t="n">
        <v>45457.96372685185</v>
      </c>
      <c r="C1015" s="1" t="n">
        <v>45888</v>
      </c>
      <c r="D1015" t="inlineStr">
        <is>
          <t>JÄMTLANDS LÄN</t>
        </is>
      </c>
      <c r="E1015" t="inlineStr">
        <is>
          <t>RAGUNDA</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41885-2020</t>
        </is>
      </c>
      <c r="B1016" s="1" t="n">
        <v>44074</v>
      </c>
      <c r="C1016" s="1" t="n">
        <v>45888</v>
      </c>
      <c r="D1016" t="inlineStr">
        <is>
          <t>JÄMTLANDS LÄN</t>
        </is>
      </c>
      <c r="E1016" t="inlineStr">
        <is>
          <t>RAGUNDA</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40801-2023</t>
        </is>
      </c>
      <c r="B1017" s="1" t="n">
        <v>45170</v>
      </c>
      <c r="C1017" s="1" t="n">
        <v>45888</v>
      </c>
      <c r="D1017" t="inlineStr">
        <is>
          <t>JÄMTLANDS LÄN</t>
        </is>
      </c>
      <c r="E1017" t="inlineStr">
        <is>
          <t>RAGUNDA</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33763-2025</t>
        </is>
      </c>
      <c r="B1018" s="1" t="n">
        <v>45842.38579861111</v>
      </c>
      <c r="C1018" s="1" t="n">
        <v>45888</v>
      </c>
      <c r="D1018" t="inlineStr">
        <is>
          <t>JÄMTLANDS LÄN</t>
        </is>
      </c>
      <c r="E1018" t="inlineStr">
        <is>
          <t>RAGUNDA</t>
        </is>
      </c>
      <c r="F1018" t="inlineStr">
        <is>
          <t>SCA</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48065-2023</t>
        </is>
      </c>
      <c r="B1019" s="1" t="n">
        <v>45204.94399305555</v>
      </c>
      <c r="C1019" s="1" t="n">
        <v>45888</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29766-2023</t>
        </is>
      </c>
      <c r="B1020" s="1" t="n">
        <v>45098</v>
      </c>
      <c r="C1020" s="1" t="n">
        <v>45888</v>
      </c>
      <c r="D1020" t="inlineStr">
        <is>
          <t>JÄMTLANDS LÄN</t>
        </is>
      </c>
      <c r="E1020" t="inlineStr">
        <is>
          <t>RAGUNDA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61107-2024</t>
        </is>
      </c>
      <c r="B1021" s="1" t="n">
        <v>45645.55665509259</v>
      </c>
      <c r="C1021" s="1" t="n">
        <v>45888</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23287-2024</t>
        </is>
      </c>
      <c r="B1022" s="1" t="n">
        <v>45453.42041666667</v>
      </c>
      <c r="C1022" s="1" t="n">
        <v>45888</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36922-2022</t>
        </is>
      </c>
      <c r="B1023" s="1" t="n">
        <v>44805.94592592592</v>
      </c>
      <c r="C1023" s="1" t="n">
        <v>45888</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26347-2023</t>
        </is>
      </c>
      <c r="B1024" s="1" t="n">
        <v>45091</v>
      </c>
      <c r="C1024" s="1" t="n">
        <v>45888</v>
      </c>
      <c r="D1024" t="inlineStr">
        <is>
          <t>JÄMTLANDS LÄN</t>
        </is>
      </c>
      <c r="E1024" t="inlineStr">
        <is>
          <t>RAGUNDA</t>
        </is>
      </c>
      <c r="F1024" t="inlineStr">
        <is>
          <t>SCA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11249-2025</t>
        </is>
      </c>
      <c r="B1025" s="1" t="n">
        <v>45726.3860300926</v>
      </c>
      <c r="C1025" s="1" t="n">
        <v>45888</v>
      </c>
      <c r="D1025" t="inlineStr">
        <is>
          <t>JÄMTLANDS LÄN</t>
        </is>
      </c>
      <c r="E1025" t="inlineStr">
        <is>
          <t>RAGUNDA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34483-2023</t>
        </is>
      </c>
      <c r="B1026" s="1" t="n">
        <v>45139.94681712963</v>
      </c>
      <c r="C1026" s="1" t="n">
        <v>45888</v>
      </c>
      <c r="D1026" t="inlineStr">
        <is>
          <t>JÄMTLANDS LÄN</t>
        </is>
      </c>
      <c r="E1026" t="inlineStr">
        <is>
          <t>RAGUNDA</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4592-2024</t>
        </is>
      </c>
      <c r="B1027" s="1" t="n">
        <v>45327.94443287037</v>
      </c>
      <c r="C1027" s="1" t="n">
        <v>45888</v>
      </c>
      <c r="D1027" t="inlineStr">
        <is>
          <t>JÄMTLANDS LÄN</t>
        </is>
      </c>
      <c r="E1027" t="inlineStr">
        <is>
          <t>RAGUNDA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60195-2023</t>
        </is>
      </c>
      <c r="B1028" s="1" t="n">
        <v>45257</v>
      </c>
      <c r="C1028" s="1" t="n">
        <v>45888</v>
      </c>
      <c r="D1028" t="inlineStr">
        <is>
          <t>JÄMTLANDS LÄN</t>
        </is>
      </c>
      <c r="E1028" t="inlineStr">
        <is>
          <t>RAGUNDA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22948-2024</t>
        </is>
      </c>
      <c r="B1029" s="1" t="n">
        <v>45448.94600694445</v>
      </c>
      <c r="C1029" s="1" t="n">
        <v>45888</v>
      </c>
      <c r="D1029" t="inlineStr">
        <is>
          <t>JÄMTLANDS LÄN</t>
        </is>
      </c>
      <c r="E1029" t="inlineStr">
        <is>
          <t>RAGUNDA</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33790-2025</t>
        </is>
      </c>
      <c r="B1030" s="1" t="n">
        <v>45842.42608796297</v>
      </c>
      <c r="C1030" s="1" t="n">
        <v>45888</v>
      </c>
      <c r="D1030" t="inlineStr">
        <is>
          <t>JÄMTLANDS LÄN</t>
        </is>
      </c>
      <c r="E1030" t="inlineStr">
        <is>
          <t>RAGUNDA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22981-2023</t>
        </is>
      </c>
      <c r="B1031" s="1" t="n">
        <v>45072.92737268518</v>
      </c>
      <c r="C1031" s="1" t="n">
        <v>45888</v>
      </c>
      <c r="D1031" t="inlineStr">
        <is>
          <t>JÄMTLANDS LÄN</t>
        </is>
      </c>
      <c r="E1031" t="inlineStr">
        <is>
          <t>RAGUNDA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23304-2023</t>
        </is>
      </c>
      <c r="B1032" s="1" t="n">
        <v>45075.945</v>
      </c>
      <c r="C1032" s="1" t="n">
        <v>45888</v>
      </c>
      <c r="D1032" t="inlineStr">
        <is>
          <t>JÄMTLANDS LÄN</t>
        </is>
      </c>
      <c r="E1032" t="inlineStr">
        <is>
          <t>RAGUNDA</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36226-2023</t>
        </is>
      </c>
      <c r="B1033" s="1" t="n">
        <v>45149.95372685185</v>
      </c>
      <c r="C1033" s="1" t="n">
        <v>45888</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18615-2024</t>
        </is>
      </c>
      <c r="B1034" s="1" t="n">
        <v>45425.96275462963</v>
      </c>
      <c r="C1034" s="1" t="n">
        <v>45888</v>
      </c>
      <c r="D1034" t="inlineStr">
        <is>
          <t>JÄMTLANDS LÄN</t>
        </is>
      </c>
      <c r="E1034" t="inlineStr">
        <is>
          <t>RAGUNDA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40269-2022</t>
        </is>
      </c>
      <c r="B1035" s="1" t="n">
        <v>44820</v>
      </c>
      <c r="C1035" s="1" t="n">
        <v>45888</v>
      </c>
      <c r="D1035" t="inlineStr">
        <is>
          <t>JÄMTLANDS LÄN</t>
        </is>
      </c>
      <c r="E1035" t="inlineStr">
        <is>
          <t>RAGUNDA</t>
        </is>
      </c>
      <c r="F1035" t="inlineStr">
        <is>
          <t>SCA</t>
        </is>
      </c>
      <c r="G1035" t="n">
        <v>77.8</v>
      </c>
      <c r="H1035" t="n">
        <v>0</v>
      </c>
      <c r="I1035" t="n">
        <v>0</v>
      </c>
      <c r="J1035" t="n">
        <v>0</v>
      </c>
      <c r="K1035" t="n">
        <v>0</v>
      </c>
      <c r="L1035" t="n">
        <v>0</v>
      </c>
      <c r="M1035" t="n">
        <v>0</v>
      </c>
      <c r="N1035" t="n">
        <v>0</v>
      </c>
      <c r="O1035" t="n">
        <v>0</v>
      </c>
      <c r="P1035" t="n">
        <v>0</v>
      </c>
      <c r="Q1035" t="n">
        <v>0</v>
      </c>
      <c r="R1035" s="2" t="inlineStr"/>
    </row>
    <row r="1036" ht="15" customHeight="1">
      <c r="A1036" t="inlineStr">
        <is>
          <t>A 37242-2024</t>
        </is>
      </c>
      <c r="B1036" s="1" t="n">
        <v>45540.34428240741</v>
      </c>
      <c r="C1036" s="1" t="n">
        <v>45888</v>
      </c>
      <c r="D1036" t="inlineStr">
        <is>
          <t>JÄMTLANDS LÄN</t>
        </is>
      </c>
      <c r="E1036" t="inlineStr">
        <is>
          <t>RAGUNDA</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17730-2022</t>
        </is>
      </c>
      <c r="B1037" s="1" t="n">
        <v>44680</v>
      </c>
      <c r="C1037" s="1" t="n">
        <v>45888</v>
      </c>
      <c r="D1037" t="inlineStr">
        <is>
          <t>JÄMTLANDS LÄN</t>
        </is>
      </c>
      <c r="E1037" t="inlineStr">
        <is>
          <t>RAGUNDA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45438-2022</t>
        </is>
      </c>
      <c r="B1038" s="1" t="n">
        <v>44844.95368055555</v>
      </c>
      <c r="C1038" s="1" t="n">
        <v>45888</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56191-2022</t>
        </is>
      </c>
      <c r="B1039" s="1" t="n">
        <v>44889.95015046297</v>
      </c>
      <c r="C1039" s="1" t="n">
        <v>45888</v>
      </c>
      <c r="D1039" t="inlineStr">
        <is>
          <t>JÄMTLANDS LÄN</t>
        </is>
      </c>
      <c r="E1039" t="inlineStr">
        <is>
          <t>RAGUNDA</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30823-2023</t>
        </is>
      </c>
      <c r="B1040" s="1" t="n">
        <v>45112</v>
      </c>
      <c r="C1040" s="1" t="n">
        <v>45888</v>
      </c>
      <c r="D1040" t="inlineStr">
        <is>
          <t>JÄMTLANDS LÄN</t>
        </is>
      </c>
      <c r="E1040" t="inlineStr">
        <is>
          <t>RAGUNDA</t>
        </is>
      </c>
      <c r="F1040" t="inlineStr">
        <is>
          <t>SCA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43339-2024</t>
        </is>
      </c>
      <c r="B1041" s="1" t="n">
        <v>45568.51075231482</v>
      </c>
      <c r="C1041" s="1" t="n">
        <v>45888</v>
      </c>
      <c r="D1041" t="inlineStr">
        <is>
          <t>JÄMTLANDS LÄN</t>
        </is>
      </c>
      <c r="E1041" t="inlineStr">
        <is>
          <t>RAGUNDA</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43102-2023</t>
        </is>
      </c>
      <c r="B1042" s="1" t="n">
        <v>45182</v>
      </c>
      <c r="C1042" s="1" t="n">
        <v>45888</v>
      </c>
      <c r="D1042" t="inlineStr">
        <is>
          <t>JÄMTLANDS LÄN</t>
        </is>
      </c>
      <c r="E1042" t="inlineStr">
        <is>
          <t>RAGUNDA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9823-2025</t>
        </is>
      </c>
      <c r="B1043" s="1" t="n">
        <v>45716</v>
      </c>
      <c r="C1043" s="1" t="n">
        <v>45888</v>
      </c>
      <c r="D1043" t="inlineStr">
        <is>
          <t>JÄMTLANDS LÄN</t>
        </is>
      </c>
      <c r="E1043" t="inlineStr">
        <is>
          <t>RAGUNDA</t>
        </is>
      </c>
      <c r="F1043" t="inlineStr">
        <is>
          <t>SCA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13917-2023</t>
        </is>
      </c>
      <c r="B1044" s="1" t="n">
        <v>45007</v>
      </c>
      <c r="C1044" s="1" t="n">
        <v>45888</v>
      </c>
      <c r="D1044" t="inlineStr">
        <is>
          <t>JÄMTLANDS LÄN</t>
        </is>
      </c>
      <c r="E1044" t="inlineStr">
        <is>
          <t>RAGUNDA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53019-2023</t>
        </is>
      </c>
      <c r="B1045" s="1" t="n">
        <v>45222</v>
      </c>
      <c r="C1045" s="1" t="n">
        <v>45888</v>
      </c>
      <c r="D1045" t="inlineStr">
        <is>
          <t>JÄMTLANDS LÄN</t>
        </is>
      </c>
      <c r="E1045" t="inlineStr">
        <is>
          <t>RAGUNDA</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45888</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59996-2023</t>
        </is>
      </c>
      <c r="B1047" s="1" t="n">
        <v>45257.92826388889</v>
      </c>
      <c r="C1047" s="1" t="n">
        <v>45888</v>
      </c>
      <c r="D1047" t="inlineStr">
        <is>
          <t>JÄMTLANDS LÄN</t>
        </is>
      </c>
      <c r="E1047" t="inlineStr">
        <is>
          <t>RAGUNDA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44980-2023</t>
        </is>
      </c>
      <c r="B1048" s="1" t="n">
        <v>45190</v>
      </c>
      <c r="C1048" s="1" t="n">
        <v>45888</v>
      </c>
      <c r="D1048" t="inlineStr">
        <is>
          <t>JÄMTLANDS LÄN</t>
        </is>
      </c>
      <c r="E1048" t="inlineStr">
        <is>
          <t>RAGUNDA</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14076-2023</t>
        </is>
      </c>
      <c r="B1049" s="1" t="n">
        <v>45009.0897337963</v>
      </c>
      <c r="C1049" s="1" t="n">
        <v>45888</v>
      </c>
      <c r="D1049" t="inlineStr">
        <is>
          <t>JÄMTLANDS LÄN</t>
        </is>
      </c>
      <c r="E1049" t="inlineStr">
        <is>
          <t>RAGUNDA</t>
        </is>
      </c>
      <c r="F1049" t="inlineStr">
        <is>
          <t>SCA</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54092-2024</t>
        </is>
      </c>
      <c r="B1050" s="1" t="n">
        <v>45616.5108912037</v>
      </c>
      <c r="C1050" s="1" t="n">
        <v>45888</v>
      </c>
      <c r="D1050" t="inlineStr">
        <is>
          <t>JÄMTLANDS LÄN</t>
        </is>
      </c>
      <c r="E1050" t="inlineStr">
        <is>
          <t>RAGUNDA</t>
        </is>
      </c>
      <c r="F1050" t="inlineStr">
        <is>
          <t>Naturvårdsverket</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12805-2025</t>
        </is>
      </c>
      <c r="B1051" s="1" t="n">
        <v>45733.61497685185</v>
      </c>
      <c r="C1051" s="1" t="n">
        <v>45888</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12808-2025</t>
        </is>
      </c>
      <c r="B1052" s="1" t="n">
        <v>45733.61554398148</v>
      </c>
      <c r="C1052" s="1" t="n">
        <v>45888</v>
      </c>
      <c r="D1052" t="inlineStr">
        <is>
          <t>JÄMTLANDS LÄN</t>
        </is>
      </c>
      <c r="E1052" t="inlineStr">
        <is>
          <t>RAGUNDA</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4615-2023</t>
        </is>
      </c>
      <c r="B1053" s="1" t="n">
        <v>44956.93924768519</v>
      </c>
      <c r="C1053" s="1" t="n">
        <v>45888</v>
      </c>
      <c r="D1053" t="inlineStr">
        <is>
          <t>JÄMTLANDS LÄN</t>
        </is>
      </c>
      <c r="E1053" t="inlineStr">
        <is>
          <t>RAGUNDA</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5938-2025</t>
        </is>
      </c>
      <c r="B1054" s="1" t="n">
        <v>45695.45868055556</v>
      </c>
      <c r="C1054" s="1" t="n">
        <v>45888</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4125-2024</t>
        </is>
      </c>
      <c r="B1055" s="1" t="n">
        <v>45323</v>
      </c>
      <c r="C1055" s="1" t="n">
        <v>45888</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53549-2024</t>
        </is>
      </c>
      <c r="B1056" s="1" t="n">
        <v>45614.63869212963</v>
      </c>
      <c r="C1056" s="1" t="n">
        <v>45888</v>
      </c>
      <c r="D1056" t="inlineStr">
        <is>
          <t>JÄMTLANDS LÄN</t>
        </is>
      </c>
      <c r="E1056" t="inlineStr">
        <is>
          <t>RAGUNDA</t>
        </is>
      </c>
      <c r="F1056" t="inlineStr">
        <is>
          <t>Kyrkan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7284-2025</t>
        </is>
      </c>
      <c r="B1057" s="1" t="n">
        <v>45702.63604166666</v>
      </c>
      <c r="C1057" s="1" t="n">
        <v>45888</v>
      </c>
      <c r="D1057" t="inlineStr">
        <is>
          <t>JÄMTLANDS LÄN</t>
        </is>
      </c>
      <c r="E1057" t="inlineStr">
        <is>
          <t>RAGUNDA</t>
        </is>
      </c>
      <c r="F1057" t="inlineStr">
        <is>
          <t>SCA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31506-2024</t>
        </is>
      </c>
      <c r="B1058" s="1" t="n">
        <v>45505</v>
      </c>
      <c r="C1058" s="1" t="n">
        <v>45888</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19382-2025</t>
        </is>
      </c>
      <c r="B1059" s="1" t="n">
        <v>45769.65659722222</v>
      </c>
      <c r="C1059" s="1" t="n">
        <v>45888</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37479-2023</t>
        </is>
      </c>
      <c r="B1060" s="1" t="n">
        <v>45156</v>
      </c>
      <c r="C1060" s="1" t="n">
        <v>45888</v>
      </c>
      <c r="D1060" t="inlineStr">
        <is>
          <t>JÄMTLANDS LÄN</t>
        </is>
      </c>
      <c r="E1060" t="inlineStr">
        <is>
          <t>RAGUNDA</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5958-2021</t>
        </is>
      </c>
      <c r="B1061" s="1" t="n">
        <v>44231</v>
      </c>
      <c r="C1061" s="1" t="n">
        <v>45888</v>
      </c>
      <c r="D1061" t="inlineStr">
        <is>
          <t>JÄMTLANDS LÄN</t>
        </is>
      </c>
      <c r="E1061" t="inlineStr">
        <is>
          <t>RAGUNDA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1809-2025</t>
        </is>
      </c>
      <c r="B1062" s="1" t="n">
        <v>45671.48989583334</v>
      </c>
      <c r="C1062" s="1" t="n">
        <v>45888</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4866-2025</t>
        </is>
      </c>
      <c r="B1063" s="1" t="n">
        <v>45688.67542824074</v>
      </c>
      <c r="C1063" s="1" t="n">
        <v>45888</v>
      </c>
      <c r="D1063" t="inlineStr">
        <is>
          <t>JÄMTLANDS LÄN</t>
        </is>
      </c>
      <c r="E1063" t="inlineStr">
        <is>
          <t>RAGUNDA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11780-2024</t>
        </is>
      </c>
      <c r="B1064" s="1" t="n">
        <v>45374</v>
      </c>
      <c r="C1064" s="1" t="n">
        <v>45888</v>
      </c>
      <c r="D1064" t="inlineStr">
        <is>
          <t>JÄMTLANDS LÄN</t>
        </is>
      </c>
      <c r="E1064" t="inlineStr">
        <is>
          <t>RAGUNDA</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11288-2022</t>
        </is>
      </c>
      <c r="B1065" s="1" t="n">
        <v>44629</v>
      </c>
      <c r="C1065" s="1" t="n">
        <v>45888</v>
      </c>
      <c r="D1065" t="inlineStr">
        <is>
          <t>JÄMTLANDS LÄN</t>
        </is>
      </c>
      <c r="E1065" t="inlineStr">
        <is>
          <t>RAGUNDA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18984-2023</t>
        </is>
      </c>
      <c r="B1066" s="1" t="n">
        <v>45044</v>
      </c>
      <c r="C1066" s="1" t="n">
        <v>45888</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66011-2021</t>
        </is>
      </c>
      <c r="B1067" s="1" t="n">
        <v>44517.58137731482</v>
      </c>
      <c r="C1067" s="1" t="n">
        <v>45888</v>
      </c>
      <c r="D1067" t="inlineStr">
        <is>
          <t>JÄMTLANDS LÄN</t>
        </is>
      </c>
      <c r="E1067" t="inlineStr">
        <is>
          <t>RAGUNDA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42509-2023</t>
        </is>
      </c>
      <c r="B1068" s="1" t="n">
        <v>45180</v>
      </c>
      <c r="C1068" s="1" t="n">
        <v>45888</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33615-2023</t>
        </is>
      </c>
      <c r="B1069" s="1" t="n">
        <v>45119</v>
      </c>
      <c r="C1069" s="1" t="n">
        <v>45888</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42510-2023</t>
        </is>
      </c>
      <c r="B1070" s="1" t="n">
        <v>45180.95927083334</v>
      </c>
      <c r="C1070" s="1" t="n">
        <v>45888</v>
      </c>
      <c r="D1070" t="inlineStr">
        <is>
          <t>JÄMTLANDS LÄN</t>
        </is>
      </c>
      <c r="E1070" t="inlineStr">
        <is>
          <t>RAGUNDA</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19401-2025</t>
        </is>
      </c>
      <c r="B1071" s="1" t="n">
        <v>45769.67767361111</v>
      </c>
      <c r="C1071" s="1" t="n">
        <v>45888</v>
      </c>
      <c r="D1071" t="inlineStr">
        <is>
          <t>JÄMTLANDS LÄN</t>
        </is>
      </c>
      <c r="E1071" t="inlineStr">
        <is>
          <t>RAGUNDA</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53860-2023</t>
        </is>
      </c>
      <c r="B1072" s="1" t="n">
        <v>45224</v>
      </c>
      <c r="C1072" s="1" t="n">
        <v>45888</v>
      </c>
      <c r="D1072" t="inlineStr">
        <is>
          <t>JÄMTLANDS LÄN</t>
        </is>
      </c>
      <c r="E1072" t="inlineStr">
        <is>
          <t>RAGUNDA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65898-2020</t>
        </is>
      </c>
      <c r="B1073" s="1" t="n">
        <v>44174</v>
      </c>
      <c r="C1073" s="1" t="n">
        <v>45888</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12039-2023</t>
        </is>
      </c>
      <c r="B1074" s="1" t="n">
        <v>44995.98341435185</v>
      </c>
      <c r="C1074" s="1" t="n">
        <v>45888</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26991-2023</t>
        </is>
      </c>
      <c r="B1075" s="1" t="n">
        <v>45093.92207175926</v>
      </c>
      <c r="C1075" s="1" t="n">
        <v>45888</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13302-2022</t>
        </is>
      </c>
      <c r="B1076" s="1" t="n">
        <v>44644</v>
      </c>
      <c r="C1076" s="1" t="n">
        <v>45888</v>
      </c>
      <c r="D1076" t="inlineStr">
        <is>
          <t>JÄMTLANDS LÄN</t>
        </is>
      </c>
      <c r="E1076" t="inlineStr">
        <is>
          <t>RAGUNDA</t>
        </is>
      </c>
      <c r="F1076" t="inlineStr">
        <is>
          <t>SCA</t>
        </is>
      </c>
      <c r="G1076" t="n">
        <v>35.6</v>
      </c>
      <c r="H1076" t="n">
        <v>0</v>
      </c>
      <c r="I1076" t="n">
        <v>0</v>
      </c>
      <c r="J1076" t="n">
        <v>0</v>
      </c>
      <c r="K1076" t="n">
        <v>0</v>
      </c>
      <c r="L1076" t="n">
        <v>0</v>
      </c>
      <c r="M1076" t="n">
        <v>0</v>
      </c>
      <c r="N1076" t="n">
        <v>0</v>
      </c>
      <c r="O1076" t="n">
        <v>0</v>
      </c>
      <c r="P1076" t="n">
        <v>0</v>
      </c>
      <c r="Q1076" t="n">
        <v>0</v>
      </c>
      <c r="R1076" s="2" t="inlineStr"/>
    </row>
    <row r="1077" ht="15" customHeight="1">
      <c r="A1077" t="inlineStr">
        <is>
          <t>A 26651-2024</t>
        </is>
      </c>
      <c r="B1077" s="1" t="n">
        <v>45469.94876157407</v>
      </c>
      <c r="C1077" s="1" t="n">
        <v>45888</v>
      </c>
      <c r="D1077" t="inlineStr">
        <is>
          <t>JÄMTLANDS LÄN</t>
        </is>
      </c>
      <c r="E1077" t="inlineStr">
        <is>
          <t>RAGUNDA</t>
        </is>
      </c>
      <c r="F1077" t="inlineStr">
        <is>
          <t>SCA</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40919-2024</t>
        </is>
      </c>
      <c r="B1078" s="1" t="n">
        <v>45558.63575231482</v>
      </c>
      <c r="C1078" s="1" t="n">
        <v>45888</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3186-2025</t>
        </is>
      </c>
      <c r="B1079" s="1" t="n">
        <v>45679.40362268518</v>
      </c>
      <c r="C1079" s="1" t="n">
        <v>45888</v>
      </c>
      <c r="D1079" t="inlineStr">
        <is>
          <t>JÄMTLANDS LÄN</t>
        </is>
      </c>
      <c r="E1079" t="inlineStr">
        <is>
          <t>RAGUNDA</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465-2023</t>
        </is>
      </c>
      <c r="B1080" s="1" t="n">
        <v>44929</v>
      </c>
      <c r="C1080" s="1" t="n">
        <v>45888</v>
      </c>
      <c r="D1080" t="inlineStr">
        <is>
          <t>JÄMTLANDS LÄN</t>
        </is>
      </c>
      <c r="E1080" t="inlineStr">
        <is>
          <t>RAGUNDA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26455-2023</t>
        </is>
      </c>
      <c r="B1081" s="1" t="n">
        <v>45092</v>
      </c>
      <c r="C1081" s="1" t="n">
        <v>45888</v>
      </c>
      <c r="D1081" t="inlineStr">
        <is>
          <t>JÄMTLANDS LÄN</t>
        </is>
      </c>
      <c r="E1081" t="inlineStr">
        <is>
          <t>RAGUNDA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10639-2024</t>
        </is>
      </c>
      <c r="B1082" s="1" t="n">
        <v>45367.67256944445</v>
      </c>
      <c r="C1082" s="1" t="n">
        <v>45888</v>
      </c>
      <c r="D1082" t="inlineStr">
        <is>
          <t>JÄMTLANDS LÄN</t>
        </is>
      </c>
      <c r="E1082" t="inlineStr">
        <is>
          <t>RAGUNDA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2751-2024</t>
        </is>
      </c>
      <c r="B1083" s="1" t="n">
        <v>45314</v>
      </c>
      <c r="C1083" s="1" t="n">
        <v>45888</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36317-2024</t>
        </is>
      </c>
      <c r="B1084" s="1" t="n">
        <v>45534.63537037037</v>
      </c>
      <c r="C1084" s="1" t="n">
        <v>45888</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18614-2024</t>
        </is>
      </c>
      <c r="B1085" s="1" t="n">
        <v>45425.96263888889</v>
      </c>
      <c r="C1085" s="1" t="n">
        <v>45888</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8787-2022</t>
        </is>
      </c>
      <c r="B1086" s="1" t="n">
        <v>44614</v>
      </c>
      <c r="C1086" s="1" t="n">
        <v>45888</v>
      </c>
      <c r="D1086" t="inlineStr">
        <is>
          <t>JÄMTLANDS LÄN</t>
        </is>
      </c>
      <c r="E1086" t="inlineStr">
        <is>
          <t>RAGUNDA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5967-2021</t>
        </is>
      </c>
      <c r="B1087" s="1" t="n">
        <v>44231</v>
      </c>
      <c r="C1087" s="1" t="n">
        <v>45888</v>
      </c>
      <c r="D1087" t="inlineStr">
        <is>
          <t>JÄMTLANDS LÄN</t>
        </is>
      </c>
      <c r="E1087" t="inlineStr">
        <is>
          <t>RAGUNDA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50431-2024</t>
        </is>
      </c>
      <c r="B1088" s="1" t="n">
        <v>45601.40686342592</v>
      </c>
      <c r="C1088" s="1" t="n">
        <v>45888</v>
      </c>
      <c r="D1088" t="inlineStr">
        <is>
          <t>JÄMTLANDS LÄN</t>
        </is>
      </c>
      <c r="E1088" t="inlineStr">
        <is>
          <t>RAGUNDA</t>
        </is>
      </c>
      <c r="F1088" t="inlineStr">
        <is>
          <t>SCA</t>
        </is>
      </c>
      <c r="G1088" t="n">
        <v>8.5</v>
      </c>
      <c r="H1088" t="n">
        <v>0</v>
      </c>
      <c r="I1088" t="n">
        <v>0</v>
      </c>
      <c r="J1088" t="n">
        <v>0</v>
      </c>
      <c r="K1088" t="n">
        <v>0</v>
      </c>
      <c r="L1088" t="n">
        <v>0</v>
      </c>
      <c r="M1088" t="n">
        <v>0</v>
      </c>
      <c r="N1088" t="n">
        <v>0</v>
      </c>
      <c r="O1088" t="n">
        <v>0</v>
      </c>
      <c r="P1088" t="n">
        <v>0</v>
      </c>
      <c r="Q1088" t="n">
        <v>0</v>
      </c>
      <c r="R1088" s="2" t="inlineStr"/>
    </row>
    <row r="1089">
      <c r="A1089" t="inlineStr">
        <is>
          <t>A 60936-2024</t>
        </is>
      </c>
      <c r="B1089" s="1" t="n">
        <v>45645.36743055555</v>
      </c>
      <c r="C1089" s="1" t="n">
        <v>45888</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2025-08-19T08:26:01Z</dcterms:created>
  <dcterms:modified xmlns:dcterms="http://purl.org/dc/terms/" xmlns:xsi="http://www.w3.org/2001/XMLSchema-instance" xsi:type="dcterms:W3CDTF">2025-08-19T08:26:02Z</dcterms:modified>
</cp:coreProperties>
</file>