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45969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45969</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45969</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45969</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45969</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45969</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45969</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45969</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45969</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45969</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45969</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45969</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45969</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12040-2025</t>
        </is>
      </c>
      <c r="B17" s="1" t="n">
        <v>45728.65684027778</v>
      </c>
      <c r="C17" s="1" t="n">
        <v>45969</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45969</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45969</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45969</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38683-2022</t>
        </is>
      </c>
      <c r="B21" s="1" t="n">
        <v>44813</v>
      </c>
      <c r="C21" s="1" t="n">
        <v>45969</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45969</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10625-2024</t>
        </is>
      </c>
      <c r="B23" s="1" t="n">
        <v>45367.04916666666</v>
      </c>
      <c r="C23" s="1" t="n">
        <v>45969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45969</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45969</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45969</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45969</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55404-2024</t>
        </is>
      </c>
      <c r="B28" s="1" t="n">
        <v>45622</v>
      </c>
      <c r="C28" s="1" t="n">
        <v>45969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43533-2025</t>
        </is>
      </c>
      <c r="B29" s="1" t="n">
        <v>45911</v>
      </c>
      <c r="C29" s="1" t="n">
        <v>45969</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45969</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43107-2023</t>
        </is>
      </c>
      <c r="B31" s="1" t="n">
        <v>45182</v>
      </c>
      <c r="C31" s="1" t="n">
        <v>45969</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19727-2025</t>
        </is>
      </c>
      <c r="B32" s="1" t="n">
        <v>45771.36538194444</v>
      </c>
      <c r="C32" s="1" t="n">
        <v>45969</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45969</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45969</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25632-2025</t>
        </is>
      </c>
      <c r="B35" s="1" t="n">
        <v>45803.59474537037</v>
      </c>
      <c r="C35" s="1" t="n">
        <v>45969</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22986-2025</t>
        </is>
      </c>
      <c r="B36" s="1" t="n">
        <v>45790.57349537037</v>
      </c>
      <c r="C36" s="1" t="n">
        <v>45969</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31839-2022</t>
        </is>
      </c>
      <c r="B37" s="1" t="n">
        <v>44776</v>
      </c>
      <c r="C37" s="1" t="n">
        <v>45969</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32741-2025</t>
        </is>
      </c>
      <c r="B38" s="1" t="n">
        <v>45839.42482638889</v>
      </c>
      <c r="C38" s="1" t="n">
        <v>45969</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45969</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13483-2022</t>
        </is>
      </c>
      <c r="B40" s="1" t="n">
        <v>44645.99859953704</v>
      </c>
      <c r="C40" s="1" t="n">
        <v>45969</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10982-2025</t>
        </is>
      </c>
      <c r="B41" s="1" t="n">
        <v>45723.40688657408</v>
      </c>
      <c r="C41" s="1" t="n">
        <v>45969</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41412-2024</t>
        </is>
      </c>
      <c r="B42" s="1" t="n">
        <v>45560.34484953704</v>
      </c>
      <c r="C42" s="1" t="n">
        <v>45969</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21244-2025</t>
        </is>
      </c>
      <c r="B43" s="1" t="n">
        <v>45779.57335648148</v>
      </c>
      <c r="C43" s="1" t="n">
        <v>45969</v>
      </c>
      <c r="D43" t="inlineStr">
        <is>
          <t>JÄMTLANDS LÄN</t>
        </is>
      </c>
      <c r="E43" t="inlineStr">
        <is>
          <t>RAGUNDA</t>
        </is>
      </c>
      <c r="F43" t="inlineStr">
        <is>
          <t>SCA</t>
        </is>
      </c>
      <c r="G43" t="n">
        <v>4.1</v>
      </c>
      <c r="H43" t="n">
        <v>3</v>
      </c>
      <c r="I43" t="n">
        <v>3</v>
      </c>
      <c r="J43" t="n">
        <v>6</v>
      </c>
      <c r="K43" t="n">
        <v>1</v>
      </c>
      <c r="L43" t="n">
        <v>0</v>
      </c>
      <c r="M43" t="n">
        <v>0</v>
      </c>
      <c r="N43" t="n">
        <v>0</v>
      </c>
      <c r="O43" t="n">
        <v>7</v>
      </c>
      <c r="P43" t="n">
        <v>1</v>
      </c>
      <c r="Q43" t="n">
        <v>10</v>
      </c>
      <c r="R43" s="2" t="inlineStr">
        <is>
          <t>Ulltickeporing
Garnlav
Lunglav
Spillkråka
Talltita
Tretåig hackspett
Ullticka
Nästlav
Stuplav
Vedticka</t>
        </is>
      </c>
      <c r="S43">
        <f>HYPERLINK("https://klasma.github.io/Logging_2303/artfynd/A 21244-2025 artfynd.xlsx", "A 21244-2025")</f>
        <v/>
      </c>
      <c r="T43">
        <f>HYPERLINK("https://klasma.github.io/Logging_2303/kartor/A 21244-2025 karta.png", "A 21244-2025")</f>
        <v/>
      </c>
      <c r="V43">
        <f>HYPERLINK("https://klasma.github.io/Logging_2303/klagomål/A 21244-2025 FSC-klagomål.docx", "A 21244-2025")</f>
        <v/>
      </c>
      <c r="W43">
        <f>HYPERLINK("https://klasma.github.io/Logging_2303/klagomålsmail/A 21244-2025 FSC-klagomål mail.docx", "A 21244-2025")</f>
        <v/>
      </c>
      <c r="X43">
        <f>HYPERLINK("https://klasma.github.io/Logging_2303/tillsyn/A 21244-2025 tillsynsbegäran.docx", "A 21244-2025")</f>
        <v/>
      </c>
      <c r="Y43">
        <f>HYPERLINK("https://klasma.github.io/Logging_2303/tillsynsmail/A 21244-2025 tillsynsbegäran mail.docx", "A 21244-2025")</f>
        <v/>
      </c>
      <c r="Z43">
        <f>HYPERLINK("https://klasma.github.io/Logging_2303/fåglar/A 21244-2025 prioriterade fågelarter.docx", "A 21244-2025")</f>
        <v/>
      </c>
    </row>
    <row r="44" ht="15" customHeight="1">
      <c r="A44" t="inlineStr">
        <is>
          <t>A 4591-2024</t>
        </is>
      </c>
      <c r="B44" s="1" t="n">
        <v>45327</v>
      </c>
      <c r="C44" s="1" t="n">
        <v>45969</v>
      </c>
      <c r="D44" t="inlineStr">
        <is>
          <t>JÄMTLANDS LÄN</t>
        </is>
      </c>
      <c r="E44" t="inlineStr">
        <is>
          <t>RAGUNDA</t>
        </is>
      </c>
      <c r="F44" t="inlineStr">
        <is>
          <t>SCA</t>
        </is>
      </c>
      <c r="G44" t="n">
        <v>5.8</v>
      </c>
      <c r="H44" t="n">
        <v>6</v>
      </c>
      <c r="I44" t="n">
        <v>3</v>
      </c>
      <c r="J44" t="n">
        <v>7</v>
      </c>
      <c r="K44" t="n">
        <v>0</v>
      </c>
      <c r="L44" t="n">
        <v>0</v>
      </c>
      <c r="M44" t="n">
        <v>0</v>
      </c>
      <c r="N44" t="n">
        <v>0</v>
      </c>
      <c r="O44" t="n">
        <v>7</v>
      </c>
      <c r="P44" t="n">
        <v>0</v>
      </c>
      <c r="Q44" t="n">
        <v>10</v>
      </c>
      <c r="R44" s="2" t="inlineStr">
        <is>
          <t>Garnlav
Granticka
Harticka
Lunglav
Spillkråka
Talltita
Tretåig hackspett
Grönkulla
Spindelblomster
Tvåblad</t>
        </is>
      </c>
      <c r="S44">
        <f>HYPERLINK("https://klasma.github.io/Logging_2303/artfynd/A 4591-2024 artfynd.xlsx", "A 4591-2024")</f>
        <v/>
      </c>
      <c r="T44">
        <f>HYPERLINK("https://klasma.github.io/Logging_2303/kartor/A 4591-2024 karta.png", "A 4591-2024")</f>
        <v/>
      </c>
      <c r="V44">
        <f>HYPERLINK("https://klasma.github.io/Logging_2303/klagomål/A 4591-2024 FSC-klagomål.docx", "A 4591-2024")</f>
        <v/>
      </c>
      <c r="W44">
        <f>HYPERLINK("https://klasma.github.io/Logging_2303/klagomålsmail/A 4591-2024 FSC-klagomål mail.docx", "A 4591-2024")</f>
        <v/>
      </c>
      <c r="X44">
        <f>HYPERLINK("https://klasma.github.io/Logging_2303/tillsyn/A 4591-2024 tillsynsbegäran.docx", "A 4591-2024")</f>
        <v/>
      </c>
      <c r="Y44">
        <f>HYPERLINK("https://klasma.github.io/Logging_2303/tillsynsmail/A 4591-2024 tillsynsbegäran mail.docx", "A 4591-2024")</f>
        <v/>
      </c>
      <c r="Z44">
        <f>HYPERLINK("https://klasma.github.io/Logging_2303/fåglar/A 4591-2024 prioriterade fågelarter.docx", "A 4591-2024")</f>
        <v/>
      </c>
    </row>
    <row r="45" ht="15" customHeight="1">
      <c r="A45" t="inlineStr">
        <is>
          <t>A 55894-2022</t>
        </is>
      </c>
      <c r="B45" s="1" t="n">
        <v>44888</v>
      </c>
      <c r="C45" s="1" t="n">
        <v>45969</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12372-2024</t>
        </is>
      </c>
      <c r="B46" s="1" t="n">
        <v>45378</v>
      </c>
      <c r="C46" s="1" t="n">
        <v>45969</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33822-2023</t>
        </is>
      </c>
      <c r="B47" s="1" t="n">
        <v>45121</v>
      </c>
      <c r="C47" s="1" t="n">
        <v>45969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62948-2021</t>
        </is>
      </c>
      <c r="B48" s="1" t="n">
        <v>44504</v>
      </c>
      <c r="C48" s="1" t="n">
        <v>45969</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45008-2023</t>
        </is>
      </c>
      <c r="B49" s="1" t="n">
        <v>45190.96092592592</v>
      </c>
      <c r="C49" s="1" t="n">
        <v>45969</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45969</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25016-2025</t>
        </is>
      </c>
      <c r="B51" s="1" t="n">
        <v>45799.63574074074</v>
      </c>
      <c r="C51" s="1" t="n">
        <v>45969</v>
      </c>
      <c r="D51" t="inlineStr">
        <is>
          <t>JÄMTLANDS LÄN</t>
        </is>
      </c>
      <c r="E51" t="inlineStr">
        <is>
          <t>RAGUNDA</t>
        </is>
      </c>
      <c r="F51" t="inlineStr">
        <is>
          <t>SCA</t>
        </is>
      </c>
      <c r="G51" t="n">
        <v>17.9</v>
      </c>
      <c r="H51" t="n">
        <v>2</v>
      </c>
      <c r="I51" t="n">
        <v>3</v>
      </c>
      <c r="J51" t="n">
        <v>6</v>
      </c>
      <c r="K51" t="n">
        <v>0</v>
      </c>
      <c r="L51" t="n">
        <v>0</v>
      </c>
      <c r="M51" t="n">
        <v>0</v>
      </c>
      <c r="N51" t="n">
        <v>0</v>
      </c>
      <c r="O51" t="n">
        <v>6</v>
      </c>
      <c r="P51" t="n">
        <v>0</v>
      </c>
      <c r="Q51" t="n">
        <v>9</v>
      </c>
      <c r="R51" s="2" t="inlineStr">
        <is>
          <t>Garnlav
Granticka
Lunglav
Spillkråka
Tretåig hackspett
Ullticka
Bårdlav
Stuplav
Vedticka</t>
        </is>
      </c>
      <c r="S51">
        <f>HYPERLINK("https://klasma.github.io/Logging_2303/artfynd/A 25016-2025 artfynd.xlsx", "A 25016-2025")</f>
        <v/>
      </c>
      <c r="T51">
        <f>HYPERLINK("https://klasma.github.io/Logging_2303/kartor/A 25016-2025 karta.png", "A 25016-2025")</f>
        <v/>
      </c>
      <c r="V51">
        <f>HYPERLINK("https://klasma.github.io/Logging_2303/klagomål/A 25016-2025 FSC-klagomål.docx", "A 25016-2025")</f>
        <v/>
      </c>
      <c r="W51">
        <f>HYPERLINK("https://klasma.github.io/Logging_2303/klagomålsmail/A 25016-2025 FSC-klagomål mail.docx", "A 25016-2025")</f>
        <v/>
      </c>
      <c r="X51">
        <f>HYPERLINK("https://klasma.github.io/Logging_2303/tillsyn/A 25016-2025 tillsynsbegäran.docx", "A 25016-2025")</f>
        <v/>
      </c>
      <c r="Y51">
        <f>HYPERLINK("https://klasma.github.io/Logging_2303/tillsynsmail/A 25016-2025 tillsynsbegäran mail.docx", "A 25016-2025")</f>
        <v/>
      </c>
      <c r="Z51">
        <f>HYPERLINK("https://klasma.github.io/Logging_2303/fåglar/A 25016-2025 prioriterade fågelarter.docx", "A 25016-2025")</f>
        <v/>
      </c>
    </row>
    <row r="52" ht="15" customHeight="1">
      <c r="A52" t="inlineStr">
        <is>
          <t>A 24735-2025</t>
        </is>
      </c>
      <c r="B52" s="1" t="n">
        <v>45799.34461805555</v>
      </c>
      <c r="C52" s="1" t="n">
        <v>45969</v>
      </c>
      <c r="D52" t="inlineStr">
        <is>
          <t>JÄMTLANDS LÄN</t>
        </is>
      </c>
      <c r="E52" t="inlineStr">
        <is>
          <t>RAGUNDA</t>
        </is>
      </c>
      <c r="F52" t="inlineStr">
        <is>
          <t>SCA</t>
        </is>
      </c>
      <c r="G52" t="n">
        <v>7.1</v>
      </c>
      <c r="H52" t="n">
        <v>1</v>
      </c>
      <c r="I52" t="n">
        <v>4</v>
      </c>
      <c r="J52" t="n">
        <v>5</v>
      </c>
      <c r="K52" t="n">
        <v>0</v>
      </c>
      <c r="L52" t="n">
        <v>0</v>
      </c>
      <c r="M52" t="n">
        <v>0</v>
      </c>
      <c r="N52" t="n">
        <v>0</v>
      </c>
      <c r="O52" t="n">
        <v>5</v>
      </c>
      <c r="P52" t="n">
        <v>0</v>
      </c>
      <c r="Q52" t="n">
        <v>9</v>
      </c>
      <c r="R52" s="2" t="inlineStr">
        <is>
          <t>Garnlav
Lunglav
Mörk kolflarnlav
Tretåig hackspett
Ullticka
Bollvitmossa
Norrlandslav
Skinnlav
Stuplav</t>
        </is>
      </c>
      <c r="S52">
        <f>HYPERLINK("https://klasma.github.io/Logging_2303/artfynd/A 24735-2025 artfynd.xlsx", "A 24735-2025")</f>
        <v/>
      </c>
      <c r="T52">
        <f>HYPERLINK("https://klasma.github.io/Logging_2303/kartor/A 24735-2025 karta.png", "A 24735-2025")</f>
        <v/>
      </c>
      <c r="V52">
        <f>HYPERLINK("https://klasma.github.io/Logging_2303/klagomål/A 24735-2025 FSC-klagomål.docx", "A 24735-2025")</f>
        <v/>
      </c>
      <c r="W52">
        <f>HYPERLINK("https://klasma.github.io/Logging_2303/klagomålsmail/A 24735-2025 FSC-klagomål mail.docx", "A 24735-2025")</f>
        <v/>
      </c>
      <c r="X52">
        <f>HYPERLINK("https://klasma.github.io/Logging_2303/tillsyn/A 24735-2025 tillsynsbegäran.docx", "A 24735-2025")</f>
        <v/>
      </c>
      <c r="Y52">
        <f>HYPERLINK("https://klasma.github.io/Logging_2303/tillsynsmail/A 24735-2025 tillsynsbegäran mail.docx", "A 24735-2025")</f>
        <v/>
      </c>
      <c r="Z52">
        <f>HYPERLINK("https://klasma.github.io/Logging_2303/fåglar/A 24735-2025 prioriterade fågelarter.docx", "A 24735-2025")</f>
        <v/>
      </c>
    </row>
    <row r="53" ht="15" customHeight="1">
      <c r="A53" t="inlineStr">
        <is>
          <t>A 22466-2025</t>
        </is>
      </c>
      <c r="B53" s="1" t="n">
        <v>45786.61517361111</v>
      </c>
      <c r="C53" s="1" t="n">
        <v>45969</v>
      </c>
      <c r="D53" t="inlineStr">
        <is>
          <t>JÄMTLANDS LÄN</t>
        </is>
      </c>
      <c r="E53" t="inlineStr">
        <is>
          <t>RAGUNDA</t>
        </is>
      </c>
      <c r="F53" t="inlineStr">
        <is>
          <t>SCA</t>
        </is>
      </c>
      <c r="G53" t="n">
        <v>3.2</v>
      </c>
      <c r="H53" t="n">
        <v>3</v>
      </c>
      <c r="I53" t="n">
        <v>1</v>
      </c>
      <c r="J53" t="n">
        <v>6</v>
      </c>
      <c r="K53" t="n">
        <v>0</v>
      </c>
      <c r="L53" t="n">
        <v>0</v>
      </c>
      <c r="M53" t="n">
        <v>0</v>
      </c>
      <c r="N53" t="n">
        <v>0</v>
      </c>
      <c r="O53" t="n">
        <v>6</v>
      </c>
      <c r="P53" t="n">
        <v>0</v>
      </c>
      <c r="Q53" t="n">
        <v>9</v>
      </c>
      <c r="R53" s="2" t="inlineStr">
        <is>
          <t>Gammelgransskål
Garnlav
Granticka
Lunglav
Rosenticka
Tretåig hackspett
Stuplav
Kungsfågel
Revlummer</t>
        </is>
      </c>
      <c r="S53">
        <f>HYPERLINK("https://klasma.github.io/Logging_2303/artfynd/A 22466-2025 artfynd.xlsx", "A 22466-2025")</f>
        <v/>
      </c>
      <c r="T53">
        <f>HYPERLINK("https://klasma.github.io/Logging_2303/kartor/A 22466-2025 karta.png", "A 22466-2025")</f>
        <v/>
      </c>
      <c r="V53">
        <f>HYPERLINK("https://klasma.github.io/Logging_2303/klagomål/A 22466-2025 FSC-klagomål.docx", "A 22466-2025")</f>
        <v/>
      </c>
      <c r="W53">
        <f>HYPERLINK("https://klasma.github.io/Logging_2303/klagomålsmail/A 22466-2025 FSC-klagomål mail.docx", "A 22466-2025")</f>
        <v/>
      </c>
      <c r="X53">
        <f>HYPERLINK("https://klasma.github.io/Logging_2303/tillsyn/A 22466-2025 tillsynsbegäran.docx", "A 22466-2025")</f>
        <v/>
      </c>
      <c r="Y53">
        <f>HYPERLINK("https://klasma.github.io/Logging_2303/tillsynsmail/A 22466-2025 tillsynsbegäran mail.docx", "A 22466-2025")</f>
        <v/>
      </c>
      <c r="Z53">
        <f>HYPERLINK("https://klasma.github.io/Logging_2303/fåglar/A 22466-2025 prioriterade fågelarter.docx", "A 22466-2025")</f>
        <v/>
      </c>
    </row>
    <row r="54" ht="15" customHeight="1">
      <c r="A54" t="inlineStr">
        <is>
          <t>A 32068-2024</t>
        </is>
      </c>
      <c r="B54" s="1" t="n">
        <v>45510</v>
      </c>
      <c r="C54" s="1" t="n">
        <v>45969</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30876-2025</t>
        </is>
      </c>
      <c r="B55" s="1" t="n">
        <v>45832.34461805555</v>
      </c>
      <c r="C55" s="1" t="n">
        <v>45969</v>
      </c>
      <c r="D55" t="inlineStr">
        <is>
          <t>JÄMTLANDS LÄN</t>
        </is>
      </c>
      <c r="E55" t="inlineStr">
        <is>
          <t>RAGUNDA</t>
        </is>
      </c>
      <c r="F55" t="inlineStr">
        <is>
          <t>SCA</t>
        </is>
      </c>
      <c r="G55" t="n">
        <v>5.5</v>
      </c>
      <c r="H55" t="n">
        <v>6</v>
      </c>
      <c r="I55" t="n">
        <v>1</v>
      </c>
      <c r="J55" t="n">
        <v>5</v>
      </c>
      <c r="K55" t="n">
        <v>1</v>
      </c>
      <c r="L55" t="n">
        <v>0</v>
      </c>
      <c r="M55" t="n">
        <v>0</v>
      </c>
      <c r="N55" t="n">
        <v>0</v>
      </c>
      <c r="O55" t="n">
        <v>6</v>
      </c>
      <c r="P55" t="n">
        <v>1</v>
      </c>
      <c r="Q55" t="n">
        <v>9</v>
      </c>
      <c r="R55" s="2" t="inlineStr">
        <is>
          <t>Knärot
Järpe
Lunglav
Spillkråka
Tallticka
Tretåig hackspett
Kamjordstjärna
Tjäder
Nattviol</t>
        </is>
      </c>
      <c r="S55">
        <f>HYPERLINK("https://klasma.github.io/Logging_2303/artfynd/A 30876-2025 artfynd.xlsx", "A 30876-2025")</f>
        <v/>
      </c>
      <c r="T55">
        <f>HYPERLINK("https://klasma.github.io/Logging_2303/kartor/A 30876-2025 karta.png", "A 30876-2025")</f>
        <v/>
      </c>
      <c r="U55">
        <f>HYPERLINK("https://klasma.github.io/Logging_2303/knärot/A 30876-2025 karta knärot.png", "A 30876-2025")</f>
        <v/>
      </c>
      <c r="V55">
        <f>HYPERLINK("https://klasma.github.io/Logging_2303/klagomål/A 30876-2025 FSC-klagomål.docx", "A 30876-2025")</f>
        <v/>
      </c>
      <c r="W55">
        <f>HYPERLINK("https://klasma.github.io/Logging_2303/klagomålsmail/A 30876-2025 FSC-klagomål mail.docx", "A 30876-2025")</f>
        <v/>
      </c>
      <c r="X55">
        <f>HYPERLINK("https://klasma.github.io/Logging_2303/tillsyn/A 30876-2025 tillsynsbegäran.docx", "A 30876-2025")</f>
        <v/>
      </c>
      <c r="Y55">
        <f>HYPERLINK("https://klasma.github.io/Logging_2303/tillsynsmail/A 30876-2025 tillsynsbegäran mail.docx", "A 30876-2025")</f>
        <v/>
      </c>
      <c r="Z55">
        <f>HYPERLINK("https://klasma.github.io/Logging_2303/fåglar/A 30876-2025 prioriterade fågelarter.docx", "A 30876-2025")</f>
        <v/>
      </c>
    </row>
    <row r="56" ht="15" customHeight="1">
      <c r="A56" t="inlineStr">
        <is>
          <t>A 42393-2025</t>
        </is>
      </c>
      <c r="B56" s="1" t="n">
        <v>45905</v>
      </c>
      <c r="C56" s="1" t="n">
        <v>45969</v>
      </c>
      <c r="D56" t="inlineStr">
        <is>
          <t>JÄMTLANDS LÄN</t>
        </is>
      </c>
      <c r="E56" t="inlineStr">
        <is>
          <t>RAGUNDA</t>
        </is>
      </c>
      <c r="G56" t="n">
        <v>8.800000000000001</v>
      </c>
      <c r="H56" t="n">
        <v>6</v>
      </c>
      <c r="I56" t="n">
        <v>0</v>
      </c>
      <c r="J56" t="n">
        <v>4</v>
      </c>
      <c r="K56" t="n">
        <v>2</v>
      </c>
      <c r="L56" t="n">
        <v>0</v>
      </c>
      <c r="M56" t="n">
        <v>0</v>
      </c>
      <c r="N56" t="n">
        <v>0</v>
      </c>
      <c r="O56" t="n">
        <v>6</v>
      </c>
      <c r="P56" t="n">
        <v>2</v>
      </c>
      <c r="Q56" t="n">
        <v>9</v>
      </c>
      <c r="R56" s="2" t="inlineStr">
        <is>
          <t>Doftticka
Knärot
Garnlav
Lunglav
Tallticka
Tretåig hackspett
Lavskrika
Fläcknycklar
Blåsippa</t>
        </is>
      </c>
      <c r="S56">
        <f>HYPERLINK("https://klasma.github.io/Logging_2303/artfynd/A 42393-2025 artfynd.xlsx", "A 42393-2025")</f>
        <v/>
      </c>
      <c r="T56">
        <f>HYPERLINK("https://klasma.github.io/Logging_2303/kartor/A 42393-2025 karta.png", "A 42393-2025")</f>
        <v/>
      </c>
      <c r="U56">
        <f>HYPERLINK("https://klasma.github.io/Logging_2303/knärot/A 42393-2025 karta knärot.png", "A 42393-2025")</f>
        <v/>
      </c>
      <c r="V56">
        <f>HYPERLINK("https://klasma.github.io/Logging_2303/klagomål/A 42393-2025 FSC-klagomål.docx", "A 42393-2025")</f>
        <v/>
      </c>
      <c r="W56">
        <f>HYPERLINK("https://klasma.github.io/Logging_2303/klagomålsmail/A 42393-2025 FSC-klagomål mail.docx", "A 42393-2025")</f>
        <v/>
      </c>
      <c r="X56">
        <f>HYPERLINK("https://klasma.github.io/Logging_2303/tillsyn/A 42393-2025 tillsynsbegäran.docx", "A 42393-2025")</f>
        <v/>
      </c>
      <c r="Y56">
        <f>HYPERLINK("https://klasma.github.io/Logging_2303/tillsynsmail/A 42393-2025 tillsynsbegäran mail.docx", "A 42393-2025")</f>
        <v/>
      </c>
      <c r="Z56">
        <f>HYPERLINK("https://klasma.github.io/Logging_2303/fåglar/A 42393-2025 prioriterade fågelarter.docx", "A 42393-2025")</f>
        <v/>
      </c>
    </row>
    <row r="57" ht="15" customHeight="1">
      <c r="A57" t="inlineStr">
        <is>
          <t>A 41406-2023</t>
        </is>
      </c>
      <c r="B57" s="1" t="n">
        <v>45174</v>
      </c>
      <c r="C57" s="1" t="n">
        <v>45969</v>
      </c>
      <c r="D57" t="inlineStr">
        <is>
          <t>JÄMTLANDS LÄN</t>
        </is>
      </c>
      <c r="E57" t="inlineStr">
        <is>
          <t>RAGUNDA</t>
        </is>
      </c>
      <c r="F57" t="inlineStr">
        <is>
          <t>SCA</t>
        </is>
      </c>
      <c r="G57" t="n">
        <v>8</v>
      </c>
      <c r="H57" t="n">
        <v>0</v>
      </c>
      <c r="I57" t="n">
        <v>1</v>
      </c>
      <c r="J57" t="n">
        <v>8</v>
      </c>
      <c r="K57" t="n">
        <v>0</v>
      </c>
      <c r="L57" t="n">
        <v>0</v>
      </c>
      <c r="M57" t="n">
        <v>0</v>
      </c>
      <c r="N57" t="n">
        <v>0</v>
      </c>
      <c r="O57" t="n">
        <v>8</v>
      </c>
      <c r="P57" t="n">
        <v>0</v>
      </c>
      <c r="Q57" t="n">
        <v>9</v>
      </c>
      <c r="R57" s="2" t="inlineStr">
        <is>
          <t>Dvärgbägarlav
Grönhjon
Lunglav
Nordtagging
Rosa skärelav
Rosenticka
Ullticka
Vitgrynig nållav
Kornig nållav</t>
        </is>
      </c>
      <c r="S57">
        <f>HYPERLINK("https://klasma.github.io/Logging_2303/artfynd/A 41406-2023 artfynd.xlsx", "A 41406-2023")</f>
        <v/>
      </c>
      <c r="T57">
        <f>HYPERLINK("https://klasma.github.io/Logging_2303/kartor/A 41406-2023 karta.png", "A 41406-2023")</f>
        <v/>
      </c>
      <c r="V57">
        <f>HYPERLINK("https://klasma.github.io/Logging_2303/klagomål/A 41406-2023 FSC-klagomål.docx", "A 41406-2023")</f>
        <v/>
      </c>
      <c r="W57">
        <f>HYPERLINK("https://klasma.github.io/Logging_2303/klagomålsmail/A 41406-2023 FSC-klagomål mail.docx", "A 41406-2023")</f>
        <v/>
      </c>
      <c r="X57">
        <f>HYPERLINK("https://klasma.github.io/Logging_2303/tillsyn/A 41406-2023 tillsynsbegäran.docx", "A 41406-2023")</f>
        <v/>
      </c>
      <c r="Y57">
        <f>HYPERLINK("https://klasma.github.io/Logging_2303/tillsynsmail/A 41406-2023 tillsynsbegäran mail.docx", "A 41406-2023")</f>
        <v/>
      </c>
    </row>
    <row r="58" ht="15" customHeight="1">
      <c r="A58" t="inlineStr">
        <is>
          <t>A 3634-2024</t>
        </is>
      </c>
      <c r="B58" s="1" t="n">
        <v>45320</v>
      </c>
      <c r="C58" s="1" t="n">
        <v>45969</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45969</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49239-2024</t>
        </is>
      </c>
      <c r="B60" s="1" t="n">
        <v>45595.44886574074</v>
      </c>
      <c r="C60" s="1" t="n">
        <v>45969</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45969</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30335-2025</t>
        </is>
      </c>
      <c r="B62" s="1" t="n">
        <v>45827.5110300926</v>
      </c>
      <c r="C62" s="1" t="n">
        <v>45969</v>
      </c>
      <c r="D62" t="inlineStr">
        <is>
          <t>JÄMTLANDS LÄN</t>
        </is>
      </c>
      <c r="E62" t="inlineStr">
        <is>
          <t>RAGUNDA</t>
        </is>
      </c>
      <c r="F62" t="inlineStr">
        <is>
          <t>SCA</t>
        </is>
      </c>
      <c r="G62" t="n">
        <v>7.7</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30335-2025 artfynd.xlsx", "A 30335-2025")</f>
        <v/>
      </c>
      <c r="T62">
        <f>HYPERLINK("https://klasma.github.io/Logging_2303/kartor/A 30335-2025 karta.png", "A 30335-2025")</f>
        <v/>
      </c>
      <c r="U62">
        <f>HYPERLINK("https://klasma.github.io/Logging_2303/knärot/A 30335-2025 karta knärot.png", "A 30335-2025")</f>
        <v/>
      </c>
      <c r="V62">
        <f>HYPERLINK("https://klasma.github.io/Logging_2303/klagomål/A 30335-2025 FSC-klagomål.docx", "A 30335-2025")</f>
        <v/>
      </c>
      <c r="W62">
        <f>HYPERLINK("https://klasma.github.io/Logging_2303/klagomålsmail/A 30335-2025 FSC-klagomål mail.docx", "A 30335-2025")</f>
        <v/>
      </c>
      <c r="X62">
        <f>HYPERLINK("https://klasma.github.io/Logging_2303/tillsyn/A 30335-2025 tillsynsbegäran.docx", "A 30335-2025")</f>
        <v/>
      </c>
      <c r="Y62">
        <f>HYPERLINK("https://klasma.github.io/Logging_2303/tillsynsmail/A 30335-2025 tillsynsbegäran mail.docx", "A 30335-2025")</f>
        <v/>
      </c>
    </row>
    <row r="63" ht="15" customHeight="1">
      <c r="A63" t="inlineStr">
        <is>
          <t>A 32475-2023</t>
        </is>
      </c>
      <c r="B63" s="1" t="n">
        <v>45120</v>
      </c>
      <c r="C63" s="1" t="n">
        <v>45969</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15665-2022</t>
        </is>
      </c>
      <c r="B64" s="1" t="n">
        <v>44662</v>
      </c>
      <c r="C64" s="1" t="n">
        <v>45969</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45969</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27913-2024</t>
        </is>
      </c>
      <c r="B66" s="1" t="n">
        <v>45475.94796296296</v>
      </c>
      <c r="C66" s="1" t="n">
        <v>45969</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45969</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33806-2023</t>
        </is>
      </c>
      <c r="B68" s="1" t="n">
        <v>45121</v>
      </c>
      <c r="C68" s="1" t="n">
        <v>45969</v>
      </c>
      <c r="D68" t="inlineStr">
        <is>
          <t>JÄMTLANDS LÄN</t>
        </is>
      </c>
      <c r="E68" t="inlineStr">
        <is>
          <t>RAGUNDA</t>
        </is>
      </c>
      <c r="G68" t="n">
        <v>12</v>
      </c>
      <c r="H68" t="n">
        <v>2</v>
      </c>
      <c r="I68" t="n">
        <v>0</v>
      </c>
      <c r="J68" t="n">
        <v>5</v>
      </c>
      <c r="K68" t="n">
        <v>1</v>
      </c>
      <c r="L68" t="n">
        <v>0</v>
      </c>
      <c r="M68" t="n">
        <v>0</v>
      </c>
      <c r="N68" t="n">
        <v>0</v>
      </c>
      <c r="O68" t="n">
        <v>6</v>
      </c>
      <c r="P68" t="n">
        <v>1</v>
      </c>
      <c r="Q68" t="n">
        <v>7</v>
      </c>
      <c r="R68" s="2" t="inlineStr">
        <is>
          <t>Knärot
Granticka
Koralltaggsvamp
Lunglav
Persiljespindling
Äggvaxskivling
Blåsippa</t>
        </is>
      </c>
      <c r="S68">
        <f>HYPERLINK("https://klasma.github.io/Logging_2303/artfynd/A 33806-2023 artfynd.xlsx", "A 33806-2023")</f>
        <v/>
      </c>
      <c r="T68">
        <f>HYPERLINK("https://klasma.github.io/Logging_2303/kartor/A 33806-2023 karta.png", "A 33806-2023")</f>
        <v/>
      </c>
      <c r="U68">
        <f>HYPERLINK("https://klasma.github.io/Logging_2303/knärot/A 33806-2023 karta knärot.png", "A 33806-2023")</f>
        <v/>
      </c>
      <c r="V68">
        <f>HYPERLINK("https://klasma.github.io/Logging_2303/klagomål/A 33806-2023 FSC-klagomål.docx", "A 33806-2023")</f>
        <v/>
      </c>
      <c r="W68">
        <f>HYPERLINK("https://klasma.github.io/Logging_2303/klagomålsmail/A 33806-2023 FSC-klagomål mail.docx", "A 33806-2023")</f>
        <v/>
      </c>
      <c r="X68">
        <f>HYPERLINK("https://klasma.github.io/Logging_2303/tillsyn/A 33806-2023 tillsynsbegäran.docx", "A 33806-2023")</f>
        <v/>
      </c>
      <c r="Y68">
        <f>HYPERLINK("https://klasma.github.io/Logging_2303/tillsynsmail/A 33806-2023 tillsynsbegäran mail.docx", "A 33806-2023")</f>
        <v/>
      </c>
    </row>
    <row r="69" ht="15" customHeight="1">
      <c r="A69" t="inlineStr">
        <is>
          <t>A 24169-2021</t>
        </is>
      </c>
      <c r="B69" s="1" t="n">
        <v>44336</v>
      </c>
      <c r="C69" s="1" t="n">
        <v>45969</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15977-2024</t>
        </is>
      </c>
      <c r="B70" s="1" t="n">
        <v>45405.57392361111</v>
      </c>
      <c r="C70" s="1" t="n">
        <v>45969</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11829-2023</t>
        </is>
      </c>
      <c r="B71" s="1" t="n">
        <v>44994</v>
      </c>
      <c r="C71" s="1" t="n">
        <v>45969</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37237-2023</t>
        </is>
      </c>
      <c r="B72" s="1" t="n">
        <v>45155</v>
      </c>
      <c r="C72" s="1" t="n">
        <v>45969</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41929-2023</t>
        </is>
      </c>
      <c r="B73" s="1" t="n">
        <v>45176</v>
      </c>
      <c r="C73" s="1" t="n">
        <v>45969</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41929-2023 artfynd.xlsx", "A 41929-2023")</f>
        <v/>
      </c>
      <c r="T73">
        <f>HYPERLINK("https://klasma.github.io/Logging_2303/kartor/A 41929-2023 karta.png", "A 41929-2023")</f>
        <v/>
      </c>
      <c r="U73">
        <f>HYPERLINK("https://klasma.github.io/Logging_2303/knärot/A 41929-2023 karta knärot.png", "A 41929-2023")</f>
        <v/>
      </c>
      <c r="V73">
        <f>HYPERLINK("https://klasma.github.io/Logging_2303/klagomål/A 41929-2023 FSC-klagomål.docx", "A 41929-2023")</f>
        <v/>
      </c>
      <c r="W73">
        <f>HYPERLINK("https://klasma.github.io/Logging_2303/klagomålsmail/A 41929-2023 FSC-klagomål mail.docx", "A 41929-2023")</f>
        <v/>
      </c>
      <c r="X73">
        <f>HYPERLINK("https://klasma.github.io/Logging_2303/tillsyn/A 41929-2023 tillsynsbegäran.docx", "A 41929-2023")</f>
        <v/>
      </c>
      <c r="Y73">
        <f>HYPERLINK("https://klasma.github.io/Logging_2303/tillsynsmail/A 41929-2023 tillsynsbegäran mail.docx", "A 41929-2023")</f>
        <v/>
      </c>
    </row>
    <row r="74" ht="15" customHeight="1">
      <c r="A74" t="inlineStr">
        <is>
          <t>A 26750-2025</t>
        </is>
      </c>
      <c r="B74" s="1" t="n">
        <v>45810.55061342593</v>
      </c>
      <c r="C74" s="1" t="n">
        <v>45969</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26750-2025 artfynd.xlsx", "A 26750-2025")</f>
        <v/>
      </c>
      <c r="T74">
        <f>HYPERLINK("https://klasma.github.io/Logging_2303/kartor/A 26750-2025 karta.png", "A 26750-2025")</f>
        <v/>
      </c>
      <c r="V74">
        <f>HYPERLINK("https://klasma.github.io/Logging_2303/klagomål/A 26750-2025 FSC-klagomål.docx", "A 26750-2025")</f>
        <v/>
      </c>
      <c r="W74">
        <f>HYPERLINK("https://klasma.github.io/Logging_2303/klagomålsmail/A 26750-2025 FSC-klagomål mail.docx", "A 26750-2025")</f>
        <v/>
      </c>
      <c r="X74">
        <f>HYPERLINK("https://klasma.github.io/Logging_2303/tillsyn/A 26750-2025 tillsynsbegäran.docx", "A 26750-2025")</f>
        <v/>
      </c>
      <c r="Y74">
        <f>HYPERLINK("https://klasma.github.io/Logging_2303/tillsynsmail/A 26750-2025 tillsynsbegäran mail.docx", "A 26750-2025")</f>
        <v/>
      </c>
    </row>
    <row r="75" ht="15" customHeight="1">
      <c r="A75" t="inlineStr">
        <is>
          <t>A 19399-2025</t>
        </is>
      </c>
      <c r="B75" s="1" t="n">
        <v>45769.67740740741</v>
      </c>
      <c r="C75" s="1" t="n">
        <v>45969</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61386-2022</t>
        </is>
      </c>
      <c r="B76" s="1" t="n">
        <v>44915</v>
      </c>
      <c r="C76" s="1" t="n">
        <v>45969</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26326-2024</t>
        </is>
      </c>
      <c r="B77" s="1" t="n">
        <v>45468.97528935185</v>
      </c>
      <c r="C77" s="1" t="n">
        <v>45969</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1762-2021</t>
        </is>
      </c>
      <c r="B78" s="1" t="n">
        <v>44209</v>
      </c>
      <c r="C78" s="1" t="n">
        <v>45969</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933-2023</t>
        </is>
      </c>
      <c r="B79" s="1" t="n">
        <v>44932</v>
      </c>
      <c r="C79" s="1" t="n">
        <v>45969</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24431-2024</t>
        </is>
      </c>
      <c r="B80" s="1" t="n">
        <v>45457</v>
      </c>
      <c r="C80" s="1" t="n">
        <v>45969</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27322-2024</t>
        </is>
      </c>
      <c r="B81" s="1" t="n">
        <v>45471.94783564815</v>
      </c>
      <c r="C81" s="1" t="n">
        <v>45969</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53021-2022</t>
        </is>
      </c>
      <c r="B82" s="1" t="n">
        <v>44875</v>
      </c>
      <c r="C82" s="1" t="n">
        <v>45969</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55646-2023</t>
        </is>
      </c>
      <c r="B83" s="1" t="n">
        <v>45238</v>
      </c>
      <c r="C83" s="1" t="n">
        <v>45969</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39973-2025</t>
        </is>
      </c>
      <c r="B84" s="1" t="n">
        <v>45893.38584490741</v>
      </c>
      <c r="C84" s="1" t="n">
        <v>45969</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11828-2023</t>
        </is>
      </c>
      <c r="B85" s="1" t="n">
        <v>44994</v>
      </c>
      <c r="C85" s="1" t="n">
        <v>45969</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49291-2025</t>
        </is>
      </c>
      <c r="B86" s="1" t="n">
        <v>45938.53188657408</v>
      </c>
      <c r="C86" s="1" t="n">
        <v>45969</v>
      </c>
      <c r="D86" t="inlineStr">
        <is>
          <t>JÄMTLANDS LÄN</t>
        </is>
      </c>
      <c r="E86" t="inlineStr">
        <is>
          <t>RAGUNDA</t>
        </is>
      </c>
      <c r="F86" t="inlineStr">
        <is>
          <t>SCA</t>
        </is>
      </c>
      <c r="G86" t="n">
        <v>4.2</v>
      </c>
      <c r="H86" t="n">
        <v>1</v>
      </c>
      <c r="I86" t="n">
        <v>3</v>
      </c>
      <c r="J86" t="n">
        <v>2</v>
      </c>
      <c r="K86" t="n">
        <v>0</v>
      </c>
      <c r="L86" t="n">
        <v>0</v>
      </c>
      <c r="M86" t="n">
        <v>0</v>
      </c>
      <c r="N86" t="n">
        <v>0</v>
      </c>
      <c r="O86" t="n">
        <v>2</v>
      </c>
      <c r="P86" t="n">
        <v>0</v>
      </c>
      <c r="Q86" t="n">
        <v>6</v>
      </c>
      <c r="R86" s="2" t="inlineStr">
        <is>
          <t>Kolflarnlav
Lunglav
Korallblylav
Skinnlav
Vårärt
Blåsippa</t>
        </is>
      </c>
      <c r="S86">
        <f>HYPERLINK("https://klasma.github.io/Logging_2303/artfynd/A 49291-2025 artfynd.xlsx", "A 49291-2025")</f>
        <v/>
      </c>
      <c r="T86">
        <f>HYPERLINK("https://klasma.github.io/Logging_2303/kartor/A 49291-2025 karta.png", "A 49291-2025")</f>
        <v/>
      </c>
      <c r="V86">
        <f>HYPERLINK("https://klasma.github.io/Logging_2303/klagomål/A 49291-2025 FSC-klagomål.docx", "A 49291-2025")</f>
        <v/>
      </c>
      <c r="W86">
        <f>HYPERLINK("https://klasma.github.io/Logging_2303/klagomålsmail/A 49291-2025 FSC-klagomål mail.docx", "A 49291-2025")</f>
        <v/>
      </c>
      <c r="X86">
        <f>HYPERLINK("https://klasma.github.io/Logging_2303/tillsyn/A 49291-2025 tillsynsbegäran.docx", "A 49291-2025")</f>
        <v/>
      </c>
      <c r="Y86">
        <f>HYPERLINK("https://klasma.github.io/Logging_2303/tillsynsmail/A 49291-2025 tillsynsbegäran mail.docx", "A 49291-2025")</f>
        <v/>
      </c>
    </row>
    <row r="87" ht="15" customHeight="1">
      <c r="A87" t="inlineStr">
        <is>
          <t>A 34317-2025</t>
        </is>
      </c>
      <c r="B87" s="1" t="n">
        <v>45846.41361111111</v>
      </c>
      <c r="C87" s="1" t="n">
        <v>45969</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47115-2025</t>
        </is>
      </c>
      <c r="B88" s="1" t="n">
        <v>45929.67459490741</v>
      </c>
      <c r="C88" s="1" t="n">
        <v>45969</v>
      </c>
      <c r="D88" t="inlineStr">
        <is>
          <t>JÄMTLANDS LÄN</t>
        </is>
      </c>
      <c r="E88" t="inlineStr">
        <is>
          <t>RAGUNDA</t>
        </is>
      </c>
      <c r="G88" t="n">
        <v>6.4</v>
      </c>
      <c r="H88" t="n">
        <v>4</v>
      </c>
      <c r="I88" t="n">
        <v>0</v>
      </c>
      <c r="J88" t="n">
        <v>3</v>
      </c>
      <c r="K88" t="n">
        <v>2</v>
      </c>
      <c r="L88" t="n">
        <v>0</v>
      </c>
      <c r="M88" t="n">
        <v>0</v>
      </c>
      <c r="N88" t="n">
        <v>0</v>
      </c>
      <c r="O88" t="n">
        <v>5</v>
      </c>
      <c r="P88" t="n">
        <v>2</v>
      </c>
      <c r="Q88" t="n">
        <v>6</v>
      </c>
      <c r="R88" s="2" t="inlineStr">
        <is>
          <t>Doftticka
Knärot
Garnlav
Lunglav
Tretåig hackspett
Lavskrika</t>
        </is>
      </c>
      <c r="S88">
        <f>HYPERLINK("https://klasma.github.io/Logging_2303/artfynd/A 47115-2025 artfynd.xlsx", "A 47115-2025")</f>
        <v/>
      </c>
      <c r="T88">
        <f>HYPERLINK("https://klasma.github.io/Logging_2303/kartor/A 47115-2025 karta.png", "A 47115-2025")</f>
        <v/>
      </c>
      <c r="U88">
        <f>HYPERLINK("https://klasma.github.io/Logging_2303/knärot/A 47115-2025 karta knärot.png", "A 47115-2025")</f>
        <v/>
      </c>
      <c r="V88">
        <f>HYPERLINK("https://klasma.github.io/Logging_2303/klagomål/A 47115-2025 FSC-klagomål.docx", "A 47115-2025")</f>
        <v/>
      </c>
      <c r="W88">
        <f>HYPERLINK("https://klasma.github.io/Logging_2303/klagomålsmail/A 47115-2025 FSC-klagomål mail.docx", "A 47115-2025")</f>
        <v/>
      </c>
      <c r="X88">
        <f>HYPERLINK("https://klasma.github.io/Logging_2303/tillsyn/A 47115-2025 tillsynsbegäran.docx", "A 47115-2025")</f>
        <v/>
      </c>
      <c r="Y88">
        <f>HYPERLINK("https://klasma.github.io/Logging_2303/tillsynsmail/A 47115-2025 tillsynsbegäran mail.docx", "A 47115-2025")</f>
        <v/>
      </c>
      <c r="Z88">
        <f>HYPERLINK("https://klasma.github.io/Logging_2303/fåglar/A 47115-2025 prioriterade fågelarter.docx", "A 47115-2025")</f>
        <v/>
      </c>
    </row>
    <row r="89" ht="15" customHeight="1">
      <c r="A89" t="inlineStr">
        <is>
          <t>A 30637-2024</t>
        </is>
      </c>
      <c r="B89" s="1" t="n">
        <v>45495.56244212963</v>
      </c>
      <c r="C89" s="1" t="n">
        <v>45969</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30884-2025</t>
        </is>
      </c>
      <c r="B90" s="1" t="n">
        <v>45832.34564814815</v>
      </c>
      <c r="C90" s="1" t="n">
        <v>45969</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19402-2025</t>
        </is>
      </c>
      <c r="B91" s="1" t="n">
        <v>45769.67778935185</v>
      </c>
      <c r="C91" s="1" t="n">
        <v>45969</v>
      </c>
      <c r="D91" t="inlineStr">
        <is>
          <t>JÄMTLANDS LÄN</t>
        </is>
      </c>
      <c r="E91" t="inlineStr">
        <is>
          <t>RAGUNDA</t>
        </is>
      </c>
      <c r="F91" t="inlineStr">
        <is>
          <t>SCA</t>
        </is>
      </c>
      <c r="G91" t="n">
        <v>3.1</v>
      </c>
      <c r="H91" t="n">
        <v>2</v>
      </c>
      <c r="I91" t="n">
        <v>3</v>
      </c>
      <c r="J91" t="n">
        <v>3</v>
      </c>
      <c r="K91" t="n">
        <v>0</v>
      </c>
      <c r="L91" t="n">
        <v>0</v>
      </c>
      <c r="M91" t="n">
        <v>0</v>
      </c>
      <c r="N91" t="n">
        <v>0</v>
      </c>
      <c r="O91" t="n">
        <v>3</v>
      </c>
      <c r="P91" t="n">
        <v>0</v>
      </c>
      <c r="Q91" t="n">
        <v>6</v>
      </c>
      <c r="R91" s="2" t="inlineStr">
        <is>
          <t>Garnlav
Lunglav
Tretåig hackspett
Bårdlav
Spindelblomster
Stuplav</t>
        </is>
      </c>
      <c r="S91">
        <f>HYPERLINK("https://klasma.github.io/Logging_2303/artfynd/A 19402-2025 artfynd.xlsx", "A 19402-2025")</f>
        <v/>
      </c>
      <c r="T91">
        <f>HYPERLINK("https://klasma.github.io/Logging_2303/kartor/A 19402-2025 karta.png", "A 19402-2025")</f>
        <v/>
      </c>
      <c r="V91">
        <f>HYPERLINK("https://klasma.github.io/Logging_2303/klagomål/A 19402-2025 FSC-klagomål.docx", "A 19402-2025")</f>
        <v/>
      </c>
      <c r="W91">
        <f>HYPERLINK("https://klasma.github.io/Logging_2303/klagomålsmail/A 19402-2025 FSC-klagomål mail.docx", "A 19402-2025")</f>
        <v/>
      </c>
      <c r="X91">
        <f>HYPERLINK("https://klasma.github.io/Logging_2303/tillsyn/A 19402-2025 tillsynsbegäran.docx", "A 19402-2025")</f>
        <v/>
      </c>
      <c r="Y91">
        <f>HYPERLINK("https://klasma.github.io/Logging_2303/tillsynsmail/A 19402-2025 tillsynsbegäran mail.docx", "A 19402-2025")</f>
        <v/>
      </c>
      <c r="Z91">
        <f>HYPERLINK("https://klasma.github.io/Logging_2303/fåglar/A 19402-2025 prioriterade fågelarter.docx", "A 19402-2025")</f>
        <v/>
      </c>
    </row>
    <row r="92" ht="15" customHeight="1">
      <c r="A92" t="inlineStr">
        <is>
          <t>A 36276-2025</t>
        </is>
      </c>
      <c r="B92" s="1" t="n">
        <v>45867.63619212963</v>
      </c>
      <c r="C92" s="1" t="n">
        <v>45969</v>
      </c>
      <c r="D92" t="inlineStr">
        <is>
          <t>JÄMTLANDS LÄN</t>
        </is>
      </c>
      <c r="E92" t="inlineStr">
        <is>
          <t>RAGUNDA</t>
        </is>
      </c>
      <c r="F92" t="inlineStr">
        <is>
          <t>SCA</t>
        </is>
      </c>
      <c r="G92" t="n">
        <v>3.2</v>
      </c>
      <c r="H92" t="n">
        <v>1</v>
      </c>
      <c r="I92" t="n">
        <v>2</v>
      </c>
      <c r="J92" t="n">
        <v>3</v>
      </c>
      <c r="K92" t="n">
        <v>1</v>
      </c>
      <c r="L92" t="n">
        <v>0</v>
      </c>
      <c r="M92" t="n">
        <v>0</v>
      </c>
      <c r="N92" t="n">
        <v>0</v>
      </c>
      <c r="O92" t="n">
        <v>4</v>
      </c>
      <c r="P92" t="n">
        <v>1</v>
      </c>
      <c r="Q92" t="n">
        <v>6</v>
      </c>
      <c r="R92" s="2" t="inlineStr">
        <is>
          <t>Knärot
Garnlav
Lunglav
Ullticka
Grovticka
Stuplav</t>
        </is>
      </c>
      <c r="S92">
        <f>HYPERLINK("https://klasma.github.io/Logging_2303/artfynd/A 36276-2025 artfynd.xlsx", "A 36276-2025")</f>
        <v/>
      </c>
      <c r="T92">
        <f>HYPERLINK("https://klasma.github.io/Logging_2303/kartor/A 36276-2025 karta.png", "A 36276-2025")</f>
        <v/>
      </c>
      <c r="U92">
        <f>HYPERLINK("https://klasma.github.io/Logging_2303/knärot/A 36276-2025 karta knärot.png", "A 36276-2025")</f>
        <v/>
      </c>
      <c r="V92">
        <f>HYPERLINK("https://klasma.github.io/Logging_2303/klagomål/A 36276-2025 FSC-klagomål.docx", "A 36276-2025")</f>
        <v/>
      </c>
      <c r="W92">
        <f>HYPERLINK("https://klasma.github.io/Logging_2303/klagomålsmail/A 36276-2025 FSC-klagomål mail.docx", "A 36276-2025")</f>
        <v/>
      </c>
      <c r="X92">
        <f>HYPERLINK("https://klasma.github.io/Logging_2303/tillsyn/A 36276-2025 tillsynsbegäran.docx", "A 36276-2025")</f>
        <v/>
      </c>
      <c r="Y92">
        <f>HYPERLINK("https://klasma.github.io/Logging_2303/tillsynsmail/A 36276-2025 tillsynsbegäran mail.docx", "A 36276-2025")</f>
        <v/>
      </c>
    </row>
    <row r="93" ht="15" customHeight="1">
      <c r="A93" t="inlineStr">
        <is>
          <t>A 14908-2022</t>
        </is>
      </c>
      <c r="B93" s="1" t="n">
        <v>44656</v>
      </c>
      <c r="C93" s="1" t="n">
        <v>45969</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27313-2024</t>
        </is>
      </c>
      <c r="B94" s="1" t="n">
        <v>45471.94623842592</v>
      </c>
      <c r="C94" s="1" t="n">
        <v>45969</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60683-2022</t>
        </is>
      </c>
      <c r="B95" s="1" t="n">
        <v>44911</v>
      </c>
      <c r="C95" s="1" t="n">
        <v>45969</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15379-2024</t>
        </is>
      </c>
      <c r="B96" s="1" t="n">
        <v>45400.94002314815</v>
      </c>
      <c r="C96" s="1" t="n">
        <v>45969</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39365-2024</t>
        </is>
      </c>
      <c r="B97" s="1" t="n">
        <v>45551.46912037037</v>
      </c>
      <c r="C97" s="1" t="n">
        <v>45969</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39974-2025</t>
        </is>
      </c>
      <c r="B98" s="1" t="n">
        <v>45893.38599537037</v>
      </c>
      <c r="C98" s="1" t="n">
        <v>45969</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38169-2024</t>
        </is>
      </c>
      <c r="B99" s="1" t="n">
        <v>45545.45748842593</v>
      </c>
      <c r="C99" s="1" t="n">
        <v>45969</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45969</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18629-2024</t>
        </is>
      </c>
      <c r="B101" s="1" t="n">
        <v>45425.96472222222</v>
      </c>
      <c r="C101" s="1" t="n">
        <v>45969</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45969</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13266-2023</t>
        </is>
      </c>
      <c r="B103" s="1" t="n">
        <v>45002.94356481481</v>
      </c>
      <c r="C103" s="1" t="n">
        <v>45969</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22469-2024</t>
        </is>
      </c>
      <c r="B104" s="1" t="n">
        <v>45446.95087962963</v>
      </c>
      <c r="C104" s="1" t="n">
        <v>45969</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45969-2023</t>
        </is>
      </c>
      <c r="B105" s="1" t="n">
        <v>45195</v>
      </c>
      <c r="C105" s="1" t="n">
        <v>45969</v>
      </c>
      <c r="D105" t="inlineStr">
        <is>
          <t>JÄMTLANDS LÄN</t>
        </is>
      </c>
      <c r="E105" t="inlineStr">
        <is>
          <t>RAGUNDA</t>
        </is>
      </c>
      <c r="F105" t="inlineStr">
        <is>
          <t>SCA</t>
        </is>
      </c>
      <c r="G105" t="n">
        <v>9.300000000000001</v>
      </c>
      <c r="H105" t="n">
        <v>1</v>
      </c>
      <c r="I105" t="n">
        <v>4</v>
      </c>
      <c r="J105" t="n">
        <v>1</v>
      </c>
      <c r="K105" t="n">
        <v>0</v>
      </c>
      <c r="L105" t="n">
        <v>0</v>
      </c>
      <c r="M105" t="n">
        <v>0</v>
      </c>
      <c r="N105" t="n">
        <v>0</v>
      </c>
      <c r="O105" t="n">
        <v>1</v>
      </c>
      <c r="P105" t="n">
        <v>0</v>
      </c>
      <c r="Q105" t="n">
        <v>5</v>
      </c>
      <c r="R105" s="2" t="inlineStr">
        <is>
          <t>Lunglav
Dropptaggsvamp
Grönpyrola
Plattlummer
Skarp dropptaggsvamp</t>
        </is>
      </c>
      <c r="S105">
        <f>HYPERLINK("https://klasma.github.io/Logging_2303/artfynd/A 45969-2023 artfynd.xlsx", "A 45969-2023")</f>
        <v/>
      </c>
      <c r="T105">
        <f>HYPERLINK("https://klasma.github.io/Logging_2303/kartor/A 45969-2023 karta.png", "A 45969-2023")</f>
        <v/>
      </c>
      <c r="V105">
        <f>HYPERLINK("https://klasma.github.io/Logging_2303/klagomål/A 45969-2023 FSC-klagomål.docx", "A 45969-2023")</f>
        <v/>
      </c>
      <c r="W105">
        <f>HYPERLINK("https://klasma.github.io/Logging_2303/klagomålsmail/A 45969-2023 FSC-klagomål mail.docx", "A 45969-2023")</f>
        <v/>
      </c>
      <c r="X105">
        <f>HYPERLINK("https://klasma.github.io/Logging_2303/tillsyn/A 45969-2023 tillsynsbegäran.docx", "A 45969-2023")</f>
        <v/>
      </c>
      <c r="Y105">
        <f>HYPERLINK("https://klasma.github.io/Logging_2303/tillsynsmail/A 45969-2023 tillsynsbegäran mail.docx", "A 45969-2023")</f>
        <v/>
      </c>
    </row>
    <row r="106" ht="15" customHeight="1">
      <c r="A106" t="inlineStr">
        <is>
          <t>A 30886-2025</t>
        </is>
      </c>
      <c r="B106" s="1" t="n">
        <v>45832.34578703704</v>
      </c>
      <c r="C106" s="1" t="n">
        <v>45969</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57073-2023</t>
        </is>
      </c>
      <c r="B107" s="1" t="n">
        <v>45244</v>
      </c>
      <c r="C107" s="1" t="n">
        <v>45969</v>
      </c>
      <c r="D107" t="inlineStr">
        <is>
          <t>JÄMTLANDS LÄN</t>
        </is>
      </c>
      <c r="E107" t="inlineStr">
        <is>
          <t>RAGUNDA</t>
        </is>
      </c>
      <c r="F107" t="inlineStr">
        <is>
          <t>SCA</t>
        </is>
      </c>
      <c r="G107" t="n">
        <v>4.1</v>
      </c>
      <c r="H107" t="n">
        <v>1</v>
      </c>
      <c r="I107" t="n">
        <v>0</v>
      </c>
      <c r="J107" t="n">
        <v>4</v>
      </c>
      <c r="K107" t="n">
        <v>1</v>
      </c>
      <c r="L107" t="n">
        <v>0</v>
      </c>
      <c r="M107" t="n">
        <v>0</v>
      </c>
      <c r="N107" t="n">
        <v>0</v>
      </c>
      <c r="O107" t="n">
        <v>5</v>
      </c>
      <c r="P107" t="n">
        <v>1</v>
      </c>
      <c r="Q107" t="n">
        <v>5</v>
      </c>
      <c r="R107" s="2" t="inlineStr">
        <is>
          <t>Aspgelélav
Granticka
Lunglav
Tretåig hackspett
Ullticka</t>
        </is>
      </c>
      <c r="S107">
        <f>HYPERLINK("https://klasma.github.io/Logging_2303/artfynd/A 57073-2023 artfynd.xlsx", "A 57073-2023")</f>
        <v/>
      </c>
      <c r="T107">
        <f>HYPERLINK("https://klasma.github.io/Logging_2303/kartor/A 57073-2023 karta.png", "A 57073-2023")</f>
        <v/>
      </c>
      <c r="V107">
        <f>HYPERLINK("https://klasma.github.io/Logging_2303/klagomål/A 57073-2023 FSC-klagomål.docx", "A 57073-2023")</f>
        <v/>
      </c>
      <c r="W107">
        <f>HYPERLINK("https://klasma.github.io/Logging_2303/klagomålsmail/A 57073-2023 FSC-klagomål mail.docx", "A 57073-2023")</f>
        <v/>
      </c>
      <c r="X107">
        <f>HYPERLINK("https://klasma.github.io/Logging_2303/tillsyn/A 57073-2023 tillsynsbegäran.docx", "A 57073-2023")</f>
        <v/>
      </c>
      <c r="Y107">
        <f>HYPERLINK("https://klasma.github.io/Logging_2303/tillsynsmail/A 57073-2023 tillsynsbegäran mail.docx", "A 57073-2023")</f>
        <v/>
      </c>
      <c r="Z107">
        <f>HYPERLINK("https://klasma.github.io/Logging_2303/fåglar/A 57073-2023 prioriterade fågelarter.docx", "A 57073-2023")</f>
        <v/>
      </c>
    </row>
    <row r="108" ht="15" customHeight="1">
      <c r="A108" t="inlineStr">
        <is>
          <t>A 35344-2025</t>
        </is>
      </c>
      <c r="B108" s="1" t="n">
        <v>45854.61494212963</v>
      </c>
      <c r="C108" s="1" t="n">
        <v>45969</v>
      </c>
      <c r="D108" t="inlineStr">
        <is>
          <t>JÄMTLANDS LÄN</t>
        </is>
      </c>
      <c r="E108" t="inlineStr">
        <is>
          <t>RAGUNDA</t>
        </is>
      </c>
      <c r="F108" t="inlineStr">
        <is>
          <t>SCA</t>
        </is>
      </c>
      <c r="G108" t="n">
        <v>6.1</v>
      </c>
      <c r="H108" t="n">
        <v>0</v>
      </c>
      <c r="I108" t="n">
        <v>0</v>
      </c>
      <c r="J108" t="n">
        <v>5</v>
      </c>
      <c r="K108" t="n">
        <v>0</v>
      </c>
      <c r="L108" t="n">
        <v>0</v>
      </c>
      <c r="M108" t="n">
        <v>0</v>
      </c>
      <c r="N108" t="n">
        <v>0</v>
      </c>
      <c r="O108" t="n">
        <v>5</v>
      </c>
      <c r="P108" t="n">
        <v>0</v>
      </c>
      <c r="Q108" t="n">
        <v>5</v>
      </c>
      <c r="R108" s="2" t="inlineStr">
        <is>
          <t>Blå taggsvamp
Garnlav
Lunglav
Svart taggsvamp
Vedtrappmossa</t>
        </is>
      </c>
      <c r="S108">
        <f>HYPERLINK("https://klasma.github.io/Logging_2303/artfynd/A 35344-2025 artfynd.xlsx", "A 35344-2025")</f>
        <v/>
      </c>
      <c r="T108">
        <f>HYPERLINK("https://klasma.github.io/Logging_2303/kartor/A 35344-2025 karta.png", "A 35344-2025")</f>
        <v/>
      </c>
      <c r="V108">
        <f>HYPERLINK("https://klasma.github.io/Logging_2303/klagomål/A 35344-2025 FSC-klagomål.docx", "A 35344-2025")</f>
        <v/>
      </c>
      <c r="W108">
        <f>HYPERLINK("https://klasma.github.io/Logging_2303/klagomålsmail/A 35344-2025 FSC-klagomål mail.docx", "A 35344-2025")</f>
        <v/>
      </c>
      <c r="X108">
        <f>HYPERLINK("https://klasma.github.io/Logging_2303/tillsyn/A 35344-2025 tillsynsbegäran.docx", "A 35344-2025")</f>
        <v/>
      </c>
      <c r="Y108">
        <f>HYPERLINK("https://klasma.github.io/Logging_2303/tillsynsmail/A 35344-2025 tillsynsbegäran mail.docx", "A 35344-2025")</f>
        <v/>
      </c>
    </row>
    <row r="109" ht="15" customHeight="1">
      <c r="A109" t="inlineStr">
        <is>
          <t>A 2579-2025</t>
        </is>
      </c>
      <c r="B109" s="1" t="n">
        <v>45674.67744212963</v>
      </c>
      <c r="C109" s="1" t="n">
        <v>45969</v>
      </c>
      <c r="D109" t="inlineStr">
        <is>
          <t>JÄMTLANDS LÄN</t>
        </is>
      </c>
      <c r="E109" t="inlineStr">
        <is>
          <t>RAGUNDA</t>
        </is>
      </c>
      <c r="F109" t="inlineStr">
        <is>
          <t>SCA</t>
        </is>
      </c>
      <c r="G109" t="n">
        <v>5.5</v>
      </c>
      <c r="H109" t="n">
        <v>3</v>
      </c>
      <c r="I109" t="n">
        <v>0</v>
      </c>
      <c r="J109" t="n">
        <v>4</v>
      </c>
      <c r="K109" t="n">
        <v>0</v>
      </c>
      <c r="L109" t="n">
        <v>0</v>
      </c>
      <c r="M109" t="n">
        <v>0</v>
      </c>
      <c r="N109" t="n">
        <v>0</v>
      </c>
      <c r="O109" t="n">
        <v>4</v>
      </c>
      <c r="P109" t="n">
        <v>0</v>
      </c>
      <c r="Q109" t="n">
        <v>5</v>
      </c>
      <c r="R109" s="2" t="inlineStr">
        <is>
          <t>Granticka
Rosenticka
Rördrom
Spillkråka
Revlummer</t>
        </is>
      </c>
      <c r="S109">
        <f>HYPERLINK("https://klasma.github.io/Logging_2303/artfynd/A 2579-2025 artfynd.xlsx", "A 2579-2025")</f>
        <v/>
      </c>
      <c r="T109">
        <f>HYPERLINK("https://klasma.github.io/Logging_2303/kartor/A 2579-2025 karta.png", "A 2579-2025")</f>
        <v/>
      </c>
      <c r="V109">
        <f>HYPERLINK("https://klasma.github.io/Logging_2303/klagomål/A 2579-2025 FSC-klagomål.docx", "A 2579-2025")</f>
        <v/>
      </c>
      <c r="W109">
        <f>HYPERLINK("https://klasma.github.io/Logging_2303/klagomålsmail/A 2579-2025 FSC-klagomål mail.docx", "A 2579-2025")</f>
        <v/>
      </c>
      <c r="X109">
        <f>HYPERLINK("https://klasma.github.io/Logging_2303/tillsyn/A 2579-2025 tillsynsbegäran.docx", "A 2579-2025")</f>
        <v/>
      </c>
      <c r="Y109">
        <f>HYPERLINK("https://klasma.github.io/Logging_2303/tillsynsmail/A 2579-2025 tillsynsbegäran mail.docx", "A 2579-2025")</f>
        <v/>
      </c>
      <c r="Z109">
        <f>HYPERLINK("https://klasma.github.io/Logging_2303/fåglar/A 2579-2025 prioriterade fågelarter.docx", "A 2579-2025")</f>
        <v/>
      </c>
    </row>
    <row r="110" ht="15" customHeight="1">
      <c r="A110" t="inlineStr">
        <is>
          <t>A 12024-2022</t>
        </is>
      </c>
      <c r="B110" s="1" t="n">
        <v>44635</v>
      </c>
      <c r="C110" s="1" t="n">
        <v>45969</v>
      </c>
      <c r="D110" t="inlineStr">
        <is>
          <t>JÄMTLANDS LÄN</t>
        </is>
      </c>
      <c r="E110" t="inlineStr">
        <is>
          <t>RAGUNDA</t>
        </is>
      </c>
      <c r="F110" t="inlineStr">
        <is>
          <t>SCA</t>
        </is>
      </c>
      <c r="G110" t="n">
        <v>4.9</v>
      </c>
      <c r="H110" t="n">
        <v>1</v>
      </c>
      <c r="I110" t="n">
        <v>1</v>
      </c>
      <c r="J110" t="n">
        <v>3</v>
      </c>
      <c r="K110" t="n">
        <v>1</v>
      </c>
      <c r="L110" t="n">
        <v>0</v>
      </c>
      <c r="M110" t="n">
        <v>0</v>
      </c>
      <c r="N110" t="n">
        <v>0</v>
      </c>
      <c r="O110" t="n">
        <v>4</v>
      </c>
      <c r="P110" t="n">
        <v>1</v>
      </c>
      <c r="Q110" t="n">
        <v>5</v>
      </c>
      <c r="R110" s="2" t="inlineStr">
        <is>
          <t>Rynkskinn
Garnlav
Tretåig hackspett
Vitgrynig nållav
Dropptaggsvamp</t>
        </is>
      </c>
      <c r="S110">
        <f>HYPERLINK("https://klasma.github.io/Logging_2303/artfynd/A 12024-2022 artfynd.xlsx", "A 12024-2022")</f>
        <v/>
      </c>
      <c r="T110">
        <f>HYPERLINK("https://klasma.github.io/Logging_2303/kartor/A 12024-2022 karta.png", "A 12024-2022")</f>
        <v/>
      </c>
      <c r="V110">
        <f>HYPERLINK("https://klasma.github.io/Logging_2303/klagomål/A 12024-2022 FSC-klagomål.docx", "A 12024-2022")</f>
        <v/>
      </c>
      <c r="W110">
        <f>HYPERLINK("https://klasma.github.io/Logging_2303/klagomålsmail/A 12024-2022 FSC-klagomål mail.docx", "A 12024-2022")</f>
        <v/>
      </c>
      <c r="X110">
        <f>HYPERLINK("https://klasma.github.io/Logging_2303/tillsyn/A 12024-2022 tillsynsbegäran.docx", "A 12024-2022")</f>
        <v/>
      </c>
      <c r="Y110">
        <f>HYPERLINK("https://klasma.github.io/Logging_2303/tillsynsmail/A 12024-2022 tillsynsbegäran mail.docx", "A 12024-2022")</f>
        <v/>
      </c>
      <c r="Z110">
        <f>HYPERLINK("https://klasma.github.io/Logging_2303/fåglar/A 12024-2022 prioriterade fågelarter.docx", "A 12024-2022")</f>
        <v/>
      </c>
    </row>
    <row r="111" ht="15" customHeight="1">
      <c r="A111" t="inlineStr">
        <is>
          <t>A 8636-2021</t>
        </is>
      </c>
      <c r="B111" s="1" t="n">
        <v>44245</v>
      </c>
      <c r="C111" s="1" t="n">
        <v>45969</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45969</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45969</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32903-2024</t>
        </is>
      </c>
      <c r="B114" s="1" t="n">
        <v>45516.94723379629</v>
      </c>
      <c r="C114" s="1" t="n">
        <v>45969</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23931-2024</t>
        </is>
      </c>
      <c r="B115" s="1" t="n">
        <v>45455.96195601852</v>
      </c>
      <c r="C115" s="1" t="n">
        <v>45969</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43960-2023</t>
        </is>
      </c>
      <c r="B116" s="1" t="n">
        <v>45187</v>
      </c>
      <c r="C116" s="1" t="n">
        <v>45969</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23682-2021</t>
        </is>
      </c>
      <c r="B117" s="1" t="n">
        <v>44334</v>
      </c>
      <c r="C117" s="1" t="n">
        <v>45969</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45969</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32067-2024</t>
        </is>
      </c>
      <c r="B119" s="1" t="n">
        <v>45510</v>
      </c>
      <c r="C119" s="1" t="n">
        <v>45969</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45969</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60670-2022</t>
        </is>
      </c>
      <c r="B121" s="1" t="n">
        <v>44911</v>
      </c>
      <c r="C121" s="1" t="n">
        <v>45969</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19401-2025</t>
        </is>
      </c>
      <c r="B122" s="1" t="n">
        <v>45769.67767361111</v>
      </c>
      <c r="C122" s="1" t="n">
        <v>45969</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40653-2025</t>
        </is>
      </c>
      <c r="B123" s="1" t="n">
        <v>45896.63618055556</v>
      </c>
      <c r="C123" s="1" t="n">
        <v>45969</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21372-2025</t>
        </is>
      </c>
      <c r="B124" s="1" t="n">
        <v>45782.44871527778</v>
      </c>
      <c r="C124" s="1" t="n">
        <v>45969</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45969</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45969</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26082-2025</t>
        </is>
      </c>
      <c r="B127" s="1" t="n">
        <v>45805.34415509259</v>
      </c>
      <c r="C127" s="1" t="n">
        <v>45969</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52644-2024</t>
        </is>
      </c>
      <c r="B128" s="1" t="n">
        <v>45610.34415509259</v>
      </c>
      <c r="C128" s="1" t="n">
        <v>45969</v>
      </c>
      <c r="D128" t="inlineStr">
        <is>
          <t>JÄMTLANDS LÄN</t>
        </is>
      </c>
      <c r="E128" t="inlineStr">
        <is>
          <t>RAGUNDA</t>
        </is>
      </c>
      <c r="F128" t="inlineStr">
        <is>
          <t>SCA</t>
        </is>
      </c>
      <c r="G128" t="n">
        <v>6.6</v>
      </c>
      <c r="H128" t="n">
        <v>2</v>
      </c>
      <c r="I128" t="n">
        <v>1</v>
      </c>
      <c r="J128" t="n">
        <v>2</v>
      </c>
      <c r="K128" t="n">
        <v>1</v>
      </c>
      <c r="L128" t="n">
        <v>0</v>
      </c>
      <c r="M128" t="n">
        <v>0</v>
      </c>
      <c r="N128" t="n">
        <v>0</v>
      </c>
      <c r="O128" t="n">
        <v>3</v>
      </c>
      <c r="P128" t="n">
        <v>1</v>
      </c>
      <c r="Q128" t="n">
        <v>4</v>
      </c>
      <c r="R128" s="2" t="inlineStr">
        <is>
          <t>Doftticka
Gammelgransskål
Lunglav
Guckusko</t>
        </is>
      </c>
      <c r="S128">
        <f>HYPERLINK("https://klasma.github.io/Logging_2303/artfynd/A 52644-2024 artfynd.xlsx", "A 52644-2024")</f>
        <v/>
      </c>
      <c r="T128">
        <f>HYPERLINK("https://klasma.github.io/Logging_2303/kartor/A 52644-2024 karta.png", "A 52644-2024")</f>
        <v/>
      </c>
      <c r="V128">
        <f>HYPERLINK("https://klasma.github.io/Logging_2303/klagomål/A 52644-2024 FSC-klagomål.docx", "A 52644-2024")</f>
        <v/>
      </c>
      <c r="W128">
        <f>HYPERLINK("https://klasma.github.io/Logging_2303/klagomålsmail/A 52644-2024 FSC-klagomål mail.docx", "A 52644-2024")</f>
        <v/>
      </c>
      <c r="X128">
        <f>HYPERLINK("https://klasma.github.io/Logging_2303/tillsyn/A 52644-2024 tillsynsbegäran.docx", "A 52644-2024")</f>
        <v/>
      </c>
      <c r="Y128">
        <f>HYPERLINK("https://klasma.github.io/Logging_2303/tillsynsmail/A 52644-2024 tillsynsbegäran mail.docx", "A 52644-2024")</f>
        <v/>
      </c>
    </row>
    <row r="129" ht="15" customHeight="1">
      <c r="A129" t="inlineStr">
        <is>
          <t>A 22467-2025</t>
        </is>
      </c>
      <c r="B129" s="1" t="n">
        <v>45786.61534722222</v>
      </c>
      <c r="C129" s="1" t="n">
        <v>45969</v>
      </c>
      <c r="D129" t="inlineStr">
        <is>
          <t>JÄMTLANDS LÄN</t>
        </is>
      </c>
      <c r="E129" t="inlineStr">
        <is>
          <t>RAGUNDA</t>
        </is>
      </c>
      <c r="F129" t="inlineStr">
        <is>
          <t>SCA</t>
        </is>
      </c>
      <c r="G129" t="n">
        <v>1.7</v>
      </c>
      <c r="H129" t="n">
        <v>1</v>
      </c>
      <c r="I129" t="n">
        <v>1</v>
      </c>
      <c r="J129" t="n">
        <v>3</v>
      </c>
      <c r="K129" t="n">
        <v>0</v>
      </c>
      <c r="L129" t="n">
        <v>0</v>
      </c>
      <c r="M129" t="n">
        <v>0</v>
      </c>
      <c r="N129" t="n">
        <v>0</v>
      </c>
      <c r="O129" t="n">
        <v>3</v>
      </c>
      <c r="P129" t="n">
        <v>0</v>
      </c>
      <c r="Q129" t="n">
        <v>4</v>
      </c>
      <c r="R129" s="2" t="inlineStr">
        <is>
          <t>Garnlav
Järpe
Lunglav
Bårdlav</t>
        </is>
      </c>
      <c r="S129">
        <f>HYPERLINK("https://klasma.github.io/Logging_2303/artfynd/A 22467-2025 artfynd.xlsx", "A 22467-2025")</f>
        <v/>
      </c>
      <c r="T129">
        <f>HYPERLINK("https://klasma.github.io/Logging_2303/kartor/A 22467-2025 karta.png", "A 22467-2025")</f>
        <v/>
      </c>
      <c r="V129">
        <f>HYPERLINK("https://klasma.github.io/Logging_2303/klagomål/A 22467-2025 FSC-klagomål.docx", "A 22467-2025")</f>
        <v/>
      </c>
      <c r="W129">
        <f>HYPERLINK("https://klasma.github.io/Logging_2303/klagomålsmail/A 22467-2025 FSC-klagomål mail.docx", "A 22467-2025")</f>
        <v/>
      </c>
      <c r="X129">
        <f>HYPERLINK("https://klasma.github.io/Logging_2303/tillsyn/A 22467-2025 tillsynsbegäran.docx", "A 22467-2025")</f>
        <v/>
      </c>
      <c r="Y129">
        <f>HYPERLINK("https://klasma.github.io/Logging_2303/tillsynsmail/A 22467-2025 tillsynsbegäran mail.docx", "A 22467-2025")</f>
        <v/>
      </c>
      <c r="Z129">
        <f>HYPERLINK("https://klasma.github.io/Logging_2303/fåglar/A 22467-2025 prioriterade fågelarter.docx", "A 22467-2025")</f>
        <v/>
      </c>
    </row>
    <row r="130" ht="15" customHeight="1">
      <c r="A130" t="inlineStr">
        <is>
          <t>A 52168-2025</t>
        </is>
      </c>
      <c r="B130" s="1" t="n">
        <v>45953.365625</v>
      </c>
      <c r="C130" s="1" t="n">
        <v>45969</v>
      </c>
      <c r="D130" t="inlineStr">
        <is>
          <t>JÄMTLANDS LÄN</t>
        </is>
      </c>
      <c r="E130" t="inlineStr">
        <is>
          <t>RAGUNDA</t>
        </is>
      </c>
      <c r="F130" t="inlineStr">
        <is>
          <t>SCA</t>
        </is>
      </c>
      <c r="G130" t="n">
        <v>19.5</v>
      </c>
      <c r="H130" t="n">
        <v>0</v>
      </c>
      <c r="I130" t="n">
        <v>1</v>
      </c>
      <c r="J130" t="n">
        <v>3</v>
      </c>
      <c r="K130" t="n">
        <v>0</v>
      </c>
      <c r="L130" t="n">
        <v>0</v>
      </c>
      <c r="M130" t="n">
        <v>0</v>
      </c>
      <c r="N130" t="n">
        <v>0</v>
      </c>
      <c r="O130" t="n">
        <v>3</v>
      </c>
      <c r="P130" t="n">
        <v>0</v>
      </c>
      <c r="Q130" t="n">
        <v>4</v>
      </c>
      <c r="R130" s="2" t="inlineStr">
        <is>
          <t>Garnlav
Granticka
Vitgrynig nållav
Källmossa</t>
        </is>
      </c>
      <c r="S130">
        <f>HYPERLINK("https://klasma.github.io/Logging_2303/artfynd/A 52168-2025 artfynd.xlsx", "A 52168-2025")</f>
        <v/>
      </c>
      <c r="T130">
        <f>HYPERLINK("https://klasma.github.io/Logging_2303/kartor/A 52168-2025 karta.png", "A 52168-2025")</f>
        <v/>
      </c>
      <c r="V130">
        <f>HYPERLINK("https://klasma.github.io/Logging_2303/klagomål/A 52168-2025 FSC-klagomål.docx", "A 52168-2025")</f>
        <v/>
      </c>
      <c r="W130">
        <f>HYPERLINK("https://klasma.github.io/Logging_2303/klagomålsmail/A 52168-2025 FSC-klagomål mail.docx", "A 52168-2025")</f>
        <v/>
      </c>
      <c r="X130">
        <f>HYPERLINK("https://klasma.github.io/Logging_2303/tillsyn/A 52168-2025 tillsynsbegäran.docx", "A 52168-2025")</f>
        <v/>
      </c>
      <c r="Y130">
        <f>HYPERLINK("https://klasma.github.io/Logging_2303/tillsynsmail/A 52168-2025 tillsynsbegäran mail.docx", "A 52168-2025")</f>
        <v/>
      </c>
    </row>
    <row r="131" ht="15" customHeight="1">
      <c r="A131" t="inlineStr">
        <is>
          <t>A 50342-2025</t>
        </is>
      </c>
      <c r="B131" s="1" t="n">
        <v>45944.53186342592</v>
      </c>
      <c r="C131" s="1" t="n">
        <v>45969</v>
      </c>
      <c r="D131" t="inlineStr">
        <is>
          <t>JÄMTLANDS LÄN</t>
        </is>
      </c>
      <c r="E131" t="inlineStr">
        <is>
          <t>RAGUNDA</t>
        </is>
      </c>
      <c r="F131" t="inlineStr">
        <is>
          <t>SCA</t>
        </is>
      </c>
      <c r="G131" t="n">
        <v>20.7</v>
      </c>
      <c r="H131" t="n">
        <v>1</v>
      </c>
      <c r="I131" t="n">
        <v>1</v>
      </c>
      <c r="J131" t="n">
        <v>3</v>
      </c>
      <c r="K131" t="n">
        <v>0</v>
      </c>
      <c r="L131" t="n">
        <v>0</v>
      </c>
      <c r="M131" t="n">
        <v>0</v>
      </c>
      <c r="N131" t="n">
        <v>0</v>
      </c>
      <c r="O131" t="n">
        <v>3</v>
      </c>
      <c r="P131" t="n">
        <v>0</v>
      </c>
      <c r="Q131" t="n">
        <v>4</v>
      </c>
      <c r="R131" s="2" t="inlineStr">
        <is>
          <t>Garnlav
Granticka
Tretåig hackspett
Trådticka</t>
        </is>
      </c>
      <c r="S131">
        <f>HYPERLINK("https://klasma.github.io/Logging_2303/artfynd/A 50342-2025 artfynd.xlsx", "A 50342-2025")</f>
        <v/>
      </c>
      <c r="T131">
        <f>HYPERLINK("https://klasma.github.io/Logging_2303/kartor/A 50342-2025 karta.png", "A 50342-2025")</f>
        <v/>
      </c>
      <c r="V131">
        <f>HYPERLINK("https://klasma.github.io/Logging_2303/klagomål/A 50342-2025 FSC-klagomål.docx", "A 50342-2025")</f>
        <v/>
      </c>
      <c r="W131">
        <f>HYPERLINK("https://klasma.github.io/Logging_2303/klagomålsmail/A 50342-2025 FSC-klagomål mail.docx", "A 50342-2025")</f>
        <v/>
      </c>
      <c r="X131">
        <f>HYPERLINK("https://klasma.github.io/Logging_2303/tillsyn/A 50342-2025 tillsynsbegäran.docx", "A 50342-2025")</f>
        <v/>
      </c>
      <c r="Y131">
        <f>HYPERLINK("https://klasma.github.io/Logging_2303/tillsynsmail/A 50342-2025 tillsynsbegäran mail.docx", "A 50342-2025")</f>
        <v/>
      </c>
      <c r="Z131">
        <f>HYPERLINK("https://klasma.github.io/Logging_2303/fåglar/A 50342-2025 prioriterade fågelarter.docx", "A 50342-2025")</f>
        <v/>
      </c>
    </row>
    <row r="132" ht="15" customHeight="1">
      <c r="A132" t="inlineStr">
        <is>
          <t>A 17092-2022</t>
        </is>
      </c>
      <c r="B132" s="1" t="n">
        <v>44677</v>
      </c>
      <c r="C132" s="1" t="n">
        <v>45969</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30465-2024</t>
        </is>
      </c>
      <c r="B133" s="1" t="n">
        <v>45491</v>
      </c>
      <c r="C133" s="1" t="n">
        <v>45969</v>
      </c>
      <c r="D133" t="inlineStr">
        <is>
          <t>JÄMTLANDS LÄN</t>
        </is>
      </c>
      <c r="E133" t="inlineStr">
        <is>
          <t>RAGUNDA</t>
        </is>
      </c>
      <c r="F133" t="inlineStr">
        <is>
          <t>SCA</t>
        </is>
      </c>
      <c r="G133" t="n">
        <v>3.7</v>
      </c>
      <c r="H133" t="n">
        <v>1</v>
      </c>
      <c r="I133" t="n">
        <v>0</v>
      </c>
      <c r="J133" t="n">
        <v>4</v>
      </c>
      <c r="K133" t="n">
        <v>0</v>
      </c>
      <c r="L133" t="n">
        <v>0</v>
      </c>
      <c r="M133" t="n">
        <v>0</v>
      </c>
      <c r="N133" t="n">
        <v>0</v>
      </c>
      <c r="O133" t="n">
        <v>4</v>
      </c>
      <c r="P133" t="n">
        <v>0</v>
      </c>
      <c r="Q133" t="n">
        <v>4</v>
      </c>
      <c r="R133" s="2" t="inlineStr">
        <is>
          <t>Granticka
Tretåig hackspett
Ullticka
Violmussling</t>
        </is>
      </c>
      <c r="S133">
        <f>HYPERLINK("https://klasma.github.io/Logging_2303/artfynd/A 30465-2024 artfynd.xlsx", "A 30465-2024")</f>
        <v/>
      </c>
      <c r="T133">
        <f>HYPERLINK("https://klasma.github.io/Logging_2303/kartor/A 30465-2024 karta.png", "A 30465-2024")</f>
        <v/>
      </c>
      <c r="V133">
        <f>HYPERLINK("https://klasma.github.io/Logging_2303/klagomål/A 30465-2024 FSC-klagomål.docx", "A 30465-2024")</f>
        <v/>
      </c>
      <c r="W133">
        <f>HYPERLINK("https://klasma.github.io/Logging_2303/klagomålsmail/A 30465-2024 FSC-klagomål mail.docx", "A 30465-2024")</f>
        <v/>
      </c>
      <c r="X133">
        <f>HYPERLINK("https://klasma.github.io/Logging_2303/tillsyn/A 30465-2024 tillsynsbegäran.docx", "A 30465-2024")</f>
        <v/>
      </c>
      <c r="Y133">
        <f>HYPERLINK("https://klasma.github.io/Logging_2303/tillsynsmail/A 30465-2024 tillsynsbegäran mail.docx", "A 30465-2024")</f>
        <v/>
      </c>
      <c r="Z133">
        <f>HYPERLINK("https://klasma.github.io/Logging_2303/fåglar/A 30465-2024 prioriterade fågelarter.docx", "A 30465-2024")</f>
        <v/>
      </c>
    </row>
    <row r="134" ht="15" customHeight="1">
      <c r="A134" t="inlineStr">
        <is>
          <t>A 30483-2024</t>
        </is>
      </c>
      <c r="B134" s="1" t="n">
        <v>45491</v>
      </c>
      <c r="C134" s="1" t="n">
        <v>45969</v>
      </c>
      <c r="D134" t="inlineStr">
        <is>
          <t>JÄMTLANDS LÄN</t>
        </is>
      </c>
      <c r="E134" t="inlineStr">
        <is>
          <t>RAGUNDA</t>
        </is>
      </c>
      <c r="F134" t="inlineStr">
        <is>
          <t>SCA</t>
        </is>
      </c>
      <c r="G134" t="n">
        <v>1.6</v>
      </c>
      <c r="H134" t="n">
        <v>1</v>
      </c>
      <c r="I134" t="n">
        <v>0</v>
      </c>
      <c r="J134" t="n">
        <v>4</v>
      </c>
      <c r="K134" t="n">
        <v>0</v>
      </c>
      <c r="L134" t="n">
        <v>0</v>
      </c>
      <c r="M134" t="n">
        <v>0</v>
      </c>
      <c r="N134" t="n">
        <v>0</v>
      </c>
      <c r="O134" t="n">
        <v>4</v>
      </c>
      <c r="P134" t="n">
        <v>0</v>
      </c>
      <c r="Q134" t="n">
        <v>4</v>
      </c>
      <c r="R134" s="2" t="inlineStr">
        <is>
          <t>Dvärgbägarlav
Järpe
Kolflarnlav
Vedskivlav</t>
        </is>
      </c>
      <c r="S134">
        <f>HYPERLINK("https://klasma.github.io/Logging_2303/artfynd/A 30483-2024 artfynd.xlsx", "A 30483-2024")</f>
        <v/>
      </c>
      <c r="T134">
        <f>HYPERLINK("https://klasma.github.io/Logging_2303/kartor/A 30483-2024 karta.png", "A 30483-2024")</f>
        <v/>
      </c>
      <c r="V134">
        <f>HYPERLINK("https://klasma.github.io/Logging_2303/klagomål/A 30483-2024 FSC-klagomål.docx", "A 30483-2024")</f>
        <v/>
      </c>
      <c r="W134">
        <f>HYPERLINK("https://klasma.github.io/Logging_2303/klagomålsmail/A 30483-2024 FSC-klagomål mail.docx", "A 30483-2024")</f>
        <v/>
      </c>
      <c r="X134">
        <f>HYPERLINK("https://klasma.github.io/Logging_2303/tillsyn/A 30483-2024 tillsynsbegäran.docx", "A 30483-2024")</f>
        <v/>
      </c>
      <c r="Y134">
        <f>HYPERLINK("https://klasma.github.io/Logging_2303/tillsynsmail/A 30483-2024 tillsynsbegäran mail.docx", "A 30483-2024")</f>
        <v/>
      </c>
      <c r="Z134">
        <f>HYPERLINK("https://klasma.github.io/Logging_2303/fåglar/A 30483-2024 prioriterade fågelarter.docx", "A 30483-2024")</f>
        <v/>
      </c>
    </row>
    <row r="135" ht="15" customHeight="1">
      <c r="A135" t="inlineStr">
        <is>
          <t>A 48052-2022</t>
        </is>
      </c>
      <c r="B135" s="1" t="n">
        <v>44855</v>
      </c>
      <c r="C135" s="1" t="n">
        <v>45969</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22730-2023</t>
        </is>
      </c>
      <c r="B136" s="1" t="n">
        <v>45071</v>
      </c>
      <c r="C136" s="1" t="n">
        <v>45969</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31727-2021</t>
        </is>
      </c>
      <c r="B137" s="1" t="n">
        <v>44369.92025462963</v>
      </c>
      <c r="C137" s="1" t="n">
        <v>45969</v>
      </c>
      <c r="D137" t="inlineStr">
        <is>
          <t>JÄMTLANDS LÄN</t>
        </is>
      </c>
      <c r="E137" t="inlineStr">
        <is>
          <t>RAGUNDA</t>
        </is>
      </c>
      <c r="G137" t="n">
        <v>1</v>
      </c>
      <c r="H137" t="n">
        <v>0</v>
      </c>
      <c r="I137" t="n">
        <v>1</v>
      </c>
      <c r="J137" t="n">
        <v>2</v>
      </c>
      <c r="K137" t="n">
        <v>0</v>
      </c>
      <c r="L137" t="n">
        <v>0</v>
      </c>
      <c r="M137" t="n">
        <v>0</v>
      </c>
      <c r="N137" t="n">
        <v>0</v>
      </c>
      <c r="O137" t="n">
        <v>2</v>
      </c>
      <c r="P137" t="n">
        <v>0</v>
      </c>
      <c r="Q137" t="n">
        <v>3</v>
      </c>
      <c r="R137" s="2" t="inlineStr">
        <is>
          <t>Lunglav
Ullticka
Luddlav</t>
        </is>
      </c>
      <c r="S137">
        <f>HYPERLINK("https://klasma.github.io/Logging_2303/artfynd/A 31727-2021 artfynd.xlsx", "A 31727-2021")</f>
        <v/>
      </c>
      <c r="T137">
        <f>HYPERLINK("https://klasma.github.io/Logging_2303/kartor/A 31727-2021 karta.png", "A 31727-2021")</f>
        <v/>
      </c>
      <c r="V137">
        <f>HYPERLINK("https://klasma.github.io/Logging_2303/klagomål/A 31727-2021 FSC-klagomål.docx", "A 31727-2021")</f>
        <v/>
      </c>
      <c r="W137">
        <f>HYPERLINK("https://klasma.github.io/Logging_2303/klagomålsmail/A 31727-2021 FSC-klagomål mail.docx", "A 31727-2021")</f>
        <v/>
      </c>
      <c r="X137">
        <f>HYPERLINK("https://klasma.github.io/Logging_2303/tillsyn/A 31727-2021 tillsynsbegäran.docx", "A 31727-2021")</f>
        <v/>
      </c>
      <c r="Y137">
        <f>HYPERLINK("https://klasma.github.io/Logging_2303/tillsynsmail/A 31727-2021 tillsynsbegäran mail.docx", "A 31727-2021")</f>
        <v/>
      </c>
    </row>
    <row r="138" ht="15" customHeight="1">
      <c r="A138" t="inlineStr">
        <is>
          <t>A 12737-2025</t>
        </is>
      </c>
      <c r="B138" s="1" t="n">
        <v>45733</v>
      </c>
      <c r="C138" s="1" t="n">
        <v>45969</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14814-2024</t>
        </is>
      </c>
      <c r="B139" s="1" t="n">
        <v>45397.95748842593</v>
      </c>
      <c r="C139" s="1" t="n">
        <v>45969</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48054-2022</t>
        </is>
      </c>
      <c r="B140" s="1" t="n">
        <v>44855</v>
      </c>
      <c r="C140" s="1" t="n">
        <v>45969</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45969</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58737-2022</t>
        </is>
      </c>
      <c r="B142" s="1" t="n">
        <v>44902</v>
      </c>
      <c r="C142" s="1" t="n">
        <v>45969</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20776-2024</t>
        </is>
      </c>
      <c r="B143" s="1" t="n">
        <v>45436.94686342592</v>
      </c>
      <c r="C143" s="1" t="n">
        <v>45969</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45969</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7519-2023</t>
        </is>
      </c>
      <c r="B145" s="1" t="n">
        <v>44971</v>
      </c>
      <c r="C145" s="1" t="n">
        <v>45969</v>
      </c>
      <c r="D145" t="inlineStr">
        <is>
          <t>JÄMTLANDS LÄN</t>
        </is>
      </c>
      <c r="E145" t="inlineStr">
        <is>
          <t>RAGUNDA</t>
        </is>
      </c>
      <c r="F145" t="inlineStr">
        <is>
          <t>SCA</t>
        </is>
      </c>
      <c r="G145" t="n">
        <v>3.2</v>
      </c>
      <c r="H145" t="n">
        <v>0</v>
      </c>
      <c r="I145" t="n">
        <v>1</v>
      </c>
      <c r="J145" t="n">
        <v>2</v>
      </c>
      <c r="K145" t="n">
        <v>0</v>
      </c>
      <c r="L145" t="n">
        <v>0</v>
      </c>
      <c r="M145" t="n">
        <v>0</v>
      </c>
      <c r="N145" t="n">
        <v>0</v>
      </c>
      <c r="O145" t="n">
        <v>2</v>
      </c>
      <c r="P145" t="n">
        <v>0</v>
      </c>
      <c r="Q145" t="n">
        <v>3</v>
      </c>
      <c r="R145" s="2" t="inlineStr">
        <is>
          <t>Granticka
Lunglav
Stor aspticka</t>
        </is>
      </c>
      <c r="S145">
        <f>HYPERLINK("https://klasma.github.io/Logging_2303/artfynd/A 7519-2023 artfynd.xlsx", "A 7519-2023")</f>
        <v/>
      </c>
      <c r="T145">
        <f>HYPERLINK("https://klasma.github.io/Logging_2303/kartor/A 7519-2023 karta.png", "A 7519-2023")</f>
        <v/>
      </c>
      <c r="V145">
        <f>HYPERLINK("https://klasma.github.io/Logging_2303/klagomål/A 7519-2023 FSC-klagomål.docx", "A 7519-2023")</f>
        <v/>
      </c>
      <c r="W145">
        <f>HYPERLINK("https://klasma.github.io/Logging_2303/klagomålsmail/A 7519-2023 FSC-klagomål mail.docx", "A 7519-2023")</f>
        <v/>
      </c>
      <c r="X145">
        <f>HYPERLINK("https://klasma.github.io/Logging_2303/tillsyn/A 7519-2023 tillsynsbegäran.docx", "A 7519-2023")</f>
        <v/>
      </c>
      <c r="Y145">
        <f>HYPERLINK("https://klasma.github.io/Logging_2303/tillsynsmail/A 7519-2023 tillsynsbegäran mail.docx", "A 7519-2023")</f>
        <v/>
      </c>
    </row>
    <row r="146" ht="15" customHeight="1">
      <c r="A146" t="inlineStr">
        <is>
          <t>A 58368-2024</t>
        </is>
      </c>
      <c r="B146" s="1" t="n">
        <v>45632.69822916666</v>
      </c>
      <c r="C146" s="1" t="n">
        <v>45969</v>
      </c>
      <c r="D146" t="inlineStr">
        <is>
          <t>JÄMTLANDS LÄN</t>
        </is>
      </c>
      <c r="E146" t="inlineStr">
        <is>
          <t>RAGUNDA</t>
        </is>
      </c>
      <c r="F146" t="inlineStr">
        <is>
          <t>SCA</t>
        </is>
      </c>
      <c r="G146" t="n">
        <v>4.1</v>
      </c>
      <c r="H146" t="n">
        <v>2</v>
      </c>
      <c r="I146" t="n">
        <v>0</v>
      </c>
      <c r="J146" t="n">
        <v>3</v>
      </c>
      <c r="K146" t="n">
        <v>0</v>
      </c>
      <c r="L146" t="n">
        <v>0</v>
      </c>
      <c r="M146" t="n">
        <v>0</v>
      </c>
      <c r="N146" t="n">
        <v>0</v>
      </c>
      <c r="O146" t="n">
        <v>3</v>
      </c>
      <c r="P146" t="n">
        <v>0</v>
      </c>
      <c r="Q146" t="n">
        <v>3</v>
      </c>
      <c r="R146" s="2" t="inlineStr">
        <is>
          <t>Järpe
Lunglav
Tretåig hackspett</t>
        </is>
      </c>
      <c r="S146">
        <f>HYPERLINK("https://klasma.github.io/Logging_2303/artfynd/A 58368-2024 artfynd.xlsx", "A 58368-2024")</f>
        <v/>
      </c>
      <c r="T146">
        <f>HYPERLINK("https://klasma.github.io/Logging_2303/kartor/A 58368-2024 karta.png", "A 58368-2024")</f>
        <v/>
      </c>
      <c r="V146">
        <f>HYPERLINK("https://klasma.github.io/Logging_2303/klagomål/A 58368-2024 FSC-klagomål.docx", "A 58368-2024")</f>
        <v/>
      </c>
      <c r="W146">
        <f>HYPERLINK("https://klasma.github.io/Logging_2303/klagomålsmail/A 58368-2024 FSC-klagomål mail.docx", "A 58368-2024")</f>
        <v/>
      </c>
      <c r="X146">
        <f>HYPERLINK("https://klasma.github.io/Logging_2303/tillsyn/A 58368-2024 tillsynsbegäran.docx", "A 58368-2024")</f>
        <v/>
      </c>
      <c r="Y146">
        <f>HYPERLINK("https://klasma.github.io/Logging_2303/tillsynsmail/A 58368-2024 tillsynsbegäran mail.docx", "A 58368-2024")</f>
        <v/>
      </c>
      <c r="Z146">
        <f>HYPERLINK("https://klasma.github.io/Logging_2303/fåglar/A 58368-2024 prioriterade fågelarter.docx", "A 58368-2024")</f>
        <v/>
      </c>
    </row>
    <row r="147" ht="15" customHeight="1">
      <c r="A147" t="inlineStr">
        <is>
          <t>A 5048-2025</t>
        </is>
      </c>
      <c r="B147" s="1" t="n">
        <v>45691.44769675926</v>
      </c>
      <c r="C147" s="1" t="n">
        <v>45969</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16305-2025</t>
        </is>
      </c>
      <c r="B148" s="1" t="n">
        <v>45751.34650462963</v>
      </c>
      <c r="C148" s="1" t="n">
        <v>45969</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28178-2023</t>
        </is>
      </c>
      <c r="B149" s="1" t="n">
        <v>45093</v>
      </c>
      <c r="C149" s="1" t="n">
        <v>45969</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45969</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57941-2024</t>
        </is>
      </c>
      <c r="B151" s="1" t="n">
        <v>45631</v>
      </c>
      <c r="C151" s="1" t="n">
        <v>45969</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21248-2025</t>
        </is>
      </c>
      <c r="B152" s="1" t="n">
        <v>45779.57392361111</v>
      </c>
      <c r="C152" s="1" t="n">
        <v>45969</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45969</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49047-2023</t>
        </is>
      </c>
      <c r="B154" s="1" t="n">
        <v>45209</v>
      </c>
      <c r="C154" s="1" t="n">
        <v>45969</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36504-2023</t>
        </is>
      </c>
      <c r="B155" s="1" t="n">
        <v>45152</v>
      </c>
      <c r="C155" s="1" t="n">
        <v>45969</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22571-2025</t>
        </is>
      </c>
      <c r="B156" s="1" t="n">
        <v>45789.36503472222</v>
      </c>
      <c r="C156" s="1" t="n">
        <v>45969</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34585-2025</t>
        </is>
      </c>
      <c r="B157" s="1" t="n">
        <v>45847.61498842593</v>
      </c>
      <c r="C157" s="1" t="n">
        <v>45969</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34585-2025 artfynd.xlsx", "A 34585-2025")</f>
        <v/>
      </c>
      <c r="T157">
        <f>HYPERLINK("https://klasma.github.io/Logging_2303/kartor/A 34585-2025 karta.png", "A 34585-2025")</f>
        <v/>
      </c>
      <c r="V157">
        <f>HYPERLINK("https://klasma.github.io/Logging_2303/klagomål/A 34585-2025 FSC-klagomål.docx", "A 34585-2025")</f>
        <v/>
      </c>
      <c r="W157">
        <f>HYPERLINK("https://klasma.github.io/Logging_2303/klagomålsmail/A 34585-2025 FSC-klagomål mail.docx", "A 34585-2025")</f>
        <v/>
      </c>
      <c r="X157">
        <f>HYPERLINK("https://klasma.github.io/Logging_2303/tillsyn/A 34585-2025 tillsynsbegäran.docx", "A 34585-2025")</f>
        <v/>
      </c>
      <c r="Y157">
        <f>HYPERLINK("https://klasma.github.io/Logging_2303/tillsynsmail/A 34585-2025 tillsynsbegäran mail.docx", "A 34585-2025")</f>
        <v/>
      </c>
    </row>
    <row r="158" ht="15" customHeight="1">
      <c r="A158" t="inlineStr">
        <is>
          <t>A 32416-2025</t>
        </is>
      </c>
      <c r="B158" s="1" t="n">
        <v>45838</v>
      </c>
      <c r="C158" s="1" t="n">
        <v>45969</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33278-2022</t>
        </is>
      </c>
      <c r="B159" s="1" t="n">
        <v>44788</v>
      </c>
      <c r="C159" s="1" t="n">
        <v>45969</v>
      </c>
      <c r="D159" t="inlineStr">
        <is>
          <t>JÄMTLANDS LÄN</t>
        </is>
      </c>
      <c r="E159" t="inlineStr">
        <is>
          <t>RAGUNDA</t>
        </is>
      </c>
      <c r="G159" t="n">
        <v>3.2</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HYPERLINK("https://klasma.github.io/Logging_2303/artfynd/A 33278-2022 artfynd.xlsx", "A 33278-2022")</f>
        <v/>
      </c>
      <c r="T159">
        <f>HYPERLINK("https://klasma.github.io/Logging_2303/kartor/A 33278-2022 karta.png", "A 33278-2022")</f>
        <v/>
      </c>
      <c r="U159">
        <f>HYPERLINK("https://klasma.github.io/Logging_2303/knärot/A 33278-2022 karta knärot.png", "A 33278-2022")</f>
        <v/>
      </c>
      <c r="V159">
        <f>HYPERLINK("https://klasma.github.io/Logging_2303/klagomål/A 33278-2022 FSC-klagomål.docx", "A 33278-2022")</f>
        <v/>
      </c>
      <c r="W159">
        <f>HYPERLINK("https://klasma.github.io/Logging_2303/klagomålsmail/A 33278-2022 FSC-klagomål mail.docx", "A 33278-2022")</f>
        <v/>
      </c>
      <c r="X159">
        <f>HYPERLINK("https://klasma.github.io/Logging_2303/tillsyn/A 33278-2022 tillsynsbegäran.docx", "A 33278-2022")</f>
        <v/>
      </c>
      <c r="Y159">
        <f>HYPERLINK("https://klasma.github.io/Logging_2303/tillsynsmail/A 33278-2022 tillsynsbegäran mail.docx", "A 33278-2022")</f>
        <v/>
      </c>
      <c r="Z159">
        <f>HYPERLINK("https://klasma.github.io/Logging_2303/fåglar/A 33278-2022 prioriterade fågelarter.docx", "A 33278-2022")</f>
        <v/>
      </c>
    </row>
    <row r="160" ht="15" customHeight="1">
      <c r="A160" t="inlineStr">
        <is>
          <t>A 53022-2022</t>
        </is>
      </c>
      <c r="B160" s="1" t="n">
        <v>44875</v>
      </c>
      <c r="C160" s="1" t="n">
        <v>45969</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18616-2024</t>
        </is>
      </c>
      <c r="B161" s="1" t="n">
        <v>45425.96285879629</v>
      </c>
      <c r="C161" s="1" t="n">
        <v>45969</v>
      </c>
      <c r="D161" t="inlineStr">
        <is>
          <t>JÄMTLANDS LÄN</t>
        </is>
      </c>
      <c r="E161" t="inlineStr">
        <is>
          <t>RAGUNDA</t>
        </is>
      </c>
      <c r="F161" t="inlineStr">
        <is>
          <t>SCA</t>
        </is>
      </c>
      <c r="G161" t="n">
        <v>3.4</v>
      </c>
      <c r="H161" t="n">
        <v>0</v>
      </c>
      <c r="I161" t="n">
        <v>0</v>
      </c>
      <c r="J161" t="n">
        <v>3</v>
      </c>
      <c r="K161" t="n">
        <v>0</v>
      </c>
      <c r="L161" t="n">
        <v>0</v>
      </c>
      <c r="M161" t="n">
        <v>0</v>
      </c>
      <c r="N161" t="n">
        <v>0</v>
      </c>
      <c r="O161" t="n">
        <v>3</v>
      </c>
      <c r="P161" t="n">
        <v>0</v>
      </c>
      <c r="Q161" t="n">
        <v>3</v>
      </c>
      <c r="R161" s="2" t="inlineStr">
        <is>
          <t>Granticka
Orange taggsvamp
Ullticka</t>
        </is>
      </c>
      <c r="S161">
        <f>HYPERLINK("https://klasma.github.io/Logging_2303/artfynd/A 18616-2024 artfynd.xlsx", "A 18616-2024")</f>
        <v/>
      </c>
      <c r="T161">
        <f>HYPERLINK("https://klasma.github.io/Logging_2303/kartor/A 18616-2024 karta.png", "A 18616-2024")</f>
        <v/>
      </c>
      <c r="V161">
        <f>HYPERLINK("https://klasma.github.io/Logging_2303/klagomål/A 18616-2024 FSC-klagomål.docx", "A 18616-2024")</f>
        <v/>
      </c>
      <c r="W161">
        <f>HYPERLINK("https://klasma.github.io/Logging_2303/klagomålsmail/A 18616-2024 FSC-klagomål mail.docx", "A 18616-2024")</f>
        <v/>
      </c>
      <c r="X161">
        <f>HYPERLINK("https://klasma.github.io/Logging_2303/tillsyn/A 18616-2024 tillsynsbegäran.docx", "A 18616-2024")</f>
        <v/>
      </c>
      <c r="Y161">
        <f>HYPERLINK("https://klasma.github.io/Logging_2303/tillsynsmail/A 18616-2024 tillsynsbegäran mail.docx", "A 18616-2024")</f>
        <v/>
      </c>
    </row>
    <row r="162" ht="15" customHeight="1">
      <c r="A162" t="inlineStr">
        <is>
          <t>A 17043-2022</t>
        </is>
      </c>
      <c r="B162" s="1" t="n">
        <v>44676</v>
      </c>
      <c r="C162" s="1" t="n">
        <v>45969</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45969</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45969</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46771-2024</t>
        </is>
      </c>
      <c r="B165" s="1" t="n">
        <v>45583.49642361111</v>
      </c>
      <c r="C165" s="1" t="n">
        <v>45969</v>
      </c>
      <c r="D165" t="inlineStr">
        <is>
          <t>JÄMTLANDS LÄN</t>
        </is>
      </c>
      <c r="E165" t="inlineStr">
        <is>
          <t>RAGUNDA</t>
        </is>
      </c>
      <c r="F165" t="inlineStr">
        <is>
          <t>SCA</t>
        </is>
      </c>
      <c r="G165" t="n">
        <v>3.1</v>
      </c>
      <c r="H165" t="n">
        <v>0</v>
      </c>
      <c r="I165" t="n">
        <v>0</v>
      </c>
      <c r="J165" t="n">
        <v>2</v>
      </c>
      <c r="K165" t="n">
        <v>0</v>
      </c>
      <c r="L165" t="n">
        <v>0</v>
      </c>
      <c r="M165" t="n">
        <v>0</v>
      </c>
      <c r="N165" t="n">
        <v>0</v>
      </c>
      <c r="O165" t="n">
        <v>2</v>
      </c>
      <c r="P165" t="n">
        <v>0</v>
      </c>
      <c r="Q165" t="n">
        <v>2</v>
      </c>
      <c r="R165" s="2" t="inlineStr">
        <is>
          <t>Doftskinn
Gammelgransskål</t>
        </is>
      </c>
      <c r="S165">
        <f>HYPERLINK("https://klasma.github.io/Logging_2303/artfynd/A 46771-2024 artfynd.xlsx", "A 46771-2024")</f>
        <v/>
      </c>
      <c r="T165">
        <f>HYPERLINK("https://klasma.github.io/Logging_2303/kartor/A 46771-2024 karta.png", "A 46771-2024")</f>
        <v/>
      </c>
      <c r="V165">
        <f>HYPERLINK("https://klasma.github.io/Logging_2303/klagomål/A 46771-2024 FSC-klagomål.docx", "A 46771-2024")</f>
        <v/>
      </c>
      <c r="W165">
        <f>HYPERLINK("https://klasma.github.io/Logging_2303/klagomålsmail/A 46771-2024 FSC-klagomål mail.docx", "A 46771-2024")</f>
        <v/>
      </c>
      <c r="X165">
        <f>HYPERLINK("https://klasma.github.io/Logging_2303/tillsyn/A 46771-2024 tillsynsbegäran.docx", "A 46771-2024")</f>
        <v/>
      </c>
      <c r="Y165">
        <f>HYPERLINK("https://klasma.github.io/Logging_2303/tillsynsmail/A 46771-2024 tillsynsbegäran mail.docx", "A 46771-2024")</f>
        <v/>
      </c>
    </row>
    <row r="166" ht="15" customHeight="1">
      <c r="A166" t="inlineStr">
        <is>
          <t>A 3838-2024</t>
        </is>
      </c>
      <c r="B166" s="1" t="n">
        <v>45321</v>
      </c>
      <c r="C166" s="1" t="n">
        <v>45969</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10866-2025</t>
        </is>
      </c>
      <c r="B167" s="1" t="n">
        <v>45722.61543981481</v>
      </c>
      <c r="C167" s="1" t="n">
        <v>45969</v>
      </c>
      <c r="D167" t="inlineStr">
        <is>
          <t>JÄMTLANDS LÄN</t>
        </is>
      </c>
      <c r="E167" t="inlineStr">
        <is>
          <t>RAGUNDA</t>
        </is>
      </c>
      <c r="F167" t="inlineStr">
        <is>
          <t>SCA</t>
        </is>
      </c>
      <c r="G167" t="n">
        <v>15.9</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10866-2025 artfynd.xlsx", "A 10866-2025")</f>
        <v/>
      </c>
      <c r="T167">
        <f>HYPERLINK("https://klasma.github.io/Logging_2303/kartor/A 10866-2025 karta.png", "A 10866-2025")</f>
        <v/>
      </c>
      <c r="V167">
        <f>HYPERLINK("https://klasma.github.io/Logging_2303/klagomål/A 10866-2025 FSC-klagomål.docx", "A 10866-2025")</f>
        <v/>
      </c>
      <c r="W167">
        <f>HYPERLINK("https://klasma.github.io/Logging_2303/klagomålsmail/A 10866-2025 FSC-klagomål mail.docx", "A 10866-2025")</f>
        <v/>
      </c>
      <c r="X167">
        <f>HYPERLINK("https://klasma.github.io/Logging_2303/tillsyn/A 10866-2025 tillsynsbegäran.docx", "A 10866-2025")</f>
        <v/>
      </c>
      <c r="Y167">
        <f>HYPERLINK("https://klasma.github.io/Logging_2303/tillsynsmail/A 10866-2025 tillsynsbegäran mail.docx", "A 10866-2025")</f>
        <v/>
      </c>
    </row>
    <row r="168" ht="15" customHeight="1">
      <c r="A168" t="inlineStr">
        <is>
          <t>A 12271-2024</t>
        </is>
      </c>
      <c r="B168" s="1" t="n">
        <v>45378</v>
      </c>
      <c r="C168" s="1" t="n">
        <v>45969</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10884-2025</t>
        </is>
      </c>
      <c r="B169" s="1" t="n">
        <v>45722.65670138889</v>
      </c>
      <c r="C169" s="1" t="n">
        <v>45969</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45969</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39495-2024</t>
        </is>
      </c>
      <c r="B171" s="1" t="n">
        <v>45551.65726851852</v>
      </c>
      <c r="C171" s="1" t="n">
        <v>45969</v>
      </c>
      <c r="D171" t="inlineStr">
        <is>
          <t>JÄMTLANDS LÄN</t>
        </is>
      </c>
      <c r="E171" t="inlineStr">
        <is>
          <t>RAGUNDA</t>
        </is>
      </c>
      <c r="F171" t="inlineStr">
        <is>
          <t>SCA</t>
        </is>
      </c>
      <c r="G171" t="n">
        <v>6.6</v>
      </c>
      <c r="H171" t="n">
        <v>0</v>
      </c>
      <c r="I171" t="n">
        <v>0</v>
      </c>
      <c r="J171" t="n">
        <v>2</v>
      </c>
      <c r="K171" t="n">
        <v>0</v>
      </c>
      <c r="L171" t="n">
        <v>0</v>
      </c>
      <c r="M171" t="n">
        <v>0</v>
      </c>
      <c r="N171" t="n">
        <v>0</v>
      </c>
      <c r="O171" t="n">
        <v>2</v>
      </c>
      <c r="P171" t="n">
        <v>0</v>
      </c>
      <c r="Q171" t="n">
        <v>2</v>
      </c>
      <c r="R171" s="2" t="inlineStr">
        <is>
          <t>Garnlav
Ullticka</t>
        </is>
      </c>
      <c r="S171">
        <f>HYPERLINK("https://klasma.github.io/Logging_2303/artfynd/A 39495-2024 artfynd.xlsx", "A 39495-2024")</f>
        <v/>
      </c>
      <c r="T171">
        <f>HYPERLINK("https://klasma.github.io/Logging_2303/kartor/A 39495-2024 karta.png", "A 39495-2024")</f>
        <v/>
      </c>
      <c r="V171">
        <f>HYPERLINK("https://klasma.github.io/Logging_2303/klagomål/A 39495-2024 FSC-klagomål.docx", "A 39495-2024")</f>
        <v/>
      </c>
      <c r="W171">
        <f>HYPERLINK("https://klasma.github.io/Logging_2303/klagomålsmail/A 39495-2024 FSC-klagomål mail.docx", "A 39495-2024")</f>
        <v/>
      </c>
      <c r="X171">
        <f>HYPERLINK("https://klasma.github.io/Logging_2303/tillsyn/A 39495-2024 tillsynsbegäran.docx", "A 39495-2024")</f>
        <v/>
      </c>
      <c r="Y171">
        <f>HYPERLINK("https://klasma.github.io/Logging_2303/tillsynsmail/A 39495-2024 tillsynsbegäran mail.docx", "A 39495-2024")</f>
        <v/>
      </c>
    </row>
    <row r="172" ht="15" customHeight="1">
      <c r="A172" t="inlineStr">
        <is>
          <t>A 47267-2022</t>
        </is>
      </c>
      <c r="B172" s="1" t="n">
        <v>44852</v>
      </c>
      <c r="C172" s="1" t="n">
        <v>45969</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36756-2023</t>
        </is>
      </c>
      <c r="B173" s="1" t="n">
        <v>45153</v>
      </c>
      <c r="C173" s="1" t="n">
        <v>45969</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19384-2025</t>
        </is>
      </c>
      <c r="B174" s="1" t="n">
        <v>45769.65692129629</v>
      </c>
      <c r="C174" s="1" t="n">
        <v>45969</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30053-2024</t>
        </is>
      </c>
      <c r="B175" s="1" t="n">
        <v>45488.94747685185</v>
      </c>
      <c r="C175" s="1" t="n">
        <v>45969</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11544-2024</t>
        </is>
      </c>
      <c r="B176" s="1" t="n">
        <v>45372.95680555556</v>
      </c>
      <c r="C176" s="1" t="n">
        <v>45969</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55647-2023</t>
        </is>
      </c>
      <c r="B177" s="1" t="n">
        <v>45238</v>
      </c>
      <c r="C177" s="1" t="n">
        <v>45969</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47850-2025</t>
        </is>
      </c>
      <c r="B178" s="1" t="n">
        <v>45932.38626157407</v>
      </c>
      <c r="C178" s="1" t="n">
        <v>45969</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11086-2025</t>
        </is>
      </c>
      <c r="B179" s="1" t="n">
        <v>45723.57329861111</v>
      </c>
      <c r="C179" s="1" t="n">
        <v>45969</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41490-2022</t>
        </is>
      </c>
      <c r="B180" s="1" t="n">
        <v>44826.94976851852</v>
      </c>
      <c r="C180" s="1" t="n">
        <v>45969</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45969</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50089-2022</t>
        </is>
      </c>
      <c r="B182" s="1" t="n">
        <v>44865</v>
      </c>
      <c r="C182" s="1" t="n">
        <v>45969</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57940-2024</t>
        </is>
      </c>
      <c r="B183" s="1" t="n">
        <v>45631</v>
      </c>
      <c r="C183" s="1" t="n">
        <v>45969</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26482-2023</t>
        </is>
      </c>
      <c r="B184" s="1" t="n">
        <v>45089</v>
      </c>
      <c r="C184" s="1" t="n">
        <v>45969</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21245-2025</t>
        </is>
      </c>
      <c r="B185" s="1" t="n">
        <v>45779.57350694444</v>
      </c>
      <c r="C185" s="1" t="n">
        <v>45969</v>
      </c>
      <c r="D185" t="inlineStr">
        <is>
          <t>JÄMTLANDS LÄN</t>
        </is>
      </c>
      <c r="E185" t="inlineStr">
        <is>
          <t>RAGUNDA</t>
        </is>
      </c>
      <c r="F185" t="inlineStr">
        <is>
          <t>SCA</t>
        </is>
      </c>
      <c r="G185" t="n">
        <v>3.7</v>
      </c>
      <c r="H185" t="n">
        <v>1</v>
      </c>
      <c r="I185" t="n">
        <v>0</v>
      </c>
      <c r="J185" t="n">
        <v>1</v>
      </c>
      <c r="K185" t="n">
        <v>0</v>
      </c>
      <c r="L185" t="n">
        <v>0</v>
      </c>
      <c r="M185" t="n">
        <v>0</v>
      </c>
      <c r="N185" t="n">
        <v>0</v>
      </c>
      <c r="O185" t="n">
        <v>1</v>
      </c>
      <c r="P185" t="n">
        <v>0</v>
      </c>
      <c r="Q185" t="n">
        <v>2</v>
      </c>
      <c r="R185" s="2" t="inlineStr">
        <is>
          <t>Garnlav
Tjäder</t>
        </is>
      </c>
      <c r="S185">
        <f>HYPERLINK("https://klasma.github.io/Logging_2303/artfynd/A 21245-2025 artfynd.xlsx", "A 21245-2025")</f>
        <v/>
      </c>
      <c r="T185">
        <f>HYPERLINK("https://klasma.github.io/Logging_2303/kartor/A 21245-2025 karta.png", "A 21245-2025")</f>
        <v/>
      </c>
      <c r="V185">
        <f>HYPERLINK("https://klasma.github.io/Logging_2303/klagomål/A 21245-2025 FSC-klagomål.docx", "A 21245-2025")</f>
        <v/>
      </c>
      <c r="W185">
        <f>HYPERLINK("https://klasma.github.io/Logging_2303/klagomålsmail/A 21245-2025 FSC-klagomål mail.docx", "A 21245-2025")</f>
        <v/>
      </c>
      <c r="X185">
        <f>HYPERLINK("https://klasma.github.io/Logging_2303/tillsyn/A 21245-2025 tillsynsbegäran.docx", "A 21245-2025")</f>
        <v/>
      </c>
      <c r="Y185">
        <f>HYPERLINK("https://klasma.github.io/Logging_2303/tillsynsmail/A 21245-2025 tillsynsbegäran mail.docx", "A 21245-2025")</f>
        <v/>
      </c>
      <c r="Z185">
        <f>HYPERLINK("https://klasma.github.io/Logging_2303/fåglar/A 21245-2025 prioriterade fågelarter.docx", "A 21245-2025")</f>
        <v/>
      </c>
    </row>
    <row r="186" ht="15" customHeight="1">
      <c r="A186" t="inlineStr">
        <is>
          <t>A 32736-2023</t>
        </is>
      </c>
      <c r="B186" s="1" t="n">
        <v>45121</v>
      </c>
      <c r="C186" s="1" t="n">
        <v>45969</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45021-2023</t>
        </is>
      </c>
      <c r="B187" s="1" t="n">
        <v>45190</v>
      </c>
      <c r="C187" s="1" t="n">
        <v>45969</v>
      </c>
      <c r="D187" t="inlineStr">
        <is>
          <t>JÄMTLANDS LÄN</t>
        </is>
      </c>
      <c r="E187" t="inlineStr">
        <is>
          <t>RAGUNDA</t>
        </is>
      </c>
      <c r="F187" t="inlineStr">
        <is>
          <t>SCA</t>
        </is>
      </c>
      <c r="G187" t="n">
        <v>1.6</v>
      </c>
      <c r="H187" t="n">
        <v>1</v>
      </c>
      <c r="I187" t="n">
        <v>0</v>
      </c>
      <c r="J187" t="n">
        <v>1</v>
      </c>
      <c r="K187" t="n">
        <v>0</v>
      </c>
      <c r="L187" t="n">
        <v>0</v>
      </c>
      <c r="M187" t="n">
        <v>0</v>
      </c>
      <c r="N187" t="n">
        <v>0</v>
      </c>
      <c r="O187" t="n">
        <v>1</v>
      </c>
      <c r="P187" t="n">
        <v>0</v>
      </c>
      <c r="Q187" t="n">
        <v>2</v>
      </c>
      <c r="R187" s="2" t="inlineStr">
        <is>
          <t>Lunglav
Fläcknycklar</t>
        </is>
      </c>
      <c r="S187">
        <f>HYPERLINK("https://klasma.github.io/Logging_2303/artfynd/A 45021-2023 artfynd.xlsx", "A 45021-2023")</f>
        <v/>
      </c>
      <c r="T187">
        <f>HYPERLINK("https://klasma.github.io/Logging_2303/kartor/A 45021-2023 karta.png", "A 45021-2023")</f>
        <v/>
      </c>
      <c r="V187">
        <f>HYPERLINK("https://klasma.github.io/Logging_2303/klagomål/A 45021-2023 FSC-klagomål.docx", "A 45021-2023")</f>
        <v/>
      </c>
      <c r="W187">
        <f>HYPERLINK("https://klasma.github.io/Logging_2303/klagomålsmail/A 45021-2023 FSC-klagomål mail.docx", "A 45021-2023")</f>
        <v/>
      </c>
      <c r="X187">
        <f>HYPERLINK("https://klasma.github.io/Logging_2303/tillsyn/A 45021-2023 tillsynsbegäran.docx", "A 45021-2023")</f>
        <v/>
      </c>
      <c r="Y187">
        <f>HYPERLINK("https://klasma.github.io/Logging_2303/tillsynsmail/A 45021-2023 tillsynsbegäran mail.docx", "A 45021-2023")</f>
        <v/>
      </c>
    </row>
    <row r="188" ht="15" customHeight="1">
      <c r="A188" t="inlineStr">
        <is>
          <t>A 44409-2023</t>
        </is>
      </c>
      <c r="B188" s="1" t="n">
        <v>45188</v>
      </c>
      <c r="C188" s="1" t="n">
        <v>45969</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25155-2025</t>
        </is>
      </c>
      <c r="B189" s="1" t="n">
        <v>45800.42782407408</v>
      </c>
      <c r="C189" s="1" t="n">
        <v>45969</v>
      </c>
      <c r="D189" t="inlineStr">
        <is>
          <t>JÄMTLANDS LÄN</t>
        </is>
      </c>
      <c r="E189" t="inlineStr">
        <is>
          <t>RAGUNDA</t>
        </is>
      </c>
      <c r="F189" t="inlineStr">
        <is>
          <t>SCA</t>
        </is>
      </c>
      <c r="G189" t="n">
        <v>1.7</v>
      </c>
      <c r="H189" t="n">
        <v>1</v>
      </c>
      <c r="I189" t="n">
        <v>0</v>
      </c>
      <c r="J189" t="n">
        <v>1</v>
      </c>
      <c r="K189" t="n">
        <v>0</v>
      </c>
      <c r="L189" t="n">
        <v>0</v>
      </c>
      <c r="M189" t="n">
        <v>0</v>
      </c>
      <c r="N189" t="n">
        <v>0</v>
      </c>
      <c r="O189" t="n">
        <v>1</v>
      </c>
      <c r="P189" t="n">
        <v>0</v>
      </c>
      <c r="Q189" t="n">
        <v>2</v>
      </c>
      <c r="R189" s="2" t="inlineStr">
        <is>
          <t>Leptoporus mollis
Fläcknycklar</t>
        </is>
      </c>
      <c r="S189">
        <f>HYPERLINK("https://klasma.github.io/Logging_2303/artfynd/A 25155-2025 artfynd.xlsx", "A 25155-2025")</f>
        <v/>
      </c>
      <c r="T189">
        <f>HYPERLINK("https://klasma.github.io/Logging_2303/kartor/A 25155-2025 karta.png", "A 25155-2025")</f>
        <v/>
      </c>
      <c r="V189">
        <f>HYPERLINK("https://klasma.github.io/Logging_2303/klagomål/A 25155-2025 FSC-klagomål.docx", "A 25155-2025")</f>
        <v/>
      </c>
      <c r="W189">
        <f>HYPERLINK("https://klasma.github.io/Logging_2303/klagomålsmail/A 25155-2025 FSC-klagomål mail.docx", "A 25155-2025")</f>
        <v/>
      </c>
      <c r="X189">
        <f>HYPERLINK("https://klasma.github.io/Logging_2303/tillsyn/A 25155-2025 tillsynsbegäran.docx", "A 25155-2025")</f>
        <v/>
      </c>
      <c r="Y189">
        <f>HYPERLINK("https://klasma.github.io/Logging_2303/tillsynsmail/A 25155-2025 tillsynsbegäran mail.docx", "A 25155-2025")</f>
        <v/>
      </c>
    </row>
    <row r="190" ht="15" customHeight="1">
      <c r="A190" t="inlineStr">
        <is>
          <t>A 17733-2022</t>
        </is>
      </c>
      <c r="B190" s="1" t="n">
        <v>44680</v>
      </c>
      <c r="C190" s="1" t="n">
        <v>45969</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40826-2023</t>
        </is>
      </c>
      <c r="B191" s="1" t="n">
        <v>45171</v>
      </c>
      <c r="C191" s="1" t="n">
        <v>45969</v>
      </c>
      <c r="D191" t="inlineStr">
        <is>
          <t>JÄMTLANDS LÄN</t>
        </is>
      </c>
      <c r="E191" t="inlineStr">
        <is>
          <t>RAGUNDA</t>
        </is>
      </c>
      <c r="F191" t="inlineStr">
        <is>
          <t>SCA</t>
        </is>
      </c>
      <c r="G191" t="n">
        <v>4.5</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40826-2023 artfynd.xlsx", "A 40826-2023")</f>
        <v/>
      </c>
      <c r="T191">
        <f>HYPERLINK("https://klasma.github.io/Logging_2303/kartor/A 40826-2023 karta.png", "A 40826-2023")</f>
        <v/>
      </c>
      <c r="V191">
        <f>HYPERLINK("https://klasma.github.io/Logging_2303/klagomål/A 40826-2023 FSC-klagomål.docx", "A 40826-2023")</f>
        <v/>
      </c>
      <c r="W191">
        <f>HYPERLINK("https://klasma.github.io/Logging_2303/klagomålsmail/A 40826-2023 FSC-klagomål mail.docx", "A 40826-2023")</f>
        <v/>
      </c>
      <c r="X191">
        <f>HYPERLINK("https://klasma.github.io/Logging_2303/tillsyn/A 40826-2023 tillsynsbegäran.docx", "A 40826-2023")</f>
        <v/>
      </c>
      <c r="Y191">
        <f>HYPERLINK("https://klasma.github.io/Logging_2303/tillsynsmail/A 40826-2023 tillsynsbegäran mail.docx", "A 40826-2023")</f>
        <v/>
      </c>
    </row>
    <row r="192" ht="15" customHeight="1">
      <c r="A192" t="inlineStr">
        <is>
          <t>A 48427-2023</t>
        </is>
      </c>
      <c r="B192" s="1" t="n">
        <v>45205</v>
      </c>
      <c r="C192" s="1" t="n">
        <v>45969</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31960-2025</t>
        </is>
      </c>
      <c r="B193" s="1" t="n">
        <v>45835.344375</v>
      </c>
      <c r="C193" s="1" t="n">
        <v>45969</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45035-2023</t>
        </is>
      </c>
      <c r="B194" s="1" t="n">
        <v>45191</v>
      </c>
      <c r="C194" s="1" t="n">
        <v>45969</v>
      </c>
      <c r="D194" t="inlineStr">
        <is>
          <t>JÄMTLANDS LÄN</t>
        </is>
      </c>
      <c r="E194" t="inlineStr">
        <is>
          <t>RAGUNDA</t>
        </is>
      </c>
      <c r="G194" t="n">
        <v>2.9</v>
      </c>
      <c r="H194" t="n">
        <v>0</v>
      </c>
      <c r="I194" t="n">
        <v>1</v>
      </c>
      <c r="J194" t="n">
        <v>1</v>
      </c>
      <c r="K194" t="n">
        <v>0</v>
      </c>
      <c r="L194" t="n">
        <v>0</v>
      </c>
      <c r="M194" t="n">
        <v>0</v>
      </c>
      <c r="N194" t="n">
        <v>0</v>
      </c>
      <c r="O194" t="n">
        <v>1</v>
      </c>
      <c r="P194" t="n">
        <v>0</v>
      </c>
      <c r="Q194" t="n">
        <v>2</v>
      </c>
      <c r="R194" s="2" t="inlineStr">
        <is>
          <t>Lunglav
Korallblylav</t>
        </is>
      </c>
      <c r="S194">
        <f>HYPERLINK("https://klasma.github.io/Logging_2303/artfynd/A 45035-2023 artfynd.xlsx", "A 45035-2023")</f>
        <v/>
      </c>
      <c r="T194">
        <f>HYPERLINK("https://klasma.github.io/Logging_2303/kartor/A 45035-2023 karta.png", "A 45035-2023")</f>
        <v/>
      </c>
      <c r="V194">
        <f>HYPERLINK("https://klasma.github.io/Logging_2303/klagomål/A 45035-2023 FSC-klagomål.docx", "A 45035-2023")</f>
        <v/>
      </c>
      <c r="W194">
        <f>HYPERLINK("https://klasma.github.io/Logging_2303/klagomålsmail/A 45035-2023 FSC-klagomål mail.docx", "A 45035-2023")</f>
        <v/>
      </c>
      <c r="X194">
        <f>HYPERLINK("https://klasma.github.io/Logging_2303/tillsyn/A 45035-2023 tillsynsbegäran.docx", "A 45035-2023")</f>
        <v/>
      </c>
      <c r="Y194">
        <f>HYPERLINK("https://klasma.github.io/Logging_2303/tillsynsmail/A 45035-2023 tillsynsbegäran mail.docx", "A 45035-2023")</f>
        <v/>
      </c>
    </row>
    <row r="195" ht="15" customHeight="1">
      <c r="A195" t="inlineStr">
        <is>
          <t>A 56285-2023</t>
        </is>
      </c>
      <c r="B195" s="1" t="n">
        <v>45241</v>
      </c>
      <c r="C195" s="1" t="n">
        <v>45969</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19728-2025</t>
        </is>
      </c>
      <c r="B196" s="1" t="n">
        <v>45771.36548611111</v>
      </c>
      <c r="C196" s="1" t="n">
        <v>45969</v>
      </c>
      <c r="D196" t="inlineStr">
        <is>
          <t>JÄMTLANDS LÄN</t>
        </is>
      </c>
      <c r="E196" t="inlineStr">
        <is>
          <t>RAGUNDA</t>
        </is>
      </c>
      <c r="F196" t="inlineStr">
        <is>
          <t>SCA</t>
        </is>
      </c>
      <c r="G196" t="n">
        <v>6.2</v>
      </c>
      <c r="H196" t="n">
        <v>1</v>
      </c>
      <c r="I196" t="n">
        <v>0</v>
      </c>
      <c r="J196" t="n">
        <v>2</v>
      </c>
      <c r="K196" t="n">
        <v>0</v>
      </c>
      <c r="L196" t="n">
        <v>0</v>
      </c>
      <c r="M196" t="n">
        <v>0</v>
      </c>
      <c r="N196" t="n">
        <v>0</v>
      </c>
      <c r="O196" t="n">
        <v>2</v>
      </c>
      <c r="P196" t="n">
        <v>0</v>
      </c>
      <c r="Q196" t="n">
        <v>2</v>
      </c>
      <c r="R196" s="2" t="inlineStr">
        <is>
          <t>Stjärntagging
Tretåig hackspett</t>
        </is>
      </c>
      <c r="S196">
        <f>HYPERLINK("https://klasma.github.io/Logging_2303/artfynd/A 19728-2025 artfynd.xlsx", "A 19728-2025")</f>
        <v/>
      </c>
      <c r="T196">
        <f>HYPERLINK("https://klasma.github.io/Logging_2303/kartor/A 19728-2025 karta.png", "A 19728-2025")</f>
        <v/>
      </c>
      <c r="V196">
        <f>HYPERLINK("https://klasma.github.io/Logging_2303/klagomål/A 19728-2025 FSC-klagomål.docx", "A 19728-2025")</f>
        <v/>
      </c>
      <c r="W196">
        <f>HYPERLINK("https://klasma.github.io/Logging_2303/klagomålsmail/A 19728-2025 FSC-klagomål mail.docx", "A 19728-2025")</f>
        <v/>
      </c>
      <c r="X196">
        <f>HYPERLINK("https://klasma.github.io/Logging_2303/tillsyn/A 19728-2025 tillsynsbegäran.docx", "A 19728-2025")</f>
        <v/>
      </c>
      <c r="Y196">
        <f>HYPERLINK("https://klasma.github.io/Logging_2303/tillsynsmail/A 19728-2025 tillsynsbegäran mail.docx", "A 19728-2025")</f>
        <v/>
      </c>
      <c r="Z196">
        <f>HYPERLINK("https://klasma.github.io/Logging_2303/fåglar/A 19728-2025 prioriterade fågelarter.docx", "A 19728-2025")</f>
        <v/>
      </c>
    </row>
    <row r="197" ht="15" customHeight="1">
      <c r="A197" t="inlineStr">
        <is>
          <t>A 35131-2025</t>
        </is>
      </c>
      <c r="B197" s="1" t="n">
        <v>45852.63597222222</v>
      </c>
      <c r="C197" s="1" t="n">
        <v>45969</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34715-2024</t>
        </is>
      </c>
      <c r="B198" s="1" t="n">
        <v>45526.56393518519</v>
      </c>
      <c r="C198" s="1" t="n">
        <v>45969</v>
      </c>
      <c r="D198" t="inlineStr">
        <is>
          <t>JÄMTLANDS LÄN</t>
        </is>
      </c>
      <c r="E198" t="inlineStr">
        <is>
          <t>RAGUNDA</t>
        </is>
      </c>
      <c r="F198" t="inlineStr">
        <is>
          <t>SCA</t>
        </is>
      </c>
      <c r="G198" t="n">
        <v>3</v>
      </c>
      <c r="H198" t="n">
        <v>0</v>
      </c>
      <c r="I198" t="n">
        <v>1</v>
      </c>
      <c r="J198" t="n">
        <v>1</v>
      </c>
      <c r="K198" t="n">
        <v>0</v>
      </c>
      <c r="L198" t="n">
        <v>0</v>
      </c>
      <c r="M198" t="n">
        <v>0</v>
      </c>
      <c r="N198" t="n">
        <v>0</v>
      </c>
      <c r="O198" t="n">
        <v>1</v>
      </c>
      <c r="P198" t="n">
        <v>0</v>
      </c>
      <c r="Q198" t="n">
        <v>2</v>
      </c>
      <c r="R198" s="2" t="inlineStr">
        <is>
          <t>Garnlav
Vedticka</t>
        </is>
      </c>
      <c r="S198">
        <f>HYPERLINK("https://klasma.github.io/Logging_2303/artfynd/A 34715-2024 artfynd.xlsx", "A 34715-2024")</f>
        <v/>
      </c>
      <c r="T198">
        <f>HYPERLINK("https://klasma.github.io/Logging_2303/kartor/A 34715-2024 karta.png", "A 34715-2024")</f>
        <v/>
      </c>
      <c r="V198">
        <f>HYPERLINK("https://klasma.github.io/Logging_2303/klagomål/A 34715-2024 FSC-klagomål.docx", "A 34715-2024")</f>
        <v/>
      </c>
      <c r="W198">
        <f>HYPERLINK("https://klasma.github.io/Logging_2303/klagomålsmail/A 34715-2024 FSC-klagomål mail.docx", "A 34715-2024")</f>
        <v/>
      </c>
      <c r="X198">
        <f>HYPERLINK("https://klasma.github.io/Logging_2303/tillsyn/A 34715-2024 tillsynsbegäran.docx", "A 34715-2024")</f>
        <v/>
      </c>
      <c r="Y198">
        <f>HYPERLINK("https://klasma.github.io/Logging_2303/tillsynsmail/A 34715-2024 tillsynsbegäran mail.docx", "A 34715-2024")</f>
        <v/>
      </c>
    </row>
    <row r="199" ht="15" customHeight="1">
      <c r="A199" t="inlineStr">
        <is>
          <t>A 26324-2024</t>
        </is>
      </c>
      <c r="B199" s="1" t="n">
        <v>45468.97495370371</v>
      </c>
      <c r="C199" s="1" t="n">
        <v>45969</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Knärot
Vedtrappmossa</t>
        </is>
      </c>
      <c r="S199">
        <f>HYPERLINK("https://klasma.github.io/Logging_2303/artfynd/A 26324-2024 artfynd.xlsx", "A 26324-2024")</f>
        <v/>
      </c>
      <c r="T199">
        <f>HYPERLINK("https://klasma.github.io/Logging_2303/kartor/A 26324-2024 karta.png", "A 26324-2024")</f>
        <v/>
      </c>
      <c r="U199">
        <f>HYPERLINK("https://klasma.github.io/Logging_2303/knärot/A 26324-2024 karta knärot.png", "A 26324-2024")</f>
        <v/>
      </c>
      <c r="V199">
        <f>HYPERLINK("https://klasma.github.io/Logging_2303/klagomål/A 26324-2024 FSC-klagomål.docx", "A 26324-2024")</f>
        <v/>
      </c>
      <c r="W199">
        <f>HYPERLINK("https://klasma.github.io/Logging_2303/klagomålsmail/A 26324-2024 FSC-klagomål mail.docx", "A 26324-2024")</f>
        <v/>
      </c>
      <c r="X199">
        <f>HYPERLINK("https://klasma.github.io/Logging_2303/tillsyn/A 26324-2024 tillsynsbegäran.docx", "A 26324-2024")</f>
        <v/>
      </c>
      <c r="Y199">
        <f>HYPERLINK("https://klasma.github.io/Logging_2303/tillsynsmail/A 26324-2024 tillsynsbegäran mail.docx", "A 26324-2024")</f>
        <v/>
      </c>
    </row>
    <row r="200" ht="15" customHeight="1">
      <c r="A200" t="inlineStr">
        <is>
          <t>A 11843-2023</t>
        </is>
      </c>
      <c r="B200" s="1" t="n">
        <v>44993</v>
      </c>
      <c r="C200" s="1" t="n">
        <v>45969</v>
      </c>
      <c r="D200" t="inlineStr">
        <is>
          <t>JÄMTLANDS LÄN</t>
        </is>
      </c>
      <c r="E200" t="inlineStr">
        <is>
          <t>RAGUNDA</t>
        </is>
      </c>
      <c r="G200" t="n">
        <v>6.4</v>
      </c>
      <c r="H200" t="n">
        <v>2</v>
      </c>
      <c r="I200" t="n">
        <v>0</v>
      </c>
      <c r="J200" t="n">
        <v>1</v>
      </c>
      <c r="K200" t="n">
        <v>0</v>
      </c>
      <c r="L200" t="n">
        <v>0</v>
      </c>
      <c r="M200" t="n">
        <v>0</v>
      </c>
      <c r="N200" t="n">
        <v>0</v>
      </c>
      <c r="O200" t="n">
        <v>1</v>
      </c>
      <c r="P200" t="n">
        <v>0</v>
      </c>
      <c r="Q200" t="n">
        <v>2</v>
      </c>
      <c r="R200" s="2" t="inlineStr">
        <is>
          <t>Spillkråka
Revlummer</t>
        </is>
      </c>
      <c r="S200">
        <f>HYPERLINK("https://klasma.github.io/Logging_2303/artfynd/A 11843-2023 artfynd.xlsx", "A 11843-2023")</f>
        <v/>
      </c>
      <c r="T200">
        <f>HYPERLINK("https://klasma.github.io/Logging_2303/kartor/A 11843-2023 karta.png", "A 11843-2023")</f>
        <v/>
      </c>
      <c r="V200">
        <f>HYPERLINK("https://klasma.github.io/Logging_2303/klagomål/A 11843-2023 FSC-klagomål.docx", "A 11843-2023")</f>
        <v/>
      </c>
      <c r="W200">
        <f>HYPERLINK("https://klasma.github.io/Logging_2303/klagomålsmail/A 11843-2023 FSC-klagomål mail.docx", "A 11843-2023")</f>
        <v/>
      </c>
      <c r="X200">
        <f>HYPERLINK("https://klasma.github.io/Logging_2303/tillsyn/A 11843-2023 tillsynsbegäran.docx", "A 11843-2023")</f>
        <v/>
      </c>
      <c r="Y200">
        <f>HYPERLINK("https://klasma.github.io/Logging_2303/tillsynsmail/A 11843-2023 tillsynsbegäran mail.docx", "A 11843-2023")</f>
        <v/>
      </c>
      <c r="Z200">
        <f>HYPERLINK("https://klasma.github.io/Logging_2303/fåglar/A 11843-2023 prioriterade fågelarter.docx", "A 11843-2023")</f>
        <v/>
      </c>
    </row>
    <row r="201" ht="15" customHeight="1">
      <c r="A201" t="inlineStr">
        <is>
          <t>A 51916-2021</t>
        </is>
      </c>
      <c r="B201" s="1" t="n">
        <v>44462</v>
      </c>
      <c r="C201" s="1" t="n">
        <v>45969</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45969</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45969</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45969</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45969</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45969</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42899-2022</t>
        </is>
      </c>
      <c r="B207" s="1" t="n">
        <v>44832</v>
      </c>
      <c r="C207" s="1" t="n">
        <v>45969</v>
      </c>
      <c r="D207" t="inlineStr">
        <is>
          <t>JÄMTLANDS LÄN</t>
        </is>
      </c>
      <c r="E207" t="inlineStr">
        <is>
          <t>RAGUNDA</t>
        </is>
      </c>
      <c r="F207" t="inlineStr">
        <is>
          <t>SCA</t>
        </is>
      </c>
      <c r="G207" t="n">
        <v>2.3</v>
      </c>
      <c r="H207" t="n">
        <v>0</v>
      </c>
      <c r="I207" t="n">
        <v>0</v>
      </c>
      <c r="J207" t="n">
        <v>1</v>
      </c>
      <c r="K207" t="n">
        <v>0</v>
      </c>
      <c r="L207" t="n">
        <v>0</v>
      </c>
      <c r="M207" t="n">
        <v>0</v>
      </c>
      <c r="N207" t="n">
        <v>0</v>
      </c>
      <c r="O207" t="n">
        <v>1</v>
      </c>
      <c r="P207" t="n">
        <v>0</v>
      </c>
      <c r="Q207" t="n">
        <v>1</v>
      </c>
      <c r="R207" s="2" t="inlineStr">
        <is>
          <t>Ullticka</t>
        </is>
      </c>
      <c r="S207">
        <f>HYPERLINK("https://klasma.github.io/Logging_2303/artfynd/A 42899-2022 artfynd.xlsx", "A 42899-2022")</f>
        <v/>
      </c>
      <c r="T207">
        <f>HYPERLINK("https://klasma.github.io/Logging_2303/kartor/A 42899-2022 karta.png", "A 42899-2022")</f>
        <v/>
      </c>
      <c r="V207">
        <f>HYPERLINK("https://klasma.github.io/Logging_2303/klagomål/A 42899-2022 FSC-klagomål.docx", "A 42899-2022")</f>
        <v/>
      </c>
      <c r="W207">
        <f>HYPERLINK("https://klasma.github.io/Logging_2303/klagomålsmail/A 42899-2022 FSC-klagomål mail.docx", "A 42899-2022")</f>
        <v/>
      </c>
      <c r="X207">
        <f>HYPERLINK("https://klasma.github.io/Logging_2303/tillsyn/A 42899-2022 tillsynsbegäran.docx", "A 42899-2022")</f>
        <v/>
      </c>
      <c r="Y207">
        <f>HYPERLINK("https://klasma.github.io/Logging_2303/tillsynsmail/A 42899-2022 tillsynsbegäran mail.docx", "A 42899-2022")</f>
        <v/>
      </c>
    </row>
    <row r="208" ht="15" customHeight="1">
      <c r="A208" t="inlineStr">
        <is>
          <t>A 33432-2023</t>
        </is>
      </c>
      <c r="B208" s="1" t="n">
        <v>45128</v>
      </c>
      <c r="C208" s="1" t="n">
        <v>45969</v>
      </c>
      <c r="D208" t="inlineStr">
        <is>
          <t>JÄMTLANDS LÄN</t>
        </is>
      </c>
      <c r="E208" t="inlineStr">
        <is>
          <t>RAGUNDA</t>
        </is>
      </c>
      <c r="F208" t="inlineStr">
        <is>
          <t>SCA</t>
        </is>
      </c>
      <c r="G208" t="n">
        <v>10</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33432-2023 artfynd.xlsx", "A 33432-2023")</f>
        <v/>
      </c>
      <c r="T208">
        <f>HYPERLINK("https://klasma.github.io/Logging_2303/kartor/A 33432-2023 karta.png", "A 33432-2023")</f>
        <v/>
      </c>
      <c r="V208">
        <f>HYPERLINK("https://klasma.github.io/Logging_2303/klagomål/A 33432-2023 FSC-klagomål.docx", "A 33432-2023")</f>
        <v/>
      </c>
      <c r="W208">
        <f>HYPERLINK("https://klasma.github.io/Logging_2303/klagomålsmail/A 33432-2023 FSC-klagomål mail.docx", "A 33432-2023")</f>
        <v/>
      </c>
      <c r="X208">
        <f>HYPERLINK("https://klasma.github.io/Logging_2303/tillsyn/A 33432-2023 tillsynsbegäran.docx", "A 33432-2023")</f>
        <v/>
      </c>
      <c r="Y208">
        <f>HYPERLINK("https://klasma.github.io/Logging_2303/tillsynsmail/A 33432-2023 tillsynsbegäran mail.docx", "A 33432-2023")</f>
        <v/>
      </c>
      <c r="Z208">
        <f>HYPERLINK("https://klasma.github.io/Logging_2303/fåglar/A 33432-2023 prioriterade fågelarter.docx", "A 33432-2023")</f>
        <v/>
      </c>
    </row>
    <row r="209" ht="15" customHeight="1">
      <c r="A209" t="inlineStr">
        <is>
          <t>A 48477-2023</t>
        </is>
      </c>
      <c r="B209" s="1" t="n">
        <v>45206</v>
      </c>
      <c r="C209" s="1" t="n">
        <v>45969</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16316-2025</t>
        </is>
      </c>
      <c r="B210" s="1" t="n">
        <v>45751.34795138889</v>
      </c>
      <c r="C210" s="1" t="n">
        <v>45969</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1057-2024</t>
        </is>
      </c>
      <c r="B211" s="1" t="n">
        <v>45301</v>
      </c>
      <c r="C211" s="1" t="n">
        <v>45969</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978-2024</t>
        </is>
      </c>
      <c r="B212" s="1" t="n">
        <v>45301</v>
      </c>
      <c r="C212" s="1" t="n">
        <v>45969</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36854-2023</t>
        </is>
      </c>
      <c r="B213" s="1" t="n">
        <v>45153</v>
      </c>
      <c r="C213" s="1" t="n">
        <v>45969</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45969</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45969</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59104-2023</t>
        </is>
      </c>
      <c r="B216" s="1" t="n">
        <v>45252</v>
      </c>
      <c r="C216" s="1" t="n">
        <v>45969</v>
      </c>
      <c r="D216" t="inlineStr">
        <is>
          <t>JÄMTLANDS LÄN</t>
        </is>
      </c>
      <c r="E216" t="inlineStr">
        <is>
          <t>RAGUNDA</t>
        </is>
      </c>
      <c r="F216" t="inlineStr">
        <is>
          <t>SCA</t>
        </is>
      </c>
      <c r="G216" t="n">
        <v>4.2</v>
      </c>
      <c r="H216" t="n">
        <v>0</v>
      </c>
      <c r="I216" t="n">
        <v>0</v>
      </c>
      <c r="J216" t="n">
        <v>1</v>
      </c>
      <c r="K216" t="n">
        <v>0</v>
      </c>
      <c r="L216" t="n">
        <v>0</v>
      </c>
      <c r="M216" t="n">
        <v>0</v>
      </c>
      <c r="N216" t="n">
        <v>0</v>
      </c>
      <c r="O216" t="n">
        <v>1</v>
      </c>
      <c r="P216" t="n">
        <v>0</v>
      </c>
      <c r="Q216" t="n">
        <v>1</v>
      </c>
      <c r="R216" s="2" t="inlineStr">
        <is>
          <t>Ullticka</t>
        </is>
      </c>
      <c r="S216">
        <f>HYPERLINK("https://klasma.github.io/Logging_2303/artfynd/A 59104-2023 artfynd.xlsx", "A 59104-2023")</f>
        <v/>
      </c>
      <c r="T216">
        <f>HYPERLINK("https://klasma.github.io/Logging_2303/kartor/A 59104-2023 karta.png", "A 59104-2023")</f>
        <v/>
      </c>
      <c r="V216">
        <f>HYPERLINK("https://klasma.github.io/Logging_2303/klagomål/A 59104-2023 FSC-klagomål.docx", "A 59104-2023")</f>
        <v/>
      </c>
      <c r="W216">
        <f>HYPERLINK("https://klasma.github.io/Logging_2303/klagomålsmail/A 59104-2023 FSC-klagomål mail.docx", "A 59104-2023")</f>
        <v/>
      </c>
      <c r="X216">
        <f>HYPERLINK("https://klasma.github.io/Logging_2303/tillsyn/A 59104-2023 tillsynsbegäran.docx", "A 59104-2023")</f>
        <v/>
      </c>
      <c r="Y216">
        <f>HYPERLINK("https://klasma.github.io/Logging_2303/tillsynsmail/A 59104-2023 tillsynsbegäran mail.docx", "A 59104-2023")</f>
        <v/>
      </c>
    </row>
    <row r="217" ht="15" customHeight="1">
      <c r="A217" t="inlineStr">
        <is>
          <t>A 32069-2024</t>
        </is>
      </c>
      <c r="B217" s="1" t="n">
        <v>45510</v>
      </c>
      <c r="C217" s="1" t="n">
        <v>45969</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18985-2023</t>
        </is>
      </c>
      <c r="B218" s="1" t="n">
        <v>45044</v>
      </c>
      <c r="C218" s="1" t="n">
        <v>45969</v>
      </c>
      <c r="D218" t="inlineStr">
        <is>
          <t>JÄMTLANDS LÄN</t>
        </is>
      </c>
      <c r="E218" t="inlineStr">
        <is>
          <t>RAGUNDA</t>
        </is>
      </c>
      <c r="F218" t="inlineStr">
        <is>
          <t>SCA</t>
        </is>
      </c>
      <c r="G218" t="n">
        <v>2.6</v>
      </c>
      <c r="H218" t="n">
        <v>0</v>
      </c>
      <c r="I218" t="n">
        <v>0</v>
      </c>
      <c r="J218" t="n">
        <v>1</v>
      </c>
      <c r="K218" t="n">
        <v>0</v>
      </c>
      <c r="L218" t="n">
        <v>0</v>
      </c>
      <c r="M218" t="n">
        <v>0</v>
      </c>
      <c r="N218" t="n">
        <v>0</v>
      </c>
      <c r="O218" t="n">
        <v>1</v>
      </c>
      <c r="P218" t="n">
        <v>0</v>
      </c>
      <c r="Q218" t="n">
        <v>1</v>
      </c>
      <c r="R218" s="2" t="inlineStr">
        <is>
          <t>Doftskinn</t>
        </is>
      </c>
      <c r="S218">
        <f>HYPERLINK("https://klasma.github.io/Logging_2303/artfynd/A 18985-2023 artfynd.xlsx", "A 18985-2023")</f>
        <v/>
      </c>
      <c r="T218">
        <f>HYPERLINK("https://klasma.github.io/Logging_2303/kartor/A 18985-2023 karta.png", "A 18985-2023")</f>
        <v/>
      </c>
      <c r="V218">
        <f>HYPERLINK("https://klasma.github.io/Logging_2303/klagomål/A 18985-2023 FSC-klagomål.docx", "A 18985-2023")</f>
        <v/>
      </c>
      <c r="W218">
        <f>HYPERLINK("https://klasma.github.io/Logging_2303/klagomålsmail/A 18985-2023 FSC-klagomål mail.docx", "A 18985-2023")</f>
        <v/>
      </c>
      <c r="X218">
        <f>HYPERLINK("https://klasma.github.io/Logging_2303/tillsyn/A 18985-2023 tillsynsbegäran.docx", "A 18985-2023")</f>
        <v/>
      </c>
      <c r="Y218">
        <f>HYPERLINK("https://klasma.github.io/Logging_2303/tillsynsmail/A 18985-2023 tillsynsbegäran mail.docx", "A 18985-2023")</f>
        <v/>
      </c>
    </row>
    <row r="219" ht="15" customHeight="1">
      <c r="A219" t="inlineStr">
        <is>
          <t>A 23930-2024</t>
        </is>
      </c>
      <c r="B219" s="1" t="n">
        <v>45455.96184027778</v>
      </c>
      <c r="C219" s="1" t="n">
        <v>45969</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6703-2024</t>
        </is>
      </c>
      <c r="B220" s="1" t="n">
        <v>45341</v>
      </c>
      <c r="C220" s="1" t="n">
        <v>45969</v>
      </c>
      <c r="D220" t="inlineStr">
        <is>
          <t>JÄMTLANDS LÄN</t>
        </is>
      </c>
      <c r="E220" t="inlineStr">
        <is>
          <t>RAGUNDA</t>
        </is>
      </c>
      <c r="F220" t="inlineStr">
        <is>
          <t>SCA</t>
        </is>
      </c>
      <c r="G220" t="n">
        <v>2.4</v>
      </c>
      <c r="H220" t="n">
        <v>0</v>
      </c>
      <c r="I220" t="n">
        <v>0</v>
      </c>
      <c r="J220" t="n">
        <v>1</v>
      </c>
      <c r="K220" t="n">
        <v>0</v>
      </c>
      <c r="L220" t="n">
        <v>0</v>
      </c>
      <c r="M220" t="n">
        <v>0</v>
      </c>
      <c r="N220" t="n">
        <v>0</v>
      </c>
      <c r="O220" t="n">
        <v>1</v>
      </c>
      <c r="P220" t="n">
        <v>0</v>
      </c>
      <c r="Q220" t="n">
        <v>1</v>
      </c>
      <c r="R220" s="2" t="inlineStr">
        <is>
          <t>Vitgrynig nållav</t>
        </is>
      </c>
      <c r="S220">
        <f>HYPERLINK("https://klasma.github.io/Logging_2303/artfynd/A 6703-2024 artfynd.xlsx", "A 6703-2024")</f>
        <v/>
      </c>
      <c r="T220">
        <f>HYPERLINK("https://klasma.github.io/Logging_2303/kartor/A 6703-2024 karta.png", "A 6703-2024")</f>
        <v/>
      </c>
      <c r="V220">
        <f>HYPERLINK("https://klasma.github.io/Logging_2303/klagomål/A 6703-2024 FSC-klagomål.docx", "A 6703-2024")</f>
        <v/>
      </c>
      <c r="W220">
        <f>HYPERLINK("https://klasma.github.io/Logging_2303/klagomålsmail/A 6703-2024 FSC-klagomål mail.docx", "A 6703-2024")</f>
        <v/>
      </c>
      <c r="X220">
        <f>HYPERLINK("https://klasma.github.io/Logging_2303/tillsyn/A 6703-2024 tillsynsbegäran.docx", "A 6703-2024")</f>
        <v/>
      </c>
      <c r="Y220">
        <f>HYPERLINK("https://klasma.github.io/Logging_2303/tillsynsmail/A 6703-2024 tillsynsbegäran mail.docx", "A 6703-2024")</f>
        <v/>
      </c>
    </row>
    <row r="221" ht="15" customHeight="1">
      <c r="A221" t="inlineStr">
        <is>
          <t>A 24443-2024</t>
        </is>
      </c>
      <c r="B221" s="1" t="n">
        <v>45457.9640625</v>
      </c>
      <c r="C221" s="1" t="n">
        <v>45969</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48429-2023</t>
        </is>
      </c>
      <c r="B222" s="1" t="n">
        <v>45205</v>
      </c>
      <c r="C222" s="1" t="n">
        <v>45969</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11040-2023</t>
        </is>
      </c>
      <c r="B223" s="1" t="n">
        <v>44991</v>
      </c>
      <c r="C223" s="1" t="n">
        <v>45969</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50164-2023</t>
        </is>
      </c>
      <c r="B224" s="1" t="n">
        <v>45208</v>
      </c>
      <c r="C224" s="1" t="n">
        <v>45969</v>
      </c>
      <c r="D224" t="inlineStr">
        <is>
          <t>JÄMTLANDS LÄN</t>
        </is>
      </c>
      <c r="E224" t="inlineStr">
        <is>
          <t>RAGUNDA</t>
        </is>
      </c>
      <c r="G224" t="n">
        <v>2.9</v>
      </c>
      <c r="H224" t="n">
        <v>0</v>
      </c>
      <c r="I224" t="n">
        <v>0</v>
      </c>
      <c r="J224" t="n">
        <v>0</v>
      </c>
      <c r="K224" t="n">
        <v>1</v>
      </c>
      <c r="L224" t="n">
        <v>0</v>
      </c>
      <c r="M224" t="n">
        <v>0</v>
      </c>
      <c r="N224" t="n">
        <v>0</v>
      </c>
      <c r="O224" t="n">
        <v>1</v>
      </c>
      <c r="P224" t="n">
        <v>1</v>
      </c>
      <c r="Q224" t="n">
        <v>1</v>
      </c>
      <c r="R224" s="2" t="inlineStr">
        <is>
          <t>Mindre barkplattbagge</t>
        </is>
      </c>
      <c r="S224">
        <f>HYPERLINK("https://klasma.github.io/Logging_2303/artfynd/A 50164-2023 artfynd.xlsx", "A 50164-2023")</f>
        <v/>
      </c>
      <c r="T224">
        <f>HYPERLINK("https://klasma.github.io/Logging_2303/kartor/A 50164-2023 karta.png", "A 50164-2023")</f>
        <v/>
      </c>
      <c r="V224">
        <f>HYPERLINK("https://klasma.github.io/Logging_2303/klagomål/A 50164-2023 FSC-klagomål.docx", "A 50164-2023")</f>
        <v/>
      </c>
      <c r="W224">
        <f>HYPERLINK("https://klasma.github.io/Logging_2303/klagomålsmail/A 50164-2023 FSC-klagomål mail.docx", "A 50164-2023")</f>
        <v/>
      </c>
      <c r="X224">
        <f>HYPERLINK("https://klasma.github.io/Logging_2303/tillsyn/A 50164-2023 tillsynsbegäran.docx", "A 50164-2023")</f>
        <v/>
      </c>
      <c r="Y224">
        <f>HYPERLINK("https://klasma.github.io/Logging_2303/tillsynsmail/A 50164-2023 tillsynsbegäran mail.docx", "A 50164-2023")</f>
        <v/>
      </c>
    </row>
    <row r="225" ht="15" customHeight="1">
      <c r="A225" t="inlineStr">
        <is>
          <t>A 2929-2024</t>
        </is>
      </c>
      <c r="B225" s="1" t="n">
        <v>45315</v>
      </c>
      <c r="C225" s="1" t="n">
        <v>45969</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45969</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49091-2022</t>
        </is>
      </c>
      <c r="B227" s="1" t="n">
        <v>44860</v>
      </c>
      <c r="C227" s="1" t="n">
        <v>45969</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19751-2025</t>
        </is>
      </c>
      <c r="B228" s="1" t="n">
        <v>45771.3859837963</v>
      </c>
      <c r="C228" s="1" t="n">
        <v>45969</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45969</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58846-2024</t>
        </is>
      </c>
      <c r="B230" s="1" t="n">
        <v>45636.3863425926</v>
      </c>
      <c r="C230" s="1" t="n">
        <v>45969</v>
      </c>
      <c r="D230" t="inlineStr">
        <is>
          <t>JÄMTLANDS LÄN</t>
        </is>
      </c>
      <c r="E230" t="inlineStr">
        <is>
          <t>RAGUNDA</t>
        </is>
      </c>
      <c r="F230" t="inlineStr">
        <is>
          <t>SCA</t>
        </is>
      </c>
      <c r="G230" t="n">
        <v>1.5</v>
      </c>
      <c r="H230" t="n">
        <v>0</v>
      </c>
      <c r="I230" t="n">
        <v>0</v>
      </c>
      <c r="J230" t="n">
        <v>0</v>
      </c>
      <c r="K230" t="n">
        <v>1</v>
      </c>
      <c r="L230" t="n">
        <v>0</v>
      </c>
      <c r="M230" t="n">
        <v>0</v>
      </c>
      <c r="N230" t="n">
        <v>0</v>
      </c>
      <c r="O230" t="n">
        <v>1</v>
      </c>
      <c r="P230" t="n">
        <v>1</v>
      </c>
      <c r="Q230" t="n">
        <v>1</v>
      </c>
      <c r="R230" s="2" t="inlineStr">
        <is>
          <t>Rynkskinn</t>
        </is>
      </c>
      <c r="S230">
        <f>HYPERLINK("https://klasma.github.io/Logging_2303/artfynd/A 58846-2024 artfynd.xlsx", "A 58846-2024")</f>
        <v/>
      </c>
      <c r="T230">
        <f>HYPERLINK("https://klasma.github.io/Logging_2303/kartor/A 58846-2024 karta.png", "A 58846-2024")</f>
        <v/>
      </c>
      <c r="V230">
        <f>HYPERLINK("https://klasma.github.io/Logging_2303/klagomål/A 58846-2024 FSC-klagomål.docx", "A 58846-2024")</f>
        <v/>
      </c>
      <c r="W230">
        <f>HYPERLINK("https://klasma.github.io/Logging_2303/klagomålsmail/A 58846-2024 FSC-klagomål mail.docx", "A 58846-2024")</f>
        <v/>
      </c>
      <c r="X230">
        <f>HYPERLINK("https://klasma.github.io/Logging_2303/tillsyn/A 58846-2024 tillsynsbegäran.docx", "A 58846-2024")</f>
        <v/>
      </c>
      <c r="Y230">
        <f>HYPERLINK("https://klasma.github.io/Logging_2303/tillsynsmail/A 58846-2024 tillsynsbegäran mail.docx", "A 58846-2024")</f>
        <v/>
      </c>
    </row>
    <row r="231" ht="15" customHeight="1">
      <c r="A231" t="inlineStr">
        <is>
          <t>A 26322-2024</t>
        </is>
      </c>
      <c r="B231" s="1" t="n">
        <v>45468.97461805555</v>
      </c>
      <c r="C231" s="1" t="n">
        <v>45969</v>
      </c>
      <c r="D231" t="inlineStr">
        <is>
          <t>JÄMTLANDS LÄN</t>
        </is>
      </c>
      <c r="E231" t="inlineStr">
        <is>
          <t>RAGUNDA</t>
        </is>
      </c>
      <c r="F231" t="inlineStr">
        <is>
          <t>SCA</t>
        </is>
      </c>
      <c r="G231" t="n">
        <v>9.6</v>
      </c>
      <c r="H231" t="n">
        <v>0</v>
      </c>
      <c r="I231" t="n">
        <v>0</v>
      </c>
      <c r="J231" t="n">
        <v>1</v>
      </c>
      <c r="K231" t="n">
        <v>0</v>
      </c>
      <c r="L231" t="n">
        <v>0</v>
      </c>
      <c r="M231" t="n">
        <v>0</v>
      </c>
      <c r="N231" t="n">
        <v>0</v>
      </c>
      <c r="O231" t="n">
        <v>1</v>
      </c>
      <c r="P231" t="n">
        <v>0</v>
      </c>
      <c r="Q231" t="n">
        <v>1</v>
      </c>
      <c r="R231" s="2" t="inlineStr">
        <is>
          <t>Rosenticka</t>
        </is>
      </c>
      <c r="S231">
        <f>HYPERLINK("https://klasma.github.io/Logging_2303/artfynd/A 26322-2024 artfynd.xlsx", "A 26322-2024")</f>
        <v/>
      </c>
      <c r="T231">
        <f>HYPERLINK("https://klasma.github.io/Logging_2303/kartor/A 26322-2024 karta.png", "A 26322-2024")</f>
        <v/>
      </c>
      <c r="U231">
        <f>HYPERLINK("https://klasma.github.io/Logging_2303/knärot/A 26322-2024 karta knärot.png", "A 26322-2024")</f>
        <v/>
      </c>
      <c r="V231">
        <f>HYPERLINK("https://klasma.github.io/Logging_2303/klagomål/A 26322-2024 FSC-klagomål.docx", "A 26322-2024")</f>
        <v/>
      </c>
      <c r="W231">
        <f>HYPERLINK("https://klasma.github.io/Logging_2303/klagomålsmail/A 26322-2024 FSC-klagomål mail.docx", "A 26322-2024")</f>
        <v/>
      </c>
      <c r="X231">
        <f>HYPERLINK("https://klasma.github.io/Logging_2303/tillsyn/A 26322-2024 tillsynsbegäran.docx", "A 26322-2024")</f>
        <v/>
      </c>
      <c r="Y231">
        <f>HYPERLINK("https://klasma.github.io/Logging_2303/tillsynsmail/A 26322-2024 tillsynsbegäran mail.docx", "A 26322-2024")</f>
        <v/>
      </c>
    </row>
    <row r="232" ht="15" customHeight="1">
      <c r="A232" t="inlineStr">
        <is>
          <t>A 49053-2025</t>
        </is>
      </c>
      <c r="B232" s="1" t="n">
        <v>45937.64009259259</v>
      </c>
      <c r="C232" s="1" t="n">
        <v>45969</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17340-2023</t>
        </is>
      </c>
      <c r="B233" s="1" t="n">
        <v>45033</v>
      </c>
      <c r="C233" s="1" t="n">
        <v>45969</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21212-2025</t>
        </is>
      </c>
      <c r="B234" s="1" t="n">
        <v>45779.48993055556</v>
      </c>
      <c r="C234" s="1" t="n">
        <v>45969</v>
      </c>
      <c r="D234" t="inlineStr">
        <is>
          <t>JÄMTLANDS LÄN</t>
        </is>
      </c>
      <c r="E234" t="inlineStr">
        <is>
          <t>RAGUNDA</t>
        </is>
      </c>
      <c r="F234" t="inlineStr">
        <is>
          <t>SCA</t>
        </is>
      </c>
      <c r="G234" t="n">
        <v>2.6</v>
      </c>
      <c r="H234" t="n">
        <v>0</v>
      </c>
      <c r="I234" t="n">
        <v>0</v>
      </c>
      <c r="J234" t="n">
        <v>1</v>
      </c>
      <c r="K234" t="n">
        <v>0</v>
      </c>
      <c r="L234" t="n">
        <v>0</v>
      </c>
      <c r="M234" t="n">
        <v>0</v>
      </c>
      <c r="N234" t="n">
        <v>0</v>
      </c>
      <c r="O234" t="n">
        <v>1</v>
      </c>
      <c r="P234" t="n">
        <v>0</v>
      </c>
      <c r="Q234" t="n">
        <v>1</v>
      </c>
      <c r="R234" s="2" t="inlineStr">
        <is>
          <t>Garnlav</t>
        </is>
      </c>
      <c r="S234">
        <f>HYPERLINK("https://klasma.github.io/Logging_2303/artfynd/A 21212-2025 artfynd.xlsx", "A 21212-2025")</f>
        <v/>
      </c>
      <c r="T234">
        <f>HYPERLINK("https://klasma.github.io/Logging_2303/kartor/A 21212-2025 karta.png", "A 21212-2025")</f>
        <v/>
      </c>
      <c r="V234">
        <f>HYPERLINK("https://klasma.github.io/Logging_2303/klagomål/A 21212-2025 FSC-klagomål.docx", "A 21212-2025")</f>
        <v/>
      </c>
      <c r="W234">
        <f>HYPERLINK("https://klasma.github.io/Logging_2303/klagomålsmail/A 21212-2025 FSC-klagomål mail.docx", "A 21212-2025")</f>
        <v/>
      </c>
      <c r="X234">
        <f>HYPERLINK("https://klasma.github.io/Logging_2303/tillsyn/A 21212-2025 tillsynsbegäran.docx", "A 21212-2025")</f>
        <v/>
      </c>
      <c r="Y234">
        <f>HYPERLINK("https://klasma.github.io/Logging_2303/tillsynsmail/A 21212-2025 tillsynsbegäran mail.docx", "A 21212-2025")</f>
        <v/>
      </c>
    </row>
    <row r="235" ht="15" customHeight="1">
      <c r="A235" t="inlineStr">
        <is>
          <t>A 44066-2024</t>
        </is>
      </c>
      <c r="B235" s="1" t="n">
        <v>45572.60363425926</v>
      </c>
      <c r="C235" s="1" t="n">
        <v>45969</v>
      </c>
      <c r="D235" t="inlineStr">
        <is>
          <t>JÄMTLANDS LÄN</t>
        </is>
      </c>
      <c r="E235" t="inlineStr">
        <is>
          <t>RAGUNDA</t>
        </is>
      </c>
      <c r="G235" t="n">
        <v>6.4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44066-2024 artfynd.xlsx", "A 44066-2024")</f>
        <v/>
      </c>
      <c r="T235">
        <f>HYPERLINK("https://klasma.github.io/Logging_2303/kartor/A 44066-2024 karta.png", "A 44066-2024")</f>
        <v/>
      </c>
      <c r="V235">
        <f>HYPERLINK("https://klasma.github.io/Logging_2303/klagomål/A 44066-2024 FSC-klagomål.docx", "A 44066-2024")</f>
        <v/>
      </c>
      <c r="W235">
        <f>HYPERLINK("https://klasma.github.io/Logging_2303/klagomålsmail/A 44066-2024 FSC-klagomål mail.docx", "A 44066-2024")</f>
        <v/>
      </c>
      <c r="X235">
        <f>HYPERLINK("https://klasma.github.io/Logging_2303/tillsyn/A 44066-2024 tillsynsbegäran.docx", "A 44066-2024")</f>
        <v/>
      </c>
      <c r="Y235">
        <f>HYPERLINK("https://klasma.github.io/Logging_2303/tillsynsmail/A 44066-2024 tillsynsbegäran mail.docx", "A 44066-2024")</f>
        <v/>
      </c>
      <c r="Z235">
        <f>HYPERLINK("https://klasma.github.io/Logging_2303/fåglar/A 44066-2024 prioriterade fågelarter.docx", "A 44066-2024")</f>
        <v/>
      </c>
    </row>
    <row r="236" ht="15" customHeight="1">
      <c r="A236" t="inlineStr">
        <is>
          <t>A 40841-2025</t>
        </is>
      </c>
      <c r="B236" s="1" t="n">
        <v>45897.531875</v>
      </c>
      <c r="C236" s="1" t="n">
        <v>45969</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16724-2025</t>
        </is>
      </c>
      <c r="B237" s="1" t="n">
        <v>45754.51064814815</v>
      </c>
      <c r="C237" s="1" t="n">
        <v>45969</v>
      </c>
      <c r="D237" t="inlineStr">
        <is>
          <t>JÄMTLANDS LÄN</t>
        </is>
      </c>
      <c r="E237" t="inlineStr">
        <is>
          <t>RAGUNDA</t>
        </is>
      </c>
      <c r="G237" t="n">
        <v>3.5</v>
      </c>
      <c r="H237" t="n">
        <v>0</v>
      </c>
      <c r="I237" t="n">
        <v>0</v>
      </c>
      <c r="J237" t="n">
        <v>1</v>
      </c>
      <c r="K237" t="n">
        <v>0</v>
      </c>
      <c r="L237" t="n">
        <v>0</v>
      </c>
      <c r="M237" t="n">
        <v>0</v>
      </c>
      <c r="N237" t="n">
        <v>0</v>
      </c>
      <c r="O237" t="n">
        <v>1</v>
      </c>
      <c r="P237" t="n">
        <v>0</v>
      </c>
      <c r="Q237" t="n">
        <v>1</v>
      </c>
      <c r="R237" s="2" t="inlineStr">
        <is>
          <t>Kolflarnlav</t>
        </is>
      </c>
      <c r="S237">
        <f>HYPERLINK("https://klasma.github.io/Logging_2303/artfynd/A 16724-2025 artfynd.xlsx", "A 16724-2025")</f>
        <v/>
      </c>
      <c r="T237">
        <f>HYPERLINK("https://klasma.github.io/Logging_2303/kartor/A 16724-2025 karta.png", "A 16724-2025")</f>
        <v/>
      </c>
      <c r="V237">
        <f>HYPERLINK("https://klasma.github.io/Logging_2303/klagomål/A 16724-2025 FSC-klagomål.docx", "A 16724-2025")</f>
        <v/>
      </c>
      <c r="W237">
        <f>HYPERLINK("https://klasma.github.io/Logging_2303/klagomålsmail/A 16724-2025 FSC-klagomål mail.docx", "A 16724-2025")</f>
        <v/>
      </c>
      <c r="X237">
        <f>HYPERLINK("https://klasma.github.io/Logging_2303/tillsyn/A 16724-2025 tillsynsbegäran.docx", "A 16724-2025")</f>
        <v/>
      </c>
      <c r="Y237">
        <f>HYPERLINK("https://klasma.github.io/Logging_2303/tillsynsmail/A 16724-2025 tillsynsbegäran mail.docx", "A 16724-2025")</f>
        <v/>
      </c>
    </row>
    <row r="238" ht="15" customHeight="1">
      <c r="A238" t="inlineStr">
        <is>
          <t>A 62072-2023</t>
        </is>
      </c>
      <c r="B238" s="1" t="n">
        <v>45266</v>
      </c>
      <c r="C238" s="1" t="n">
        <v>45969</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25694-2023</t>
        </is>
      </c>
      <c r="B239" s="1" t="n">
        <v>45089</v>
      </c>
      <c r="C239" s="1" t="n">
        <v>45969</v>
      </c>
      <c r="D239" t="inlineStr">
        <is>
          <t>JÄMTLANDS LÄN</t>
        </is>
      </c>
      <c r="E239" t="inlineStr">
        <is>
          <t>RAGUNDA</t>
        </is>
      </c>
      <c r="F239" t="inlineStr">
        <is>
          <t>SCA</t>
        </is>
      </c>
      <c r="G239" t="n">
        <v>1.5</v>
      </c>
      <c r="H239" t="n">
        <v>0</v>
      </c>
      <c r="I239" t="n">
        <v>0</v>
      </c>
      <c r="J239" t="n">
        <v>1</v>
      </c>
      <c r="K239" t="n">
        <v>0</v>
      </c>
      <c r="L239" t="n">
        <v>0</v>
      </c>
      <c r="M239" t="n">
        <v>0</v>
      </c>
      <c r="N239" t="n">
        <v>0</v>
      </c>
      <c r="O239" t="n">
        <v>1</v>
      </c>
      <c r="P239" t="n">
        <v>0</v>
      </c>
      <c r="Q239" t="n">
        <v>1</v>
      </c>
      <c r="R239" s="2" t="inlineStr">
        <is>
          <t>Ullticka</t>
        </is>
      </c>
      <c r="S239">
        <f>HYPERLINK("https://klasma.github.io/Logging_2303/artfynd/A 25694-2023 artfynd.xlsx", "A 25694-2023")</f>
        <v/>
      </c>
      <c r="T239">
        <f>HYPERLINK("https://klasma.github.io/Logging_2303/kartor/A 25694-2023 karta.png", "A 25694-2023")</f>
        <v/>
      </c>
      <c r="V239">
        <f>HYPERLINK("https://klasma.github.io/Logging_2303/klagomål/A 25694-2023 FSC-klagomål.docx", "A 25694-2023")</f>
        <v/>
      </c>
      <c r="W239">
        <f>HYPERLINK("https://klasma.github.io/Logging_2303/klagomålsmail/A 25694-2023 FSC-klagomål mail.docx", "A 25694-2023")</f>
        <v/>
      </c>
      <c r="X239">
        <f>HYPERLINK("https://klasma.github.io/Logging_2303/tillsyn/A 25694-2023 tillsynsbegäran.docx", "A 25694-2023")</f>
        <v/>
      </c>
      <c r="Y239">
        <f>HYPERLINK("https://klasma.github.io/Logging_2303/tillsynsmail/A 25694-2023 tillsynsbegäran mail.docx", "A 25694-2023")</f>
        <v/>
      </c>
    </row>
    <row r="240" ht="15" customHeight="1">
      <c r="A240" t="inlineStr">
        <is>
          <t>A 49770-2024</t>
        </is>
      </c>
      <c r="B240" s="1" t="n">
        <v>45597.34461805555</v>
      </c>
      <c r="C240" s="1" t="n">
        <v>45969</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36757-2023</t>
        </is>
      </c>
      <c r="B241" s="1" t="n">
        <v>45153</v>
      </c>
      <c r="C241" s="1" t="n">
        <v>45969</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51912-2025</t>
        </is>
      </c>
      <c r="B242" s="1" t="n">
        <v>45952.46939814815</v>
      </c>
      <c r="C242" s="1" t="n">
        <v>45969</v>
      </c>
      <c r="D242" t="inlineStr">
        <is>
          <t>JÄMTLANDS LÄN</t>
        </is>
      </c>
      <c r="E242" t="inlineStr">
        <is>
          <t>RAGUNDA</t>
        </is>
      </c>
      <c r="F242" t="inlineStr">
        <is>
          <t>SCA</t>
        </is>
      </c>
      <c r="G242" t="n">
        <v>24.2</v>
      </c>
      <c r="H242" t="n">
        <v>1</v>
      </c>
      <c r="I242" t="n">
        <v>0</v>
      </c>
      <c r="J242" t="n">
        <v>0</v>
      </c>
      <c r="K242" t="n">
        <v>1</v>
      </c>
      <c r="L242" t="n">
        <v>0</v>
      </c>
      <c r="M242" t="n">
        <v>0</v>
      </c>
      <c r="N242" t="n">
        <v>0</v>
      </c>
      <c r="O242" t="n">
        <v>1</v>
      </c>
      <c r="P242" t="n">
        <v>1</v>
      </c>
      <c r="Q242" t="n">
        <v>1</v>
      </c>
      <c r="R242" s="2" t="inlineStr">
        <is>
          <t>Norna</t>
        </is>
      </c>
      <c r="S242">
        <f>HYPERLINK("https://klasma.github.io/Logging_2303/artfynd/A 51912-2025 artfynd.xlsx", "A 51912-2025")</f>
        <v/>
      </c>
      <c r="T242">
        <f>HYPERLINK("https://klasma.github.io/Logging_2303/kartor/A 51912-2025 karta.png", "A 51912-2025")</f>
        <v/>
      </c>
      <c r="V242">
        <f>HYPERLINK("https://klasma.github.io/Logging_2303/klagomål/A 51912-2025 FSC-klagomål.docx", "A 51912-2025")</f>
        <v/>
      </c>
      <c r="W242">
        <f>HYPERLINK("https://klasma.github.io/Logging_2303/klagomålsmail/A 51912-2025 FSC-klagomål mail.docx", "A 51912-2025")</f>
        <v/>
      </c>
      <c r="X242">
        <f>HYPERLINK("https://klasma.github.io/Logging_2303/tillsyn/A 51912-2025 tillsynsbegäran.docx", "A 51912-2025")</f>
        <v/>
      </c>
      <c r="Y242">
        <f>HYPERLINK("https://klasma.github.io/Logging_2303/tillsynsmail/A 51912-2025 tillsynsbegäran mail.docx", "A 51912-2025")</f>
        <v/>
      </c>
    </row>
    <row r="243" ht="15" customHeight="1">
      <c r="A243" t="inlineStr">
        <is>
          <t>A 43404-2023</t>
        </is>
      </c>
      <c r="B243" s="1" t="n">
        <v>45183</v>
      </c>
      <c r="C243" s="1" t="n">
        <v>45969</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27573-2025</t>
        </is>
      </c>
      <c r="B244" s="1" t="n">
        <v>45813.49061342593</v>
      </c>
      <c r="C244" s="1" t="n">
        <v>45969</v>
      </c>
      <c r="D244" t="inlineStr">
        <is>
          <t>JÄMTLANDS LÄN</t>
        </is>
      </c>
      <c r="E244" t="inlineStr">
        <is>
          <t>RAGUNDA</t>
        </is>
      </c>
      <c r="F244" t="inlineStr">
        <is>
          <t>SCA</t>
        </is>
      </c>
      <c r="G244" t="n">
        <v>14.9</v>
      </c>
      <c r="H244" t="n">
        <v>0</v>
      </c>
      <c r="I244" t="n">
        <v>1</v>
      </c>
      <c r="J244" t="n">
        <v>0</v>
      </c>
      <c r="K244" t="n">
        <v>0</v>
      </c>
      <c r="L244" t="n">
        <v>0</v>
      </c>
      <c r="M244" t="n">
        <v>0</v>
      </c>
      <c r="N244" t="n">
        <v>0</v>
      </c>
      <c r="O244" t="n">
        <v>0</v>
      </c>
      <c r="P244" t="n">
        <v>0</v>
      </c>
      <c r="Q244" t="n">
        <v>1</v>
      </c>
      <c r="R244" s="2" t="inlineStr">
        <is>
          <t>Skinnlav</t>
        </is>
      </c>
      <c r="S244">
        <f>HYPERLINK("https://klasma.github.io/Logging_2303/artfynd/A 27573-2025 artfynd.xlsx", "A 27573-2025")</f>
        <v/>
      </c>
      <c r="T244">
        <f>HYPERLINK("https://klasma.github.io/Logging_2303/kartor/A 27573-2025 karta.png", "A 27573-2025")</f>
        <v/>
      </c>
      <c r="U244">
        <f>HYPERLINK("https://klasma.github.io/Logging_2303/knärot/A 27573-2025 karta knärot.png", "A 27573-2025")</f>
        <v/>
      </c>
      <c r="V244">
        <f>HYPERLINK("https://klasma.github.io/Logging_2303/klagomål/A 27573-2025 FSC-klagomål.docx", "A 27573-2025")</f>
        <v/>
      </c>
      <c r="W244">
        <f>HYPERLINK("https://klasma.github.io/Logging_2303/klagomålsmail/A 27573-2025 FSC-klagomål mail.docx", "A 27573-2025")</f>
        <v/>
      </c>
      <c r="X244">
        <f>HYPERLINK("https://klasma.github.io/Logging_2303/tillsyn/A 27573-2025 tillsynsbegäran.docx", "A 27573-2025")</f>
        <v/>
      </c>
      <c r="Y244">
        <f>HYPERLINK("https://klasma.github.io/Logging_2303/tillsynsmail/A 27573-2025 tillsynsbegäran mail.docx", "A 27573-2025")</f>
        <v/>
      </c>
    </row>
    <row r="245" ht="15" customHeight="1">
      <c r="A245" t="inlineStr">
        <is>
          <t>A 43526-2025</t>
        </is>
      </c>
      <c r="B245" s="1" t="n">
        <v>45911</v>
      </c>
      <c r="C245" s="1" t="n">
        <v>45969</v>
      </c>
      <c r="D245" t="inlineStr">
        <is>
          <t>JÄMTLANDS LÄN</t>
        </is>
      </c>
      <c r="E245" t="inlineStr">
        <is>
          <t>RAGUNDA</t>
        </is>
      </c>
      <c r="G245" t="n">
        <v>5.5</v>
      </c>
      <c r="H245" t="n">
        <v>0</v>
      </c>
      <c r="I245" t="n">
        <v>0</v>
      </c>
      <c r="J245" t="n">
        <v>1</v>
      </c>
      <c r="K245" t="n">
        <v>0</v>
      </c>
      <c r="L245" t="n">
        <v>0</v>
      </c>
      <c r="M245" t="n">
        <v>0</v>
      </c>
      <c r="N245" t="n">
        <v>0</v>
      </c>
      <c r="O245" t="n">
        <v>1</v>
      </c>
      <c r="P245" t="n">
        <v>0</v>
      </c>
      <c r="Q245" t="n">
        <v>1</v>
      </c>
      <c r="R245" s="2" t="inlineStr">
        <is>
          <t>Lunglav</t>
        </is>
      </c>
      <c r="S245">
        <f>HYPERLINK("https://klasma.github.io/Logging_2303/artfynd/A 43526-2025 artfynd.xlsx", "A 43526-2025")</f>
        <v/>
      </c>
      <c r="T245">
        <f>HYPERLINK("https://klasma.github.io/Logging_2303/kartor/A 43526-2025 karta.png", "A 43526-2025")</f>
        <v/>
      </c>
      <c r="V245">
        <f>HYPERLINK("https://klasma.github.io/Logging_2303/klagomål/A 43526-2025 FSC-klagomål.docx", "A 43526-2025")</f>
        <v/>
      </c>
      <c r="W245">
        <f>HYPERLINK("https://klasma.github.io/Logging_2303/klagomålsmail/A 43526-2025 FSC-klagomål mail.docx", "A 43526-2025")</f>
        <v/>
      </c>
      <c r="X245">
        <f>HYPERLINK("https://klasma.github.io/Logging_2303/tillsyn/A 43526-2025 tillsynsbegäran.docx", "A 43526-2025")</f>
        <v/>
      </c>
      <c r="Y245">
        <f>HYPERLINK("https://klasma.github.io/Logging_2303/tillsynsmail/A 43526-2025 tillsynsbegäran mail.docx", "A 43526-2025")</f>
        <v/>
      </c>
    </row>
    <row r="246" ht="15" customHeight="1">
      <c r="A246" t="inlineStr">
        <is>
          <t>A 61324-2024</t>
        </is>
      </c>
      <c r="B246" s="1" t="n">
        <v>45646.34438657408</v>
      </c>
      <c r="C246" s="1" t="n">
        <v>45969</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30390-2025</t>
        </is>
      </c>
      <c r="B247" s="1" t="n">
        <v>45827.57371527778</v>
      </c>
      <c r="C247" s="1" t="n">
        <v>45969</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22054-2025</t>
        </is>
      </c>
      <c r="B248" s="1" t="n">
        <v>45785.36525462963</v>
      </c>
      <c r="C248" s="1" t="n">
        <v>45969</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19387-2025</t>
        </is>
      </c>
      <c r="B249" s="1" t="n">
        <v>45769.65736111111</v>
      </c>
      <c r="C249" s="1" t="n">
        <v>45969</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32445-2025</t>
        </is>
      </c>
      <c r="B250" s="1" t="n">
        <v>45838.38627314815</v>
      </c>
      <c r="C250" s="1" t="n">
        <v>45969</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20575-2025</t>
        </is>
      </c>
      <c r="B251" s="1" t="n">
        <v>45775.67769675926</v>
      </c>
      <c r="C251" s="1" t="n">
        <v>45969</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34474-2025</t>
        </is>
      </c>
      <c r="B252" s="1" t="n">
        <v>45847.36528935185</v>
      </c>
      <c r="C252" s="1" t="n">
        <v>45969</v>
      </c>
      <c r="D252" t="inlineStr">
        <is>
          <t>JÄMTLANDS LÄN</t>
        </is>
      </c>
      <c r="E252" t="inlineStr">
        <is>
          <t>RAGUNDA</t>
        </is>
      </c>
      <c r="F252" t="inlineStr">
        <is>
          <t>SCA</t>
        </is>
      </c>
      <c r="G252" t="n">
        <v>9.699999999999999</v>
      </c>
      <c r="H252" t="n">
        <v>1</v>
      </c>
      <c r="I252" t="n">
        <v>0</v>
      </c>
      <c r="J252" t="n">
        <v>1</v>
      </c>
      <c r="K252" t="n">
        <v>0</v>
      </c>
      <c r="L252" t="n">
        <v>0</v>
      </c>
      <c r="M252" t="n">
        <v>0</v>
      </c>
      <c r="N252" t="n">
        <v>0</v>
      </c>
      <c r="O252" t="n">
        <v>1</v>
      </c>
      <c r="P252" t="n">
        <v>0</v>
      </c>
      <c r="Q252" t="n">
        <v>1</v>
      </c>
      <c r="R252" s="2" t="inlineStr">
        <is>
          <t>Fjällvråk</t>
        </is>
      </c>
      <c r="S252">
        <f>HYPERLINK("https://klasma.github.io/Logging_2303/artfynd/A 34474-2025 artfynd.xlsx", "A 34474-2025")</f>
        <v/>
      </c>
      <c r="T252">
        <f>HYPERLINK("https://klasma.github.io/Logging_2303/kartor/A 34474-2025 karta.png", "A 34474-2025")</f>
        <v/>
      </c>
      <c r="V252">
        <f>HYPERLINK("https://klasma.github.io/Logging_2303/klagomål/A 34474-2025 FSC-klagomål.docx", "A 34474-2025")</f>
        <v/>
      </c>
      <c r="W252">
        <f>HYPERLINK("https://klasma.github.io/Logging_2303/klagomålsmail/A 34474-2025 FSC-klagomål mail.docx", "A 34474-2025")</f>
        <v/>
      </c>
      <c r="X252">
        <f>HYPERLINK("https://klasma.github.io/Logging_2303/tillsyn/A 34474-2025 tillsynsbegäran.docx", "A 34474-2025")</f>
        <v/>
      </c>
      <c r="Y252">
        <f>HYPERLINK("https://klasma.github.io/Logging_2303/tillsynsmail/A 34474-2025 tillsynsbegäran mail.docx", "A 34474-2025")</f>
        <v/>
      </c>
      <c r="Z252">
        <f>HYPERLINK("https://klasma.github.io/Logging_2303/fåglar/A 34474-2025 prioriterade fågelarter.docx", "A 34474-2025")</f>
        <v/>
      </c>
    </row>
    <row r="253" ht="15" customHeight="1">
      <c r="A253" t="inlineStr">
        <is>
          <t>A 20774-2024</t>
        </is>
      </c>
      <c r="B253" s="1" t="n">
        <v>45436.94644675926</v>
      </c>
      <c r="C253" s="1" t="n">
        <v>45969</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45969</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29921-2024</t>
        </is>
      </c>
      <c r="B255" s="1" t="n">
        <v>45487.92863425926</v>
      </c>
      <c r="C255" s="1" t="n">
        <v>45969</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45969</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31773-2021</t>
        </is>
      </c>
      <c r="B257" s="1" t="n">
        <v>44369</v>
      </c>
      <c r="C257" s="1" t="n">
        <v>45969</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61441-2020</t>
        </is>
      </c>
      <c r="B258" s="1" t="n">
        <v>44157</v>
      </c>
      <c r="C258" s="1" t="n">
        <v>45969</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45969</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45969</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45969</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45969</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45969</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45969</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45969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45969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45969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45969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45969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39408-2022</t>
        </is>
      </c>
      <c r="B270" s="1" t="n">
        <v>44817</v>
      </c>
      <c r="C270" s="1" t="n">
        <v>45969</v>
      </c>
      <c r="D270" t="inlineStr">
        <is>
          <t>JÄMTLANDS LÄN</t>
        </is>
      </c>
      <c r="E270" t="inlineStr">
        <is>
          <t>RAGUNDA</t>
        </is>
      </c>
      <c r="F270" t="inlineStr">
        <is>
          <t>SCA</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45969</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45969</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45969</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45969</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45969</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45969</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45969</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45969</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45969</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45969</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45969</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45969</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45969</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45969</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45969</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45969</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45969</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45969</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45969</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45969</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45969</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45969</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45969</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45969</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45969</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45969</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45969</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48538-2022</t>
        </is>
      </c>
      <c r="B298" s="1" t="n">
        <v>44858</v>
      </c>
      <c r="C298" s="1" t="n">
        <v>45969</v>
      </c>
      <c r="D298" t="inlineStr">
        <is>
          <t>JÄMTLANDS LÄN</t>
        </is>
      </c>
      <c r="E298" t="inlineStr">
        <is>
          <t>RAGUNDA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45969</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45969</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45969</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45969</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45969</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45969</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45969</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45969</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45969</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45969</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45969</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45969</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45969</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45969</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45969</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45969</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45969</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45969</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45969</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45969</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45969</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45969</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45969</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45969</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45969</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45969</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45969</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45969</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45969</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45969</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45969</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45969</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45969</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45969</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45969</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45969</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45969</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45969</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45969</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45969</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45969</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45969</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45969</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44482.92271990741</v>
      </c>
      <c r="C342" s="1" t="n">
        <v>45969</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40829-2022</t>
        </is>
      </c>
      <c r="B343" s="1" t="n">
        <v>44824.94635416667</v>
      </c>
      <c r="C343" s="1" t="n">
        <v>45969</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45969</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45969</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45969</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28887-2021</t>
        </is>
      </c>
      <c r="B347" s="1" t="n">
        <v>44357</v>
      </c>
      <c r="C347" s="1" t="n">
        <v>45969</v>
      </c>
      <c r="D347" t="inlineStr">
        <is>
          <t>JÄMTLANDS LÄN</t>
        </is>
      </c>
      <c r="E347" t="inlineStr">
        <is>
          <t>RAGUNDA</t>
        </is>
      </c>
      <c r="G347" t="n">
        <v>1.8</v>
      </c>
      <c r="H347" t="n">
        <v>0</v>
      </c>
      <c r="I347" t="n">
        <v>0</v>
      </c>
      <c r="J347" t="n">
        <v>0</v>
      </c>
      <c r="K347" t="n">
        <v>0</v>
      </c>
      <c r="L347" t="n">
        <v>0</v>
      </c>
      <c r="M347" t="n">
        <v>0</v>
      </c>
      <c r="N347" t="n">
        <v>0</v>
      </c>
      <c r="O347" t="n">
        <v>0</v>
      </c>
      <c r="P347" t="n">
        <v>0</v>
      </c>
      <c r="Q347" t="n">
        <v>0</v>
      </c>
      <c r="R347" s="2" t="inlineStr"/>
    </row>
    <row r="348" ht="15" customHeight="1">
      <c r="A348" t="inlineStr">
        <is>
          <t>A 43040-2021</t>
        </is>
      </c>
      <c r="B348" s="1" t="n">
        <v>44431</v>
      </c>
      <c r="C348" s="1" t="n">
        <v>45969</v>
      </c>
      <c r="D348" t="inlineStr">
        <is>
          <t>JÄMTLANDS LÄN</t>
        </is>
      </c>
      <c r="E348" t="inlineStr">
        <is>
          <t>RAGUNDA</t>
        </is>
      </c>
      <c r="G348" t="n">
        <v>4.9</v>
      </c>
      <c r="H348" t="n">
        <v>0</v>
      </c>
      <c r="I348" t="n">
        <v>0</v>
      </c>
      <c r="J348" t="n">
        <v>0</v>
      </c>
      <c r="K348" t="n">
        <v>0</v>
      </c>
      <c r="L348" t="n">
        <v>0</v>
      </c>
      <c r="M348" t="n">
        <v>0</v>
      </c>
      <c r="N348" t="n">
        <v>0</v>
      </c>
      <c r="O348" t="n">
        <v>0</v>
      </c>
      <c r="P348" t="n">
        <v>0</v>
      </c>
      <c r="Q348" t="n">
        <v>0</v>
      </c>
      <c r="R348" s="2" t="inlineStr"/>
    </row>
    <row r="349" ht="15" customHeight="1">
      <c r="A349" t="inlineStr">
        <is>
          <t>A 6177-2022</t>
        </is>
      </c>
      <c r="B349" s="1" t="n">
        <v>44599.98685185185</v>
      </c>
      <c r="C349" s="1" t="n">
        <v>45969</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44799.94394675926</v>
      </c>
      <c r="C350" s="1" t="n">
        <v>45969</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1858-2022</t>
        </is>
      </c>
      <c r="B351" s="1" t="n">
        <v>44574</v>
      </c>
      <c r="C351" s="1" t="n">
        <v>45969</v>
      </c>
      <c r="D351" t="inlineStr">
        <is>
          <t>JÄMTLANDS LÄN</t>
        </is>
      </c>
      <c r="E351" t="inlineStr">
        <is>
          <t>RAGUNDA</t>
        </is>
      </c>
      <c r="G351" t="n">
        <v>5.7</v>
      </c>
      <c r="H351" t="n">
        <v>0</v>
      </c>
      <c r="I351" t="n">
        <v>0</v>
      </c>
      <c r="J351" t="n">
        <v>0</v>
      </c>
      <c r="K351" t="n">
        <v>0</v>
      </c>
      <c r="L351" t="n">
        <v>0</v>
      </c>
      <c r="M351" t="n">
        <v>0</v>
      </c>
      <c r="N351" t="n">
        <v>0</v>
      </c>
      <c r="O351" t="n">
        <v>0</v>
      </c>
      <c r="P351" t="n">
        <v>0</v>
      </c>
      <c r="Q351" t="n">
        <v>0</v>
      </c>
      <c r="R351" s="2" t="inlineStr"/>
    </row>
    <row r="352" ht="15" customHeight="1">
      <c r="A352" t="inlineStr">
        <is>
          <t>A 54836-2022</t>
        </is>
      </c>
      <c r="B352" s="1" t="n">
        <v>44883.94918981481</v>
      </c>
      <c r="C352" s="1" t="n">
        <v>45969</v>
      </c>
      <c r="D352" t="inlineStr">
        <is>
          <t>JÄMTLANDS LÄN</t>
        </is>
      </c>
      <c r="E352" t="inlineStr">
        <is>
          <t>RAGUNDA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45969</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45969</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22655-2021</t>
        </is>
      </c>
      <c r="B355" s="1" t="n">
        <v>44322</v>
      </c>
      <c r="C355" s="1" t="n">
        <v>45969</v>
      </c>
      <c r="D355" t="inlineStr">
        <is>
          <t>JÄMTLANDS LÄN</t>
        </is>
      </c>
      <c r="E355" t="inlineStr">
        <is>
          <t>RAGUNDA</t>
        </is>
      </c>
      <c r="G355" t="n">
        <v>5.8</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45969</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45969</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21194-2022</t>
        </is>
      </c>
      <c r="B358" s="1" t="n">
        <v>44704.9422337963</v>
      </c>
      <c r="C358" s="1" t="n">
        <v>45969</v>
      </c>
      <c r="D358" t="inlineStr">
        <is>
          <t>JÄMTLANDS LÄN</t>
        </is>
      </c>
      <c r="E358" t="inlineStr">
        <is>
          <t>RAGUNDA</t>
        </is>
      </c>
      <c r="F358" t="inlineStr">
        <is>
          <t>SCA</t>
        </is>
      </c>
      <c r="G358" t="n">
        <v>10.6</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45969</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46048-2022</t>
        </is>
      </c>
      <c r="B360" s="1" t="n">
        <v>44846</v>
      </c>
      <c r="C360" s="1" t="n">
        <v>45969</v>
      </c>
      <c r="D360" t="inlineStr">
        <is>
          <t>JÄMTLANDS LÄN</t>
        </is>
      </c>
      <c r="E360" t="inlineStr">
        <is>
          <t>RAGUNDA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60313-2021</t>
        </is>
      </c>
      <c r="B361" s="1" t="n">
        <v>44495</v>
      </c>
      <c r="C361" s="1" t="n">
        <v>45969</v>
      </c>
      <c r="D361" t="inlineStr">
        <is>
          <t>JÄMTLANDS LÄN</t>
        </is>
      </c>
      <c r="E361" t="inlineStr">
        <is>
          <t>RAGUNDA</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45969</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41613-2021</t>
        </is>
      </c>
      <c r="B363" s="1" t="n">
        <v>44425</v>
      </c>
      <c r="C363" s="1" t="n">
        <v>45969</v>
      </c>
      <c r="D363" t="inlineStr">
        <is>
          <t>JÄMTLANDS LÄN</t>
        </is>
      </c>
      <c r="E363" t="inlineStr">
        <is>
          <t>RAGUNDA</t>
        </is>
      </c>
      <c r="F363" t="inlineStr">
        <is>
          <t>Kommuner</t>
        </is>
      </c>
      <c r="G363" t="n">
        <v>1.5</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45969</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56193-2022</t>
        </is>
      </c>
      <c r="B365" s="1" t="n">
        <v>44889</v>
      </c>
      <c r="C365" s="1" t="n">
        <v>45969</v>
      </c>
      <c r="D365" t="inlineStr">
        <is>
          <t>JÄMTLANDS LÄN</t>
        </is>
      </c>
      <c r="E365" t="inlineStr">
        <is>
          <t>RAGUNDA</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5515-2022</t>
        </is>
      </c>
      <c r="B366" s="1" t="n">
        <v>44595</v>
      </c>
      <c r="C366" s="1" t="n">
        <v>45969</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47803-2022</t>
        </is>
      </c>
      <c r="B367" s="1" t="n">
        <v>44854.95390046296</v>
      </c>
      <c r="C367" s="1" t="n">
        <v>45969</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45969</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44831.9485300926</v>
      </c>
      <c r="C369" s="1" t="n">
        <v>45969</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60957-2021</t>
        </is>
      </c>
      <c r="B370" s="1" t="n">
        <v>44496</v>
      </c>
      <c r="C370" s="1" t="n">
        <v>45969</v>
      </c>
      <c r="D370" t="inlineStr">
        <is>
          <t>JÄMTLANDS LÄN</t>
        </is>
      </c>
      <c r="E370" t="inlineStr">
        <is>
          <t>RAGUNDA</t>
        </is>
      </c>
      <c r="G370" t="n">
        <v>1.6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45969</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26122-2022</t>
        </is>
      </c>
      <c r="B372" s="1" t="n">
        <v>44734.94193287037</v>
      </c>
      <c r="C372" s="1" t="n">
        <v>45969</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21193-2022</t>
        </is>
      </c>
      <c r="B373" s="1" t="n">
        <v>44704.94217592593</v>
      </c>
      <c r="C373" s="1" t="n">
        <v>45969</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45969</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45969</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29409-2021</t>
        </is>
      </c>
      <c r="B376" s="1" t="n">
        <v>44361.55445601852</v>
      </c>
      <c r="C376" s="1" t="n">
        <v>45969</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45969</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25027-2022</t>
        </is>
      </c>
      <c r="B378" s="1" t="n">
        <v>44728.94392361111</v>
      </c>
      <c r="C378" s="1" t="n">
        <v>45969</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45969</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13917-2023</t>
        </is>
      </c>
      <c r="B380" s="1" t="n">
        <v>45007</v>
      </c>
      <c r="C380" s="1" t="n">
        <v>45969</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18820-2023</t>
        </is>
      </c>
      <c r="B381" s="1" t="n">
        <v>45042</v>
      </c>
      <c r="C381" s="1" t="n">
        <v>45969</v>
      </c>
      <c r="D381" t="inlineStr">
        <is>
          <t>JÄMTLANDS LÄN</t>
        </is>
      </c>
      <c r="E381" t="inlineStr">
        <is>
          <t>RAGUNDA</t>
        </is>
      </c>
      <c r="G381" t="n">
        <v>18.8</v>
      </c>
      <c r="H381" t="n">
        <v>0</v>
      </c>
      <c r="I381" t="n">
        <v>0</v>
      </c>
      <c r="J381" t="n">
        <v>0</v>
      </c>
      <c r="K381" t="n">
        <v>0</v>
      </c>
      <c r="L381" t="n">
        <v>0</v>
      </c>
      <c r="M381" t="n">
        <v>0</v>
      </c>
      <c r="N381" t="n">
        <v>0</v>
      </c>
      <c r="O381" t="n">
        <v>0</v>
      </c>
      <c r="P381" t="n">
        <v>0</v>
      </c>
      <c r="Q381" t="n">
        <v>0</v>
      </c>
      <c r="R381" s="2" t="inlineStr"/>
    </row>
    <row r="382" ht="15" customHeight="1">
      <c r="A382" t="inlineStr">
        <is>
          <t>A 28597-2021</t>
        </is>
      </c>
      <c r="B382" s="1" t="n">
        <v>44356.91935185185</v>
      </c>
      <c r="C382" s="1" t="n">
        <v>45969</v>
      </c>
      <c r="D382" t="inlineStr">
        <is>
          <t>JÄMTLANDS LÄN</t>
        </is>
      </c>
      <c r="E382" t="inlineStr">
        <is>
          <t>RAGUNDA</t>
        </is>
      </c>
      <c r="G382" t="n">
        <v>3.1</v>
      </c>
      <c r="H382" t="n">
        <v>0</v>
      </c>
      <c r="I382" t="n">
        <v>0</v>
      </c>
      <c r="J382" t="n">
        <v>0</v>
      </c>
      <c r="K382" t="n">
        <v>0</v>
      </c>
      <c r="L382" t="n">
        <v>0</v>
      </c>
      <c r="M382" t="n">
        <v>0</v>
      </c>
      <c r="N382" t="n">
        <v>0</v>
      </c>
      <c r="O382" t="n">
        <v>0</v>
      </c>
      <c r="P382" t="n">
        <v>0</v>
      </c>
      <c r="Q382" t="n">
        <v>0</v>
      </c>
      <c r="R382" s="2" t="inlineStr"/>
    </row>
    <row r="383" ht="15" customHeight="1">
      <c r="A383" t="inlineStr">
        <is>
          <t>A 11147-2025</t>
        </is>
      </c>
      <c r="B383" s="1" t="n">
        <v>45723.67777777778</v>
      </c>
      <c r="C383" s="1" t="n">
        <v>45969</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24280-2021</t>
        </is>
      </c>
      <c r="B384" s="1" t="n">
        <v>44336</v>
      </c>
      <c r="C384" s="1" t="n">
        <v>45969</v>
      </c>
      <c r="D384" t="inlineStr">
        <is>
          <t>JÄMTLANDS LÄN</t>
        </is>
      </c>
      <c r="E384" t="inlineStr">
        <is>
          <t>RAGUNDA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14821-2025</t>
        </is>
      </c>
      <c r="B385" s="1" t="n">
        <v>45743.36</v>
      </c>
      <c r="C385" s="1" t="n">
        <v>45969</v>
      </c>
      <c r="D385" t="inlineStr">
        <is>
          <t>JÄMTLANDS LÄN</t>
        </is>
      </c>
      <c r="E385" t="inlineStr">
        <is>
          <t>RAGUNDA</t>
        </is>
      </c>
      <c r="F385" t="inlineStr">
        <is>
          <t>Kyrkan</t>
        </is>
      </c>
      <c r="G385" t="n">
        <v>6.4</v>
      </c>
      <c r="H385" t="n">
        <v>0</v>
      </c>
      <c r="I385" t="n">
        <v>0</v>
      </c>
      <c r="J385" t="n">
        <v>0</v>
      </c>
      <c r="K385" t="n">
        <v>0</v>
      </c>
      <c r="L385" t="n">
        <v>0</v>
      </c>
      <c r="M385" t="n">
        <v>0</v>
      </c>
      <c r="N385" t="n">
        <v>0</v>
      </c>
      <c r="O385" t="n">
        <v>0</v>
      </c>
      <c r="P385" t="n">
        <v>0</v>
      </c>
      <c r="Q385" t="n">
        <v>0</v>
      </c>
      <c r="R385" s="2" t="inlineStr"/>
    </row>
    <row r="386" ht="15" customHeight="1">
      <c r="A386" t="inlineStr">
        <is>
          <t>A 36941-2022</t>
        </is>
      </c>
      <c r="B386" s="1" t="n">
        <v>44805</v>
      </c>
      <c r="C386" s="1" t="n">
        <v>45969</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20548-2021</t>
        </is>
      </c>
      <c r="B387" s="1" t="n">
        <v>44315</v>
      </c>
      <c r="C387" s="1" t="n">
        <v>45969</v>
      </c>
      <c r="D387" t="inlineStr">
        <is>
          <t>JÄMTLANDS LÄN</t>
        </is>
      </c>
      <c r="E387" t="inlineStr">
        <is>
          <t>RAGUNDA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49530-2022</t>
        </is>
      </c>
      <c r="B388" s="1" t="n">
        <v>44861</v>
      </c>
      <c r="C388" s="1" t="n">
        <v>45969</v>
      </c>
      <c r="D388" t="inlineStr">
        <is>
          <t>JÄMTLANDS LÄN</t>
        </is>
      </c>
      <c r="E388" t="inlineStr">
        <is>
          <t>RAGUNDA</t>
        </is>
      </c>
      <c r="F388" t="inlineStr">
        <is>
          <t>SCA</t>
        </is>
      </c>
      <c r="G388" t="n">
        <v>13.4</v>
      </c>
      <c r="H388" t="n">
        <v>0</v>
      </c>
      <c r="I388" t="n">
        <v>0</v>
      </c>
      <c r="J388" t="n">
        <v>0</v>
      </c>
      <c r="K388" t="n">
        <v>0</v>
      </c>
      <c r="L388" t="n">
        <v>0</v>
      </c>
      <c r="M388" t="n">
        <v>0</v>
      </c>
      <c r="N388" t="n">
        <v>0</v>
      </c>
      <c r="O388" t="n">
        <v>0</v>
      </c>
      <c r="P388" t="n">
        <v>0</v>
      </c>
      <c r="Q388" t="n">
        <v>0</v>
      </c>
      <c r="R388" s="2" t="inlineStr"/>
    </row>
    <row r="389" ht="15" customHeight="1">
      <c r="A389" t="inlineStr">
        <is>
          <t>A 44241-2021</t>
        </is>
      </c>
      <c r="B389" s="1" t="n">
        <v>44434.94517361111</v>
      </c>
      <c r="C389" s="1" t="n">
        <v>45969</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47568-2022</t>
        </is>
      </c>
      <c r="B390" s="1" t="n">
        <v>44853.9499537037</v>
      </c>
      <c r="C390" s="1" t="n">
        <v>45969</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39698-2022</t>
        </is>
      </c>
      <c r="B391" s="1" t="n">
        <v>44818</v>
      </c>
      <c r="C391" s="1" t="n">
        <v>45969</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43147-2022</t>
        </is>
      </c>
      <c r="B392" s="1" t="n">
        <v>44833.9519212963</v>
      </c>
      <c r="C392" s="1" t="n">
        <v>45969</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45969</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19264-2025</t>
        </is>
      </c>
      <c r="B394" s="1" t="n">
        <v>45769.51087962963</v>
      </c>
      <c r="C394" s="1" t="n">
        <v>45969</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15664-2022</t>
        </is>
      </c>
      <c r="B395" s="1" t="n">
        <v>44662</v>
      </c>
      <c r="C395" s="1" t="n">
        <v>45969</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23304-2023</t>
        </is>
      </c>
      <c r="B396" s="1" t="n">
        <v>45075.945</v>
      </c>
      <c r="C396" s="1" t="n">
        <v>45969</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52334-2021</t>
        </is>
      </c>
      <c r="B397" s="1" t="n">
        <v>44463.94077546296</v>
      </c>
      <c r="C397" s="1" t="n">
        <v>45969</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21984-2022</t>
        </is>
      </c>
      <c r="B398" s="1" t="n">
        <v>44704</v>
      </c>
      <c r="C398" s="1" t="n">
        <v>45969</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18341-2022</t>
        </is>
      </c>
      <c r="B399" s="1" t="n">
        <v>44685</v>
      </c>
      <c r="C399" s="1" t="n">
        <v>45969</v>
      </c>
      <c r="D399" t="inlineStr">
        <is>
          <t>JÄMTLANDS LÄN</t>
        </is>
      </c>
      <c r="E399" t="inlineStr">
        <is>
          <t>RAGUNDA</t>
        </is>
      </c>
      <c r="G399" t="n">
        <v>0.2</v>
      </c>
      <c r="H399" t="n">
        <v>0</v>
      </c>
      <c r="I399" t="n">
        <v>0</v>
      </c>
      <c r="J399" t="n">
        <v>0</v>
      </c>
      <c r="K399" t="n">
        <v>0</v>
      </c>
      <c r="L399" t="n">
        <v>0</v>
      </c>
      <c r="M399" t="n">
        <v>0</v>
      </c>
      <c r="N399" t="n">
        <v>0</v>
      </c>
      <c r="O399" t="n">
        <v>0</v>
      </c>
      <c r="P399" t="n">
        <v>0</v>
      </c>
      <c r="Q399" t="n">
        <v>0</v>
      </c>
      <c r="R399" s="2" t="inlineStr"/>
    </row>
    <row r="400" ht="15" customHeight="1">
      <c r="A400" t="inlineStr">
        <is>
          <t>A 9185-2022</t>
        </is>
      </c>
      <c r="B400" s="1" t="n">
        <v>44615</v>
      </c>
      <c r="C400" s="1" t="n">
        <v>45969</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45969</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28596-2021</t>
        </is>
      </c>
      <c r="B402" s="1" t="n">
        <v>44356</v>
      </c>
      <c r="C402" s="1" t="n">
        <v>45969</v>
      </c>
      <c r="D402" t="inlineStr">
        <is>
          <t>JÄMTLANDS LÄN</t>
        </is>
      </c>
      <c r="E402" t="inlineStr">
        <is>
          <t>RAGUNDA</t>
        </is>
      </c>
      <c r="G402" t="n">
        <v>5.4</v>
      </c>
      <c r="H402" t="n">
        <v>0</v>
      </c>
      <c r="I402" t="n">
        <v>0</v>
      </c>
      <c r="J402" t="n">
        <v>0</v>
      </c>
      <c r="K402" t="n">
        <v>0</v>
      </c>
      <c r="L402" t="n">
        <v>0</v>
      </c>
      <c r="M402" t="n">
        <v>0</v>
      </c>
      <c r="N402" t="n">
        <v>0</v>
      </c>
      <c r="O402" t="n">
        <v>0</v>
      </c>
      <c r="P402" t="n">
        <v>0</v>
      </c>
      <c r="Q402" t="n">
        <v>0</v>
      </c>
      <c r="R402" s="2" t="inlineStr"/>
    </row>
    <row r="403" ht="15" customHeight="1">
      <c r="A403" t="inlineStr">
        <is>
          <t>A 7279-2024</t>
        </is>
      </c>
      <c r="B403" s="1" t="n">
        <v>45344.92822916667</v>
      </c>
      <c r="C403" s="1" t="n">
        <v>45969</v>
      </c>
      <c r="D403" t="inlineStr">
        <is>
          <t>JÄMTLANDS LÄN</t>
        </is>
      </c>
      <c r="E403" t="inlineStr">
        <is>
          <t>RAGUNDA</t>
        </is>
      </c>
      <c r="G403" t="n">
        <v>2.1</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45969</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45969</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45969</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31972-2022</t>
        </is>
      </c>
      <c r="B407" s="1" t="n">
        <v>44777.95504629629</v>
      </c>
      <c r="C407" s="1" t="n">
        <v>45969</v>
      </c>
      <c r="D407" t="inlineStr">
        <is>
          <t>JÄMTLANDS LÄN</t>
        </is>
      </c>
      <c r="E407" t="inlineStr">
        <is>
          <t>RAGUNDA</t>
        </is>
      </c>
      <c r="F407" t="inlineStr">
        <is>
          <t>Naturvårdsverket</t>
        </is>
      </c>
      <c r="G407" t="n">
        <v>0.8</v>
      </c>
      <c r="H407" t="n">
        <v>0</v>
      </c>
      <c r="I407" t="n">
        <v>0</v>
      </c>
      <c r="J407" t="n">
        <v>0</v>
      </c>
      <c r="K407" t="n">
        <v>0</v>
      </c>
      <c r="L407" t="n">
        <v>0</v>
      </c>
      <c r="M407" t="n">
        <v>0</v>
      </c>
      <c r="N407" t="n">
        <v>0</v>
      </c>
      <c r="O407" t="n">
        <v>0</v>
      </c>
      <c r="P407" t="n">
        <v>0</v>
      </c>
      <c r="Q407" t="n">
        <v>0</v>
      </c>
      <c r="R407" s="2" t="inlineStr"/>
    </row>
    <row r="408" ht="15" customHeight="1">
      <c r="A408" t="inlineStr">
        <is>
          <t>A 48086-2022</t>
        </is>
      </c>
      <c r="B408" s="1" t="n">
        <v>44855.9471875</v>
      </c>
      <c r="C408" s="1" t="n">
        <v>45969</v>
      </c>
      <c r="D408" t="inlineStr">
        <is>
          <t>JÄMTLANDS LÄN</t>
        </is>
      </c>
      <c r="E408" t="inlineStr">
        <is>
          <t>RAGUNDA</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65017-2021</t>
        </is>
      </c>
      <c r="B409" s="1" t="n">
        <v>44512</v>
      </c>
      <c r="C409" s="1" t="n">
        <v>45969</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40213-2021</t>
        </is>
      </c>
      <c r="B410" s="1" t="n">
        <v>44418.9369212963</v>
      </c>
      <c r="C410" s="1" t="n">
        <v>45969</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10706-2023</t>
        </is>
      </c>
      <c r="B411" s="1" t="n">
        <v>44984</v>
      </c>
      <c r="C411" s="1" t="n">
        <v>45969</v>
      </c>
      <c r="D411" t="inlineStr">
        <is>
          <t>JÄMTLANDS LÄN</t>
        </is>
      </c>
      <c r="E411" t="inlineStr">
        <is>
          <t>RAGUNDA</t>
        </is>
      </c>
      <c r="G411" t="n">
        <v>7.7</v>
      </c>
      <c r="H411" t="n">
        <v>0</v>
      </c>
      <c r="I411" t="n">
        <v>0</v>
      </c>
      <c r="J411" t="n">
        <v>0</v>
      </c>
      <c r="K411" t="n">
        <v>0</v>
      </c>
      <c r="L411" t="n">
        <v>0</v>
      </c>
      <c r="M411" t="n">
        <v>0</v>
      </c>
      <c r="N411" t="n">
        <v>0</v>
      </c>
      <c r="O411" t="n">
        <v>0</v>
      </c>
      <c r="P411" t="n">
        <v>0</v>
      </c>
      <c r="Q411" t="n">
        <v>0</v>
      </c>
      <c r="R411" s="2" t="inlineStr"/>
    </row>
    <row r="412" ht="15" customHeight="1">
      <c r="A412" t="inlineStr">
        <is>
          <t>A 12585-2024</t>
        </is>
      </c>
      <c r="B412" s="1" t="n">
        <v>45379.93637731481</v>
      </c>
      <c r="C412" s="1" t="n">
        <v>45969</v>
      </c>
      <c r="D412" t="inlineStr">
        <is>
          <t>JÄMTLANDS LÄN</t>
        </is>
      </c>
      <c r="E412" t="inlineStr">
        <is>
          <t>RAGUNDA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15581-2024</t>
        </is>
      </c>
      <c r="B413" s="1" t="n">
        <v>45401</v>
      </c>
      <c r="C413" s="1" t="n">
        <v>45969</v>
      </c>
      <c r="D413" t="inlineStr">
        <is>
          <t>JÄMTLANDS LÄN</t>
        </is>
      </c>
      <c r="E413" t="inlineStr">
        <is>
          <t>RAGUNDA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15611-2024</t>
        </is>
      </c>
      <c r="B414" s="1" t="n">
        <v>45401</v>
      </c>
      <c r="C414" s="1" t="n">
        <v>45969</v>
      </c>
      <c r="D414" t="inlineStr">
        <is>
          <t>JÄMTLANDS LÄN</t>
        </is>
      </c>
      <c r="E414" t="inlineStr">
        <is>
          <t>RAGUNDA</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891-2022</t>
        </is>
      </c>
      <c r="B415" s="1" t="n">
        <v>44571</v>
      </c>
      <c r="C415" s="1" t="n">
        <v>45969</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33279-2022</t>
        </is>
      </c>
      <c r="B416" s="1" t="n">
        <v>44788</v>
      </c>
      <c r="C416" s="1" t="n">
        <v>45969</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47567-2022</t>
        </is>
      </c>
      <c r="B417" s="1" t="n">
        <v>44853</v>
      </c>
      <c r="C417" s="1" t="n">
        <v>45969</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26948-2021</t>
        </is>
      </c>
      <c r="B418" s="1" t="n">
        <v>44349.92013888889</v>
      </c>
      <c r="C418" s="1" t="n">
        <v>45969</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17559-2023</t>
        </is>
      </c>
      <c r="B419" s="1" t="n">
        <v>45034</v>
      </c>
      <c r="C419" s="1" t="n">
        <v>45969</v>
      </c>
      <c r="D419" t="inlineStr">
        <is>
          <t>JÄMTLANDS LÄN</t>
        </is>
      </c>
      <c r="E419" t="inlineStr">
        <is>
          <t>RAGUNDA</t>
        </is>
      </c>
      <c r="G419" t="n">
        <v>7.5</v>
      </c>
      <c r="H419" t="n">
        <v>0</v>
      </c>
      <c r="I419" t="n">
        <v>0</v>
      </c>
      <c r="J419" t="n">
        <v>0</v>
      </c>
      <c r="K419" t="n">
        <v>0</v>
      </c>
      <c r="L419" t="n">
        <v>0</v>
      </c>
      <c r="M419" t="n">
        <v>0</v>
      </c>
      <c r="N419" t="n">
        <v>0</v>
      </c>
      <c r="O419" t="n">
        <v>0</v>
      </c>
      <c r="P419" t="n">
        <v>0</v>
      </c>
      <c r="Q419" t="n">
        <v>0</v>
      </c>
      <c r="R419" s="2" t="inlineStr"/>
    </row>
    <row r="420" ht="15" customHeight="1">
      <c r="A420" t="inlineStr">
        <is>
          <t>A 19600-2021</t>
        </is>
      </c>
      <c r="B420" s="1" t="n">
        <v>44308</v>
      </c>
      <c r="C420" s="1" t="n">
        <v>45969</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8416-2023</t>
        </is>
      </c>
      <c r="B421" s="1" t="n">
        <v>44977.44373842593</v>
      </c>
      <c r="C421" s="1" t="n">
        <v>45969</v>
      </c>
      <c r="D421" t="inlineStr">
        <is>
          <t>JÄMTLANDS LÄN</t>
        </is>
      </c>
      <c r="E421" t="inlineStr">
        <is>
          <t>RAGUNDA</t>
        </is>
      </c>
      <c r="G421" t="n">
        <v>0.7</v>
      </c>
      <c r="H421" t="n">
        <v>0</v>
      </c>
      <c r="I421" t="n">
        <v>0</v>
      </c>
      <c r="J421" t="n">
        <v>0</v>
      </c>
      <c r="K421" t="n">
        <v>0</v>
      </c>
      <c r="L421" t="n">
        <v>0</v>
      </c>
      <c r="M421" t="n">
        <v>0</v>
      </c>
      <c r="N421" t="n">
        <v>0</v>
      </c>
      <c r="O421" t="n">
        <v>0</v>
      </c>
      <c r="P421" t="n">
        <v>0</v>
      </c>
      <c r="Q421" t="n">
        <v>0</v>
      </c>
      <c r="R421" s="2" t="inlineStr"/>
    </row>
    <row r="422" ht="15" customHeight="1">
      <c r="A422" t="inlineStr">
        <is>
          <t>A 11780-2024</t>
        </is>
      </c>
      <c r="B422" s="1" t="n">
        <v>45374</v>
      </c>
      <c r="C422" s="1" t="n">
        <v>45969</v>
      </c>
      <c r="D422" t="inlineStr">
        <is>
          <t>JÄMTLANDS LÄN</t>
        </is>
      </c>
      <c r="E422" t="inlineStr">
        <is>
          <t>RAGUNDA</t>
        </is>
      </c>
      <c r="G422" t="n">
        <v>14.6</v>
      </c>
      <c r="H422" t="n">
        <v>0</v>
      </c>
      <c r="I422" t="n">
        <v>0</v>
      </c>
      <c r="J422" t="n">
        <v>0</v>
      </c>
      <c r="K422" t="n">
        <v>0</v>
      </c>
      <c r="L422" t="n">
        <v>0</v>
      </c>
      <c r="M422" t="n">
        <v>0</v>
      </c>
      <c r="N422" t="n">
        <v>0</v>
      </c>
      <c r="O422" t="n">
        <v>0</v>
      </c>
      <c r="P422" t="n">
        <v>0</v>
      </c>
      <c r="Q422" t="n">
        <v>0</v>
      </c>
      <c r="R422" s="2" t="inlineStr"/>
    </row>
    <row r="423" ht="15" customHeight="1">
      <c r="A423" t="inlineStr">
        <is>
          <t>A 40801-2023</t>
        </is>
      </c>
      <c r="B423" s="1" t="n">
        <v>45170</v>
      </c>
      <c r="C423" s="1" t="n">
        <v>45969</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16460-2022</t>
        </is>
      </c>
      <c r="B424" s="1" t="n">
        <v>44671</v>
      </c>
      <c r="C424" s="1" t="n">
        <v>45969</v>
      </c>
      <c r="D424" t="inlineStr">
        <is>
          <t>JÄMTLANDS LÄN</t>
        </is>
      </c>
      <c r="E424" t="inlineStr">
        <is>
          <t>RAGUNDA</t>
        </is>
      </c>
      <c r="G424" t="n">
        <v>1.7</v>
      </c>
      <c r="H424" t="n">
        <v>0</v>
      </c>
      <c r="I424" t="n">
        <v>0</v>
      </c>
      <c r="J424" t="n">
        <v>0</v>
      </c>
      <c r="K424" t="n">
        <v>0</v>
      </c>
      <c r="L424" t="n">
        <v>0</v>
      </c>
      <c r="M424" t="n">
        <v>0</v>
      </c>
      <c r="N424" t="n">
        <v>0</v>
      </c>
      <c r="O424" t="n">
        <v>0</v>
      </c>
      <c r="P424" t="n">
        <v>0</v>
      </c>
      <c r="Q424" t="n">
        <v>0</v>
      </c>
      <c r="R424" s="2" t="inlineStr"/>
    </row>
    <row r="425" ht="15" customHeight="1">
      <c r="A425" t="inlineStr">
        <is>
          <t>A 30826-2023</t>
        </is>
      </c>
      <c r="B425" s="1" t="n">
        <v>45112</v>
      </c>
      <c r="C425" s="1" t="n">
        <v>45969</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45969</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49531-2022</t>
        </is>
      </c>
      <c r="B427" s="1" t="n">
        <v>44861</v>
      </c>
      <c r="C427" s="1" t="n">
        <v>45969</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22131-2021</t>
        </is>
      </c>
      <c r="B428" s="1" t="n">
        <v>44323</v>
      </c>
      <c r="C428" s="1" t="n">
        <v>45969</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59557-2023</t>
        </is>
      </c>
      <c r="B429" s="1" t="n">
        <v>45253</v>
      </c>
      <c r="C429" s="1" t="n">
        <v>45969</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56191-2022</t>
        </is>
      </c>
      <c r="B430" s="1" t="n">
        <v>44889.95015046297</v>
      </c>
      <c r="C430" s="1" t="n">
        <v>45969</v>
      </c>
      <c r="D430" t="inlineStr">
        <is>
          <t>JÄMTLANDS LÄN</t>
        </is>
      </c>
      <c r="E430" t="inlineStr">
        <is>
          <t>RAGUNDA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10120-2022</t>
        </is>
      </c>
      <c r="B431" s="1" t="n">
        <v>44621</v>
      </c>
      <c r="C431" s="1" t="n">
        <v>45969</v>
      </c>
      <c r="D431" t="inlineStr">
        <is>
          <t>JÄMTLANDS LÄN</t>
        </is>
      </c>
      <c r="E431" t="inlineStr">
        <is>
          <t>RAGUNDA</t>
        </is>
      </c>
      <c r="G431" t="n">
        <v>0.4</v>
      </c>
      <c r="H431" t="n">
        <v>0</v>
      </c>
      <c r="I431" t="n">
        <v>0</v>
      </c>
      <c r="J431" t="n">
        <v>0</v>
      </c>
      <c r="K431" t="n">
        <v>0</v>
      </c>
      <c r="L431" t="n">
        <v>0</v>
      </c>
      <c r="M431" t="n">
        <v>0</v>
      </c>
      <c r="N431" t="n">
        <v>0</v>
      </c>
      <c r="O431" t="n">
        <v>0</v>
      </c>
      <c r="P431" t="n">
        <v>0</v>
      </c>
      <c r="Q431" t="n">
        <v>0</v>
      </c>
      <c r="R431" s="2" t="inlineStr"/>
    </row>
    <row r="432" ht="15" customHeight="1">
      <c r="A432" t="inlineStr">
        <is>
          <t>A 50157-2023</t>
        </is>
      </c>
      <c r="B432" s="1" t="n">
        <v>45208</v>
      </c>
      <c r="C432" s="1" t="n">
        <v>45969</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13964-2022</t>
        </is>
      </c>
      <c r="B433" s="1" t="n">
        <v>44650</v>
      </c>
      <c r="C433" s="1" t="n">
        <v>45969</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27499-2024</t>
        </is>
      </c>
      <c r="B434" s="1" t="n">
        <v>45474.50608796296</v>
      </c>
      <c r="C434" s="1" t="n">
        <v>45969</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33621-2023</t>
        </is>
      </c>
      <c r="B435" s="1" t="n">
        <v>45119</v>
      </c>
      <c r="C435" s="1" t="n">
        <v>45969</v>
      </c>
      <c r="D435" t="inlineStr">
        <is>
          <t>JÄMTLANDS LÄN</t>
        </is>
      </c>
      <c r="E435" t="inlineStr">
        <is>
          <t>RAGUNDA</t>
        </is>
      </c>
      <c r="G435" t="n">
        <v>0.5</v>
      </c>
      <c r="H435" t="n">
        <v>0</v>
      </c>
      <c r="I435" t="n">
        <v>0</v>
      </c>
      <c r="J435" t="n">
        <v>0</v>
      </c>
      <c r="K435" t="n">
        <v>0</v>
      </c>
      <c r="L435" t="n">
        <v>0</v>
      </c>
      <c r="M435" t="n">
        <v>0</v>
      </c>
      <c r="N435" t="n">
        <v>0</v>
      </c>
      <c r="O435" t="n">
        <v>0</v>
      </c>
      <c r="P435" t="n">
        <v>0</v>
      </c>
      <c r="Q435" t="n">
        <v>0</v>
      </c>
      <c r="R435" s="2" t="inlineStr"/>
    </row>
    <row r="436" ht="15" customHeight="1">
      <c r="A436" t="inlineStr">
        <is>
          <t>A 65216-2023</t>
        </is>
      </c>
      <c r="B436" s="1" t="n">
        <v>45289</v>
      </c>
      <c r="C436" s="1" t="n">
        <v>45969</v>
      </c>
      <c r="D436" t="inlineStr">
        <is>
          <t>JÄMTLANDS LÄN</t>
        </is>
      </c>
      <c r="E436" t="inlineStr">
        <is>
          <t>RAGUNDA</t>
        </is>
      </c>
      <c r="G436" t="n">
        <v>2.9</v>
      </c>
      <c r="H436" t="n">
        <v>0</v>
      </c>
      <c r="I436" t="n">
        <v>0</v>
      </c>
      <c r="J436" t="n">
        <v>0</v>
      </c>
      <c r="K436" t="n">
        <v>0</v>
      </c>
      <c r="L436" t="n">
        <v>0</v>
      </c>
      <c r="M436" t="n">
        <v>0</v>
      </c>
      <c r="N436" t="n">
        <v>0</v>
      </c>
      <c r="O436" t="n">
        <v>0</v>
      </c>
      <c r="P436" t="n">
        <v>0</v>
      </c>
      <c r="Q436" t="n">
        <v>0</v>
      </c>
      <c r="R436" s="2" t="inlineStr"/>
    </row>
    <row r="437" ht="15" customHeight="1">
      <c r="A437" t="inlineStr">
        <is>
          <t>A 38664-2022</t>
        </is>
      </c>
      <c r="B437" s="1" t="n">
        <v>44813</v>
      </c>
      <c r="C437" s="1" t="n">
        <v>45969</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52148-2024</t>
        </is>
      </c>
      <c r="B438" s="1" t="n">
        <v>45608.52354166667</v>
      </c>
      <c r="C438" s="1" t="n">
        <v>45969</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60838-2023</t>
        </is>
      </c>
      <c r="B439" s="1" t="n">
        <v>45260.92561342593</v>
      </c>
      <c r="C439" s="1" t="n">
        <v>45969</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462-2023</t>
        </is>
      </c>
      <c r="B440" s="1" t="n">
        <v>44929</v>
      </c>
      <c r="C440" s="1" t="n">
        <v>45969</v>
      </c>
      <c r="D440" t="inlineStr">
        <is>
          <t>JÄMTLANDS LÄN</t>
        </is>
      </c>
      <c r="E440" t="inlineStr">
        <is>
          <t>RAGUNDA</t>
        </is>
      </c>
      <c r="G440" t="n">
        <v>4.5</v>
      </c>
      <c r="H440" t="n">
        <v>0</v>
      </c>
      <c r="I440" t="n">
        <v>0</v>
      </c>
      <c r="J440" t="n">
        <v>0</v>
      </c>
      <c r="K440" t="n">
        <v>0</v>
      </c>
      <c r="L440" t="n">
        <v>0</v>
      </c>
      <c r="M440" t="n">
        <v>0</v>
      </c>
      <c r="N440" t="n">
        <v>0</v>
      </c>
      <c r="O440" t="n">
        <v>0</v>
      </c>
      <c r="P440" t="n">
        <v>0</v>
      </c>
      <c r="Q440" t="n">
        <v>0</v>
      </c>
      <c r="R440" s="2" t="inlineStr"/>
    </row>
    <row r="441" ht="15" customHeight="1">
      <c r="A441" t="inlineStr">
        <is>
          <t>A 2133-2023</t>
        </is>
      </c>
      <c r="B441" s="1" t="n">
        <v>44939</v>
      </c>
      <c r="C441" s="1" t="n">
        <v>45969</v>
      </c>
      <c r="D441" t="inlineStr">
        <is>
          <t>JÄMTLANDS LÄN</t>
        </is>
      </c>
      <c r="E441" t="inlineStr">
        <is>
          <t>RAGUNDA</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42893-2022</t>
        </is>
      </c>
      <c r="B442" s="1" t="n">
        <v>44832</v>
      </c>
      <c r="C442" s="1" t="n">
        <v>45969</v>
      </c>
      <c r="D442" t="inlineStr">
        <is>
          <t>JÄMTLANDS LÄN</t>
        </is>
      </c>
      <c r="E442" t="inlineStr">
        <is>
          <t>RAGUNDA</t>
        </is>
      </c>
      <c r="F442" t="inlineStr">
        <is>
          <t>SCA</t>
        </is>
      </c>
      <c r="G442" t="n">
        <v>28.4</v>
      </c>
      <c r="H442" t="n">
        <v>0</v>
      </c>
      <c r="I442" t="n">
        <v>0</v>
      </c>
      <c r="J442" t="n">
        <v>0</v>
      </c>
      <c r="K442" t="n">
        <v>0</v>
      </c>
      <c r="L442" t="n">
        <v>0</v>
      </c>
      <c r="M442" t="n">
        <v>0</v>
      </c>
      <c r="N442" t="n">
        <v>0</v>
      </c>
      <c r="O442" t="n">
        <v>0</v>
      </c>
      <c r="P442" t="n">
        <v>0</v>
      </c>
      <c r="Q442" t="n">
        <v>0</v>
      </c>
      <c r="R442" s="2" t="inlineStr"/>
    </row>
    <row r="443" ht="15" customHeight="1">
      <c r="A443" t="inlineStr">
        <is>
          <t>A 38425-2022</t>
        </is>
      </c>
      <c r="B443" s="1" t="n">
        <v>44812.94709490741</v>
      </c>
      <c r="C443" s="1" t="n">
        <v>45969</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36922-2022</t>
        </is>
      </c>
      <c r="B444" s="1" t="n">
        <v>44805.94592592592</v>
      </c>
      <c r="C444" s="1" t="n">
        <v>45969</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26645-2024</t>
        </is>
      </c>
      <c r="B445" s="1" t="n">
        <v>45469.94667824074</v>
      </c>
      <c r="C445" s="1" t="n">
        <v>45969</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32258-2024</t>
        </is>
      </c>
      <c r="B446" s="1" t="n">
        <v>45511</v>
      </c>
      <c r="C446" s="1" t="n">
        <v>45969</v>
      </c>
      <c r="D446" t="inlineStr">
        <is>
          <t>JÄMTLANDS LÄN</t>
        </is>
      </c>
      <c r="E446" t="inlineStr">
        <is>
          <t>RAGUNDA</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14513-2025</t>
        </is>
      </c>
      <c r="B447" s="1" t="n">
        <v>45741.63675925926</v>
      </c>
      <c r="C447" s="1" t="n">
        <v>45969</v>
      </c>
      <c r="D447" t="inlineStr">
        <is>
          <t>JÄMTLANDS LÄN</t>
        </is>
      </c>
      <c r="E447" t="inlineStr">
        <is>
          <t>RAGUNDA</t>
        </is>
      </c>
      <c r="F447" t="inlineStr">
        <is>
          <t>SCA</t>
        </is>
      </c>
      <c r="G447" t="n">
        <v>6.8</v>
      </c>
      <c r="H447" t="n">
        <v>0</v>
      </c>
      <c r="I447" t="n">
        <v>0</v>
      </c>
      <c r="J447" t="n">
        <v>0</v>
      </c>
      <c r="K447" t="n">
        <v>0</v>
      </c>
      <c r="L447" t="n">
        <v>0</v>
      </c>
      <c r="M447" t="n">
        <v>0</v>
      </c>
      <c r="N447" t="n">
        <v>0</v>
      </c>
      <c r="O447" t="n">
        <v>0</v>
      </c>
      <c r="P447" t="n">
        <v>0</v>
      </c>
      <c r="Q447" t="n">
        <v>0</v>
      </c>
      <c r="R447" s="2" t="inlineStr"/>
    </row>
    <row r="448" ht="15" customHeight="1">
      <c r="A448" t="inlineStr">
        <is>
          <t>A 49647-2024</t>
        </is>
      </c>
      <c r="B448" s="1" t="n">
        <v>45596.61533564814</v>
      </c>
      <c r="C448" s="1" t="n">
        <v>45969</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9326-2024</t>
        </is>
      </c>
      <c r="B449" s="1" t="n">
        <v>45358.95818287037</v>
      </c>
      <c r="C449" s="1" t="n">
        <v>45969</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6802-2021</t>
        </is>
      </c>
      <c r="B450" s="1" t="n">
        <v>44236</v>
      </c>
      <c r="C450" s="1" t="n">
        <v>45969</v>
      </c>
      <c r="D450" t="inlineStr">
        <is>
          <t>JÄMTLANDS LÄN</t>
        </is>
      </c>
      <c r="E450" t="inlineStr">
        <is>
          <t>RAGUNDA</t>
        </is>
      </c>
      <c r="G450" t="n">
        <v>11.2</v>
      </c>
      <c r="H450" t="n">
        <v>0</v>
      </c>
      <c r="I450" t="n">
        <v>0</v>
      </c>
      <c r="J450" t="n">
        <v>0</v>
      </c>
      <c r="K450" t="n">
        <v>0</v>
      </c>
      <c r="L450" t="n">
        <v>0</v>
      </c>
      <c r="M450" t="n">
        <v>0</v>
      </c>
      <c r="N450" t="n">
        <v>0</v>
      </c>
      <c r="O450" t="n">
        <v>0</v>
      </c>
      <c r="P450" t="n">
        <v>0</v>
      </c>
      <c r="Q450" t="n">
        <v>0</v>
      </c>
      <c r="R450" s="2" t="inlineStr"/>
    </row>
    <row r="451" ht="15" customHeight="1">
      <c r="A451" t="inlineStr">
        <is>
          <t>A 7281-2025</t>
        </is>
      </c>
      <c r="B451" s="1" t="n">
        <v>45702.63572916666</v>
      </c>
      <c r="C451" s="1" t="n">
        <v>45969</v>
      </c>
      <c r="D451" t="inlineStr">
        <is>
          <t>JÄMTLANDS LÄN</t>
        </is>
      </c>
      <c r="E451" t="inlineStr">
        <is>
          <t>RAGUNDA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64415-2023</t>
        </is>
      </c>
      <c r="B452" s="1" t="n">
        <v>45280</v>
      </c>
      <c r="C452" s="1" t="n">
        <v>45969</v>
      </c>
      <c r="D452" t="inlineStr">
        <is>
          <t>JÄMTLANDS LÄN</t>
        </is>
      </c>
      <c r="E452" t="inlineStr">
        <is>
          <t>RAGUNDA</t>
        </is>
      </c>
      <c r="G452" t="n">
        <v>5.1</v>
      </c>
      <c r="H452" t="n">
        <v>0</v>
      </c>
      <c r="I452" t="n">
        <v>0</v>
      </c>
      <c r="J452" t="n">
        <v>0</v>
      </c>
      <c r="K452" t="n">
        <v>0</v>
      </c>
      <c r="L452" t="n">
        <v>0</v>
      </c>
      <c r="M452" t="n">
        <v>0</v>
      </c>
      <c r="N452" t="n">
        <v>0</v>
      </c>
      <c r="O452" t="n">
        <v>0</v>
      </c>
      <c r="P452" t="n">
        <v>0</v>
      </c>
      <c r="Q452" t="n">
        <v>0</v>
      </c>
      <c r="R452" s="2" t="inlineStr"/>
    </row>
    <row r="453" ht="15" customHeight="1">
      <c r="A453" t="inlineStr">
        <is>
          <t>A 9187-2022</t>
        </is>
      </c>
      <c r="B453" s="1" t="n">
        <v>44615</v>
      </c>
      <c r="C453" s="1" t="n">
        <v>45969</v>
      </c>
      <c r="D453" t="inlineStr">
        <is>
          <t>JÄMTLANDS LÄN</t>
        </is>
      </c>
      <c r="E453" t="inlineStr">
        <is>
          <t>RAGUNDA</t>
        </is>
      </c>
      <c r="G453" t="n">
        <v>2</v>
      </c>
      <c r="H453" t="n">
        <v>0</v>
      </c>
      <c r="I453" t="n">
        <v>0</v>
      </c>
      <c r="J453" t="n">
        <v>0</v>
      </c>
      <c r="K453" t="n">
        <v>0</v>
      </c>
      <c r="L453" t="n">
        <v>0</v>
      </c>
      <c r="M453" t="n">
        <v>0</v>
      </c>
      <c r="N453" t="n">
        <v>0</v>
      </c>
      <c r="O453" t="n">
        <v>0</v>
      </c>
      <c r="P453" t="n">
        <v>0</v>
      </c>
      <c r="Q453" t="n">
        <v>0</v>
      </c>
      <c r="R453" s="2" t="inlineStr"/>
    </row>
    <row r="454" ht="15" customHeight="1">
      <c r="A454" t="inlineStr">
        <is>
          <t>A 15672-2021</t>
        </is>
      </c>
      <c r="B454" s="1" t="n">
        <v>44286</v>
      </c>
      <c r="C454" s="1" t="n">
        <v>45969</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50650-2023</t>
        </is>
      </c>
      <c r="B455" s="1" t="n">
        <v>45210</v>
      </c>
      <c r="C455" s="1" t="n">
        <v>45969</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564-2025</t>
        </is>
      </c>
      <c r="B456" s="1" t="n">
        <v>45664.55241898148</v>
      </c>
      <c r="C456" s="1" t="n">
        <v>45969</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13935-2024</t>
        </is>
      </c>
      <c r="B457" s="1" t="n">
        <v>45391.95329861111</v>
      </c>
      <c r="C457" s="1" t="n">
        <v>45969</v>
      </c>
      <c r="D457" t="inlineStr">
        <is>
          <t>JÄMTLANDS LÄN</t>
        </is>
      </c>
      <c r="E457" t="inlineStr">
        <is>
          <t>RAGUNDA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38782-2021</t>
        </is>
      </c>
      <c r="B458" s="1" t="n">
        <v>44410</v>
      </c>
      <c r="C458" s="1" t="n">
        <v>45969</v>
      </c>
      <c r="D458" t="inlineStr">
        <is>
          <t>JÄMTLANDS LÄN</t>
        </is>
      </c>
      <c r="E458" t="inlineStr">
        <is>
          <t>RAGUNDA</t>
        </is>
      </c>
      <c r="G458" t="n">
        <v>3.2</v>
      </c>
      <c r="H458" t="n">
        <v>0</v>
      </c>
      <c r="I458" t="n">
        <v>0</v>
      </c>
      <c r="J458" t="n">
        <v>0</v>
      </c>
      <c r="K458" t="n">
        <v>0</v>
      </c>
      <c r="L458" t="n">
        <v>0</v>
      </c>
      <c r="M458" t="n">
        <v>0</v>
      </c>
      <c r="N458" t="n">
        <v>0</v>
      </c>
      <c r="O458" t="n">
        <v>0</v>
      </c>
      <c r="P458" t="n">
        <v>0</v>
      </c>
      <c r="Q458" t="n">
        <v>0</v>
      </c>
      <c r="R458" s="2" t="inlineStr"/>
    </row>
    <row r="459" ht="15" customHeight="1">
      <c r="A459" t="inlineStr">
        <is>
          <t>A 16250-2022</t>
        </is>
      </c>
      <c r="B459" s="1" t="n">
        <v>44670</v>
      </c>
      <c r="C459" s="1" t="n">
        <v>45969</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18777-2024</t>
        </is>
      </c>
      <c r="B460" s="1" t="n">
        <v>45426</v>
      </c>
      <c r="C460" s="1" t="n">
        <v>45969</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13334-2024</t>
        </is>
      </c>
      <c r="B461" s="1" t="n">
        <v>45386</v>
      </c>
      <c r="C461" s="1" t="n">
        <v>45969</v>
      </c>
      <c r="D461" t="inlineStr">
        <is>
          <t>JÄMTLANDS LÄN</t>
        </is>
      </c>
      <c r="E461" t="inlineStr">
        <is>
          <t>RAGUNDA</t>
        </is>
      </c>
      <c r="G461" t="n">
        <v>8.6</v>
      </c>
      <c r="H461" t="n">
        <v>0</v>
      </c>
      <c r="I461" t="n">
        <v>0</v>
      </c>
      <c r="J461" t="n">
        <v>0</v>
      </c>
      <c r="K461" t="n">
        <v>0</v>
      </c>
      <c r="L461" t="n">
        <v>0</v>
      </c>
      <c r="M461" t="n">
        <v>0</v>
      </c>
      <c r="N461" t="n">
        <v>0</v>
      </c>
      <c r="O461" t="n">
        <v>0</v>
      </c>
      <c r="P461" t="n">
        <v>0</v>
      </c>
      <c r="Q461" t="n">
        <v>0</v>
      </c>
      <c r="R461" s="2" t="inlineStr"/>
    </row>
    <row r="462" ht="15" customHeight="1">
      <c r="A462" t="inlineStr">
        <is>
          <t>A 3767-2025</t>
        </is>
      </c>
      <c r="B462" s="1" t="n">
        <v>45681.60203703704</v>
      </c>
      <c r="C462" s="1" t="n">
        <v>45969</v>
      </c>
      <c r="D462" t="inlineStr">
        <is>
          <t>JÄMTLANDS LÄN</t>
        </is>
      </c>
      <c r="E462" t="inlineStr">
        <is>
          <t>RAGUNDA</t>
        </is>
      </c>
      <c r="G462" t="n">
        <v>4.9</v>
      </c>
      <c r="H462" t="n">
        <v>0</v>
      </c>
      <c r="I462" t="n">
        <v>0</v>
      </c>
      <c r="J462" t="n">
        <v>0</v>
      </c>
      <c r="K462" t="n">
        <v>0</v>
      </c>
      <c r="L462" t="n">
        <v>0</v>
      </c>
      <c r="M462" t="n">
        <v>0</v>
      </c>
      <c r="N462" t="n">
        <v>0</v>
      </c>
      <c r="O462" t="n">
        <v>0</v>
      </c>
      <c r="P462" t="n">
        <v>0</v>
      </c>
      <c r="Q462" t="n">
        <v>0</v>
      </c>
      <c r="R462" s="2" t="inlineStr"/>
    </row>
    <row r="463" ht="15" customHeight="1">
      <c r="A463" t="inlineStr">
        <is>
          <t>A 3186-2025</t>
        </is>
      </c>
      <c r="B463" s="1" t="n">
        <v>45679.40362268518</v>
      </c>
      <c r="C463" s="1" t="n">
        <v>45969</v>
      </c>
      <c r="D463" t="inlineStr">
        <is>
          <t>JÄMTLANDS LÄN</t>
        </is>
      </c>
      <c r="E463" t="inlineStr">
        <is>
          <t>RAGUNDA</t>
        </is>
      </c>
      <c r="G463" t="n">
        <v>5.2</v>
      </c>
      <c r="H463" t="n">
        <v>0</v>
      </c>
      <c r="I463" t="n">
        <v>0</v>
      </c>
      <c r="J463" t="n">
        <v>0</v>
      </c>
      <c r="K463" t="n">
        <v>0</v>
      </c>
      <c r="L463" t="n">
        <v>0</v>
      </c>
      <c r="M463" t="n">
        <v>0</v>
      </c>
      <c r="N463" t="n">
        <v>0</v>
      </c>
      <c r="O463" t="n">
        <v>0</v>
      </c>
      <c r="P463" t="n">
        <v>0</v>
      </c>
      <c r="Q463" t="n">
        <v>0</v>
      </c>
      <c r="R463" s="2" t="inlineStr"/>
    </row>
    <row r="464" ht="15" customHeight="1">
      <c r="A464" t="inlineStr">
        <is>
          <t>A 1308-2025</t>
        </is>
      </c>
      <c r="B464" s="1" t="n">
        <v>45667.55239583334</v>
      </c>
      <c r="C464" s="1" t="n">
        <v>45969</v>
      </c>
      <c r="D464" t="inlineStr">
        <is>
          <t>JÄMTLANDS LÄN</t>
        </is>
      </c>
      <c r="E464" t="inlineStr">
        <is>
          <t>RAGUNDA</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59670-2023</t>
        </is>
      </c>
      <c r="B465" s="1" t="n">
        <v>45254.96516203704</v>
      </c>
      <c r="C465" s="1" t="n">
        <v>45969</v>
      </c>
      <c r="D465" t="inlineStr">
        <is>
          <t>JÄMTLANDS LÄN</t>
        </is>
      </c>
      <c r="E465" t="inlineStr">
        <is>
          <t>RAGUNDA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55669-2023</t>
        </is>
      </c>
      <c r="B466" s="1" t="n">
        <v>45238.96797453704</v>
      </c>
      <c r="C466" s="1" t="n">
        <v>45969</v>
      </c>
      <c r="D466" t="inlineStr">
        <is>
          <t>JÄMTLANDS LÄN</t>
        </is>
      </c>
      <c r="E466" t="inlineStr">
        <is>
          <t>RAGUNDA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51389-2024</t>
        </is>
      </c>
      <c r="B467" s="1" t="n">
        <v>45604.40540509259</v>
      </c>
      <c r="C467" s="1" t="n">
        <v>45969</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51393-2024</t>
        </is>
      </c>
      <c r="B468" s="1" t="n">
        <v>45604.41625</v>
      </c>
      <c r="C468" s="1" t="n">
        <v>45969</v>
      </c>
      <c r="D468" t="inlineStr">
        <is>
          <t>JÄMTLANDS LÄN</t>
        </is>
      </c>
      <c r="E468" t="inlineStr">
        <is>
          <t>RAGUNDA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43339-2024</t>
        </is>
      </c>
      <c r="B469" s="1" t="n">
        <v>45568.51075231482</v>
      </c>
      <c r="C469" s="1" t="n">
        <v>45969</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38548-2024</t>
        </is>
      </c>
      <c r="B470" s="1" t="n">
        <v>45546</v>
      </c>
      <c r="C470" s="1" t="n">
        <v>45969</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41262-2021</t>
        </is>
      </c>
      <c r="B471" s="1" t="n">
        <v>44424</v>
      </c>
      <c r="C471" s="1" t="n">
        <v>45969</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36371-2023</t>
        </is>
      </c>
      <c r="B472" s="1" t="n">
        <v>45149</v>
      </c>
      <c r="C472" s="1" t="n">
        <v>45969</v>
      </c>
      <c r="D472" t="inlineStr">
        <is>
          <t>JÄMTLANDS LÄN</t>
        </is>
      </c>
      <c r="E472" t="inlineStr">
        <is>
          <t>RAGUNDA</t>
        </is>
      </c>
      <c r="G472" t="n">
        <v>25.7</v>
      </c>
      <c r="H472" t="n">
        <v>0</v>
      </c>
      <c r="I472" t="n">
        <v>0</v>
      </c>
      <c r="J472" t="n">
        <v>0</v>
      </c>
      <c r="K472" t="n">
        <v>0</v>
      </c>
      <c r="L472" t="n">
        <v>0</v>
      </c>
      <c r="M472" t="n">
        <v>0</v>
      </c>
      <c r="N472" t="n">
        <v>0</v>
      </c>
      <c r="O472" t="n">
        <v>0</v>
      </c>
      <c r="P472" t="n">
        <v>0</v>
      </c>
      <c r="Q472" t="n">
        <v>0</v>
      </c>
      <c r="R472" s="2" t="inlineStr"/>
    </row>
    <row r="473" ht="15" customHeight="1">
      <c r="A473" t="inlineStr">
        <is>
          <t>A 25304-2023</t>
        </is>
      </c>
      <c r="B473" s="1" t="n">
        <v>45086</v>
      </c>
      <c r="C473" s="1" t="n">
        <v>45969</v>
      </c>
      <c r="D473" t="inlineStr">
        <is>
          <t>JÄMTLANDS LÄN</t>
        </is>
      </c>
      <c r="E473" t="inlineStr">
        <is>
          <t>RAGUNDA</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58193-2022</t>
        </is>
      </c>
      <c r="B474" s="1" t="n">
        <v>44900.95700231481</v>
      </c>
      <c r="C474" s="1" t="n">
        <v>45969</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45969</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51579-2024</t>
        </is>
      </c>
      <c r="B476" s="1" t="n">
        <v>45604.63575231482</v>
      </c>
      <c r="C476" s="1" t="n">
        <v>45969</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5971-2025</t>
        </is>
      </c>
      <c r="B477" s="1" t="n">
        <v>45695.51070601852</v>
      </c>
      <c r="C477" s="1" t="n">
        <v>45969</v>
      </c>
      <c r="D477" t="inlineStr">
        <is>
          <t>JÄMTLANDS LÄN</t>
        </is>
      </c>
      <c r="E477" t="inlineStr">
        <is>
          <t>RAGUNDA</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18194-2025</t>
        </is>
      </c>
      <c r="B478" s="1" t="n">
        <v>45761.67744212963</v>
      </c>
      <c r="C478" s="1" t="n">
        <v>45969</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45969</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13299-2024</t>
        </is>
      </c>
      <c r="B480" s="1" t="n">
        <v>45386.68003472222</v>
      </c>
      <c r="C480" s="1" t="n">
        <v>45969</v>
      </c>
      <c r="D480" t="inlineStr">
        <is>
          <t>JÄMTLANDS LÄN</t>
        </is>
      </c>
      <c r="E480" t="inlineStr">
        <is>
          <t>RAGUNDA</t>
        </is>
      </c>
      <c r="G480" t="n">
        <v>1.9</v>
      </c>
      <c r="H480" t="n">
        <v>0</v>
      </c>
      <c r="I480" t="n">
        <v>0</v>
      </c>
      <c r="J480" t="n">
        <v>0</v>
      </c>
      <c r="K480" t="n">
        <v>0</v>
      </c>
      <c r="L480" t="n">
        <v>0</v>
      </c>
      <c r="M480" t="n">
        <v>0</v>
      </c>
      <c r="N480" t="n">
        <v>0</v>
      </c>
      <c r="O480" t="n">
        <v>0</v>
      </c>
      <c r="P480" t="n">
        <v>0</v>
      </c>
      <c r="Q480" t="n">
        <v>0</v>
      </c>
      <c r="R480" s="2" t="inlineStr"/>
    </row>
    <row r="481" ht="15" customHeight="1">
      <c r="A481" t="inlineStr">
        <is>
          <t>A 58537-2022</t>
        </is>
      </c>
      <c r="B481" s="1" t="n">
        <v>44894</v>
      </c>
      <c r="C481" s="1" t="n">
        <v>45969</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53347-2023</t>
        </is>
      </c>
      <c r="B482" s="1" t="n">
        <v>45223</v>
      </c>
      <c r="C482" s="1" t="n">
        <v>45969</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51537-2022</t>
        </is>
      </c>
      <c r="B483" s="1" t="n">
        <v>44869</v>
      </c>
      <c r="C483" s="1" t="n">
        <v>45969</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22948-2024</t>
        </is>
      </c>
      <c r="B484" s="1" t="n">
        <v>45448.94600694445</v>
      </c>
      <c r="C484" s="1" t="n">
        <v>45969</v>
      </c>
      <c r="D484" t="inlineStr">
        <is>
          <t>JÄMTLANDS LÄN</t>
        </is>
      </c>
      <c r="E484" t="inlineStr">
        <is>
          <t>RAGUNDA</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44630-2023</t>
        </is>
      </c>
      <c r="B485" s="1" t="n">
        <v>45184</v>
      </c>
      <c r="C485" s="1" t="n">
        <v>45969</v>
      </c>
      <c r="D485" t="inlineStr">
        <is>
          <t>JÄMTLANDS LÄN</t>
        </is>
      </c>
      <c r="E485" t="inlineStr">
        <is>
          <t>RAGUNDA</t>
        </is>
      </c>
      <c r="G485" t="n">
        <v>3.4</v>
      </c>
      <c r="H485" t="n">
        <v>0</v>
      </c>
      <c r="I485" t="n">
        <v>0</v>
      </c>
      <c r="J485" t="n">
        <v>0</v>
      </c>
      <c r="K485" t="n">
        <v>0</v>
      </c>
      <c r="L485" t="n">
        <v>0</v>
      </c>
      <c r="M485" t="n">
        <v>0</v>
      </c>
      <c r="N485" t="n">
        <v>0</v>
      </c>
      <c r="O485" t="n">
        <v>0</v>
      </c>
      <c r="P485" t="n">
        <v>0</v>
      </c>
      <c r="Q485" t="n">
        <v>0</v>
      </c>
      <c r="R485" s="2" t="inlineStr"/>
    </row>
    <row r="486" ht="15" customHeight="1">
      <c r="A486" t="inlineStr">
        <is>
          <t>A 53678-2022</t>
        </is>
      </c>
      <c r="B486" s="1" t="n">
        <v>44879.95768518518</v>
      </c>
      <c r="C486" s="1" t="n">
        <v>45969</v>
      </c>
      <c r="D486" t="inlineStr">
        <is>
          <t>JÄMTLANDS LÄN</t>
        </is>
      </c>
      <c r="E486" t="inlineStr">
        <is>
          <t>RAGUNDA</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14369-2024</t>
        </is>
      </c>
      <c r="B487" s="1" t="n">
        <v>45393.94459490741</v>
      </c>
      <c r="C487" s="1" t="n">
        <v>45969</v>
      </c>
      <c r="D487" t="inlineStr">
        <is>
          <t>JÄMTLANDS LÄN</t>
        </is>
      </c>
      <c r="E487" t="inlineStr">
        <is>
          <t>RAGUNDA</t>
        </is>
      </c>
      <c r="F487" t="inlineStr">
        <is>
          <t>Naturvårdsverket</t>
        </is>
      </c>
      <c r="G487" t="n">
        <v>1.8</v>
      </c>
      <c r="H487" t="n">
        <v>0</v>
      </c>
      <c r="I487" t="n">
        <v>0</v>
      </c>
      <c r="J487" t="n">
        <v>0</v>
      </c>
      <c r="K487" t="n">
        <v>0</v>
      </c>
      <c r="L487" t="n">
        <v>0</v>
      </c>
      <c r="M487" t="n">
        <v>0</v>
      </c>
      <c r="N487" t="n">
        <v>0</v>
      </c>
      <c r="O487" t="n">
        <v>0</v>
      </c>
      <c r="P487" t="n">
        <v>0</v>
      </c>
      <c r="Q487" t="n">
        <v>0</v>
      </c>
      <c r="R487" s="2" t="inlineStr"/>
    </row>
    <row r="488" ht="15" customHeight="1">
      <c r="A488" t="inlineStr">
        <is>
          <t>A 10639-2024</t>
        </is>
      </c>
      <c r="B488" s="1" t="n">
        <v>45367.67256944445</v>
      </c>
      <c r="C488" s="1" t="n">
        <v>45969</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12995-2023</t>
        </is>
      </c>
      <c r="B489" s="1" t="n">
        <v>45002.0328125</v>
      </c>
      <c r="C489" s="1" t="n">
        <v>45969</v>
      </c>
      <c r="D489" t="inlineStr">
        <is>
          <t>JÄMTLANDS LÄN</t>
        </is>
      </c>
      <c r="E489" t="inlineStr">
        <is>
          <t>RAGUNDA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12522-2023</t>
        </is>
      </c>
      <c r="B490" s="1" t="n">
        <v>45000</v>
      </c>
      <c r="C490" s="1" t="n">
        <v>45969</v>
      </c>
      <c r="D490" t="inlineStr">
        <is>
          <t>JÄMTLANDS LÄN</t>
        </is>
      </c>
      <c r="E490" t="inlineStr">
        <is>
          <t>RAGUNDA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12523-2023</t>
        </is>
      </c>
      <c r="B491" s="1" t="n">
        <v>45000</v>
      </c>
      <c r="C491" s="1" t="n">
        <v>45969</v>
      </c>
      <c r="D491" t="inlineStr">
        <is>
          <t>JÄMTLANDS LÄN</t>
        </is>
      </c>
      <c r="E491" t="inlineStr">
        <is>
          <t>RAGUNDA</t>
        </is>
      </c>
      <c r="F491" t="inlineStr">
        <is>
          <t>SCA</t>
        </is>
      </c>
      <c r="G491" t="n">
        <v>14.3</v>
      </c>
      <c r="H491" t="n">
        <v>0</v>
      </c>
      <c r="I491" t="n">
        <v>0</v>
      </c>
      <c r="J491" t="n">
        <v>0</v>
      </c>
      <c r="K491" t="n">
        <v>0</v>
      </c>
      <c r="L491" t="n">
        <v>0</v>
      </c>
      <c r="M491" t="n">
        <v>0</v>
      </c>
      <c r="N491" t="n">
        <v>0</v>
      </c>
      <c r="O491" t="n">
        <v>0</v>
      </c>
      <c r="P491" t="n">
        <v>0</v>
      </c>
      <c r="Q491" t="n">
        <v>0</v>
      </c>
      <c r="R491" s="2" t="inlineStr"/>
    </row>
    <row r="492" ht="15" customHeight="1">
      <c r="A492" t="inlineStr">
        <is>
          <t>A 50649-2022</t>
        </is>
      </c>
      <c r="B492" s="1" t="n">
        <v>44866</v>
      </c>
      <c r="C492" s="1" t="n">
        <v>45969</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45969</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36246-2024</t>
        </is>
      </c>
      <c r="B494" s="1" t="n">
        <v>45534</v>
      </c>
      <c r="C494" s="1" t="n">
        <v>45969</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60195-2023</t>
        </is>
      </c>
      <c r="B495" s="1" t="n">
        <v>45257</v>
      </c>
      <c r="C495" s="1" t="n">
        <v>45969</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47037-2025</t>
        </is>
      </c>
      <c r="B496" s="1" t="n">
        <v>45929.59456018519</v>
      </c>
      <c r="C496" s="1" t="n">
        <v>45969</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8800-2025</t>
        </is>
      </c>
      <c r="B497" s="1" t="n">
        <v>45712.65671296296</v>
      </c>
      <c r="C497" s="1" t="n">
        <v>45969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2819-2023</t>
        </is>
      </c>
      <c r="B498" s="1" t="n">
        <v>44944</v>
      </c>
      <c r="C498" s="1" t="n">
        <v>45969</v>
      </c>
      <c r="D498" t="inlineStr">
        <is>
          <t>JÄMTLANDS LÄN</t>
        </is>
      </c>
      <c r="E498" t="inlineStr">
        <is>
          <t>RAGUNDA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46825-2025</t>
        </is>
      </c>
      <c r="B499" s="1" t="n">
        <v>45926.92506944444</v>
      </c>
      <c r="C499" s="1" t="n">
        <v>45969</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182-2023</t>
        </is>
      </c>
      <c r="B500" s="1" t="n">
        <v>44922</v>
      </c>
      <c r="C500" s="1" t="n">
        <v>45969</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32063-2024</t>
        </is>
      </c>
      <c r="B501" s="1" t="n">
        <v>45510</v>
      </c>
      <c r="C501" s="1" t="n">
        <v>45969</v>
      </c>
      <c r="D501" t="inlineStr">
        <is>
          <t>JÄMTLANDS LÄN</t>
        </is>
      </c>
      <c r="E501" t="inlineStr">
        <is>
          <t>RAGUNDA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66011-2021</t>
        </is>
      </c>
      <c r="B502" s="1" t="n">
        <v>44517.58137731482</v>
      </c>
      <c r="C502" s="1" t="n">
        <v>45969</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33650-2025</t>
        </is>
      </c>
      <c r="B503" s="1" t="n">
        <v>45841.6571412037</v>
      </c>
      <c r="C503" s="1" t="n">
        <v>45969</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28216-2025</t>
        </is>
      </c>
      <c r="B504" s="1" t="n">
        <v>45818.46898148148</v>
      </c>
      <c r="C504" s="1" t="n">
        <v>45969</v>
      </c>
      <c r="D504" t="inlineStr">
        <is>
          <t>JÄMTLANDS LÄN</t>
        </is>
      </c>
      <c r="E504" t="inlineStr">
        <is>
          <t>RAGUNDA</t>
        </is>
      </c>
      <c r="G504" t="n">
        <v>6.6</v>
      </c>
      <c r="H504" t="n">
        <v>0</v>
      </c>
      <c r="I504" t="n">
        <v>0</v>
      </c>
      <c r="J504" t="n">
        <v>0</v>
      </c>
      <c r="K504" t="n">
        <v>0</v>
      </c>
      <c r="L504" t="n">
        <v>0</v>
      </c>
      <c r="M504" t="n">
        <v>0</v>
      </c>
      <c r="N504" t="n">
        <v>0</v>
      </c>
      <c r="O504" t="n">
        <v>0</v>
      </c>
      <c r="P504" t="n">
        <v>0</v>
      </c>
      <c r="Q504" t="n">
        <v>0</v>
      </c>
      <c r="R504" s="2" t="inlineStr"/>
    </row>
    <row r="505" ht="15" customHeight="1">
      <c r="A505" t="inlineStr">
        <is>
          <t>A 32904-2024</t>
        </is>
      </c>
      <c r="B505" s="1" t="n">
        <v>45516.94732638889</v>
      </c>
      <c r="C505" s="1" t="n">
        <v>45969</v>
      </c>
      <c r="D505" t="inlineStr">
        <is>
          <t>JÄMTLANDS LÄN</t>
        </is>
      </c>
      <c r="E505" t="inlineStr">
        <is>
          <t>RAGUNDA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56284-2023</t>
        </is>
      </c>
      <c r="B506" s="1" t="n">
        <v>45241.95724537037</v>
      </c>
      <c r="C506" s="1" t="n">
        <v>45969</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5307-2025</t>
        </is>
      </c>
      <c r="B507" s="1" t="n">
        <v>45692.48993055556</v>
      </c>
      <c r="C507" s="1" t="n">
        <v>45969</v>
      </c>
      <c r="D507" t="inlineStr">
        <is>
          <t>JÄMTLANDS LÄN</t>
        </is>
      </c>
      <c r="E507" t="inlineStr">
        <is>
          <t>RAGUNDA</t>
        </is>
      </c>
      <c r="F507" t="inlineStr">
        <is>
          <t>SCA</t>
        </is>
      </c>
      <c r="G507" t="n">
        <v>20.9</v>
      </c>
      <c r="H507" t="n">
        <v>0</v>
      </c>
      <c r="I507" t="n">
        <v>0</v>
      </c>
      <c r="J507" t="n">
        <v>0</v>
      </c>
      <c r="K507" t="n">
        <v>0</v>
      </c>
      <c r="L507" t="n">
        <v>0</v>
      </c>
      <c r="M507" t="n">
        <v>0</v>
      </c>
      <c r="N507" t="n">
        <v>0</v>
      </c>
      <c r="O507" t="n">
        <v>0</v>
      </c>
      <c r="P507" t="n">
        <v>0</v>
      </c>
      <c r="Q507" t="n">
        <v>0</v>
      </c>
      <c r="R507" s="2" t="inlineStr"/>
    </row>
    <row r="508" ht="15" customHeight="1">
      <c r="A508" t="inlineStr">
        <is>
          <t>A 18610-2024</t>
        </is>
      </c>
      <c r="B508" s="1" t="n">
        <v>45425.96230324074</v>
      </c>
      <c r="C508" s="1" t="n">
        <v>45969</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48066-2022</t>
        </is>
      </c>
      <c r="B509" s="1" t="n">
        <v>44855</v>
      </c>
      <c r="C509" s="1" t="n">
        <v>45969</v>
      </c>
      <c r="D509" t="inlineStr">
        <is>
          <t>JÄMTLANDS LÄN</t>
        </is>
      </c>
      <c r="E509" t="inlineStr">
        <is>
          <t>RAGUNDA</t>
        </is>
      </c>
      <c r="F509" t="inlineStr">
        <is>
          <t>SCA</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26942-2021</t>
        </is>
      </c>
      <c r="B510" s="1" t="n">
        <v>44349.91978009259</v>
      </c>
      <c r="C510" s="1" t="n">
        <v>45969</v>
      </c>
      <c r="D510" t="inlineStr">
        <is>
          <t>JÄMTLANDS LÄN</t>
        </is>
      </c>
      <c r="E510" t="inlineStr">
        <is>
          <t>RAGUNDA</t>
        </is>
      </c>
      <c r="G510" t="n">
        <v>6.2</v>
      </c>
      <c r="H510" t="n">
        <v>0</v>
      </c>
      <c r="I510" t="n">
        <v>0</v>
      </c>
      <c r="J510" t="n">
        <v>0</v>
      </c>
      <c r="K510" t="n">
        <v>0</v>
      </c>
      <c r="L510" t="n">
        <v>0</v>
      </c>
      <c r="M510" t="n">
        <v>0</v>
      </c>
      <c r="N510" t="n">
        <v>0</v>
      </c>
      <c r="O510" t="n">
        <v>0</v>
      </c>
      <c r="P510" t="n">
        <v>0</v>
      </c>
      <c r="Q510" t="n">
        <v>0</v>
      </c>
      <c r="R510" s="2" t="inlineStr"/>
    </row>
    <row r="511" ht="15" customHeight="1">
      <c r="A511" t="inlineStr">
        <is>
          <t>A 30563-2023</t>
        </is>
      </c>
      <c r="B511" s="1" t="n">
        <v>45111.92793981481</v>
      </c>
      <c r="C511" s="1" t="n">
        <v>45969</v>
      </c>
      <c r="D511" t="inlineStr">
        <is>
          <t>JÄMTLANDS LÄN</t>
        </is>
      </c>
      <c r="E511" t="inlineStr">
        <is>
          <t>RAGUNDA</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56504-2024</t>
        </is>
      </c>
      <c r="B512" s="1" t="n">
        <v>45625.51068287037</v>
      </c>
      <c r="C512" s="1" t="n">
        <v>45969</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23528-2024</t>
        </is>
      </c>
      <c r="B513" s="1" t="n">
        <v>45453.95016203704</v>
      </c>
      <c r="C513" s="1" t="n">
        <v>45969</v>
      </c>
      <c r="D513" t="inlineStr">
        <is>
          <t>JÄMTLANDS LÄN</t>
        </is>
      </c>
      <c r="E513" t="inlineStr">
        <is>
          <t>RAGUNDA</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5938-2025</t>
        </is>
      </c>
      <c r="B514" s="1" t="n">
        <v>45695.45868055556</v>
      </c>
      <c r="C514" s="1" t="n">
        <v>45969</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22412-2024</t>
        </is>
      </c>
      <c r="B515" s="1" t="n">
        <v>45446.68947916666</v>
      </c>
      <c r="C515" s="1" t="n">
        <v>45969</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24196-2024</t>
        </is>
      </c>
      <c r="B516" s="1" t="n">
        <v>45456.96569444444</v>
      </c>
      <c r="C516" s="1" t="n">
        <v>45969</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8886-2024</t>
        </is>
      </c>
      <c r="B517" s="1" t="n">
        <v>45357.05300925926</v>
      </c>
      <c r="C517" s="1" t="n">
        <v>45969</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28173-2024</t>
        </is>
      </c>
      <c r="B518" s="1" t="n">
        <v>45476.94533564815</v>
      </c>
      <c r="C518" s="1" t="n">
        <v>45969</v>
      </c>
      <c r="D518" t="inlineStr">
        <is>
          <t>JÄMTLANDS LÄN</t>
        </is>
      </c>
      <c r="E518" t="inlineStr">
        <is>
          <t>RAGUNDA</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18615-2024</t>
        </is>
      </c>
      <c r="B519" s="1" t="n">
        <v>45425.96275462963</v>
      </c>
      <c r="C519" s="1" t="n">
        <v>45969</v>
      </c>
      <c r="D519" t="inlineStr">
        <is>
          <t>JÄMTLANDS LÄN</t>
        </is>
      </c>
      <c r="E519" t="inlineStr">
        <is>
          <t>RAGUNDA</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55701-2021</t>
        </is>
      </c>
      <c r="B520" s="1" t="n">
        <v>44475</v>
      </c>
      <c r="C520" s="1" t="n">
        <v>45969</v>
      </c>
      <c r="D520" t="inlineStr">
        <is>
          <t>JÄMTLANDS LÄN</t>
        </is>
      </c>
      <c r="E520" t="inlineStr">
        <is>
          <t>RAGUNDA</t>
        </is>
      </c>
      <c r="G520" t="n">
        <v>5.6</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45969</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35537-2021</t>
        </is>
      </c>
      <c r="B522" s="1" t="n">
        <v>44384</v>
      </c>
      <c r="C522" s="1" t="n">
        <v>45969</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23303-2024</t>
        </is>
      </c>
      <c r="B523" s="1" t="n">
        <v>45453.4444212963</v>
      </c>
      <c r="C523" s="1" t="n">
        <v>45969</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46909-2025</t>
        </is>
      </c>
      <c r="B524" s="1" t="n">
        <v>45929.40673611111</v>
      </c>
      <c r="C524" s="1" t="n">
        <v>45969</v>
      </c>
      <c r="D524" t="inlineStr">
        <is>
          <t>JÄMTLANDS LÄN</t>
        </is>
      </c>
      <c r="E524" t="inlineStr">
        <is>
          <t>RAGUNDA</t>
        </is>
      </c>
      <c r="G524" t="n">
        <v>5.7</v>
      </c>
      <c r="H524" t="n">
        <v>0</v>
      </c>
      <c r="I524" t="n">
        <v>0</v>
      </c>
      <c r="J524" t="n">
        <v>0</v>
      </c>
      <c r="K524" t="n">
        <v>0</v>
      </c>
      <c r="L524" t="n">
        <v>0</v>
      </c>
      <c r="M524" t="n">
        <v>0</v>
      </c>
      <c r="N524" t="n">
        <v>0</v>
      </c>
      <c r="O524" t="n">
        <v>0</v>
      </c>
      <c r="P524" t="n">
        <v>0</v>
      </c>
      <c r="Q524" t="n">
        <v>0</v>
      </c>
      <c r="R524" s="2" t="inlineStr"/>
    </row>
    <row r="525" ht="15" customHeight="1">
      <c r="A525" t="inlineStr">
        <is>
          <t>A 465-2023</t>
        </is>
      </c>
      <c r="B525" s="1" t="n">
        <v>44929</v>
      </c>
      <c r="C525" s="1" t="n">
        <v>45969</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32832-2021</t>
        </is>
      </c>
      <c r="B526" s="1" t="n">
        <v>44375</v>
      </c>
      <c r="C526" s="1" t="n">
        <v>45969</v>
      </c>
      <c r="D526" t="inlineStr">
        <is>
          <t>JÄMTLANDS LÄN</t>
        </is>
      </c>
      <c r="E526" t="inlineStr">
        <is>
          <t>RAGUNDA</t>
        </is>
      </c>
      <c r="G526" t="n">
        <v>3</v>
      </c>
      <c r="H526" t="n">
        <v>0</v>
      </c>
      <c r="I526" t="n">
        <v>0</v>
      </c>
      <c r="J526" t="n">
        <v>0</v>
      </c>
      <c r="K526" t="n">
        <v>0</v>
      </c>
      <c r="L526" t="n">
        <v>0</v>
      </c>
      <c r="M526" t="n">
        <v>0</v>
      </c>
      <c r="N526" t="n">
        <v>0</v>
      </c>
      <c r="O526" t="n">
        <v>0</v>
      </c>
      <c r="P526" t="n">
        <v>0</v>
      </c>
      <c r="Q526" t="n">
        <v>0</v>
      </c>
      <c r="R526" s="2" t="inlineStr"/>
    </row>
    <row r="527" ht="15" customHeight="1">
      <c r="A527" t="inlineStr">
        <is>
          <t>A 3938-2024</t>
        </is>
      </c>
      <c r="B527" s="1" t="n">
        <v>45322</v>
      </c>
      <c r="C527" s="1" t="n">
        <v>45969</v>
      </c>
      <c r="D527" t="inlineStr">
        <is>
          <t>JÄMTLANDS LÄN</t>
        </is>
      </c>
      <c r="E527" t="inlineStr">
        <is>
          <t>RAGUNDA</t>
        </is>
      </c>
      <c r="G527" t="n">
        <v>3.2</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45969</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62081-2022</t>
        </is>
      </c>
      <c r="B529" s="1" t="n">
        <v>44918</v>
      </c>
      <c r="C529" s="1" t="n">
        <v>45969</v>
      </c>
      <c r="D529" t="inlineStr">
        <is>
          <t>JÄMTLANDS LÄN</t>
        </is>
      </c>
      <c r="E529" t="inlineStr">
        <is>
          <t>RAGUNDA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18248-2023</t>
        </is>
      </c>
      <c r="B530" s="1" t="n">
        <v>45040</v>
      </c>
      <c r="C530" s="1" t="n">
        <v>45969</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45438-2022</t>
        </is>
      </c>
      <c r="B531" s="1" t="n">
        <v>44844.95368055555</v>
      </c>
      <c r="C531" s="1" t="n">
        <v>45969</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30459-2021</t>
        </is>
      </c>
      <c r="B532" s="1" t="n">
        <v>44362</v>
      </c>
      <c r="C532" s="1" t="n">
        <v>45969</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29263-2024</t>
        </is>
      </c>
      <c r="B533" s="1" t="n">
        <v>45482.94891203703</v>
      </c>
      <c r="C533" s="1" t="n">
        <v>45969</v>
      </c>
      <c r="D533" t="inlineStr">
        <is>
          <t>JÄMTLANDS LÄN</t>
        </is>
      </c>
      <c r="E533" t="inlineStr">
        <is>
          <t>RAGUNDA</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29265-2024</t>
        </is>
      </c>
      <c r="B534" s="1" t="n">
        <v>45482.9491087963</v>
      </c>
      <c r="C534" s="1" t="n">
        <v>45969</v>
      </c>
      <c r="D534" t="inlineStr">
        <is>
          <t>JÄMTLANDS LÄN</t>
        </is>
      </c>
      <c r="E534" t="inlineStr">
        <is>
          <t>RAGUNDA</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13898-2023</t>
        </is>
      </c>
      <c r="B535" s="1" t="n">
        <v>45008.01408564814</v>
      </c>
      <c r="C535" s="1" t="n">
        <v>45969</v>
      </c>
      <c r="D535" t="inlineStr">
        <is>
          <t>JÄMTLANDS LÄN</t>
        </is>
      </c>
      <c r="E535" t="inlineStr">
        <is>
          <t>RAGUNDA</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41693-2023</t>
        </is>
      </c>
      <c r="B536" s="1" t="n">
        <v>45176</v>
      </c>
      <c r="C536" s="1" t="n">
        <v>45969</v>
      </c>
      <c r="D536" t="inlineStr">
        <is>
          <t>JÄMTLANDS LÄN</t>
        </is>
      </c>
      <c r="E536" t="inlineStr">
        <is>
          <t>RAGUNDA</t>
        </is>
      </c>
      <c r="G536" t="n">
        <v>5.5</v>
      </c>
      <c r="H536" t="n">
        <v>0</v>
      </c>
      <c r="I536" t="n">
        <v>0</v>
      </c>
      <c r="J536" t="n">
        <v>0</v>
      </c>
      <c r="K536" t="n">
        <v>0</v>
      </c>
      <c r="L536" t="n">
        <v>0</v>
      </c>
      <c r="M536" t="n">
        <v>0</v>
      </c>
      <c r="N536" t="n">
        <v>0</v>
      </c>
      <c r="O536" t="n">
        <v>0</v>
      </c>
      <c r="P536" t="n">
        <v>0</v>
      </c>
      <c r="Q536" t="n">
        <v>0</v>
      </c>
      <c r="R536" s="2" t="inlineStr"/>
    </row>
    <row r="537" ht="15" customHeight="1">
      <c r="A537" t="inlineStr">
        <is>
          <t>A 56702-2023</t>
        </is>
      </c>
      <c r="B537" s="1" t="n">
        <v>45243</v>
      </c>
      <c r="C537" s="1" t="n">
        <v>45969</v>
      </c>
      <c r="D537" t="inlineStr">
        <is>
          <t>JÄMTLANDS LÄN</t>
        </is>
      </c>
      <c r="E537" t="inlineStr">
        <is>
          <t>RAGUNDA</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63708-2023</t>
        </is>
      </c>
      <c r="B538" s="1" t="n">
        <v>45275.95060185185</v>
      </c>
      <c r="C538" s="1" t="n">
        <v>45969</v>
      </c>
      <c r="D538" t="inlineStr">
        <is>
          <t>JÄMTLANDS LÄN</t>
        </is>
      </c>
      <c r="E538" t="inlineStr">
        <is>
          <t>RAGUNDA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26651-2024</t>
        </is>
      </c>
      <c r="B539" s="1" t="n">
        <v>45469.94876157407</v>
      </c>
      <c r="C539" s="1" t="n">
        <v>45969</v>
      </c>
      <c r="D539" t="inlineStr">
        <is>
          <t>JÄMTLANDS LÄN</t>
        </is>
      </c>
      <c r="E539" t="inlineStr">
        <is>
          <t>RAGUNDA</t>
        </is>
      </c>
      <c r="F539" t="inlineStr">
        <is>
          <t>SCA</t>
        </is>
      </c>
      <c r="G539" t="n">
        <v>10.4</v>
      </c>
      <c r="H539" t="n">
        <v>0</v>
      </c>
      <c r="I539" t="n">
        <v>0</v>
      </c>
      <c r="J539" t="n">
        <v>0</v>
      </c>
      <c r="K539" t="n">
        <v>0</v>
      </c>
      <c r="L539" t="n">
        <v>0</v>
      </c>
      <c r="M539" t="n">
        <v>0</v>
      </c>
      <c r="N539" t="n">
        <v>0</v>
      </c>
      <c r="O539" t="n">
        <v>0</v>
      </c>
      <c r="P539" t="n">
        <v>0</v>
      </c>
      <c r="Q539" t="n">
        <v>0</v>
      </c>
      <c r="R539" s="2" t="inlineStr"/>
    </row>
    <row r="540" ht="15" customHeight="1">
      <c r="A540" t="inlineStr">
        <is>
          <t>A 3770-2025</t>
        </is>
      </c>
      <c r="B540" s="1" t="n">
        <v>45681.6050925926</v>
      </c>
      <c r="C540" s="1" t="n">
        <v>45969</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55508-2024</t>
        </is>
      </c>
      <c r="B541" s="1" t="n">
        <v>45622.46200231482</v>
      </c>
      <c r="C541" s="1" t="n">
        <v>45969</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11252-2025</t>
        </is>
      </c>
      <c r="B542" s="1" t="n">
        <v>45726.38615740741</v>
      </c>
      <c r="C542" s="1" t="n">
        <v>45969</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7668-2025</t>
        </is>
      </c>
      <c r="B543" s="1" t="n">
        <v>45706.34450231482</v>
      </c>
      <c r="C543" s="1" t="n">
        <v>45969</v>
      </c>
      <c r="D543" t="inlineStr">
        <is>
          <t>JÄMTLANDS LÄN</t>
        </is>
      </c>
      <c r="E543" t="inlineStr">
        <is>
          <t>RAGUNDA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9548-2025</t>
        </is>
      </c>
      <c r="B544" s="1" t="n">
        <v>45715.59405092592</v>
      </c>
      <c r="C544" s="1" t="n">
        <v>45969</v>
      </c>
      <c r="D544" t="inlineStr">
        <is>
          <t>JÄMTLANDS LÄN</t>
        </is>
      </c>
      <c r="E544" t="inlineStr">
        <is>
          <t>RAGUNDA</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12521-2023</t>
        </is>
      </c>
      <c r="B545" s="1" t="n">
        <v>45000</v>
      </c>
      <c r="C545" s="1" t="n">
        <v>45969</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3720-2025</t>
        </is>
      </c>
      <c r="B546" s="1" t="n">
        <v>45681.5315625</v>
      </c>
      <c r="C546" s="1" t="n">
        <v>45969</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2339-2025</t>
        </is>
      </c>
      <c r="B547" s="1" t="n">
        <v>45673.66358796296</v>
      </c>
      <c r="C547" s="1" t="n">
        <v>45969</v>
      </c>
      <c r="D547" t="inlineStr">
        <is>
          <t>JÄMTLANDS LÄN</t>
        </is>
      </c>
      <c r="E547" t="inlineStr">
        <is>
          <t>RAGUNDA</t>
        </is>
      </c>
      <c r="G547" t="n">
        <v>5</v>
      </c>
      <c r="H547" t="n">
        <v>0</v>
      </c>
      <c r="I547" t="n">
        <v>0</v>
      </c>
      <c r="J547" t="n">
        <v>0</v>
      </c>
      <c r="K547" t="n">
        <v>0</v>
      </c>
      <c r="L547" t="n">
        <v>0</v>
      </c>
      <c r="M547" t="n">
        <v>0</v>
      </c>
      <c r="N547" t="n">
        <v>0</v>
      </c>
      <c r="O547" t="n">
        <v>0</v>
      </c>
      <c r="P547" t="n">
        <v>0</v>
      </c>
      <c r="Q547" t="n">
        <v>0</v>
      </c>
      <c r="R547" s="2" t="inlineStr"/>
    </row>
    <row r="548" ht="15" customHeight="1">
      <c r="A548" t="inlineStr">
        <is>
          <t>A 17742-2022</t>
        </is>
      </c>
      <c r="B548" s="1" t="n">
        <v>44680.95246527778</v>
      </c>
      <c r="C548" s="1" t="n">
        <v>45969</v>
      </c>
      <c r="D548" t="inlineStr">
        <is>
          <t>JÄMTLANDS LÄN</t>
        </is>
      </c>
      <c r="E548" t="inlineStr">
        <is>
          <t>RAGUNDA</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50486-2023</t>
        </is>
      </c>
      <c r="B549" s="1" t="n">
        <v>45216.92424768519</v>
      </c>
      <c r="C549" s="1" t="n">
        <v>45969</v>
      </c>
      <c r="D549" t="inlineStr">
        <is>
          <t>JÄMTLANDS LÄN</t>
        </is>
      </c>
      <c r="E549" t="inlineStr">
        <is>
          <t>RAGUNDA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57237-2022</t>
        </is>
      </c>
      <c r="B550" s="1" t="n">
        <v>44889</v>
      </c>
      <c r="C550" s="1" t="n">
        <v>45969</v>
      </c>
      <c r="D550" t="inlineStr">
        <is>
          <t>JÄMTLANDS LÄN</t>
        </is>
      </c>
      <c r="E550" t="inlineStr">
        <is>
          <t>RAGUNDA</t>
        </is>
      </c>
      <c r="G550" t="n">
        <v>2.2</v>
      </c>
      <c r="H550" t="n">
        <v>0</v>
      </c>
      <c r="I550" t="n">
        <v>0</v>
      </c>
      <c r="J550" t="n">
        <v>0</v>
      </c>
      <c r="K550" t="n">
        <v>0</v>
      </c>
      <c r="L550" t="n">
        <v>0</v>
      </c>
      <c r="M550" t="n">
        <v>0</v>
      </c>
      <c r="N550" t="n">
        <v>0</v>
      </c>
      <c r="O550" t="n">
        <v>0</v>
      </c>
      <c r="P550" t="n">
        <v>0</v>
      </c>
      <c r="Q550" t="n">
        <v>0</v>
      </c>
      <c r="R550" s="2" t="inlineStr"/>
    </row>
    <row r="551" ht="15" customHeight="1">
      <c r="A551" t="inlineStr">
        <is>
          <t>A 9084-2023</t>
        </is>
      </c>
      <c r="B551" s="1" t="n">
        <v>44979</v>
      </c>
      <c r="C551" s="1" t="n">
        <v>45969</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50555-2024</t>
        </is>
      </c>
      <c r="B552" s="1" t="n">
        <v>45601.59518518519</v>
      </c>
      <c r="C552" s="1" t="n">
        <v>45969</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13263-2025</t>
        </is>
      </c>
      <c r="B553" s="1" t="n">
        <v>45735.53177083333</v>
      </c>
      <c r="C553" s="1" t="n">
        <v>45969</v>
      </c>
      <c r="D553" t="inlineStr">
        <is>
          <t>JÄMTLANDS LÄN</t>
        </is>
      </c>
      <c r="E553" t="inlineStr">
        <is>
          <t>RAGUNDA</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13276-2025</t>
        </is>
      </c>
      <c r="B554" s="1" t="n">
        <v>45735.5517824074</v>
      </c>
      <c r="C554" s="1" t="n">
        <v>45969</v>
      </c>
      <c r="D554" t="inlineStr">
        <is>
          <t>JÄMTLANDS LÄN</t>
        </is>
      </c>
      <c r="E554" t="inlineStr">
        <is>
          <t>RAGUNDA</t>
        </is>
      </c>
      <c r="G554" t="n">
        <v>16.6</v>
      </c>
      <c r="H554" t="n">
        <v>0</v>
      </c>
      <c r="I554" t="n">
        <v>0</v>
      </c>
      <c r="J554" t="n">
        <v>0</v>
      </c>
      <c r="K554" t="n">
        <v>0</v>
      </c>
      <c r="L554" t="n">
        <v>0</v>
      </c>
      <c r="M554" t="n">
        <v>0</v>
      </c>
      <c r="N554" t="n">
        <v>0</v>
      </c>
      <c r="O554" t="n">
        <v>0</v>
      </c>
      <c r="P554" t="n">
        <v>0</v>
      </c>
      <c r="Q554" t="n">
        <v>0</v>
      </c>
      <c r="R554" s="2" t="inlineStr"/>
    </row>
    <row r="555" ht="15" customHeight="1">
      <c r="A555" t="inlineStr">
        <is>
          <t>A 9360-2023</t>
        </is>
      </c>
      <c r="B555" s="1" t="n">
        <v>44980.93865740741</v>
      </c>
      <c r="C555" s="1" t="n">
        <v>45969</v>
      </c>
      <c r="D555" t="inlineStr">
        <is>
          <t>JÄMTLANDS LÄN</t>
        </is>
      </c>
      <c r="E555" t="inlineStr">
        <is>
          <t>RAGUNDA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66706-2021</t>
        </is>
      </c>
      <c r="B556" s="1" t="n">
        <v>44519.94440972222</v>
      </c>
      <c r="C556" s="1" t="n">
        <v>45969</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53676-2022</t>
        </is>
      </c>
      <c r="B557" s="1" t="n">
        <v>44879</v>
      </c>
      <c r="C557" s="1" t="n">
        <v>45969</v>
      </c>
      <c r="D557" t="inlineStr">
        <is>
          <t>JÄMTLANDS LÄN</t>
        </is>
      </c>
      <c r="E557" t="inlineStr">
        <is>
          <t>RAGUNDA</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12405-2025</t>
        </is>
      </c>
      <c r="B558" s="1" t="n">
        <v>45730.42738425926</v>
      </c>
      <c r="C558" s="1" t="n">
        <v>45969</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12808-2025</t>
        </is>
      </c>
      <c r="B559" s="1" t="n">
        <v>45733.61554398148</v>
      </c>
      <c r="C559" s="1" t="n">
        <v>45969</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46546-2023</t>
        </is>
      </c>
      <c r="B560" s="1" t="n">
        <v>45197.94152777778</v>
      </c>
      <c r="C560" s="1" t="n">
        <v>45969</v>
      </c>
      <c r="D560" t="inlineStr">
        <is>
          <t>JÄMTLANDS LÄN</t>
        </is>
      </c>
      <c r="E560" t="inlineStr">
        <is>
          <t>RAGUNDA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32259-2024</t>
        </is>
      </c>
      <c r="B561" s="1" t="n">
        <v>45511</v>
      </c>
      <c r="C561" s="1" t="n">
        <v>45969</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6716-2025</t>
        </is>
      </c>
      <c r="B562" s="1" t="n">
        <v>45700.57324074074</v>
      </c>
      <c r="C562" s="1" t="n">
        <v>45969</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30823-2023</t>
        </is>
      </c>
      <c r="B563" s="1" t="n">
        <v>45112</v>
      </c>
      <c r="C563" s="1" t="n">
        <v>45969</v>
      </c>
      <c r="D563" t="inlineStr">
        <is>
          <t>JÄMTLANDS LÄN</t>
        </is>
      </c>
      <c r="E563" t="inlineStr">
        <is>
          <t>RAGUNDA</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14212-2023</t>
        </is>
      </c>
      <c r="B564" s="1" t="n">
        <v>45009</v>
      </c>
      <c r="C564" s="1" t="n">
        <v>45969</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45969</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45969</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30484-2024</t>
        </is>
      </c>
      <c r="B567" s="1" t="n">
        <v>45491</v>
      </c>
      <c r="C567" s="1" t="n">
        <v>45969</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17248-2023</t>
        </is>
      </c>
      <c r="B568" s="1" t="n">
        <v>45033</v>
      </c>
      <c r="C568" s="1" t="n">
        <v>45969</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20772-2024</t>
        </is>
      </c>
      <c r="B569" s="1" t="n">
        <v>45436.94628472222</v>
      </c>
      <c r="C569" s="1" t="n">
        <v>45969</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18614-2024</t>
        </is>
      </c>
      <c r="B570" s="1" t="n">
        <v>45425.96263888889</v>
      </c>
      <c r="C570" s="1" t="n">
        <v>45969</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53757-2024</t>
        </is>
      </c>
      <c r="B571" s="1" t="n">
        <v>45615.50034722222</v>
      </c>
      <c r="C571" s="1" t="n">
        <v>45969</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11288-2022</t>
        </is>
      </c>
      <c r="B572" s="1" t="n">
        <v>44629</v>
      </c>
      <c r="C572" s="1" t="n">
        <v>45969</v>
      </c>
      <c r="D572" t="inlineStr">
        <is>
          <t>JÄMTLANDS LÄN</t>
        </is>
      </c>
      <c r="E572" t="inlineStr">
        <is>
          <t>RAGUNDA</t>
        </is>
      </c>
      <c r="G572" t="n">
        <v>4.9</v>
      </c>
      <c r="H572" t="n">
        <v>0</v>
      </c>
      <c r="I572" t="n">
        <v>0</v>
      </c>
      <c r="J572" t="n">
        <v>0</v>
      </c>
      <c r="K572" t="n">
        <v>0</v>
      </c>
      <c r="L572" t="n">
        <v>0</v>
      </c>
      <c r="M572" t="n">
        <v>0</v>
      </c>
      <c r="N572" t="n">
        <v>0</v>
      </c>
      <c r="O572" t="n">
        <v>0</v>
      </c>
      <c r="P572" t="n">
        <v>0</v>
      </c>
      <c r="Q572" t="n">
        <v>0</v>
      </c>
      <c r="R572" s="2" t="inlineStr"/>
    </row>
    <row r="573" ht="15" customHeight="1">
      <c r="A573" t="inlineStr">
        <is>
          <t>A 53263-2024</t>
        </is>
      </c>
      <c r="B573" s="1" t="n">
        <v>45614.34541666666</v>
      </c>
      <c r="C573" s="1" t="n">
        <v>45969</v>
      </c>
      <c r="D573" t="inlineStr">
        <is>
          <t>JÄMTLANDS LÄN</t>
        </is>
      </c>
      <c r="E573" t="inlineStr">
        <is>
          <t>RAGUNDA</t>
        </is>
      </c>
      <c r="G573" t="n">
        <v>1.9</v>
      </c>
      <c r="H573" t="n">
        <v>0</v>
      </c>
      <c r="I573" t="n">
        <v>0</v>
      </c>
      <c r="J573" t="n">
        <v>0</v>
      </c>
      <c r="K573" t="n">
        <v>0</v>
      </c>
      <c r="L573" t="n">
        <v>0</v>
      </c>
      <c r="M573" t="n">
        <v>0</v>
      </c>
      <c r="N573" t="n">
        <v>0</v>
      </c>
      <c r="O573" t="n">
        <v>0</v>
      </c>
      <c r="P573" t="n">
        <v>0</v>
      </c>
      <c r="Q573" t="n">
        <v>0</v>
      </c>
      <c r="R573" s="2" t="inlineStr"/>
    </row>
    <row r="574" ht="15" customHeight="1">
      <c r="A574" t="inlineStr">
        <is>
          <t>A 19246-2023</t>
        </is>
      </c>
      <c r="B574" s="1" t="n">
        <v>45048.94340277778</v>
      </c>
      <c r="C574" s="1" t="n">
        <v>45969</v>
      </c>
      <c r="D574" t="inlineStr">
        <is>
          <t>JÄMTLANDS LÄN</t>
        </is>
      </c>
      <c r="E574" t="inlineStr">
        <is>
          <t>RAGUNDA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19865-2023</t>
        </is>
      </c>
      <c r="B575" s="1" t="n">
        <v>45053.94305555556</v>
      </c>
      <c r="C575" s="1" t="n">
        <v>45969</v>
      </c>
      <c r="D575" t="inlineStr">
        <is>
          <t>JÄMTLANDS LÄN</t>
        </is>
      </c>
      <c r="E575" t="inlineStr">
        <is>
          <t>RAGUNDA</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464-2023</t>
        </is>
      </c>
      <c r="B576" s="1" t="n">
        <v>44929.92489583333</v>
      </c>
      <c r="C576" s="1" t="n">
        <v>45969</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58630-2024</t>
        </is>
      </c>
      <c r="B577" s="1" t="n">
        <v>45635.57331018519</v>
      </c>
      <c r="C577" s="1" t="n">
        <v>45969</v>
      </c>
      <c r="D577" t="inlineStr">
        <is>
          <t>JÄMTLANDS LÄN</t>
        </is>
      </c>
      <c r="E577" t="inlineStr">
        <is>
          <t>RAGUNDA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49649-2024</t>
        </is>
      </c>
      <c r="B578" s="1" t="n">
        <v>45596.61553240741</v>
      </c>
      <c r="C578" s="1" t="n">
        <v>45969</v>
      </c>
      <c r="D578" t="inlineStr">
        <is>
          <t>JÄMTLANDS LÄN</t>
        </is>
      </c>
      <c r="E578" t="inlineStr">
        <is>
          <t>RAGUNDA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20426-2024</t>
        </is>
      </c>
      <c r="B579" s="1" t="n">
        <v>45435</v>
      </c>
      <c r="C579" s="1" t="n">
        <v>45969</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1554-2024</t>
        </is>
      </c>
      <c r="B580" s="1" t="n">
        <v>45306</v>
      </c>
      <c r="C580" s="1" t="n">
        <v>45969</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14896-2022</t>
        </is>
      </c>
      <c r="B581" s="1" t="n">
        <v>44656</v>
      </c>
      <c r="C581" s="1" t="n">
        <v>45969</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41344-2024</t>
        </is>
      </c>
      <c r="B582" s="1" t="n">
        <v>45559.67759259259</v>
      </c>
      <c r="C582" s="1" t="n">
        <v>45969</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45969</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58955-2024</t>
        </is>
      </c>
      <c r="B584" s="1" t="n">
        <v>45636.57329861111</v>
      </c>
      <c r="C584" s="1" t="n">
        <v>45969</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4878-2022</t>
        </is>
      </c>
      <c r="B585" s="1" t="n">
        <v>44593</v>
      </c>
      <c r="C585" s="1" t="n">
        <v>45969</v>
      </c>
      <c r="D585" t="inlineStr">
        <is>
          <t>JÄMTLANDS LÄN</t>
        </is>
      </c>
      <c r="E585" t="inlineStr">
        <is>
          <t>RAGUNDA</t>
        </is>
      </c>
      <c r="G585" t="n">
        <v>21.7</v>
      </c>
      <c r="H585" t="n">
        <v>0</v>
      </c>
      <c r="I585" t="n">
        <v>0</v>
      </c>
      <c r="J585" t="n">
        <v>0</v>
      </c>
      <c r="K585" t="n">
        <v>0</v>
      </c>
      <c r="L585" t="n">
        <v>0</v>
      </c>
      <c r="M585" t="n">
        <v>0</v>
      </c>
      <c r="N585" t="n">
        <v>0</v>
      </c>
      <c r="O585" t="n">
        <v>0</v>
      </c>
      <c r="P585" t="n">
        <v>0</v>
      </c>
      <c r="Q585" t="n">
        <v>0</v>
      </c>
      <c r="R585" s="2" t="inlineStr"/>
    </row>
    <row r="586" ht="15" customHeight="1">
      <c r="A586" t="inlineStr">
        <is>
          <t>A 22011-2023</t>
        </is>
      </c>
      <c r="B586" s="1" t="n">
        <v>45068</v>
      </c>
      <c r="C586" s="1" t="n">
        <v>45969</v>
      </c>
      <c r="D586" t="inlineStr">
        <is>
          <t>JÄMTLANDS LÄN</t>
        </is>
      </c>
      <c r="E586" t="inlineStr">
        <is>
          <t>RAGUNDA</t>
        </is>
      </c>
      <c r="F586" t="inlineStr">
        <is>
          <t>SCA</t>
        </is>
      </c>
      <c r="G586" t="n">
        <v>12.2</v>
      </c>
      <c r="H586" t="n">
        <v>0</v>
      </c>
      <c r="I586" t="n">
        <v>0</v>
      </c>
      <c r="J586" t="n">
        <v>0</v>
      </c>
      <c r="K586" t="n">
        <v>0</v>
      </c>
      <c r="L586" t="n">
        <v>0</v>
      </c>
      <c r="M586" t="n">
        <v>0</v>
      </c>
      <c r="N586" t="n">
        <v>0</v>
      </c>
      <c r="O586" t="n">
        <v>0</v>
      </c>
      <c r="P586" t="n">
        <v>0</v>
      </c>
      <c r="Q586" t="n">
        <v>0</v>
      </c>
      <c r="R586" s="2" t="inlineStr"/>
    </row>
    <row r="587" ht="15" customHeight="1">
      <c r="A587" t="inlineStr">
        <is>
          <t>A 47075-2025</t>
        </is>
      </c>
      <c r="B587" s="1" t="n">
        <v>45929.63728009259</v>
      </c>
      <c r="C587" s="1" t="n">
        <v>45969</v>
      </c>
      <c r="D587" t="inlineStr">
        <is>
          <t>JÄMTLANDS LÄN</t>
        </is>
      </c>
      <c r="E587" t="inlineStr">
        <is>
          <t>RAGUNDA</t>
        </is>
      </c>
      <c r="F587" t="inlineStr">
        <is>
          <t>SCA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47122-2025</t>
        </is>
      </c>
      <c r="B588" s="1" t="n">
        <v>45929.67878472222</v>
      </c>
      <c r="C588" s="1" t="n">
        <v>45969</v>
      </c>
      <c r="D588" t="inlineStr">
        <is>
          <t>JÄMTLANDS LÄN</t>
        </is>
      </c>
      <c r="E588" t="inlineStr">
        <is>
          <t>RAGUNDA</t>
        </is>
      </c>
      <c r="F588" t="inlineStr">
        <is>
          <t>SCA</t>
        </is>
      </c>
      <c r="G588" t="n">
        <v>31.1</v>
      </c>
      <c r="H588" t="n">
        <v>0</v>
      </c>
      <c r="I588" t="n">
        <v>0</v>
      </c>
      <c r="J588" t="n">
        <v>0</v>
      </c>
      <c r="K588" t="n">
        <v>0</v>
      </c>
      <c r="L588" t="n">
        <v>0</v>
      </c>
      <c r="M588" t="n">
        <v>0</v>
      </c>
      <c r="N588" t="n">
        <v>0</v>
      </c>
      <c r="O588" t="n">
        <v>0</v>
      </c>
      <c r="P588" t="n">
        <v>0</v>
      </c>
      <c r="Q588" t="n">
        <v>0</v>
      </c>
      <c r="R588" s="2" t="inlineStr"/>
    </row>
    <row r="589" ht="15" customHeight="1">
      <c r="A589" t="inlineStr">
        <is>
          <t>A 47228-2025</t>
        </is>
      </c>
      <c r="B589" s="1" t="n">
        <v>45930.3990162037</v>
      </c>
      <c r="C589" s="1" t="n">
        <v>45969</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47229-2025</t>
        </is>
      </c>
      <c r="B590" s="1" t="n">
        <v>45930.40166666666</v>
      </c>
      <c r="C590" s="1" t="n">
        <v>45969</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13389-2025</t>
        </is>
      </c>
      <c r="B591" s="1" t="n">
        <v>45735.69842592593</v>
      </c>
      <c r="C591" s="1" t="n">
        <v>45969</v>
      </c>
      <c r="D591" t="inlineStr">
        <is>
          <t>JÄMTLANDS LÄN</t>
        </is>
      </c>
      <c r="E591" t="inlineStr">
        <is>
          <t>RAGUNDA</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45969</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2831-2024</t>
        </is>
      </c>
      <c r="B593" s="1" t="n">
        <v>45314.92758101852</v>
      </c>
      <c r="C593" s="1" t="n">
        <v>45969</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45969</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47119-2025</t>
        </is>
      </c>
      <c r="B595" s="1" t="n">
        <v>45929.67795138889</v>
      </c>
      <c r="C595" s="1" t="n">
        <v>45969</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39489-2023</t>
        </is>
      </c>
      <c r="B596" s="1" t="n">
        <v>45166</v>
      </c>
      <c r="C596" s="1" t="n">
        <v>45969</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13264-2025</t>
        </is>
      </c>
      <c r="B597" s="1" t="n">
        <v>45735</v>
      </c>
      <c r="C597" s="1" t="n">
        <v>45969</v>
      </c>
      <c r="D597" t="inlineStr">
        <is>
          <t>JÄMTLANDS LÄN</t>
        </is>
      </c>
      <c r="E597" t="inlineStr">
        <is>
          <t>RAGUNDA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59496-2024</t>
        </is>
      </c>
      <c r="B598" s="1" t="n">
        <v>45638</v>
      </c>
      <c r="C598" s="1" t="n">
        <v>45969</v>
      </c>
      <c r="D598" t="inlineStr">
        <is>
          <t>JÄMTLANDS LÄN</t>
        </is>
      </c>
      <c r="E598" t="inlineStr">
        <is>
          <t>RAGUNDA</t>
        </is>
      </c>
      <c r="G598" t="n">
        <v>13.1</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45969</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45969</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39384-2025</t>
        </is>
      </c>
      <c r="B601" s="1" t="n">
        <v>45889.61517361111</v>
      </c>
      <c r="C601" s="1" t="n">
        <v>45969</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48249-2024</t>
        </is>
      </c>
      <c r="B602" s="1" t="n">
        <v>45590.40675925926</v>
      </c>
      <c r="C602" s="1" t="n">
        <v>45969</v>
      </c>
      <c r="D602" t="inlineStr">
        <is>
          <t>JÄMTLANDS LÄN</t>
        </is>
      </c>
      <c r="E602" t="inlineStr">
        <is>
          <t>RAGUNDA</t>
        </is>
      </c>
      <c r="F602" t="inlineStr">
        <is>
          <t>SCA</t>
        </is>
      </c>
      <c r="G602" t="n">
        <v>14.4</v>
      </c>
      <c r="H602" t="n">
        <v>0</v>
      </c>
      <c r="I602" t="n">
        <v>0</v>
      </c>
      <c r="J602" t="n">
        <v>0</v>
      </c>
      <c r="K602" t="n">
        <v>0</v>
      </c>
      <c r="L602" t="n">
        <v>0</v>
      </c>
      <c r="M602" t="n">
        <v>0</v>
      </c>
      <c r="N602" t="n">
        <v>0</v>
      </c>
      <c r="O602" t="n">
        <v>0</v>
      </c>
      <c r="P602" t="n">
        <v>0</v>
      </c>
      <c r="Q602" t="n">
        <v>0</v>
      </c>
      <c r="R602" s="2" t="inlineStr"/>
    </row>
    <row r="603" ht="15" customHeight="1">
      <c r="A603" t="inlineStr">
        <is>
          <t>A 37268-2024</t>
        </is>
      </c>
      <c r="B603" s="1" t="n">
        <v>45540.38586805556</v>
      </c>
      <c r="C603" s="1" t="n">
        <v>45969</v>
      </c>
      <c r="D603" t="inlineStr">
        <is>
          <t>JÄMTLANDS LÄN</t>
        </is>
      </c>
      <c r="E603" t="inlineStr">
        <is>
          <t>RAGUNDA</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11058-2025</t>
        </is>
      </c>
      <c r="B604" s="1" t="n">
        <v>45723.51079861111</v>
      </c>
      <c r="C604" s="1" t="n">
        <v>45969</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41179-2022</t>
        </is>
      </c>
      <c r="B605" s="1" t="n">
        <v>44825</v>
      </c>
      <c r="C605" s="1" t="n">
        <v>45969</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17598-2021</t>
        </is>
      </c>
      <c r="B606" s="1" t="n">
        <v>44299</v>
      </c>
      <c r="C606" s="1" t="n">
        <v>45969</v>
      </c>
      <c r="D606" t="inlineStr">
        <is>
          <t>JÄMTLANDS LÄN</t>
        </is>
      </c>
      <c r="E606" t="inlineStr">
        <is>
          <t>RAGUNDA</t>
        </is>
      </c>
      <c r="G606" t="n">
        <v>4.6</v>
      </c>
      <c r="H606" t="n">
        <v>0</v>
      </c>
      <c r="I606" t="n">
        <v>0</v>
      </c>
      <c r="J606" t="n">
        <v>0</v>
      </c>
      <c r="K606" t="n">
        <v>0</v>
      </c>
      <c r="L606" t="n">
        <v>0</v>
      </c>
      <c r="M606" t="n">
        <v>0</v>
      </c>
      <c r="N606" t="n">
        <v>0</v>
      </c>
      <c r="O606" t="n">
        <v>0</v>
      </c>
      <c r="P606" t="n">
        <v>0</v>
      </c>
      <c r="Q606" t="n">
        <v>0</v>
      </c>
      <c r="R606" s="2" t="inlineStr"/>
    </row>
    <row r="607" ht="15" customHeight="1">
      <c r="A607" t="inlineStr">
        <is>
          <t>A 61934-2022</t>
        </is>
      </c>
      <c r="B607" s="1" t="n">
        <v>44917</v>
      </c>
      <c r="C607" s="1" t="n">
        <v>45969</v>
      </c>
      <c r="D607" t="inlineStr">
        <is>
          <t>JÄMTLANDS LÄN</t>
        </is>
      </c>
      <c r="E607" t="inlineStr">
        <is>
          <t>RAGUNDA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11558-2023</t>
        </is>
      </c>
      <c r="B608" s="1" t="n">
        <v>44993.94958333333</v>
      </c>
      <c r="C608" s="1" t="n">
        <v>45969</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62541-2022</t>
        </is>
      </c>
      <c r="B609" s="1" t="n">
        <v>44917</v>
      </c>
      <c r="C609" s="1" t="n">
        <v>45969</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61400-2022</t>
        </is>
      </c>
      <c r="B610" s="1" t="n">
        <v>44915</v>
      </c>
      <c r="C610" s="1" t="n">
        <v>45969</v>
      </c>
      <c r="D610" t="inlineStr">
        <is>
          <t>JÄMTLANDS LÄN</t>
        </is>
      </c>
      <c r="E610" t="inlineStr">
        <is>
          <t>RAGUNDA</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49648-2023</t>
        </is>
      </c>
      <c r="B611" s="1" t="n">
        <v>45211.95061342593</v>
      </c>
      <c r="C611" s="1" t="n">
        <v>45969</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15554-2025</t>
        </is>
      </c>
      <c r="B612" s="1" t="n">
        <v>45747.67739583334</v>
      </c>
      <c r="C612" s="1" t="n">
        <v>45969</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24861-2023</t>
        </is>
      </c>
      <c r="B613" s="1" t="n">
        <v>45078</v>
      </c>
      <c r="C613" s="1" t="n">
        <v>45969</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57170-2024</t>
        </is>
      </c>
      <c r="B614" s="1" t="n">
        <v>45629.42759259259</v>
      </c>
      <c r="C614" s="1" t="n">
        <v>45969</v>
      </c>
      <c r="D614" t="inlineStr">
        <is>
          <t>JÄMTLANDS LÄN</t>
        </is>
      </c>
      <c r="E614" t="inlineStr">
        <is>
          <t>RAGUNDA</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58194-2022</t>
        </is>
      </c>
      <c r="B615" s="1" t="n">
        <v>44900</v>
      </c>
      <c r="C615" s="1" t="n">
        <v>45969</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42875-2024</t>
        </is>
      </c>
      <c r="B616" s="1" t="n">
        <v>45566.68125</v>
      </c>
      <c r="C616" s="1" t="n">
        <v>45969</v>
      </c>
      <c r="D616" t="inlineStr">
        <is>
          <t>JÄMTLANDS LÄN</t>
        </is>
      </c>
      <c r="E616" t="inlineStr">
        <is>
          <t>RAGUNDA</t>
        </is>
      </c>
      <c r="G616" t="n">
        <v>0.5</v>
      </c>
      <c r="H616" t="n">
        <v>0</v>
      </c>
      <c r="I616" t="n">
        <v>0</v>
      </c>
      <c r="J616" t="n">
        <v>0</v>
      </c>
      <c r="K616" t="n">
        <v>0</v>
      </c>
      <c r="L616" t="n">
        <v>0</v>
      </c>
      <c r="M616" t="n">
        <v>0</v>
      </c>
      <c r="N616" t="n">
        <v>0</v>
      </c>
      <c r="O616" t="n">
        <v>0</v>
      </c>
      <c r="P616" t="n">
        <v>0</v>
      </c>
      <c r="Q616" t="n">
        <v>0</v>
      </c>
      <c r="R616" s="2" t="inlineStr"/>
    </row>
    <row r="617" ht="15" customHeight="1">
      <c r="A617" t="inlineStr">
        <is>
          <t>A 38270-2021</t>
        </is>
      </c>
      <c r="B617" s="1" t="n">
        <v>44405.92065972222</v>
      </c>
      <c r="C617" s="1" t="n">
        <v>45969</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4866-2025</t>
        </is>
      </c>
      <c r="B618" s="1" t="n">
        <v>45688.67542824074</v>
      </c>
      <c r="C618" s="1" t="n">
        <v>45969</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15864-2024</t>
        </is>
      </c>
      <c r="B619" s="1" t="n">
        <v>45404.99792824074</v>
      </c>
      <c r="C619" s="1" t="n">
        <v>45969</v>
      </c>
      <c r="D619" t="inlineStr">
        <is>
          <t>JÄMTLANDS LÄN</t>
        </is>
      </c>
      <c r="E619" t="inlineStr">
        <is>
          <t>RAGUNDA</t>
        </is>
      </c>
      <c r="F619" t="inlineStr">
        <is>
          <t>SCA</t>
        </is>
      </c>
      <c r="G619" t="n">
        <v>1.1</v>
      </c>
      <c r="H619" t="n">
        <v>0</v>
      </c>
      <c r="I619" t="n">
        <v>0</v>
      </c>
      <c r="J619" t="n">
        <v>0</v>
      </c>
      <c r="K619" t="n">
        <v>0</v>
      </c>
      <c r="L619" t="n">
        <v>0</v>
      </c>
      <c r="M619" t="n">
        <v>0</v>
      </c>
      <c r="N619" t="n">
        <v>0</v>
      </c>
      <c r="O619" t="n">
        <v>0</v>
      </c>
      <c r="P619" t="n">
        <v>0</v>
      </c>
      <c r="Q619" t="n">
        <v>0</v>
      </c>
      <c r="R619" s="2" t="inlineStr"/>
      <c r="U619">
        <f>HYPERLINK("https://klasma.github.io/Logging_2303/knärot/A 15864-2024 karta knärot.png", "A 15864-2024")</f>
        <v/>
      </c>
      <c r="V619">
        <f>HYPERLINK("https://klasma.github.io/Logging_2303/klagomål/A 15864-2024 FSC-klagomål.docx", "A 15864-2024")</f>
        <v/>
      </c>
      <c r="W619">
        <f>HYPERLINK("https://klasma.github.io/Logging_2303/klagomålsmail/A 15864-2024 FSC-klagomål mail.docx", "A 15864-2024")</f>
        <v/>
      </c>
      <c r="X619">
        <f>HYPERLINK("https://klasma.github.io/Logging_2303/tillsyn/A 15864-2024 tillsynsbegäran.docx", "A 15864-2024")</f>
        <v/>
      </c>
      <c r="Y619">
        <f>HYPERLINK("https://klasma.github.io/Logging_2303/tillsynsmail/A 15864-2024 tillsynsbegäran mail.docx", "A 15864-2024")</f>
        <v/>
      </c>
    </row>
    <row r="620" ht="15" customHeight="1">
      <c r="A620" t="inlineStr">
        <is>
          <t>A 29940-2023</t>
        </is>
      </c>
      <c r="B620" s="1" t="n">
        <v>45107</v>
      </c>
      <c r="C620" s="1" t="n">
        <v>45969</v>
      </c>
      <c r="D620" t="inlineStr">
        <is>
          <t>JÄMTLANDS LÄN</t>
        </is>
      </c>
      <c r="E620" t="inlineStr">
        <is>
          <t>RAGUNDA</t>
        </is>
      </c>
      <c r="G620" t="n">
        <v>13.5</v>
      </c>
      <c r="H620" t="n">
        <v>0</v>
      </c>
      <c r="I620" t="n">
        <v>0</v>
      </c>
      <c r="J620" t="n">
        <v>0</v>
      </c>
      <c r="K620" t="n">
        <v>0</v>
      </c>
      <c r="L620" t="n">
        <v>0</v>
      </c>
      <c r="M620" t="n">
        <v>0</v>
      </c>
      <c r="N620" t="n">
        <v>0</v>
      </c>
      <c r="O620" t="n">
        <v>0</v>
      </c>
      <c r="P620" t="n">
        <v>0</v>
      </c>
      <c r="Q620" t="n">
        <v>0</v>
      </c>
      <c r="R620" s="2" t="inlineStr"/>
    </row>
    <row r="621" ht="15" customHeight="1">
      <c r="A621" t="inlineStr">
        <is>
          <t>A 4015-2022</t>
        </is>
      </c>
      <c r="B621" s="1" t="n">
        <v>44587.92149305555</v>
      </c>
      <c r="C621" s="1" t="n">
        <v>45969</v>
      </c>
      <c r="D621" t="inlineStr">
        <is>
          <t>JÄMTLANDS LÄN</t>
        </is>
      </c>
      <c r="E621" t="inlineStr">
        <is>
          <t>RAGUNDA</t>
        </is>
      </c>
      <c r="G621" t="n">
        <v>3.9</v>
      </c>
      <c r="H621" t="n">
        <v>0</v>
      </c>
      <c r="I621" t="n">
        <v>0</v>
      </c>
      <c r="J621" t="n">
        <v>0</v>
      </c>
      <c r="K621" t="n">
        <v>0</v>
      </c>
      <c r="L621" t="n">
        <v>0</v>
      </c>
      <c r="M621" t="n">
        <v>0</v>
      </c>
      <c r="N621" t="n">
        <v>0</v>
      </c>
      <c r="O621" t="n">
        <v>0</v>
      </c>
      <c r="P621" t="n">
        <v>0</v>
      </c>
      <c r="Q621" t="n">
        <v>0</v>
      </c>
      <c r="R621" s="2" t="inlineStr"/>
    </row>
    <row r="622" ht="15" customHeight="1">
      <c r="A622" t="inlineStr">
        <is>
          <t>A 2599-2023</t>
        </is>
      </c>
      <c r="B622" s="1" t="n">
        <v>44943.94802083333</v>
      </c>
      <c r="C622" s="1" t="n">
        <v>45969</v>
      </c>
      <c r="D622" t="inlineStr">
        <is>
          <t>JÄMTLANDS LÄN</t>
        </is>
      </c>
      <c r="E622" t="inlineStr">
        <is>
          <t>RAGUNDA</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59044-2022</t>
        </is>
      </c>
      <c r="B623" s="1" t="n">
        <v>44903</v>
      </c>
      <c r="C623" s="1" t="n">
        <v>45969</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179-2025</t>
        </is>
      </c>
      <c r="B624" s="1" t="n">
        <v>45659.69822916666</v>
      </c>
      <c r="C624" s="1" t="n">
        <v>45969</v>
      </c>
      <c r="D624" t="inlineStr">
        <is>
          <t>JÄMTLANDS LÄN</t>
        </is>
      </c>
      <c r="E624" t="inlineStr">
        <is>
          <t>RAGUNDA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4014-2022</t>
        </is>
      </c>
      <c r="B625" s="1" t="n">
        <v>44587.92144675926</v>
      </c>
      <c r="C625" s="1" t="n">
        <v>45969</v>
      </c>
      <c r="D625" t="inlineStr">
        <is>
          <t>JÄMTLANDS LÄN</t>
        </is>
      </c>
      <c r="E625" t="inlineStr">
        <is>
          <t>RAGUNDA</t>
        </is>
      </c>
      <c r="G625" t="n">
        <v>3.6</v>
      </c>
      <c r="H625" t="n">
        <v>0</v>
      </c>
      <c r="I625" t="n">
        <v>0</v>
      </c>
      <c r="J625" t="n">
        <v>0</v>
      </c>
      <c r="K625" t="n">
        <v>0</v>
      </c>
      <c r="L625" t="n">
        <v>0</v>
      </c>
      <c r="M625" t="n">
        <v>0</v>
      </c>
      <c r="N625" t="n">
        <v>0</v>
      </c>
      <c r="O625" t="n">
        <v>0</v>
      </c>
      <c r="P625" t="n">
        <v>0</v>
      </c>
      <c r="Q625" t="n">
        <v>0</v>
      </c>
      <c r="R625" s="2" t="inlineStr"/>
    </row>
    <row r="626" ht="15" customHeight="1">
      <c r="A626" t="inlineStr">
        <is>
          <t>A 20088-2023</t>
        </is>
      </c>
      <c r="B626" s="1" t="n">
        <v>45054</v>
      </c>
      <c r="C626" s="1" t="n">
        <v>45969</v>
      </c>
      <c r="D626" t="inlineStr">
        <is>
          <t>JÄMTLANDS LÄN</t>
        </is>
      </c>
      <c r="E626" t="inlineStr">
        <is>
          <t>RAGUNDA</t>
        </is>
      </c>
      <c r="F626" t="inlineStr">
        <is>
          <t>SCA</t>
        </is>
      </c>
      <c r="G626" t="n">
        <v>23.4</v>
      </c>
      <c r="H626" t="n">
        <v>0</v>
      </c>
      <c r="I626" t="n">
        <v>0</v>
      </c>
      <c r="J626" t="n">
        <v>0</v>
      </c>
      <c r="K626" t="n">
        <v>0</v>
      </c>
      <c r="L626" t="n">
        <v>0</v>
      </c>
      <c r="M626" t="n">
        <v>0</v>
      </c>
      <c r="N626" t="n">
        <v>0</v>
      </c>
      <c r="O626" t="n">
        <v>0</v>
      </c>
      <c r="P626" t="n">
        <v>0</v>
      </c>
      <c r="Q626" t="n">
        <v>0</v>
      </c>
      <c r="R626" s="2" t="inlineStr"/>
    </row>
    <row r="627" ht="15" customHeight="1">
      <c r="A627" t="inlineStr">
        <is>
          <t>A 8243-2024</t>
        </is>
      </c>
      <c r="B627" s="1" t="n">
        <v>45351.98532407408</v>
      </c>
      <c r="C627" s="1" t="n">
        <v>45969</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66471-2021</t>
        </is>
      </c>
      <c r="B628" s="1" t="n">
        <v>44518</v>
      </c>
      <c r="C628" s="1" t="n">
        <v>45969</v>
      </c>
      <c r="D628" t="inlineStr">
        <is>
          <t>JÄMTLANDS LÄN</t>
        </is>
      </c>
      <c r="E628" t="inlineStr">
        <is>
          <t>RAGUNDA</t>
        </is>
      </c>
      <c r="G628" t="n">
        <v>13.4</v>
      </c>
      <c r="H628" t="n">
        <v>0</v>
      </c>
      <c r="I628" t="n">
        <v>0</v>
      </c>
      <c r="J628" t="n">
        <v>0</v>
      </c>
      <c r="K628" t="n">
        <v>0</v>
      </c>
      <c r="L628" t="n">
        <v>0</v>
      </c>
      <c r="M628" t="n">
        <v>0</v>
      </c>
      <c r="N628" t="n">
        <v>0</v>
      </c>
      <c r="O628" t="n">
        <v>0</v>
      </c>
      <c r="P628" t="n">
        <v>0</v>
      </c>
      <c r="Q628" t="n">
        <v>0</v>
      </c>
      <c r="R628" s="2" t="inlineStr"/>
    </row>
    <row r="629" ht="15" customHeight="1">
      <c r="A629" t="inlineStr">
        <is>
          <t>A 6902-2024</t>
        </is>
      </c>
      <c r="B629" s="1" t="n">
        <v>45342</v>
      </c>
      <c r="C629" s="1" t="n">
        <v>45969</v>
      </c>
      <c r="D629" t="inlineStr">
        <is>
          <t>JÄMTLANDS LÄN</t>
        </is>
      </c>
      <c r="E629" t="inlineStr">
        <is>
          <t>RAGUNDA</t>
        </is>
      </c>
      <c r="F629" t="inlineStr">
        <is>
          <t>SCA</t>
        </is>
      </c>
      <c r="G629" t="n">
        <v>18.7</v>
      </c>
      <c r="H629" t="n">
        <v>0</v>
      </c>
      <c r="I629" t="n">
        <v>0</v>
      </c>
      <c r="J629" t="n">
        <v>0</v>
      </c>
      <c r="K629" t="n">
        <v>0</v>
      </c>
      <c r="L629" t="n">
        <v>0</v>
      </c>
      <c r="M629" t="n">
        <v>0</v>
      </c>
      <c r="N629" t="n">
        <v>0</v>
      </c>
      <c r="O629" t="n">
        <v>0</v>
      </c>
      <c r="P629" t="n">
        <v>0</v>
      </c>
      <c r="Q629" t="n">
        <v>0</v>
      </c>
      <c r="R629" s="2" t="inlineStr"/>
    </row>
    <row r="630" ht="15" customHeight="1">
      <c r="A630" t="inlineStr">
        <is>
          <t>A 6905-2024</t>
        </is>
      </c>
      <c r="B630" s="1" t="n">
        <v>45342.9462037037</v>
      </c>
      <c r="C630" s="1" t="n">
        <v>45969</v>
      </c>
      <c r="D630" t="inlineStr">
        <is>
          <t>JÄMTLANDS LÄN</t>
        </is>
      </c>
      <c r="E630" t="inlineStr">
        <is>
          <t>RAGUNDA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22731-2023</t>
        </is>
      </c>
      <c r="B631" s="1" t="n">
        <v>45071</v>
      </c>
      <c r="C631" s="1" t="n">
        <v>45969</v>
      </c>
      <c r="D631" t="inlineStr">
        <is>
          <t>JÄMTLANDS LÄN</t>
        </is>
      </c>
      <c r="E631" t="inlineStr">
        <is>
          <t>RAGUNDA</t>
        </is>
      </c>
      <c r="G631" t="n">
        <v>1.5</v>
      </c>
      <c r="H631" t="n">
        <v>0</v>
      </c>
      <c r="I631" t="n">
        <v>0</v>
      </c>
      <c r="J631" t="n">
        <v>0</v>
      </c>
      <c r="K631" t="n">
        <v>0</v>
      </c>
      <c r="L631" t="n">
        <v>0</v>
      </c>
      <c r="M631" t="n">
        <v>0</v>
      </c>
      <c r="N631" t="n">
        <v>0</v>
      </c>
      <c r="O631" t="n">
        <v>0</v>
      </c>
      <c r="P631" t="n">
        <v>0</v>
      </c>
      <c r="Q631" t="n">
        <v>0</v>
      </c>
      <c r="R631" s="2" t="inlineStr"/>
    </row>
    <row r="632" ht="15" customHeight="1">
      <c r="A632" t="inlineStr">
        <is>
          <t>A 33877-2023</t>
        </is>
      </c>
      <c r="B632" s="1" t="n">
        <v>45133</v>
      </c>
      <c r="C632" s="1" t="n">
        <v>45969</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59136-2023</t>
        </is>
      </c>
      <c r="B633" s="1" t="n">
        <v>45251</v>
      </c>
      <c r="C633" s="1" t="n">
        <v>45969</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35274-2023</t>
        </is>
      </c>
      <c r="B634" s="1" t="n">
        <v>45145</v>
      </c>
      <c r="C634" s="1" t="n">
        <v>45969</v>
      </c>
      <c r="D634" t="inlineStr">
        <is>
          <t>JÄMTLANDS LÄN</t>
        </is>
      </c>
      <c r="E634" t="inlineStr">
        <is>
          <t>RAGUNDA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53989-2024</t>
        </is>
      </c>
      <c r="B635" s="1" t="n">
        <v>45616.34479166667</v>
      </c>
      <c r="C635" s="1" t="n">
        <v>45969</v>
      </c>
      <c r="D635" t="inlineStr">
        <is>
          <t>JÄMTLANDS LÄN</t>
        </is>
      </c>
      <c r="E635" t="inlineStr">
        <is>
          <t>RAGUNDA</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8775-2025</t>
        </is>
      </c>
      <c r="B636" s="1" t="n">
        <v>45712.61502314815</v>
      </c>
      <c r="C636" s="1" t="n">
        <v>45969</v>
      </c>
      <c r="D636" t="inlineStr">
        <is>
          <t>JÄMTLANDS LÄN</t>
        </is>
      </c>
      <c r="E636" t="inlineStr">
        <is>
          <t>RAGUNDA</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64264-2023</t>
        </is>
      </c>
      <c r="B637" s="1" t="n">
        <v>45279.94564814815</v>
      </c>
      <c r="C637" s="1" t="n">
        <v>45969</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42509-2023</t>
        </is>
      </c>
      <c r="B638" s="1" t="n">
        <v>45180</v>
      </c>
      <c r="C638" s="1" t="n">
        <v>45969</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42510-2023</t>
        </is>
      </c>
      <c r="B639" s="1" t="n">
        <v>45180.95927083334</v>
      </c>
      <c r="C639" s="1" t="n">
        <v>45969</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26347-2023</t>
        </is>
      </c>
      <c r="B640" s="1" t="n">
        <v>45091</v>
      </c>
      <c r="C640" s="1" t="n">
        <v>45969</v>
      </c>
      <c r="D640" t="inlineStr">
        <is>
          <t>JÄMTLANDS LÄN</t>
        </is>
      </c>
      <c r="E640" t="inlineStr">
        <is>
          <t>RAGUNDA</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8776-2025</t>
        </is>
      </c>
      <c r="B641" s="1" t="n">
        <v>45712.61510416667</v>
      </c>
      <c r="C641" s="1" t="n">
        <v>45969</v>
      </c>
      <c r="D641" t="inlineStr">
        <is>
          <t>JÄMTLANDS LÄN</t>
        </is>
      </c>
      <c r="E641" t="inlineStr">
        <is>
          <t>RAGUNDA</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45969</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57749-2024</t>
        </is>
      </c>
      <c r="B643" s="1" t="n">
        <v>45630.7862037037</v>
      </c>
      <c r="C643" s="1" t="n">
        <v>45969</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5067-2024</t>
        </is>
      </c>
      <c r="B644" s="1" t="n">
        <v>45329.95806712963</v>
      </c>
      <c r="C644" s="1" t="n">
        <v>45969</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5429-2024</t>
        </is>
      </c>
      <c r="B645" s="1" t="n">
        <v>45331.92746527777</v>
      </c>
      <c r="C645" s="1" t="n">
        <v>45969</v>
      </c>
      <c r="D645" t="inlineStr">
        <is>
          <t>JÄMTLANDS LÄN</t>
        </is>
      </c>
      <c r="E645" t="inlineStr">
        <is>
          <t>RAGUNDA</t>
        </is>
      </c>
      <c r="G645" t="n">
        <v>1.1</v>
      </c>
      <c r="H645" t="n">
        <v>0</v>
      </c>
      <c r="I645" t="n">
        <v>0</v>
      </c>
      <c r="J645" t="n">
        <v>0</v>
      </c>
      <c r="K645" t="n">
        <v>0</v>
      </c>
      <c r="L645" t="n">
        <v>0</v>
      </c>
      <c r="M645" t="n">
        <v>0</v>
      </c>
      <c r="N645" t="n">
        <v>0</v>
      </c>
      <c r="O645" t="n">
        <v>0</v>
      </c>
      <c r="P645" t="n">
        <v>0</v>
      </c>
      <c r="Q645" t="n">
        <v>0</v>
      </c>
      <c r="R645" s="2" t="inlineStr"/>
    </row>
    <row r="646" ht="15" customHeight="1">
      <c r="A646" t="inlineStr">
        <is>
          <t>A 51538-2022</t>
        </is>
      </c>
      <c r="B646" s="1" t="n">
        <v>44869</v>
      </c>
      <c r="C646" s="1" t="n">
        <v>45969</v>
      </c>
      <c r="D646" t="inlineStr">
        <is>
          <t>JÄMTLANDS LÄN</t>
        </is>
      </c>
      <c r="E646" t="inlineStr">
        <is>
          <t>RAGUNDA</t>
        </is>
      </c>
      <c r="G646" t="n">
        <v>6.8</v>
      </c>
      <c r="H646" t="n">
        <v>0</v>
      </c>
      <c r="I646" t="n">
        <v>0</v>
      </c>
      <c r="J646" t="n">
        <v>0</v>
      </c>
      <c r="K646" t="n">
        <v>0</v>
      </c>
      <c r="L646" t="n">
        <v>0</v>
      </c>
      <c r="M646" t="n">
        <v>0</v>
      </c>
      <c r="N646" t="n">
        <v>0</v>
      </c>
      <c r="O646" t="n">
        <v>0</v>
      </c>
      <c r="P646" t="n">
        <v>0</v>
      </c>
      <c r="Q646" t="n">
        <v>0</v>
      </c>
      <c r="R646" s="2" t="inlineStr"/>
    </row>
    <row r="647" ht="15" customHeight="1">
      <c r="A647" t="inlineStr">
        <is>
          <t>A 59492-2024</t>
        </is>
      </c>
      <c r="B647" s="1" t="n">
        <v>45638</v>
      </c>
      <c r="C647" s="1" t="n">
        <v>45969</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61109-2024</t>
        </is>
      </c>
      <c r="B648" s="1" t="n">
        <v>45645.55672453704</v>
      </c>
      <c r="C648" s="1" t="n">
        <v>45969</v>
      </c>
      <c r="D648" t="inlineStr">
        <is>
          <t>JÄMTLANDS LÄN</t>
        </is>
      </c>
      <c r="E648" t="inlineStr">
        <is>
          <t>RAGUNDA</t>
        </is>
      </c>
      <c r="G648" t="n">
        <v>4</v>
      </c>
      <c r="H648" t="n">
        <v>0</v>
      </c>
      <c r="I648" t="n">
        <v>0</v>
      </c>
      <c r="J648" t="n">
        <v>0</v>
      </c>
      <c r="K648" t="n">
        <v>0</v>
      </c>
      <c r="L648" t="n">
        <v>0</v>
      </c>
      <c r="M648" t="n">
        <v>0</v>
      </c>
      <c r="N648" t="n">
        <v>0</v>
      </c>
      <c r="O648" t="n">
        <v>0</v>
      </c>
      <c r="P648" t="n">
        <v>0</v>
      </c>
      <c r="Q648" t="n">
        <v>0</v>
      </c>
      <c r="R648" s="2" t="inlineStr"/>
    </row>
    <row r="649" ht="15" customHeight="1">
      <c r="A649" t="inlineStr">
        <is>
          <t>A 61088-2020</t>
        </is>
      </c>
      <c r="B649" s="1" t="n">
        <v>44153</v>
      </c>
      <c r="C649" s="1" t="n">
        <v>45969</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16364-2023</t>
        </is>
      </c>
      <c r="B650" s="1" t="n">
        <v>45028</v>
      </c>
      <c r="C650" s="1" t="n">
        <v>45969</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28742-2023</t>
        </is>
      </c>
      <c r="B651" s="1" t="n">
        <v>45103</v>
      </c>
      <c r="C651" s="1" t="n">
        <v>45969</v>
      </c>
      <c r="D651" t="inlineStr">
        <is>
          <t>JÄMTLANDS LÄN</t>
        </is>
      </c>
      <c r="E651" t="inlineStr">
        <is>
          <t>RAGUNDA</t>
        </is>
      </c>
      <c r="G651" t="n">
        <v>1.8</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45969</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46549-2023</t>
        </is>
      </c>
      <c r="B653" s="1" t="n">
        <v>45197.94171296297</v>
      </c>
      <c r="C653" s="1" t="n">
        <v>45969</v>
      </c>
      <c r="D653" t="inlineStr">
        <is>
          <t>JÄMTLANDS LÄN</t>
        </is>
      </c>
      <c r="E653" t="inlineStr">
        <is>
          <t>RAGUNDA</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27373-2023</t>
        </is>
      </c>
      <c r="B654" s="1" t="n">
        <v>45096.93866898148</v>
      </c>
      <c r="C654" s="1" t="n">
        <v>45969</v>
      </c>
      <c r="D654" t="inlineStr">
        <is>
          <t>JÄMTLANDS LÄN</t>
        </is>
      </c>
      <c r="E654" t="inlineStr">
        <is>
          <t>RAGUNDA</t>
        </is>
      </c>
      <c r="F654" t="inlineStr">
        <is>
          <t>SCA</t>
        </is>
      </c>
      <c r="G654" t="n">
        <v>6.9</v>
      </c>
      <c r="H654" t="n">
        <v>0</v>
      </c>
      <c r="I654" t="n">
        <v>0</v>
      </c>
      <c r="J654" t="n">
        <v>0</v>
      </c>
      <c r="K654" t="n">
        <v>0</v>
      </c>
      <c r="L654" t="n">
        <v>0</v>
      </c>
      <c r="M654" t="n">
        <v>0</v>
      </c>
      <c r="N654" t="n">
        <v>0</v>
      </c>
      <c r="O654" t="n">
        <v>0</v>
      </c>
      <c r="P654" t="n">
        <v>0</v>
      </c>
      <c r="Q654" t="n">
        <v>0</v>
      </c>
      <c r="R654" s="2" t="inlineStr"/>
    </row>
    <row r="655" ht="15" customHeight="1">
      <c r="A655" t="inlineStr">
        <is>
          <t>A 65341-2020</t>
        </is>
      </c>
      <c r="B655" s="1" t="n">
        <v>44173</v>
      </c>
      <c r="C655" s="1" t="n">
        <v>45969</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16321-2025</t>
        </is>
      </c>
      <c r="B656" s="1" t="n">
        <v>45751.34873842593</v>
      </c>
      <c r="C656" s="1" t="n">
        <v>45969</v>
      </c>
      <c r="D656" t="inlineStr">
        <is>
          <t>JÄMTLANDS LÄN</t>
        </is>
      </c>
      <c r="E656" t="inlineStr">
        <is>
          <t>RAGUNDA</t>
        </is>
      </c>
      <c r="F656" t="inlineStr">
        <is>
          <t>SCA</t>
        </is>
      </c>
      <c r="G656" t="n">
        <v>63.3</v>
      </c>
      <c r="H656" t="n">
        <v>0</v>
      </c>
      <c r="I656" t="n">
        <v>0</v>
      </c>
      <c r="J656" t="n">
        <v>0</v>
      </c>
      <c r="K656" t="n">
        <v>0</v>
      </c>
      <c r="L656" t="n">
        <v>0</v>
      </c>
      <c r="M656" t="n">
        <v>0</v>
      </c>
      <c r="N656" t="n">
        <v>0</v>
      </c>
      <c r="O656" t="n">
        <v>0</v>
      </c>
      <c r="P656" t="n">
        <v>0</v>
      </c>
      <c r="Q656" t="n">
        <v>0</v>
      </c>
      <c r="R656" s="2" t="inlineStr"/>
    </row>
    <row r="657" ht="15" customHeight="1">
      <c r="A657" t="inlineStr">
        <is>
          <t>A 55904-2022</t>
        </is>
      </c>
      <c r="B657" s="1" t="n">
        <v>44888</v>
      </c>
      <c r="C657" s="1" t="n">
        <v>45969</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65898-2020</t>
        </is>
      </c>
      <c r="B658" s="1" t="n">
        <v>44174</v>
      </c>
      <c r="C658" s="1" t="n">
        <v>45969</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19854-2025</t>
        </is>
      </c>
      <c r="B659" s="1" t="n">
        <v>45771.51074074074</v>
      </c>
      <c r="C659" s="1" t="n">
        <v>45969</v>
      </c>
      <c r="D659" t="inlineStr">
        <is>
          <t>JÄMTLANDS LÄN</t>
        </is>
      </c>
      <c r="E659" t="inlineStr">
        <is>
          <t>RAGUNDA</t>
        </is>
      </c>
      <c r="F659" t="inlineStr">
        <is>
          <t>SCA</t>
        </is>
      </c>
      <c r="G659" t="n">
        <v>8.4</v>
      </c>
      <c r="H659" t="n">
        <v>0</v>
      </c>
      <c r="I659" t="n">
        <v>0</v>
      </c>
      <c r="J659" t="n">
        <v>0</v>
      </c>
      <c r="K659" t="n">
        <v>0</v>
      </c>
      <c r="L659" t="n">
        <v>0</v>
      </c>
      <c r="M659" t="n">
        <v>0</v>
      </c>
      <c r="N659" t="n">
        <v>0</v>
      </c>
      <c r="O659" t="n">
        <v>0</v>
      </c>
      <c r="P659" t="n">
        <v>0</v>
      </c>
      <c r="Q659" t="n">
        <v>0</v>
      </c>
      <c r="R659" s="2" t="inlineStr"/>
    </row>
    <row r="660" ht="15" customHeight="1">
      <c r="A660" t="inlineStr">
        <is>
          <t>A 6688-2024</t>
        </is>
      </c>
      <c r="B660" s="1" t="n">
        <v>45341</v>
      </c>
      <c r="C660" s="1" t="n">
        <v>45969</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30642-2024</t>
        </is>
      </c>
      <c r="B661" s="1" t="n">
        <v>45495.57677083334</v>
      </c>
      <c r="C661" s="1" t="n">
        <v>45969</v>
      </c>
      <c r="D661" t="inlineStr">
        <is>
          <t>JÄMTLANDS LÄN</t>
        </is>
      </c>
      <c r="E661" t="inlineStr">
        <is>
          <t>RAGUNDA</t>
        </is>
      </c>
      <c r="G661" t="n">
        <v>2.7</v>
      </c>
      <c r="H661" t="n">
        <v>0</v>
      </c>
      <c r="I661" t="n">
        <v>0</v>
      </c>
      <c r="J661" t="n">
        <v>0</v>
      </c>
      <c r="K661" t="n">
        <v>0</v>
      </c>
      <c r="L661" t="n">
        <v>0</v>
      </c>
      <c r="M661" t="n">
        <v>0</v>
      </c>
      <c r="N661" t="n">
        <v>0</v>
      </c>
      <c r="O661" t="n">
        <v>0</v>
      </c>
      <c r="P661" t="n">
        <v>0</v>
      </c>
      <c r="Q661" t="n">
        <v>0</v>
      </c>
      <c r="R661" s="2" t="inlineStr"/>
    </row>
    <row r="662" ht="15" customHeight="1">
      <c r="A662" t="inlineStr">
        <is>
          <t>A 55214-2022</t>
        </is>
      </c>
      <c r="B662" s="1" t="n">
        <v>44886</v>
      </c>
      <c r="C662" s="1" t="n">
        <v>45969</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22981-2023</t>
        </is>
      </c>
      <c r="B663" s="1" t="n">
        <v>45072.92737268518</v>
      </c>
      <c r="C663" s="1" t="n">
        <v>45969</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47748-2025</t>
        </is>
      </c>
      <c r="B664" s="1" t="n">
        <v>45931.65693287037</v>
      </c>
      <c r="C664" s="1" t="n">
        <v>45969</v>
      </c>
      <c r="D664" t="inlineStr">
        <is>
          <t>JÄMTLANDS LÄN</t>
        </is>
      </c>
      <c r="E664" t="inlineStr">
        <is>
          <t>RAGUNDA</t>
        </is>
      </c>
      <c r="F664" t="inlineStr">
        <is>
          <t>SCA</t>
        </is>
      </c>
      <c r="G664" t="n">
        <v>8.6</v>
      </c>
      <c r="H664" t="n">
        <v>0</v>
      </c>
      <c r="I664" t="n">
        <v>0</v>
      </c>
      <c r="J664" t="n">
        <v>0</v>
      </c>
      <c r="K664" t="n">
        <v>0</v>
      </c>
      <c r="L664" t="n">
        <v>0</v>
      </c>
      <c r="M664" t="n">
        <v>0</v>
      </c>
      <c r="N664" t="n">
        <v>0</v>
      </c>
      <c r="O664" t="n">
        <v>0</v>
      </c>
      <c r="P664" t="n">
        <v>0</v>
      </c>
      <c r="Q664" t="n">
        <v>0</v>
      </c>
      <c r="R664" s="2" t="inlineStr"/>
    </row>
    <row r="665" ht="15" customHeight="1">
      <c r="A665" t="inlineStr">
        <is>
          <t>A 21726-2023</t>
        </is>
      </c>
      <c r="B665" s="1" t="n">
        <v>45065.42894675926</v>
      </c>
      <c r="C665" s="1" t="n">
        <v>45969</v>
      </c>
      <c r="D665" t="inlineStr">
        <is>
          <t>JÄMTLANDS LÄN</t>
        </is>
      </c>
      <c r="E665" t="inlineStr">
        <is>
          <t>RAGUNDA</t>
        </is>
      </c>
      <c r="G665" t="n">
        <v>0.4</v>
      </c>
      <c r="H665" t="n">
        <v>0</v>
      </c>
      <c r="I665" t="n">
        <v>0</v>
      </c>
      <c r="J665" t="n">
        <v>0</v>
      </c>
      <c r="K665" t="n">
        <v>0</v>
      </c>
      <c r="L665" t="n">
        <v>0</v>
      </c>
      <c r="M665" t="n">
        <v>0</v>
      </c>
      <c r="N665" t="n">
        <v>0</v>
      </c>
      <c r="O665" t="n">
        <v>0</v>
      </c>
      <c r="P665" t="n">
        <v>0</v>
      </c>
      <c r="Q665" t="n">
        <v>0</v>
      </c>
      <c r="R665" s="2" t="inlineStr"/>
    </row>
    <row r="666" ht="15" customHeight="1">
      <c r="A666" t="inlineStr">
        <is>
          <t>A 39949-2025</t>
        </is>
      </c>
      <c r="B666" s="1" t="n">
        <v>45892.38619212963</v>
      </c>
      <c r="C666" s="1" t="n">
        <v>45969</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40246-2024</t>
        </is>
      </c>
      <c r="B667" s="1" t="n">
        <v>45554.61583333334</v>
      </c>
      <c r="C667" s="1" t="n">
        <v>45969</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55514-2024</t>
        </is>
      </c>
      <c r="B668" s="1" t="n">
        <v>45622.46910879629</v>
      </c>
      <c r="C668" s="1" t="n">
        <v>45969</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24441-2024</t>
        </is>
      </c>
      <c r="B669" s="1" t="n">
        <v>45457.96372685185</v>
      </c>
      <c r="C669" s="1" t="n">
        <v>45969</v>
      </c>
      <c r="D669" t="inlineStr">
        <is>
          <t>JÄMTLANDS LÄN</t>
        </is>
      </c>
      <c r="E669" t="inlineStr">
        <is>
          <t>RAGUNDA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934-2023</t>
        </is>
      </c>
      <c r="B670" s="1" t="n">
        <v>44932.93927083333</v>
      </c>
      <c r="C670" s="1" t="n">
        <v>45969</v>
      </c>
      <c r="D670" t="inlineStr">
        <is>
          <t>JÄMTLANDS LÄN</t>
        </is>
      </c>
      <c r="E670" t="inlineStr">
        <is>
          <t>RAGUNDA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39948-2025</t>
        </is>
      </c>
      <c r="B671" s="1" t="n">
        <v>45892.38591435185</v>
      </c>
      <c r="C671" s="1" t="n">
        <v>45969</v>
      </c>
      <c r="D671" t="inlineStr">
        <is>
          <t>JÄMTLANDS LÄN</t>
        </is>
      </c>
      <c r="E671" t="inlineStr">
        <is>
          <t>RAGUNDA</t>
        </is>
      </c>
      <c r="G671" t="n">
        <v>5</v>
      </c>
      <c r="H671" t="n">
        <v>0</v>
      </c>
      <c r="I671" t="n">
        <v>0</v>
      </c>
      <c r="J671" t="n">
        <v>0</v>
      </c>
      <c r="K671" t="n">
        <v>0</v>
      </c>
      <c r="L671" t="n">
        <v>0</v>
      </c>
      <c r="M671" t="n">
        <v>0</v>
      </c>
      <c r="N671" t="n">
        <v>0</v>
      </c>
      <c r="O671" t="n">
        <v>0</v>
      </c>
      <c r="P671" t="n">
        <v>0</v>
      </c>
      <c r="Q671" t="n">
        <v>0</v>
      </c>
      <c r="R671" s="2" t="inlineStr"/>
    </row>
    <row r="672" ht="15" customHeight="1">
      <c r="A672" t="inlineStr">
        <is>
          <t>A 37242-2024</t>
        </is>
      </c>
      <c r="B672" s="1" t="n">
        <v>45540.34428240741</v>
      </c>
      <c r="C672" s="1" t="n">
        <v>45969</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9232-2025</t>
        </is>
      </c>
      <c r="B673" s="1" t="n">
        <v>45714.55064814815</v>
      </c>
      <c r="C673" s="1" t="n">
        <v>45969</v>
      </c>
      <c r="D673" t="inlineStr">
        <is>
          <t>JÄMTLANDS LÄN</t>
        </is>
      </c>
      <c r="E673" t="inlineStr">
        <is>
          <t>RAGUNDA</t>
        </is>
      </c>
      <c r="G673" t="n">
        <v>1.9</v>
      </c>
      <c r="H673" t="n">
        <v>0</v>
      </c>
      <c r="I673" t="n">
        <v>0</v>
      </c>
      <c r="J673" t="n">
        <v>0</v>
      </c>
      <c r="K673" t="n">
        <v>0</v>
      </c>
      <c r="L673" t="n">
        <v>0</v>
      </c>
      <c r="M673" t="n">
        <v>0</v>
      </c>
      <c r="N673" t="n">
        <v>0</v>
      </c>
      <c r="O673" t="n">
        <v>0</v>
      </c>
      <c r="P673" t="n">
        <v>0</v>
      </c>
      <c r="Q673" t="n">
        <v>0</v>
      </c>
      <c r="R673" s="2" t="inlineStr"/>
    </row>
    <row r="674" ht="15" customHeight="1">
      <c r="A674" t="inlineStr">
        <is>
          <t>A 41656-2023</t>
        </is>
      </c>
      <c r="B674" s="1" t="n">
        <v>45175</v>
      </c>
      <c r="C674" s="1" t="n">
        <v>45969</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16635-2025</t>
        </is>
      </c>
      <c r="B675" s="1" t="n">
        <v>45754</v>
      </c>
      <c r="C675" s="1" t="n">
        <v>45969</v>
      </c>
      <c r="D675" t="inlineStr">
        <is>
          <t>JÄMTLANDS LÄN</t>
        </is>
      </c>
      <c r="E675" t="inlineStr">
        <is>
          <t>RAGUNDA</t>
        </is>
      </c>
      <c r="F675" t="inlineStr">
        <is>
          <t>SCA</t>
        </is>
      </c>
      <c r="G675" t="n">
        <v>55.4</v>
      </c>
      <c r="H675" t="n">
        <v>0</v>
      </c>
      <c r="I675" t="n">
        <v>0</v>
      </c>
      <c r="J675" t="n">
        <v>0</v>
      </c>
      <c r="K675" t="n">
        <v>0</v>
      </c>
      <c r="L675" t="n">
        <v>0</v>
      </c>
      <c r="M675" t="n">
        <v>0</v>
      </c>
      <c r="N675" t="n">
        <v>0</v>
      </c>
      <c r="O675" t="n">
        <v>0</v>
      </c>
      <c r="P675" t="n">
        <v>0</v>
      </c>
      <c r="Q675" t="n">
        <v>0</v>
      </c>
      <c r="R675" s="2" t="inlineStr"/>
    </row>
    <row r="676" ht="15" customHeight="1">
      <c r="A676" t="inlineStr">
        <is>
          <t>A 36317-2024</t>
        </is>
      </c>
      <c r="B676" s="1" t="n">
        <v>45534.63537037037</v>
      </c>
      <c r="C676" s="1" t="n">
        <v>45969</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48746-2025</t>
        </is>
      </c>
      <c r="B677" s="1" t="n">
        <v>45936.67878472222</v>
      </c>
      <c r="C677" s="1" t="n">
        <v>45969</v>
      </c>
      <c r="D677" t="inlineStr">
        <is>
          <t>JÄMTLANDS LÄN</t>
        </is>
      </c>
      <c r="E677" t="inlineStr">
        <is>
          <t>RAGUNDA</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37479-2023</t>
        </is>
      </c>
      <c r="B678" s="1" t="n">
        <v>45156</v>
      </c>
      <c r="C678" s="1" t="n">
        <v>45969</v>
      </c>
      <c r="D678" t="inlineStr">
        <is>
          <t>JÄMTLANDS LÄN</t>
        </is>
      </c>
      <c r="E678" t="inlineStr">
        <is>
          <t>RAGUNDA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21853-2024</t>
        </is>
      </c>
      <c r="B679" s="1" t="n">
        <v>45442.96296296296</v>
      </c>
      <c r="C679" s="1" t="n">
        <v>45969</v>
      </c>
      <c r="D679" t="inlineStr">
        <is>
          <t>JÄMTLANDS LÄN</t>
        </is>
      </c>
      <c r="E679" t="inlineStr">
        <is>
          <t>RAGUNDA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50160-2023</t>
        </is>
      </c>
      <c r="B680" s="1" t="n">
        <v>45208</v>
      </c>
      <c r="C680" s="1" t="n">
        <v>45969</v>
      </c>
      <c r="D680" t="inlineStr">
        <is>
          <t>JÄMTLANDS LÄN</t>
        </is>
      </c>
      <c r="E680" t="inlineStr">
        <is>
          <t>RAGUNDA</t>
        </is>
      </c>
      <c r="G680" t="n">
        <v>4.6</v>
      </c>
      <c r="H680" t="n">
        <v>0</v>
      </c>
      <c r="I680" t="n">
        <v>0</v>
      </c>
      <c r="J680" t="n">
        <v>0</v>
      </c>
      <c r="K680" t="n">
        <v>0</v>
      </c>
      <c r="L680" t="n">
        <v>0</v>
      </c>
      <c r="M680" t="n">
        <v>0</v>
      </c>
      <c r="N680" t="n">
        <v>0</v>
      </c>
      <c r="O680" t="n">
        <v>0</v>
      </c>
      <c r="P680" t="n">
        <v>0</v>
      </c>
      <c r="Q680" t="n">
        <v>0</v>
      </c>
      <c r="R680" s="2" t="inlineStr"/>
    </row>
    <row r="681" ht="15" customHeight="1">
      <c r="A681" t="inlineStr">
        <is>
          <t>A 29775-2023</t>
        </is>
      </c>
      <c r="B681" s="1" t="n">
        <v>45098</v>
      </c>
      <c r="C681" s="1" t="n">
        <v>45969</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36226-2023</t>
        </is>
      </c>
      <c r="B682" s="1" t="n">
        <v>45149.95372685185</v>
      </c>
      <c r="C682" s="1" t="n">
        <v>45969</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40365-2024</t>
        </is>
      </c>
      <c r="B683" s="1" t="n">
        <v>45555.38509259259</v>
      </c>
      <c r="C683" s="1" t="n">
        <v>45969</v>
      </c>
      <c r="D683" t="inlineStr">
        <is>
          <t>JÄMTLANDS LÄN</t>
        </is>
      </c>
      <c r="E683" t="inlineStr">
        <is>
          <t>RAGUNDA</t>
        </is>
      </c>
      <c r="G683" t="n">
        <v>7.8</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45561.34663194444</v>
      </c>
      <c r="C684" s="1" t="n">
        <v>45969</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59368-2022</t>
        </is>
      </c>
      <c r="B685" s="1" t="n">
        <v>44904.94824074074</v>
      </c>
      <c r="C685" s="1" t="n">
        <v>45969</v>
      </c>
      <c r="D685" t="inlineStr">
        <is>
          <t>JÄMTLANDS LÄN</t>
        </is>
      </c>
      <c r="E685" t="inlineStr">
        <is>
          <t>RAGUNDA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893-2025</t>
        </is>
      </c>
      <c r="B686" s="1" t="n">
        <v>45665.65684027778</v>
      </c>
      <c r="C686" s="1" t="n">
        <v>45969</v>
      </c>
      <c r="D686" t="inlineStr">
        <is>
          <t>JÄMTLANDS LÄN</t>
        </is>
      </c>
      <c r="E686" t="inlineStr">
        <is>
          <t>RAGUNDA</t>
        </is>
      </c>
      <c r="F686" t="inlineStr">
        <is>
          <t>SCA</t>
        </is>
      </c>
      <c r="G686" t="n">
        <v>45.1</v>
      </c>
      <c r="H686" t="n">
        <v>0</v>
      </c>
      <c r="I686" t="n">
        <v>0</v>
      </c>
      <c r="J686" t="n">
        <v>0</v>
      </c>
      <c r="K686" t="n">
        <v>0</v>
      </c>
      <c r="L686" t="n">
        <v>0</v>
      </c>
      <c r="M686" t="n">
        <v>0</v>
      </c>
      <c r="N686" t="n">
        <v>0</v>
      </c>
      <c r="O686" t="n">
        <v>0</v>
      </c>
      <c r="P686" t="n">
        <v>0</v>
      </c>
      <c r="Q686" t="n">
        <v>0</v>
      </c>
      <c r="R686" s="2" t="inlineStr"/>
    </row>
    <row r="687" ht="15" customHeight="1">
      <c r="A687" t="inlineStr">
        <is>
          <t>A 12660-2024</t>
        </is>
      </c>
      <c r="B687" s="1" t="n">
        <v>45384</v>
      </c>
      <c r="C687" s="1" t="n">
        <v>45969</v>
      </c>
      <c r="D687" t="inlineStr">
        <is>
          <t>JÄMTLANDS LÄN</t>
        </is>
      </c>
      <c r="E687" t="inlineStr">
        <is>
          <t>RAGUNDA</t>
        </is>
      </c>
      <c r="G687" t="n">
        <v>1.3</v>
      </c>
      <c r="H687" t="n">
        <v>0</v>
      </c>
      <c r="I687" t="n">
        <v>0</v>
      </c>
      <c r="J687" t="n">
        <v>0</v>
      </c>
      <c r="K687" t="n">
        <v>0</v>
      </c>
      <c r="L687" t="n">
        <v>0</v>
      </c>
      <c r="M687" t="n">
        <v>0</v>
      </c>
      <c r="N687" t="n">
        <v>0</v>
      </c>
      <c r="O687" t="n">
        <v>0</v>
      </c>
      <c r="P687" t="n">
        <v>0</v>
      </c>
      <c r="Q687" t="n">
        <v>0</v>
      </c>
      <c r="R687" s="2" t="inlineStr"/>
    </row>
    <row r="688" ht="15" customHeight="1">
      <c r="A688" t="inlineStr">
        <is>
          <t>A 25332-2023</t>
        </is>
      </c>
      <c r="B688" s="1" t="n">
        <v>45086.94010416666</v>
      </c>
      <c r="C688" s="1" t="n">
        <v>45969</v>
      </c>
      <c r="D688" t="inlineStr">
        <is>
          <t>JÄMTLANDS LÄN</t>
        </is>
      </c>
      <c r="E688" t="inlineStr">
        <is>
          <t>RAGUNDA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33615-2023</t>
        </is>
      </c>
      <c r="B689" s="1" t="n">
        <v>45119</v>
      </c>
      <c r="C689" s="1" t="n">
        <v>45969</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43132-2023</t>
        </is>
      </c>
      <c r="B690" s="1" t="n">
        <v>45182</v>
      </c>
      <c r="C690" s="1" t="n">
        <v>45969</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60456-2023</t>
        </is>
      </c>
      <c r="B691" s="1" t="n">
        <v>45258</v>
      </c>
      <c r="C691" s="1" t="n">
        <v>45969</v>
      </c>
      <c r="D691" t="inlineStr">
        <is>
          <t>JÄMTLANDS LÄN</t>
        </is>
      </c>
      <c r="E691" t="inlineStr">
        <is>
          <t>RAGUNDA</t>
        </is>
      </c>
      <c r="G691" t="n">
        <v>1.8</v>
      </c>
      <c r="H691" t="n">
        <v>0</v>
      </c>
      <c r="I691" t="n">
        <v>0</v>
      </c>
      <c r="J691" t="n">
        <v>0</v>
      </c>
      <c r="K691" t="n">
        <v>0</v>
      </c>
      <c r="L691" t="n">
        <v>0</v>
      </c>
      <c r="M691" t="n">
        <v>0</v>
      </c>
      <c r="N691" t="n">
        <v>0</v>
      </c>
      <c r="O691" t="n">
        <v>0</v>
      </c>
      <c r="P691" t="n">
        <v>0</v>
      </c>
      <c r="Q691" t="n">
        <v>0</v>
      </c>
      <c r="R691" s="2" t="inlineStr"/>
    </row>
    <row r="692" ht="15" customHeight="1">
      <c r="A692" t="inlineStr">
        <is>
          <t>A 7520-2023</t>
        </is>
      </c>
      <c r="B692" s="1" t="n">
        <v>44971</v>
      </c>
      <c r="C692" s="1" t="n">
        <v>45969</v>
      </c>
      <c r="D692" t="inlineStr">
        <is>
          <t>JÄMTLANDS LÄN</t>
        </is>
      </c>
      <c r="E692" t="inlineStr">
        <is>
          <t>RAGUNDA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53549-2024</t>
        </is>
      </c>
      <c r="B693" s="1" t="n">
        <v>45614.63869212963</v>
      </c>
      <c r="C693" s="1" t="n">
        <v>45969</v>
      </c>
      <c r="D693" t="inlineStr">
        <is>
          <t>JÄMTLANDS LÄN</t>
        </is>
      </c>
      <c r="E693" t="inlineStr">
        <is>
          <t>RAGUNDA</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58438-2022</t>
        </is>
      </c>
      <c r="B694" s="1" t="n">
        <v>44901</v>
      </c>
      <c r="C694" s="1" t="n">
        <v>45969</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58442-2022</t>
        </is>
      </c>
      <c r="B695" s="1" t="n">
        <v>44901</v>
      </c>
      <c r="C695" s="1" t="n">
        <v>45969</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53955-2022</t>
        </is>
      </c>
      <c r="B696" s="1" t="n">
        <v>44880.95741898148</v>
      </c>
      <c r="C696" s="1" t="n">
        <v>45969</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8654-2024</t>
        </is>
      </c>
      <c r="B697" s="1" t="n">
        <v>45356.03784722222</v>
      </c>
      <c r="C697" s="1" t="n">
        <v>45969</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9567-2025</t>
        </is>
      </c>
      <c r="B698" s="1" t="n">
        <v>45715.61523148148</v>
      </c>
      <c r="C698" s="1" t="n">
        <v>45969</v>
      </c>
      <c r="D698" t="inlineStr">
        <is>
          <t>JÄMTLANDS LÄN</t>
        </is>
      </c>
      <c r="E698" t="inlineStr">
        <is>
          <t>RAGUNDA</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9325-2024</t>
        </is>
      </c>
      <c r="B699" s="1" t="n">
        <v>45358.95813657407</v>
      </c>
      <c r="C699" s="1" t="n">
        <v>45969</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49229-2024</t>
        </is>
      </c>
      <c r="B700" s="1" t="n">
        <v>45595.42738425926</v>
      </c>
      <c r="C700" s="1" t="n">
        <v>45969</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53287-2022</t>
        </is>
      </c>
      <c r="B701" s="1" t="n">
        <v>44876</v>
      </c>
      <c r="C701" s="1" t="n">
        <v>45969</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4348-2023</t>
        </is>
      </c>
      <c r="B702" s="1" t="n">
        <v>44953</v>
      </c>
      <c r="C702" s="1" t="n">
        <v>45969</v>
      </c>
      <c r="D702" t="inlineStr">
        <is>
          <t>JÄMTLANDS LÄN</t>
        </is>
      </c>
      <c r="E702" t="inlineStr">
        <is>
          <t>RAGUNDA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8678-2023</t>
        </is>
      </c>
      <c r="B703" s="1" t="n">
        <v>44977.98660879629</v>
      </c>
      <c r="C703" s="1" t="n">
        <v>45969</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51646-2023</t>
        </is>
      </c>
      <c r="B704" s="1" t="n">
        <v>45215</v>
      </c>
      <c r="C704" s="1" t="n">
        <v>45969</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29766-2023</t>
        </is>
      </c>
      <c r="B705" s="1" t="n">
        <v>45098</v>
      </c>
      <c r="C705" s="1" t="n">
        <v>45969</v>
      </c>
      <c r="D705" t="inlineStr">
        <is>
          <t>JÄMTLANDS LÄN</t>
        </is>
      </c>
      <c r="E705" t="inlineStr">
        <is>
          <t>RAGUNDA</t>
        </is>
      </c>
      <c r="G705" t="n">
        <v>2.7</v>
      </c>
      <c r="H705" t="n">
        <v>0</v>
      </c>
      <c r="I705" t="n">
        <v>0</v>
      </c>
      <c r="J705" t="n">
        <v>0</v>
      </c>
      <c r="K705" t="n">
        <v>0</v>
      </c>
      <c r="L705" t="n">
        <v>0</v>
      </c>
      <c r="M705" t="n">
        <v>0</v>
      </c>
      <c r="N705" t="n">
        <v>0</v>
      </c>
      <c r="O705" t="n">
        <v>0</v>
      </c>
      <c r="P705" t="n">
        <v>0</v>
      </c>
      <c r="Q705" t="n">
        <v>0</v>
      </c>
      <c r="R705" s="2" t="inlineStr"/>
    </row>
    <row r="706" ht="15" customHeight="1">
      <c r="A706" t="inlineStr">
        <is>
          <t>A 55524-2024</t>
        </is>
      </c>
      <c r="B706" s="1" t="n">
        <v>45622.47435185185</v>
      </c>
      <c r="C706" s="1" t="n">
        <v>45969</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19419-2024</t>
        </is>
      </c>
      <c r="B707" s="1" t="n">
        <v>45429</v>
      </c>
      <c r="C707" s="1" t="n">
        <v>45969</v>
      </c>
      <c r="D707" t="inlineStr">
        <is>
          <t>JÄMTLANDS LÄN</t>
        </is>
      </c>
      <c r="E707" t="inlineStr">
        <is>
          <t>RAGUNDA</t>
        </is>
      </c>
      <c r="G707" t="n">
        <v>3.5</v>
      </c>
      <c r="H707" t="n">
        <v>0</v>
      </c>
      <c r="I707" t="n">
        <v>0</v>
      </c>
      <c r="J707" t="n">
        <v>0</v>
      </c>
      <c r="K707" t="n">
        <v>0</v>
      </c>
      <c r="L707" t="n">
        <v>0</v>
      </c>
      <c r="M707" t="n">
        <v>0</v>
      </c>
      <c r="N707" t="n">
        <v>0</v>
      </c>
      <c r="O707" t="n">
        <v>0</v>
      </c>
      <c r="P707" t="n">
        <v>0</v>
      </c>
      <c r="Q707" t="n">
        <v>0</v>
      </c>
      <c r="R707" s="2" t="inlineStr"/>
    </row>
    <row r="708" ht="15" customHeight="1">
      <c r="A708" t="inlineStr">
        <is>
          <t>A 29319-2023</t>
        </is>
      </c>
      <c r="B708" s="1" t="n">
        <v>45105</v>
      </c>
      <c r="C708" s="1" t="n">
        <v>45969</v>
      </c>
      <c r="D708" t="inlineStr">
        <is>
          <t>JÄMTLANDS LÄN</t>
        </is>
      </c>
      <c r="E708" t="inlineStr">
        <is>
          <t>RAGUNDA</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17323-2025</t>
        </is>
      </c>
      <c r="B709" s="1" t="n">
        <v>45756.63601851852</v>
      </c>
      <c r="C709" s="1" t="n">
        <v>45969</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39947-2025</t>
        </is>
      </c>
      <c r="B710" s="1" t="n">
        <v>45892.34438657408</v>
      </c>
      <c r="C710" s="1" t="n">
        <v>45969</v>
      </c>
      <c r="D710" t="inlineStr">
        <is>
          <t>JÄMTLANDS LÄN</t>
        </is>
      </c>
      <c r="E710" t="inlineStr">
        <is>
          <t>RAGUNDA</t>
        </is>
      </c>
      <c r="G710" t="n">
        <v>6.6</v>
      </c>
      <c r="H710" t="n">
        <v>0</v>
      </c>
      <c r="I710" t="n">
        <v>0</v>
      </c>
      <c r="J710" t="n">
        <v>0</v>
      </c>
      <c r="K710" t="n">
        <v>0</v>
      </c>
      <c r="L710" t="n">
        <v>0</v>
      </c>
      <c r="M710" t="n">
        <v>0</v>
      </c>
      <c r="N710" t="n">
        <v>0</v>
      </c>
      <c r="O710" t="n">
        <v>0</v>
      </c>
      <c r="P710" t="n">
        <v>0</v>
      </c>
      <c r="Q710" t="n">
        <v>0</v>
      </c>
      <c r="R710" s="2" t="inlineStr"/>
    </row>
    <row r="711" ht="15" customHeight="1">
      <c r="A711" t="inlineStr">
        <is>
          <t>A 39951-2025</t>
        </is>
      </c>
      <c r="B711" s="1" t="n">
        <v>45892.38657407407</v>
      </c>
      <c r="C711" s="1" t="n">
        <v>45969</v>
      </c>
      <c r="D711" t="inlineStr">
        <is>
          <t>JÄMTLANDS LÄN</t>
        </is>
      </c>
      <c r="E711" t="inlineStr">
        <is>
          <t>RAGUNDA</t>
        </is>
      </c>
      <c r="G711" t="n">
        <v>2.3</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45969</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60935-2024</t>
        </is>
      </c>
      <c r="B713" s="1" t="n">
        <v>45645.36740740741</v>
      </c>
      <c r="C713" s="1" t="n">
        <v>45969</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13941-2025</t>
        </is>
      </c>
      <c r="B714" s="1" t="n">
        <v>45737.69822916666</v>
      </c>
      <c r="C714" s="1" t="n">
        <v>45969</v>
      </c>
      <c r="D714" t="inlineStr">
        <is>
          <t>JÄMTLANDS LÄN</t>
        </is>
      </c>
      <c r="E714" t="inlineStr">
        <is>
          <t>RAGUNDA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14156-2024</t>
        </is>
      </c>
      <c r="B715" s="1" t="n">
        <v>45392</v>
      </c>
      <c r="C715" s="1" t="n">
        <v>45969</v>
      </c>
      <c r="D715" t="inlineStr">
        <is>
          <t>JÄMTLANDS LÄN</t>
        </is>
      </c>
      <c r="E715" t="inlineStr">
        <is>
          <t>RAGUNDA</t>
        </is>
      </c>
      <c r="G715" t="n">
        <v>0.6</v>
      </c>
      <c r="H715" t="n">
        <v>0</v>
      </c>
      <c r="I715" t="n">
        <v>0</v>
      </c>
      <c r="J715" t="n">
        <v>0</v>
      </c>
      <c r="K715" t="n">
        <v>0</v>
      </c>
      <c r="L715" t="n">
        <v>0</v>
      </c>
      <c r="M715" t="n">
        <v>0</v>
      </c>
      <c r="N715" t="n">
        <v>0</v>
      </c>
      <c r="O715" t="n">
        <v>0</v>
      </c>
      <c r="P715" t="n">
        <v>0</v>
      </c>
      <c r="Q715" t="n">
        <v>0</v>
      </c>
      <c r="R715" s="2" t="inlineStr"/>
    </row>
    <row r="716" ht="15" customHeight="1">
      <c r="A716" t="inlineStr">
        <is>
          <t>A 14157-2024</t>
        </is>
      </c>
      <c r="B716" s="1" t="n">
        <v>45392.92903935185</v>
      </c>
      <c r="C716" s="1" t="n">
        <v>45969</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26646-2023</t>
        </is>
      </c>
      <c r="B717" s="1" t="n">
        <v>45092</v>
      </c>
      <c r="C717" s="1" t="n">
        <v>45969</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44741.94070601852</v>
      </c>
      <c r="C718" s="1" t="n">
        <v>45969</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44727-2024</t>
        </is>
      </c>
      <c r="B719" s="1" t="n">
        <v>45574.57967592592</v>
      </c>
      <c r="C719" s="1" t="n">
        <v>45969</v>
      </c>
      <c r="D719" t="inlineStr">
        <is>
          <t>JÄMTLANDS LÄN</t>
        </is>
      </c>
      <c r="E719" t="inlineStr">
        <is>
          <t>RAGUNDA</t>
        </is>
      </c>
      <c r="G719" t="n">
        <v>4.7</v>
      </c>
      <c r="H719" t="n">
        <v>0</v>
      </c>
      <c r="I719" t="n">
        <v>0</v>
      </c>
      <c r="J719" t="n">
        <v>0</v>
      </c>
      <c r="K719" t="n">
        <v>0</v>
      </c>
      <c r="L719" t="n">
        <v>0</v>
      </c>
      <c r="M719" t="n">
        <v>0</v>
      </c>
      <c r="N719" t="n">
        <v>0</v>
      </c>
      <c r="O719" t="n">
        <v>0</v>
      </c>
      <c r="P719" t="n">
        <v>0</v>
      </c>
      <c r="Q719" t="n">
        <v>0</v>
      </c>
      <c r="R719" s="2" t="inlineStr"/>
    </row>
    <row r="720" ht="15" customHeight="1">
      <c r="A720" t="inlineStr">
        <is>
          <t>A 46211-2024</t>
        </is>
      </c>
      <c r="B720" s="1" t="n">
        <v>45581.55260416667</v>
      </c>
      <c r="C720" s="1" t="n">
        <v>45969</v>
      </c>
      <c r="D720" t="inlineStr">
        <is>
          <t>JÄMTLANDS LÄN</t>
        </is>
      </c>
      <c r="E720" t="inlineStr">
        <is>
          <t>RAGUNDA</t>
        </is>
      </c>
      <c r="G720" t="n">
        <v>7.3</v>
      </c>
      <c r="H720" t="n">
        <v>0</v>
      </c>
      <c r="I720" t="n">
        <v>0</v>
      </c>
      <c r="J720" t="n">
        <v>0</v>
      </c>
      <c r="K720" t="n">
        <v>0</v>
      </c>
      <c r="L720" t="n">
        <v>0</v>
      </c>
      <c r="M720" t="n">
        <v>0</v>
      </c>
      <c r="N720" t="n">
        <v>0</v>
      </c>
      <c r="O720" t="n">
        <v>0</v>
      </c>
      <c r="P720" t="n">
        <v>0</v>
      </c>
      <c r="Q720" t="n">
        <v>0</v>
      </c>
      <c r="R720" s="2" t="inlineStr"/>
    </row>
    <row r="721" ht="15" customHeight="1">
      <c r="A721" t="inlineStr">
        <is>
          <t>A 49650-2024</t>
        </is>
      </c>
      <c r="B721" s="1" t="n">
        <v>45596.61569444444</v>
      </c>
      <c r="C721" s="1" t="n">
        <v>45969</v>
      </c>
      <c r="D721" t="inlineStr">
        <is>
          <t>JÄMTLANDS LÄN</t>
        </is>
      </c>
      <c r="E721" t="inlineStr">
        <is>
          <t>RAGUNDA</t>
        </is>
      </c>
      <c r="F721" t="inlineStr">
        <is>
          <t>Naturvårdsverket</t>
        </is>
      </c>
      <c r="G721" t="n">
        <v>3</v>
      </c>
      <c r="H721" t="n">
        <v>0</v>
      </c>
      <c r="I721" t="n">
        <v>0</v>
      </c>
      <c r="J721" t="n">
        <v>0</v>
      </c>
      <c r="K721" t="n">
        <v>0</v>
      </c>
      <c r="L721" t="n">
        <v>0</v>
      </c>
      <c r="M721" t="n">
        <v>0</v>
      </c>
      <c r="N721" t="n">
        <v>0</v>
      </c>
      <c r="O721" t="n">
        <v>0</v>
      </c>
      <c r="P721" t="n">
        <v>0</v>
      </c>
      <c r="Q721" t="n">
        <v>0</v>
      </c>
      <c r="R721" s="2" t="inlineStr"/>
    </row>
    <row r="722" ht="15" customHeight="1">
      <c r="A722" t="inlineStr">
        <is>
          <t>A 49651-2024</t>
        </is>
      </c>
      <c r="B722" s="1" t="n">
        <v>45596.61582175926</v>
      </c>
      <c r="C722" s="1" t="n">
        <v>45969</v>
      </c>
      <c r="D722" t="inlineStr">
        <is>
          <t>JÄMTLANDS LÄN</t>
        </is>
      </c>
      <c r="E722" t="inlineStr">
        <is>
          <t>RAGUNDA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6477-2024</t>
        </is>
      </c>
      <c r="B723" s="1" t="n">
        <v>45338.95405092592</v>
      </c>
      <c r="C723" s="1" t="n">
        <v>45969</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21661-2023</t>
        </is>
      </c>
      <c r="B724" s="1" t="n">
        <v>45063</v>
      </c>
      <c r="C724" s="1" t="n">
        <v>45969</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8679-2023</t>
        </is>
      </c>
      <c r="B725" s="1" t="n">
        <v>44977.98670138889</v>
      </c>
      <c r="C725" s="1" t="n">
        <v>45969</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14158-2024</t>
        </is>
      </c>
      <c r="B726" s="1" t="n">
        <v>45392</v>
      </c>
      <c r="C726" s="1" t="n">
        <v>45969</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7281-2024</t>
        </is>
      </c>
      <c r="B727" s="1" t="n">
        <v>45344</v>
      </c>
      <c r="C727" s="1" t="n">
        <v>45969</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55649-2023</t>
        </is>
      </c>
      <c r="B728" s="1" t="n">
        <v>45238</v>
      </c>
      <c r="C728" s="1" t="n">
        <v>45969</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60443-2023</t>
        </is>
      </c>
      <c r="B729" s="1" t="n">
        <v>45258</v>
      </c>
      <c r="C729" s="1" t="n">
        <v>45969</v>
      </c>
      <c r="D729" t="inlineStr">
        <is>
          <t>JÄMTLANDS LÄN</t>
        </is>
      </c>
      <c r="E729" t="inlineStr">
        <is>
          <t>RAGUNDA</t>
        </is>
      </c>
      <c r="G729" t="n">
        <v>2.9</v>
      </c>
      <c r="H729" t="n">
        <v>0</v>
      </c>
      <c r="I729" t="n">
        <v>0</v>
      </c>
      <c r="J729" t="n">
        <v>0</v>
      </c>
      <c r="K729" t="n">
        <v>0</v>
      </c>
      <c r="L729" t="n">
        <v>0</v>
      </c>
      <c r="M729" t="n">
        <v>0</v>
      </c>
      <c r="N729" t="n">
        <v>0</v>
      </c>
      <c r="O729" t="n">
        <v>0</v>
      </c>
      <c r="P729" t="n">
        <v>0</v>
      </c>
      <c r="Q729" t="n">
        <v>0</v>
      </c>
      <c r="R729" s="2" t="inlineStr"/>
    </row>
    <row r="730" ht="15" customHeight="1">
      <c r="A730" t="inlineStr">
        <is>
          <t>A 19382-2025</t>
        </is>
      </c>
      <c r="B730" s="1" t="n">
        <v>45769.65659722222</v>
      </c>
      <c r="C730" s="1" t="n">
        <v>45969</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19403-2025</t>
        </is>
      </c>
      <c r="B731" s="1" t="n">
        <v>45769.67790509259</v>
      </c>
      <c r="C731" s="1" t="n">
        <v>45969</v>
      </c>
      <c r="D731" t="inlineStr">
        <is>
          <t>JÄMTLANDS LÄN</t>
        </is>
      </c>
      <c r="E731" t="inlineStr">
        <is>
          <t>RAGUNDA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53769-2023</t>
        </is>
      </c>
      <c r="B732" s="1" t="n">
        <v>45230</v>
      </c>
      <c r="C732" s="1" t="n">
        <v>45969</v>
      </c>
      <c r="D732" t="inlineStr">
        <is>
          <t>JÄMTLANDS LÄN</t>
        </is>
      </c>
      <c r="E732" t="inlineStr">
        <is>
          <t>RAGUNDA</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60225-2022</t>
        </is>
      </c>
      <c r="B733" s="1" t="n">
        <v>44903</v>
      </c>
      <c r="C733" s="1" t="n">
        <v>45969</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44759-2024</t>
        </is>
      </c>
      <c r="B734" s="1" t="n">
        <v>45574.61634259259</v>
      </c>
      <c r="C734" s="1" t="n">
        <v>45969</v>
      </c>
      <c r="D734" t="inlineStr">
        <is>
          <t>JÄMTLANDS LÄN</t>
        </is>
      </c>
      <c r="E734" t="inlineStr">
        <is>
          <t>RAGUNDA</t>
        </is>
      </c>
      <c r="G734" t="n">
        <v>1.9</v>
      </c>
      <c r="H734" t="n">
        <v>0</v>
      </c>
      <c r="I734" t="n">
        <v>0</v>
      </c>
      <c r="J734" t="n">
        <v>0</v>
      </c>
      <c r="K734" t="n">
        <v>0</v>
      </c>
      <c r="L734" t="n">
        <v>0</v>
      </c>
      <c r="M734" t="n">
        <v>0</v>
      </c>
      <c r="N734" t="n">
        <v>0</v>
      </c>
      <c r="O734" t="n">
        <v>0</v>
      </c>
      <c r="P734" t="n">
        <v>0</v>
      </c>
      <c r="Q734" t="n">
        <v>0</v>
      </c>
      <c r="R734" s="2" t="inlineStr"/>
    </row>
    <row r="735" ht="15" customHeight="1">
      <c r="A735" t="inlineStr">
        <is>
          <t>A 993-2025</t>
        </is>
      </c>
      <c r="B735" s="1" t="n">
        <v>45666.44943287037</v>
      </c>
      <c r="C735" s="1" t="n">
        <v>45969</v>
      </c>
      <c r="D735" t="inlineStr">
        <is>
          <t>JÄMTLANDS LÄN</t>
        </is>
      </c>
      <c r="E735" t="inlineStr">
        <is>
          <t>RAGUNDA</t>
        </is>
      </c>
      <c r="G735" t="n">
        <v>11.3</v>
      </c>
      <c r="H735" t="n">
        <v>0</v>
      </c>
      <c r="I735" t="n">
        <v>0</v>
      </c>
      <c r="J735" t="n">
        <v>0</v>
      </c>
      <c r="K735" t="n">
        <v>0</v>
      </c>
      <c r="L735" t="n">
        <v>0</v>
      </c>
      <c r="M735" t="n">
        <v>0</v>
      </c>
      <c r="N735" t="n">
        <v>0</v>
      </c>
      <c r="O735" t="n">
        <v>0</v>
      </c>
      <c r="P735" t="n">
        <v>0</v>
      </c>
      <c r="Q735" t="n">
        <v>0</v>
      </c>
      <c r="R735" s="2" t="inlineStr"/>
    </row>
    <row r="736" ht="15" customHeight="1">
      <c r="A736" t="inlineStr">
        <is>
          <t>A 57064-2024</t>
        </is>
      </c>
      <c r="B736" s="1" t="n">
        <v>45629.35326388889</v>
      </c>
      <c r="C736" s="1" t="n">
        <v>45969</v>
      </c>
      <c r="D736" t="inlineStr">
        <is>
          <t>JÄMTLANDS LÄN</t>
        </is>
      </c>
      <c r="E736" t="inlineStr">
        <is>
          <t>RAGUNDA</t>
        </is>
      </c>
      <c r="F736" t="inlineStr">
        <is>
          <t>Naturvårdsverket</t>
        </is>
      </c>
      <c r="G736" t="n">
        <v>0.5</v>
      </c>
      <c r="H736" t="n">
        <v>0</v>
      </c>
      <c r="I736" t="n">
        <v>0</v>
      </c>
      <c r="J736" t="n">
        <v>0</v>
      </c>
      <c r="K736" t="n">
        <v>0</v>
      </c>
      <c r="L736" t="n">
        <v>0</v>
      </c>
      <c r="M736" t="n">
        <v>0</v>
      </c>
      <c r="N736" t="n">
        <v>0</v>
      </c>
      <c r="O736" t="n">
        <v>0</v>
      </c>
      <c r="P736" t="n">
        <v>0</v>
      </c>
      <c r="Q736" t="n">
        <v>0</v>
      </c>
      <c r="R736" s="2" t="inlineStr"/>
    </row>
    <row r="737" ht="15" customHeight="1">
      <c r="A737" t="inlineStr">
        <is>
          <t>A 61045-2022</t>
        </is>
      </c>
      <c r="B737" s="1" t="n">
        <v>44914</v>
      </c>
      <c r="C737" s="1" t="n">
        <v>45969</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40919-2024</t>
        </is>
      </c>
      <c r="B738" s="1" t="n">
        <v>45558.63575231482</v>
      </c>
      <c r="C738" s="1" t="n">
        <v>45969</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15024-2022</t>
        </is>
      </c>
      <c r="B739" s="1" t="n">
        <v>44657</v>
      </c>
      <c r="C739" s="1" t="n">
        <v>45969</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48192-2024</t>
        </is>
      </c>
      <c r="B740" s="1" t="n">
        <v>45590</v>
      </c>
      <c r="C740" s="1" t="n">
        <v>45969</v>
      </c>
      <c r="D740" t="inlineStr">
        <is>
          <t>JÄMTLANDS LÄN</t>
        </is>
      </c>
      <c r="E740" t="inlineStr">
        <is>
          <t>RAGUNDA</t>
        </is>
      </c>
      <c r="G740" t="n">
        <v>2.3</v>
      </c>
      <c r="H740" t="n">
        <v>0</v>
      </c>
      <c r="I740" t="n">
        <v>0</v>
      </c>
      <c r="J740" t="n">
        <v>0</v>
      </c>
      <c r="K740" t="n">
        <v>0</v>
      </c>
      <c r="L740" t="n">
        <v>0</v>
      </c>
      <c r="M740" t="n">
        <v>0</v>
      </c>
      <c r="N740" t="n">
        <v>0</v>
      </c>
      <c r="O740" t="n">
        <v>0</v>
      </c>
      <c r="P740" t="n">
        <v>0</v>
      </c>
      <c r="Q740" t="n">
        <v>0</v>
      </c>
      <c r="R740" s="2" t="inlineStr"/>
    </row>
    <row r="741" ht="15" customHeight="1">
      <c r="A741" t="inlineStr">
        <is>
          <t>A 60936-2024</t>
        </is>
      </c>
      <c r="B741" s="1" t="n">
        <v>45645.36743055555</v>
      </c>
      <c r="C741" s="1" t="n">
        <v>45969</v>
      </c>
      <c r="D741" t="inlineStr">
        <is>
          <t>JÄMTLANDS LÄN</t>
        </is>
      </c>
      <c r="E741" t="inlineStr">
        <is>
          <t>RAGUNDA</t>
        </is>
      </c>
      <c r="G741" t="n">
        <v>1.2</v>
      </c>
      <c r="H741" t="n">
        <v>0</v>
      </c>
      <c r="I741" t="n">
        <v>0</v>
      </c>
      <c r="J741" t="n">
        <v>0</v>
      </c>
      <c r="K741" t="n">
        <v>0</v>
      </c>
      <c r="L741" t="n">
        <v>0</v>
      </c>
      <c r="M741" t="n">
        <v>0</v>
      </c>
      <c r="N741" t="n">
        <v>0</v>
      </c>
      <c r="O741" t="n">
        <v>0</v>
      </c>
      <c r="P741" t="n">
        <v>0</v>
      </c>
      <c r="Q741" t="n">
        <v>0</v>
      </c>
      <c r="R741" s="2" t="inlineStr"/>
    </row>
    <row r="742" ht="15" customHeight="1">
      <c r="A742" t="inlineStr">
        <is>
          <t>A 12768-2022</t>
        </is>
      </c>
      <c r="B742" s="1" t="n">
        <v>44641</v>
      </c>
      <c r="C742" s="1" t="n">
        <v>45969</v>
      </c>
      <c r="D742" t="inlineStr">
        <is>
          <t>JÄMTLANDS LÄN</t>
        </is>
      </c>
      <c r="E742" t="inlineStr">
        <is>
          <t>RAGUNDA</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12773-2022</t>
        </is>
      </c>
      <c r="B743" s="1" t="n">
        <v>44641</v>
      </c>
      <c r="C743" s="1" t="n">
        <v>45969</v>
      </c>
      <c r="D743" t="inlineStr">
        <is>
          <t>JÄMTLANDS LÄN</t>
        </is>
      </c>
      <c r="E743" t="inlineStr">
        <is>
          <t>RAGUNDA</t>
        </is>
      </c>
      <c r="F743" t="inlineStr">
        <is>
          <t>SCA</t>
        </is>
      </c>
      <c r="G743" t="n">
        <v>14.7</v>
      </c>
      <c r="H743" t="n">
        <v>0</v>
      </c>
      <c r="I743" t="n">
        <v>0</v>
      </c>
      <c r="J743" t="n">
        <v>0</v>
      </c>
      <c r="K743" t="n">
        <v>0</v>
      </c>
      <c r="L743" t="n">
        <v>0</v>
      </c>
      <c r="M743" t="n">
        <v>0</v>
      </c>
      <c r="N743" t="n">
        <v>0</v>
      </c>
      <c r="O743" t="n">
        <v>0</v>
      </c>
      <c r="P743" t="n">
        <v>0</v>
      </c>
      <c r="Q743" t="n">
        <v>0</v>
      </c>
      <c r="R743" s="2" t="inlineStr"/>
    </row>
    <row r="744" ht="15" customHeight="1">
      <c r="A744" t="inlineStr">
        <is>
          <t>A 16320-2025</t>
        </is>
      </c>
      <c r="B744" s="1" t="n">
        <v>45751.34859953704</v>
      </c>
      <c r="C744" s="1" t="n">
        <v>45969</v>
      </c>
      <c r="D744" t="inlineStr">
        <is>
          <t>JÄMTLANDS LÄN</t>
        </is>
      </c>
      <c r="E744" t="inlineStr">
        <is>
          <t>RAGUNDA</t>
        </is>
      </c>
      <c r="F744" t="inlineStr">
        <is>
          <t>SCA</t>
        </is>
      </c>
      <c r="G744" t="n">
        <v>16.2</v>
      </c>
      <c r="H744" t="n">
        <v>0</v>
      </c>
      <c r="I744" t="n">
        <v>0</v>
      </c>
      <c r="J744" t="n">
        <v>0</v>
      </c>
      <c r="K744" t="n">
        <v>0</v>
      </c>
      <c r="L744" t="n">
        <v>0</v>
      </c>
      <c r="M744" t="n">
        <v>0</v>
      </c>
      <c r="N744" t="n">
        <v>0</v>
      </c>
      <c r="O744" t="n">
        <v>0</v>
      </c>
      <c r="P744" t="n">
        <v>0</v>
      </c>
      <c r="Q744" t="n">
        <v>0</v>
      </c>
      <c r="R744" s="2" t="inlineStr"/>
    </row>
    <row r="745" ht="15" customHeight="1">
      <c r="A745" t="inlineStr">
        <is>
          <t>A 48528-2025</t>
        </is>
      </c>
      <c r="B745" s="1" t="n">
        <v>45936.40758101852</v>
      </c>
      <c r="C745" s="1" t="n">
        <v>45969</v>
      </c>
      <c r="D745" t="inlineStr">
        <is>
          <t>JÄMTLANDS LÄN</t>
        </is>
      </c>
      <c r="E745" t="inlineStr">
        <is>
          <t>RAGUNDA</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39946-2025</t>
        </is>
      </c>
      <c r="B746" s="1" t="n">
        <v>45892.34423611111</v>
      </c>
      <c r="C746" s="1" t="n">
        <v>45969</v>
      </c>
      <c r="D746" t="inlineStr">
        <is>
          <t>JÄMTLANDS LÄN</t>
        </is>
      </c>
      <c r="E746" t="inlineStr">
        <is>
          <t>RAGUNDA</t>
        </is>
      </c>
      <c r="G746" t="n">
        <v>4.7</v>
      </c>
      <c r="H746" t="n">
        <v>0</v>
      </c>
      <c r="I746" t="n">
        <v>0</v>
      </c>
      <c r="J746" t="n">
        <v>0</v>
      </c>
      <c r="K746" t="n">
        <v>0</v>
      </c>
      <c r="L746" t="n">
        <v>0</v>
      </c>
      <c r="M746" t="n">
        <v>0</v>
      </c>
      <c r="N746" t="n">
        <v>0</v>
      </c>
      <c r="O746" t="n">
        <v>0</v>
      </c>
      <c r="P746" t="n">
        <v>0</v>
      </c>
      <c r="Q746" t="n">
        <v>0</v>
      </c>
      <c r="R746" s="2" t="inlineStr"/>
    </row>
    <row r="747" ht="15" customHeight="1">
      <c r="A747" t="inlineStr">
        <is>
          <t>A 39950-2025</t>
        </is>
      </c>
      <c r="B747" s="1" t="n">
        <v>45892.38641203703</v>
      </c>
      <c r="C747" s="1" t="n">
        <v>45969</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39955-2025</t>
        </is>
      </c>
      <c r="B748" s="1" t="n">
        <v>45892.44824074074</v>
      </c>
      <c r="C748" s="1" t="n">
        <v>45969</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39956-2025</t>
        </is>
      </c>
      <c r="B749" s="1" t="n">
        <v>45892.44840277778</v>
      </c>
      <c r="C749" s="1" t="n">
        <v>45969</v>
      </c>
      <c r="D749" t="inlineStr">
        <is>
          <t>JÄMTLANDS LÄN</t>
        </is>
      </c>
      <c r="E749" t="inlineStr">
        <is>
          <t>RAGUNDA</t>
        </is>
      </c>
      <c r="G749" t="n">
        <v>3.6</v>
      </c>
      <c r="H749" t="n">
        <v>0</v>
      </c>
      <c r="I749" t="n">
        <v>0</v>
      </c>
      <c r="J749" t="n">
        <v>0</v>
      </c>
      <c r="K749" t="n">
        <v>0</v>
      </c>
      <c r="L749" t="n">
        <v>0</v>
      </c>
      <c r="M749" t="n">
        <v>0</v>
      </c>
      <c r="N749" t="n">
        <v>0</v>
      </c>
      <c r="O749" t="n">
        <v>0</v>
      </c>
      <c r="P749" t="n">
        <v>0</v>
      </c>
      <c r="Q749" t="n">
        <v>0</v>
      </c>
      <c r="R749" s="2" t="inlineStr"/>
    </row>
    <row r="750" ht="15" customHeight="1">
      <c r="A750" t="inlineStr">
        <is>
          <t>A 5930-2025</t>
        </is>
      </c>
      <c r="B750" s="1" t="n">
        <v>45695.44724537037</v>
      </c>
      <c r="C750" s="1" t="n">
        <v>45969</v>
      </c>
      <c r="D750" t="inlineStr">
        <is>
          <t>JÄMTLANDS LÄN</t>
        </is>
      </c>
      <c r="E750" t="inlineStr">
        <is>
          <t>RAGUNDA</t>
        </is>
      </c>
      <c r="G750" t="n">
        <v>0.7</v>
      </c>
      <c r="H750" t="n">
        <v>0</v>
      </c>
      <c r="I750" t="n">
        <v>0</v>
      </c>
      <c r="J750" t="n">
        <v>0</v>
      </c>
      <c r="K750" t="n">
        <v>0</v>
      </c>
      <c r="L750" t="n">
        <v>0</v>
      </c>
      <c r="M750" t="n">
        <v>0</v>
      </c>
      <c r="N750" t="n">
        <v>0</v>
      </c>
      <c r="O750" t="n">
        <v>0</v>
      </c>
      <c r="P750" t="n">
        <v>0</v>
      </c>
      <c r="Q750" t="n">
        <v>0</v>
      </c>
      <c r="R750" s="2" t="inlineStr"/>
    </row>
    <row r="751" ht="15" customHeight="1">
      <c r="A751" t="inlineStr">
        <is>
          <t>A 11557-2023</t>
        </is>
      </c>
      <c r="B751" s="1" t="n">
        <v>44993.94950231481</v>
      </c>
      <c r="C751" s="1" t="n">
        <v>45969</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11562-2023</t>
        </is>
      </c>
      <c r="B752" s="1" t="n">
        <v>44993</v>
      </c>
      <c r="C752" s="1" t="n">
        <v>45969</v>
      </c>
      <c r="D752" t="inlineStr">
        <is>
          <t>JÄMTLANDS LÄN</t>
        </is>
      </c>
      <c r="E752" t="inlineStr">
        <is>
          <t>RAGUNDA</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45969</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55536-2024</t>
        </is>
      </c>
      <c r="B754" s="1" t="n">
        <v>45622</v>
      </c>
      <c r="C754" s="1" t="n">
        <v>45969</v>
      </c>
      <c r="D754" t="inlineStr">
        <is>
          <t>JÄMTLANDS LÄN</t>
        </is>
      </c>
      <c r="E754" t="inlineStr">
        <is>
          <t>RAGUNDA</t>
        </is>
      </c>
      <c r="G754" t="n">
        <v>0.8</v>
      </c>
      <c r="H754" t="n">
        <v>0</v>
      </c>
      <c r="I754" t="n">
        <v>0</v>
      </c>
      <c r="J754" t="n">
        <v>0</v>
      </c>
      <c r="K754" t="n">
        <v>0</v>
      </c>
      <c r="L754" t="n">
        <v>0</v>
      </c>
      <c r="M754" t="n">
        <v>0</v>
      </c>
      <c r="N754" t="n">
        <v>0</v>
      </c>
      <c r="O754" t="n">
        <v>0</v>
      </c>
      <c r="P754" t="n">
        <v>0</v>
      </c>
      <c r="Q754" t="n">
        <v>0</v>
      </c>
      <c r="R754" s="2" t="inlineStr"/>
    </row>
    <row r="755" ht="15" customHeight="1">
      <c r="A755" t="inlineStr">
        <is>
          <t>A 2411-2023</t>
        </is>
      </c>
      <c r="B755" s="1" t="n">
        <v>44942</v>
      </c>
      <c r="C755" s="1" t="n">
        <v>45969</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48748-2025</t>
        </is>
      </c>
      <c r="B756" s="1" t="n">
        <v>45936.67912037037</v>
      </c>
      <c r="C756" s="1" t="n">
        <v>45969</v>
      </c>
      <c r="D756" t="inlineStr">
        <is>
          <t>JÄMTLANDS LÄN</t>
        </is>
      </c>
      <c r="E756" t="inlineStr">
        <is>
          <t>RAGUNDA</t>
        </is>
      </c>
      <c r="F756" t="inlineStr">
        <is>
          <t>SCA</t>
        </is>
      </c>
      <c r="G756" t="n">
        <v>11.1</v>
      </c>
      <c r="H756" t="n">
        <v>0</v>
      </c>
      <c r="I756" t="n">
        <v>0</v>
      </c>
      <c r="J756" t="n">
        <v>0</v>
      </c>
      <c r="K756" t="n">
        <v>0</v>
      </c>
      <c r="L756" t="n">
        <v>0</v>
      </c>
      <c r="M756" t="n">
        <v>0</v>
      </c>
      <c r="N756" t="n">
        <v>0</v>
      </c>
      <c r="O756" t="n">
        <v>0</v>
      </c>
      <c r="P756" t="n">
        <v>0</v>
      </c>
      <c r="Q756" t="n">
        <v>0</v>
      </c>
      <c r="R756" s="2" t="inlineStr"/>
    </row>
    <row r="757" ht="15" customHeight="1">
      <c r="A757" t="inlineStr">
        <is>
          <t>A 58847-2024</t>
        </is>
      </c>
      <c r="B757" s="1" t="n">
        <v>45636.3864699074</v>
      </c>
      <c r="C757" s="1" t="n">
        <v>45969</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11834-2023</t>
        </is>
      </c>
      <c r="B758" s="1" t="n">
        <v>44994.94296296296</v>
      </c>
      <c r="C758" s="1" t="n">
        <v>45969</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5175-2023</t>
        </is>
      </c>
      <c r="B759" s="1" t="n">
        <v>44958.94298611111</v>
      </c>
      <c r="C759" s="1" t="n">
        <v>45969</v>
      </c>
      <c r="D759" t="inlineStr">
        <is>
          <t>JÄMTLANDS LÄN</t>
        </is>
      </c>
      <c r="E759" t="inlineStr">
        <is>
          <t>RAGUNDA</t>
        </is>
      </c>
      <c r="F759" t="inlineStr">
        <is>
          <t>SCA</t>
        </is>
      </c>
      <c r="G759" t="n">
        <v>17.9</v>
      </c>
      <c r="H759" t="n">
        <v>0</v>
      </c>
      <c r="I759" t="n">
        <v>0</v>
      </c>
      <c r="J759" t="n">
        <v>0</v>
      </c>
      <c r="K759" t="n">
        <v>0</v>
      </c>
      <c r="L759" t="n">
        <v>0</v>
      </c>
      <c r="M759" t="n">
        <v>0</v>
      </c>
      <c r="N759" t="n">
        <v>0</v>
      </c>
      <c r="O759" t="n">
        <v>0</v>
      </c>
      <c r="P759" t="n">
        <v>0</v>
      </c>
      <c r="Q759" t="n">
        <v>0</v>
      </c>
      <c r="R759" s="2" t="inlineStr"/>
    </row>
    <row r="760" ht="15" customHeight="1">
      <c r="A760" t="inlineStr">
        <is>
          <t>A 53264-2024</t>
        </is>
      </c>
      <c r="B760" s="1" t="n">
        <v>45614.34545138889</v>
      </c>
      <c r="C760" s="1" t="n">
        <v>45969</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48742-2025</t>
        </is>
      </c>
      <c r="B761" s="1" t="n">
        <v>45936.67810185185</v>
      </c>
      <c r="C761" s="1" t="n">
        <v>45969</v>
      </c>
      <c r="D761" t="inlineStr">
        <is>
          <t>JÄMTLANDS LÄN</t>
        </is>
      </c>
      <c r="E761" t="inlineStr">
        <is>
          <t>RAGUNDA</t>
        </is>
      </c>
      <c r="F761" t="inlineStr">
        <is>
          <t>SCA</t>
        </is>
      </c>
      <c r="G761" t="n">
        <v>8.9</v>
      </c>
      <c r="H761" t="n">
        <v>0</v>
      </c>
      <c r="I761" t="n">
        <v>0</v>
      </c>
      <c r="J761" t="n">
        <v>0</v>
      </c>
      <c r="K761" t="n">
        <v>0</v>
      </c>
      <c r="L761" t="n">
        <v>0</v>
      </c>
      <c r="M761" t="n">
        <v>0</v>
      </c>
      <c r="N761" t="n">
        <v>0</v>
      </c>
      <c r="O761" t="n">
        <v>0</v>
      </c>
      <c r="P761" t="n">
        <v>0</v>
      </c>
      <c r="Q761" t="n">
        <v>0</v>
      </c>
      <c r="R761" s="2" t="inlineStr"/>
    </row>
    <row r="762" ht="15" customHeight="1">
      <c r="A762" t="inlineStr">
        <is>
          <t>A 50431-2024</t>
        </is>
      </c>
      <c r="B762" s="1" t="n">
        <v>45601.40686342592</v>
      </c>
      <c r="C762" s="1" t="n">
        <v>45969</v>
      </c>
      <c r="D762" t="inlineStr">
        <is>
          <t>JÄMTLANDS LÄN</t>
        </is>
      </c>
      <c r="E762" t="inlineStr">
        <is>
          <t>RAGUNDA</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40586-2025</t>
        </is>
      </c>
      <c r="B763" s="1" t="n">
        <v>45896.52478009259</v>
      </c>
      <c r="C763" s="1" t="n">
        <v>45969</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16334-2025</t>
        </is>
      </c>
      <c r="B764" s="1" t="n">
        <v>45751.36490740741</v>
      </c>
      <c r="C764" s="1" t="n">
        <v>45969</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49238-2025</t>
        </is>
      </c>
      <c r="B765" s="1" t="n">
        <v>45938.48231481481</v>
      </c>
      <c r="C765" s="1" t="n">
        <v>45969</v>
      </c>
      <c r="D765" t="inlineStr">
        <is>
          <t>JÄMTLANDS LÄN</t>
        </is>
      </c>
      <c r="E765" t="inlineStr">
        <is>
          <t>RAGUNDA</t>
        </is>
      </c>
      <c r="G765" t="n">
        <v>4.7</v>
      </c>
      <c r="H765" t="n">
        <v>0</v>
      </c>
      <c r="I765" t="n">
        <v>0</v>
      </c>
      <c r="J765" t="n">
        <v>0</v>
      </c>
      <c r="K765" t="n">
        <v>0</v>
      </c>
      <c r="L765" t="n">
        <v>0</v>
      </c>
      <c r="M765" t="n">
        <v>0</v>
      </c>
      <c r="N765" t="n">
        <v>0</v>
      </c>
      <c r="O765" t="n">
        <v>0</v>
      </c>
      <c r="P765" t="n">
        <v>0</v>
      </c>
      <c r="Q765" t="n">
        <v>0</v>
      </c>
      <c r="R765" s="2" t="inlineStr"/>
    </row>
    <row r="766" ht="15" customHeight="1">
      <c r="A766" t="inlineStr">
        <is>
          <t>A 49290-2025</t>
        </is>
      </c>
      <c r="B766" s="1" t="n">
        <v>45938.53168981482</v>
      </c>
      <c r="C766" s="1" t="n">
        <v>45969</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49092-2025</t>
        </is>
      </c>
      <c r="B767" s="1" t="n">
        <v>45937.67792824074</v>
      </c>
      <c r="C767" s="1" t="n">
        <v>45969</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46974-2025</t>
        </is>
      </c>
      <c r="B768" s="1" t="n">
        <v>45929.51104166666</v>
      </c>
      <c r="C768" s="1" t="n">
        <v>45969</v>
      </c>
      <c r="D768" t="inlineStr">
        <is>
          <t>JÄMTLANDS LÄN</t>
        </is>
      </c>
      <c r="E768" t="inlineStr">
        <is>
          <t>RAGUNDA</t>
        </is>
      </c>
      <c r="F768" t="inlineStr">
        <is>
          <t>SCA</t>
        </is>
      </c>
      <c r="G768" t="n">
        <v>12.1</v>
      </c>
      <c r="H768" t="n">
        <v>0</v>
      </c>
      <c r="I768" t="n">
        <v>0</v>
      </c>
      <c r="J768" t="n">
        <v>0</v>
      </c>
      <c r="K768" t="n">
        <v>0</v>
      </c>
      <c r="L768" t="n">
        <v>0</v>
      </c>
      <c r="M768" t="n">
        <v>0</v>
      </c>
      <c r="N768" t="n">
        <v>0</v>
      </c>
      <c r="O768" t="n">
        <v>0</v>
      </c>
      <c r="P768" t="n">
        <v>0</v>
      </c>
      <c r="Q768" t="n">
        <v>0</v>
      </c>
      <c r="R768" s="2" t="inlineStr"/>
    </row>
    <row r="769" ht="15" customHeight="1">
      <c r="A769" t="inlineStr">
        <is>
          <t>A 41343-2024</t>
        </is>
      </c>
      <c r="B769" s="1" t="n">
        <v>45559.67745370371</v>
      </c>
      <c r="C769" s="1" t="n">
        <v>45969</v>
      </c>
      <c r="D769" t="inlineStr">
        <is>
          <t>JÄMTLANDS LÄN</t>
        </is>
      </c>
      <c r="E769" t="inlineStr">
        <is>
          <t>RAGUNDA</t>
        </is>
      </c>
      <c r="F769" t="inlineStr">
        <is>
          <t>SCA</t>
        </is>
      </c>
      <c r="G769" t="n">
        <v>25.1</v>
      </c>
      <c r="H769" t="n">
        <v>0</v>
      </c>
      <c r="I769" t="n">
        <v>0</v>
      </c>
      <c r="J769" t="n">
        <v>0</v>
      </c>
      <c r="K769" t="n">
        <v>0</v>
      </c>
      <c r="L769" t="n">
        <v>0</v>
      </c>
      <c r="M769" t="n">
        <v>0</v>
      </c>
      <c r="N769" t="n">
        <v>0</v>
      </c>
      <c r="O769" t="n">
        <v>0</v>
      </c>
      <c r="P769" t="n">
        <v>0</v>
      </c>
      <c r="Q769" t="n">
        <v>0</v>
      </c>
      <c r="R769" s="2" t="inlineStr"/>
    </row>
    <row r="770" ht="15" customHeight="1">
      <c r="A770" t="inlineStr">
        <is>
          <t>A 7284-2024</t>
        </is>
      </c>
      <c r="B770" s="1" t="n">
        <v>45344.92865740741</v>
      </c>
      <c r="C770" s="1" t="n">
        <v>45969</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7285-2024</t>
        </is>
      </c>
      <c r="B771" s="1" t="n">
        <v>45344.92873842592</v>
      </c>
      <c r="C771" s="1" t="n">
        <v>45969</v>
      </c>
      <c r="D771" t="inlineStr">
        <is>
          <t>JÄMTLANDS LÄN</t>
        </is>
      </c>
      <c r="E771" t="inlineStr">
        <is>
          <t>RAGUNDA</t>
        </is>
      </c>
      <c r="G771" t="n">
        <v>0.5</v>
      </c>
      <c r="H771" t="n">
        <v>0</v>
      </c>
      <c r="I771" t="n">
        <v>0</v>
      </c>
      <c r="J771" t="n">
        <v>0</v>
      </c>
      <c r="K771" t="n">
        <v>0</v>
      </c>
      <c r="L771" t="n">
        <v>0</v>
      </c>
      <c r="M771" t="n">
        <v>0</v>
      </c>
      <c r="N771" t="n">
        <v>0</v>
      </c>
      <c r="O771" t="n">
        <v>0</v>
      </c>
      <c r="P771" t="n">
        <v>0</v>
      </c>
      <c r="Q771" t="n">
        <v>0</v>
      </c>
      <c r="R771" s="2" t="inlineStr"/>
    </row>
    <row r="772" ht="15" customHeight="1">
      <c r="A772" t="inlineStr">
        <is>
          <t>A 2242-2024</t>
        </is>
      </c>
      <c r="B772" s="1" t="n">
        <v>45309</v>
      </c>
      <c r="C772" s="1" t="n">
        <v>45969</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2248-2024</t>
        </is>
      </c>
      <c r="B773" s="1" t="n">
        <v>45309</v>
      </c>
      <c r="C773" s="1" t="n">
        <v>45969</v>
      </c>
      <c r="D773" t="inlineStr">
        <is>
          <t>JÄMTLANDS LÄN</t>
        </is>
      </c>
      <c r="E773" t="inlineStr">
        <is>
          <t>RAGUNDA</t>
        </is>
      </c>
      <c r="G773" t="n">
        <v>4.2</v>
      </c>
      <c r="H773" t="n">
        <v>0</v>
      </c>
      <c r="I773" t="n">
        <v>0</v>
      </c>
      <c r="J773" t="n">
        <v>0</v>
      </c>
      <c r="K773" t="n">
        <v>0</v>
      </c>
      <c r="L773" t="n">
        <v>0</v>
      </c>
      <c r="M773" t="n">
        <v>0</v>
      </c>
      <c r="N773" t="n">
        <v>0</v>
      </c>
      <c r="O773" t="n">
        <v>0</v>
      </c>
      <c r="P773" t="n">
        <v>0</v>
      </c>
      <c r="Q773" t="n">
        <v>0</v>
      </c>
      <c r="R773" s="2" t="inlineStr"/>
    </row>
    <row r="774" ht="15" customHeight="1">
      <c r="A774" t="inlineStr">
        <is>
          <t>A 49193-2025</t>
        </is>
      </c>
      <c r="B774" s="1" t="n">
        <v>45938.40831018519</v>
      </c>
      <c r="C774" s="1" t="n">
        <v>45969</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5958-2021</t>
        </is>
      </c>
      <c r="B775" s="1" t="n">
        <v>44231</v>
      </c>
      <c r="C775" s="1" t="n">
        <v>45969</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12039-2023</t>
        </is>
      </c>
      <c r="B776" s="1" t="n">
        <v>44995.98341435185</v>
      </c>
      <c r="C776" s="1" t="n">
        <v>45969</v>
      </c>
      <c r="D776" t="inlineStr">
        <is>
          <t>JÄMTLANDS LÄN</t>
        </is>
      </c>
      <c r="E776" t="inlineStr">
        <is>
          <t>RAGUNDA</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12050-2023</t>
        </is>
      </c>
      <c r="B777" s="1" t="n">
        <v>44995.98644675926</v>
      </c>
      <c r="C777" s="1" t="n">
        <v>45969</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2751-2024</t>
        </is>
      </c>
      <c r="B778" s="1" t="n">
        <v>45314</v>
      </c>
      <c r="C778" s="1" t="n">
        <v>45969</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7722-2023</t>
        </is>
      </c>
      <c r="B779" s="1" t="n">
        <v>44972.94140046297</v>
      </c>
      <c r="C779" s="1" t="n">
        <v>45969</v>
      </c>
      <c r="D779" t="inlineStr">
        <is>
          <t>JÄMTLANDS LÄN</t>
        </is>
      </c>
      <c r="E779" t="inlineStr">
        <is>
          <t>RAGUNDA</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36986-2023</t>
        </is>
      </c>
      <c r="B780" s="1" t="n">
        <v>45154.95525462963</v>
      </c>
      <c r="C780" s="1" t="n">
        <v>45969</v>
      </c>
      <c r="D780" t="inlineStr">
        <is>
          <t>JÄMTLANDS LÄN</t>
        </is>
      </c>
      <c r="E780" t="inlineStr">
        <is>
          <t>RAGUNDA</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24197-2024</t>
        </is>
      </c>
      <c r="B781" s="1" t="n">
        <v>45456.96601851852</v>
      </c>
      <c r="C781" s="1" t="n">
        <v>45969</v>
      </c>
      <c r="D781" t="inlineStr">
        <is>
          <t>JÄMTLANDS LÄN</t>
        </is>
      </c>
      <c r="E781" t="inlineStr">
        <is>
          <t>RAGUNDA</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4916-2025</t>
        </is>
      </c>
      <c r="B782" s="1" t="n">
        <v>45688.68196759259</v>
      </c>
      <c r="C782" s="1" t="n">
        <v>45969</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49059-2025</t>
        </is>
      </c>
      <c r="B783" s="1" t="n">
        <v>45937.64123842592</v>
      </c>
      <c r="C783" s="1" t="n">
        <v>45969</v>
      </c>
      <c r="D783" t="inlineStr">
        <is>
          <t>JÄMTLANDS LÄN</t>
        </is>
      </c>
      <c r="E783" t="inlineStr">
        <is>
          <t>RAGUNDA</t>
        </is>
      </c>
      <c r="G783" t="n">
        <v>2.1</v>
      </c>
      <c r="H783" t="n">
        <v>0</v>
      </c>
      <c r="I783" t="n">
        <v>0</v>
      </c>
      <c r="J783" t="n">
        <v>0</v>
      </c>
      <c r="K783" t="n">
        <v>0</v>
      </c>
      <c r="L783" t="n">
        <v>0</v>
      </c>
      <c r="M783" t="n">
        <v>0</v>
      </c>
      <c r="N783" t="n">
        <v>0</v>
      </c>
      <c r="O783" t="n">
        <v>0</v>
      </c>
      <c r="P783" t="n">
        <v>0</v>
      </c>
      <c r="Q783" t="n">
        <v>0</v>
      </c>
      <c r="R783" s="2" t="inlineStr"/>
    </row>
    <row r="784" ht="15" customHeight="1">
      <c r="A784" t="inlineStr">
        <is>
          <t>A 20653-2025</t>
        </is>
      </c>
      <c r="B784" s="1" t="n">
        <v>45776.40311342593</v>
      </c>
      <c r="C784" s="1" t="n">
        <v>45969</v>
      </c>
      <c r="D784" t="inlineStr">
        <is>
          <t>JÄMTLANDS LÄN</t>
        </is>
      </c>
      <c r="E784" t="inlineStr">
        <is>
          <t>RAGUNDA</t>
        </is>
      </c>
      <c r="G784" t="n">
        <v>10.8</v>
      </c>
      <c r="H784" t="n">
        <v>0</v>
      </c>
      <c r="I784" t="n">
        <v>0</v>
      </c>
      <c r="J784" t="n">
        <v>0</v>
      </c>
      <c r="K784" t="n">
        <v>0</v>
      </c>
      <c r="L784" t="n">
        <v>0</v>
      </c>
      <c r="M784" t="n">
        <v>0</v>
      </c>
      <c r="N784" t="n">
        <v>0</v>
      </c>
      <c r="O784" t="n">
        <v>0</v>
      </c>
      <c r="P784" t="n">
        <v>0</v>
      </c>
      <c r="Q784" t="n">
        <v>0</v>
      </c>
      <c r="R784" s="2" t="inlineStr"/>
    </row>
    <row r="785" ht="15" customHeight="1">
      <c r="A785" t="inlineStr">
        <is>
          <t>A 14368-2024</t>
        </is>
      </c>
      <c r="B785" s="1" t="n">
        <v>45393.94431712963</v>
      </c>
      <c r="C785" s="1" t="n">
        <v>45969</v>
      </c>
      <c r="D785" t="inlineStr">
        <is>
          <t>JÄMTLANDS LÄN</t>
        </is>
      </c>
      <c r="E785" t="inlineStr">
        <is>
          <t>RAGUNDA</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20777-2025</t>
        </is>
      </c>
      <c r="B786" s="1" t="n">
        <v>45776.59422453704</v>
      </c>
      <c r="C786" s="1" t="n">
        <v>45969</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20722-2025</t>
        </is>
      </c>
      <c r="B787" s="1" t="n">
        <v>45776.50651620371</v>
      </c>
      <c r="C787" s="1" t="n">
        <v>45969</v>
      </c>
      <c r="D787" t="inlineStr">
        <is>
          <t>JÄMTLANDS LÄN</t>
        </is>
      </c>
      <c r="E787" t="inlineStr">
        <is>
          <t>RAGUNDA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20728-2025</t>
        </is>
      </c>
      <c r="B788" s="1" t="n">
        <v>45776.51130787037</v>
      </c>
      <c r="C788" s="1" t="n">
        <v>45969</v>
      </c>
      <c r="D788" t="inlineStr">
        <is>
          <t>JÄMTLANDS LÄN</t>
        </is>
      </c>
      <c r="E788" t="inlineStr">
        <is>
          <t>RAGUNDA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18159-2023</t>
        </is>
      </c>
      <c r="B789" s="1" t="n">
        <v>45040.94277777777</v>
      </c>
      <c r="C789" s="1" t="n">
        <v>45969</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13700-2023</t>
        </is>
      </c>
      <c r="B790" s="1" t="n">
        <v>45006</v>
      </c>
      <c r="C790" s="1" t="n">
        <v>45969</v>
      </c>
      <c r="D790" t="inlineStr">
        <is>
          <t>JÄMTLANDS LÄN</t>
        </is>
      </c>
      <c r="E790" t="inlineStr">
        <is>
          <t>RAGUNDA</t>
        </is>
      </c>
      <c r="F790" t="inlineStr">
        <is>
          <t>SCA</t>
        </is>
      </c>
      <c r="G790" t="n">
        <v>50.3</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45969</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4615-2023</t>
        </is>
      </c>
      <c r="B792" s="1" t="n">
        <v>44956.93924768519</v>
      </c>
      <c r="C792" s="1" t="n">
        <v>45969</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2673-2024</t>
        </is>
      </c>
      <c r="B793" s="1" t="n">
        <v>45314</v>
      </c>
      <c r="C793" s="1" t="n">
        <v>45969</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57112-2024</t>
        </is>
      </c>
      <c r="B794" s="1" t="n">
        <v>45629.36486111111</v>
      </c>
      <c r="C794" s="1" t="n">
        <v>45969</v>
      </c>
      <c r="D794" t="inlineStr">
        <is>
          <t>JÄMTLANDS LÄN</t>
        </is>
      </c>
      <c r="E794" t="inlineStr">
        <is>
          <t>RAGUNDA</t>
        </is>
      </c>
      <c r="G794" t="n">
        <v>0.7</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44803.94351851852</v>
      </c>
      <c r="C795" s="1" t="n">
        <v>45969</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37543-2023</t>
        </is>
      </c>
      <c r="B796" s="1" t="n">
        <v>45158.94231481481</v>
      </c>
      <c r="C796" s="1" t="n">
        <v>45969</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21332-2025</t>
        </is>
      </c>
      <c r="B797" s="1" t="n">
        <v>45782.36506944444</v>
      </c>
      <c r="C797" s="1" t="n">
        <v>45969</v>
      </c>
      <c r="D797" t="inlineStr">
        <is>
          <t>JÄMTLANDS LÄN</t>
        </is>
      </c>
      <c r="E797" t="inlineStr">
        <is>
          <t>RAGUNDA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21430-2025</t>
        </is>
      </c>
      <c r="B798" s="1" t="n">
        <v>45782.51099537037</v>
      </c>
      <c r="C798" s="1" t="n">
        <v>45969</v>
      </c>
      <c r="D798" t="inlineStr">
        <is>
          <t>JÄMTLANDS LÄN</t>
        </is>
      </c>
      <c r="E798" t="inlineStr">
        <is>
          <t>RAGUNDA</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17667-2025</t>
        </is>
      </c>
      <c r="B799" s="1" t="n">
        <v>45758.36487268518</v>
      </c>
      <c r="C799" s="1" t="n">
        <v>45969</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5148-2023</t>
        </is>
      </c>
      <c r="B800" s="1" t="n">
        <v>44958</v>
      </c>
      <c r="C800" s="1" t="n">
        <v>45969</v>
      </c>
      <c r="D800" t="inlineStr">
        <is>
          <t>JÄMTLANDS LÄN</t>
        </is>
      </c>
      <c r="E800" t="inlineStr">
        <is>
          <t>RAGUNDA</t>
        </is>
      </c>
      <c r="G800" t="n">
        <v>2.9</v>
      </c>
      <c r="H800" t="n">
        <v>0</v>
      </c>
      <c r="I800" t="n">
        <v>0</v>
      </c>
      <c r="J800" t="n">
        <v>0</v>
      </c>
      <c r="K800" t="n">
        <v>0</v>
      </c>
      <c r="L800" t="n">
        <v>0</v>
      </c>
      <c r="M800" t="n">
        <v>0</v>
      </c>
      <c r="N800" t="n">
        <v>0</v>
      </c>
      <c r="O800" t="n">
        <v>0</v>
      </c>
      <c r="P800" t="n">
        <v>0</v>
      </c>
      <c r="Q800" t="n">
        <v>0</v>
      </c>
      <c r="R800" s="2" t="inlineStr"/>
    </row>
    <row r="801" ht="15" customHeight="1">
      <c r="A801" t="inlineStr">
        <is>
          <t>A 53171-2024</t>
        </is>
      </c>
      <c r="B801" s="1" t="n">
        <v>45611.65679398148</v>
      </c>
      <c r="C801" s="1" t="n">
        <v>45969</v>
      </c>
      <c r="D801" t="inlineStr">
        <is>
          <t>JÄMTLANDS LÄN</t>
        </is>
      </c>
      <c r="E801" t="inlineStr">
        <is>
          <t>RAGUNDA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51049-2024</t>
        </is>
      </c>
      <c r="B802" s="1" t="n">
        <v>45603.44644675926</v>
      </c>
      <c r="C802" s="1" t="n">
        <v>45969</v>
      </c>
      <c r="D802" t="inlineStr">
        <is>
          <t>JÄMTLANDS LÄN</t>
        </is>
      </c>
      <c r="E802" t="inlineStr">
        <is>
          <t>RAGUNDA</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21432-2025</t>
        </is>
      </c>
      <c r="B803" s="1" t="n">
        <v>45782.51109953703</v>
      </c>
      <c r="C803" s="1" t="n">
        <v>45969</v>
      </c>
      <c r="D803" t="inlineStr">
        <is>
          <t>JÄMTLANDS LÄN</t>
        </is>
      </c>
      <c r="E803" t="inlineStr">
        <is>
          <t>RAGUNDA</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45969</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64265-2023</t>
        </is>
      </c>
      <c r="B805" s="1" t="n">
        <v>45279.94572916667</v>
      </c>
      <c r="C805" s="1" t="n">
        <v>45969</v>
      </c>
      <c r="D805" t="inlineStr">
        <is>
          <t>JÄMTLANDS LÄN</t>
        </is>
      </c>
      <c r="E805" t="inlineStr">
        <is>
          <t>RAGUNDA</t>
        </is>
      </c>
      <c r="F805" t="inlineStr">
        <is>
          <t>SCA</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45782.67758101852</v>
      </c>
      <c r="C806" s="1" t="n">
        <v>45969</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21451-2025</t>
        </is>
      </c>
      <c r="B807" s="1" t="n">
        <v>45782.55287037037</v>
      </c>
      <c r="C807" s="1" t="n">
        <v>45969</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55489-2024</t>
        </is>
      </c>
      <c r="B808" s="1" t="n">
        <v>45622.44774305556</v>
      </c>
      <c r="C808" s="1" t="n">
        <v>45969</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21150-2025</t>
        </is>
      </c>
      <c r="B809" s="1" t="n">
        <v>45779.34417824074</v>
      </c>
      <c r="C809" s="1" t="n">
        <v>45969</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21331-2025</t>
        </is>
      </c>
      <c r="B810" s="1" t="n">
        <v>45782.36494212963</v>
      </c>
      <c r="C810" s="1" t="n">
        <v>45969</v>
      </c>
      <c r="D810" t="inlineStr">
        <is>
          <t>JÄMTLANDS LÄN</t>
        </is>
      </c>
      <c r="E810" t="inlineStr">
        <is>
          <t>RAGUNDA</t>
        </is>
      </c>
      <c r="F810" t="inlineStr">
        <is>
          <t>SCA</t>
        </is>
      </c>
      <c r="G810" t="n">
        <v>23.1</v>
      </c>
      <c r="H810" t="n">
        <v>0</v>
      </c>
      <c r="I810" t="n">
        <v>0</v>
      </c>
      <c r="J810" t="n">
        <v>0</v>
      </c>
      <c r="K810" t="n">
        <v>0</v>
      </c>
      <c r="L810" t="n">
        <v>0</v>
      </c>
      <c r="M810" t="n">
        <v>0</v>
      </c>
      <c r="N810" t="n">
        <v>0</v>
      </c>
      <c r="O810" t="n">
        <v>0</v>
      </c>
      <c r="P810" t="n">
        <v>0</v>
      </c>
      <c r="Q810" t="n">
        <v>0</v>
      </c>
      <c r="R810" s="2" t="inlineStr"/>
      <c r="U810">
        <f>HYPERLINK("https://klasma.github.io/Logging_2303/knärot/A 21331-2025 karta knärot.png", "A 21331-2025")</f>
        <v/>
      </c>
      <c r="V810">
        <f>HYPERLINK("https://klasma.github.io/Logging_2303/klagomål/A 21331-2025 FSC-klagomål.docx", "A 21331-2025")</f>
        <v/>
      </c>
      <c r="W810">
        <f>HYPERLINK("https://klasma.github.io/Logging_2303/klagomålsmail/A 21331-2025 FSC-klagomål mail.docx", "A 21331-2025")</f>
        <v/>
      </c>
      <c r="X810">
        <f>HYPERLINK("https://klasma.github.io/Logging_2303/tillsyn/A 21331-2025 tillsynsbegäran.docx", "A 21331-2025")</f>
        <v/>
      </c>
      <c r="Y810">
        <f>HYPERLINK("https://klasma.github.io/Logging_2303/tillsynsmail/A 21331-2025 tillsynsbegäran mail.docx", "A 21331-2025")</f>
        <v/>
      </c>
    </row>
    <row r="811" ht="15" customHeight="1">
      <c r="A811" t="inlineStr">
        <is>
          <t>A 21214-2025</t>
        </is>
      </c>
      <c r="B811" s="1" t="n">
        <v>45779.49025462963</v>
      </c>
      <c r="C811" s="1" t="n">
        <v>45969</v>
      </c>
      <c r="D811" t="inlineStr">
        <is>
          <t>JÄMTLANDS LÄN</t>
        </is>
      </c>
      <c r="E811" t="inlineStr">
        <is>
          <t>RAGUNDA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14074-2023</t>
        </is>
      </c>
      <c r="B812" s="1" t="n">
        <v>45009.089375</v>
      </c>
      <c r="C812" s="1" t="n">
        <v>45969</v>
      </c>
      <c r="D812" t="inlineStr">
        <is>
          <t>JÄMTLANDS LÄN</t>
        </is>
      </c>
      <c r="E812" t="inlineStr">
        <is>
          <t>RAGUNDA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22941-2024</t>
        </is>
      </c>
      <c r="B813" s="1" t="n">
        <v>45448.94520833333</v>
      </c>
      <c r="C813" s="1" t="n">
        <v>45969</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44605-2024</t>
        </is>
      </c>
      <c r="B814" s="1" t="n">
        <v>45574.51185185185</v>
      </c>
      <c r="C814" s="1" t="n">
        <v>45969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54764-2024</t>
        </is>
      </c>
      <c r="B815" s="1" t="n">
        <v>45618.46921296296</v>
      </c>
      <c r="C815" s="1" t="n">
        <v>45969</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19438-2023</t>
        </is>
      </c>
      <c r="B816" s="1" t="n">
        <v>45049</v>
      </c>
      <c r="C816" s="1" t="n">
        <v>45969</v>
      </c>
      <c r="D816" t="inlineStr">
        <is>
          <t>JÄMTLANDS LÄN</t>
        </is>
      </c>
      <c r="E816" t="inlineStr">
        <is>
          <t>RAGUNDA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44881-2023</t>
        </is>
      </c>
      <c r="B817" s="1" t="n">
        <v>45187</v>
      </c>
      <c r="C817" s="1" t="n">
        <v>45969</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41161-2025</t>
        </is>
      </c>
      <c r="B818" s="1" t="n">
        <v>45898.53193287037</v>
      </c>
      <c r="C818" s="1" t="n">
        <v>45969</v>
      </c>
      <c r="D818" t="inlineStr">
        <is>
          <t>JÄMTLANDS LÄN</t>
        </is>
      </c>
      <c r="E818" t="inlineStr">
        <is>
          <t>RAGUNDA</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53136-2024</t>
        </is>
      </c>
      <c r="B819" s="1" t="n">
        <v>45611.5953125</v>
      </c>
      <c r="C819" s="1" t="n">
        <v>45969</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52228-2024</t>
        </is>
      </c>
      <c r="B820" s="1" t="n">
        <v>45608.6078587963</v>
      </c>
      <c r="C820" s="1" t="n">
        <v>45969</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59372-2024</t>
        </is>
      </c>
      <c r="B821" s="1" t="n">
        <v>45638.34431712963</v>
      </c>
      <c r="C821" s="1" t="n">
        <v>45969</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62115-2024</t>
        </is>
      </c>
      <c r="B822" s="1" t="n">
        <v>45656</v>
      </c>
      <c r="C822" s="1" t="n">
        <v>45969</v>
      </c>
      <c r="D822" t="inlineStr">
        <is>
          <t>JÄMTLANDS LÄN</t>
        </is>
      </c>
      <c r="E822" t="inlineStr">
        <is>
          <t>RAGUNDA</t>
        </is>
      </c>
      <c r="G822" t="n">
        <v>3.3</v>
      </c>
      <c r="H822" t="n">
        <v>0</v>
      </c>
      <c r="I822" t="n">
        <v>0</v>
      </c>
      <c r="J822" t="n">
        <v>0</v>
      </c>
      <c r="K822" t="n">
        <v>0</v>
      </c>
      <c r="L822" t="n">
        <v>0</v>
      </c>
      <c r="M822" t="n">
        <v>0</v>
      </c>
      <c r="N822" t="n">
        <v>0</v>
      </c>
      <c r="O822" t="n">
        <v>0</v>
      </c>
      <c r="P822" t="n">
        <v>0</v>
      </c>
      <c r="Q822" t="n">
        <v>0</v>
      </c>
      <c r="R822" s="2" t="inlineStr"/>
    </row>
    <row r="823" ht="15" customHeight="1">
      <c r="A823" t="inlineStr">
        <is>
          <t>A 4594-2024</t>
        </is>
      </c>
      <c r="B823" s="1" t="n">
        <v>45327.94459490741</v>
      </c>
      <c r="C823" s="1" t="n">
        <v>45969</v>
      </c>
      <c r="D823" t="inlineStr">
        <is>
          <t>JÄMTLANDS LÄN</t>
        </is>
      </c>
      <c r="E823" t="inlineStr">
        <is>
          <t>RAGUNDA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45969</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45969</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41140-2025</t>
        </is>
      </c>
      <c r="B826" s="1" t="n">
        <v>45898.49012731481</v>
      </c>
      <c r="C826" s="1" t="n">
        <v>45969</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48065-2023</t>
        </is>
      </c>
      <c r="B827" s="1" t="n">
        <v>45204.94399305555</v>
      </c>
      <c r="C827" s="1" t="n">
        <v>45969</v>
      </c>
      <c r="D827" t="inlineStr">
        <is>
          <t>JÄMTLANDS LÄN</t>
        </is>
      </c>
      <c r="E827" t="inlineStr">
        <is>
          <t>RAGUNDA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44597-2024</t>
        </is>
      </c>
      <c r="B828" s="1" t="n">
        <v>45574.51087962963</v>
      </c>
      <c r="C828" s="1" t="n">
        <v>45969</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44598-2024</t>
        </is>
      </c>
      <c r="B829" s="1" t="n">
        <v>45574.51090277778</v>
      </c>
      <c r="C829" s="1" t="n">
        <v>45969</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49659-2023</t>
        </is>
      </c>
      <c r="B830" s="1" t="n">
        <v>45211.95134259259</v>
      </c>
      <c r="C830" s="1" t="n">
        <v>45969</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57889-2024</t>
        </is>
      </c>
      <c r="B831" s="1" t="n">
        <v>45631.46665509259</v>
      </c>
      <c r="C831" s="1" t="n">
        <v>45969</v>
      </c>
      <c r="D831" t="inlineStr">
        <is>
          <t>JÄMTLANDS LÄN</t>
        </is>
      </c>
      <c r="E831" t="inlineStr">
        <is>
          <t>RAGUNDA</t>
        </is>
      </c>
      <c r="G831" t="n">
        <v>11.1</v>
      </c>
      <c r="H831" t="n">
        <v>0</v>
      </c>
      <c r="I831" t="n">
        <v>0</v>
      </c>
      <c r="J831" t="n">
        <v>0</v>
      </c>
      <c r="K831" t="n">
        <v>0</v>
      </c>
      <c r="L831" t="n">
        <v>0</v>
      </c>
      <c r="M831" t="n">
        <v>0</v>
      </c>
      <c r="N831" t="n">
        <v>0</v>
      </c>
      <c r="O831" t="n">
        <v>0</v>
      </c>
      <c r="P831" t="n">
        <v>0</v>
      </c>
      <c r="Q831" t="n">
        <v>0</v>
      </c>
      <c r="R831" s="2" t="inlineStr"/>
    </row>
    <row r="832" ht="15" customHeight="1">
      <c r="A832" t="inlineStr">
        <is>
          <t>A 22388-2025</t>
        </is>
      </c>
      <c r="B832" s="1" t="n">
        <v>45786.51077546296</v>
      </c>
      <c r="C832" s="1" t="n">
        <v>45969</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23734-2024</t>
        </is>
      </c>
      <c r="B833" s="1" t="n">
        <v>45454.95960648148</v>
      </c>
      <c r="C833" s="1" t="n">
        <v>45969</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12653-2024</t>
        </is>
      </c>
      <c r="B834" s="1" t="n">
        <v>45384</v>
      </c>
      <c r="C834" s="1" t="n">
        <v>45969</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34483-2023</t>
        </is>
      </c>
      <c r="B835" s="1" t="n">
        <v>45139.94681712963</v>
      </c>
      <c r="C835" s="1" t="n">
        <v>45969</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23567-2024</t>
        </is>
      </c>
      <c r="B836" s="1" t="n">
        <v>45453.95538194444</v>
      </c>
      <c r="C836" s="1" t="n">
        <v>45969</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57116-2024</t>
        </is>
      </c>
      <c r="B837" s="1" t="n">
        <v>45629.36513888889</v>
      </c>
      <c r="C837" s="1" t="n">
        <v>45969</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22898-2025</t>
        </is>
      </c>
      <c r="B838" s="1" t="n">
        <v>45790.40670138889</v>
      </c>
      <c r="C838" s="1" t="n">
        <v>45969</v>
      </c>
      <c r="D838" t="inlineStr">
        <is>
          <t>JÄMTLANDS LÄN</t>
        </is>
      </c>
      <c r="E838" t="inlineStr">
        <is>
          <t>RAGUNDA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45969</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9262-2025</t>
        </is>
      </c>
      <c r="B840" s="1" t="n">
        <v>45714.60649305556</v>
      </c>
      <c r="C840" s="1" t="n">
        <v>45969</v>
      </c>
      <c r="D840" t="inlineStr">
        <is>
          <t>JÄMTLANDS LÄN</t>
        </is>
      </c>
      <c r="E840" t="inlineStr">
        <is>
          <t>RAGUNDA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16982-2024</t>
        </is>
      </c>
      <c r="B841" s="1" t="n">
        <v>45412.02506944445</v>
      </c>
      <c r="C841" s="1" t="n">
        <v>45969</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58564-2024</t>
        </is>
      </c>
      <c r="B842" s="1" t="n">
        <v>45635.47243055556</v>
      </c>
      <c r="C842" s="1" t="n">
        <v>45969</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53144-2024</t>
        </is>
      </c>
      <c r="B843" s="1" t="n">
        <v>45611</v>
      </c>
      <c r="C843" s="1" t="n">
        <v>45969</v>
      </c>
      <c r="D843" t="inlineStr">
        <is>
          <t>JÄMTLANDS LÄN</t>
        </is>
      </c>
      <c r="E843" t="inlineStr">
        <is>
          <t>RAGUNDA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5806-2025</t>
        </is>
      </c>
      <c r="B844" s="1" t="n">
        <v>45694.69826388889</v>
      </c>
      <c r="C844" s="1" t="n">
        <v>45969</v>
      </c>
      <c r="D844" t="inlineStr">
        <is>
          <t>JÄMTLANDS LÄN</t>
        </is>
      </c>
      <c r="E844" t="inlineStr">
        <is>
          <t>RAGUNDA</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23405-2025</t>
        </is>
      </c>
      <c r="B845" s="1" t="n">
        <v>45792.34527777778</v>
      </c>
      <c r="C845" s="1" t="n">
        <v>45969</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23654-2025</t>
        </is>
      </c>
      <c r="B846" s="1" t="n">
        <v>45792.71905092592</v>
      </c>
      <c r="C846" s="1" t="n">
        <v>45969</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23507-2025</t>
        </is>
      </c>
      <c r="B847" s="1" t="n">
        <v>45792.49023148148</v>
      </c>
      <c r="C847" s="1" t="n">
        <v>45969</v>
      </c>
      <c r="D847" t="inlineStr">
        <is>
          <t>JÄMTLANDS LÄN</t>
        </is>
      </c>
      <c r="E847" t="inlineStr">
        <is>
          <t>RAGUNDA</t>
        </is>
      </c>
      <c r="F847" t="inlineStr">
        <is>
          <t>SCA</t>
        </is>
      </c>
      <c r="G847" t="n">
        <v>16.4</v>
      </c>
      <c r="H847" t="n">
        <v>0</v>
      </c>
      <c r="I847" t="n">
        <v>0</v>
      </c>
      <c r="J847" t="n">
        <v>0</v>
      </c>
      <c r="K847" t="n">
        <v>0</v>
      </c>
      <c r="L847" t="n">
        <v>0</v>
      </c>
      <c r="M847" t="n">
        <v>0</v>
      </c>
      <c r="N847" t="n">
        <v>0</v>
      </c>
      <c r="O847" t="n">
        <v>0</v>
      </c>
      <c r="P847" t="n">
        <v>0</v>
      </c>
      <c r="Q847" t="n">
        <v>0</v>
      </c>
      <c r="R847" s="2" t="inlineStr"/>
    </row>
    <row r="848" ht="15" customHeight="1">
      <c r="A848" t="inlineStr">
        <is>
          <t>A 41233-2025</t>
        </is>
      </c>
      <c r="B848" s="1" t="n">
        <v>45898.59295138889</v>
      </c>
      <c r="C848" s="1" t="n">
        <v>45969</v>
      </c>
      <c r="D848" t="inlineStr">
        <is>
          <t>JÄMTLANDS LÄN</t>
        </is>
      </c>
      <c r="E848" t="inlineStr">
        <is>
          <t>RAGUNDA</t>
        </is>
      </c>
      <c r="G848" t="n">
        <v>1.7</v>
      </c>
      <c r="H848" t="n">
        <v>0</v>
      </c>
      <c r="I848" t="n">
        <v>0</v>
      </c>
      <c r="J848" t="n">
        <v>0</v>
      </c>
      <c r="K848" t="n">
        <v>0</v>
      </c>
      <c r="L848" t="n">
        <v>0</v>
      </c>
      <c r="M848" t="n">
        <v>0</v>
      </c>
      <c r="N848" t="n">
        <v>0</v>
      </c>
      <c r="O848" t="n">
        <v>0</v>
      </c>
      <c r="P848" t="n">
        <v>0</v>
      </c>
      <c r="Q848" t="n">
        <v>0</v>
      </c>
      <c r="R848" s="2" t="inlineStr"/>
    </row>
    <row r="849" ht="15" customHeight="1">
      <c r="A849" t="inlineStr">
        <is>
          <t>A 41262-2025</t>
        </is>
      </c>
      <c r="B849" s="1" t="n">
        <v>45898.61502314815</v>
      </c>
      <c r="C849" s="1" t="n">
        <v>45969</v>
      </c>
      <c r="D849" t="inlineStr">
        <is>
          <t>JÄMTLANDS LÄN</t>
        </is>
      </c>
      <c r="E849" t="inlineStr">
        <is>
          <t>RAGUNDA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20773-2024</t>
        </is>
      </c>
      <c r="B850" s="1" t="n">
        <v>45436.94636574074</v>
      </c>
      <c r="C850" s="1" t="n">
        <v>45969</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23586-2025</t>
        </is>
      </c>
      <c r="B851" s="1" t="n">
        <v>45792.63584490741</v>
      </c>
      <c r="C851" s="1" t="n">
        <v>45969</v>
      </c>
      <c r="D851" t="inlineStr">
        <is>
          <t>JÄMTLANDS LÄN</t>
        </is>
      </c>
      <c r="E851" t="inlineStr">
        <is>
          <t>RAGUNDA</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23413-2025</t>
        </is>
      </c>
      <c r="B852" s="1" t="n">
        <v>45792.34606481482</v>
      </c>
      <c r="C852" s="1" t="n">
        <v>45969</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49639-2025</t>
        </is>
      </c>
      <c r="B853" s="1" t="n">
        <v>45939.61253472222</v>
      </c>
      <c r="C853" s="1" t="n">
        <v>45969</v>
      </c>
      <c r="D853" t="inlineStr">
        <is>
          <t>JÄMTLANDS LÄN</t>
        </is>
      </c>
      <c r="E853" t="inlineStr">
        <is>
          <t>RAGUNDA</t>
        </is>
      </c>
      <c r="F853" t="inlineStr">
        <is>
          <t>Kommuner</t>
        </is>
      </c>
      <c r="G853" t="n">
        <v>13.6</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45969</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14076-2023</t>
        </is>
      </c>
      <c r="B855" s="1" t="n">
        <v>45009.0897337963</v>
      </c>
      <c r="C855" s="1" t="n">
        <v>45969</v>
      </c>
      <c r="D855" t="inlineStr">
        <is>
          <t>JÄMTLANDS LÄN</t>
        </is>
      </c>
      <c r="E855" t="inlineStr">
        <is>
          <t>RAGUNDA</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50215-2025</t>
        </is>
      </c>
      <c r="B856" s="1" t="n">
        <v>45943.67842592593</v>
      </c>
      <c r="C856" s="1" t="n">
        <v>45969</v>
      </c>
      <c r="D856" t="inlineStr">
        <is>
          <t>JÄMTLANDS LÄN</t>
        </is>
      </c>
      <c r="E856" t="inlineStr">
        <is>
          <t>RAGUNDA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50260-2025</t>
        </is>
      </c>
      <c r="B857" s="1" t="n">
        <v>45944.34515046296</v>
      </c>
      <c r="C857" s="1" t="n">
        <v>45969</v>
      </c>
      <c r="D857" t="inlineStr">
        <is>
          <t>JÄMTLANDS LÄN</t>
        </is>
      </c>
      <c r="E857" t="inlineStr">
        <is>
          <t>RAGUNDA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49991-2025</t>
        </is>
      </c>
      <c r="B858" s="1" t="n">
        <v>45942.91568287037</v>
      </c>
      <c r="C858" s="1" t="n">
        <v>45969</v>
      </c>
      <c r="D858" t="inlineStr">
        <is>
          <t>JÄMTLANDS LÄN</t>
        </is>
      </c>
      <c r="E858" t="inlineStr">
        <is>
          <t>RAGUNDA</t>
        </is>
      </c>
      <c r="G858" t="n">
        <v>9</v>
      </c>
      <c r="H858" t="n">
        <v>0</v>
      </c>
      <c r="I858" t="n">
        <v>0</v>
      </c>
      <c r="J858" t="n">
        <v>0</v>
      </c>
      <c r="K858" t="n">
        <v>0</v>
      </c>
      <c r="L858" t="n">
        <v>0</v>
      </c>
      <c r="M858" t="n">
        <v>0</v>
      </c>
      <c r="N858" t="n">
        <v>0</v>
      </c>
      <c r="O858" t="n">
        <v>0</v>
      </c>
      <c r="P858" t="n">
        <v>0</v>
      </c>
      <c r="Q858" t="n">
        <v>0</v>
      </c>
      <c r="R858" s="2" t="inlineStr"/>
    </row>
    <row r="859" ht="15" customHeight="1">
      <c r="A859" t="inlineStr">
        <is>
          <t>A 49993-2025</t>
        </is>
      </c>
      <c r="B859" s="1" t="n">
        <v>45942.94371527778</v>
      </c>
      <c r="C859" s="1" t="n">
        <v>45969</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45335-2023</t>
        </is>
      </c>
      <c r="B860" s="1" t="n">
        <v>45191</v>
      </c>
      <c r="C860" s="1" t="n">
        <v>45969</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41422-2025</t>
        </is>
      </c>
      <c r="B861" s="1" t="n">
        <v>45901.38572916666</v>
      </c>
      <c r="C861" s="1" t="n">
        <v>45969</v>
      </c>
      <c r="D861" t="inlineStr">
        <is>
          <t>JÄMTLANDS LÄN</t>
        </is>
      </c>
      <c r="E861" t="inlineStr">
        <is>
          <t>RAGUNDA</t>
        </is>
      </c>
      <c r="G861" t="n">
        <v>4.3</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45969</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41423-2025</t>
        </is>
      </c>
      <c r="B863" s="1" t="n">
        <v>45901.38578703703</v>
      </c>
      <c r="C863" s="1" t="n">
        <v>45969</v>
      </c>
      <c r="D863" t="inlineStr">
        <is>
          <t>JÄMTLANDS LÄN</t>
        </is>
      </c>
      <c r="E863" t="inlineStr">
        <is>
          <t>RAGUNDA</t>
        </is>
      </c>
      <c r="G863" t="n">
        <v>0.7</v>
      </c>
      <c r="H863" t="n">
        <v>0</v>
      </c>
      <c r="I863" t="n">
        <v>0</v>
      </c>
      <c r="J863" t="n">
        <v>0</v>
      </c>
      <c r="K863" t="n">
        <v>0</v>
      </c>
      <c r="L863" t="n">
        <v>0</v>
      </c>
      <c r="M863" t="n">
        <v>0</v>
      </c>
      <c r="N863" t="n">
        <v>0</v>
      </c>
      <c r="O863" t="n">
        <v>0</v>
      </c>
      <c r="P863" t="n">
        <v>0</v>
      </c>
      <c r="Q863" t="n">
        <v>0</v>
      </c>
      <c r="R863" s="2" t="inlineStr"/>
    </row>
    <row r="864" ht="15" customHeight="1">
      <c r="A864" t="inlineStr">
        <is>
          <t>A 50080-2025</t>
        </is>
      </c>
      <c r="B864" s="1" t="n">
        <v>45943.469375</v>
      </c>
      <c r="C864" s="1" t="n">
        <v>45969</v>
      </c>
      <c r="D864" t="inlineStr">
        <is>
          <t>JÄMTLANDS LÄN</t>
        </is>
      </c>
      <c r="E864" t="inlineStr">
        <is>
          <t>RAGUNDA</t>
        </is>
      </c>
      <c r="F864" t="inlineStr">
        <is>
          <t>Naturvårdsverket</t>
        </is>
      </c>
      <c r="G864" t="n">
        <v>6.1</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45969</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41656-2025</t>
        </is>
      </c>
      <c r="B866" s="1" t="n">
        <v>45902.34423611111</v>
      </c>
      <c r="C866" s="1" t="n">
        <v>45969</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41424-2025</t>
        </is>
      </c>
      <c r="B867" s="1" t="n">
        <v>45901.38584490741</v>
      </c>
      <c r="C867" s="1" t="n">
        <v>45969</v>
      </c>
      <c r="D867" t="inlineStr">
        <is>
          <t>JÄMTLANDS LÄN</t>
        </is>
      </c>
      <c r="E867" t="inlineStr">
        <is>
          <t>RAGUNDA</t>
        </is>
      </c>
      <c r="G867" t="n">
        <v>3</v>
      </c>
      <c r="H867" t="n">
        <v>0</v>
      </c>
      <c r="I867" t="n">
        <v>0</v>
      </c>
      <c r="J867" t="n">
        <v>0</v>
      </c>
      <c r="K867" t="n">
        <v>0</v>
      </c>
      <c r="L867" t="n">
        <v>0</v>
      </c>
      <c r="M867" t="n">
        <v>0</v>
      </c>
      <c r="N867" t="n">
        <v>0</v>
      </c>
      <c r="O867" t="n">
        <v>0</v>
      </c>
      <c r="P867" t="n">
        <v>0</v>
      </c>
      <c r="Q867" t="n">
        <v>0</v>
      </c>
      <c r="R867" s="2" t="inlineStr"/>
    </row>
    <row r="868" ht="15" customHeight="1">
      <c r="A868" t="inlineStr">
        <is>
          <t>A 49995-2025</t>
        </is>
      </c>
      <c r="B868" s="1" t="n">
        <v>45943.00986111111</v>
      </c>
      <c r="C868" s="1" t="n">
        <v>45969</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10972-2022</t>
        </is>
      </c>
      <c r="B869" s="1" t="n">
        <v>44628</v>
      </c>
      <c r="C869" s="1" t="n">
        <v>45969</v>
      </c>
      <c r="D869" t="inlineStr">
        <is>
          <t>JÄMTLANDS LÄN</t>
        </is>
      </c>
      <c r="E869" t="inlineStr">
        <is>
          <t>RAGUNDA</t>
        </is>
      </c>
      <c r="G869" t="n">
        <v>9.5</v>
      </c>
      <c r="H869" t="n">
        <v>0</v>
      </c>
      <c r="I869" t="n">
        <v>0</v>
      </c>
      <c r="J869" t="n">
        <v>0</v>
      </c>
      <c r="K869" t="n">
        <v>0</v>
      </c>
      <c r="L869" t="n">
        <v>0</v>
      </c>
      <c r="M869" t="n">
        <v>0</v>
      </c>
      <c r="N869" t="n">
        <v>0</v>
      </c>
      <c r="O869" t="n">
        <v>0</v>
      </c>
      <c r="P869" t="n">
        <v>0</v>
      </c>
      <c r="Q869" t="n">
        <v>0</v>
      </c>
      <c r="R869" s="2" t="inlineStr"/>
    </row>
    <row r="870" ht="15" customHeight="1">
      <c r="A870" t="inlineStr">
        <is>
          <t>A 19263-2025</t>
        </is>
      </c>
      <c r="B870" s="1" t="n">
        <v>45769.51075231482</v>
      </c>
      <c r="C870" s="1" t="n">
        <v>45969</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23840-2025</t>
        </is>
      </c>
      <c r="B871" s="1" t="n">
        <v>45793</v>
      </c>
      <c r="C871" s="1" t="n">
        <v>45969</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43102-2023</t>
        </is>
      </c>
      <c r="B872" s="1" t="n">
        <v>45182</v>
      </c>
      <c r="C872" s="1" t="n">
        <v>45969</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24158-2025</t>
        </is>
      </c>
      <c r="B873" s="1" t="n">
        <v>45796</v>
      </c>
      <c r="C873" s="1" t="n">
        <v>45969</v>
      </c>
      <c r="D873" t="inlineStr">
        <is>
          <t>JÄMTLANDS LÄN</t>
        </is>
      </c>
      <c r="E873" t="inlineStr">
        <is>
          <t>RAGUNDA</t>
        </is>
      </c>
      <c r="G873" t="n">
        <v>2.9</v>
      </c>
      <c r="H873" t="n">
        <v>0</v>
      </c>
      <c r="I873" t="n">
        <v>0</v>
      </c>
      <c r="J873" t="n">
        <v>0</v>
      </c>
      <c r="K873" t="n">
        <v>0</v>
      </c>
      <c r="L873" t="n">
        <v>0</v>
      </c>
      <c r="M873" t="n">
        <v>0</v>
      </c>
      <c r="N873" t="n">
        <v>0</v>
      </c>
      <c r="O873" t="n">
        <v>0</v>
      </c>
      <c r="P873" t="n">
        <v>0</v>
      </c>
      <c r="Q873" t="n">
        <v>0</v>
      </c>
      <c r="R873" s="2" t="inlineStr"/>
      <c r="U873">
        <f>HYPERLINK("https://klasma.github.io/Logging_2303/knärot/A 24158-2025 karta knärot.png", "A 24158-2025")</f>
        <v/>
      </c>
      <c r="V873">
        <f>HYPERLINK("https://klasma.github.io/Logging_2303/klagomål/A 24158-2025 FSC-klagomål.docx", "A 24158-2025")</f>
        <v/>
      </c>
      <c r="W873">
        <f>HYPERLINK("https://klasma.github.io/Logging_2303/klagomålsmail/A 24158-2025 FSC-klagomål mail.docx", "A 24158-2025")</f>
        <v/>
      </c>
      <c r="X873">
        <f>HYPERLINK("https://klasma.github.io/Logging_2303/tillsyn/A 24158-2025 tillsynsbegäran.docx", "A 24158-2025")</f>
        <v/>
      </c>
      <c r="Y873">
        <f>HYPERLINK("https://klasma.github.io/Logging_2303/tillsynsmail/A 24158-2025 tillsynsbegäran mail.docx", "A 24158-2025")</f>
        <v/>
      </c>
    </row>
    <row r="874" ht="15" customHeight="1">
      <c r="A874" t="inlineStr">
        <is>
          <t>A 24161-2025</t>
        </is>
      </c>
      <c r="B874" s="1" t="n">
        <v>45796</v>
      </c>
      <c r="C874" s="1" t="n">
        <v>45969</v>
      </c>
      <c r="D874" t="inlineStr">
        <is>
          <t>JÄMTLANDS LÄN</t>
        </is>
      </c>
      <c r="E874" t="inlineStr">
        <is>
          <t>RAGUNDA</t>
        </is>
      </c>
      <c r="G874" t="n">
        <v>2.4</v>
      </c>
      <c r="H874" t="n">
        <v>0</v>
      </c>
      <c r="I874" t="n">
        <v>0</v>
      </c>
      <c r="J874" t="n">
        <v>0</v>
      </c>
      <c r="K874" t="n">
        <v>0</v>
      </c>
      <c r="L874" t="n">
        <v>0</v>
      </c>
      <c r="M874" t="n">
        <v>0</v>
      </c>
      <c r="N874" t="n">
        <v>0</v>
      </c>
      <c r="O874" t="n">
        <v>0</v>
      </c>
      <c r="P874" t="n">
        <v>0</v>
      </c>
      <c r="Q874" t="n">
        <v>0</v>
      </c>
      <c r="R874" s="2" t="inlineStr"/>
    </row>
    <row r="875" ht="15" customHeight="1">
      <c r="A875" t="inlineStr">
        <is>
          <t>A 6694-2024</t>
        </is>
      </c>
      <c r="B875" s="1" t="n">
        <v>45341.95381944445</v>
      </c>
      <c r="C875" s="1" t="n">
        <v>45969</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23841-2025</t>
        </is>
      </c>
      <c r="B876" s="1" t="n">
        <v>45793.61523148148</v>
      </c>
      <c r="C876" s="1" t="n">
        <v>45969</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21083-2024</t>
        </is>
      </c>
      <c r="B877" s="1" t="n">
        <v>45439.92752314815</v>
      </c>
      <c r="C877" s="1" t="n">
        <v>45969</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24159-2025</t>
        </is>
      </c>
      <c r="B878" s="1" t="n">
        <v>45796</v>
      </c>
      <c r="C878" s="1" t="n">
        <v>45969</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59759-2024</t>
        </is>
      </c>
      <c r="B879" s="1" t="n">
        <v>45639.55240740741</v>
      </c>
      <c r="C879" s="1" t="n">
        <v>45969</v>
      </c>
      <c r="D879" t="inlineStr">
        <is>
          <t>JÄMTLANDS LÄN</t>
        </is>
      </c>
      <c r="E879" t="inlineStr">
        <is>
          <t>RAGUNDA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21524-2024</t>
        </is>
      </c>
      <c r="B880" s="1" t="n">
        <v>45441</v>
      </c>
      <c r="C880" s="1" t="n">
        <v>45969</v>
      </c>
      <c r="D880" t="inlineStr">
        <is>
          <t>JÄMTLANDS LÄN</t>
        </is>
      </c>
      <c r="E880" t="inlineStr">
        <is>
          <t>RAGUNDA</t>
        </is>
      </c>
      <c r="G880" t="n">
        <v>1.6</v>
      </c>
      <c r="H880" t="n">
        <v>0</v>
      </c>
      <c r="I880" t="n">
        <v>0</v>
      </c>
      <c r="J880" t="n">
        <v>0</v>
      </c>
      <c r="K880" t="n">
        <v>0</v>
      </c>
      <c r="L880" t="n">
        <v>0</v>
      </c>
      <c r="M880" t="n">
        <v>0</v>
      </c>
      <c r="N880" t="n">
        <v>0</v>
      </c>
      <c r="O880" t="n">
        <v>0</v>
      </c>
      <c r="P880" t="n">
        <v>0</v>
      </c>
      <c r="Q880" t="n">
        <v>0</v>
      </c>
      <c r="R880" s="2" t="inlineStr"/>
    </row>
    <row r="881" ht="15" customHeight="1">
      <c r="A881" t="inlineStr">
        <is>
          <t>A 12204-2025</t>
        </is>
      </c>
      <c r="B881" s="1" t="n">
        <v>45729.51074074074</v>
      </c>
      <c r="C881" s="1" t="n">
        <v>45969</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50125-2025</t>
        </is>
      </c>
      <c r="B882" s="1" t="n">
        <v>45943.55262731481</v>
      </c>
      <c r="C882" s="1" t="n">
        <v>45969</v>
      </c>
      <c r="D882" t="inlineStr">
        <is>
          <t>JÄMTLANDS LÄN</t>
        </is>
      </c>
      <c r="E882" t="inlineStr">
        <is>
          <t>RAGUNDA</t>
        </is>
      </c>
      <c r="F882" t="inlineStr">
        <is>
          <t>Sveaskog</t>
        </is>
      </c>
      <c r="G882" t="n">
        <v>23.2</v>
      </c>
      <c r="H882" t="n">
        <v>0</v>
      </c>
      <c r="I882" t="n">
        <v>0</v>
      </c>
      <c r="J882" t="n">
        <v>0</v>
      </c>
      <c r="K882" t="n">
        <v>0</v>
      </c>
      <c r="L882" t="n">
        <v>0</v>
      </c>
      <c r="M882" t="n">
        <v>0</v>
      </c>
      <c r="N882" t="n">
        <v>0</v>
      </c>
      <c r="O882" t="n">
        <v>0</v>
      </c>
      <c r="P882" t="n">
        <v>0</v>
      </c>
      <c r="Q882" t="n">
        <v>0</v>
      </c>
      <c r="R882" s="2" t="inlineStr"/>
    </row>
    <row r="883" ht="15" customHeight="1">
      <c r="A883" t="inlineStr">
        <is>
          <t>A 11245-2025</t>
        </is>
      </c>
      <c r="B883" s="1" t="n">
        <v>45726.38575231482</v>
      </c>
      <c r="C883" s="1" t="n">
        <v>45969</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50055-2025</t>
        </is>
      </c>
      <c r="B884" s="1" t="n">
        <v>45943.43287037037</v>
      </c>
      <c r="C884" s="1" t="n">
        <v>45969</v>
      </c>
      <c r="D884" t="inlineStr">
        <is>
          <t>JÄMTLANDS LÄN</t>
        </is>
      </c>
      <c r="E884" t="inlineStr">
        <is>
          <t>RAGUNDA</t>
        </is>
      </c>
      <c r="G884" t="n">
        <v>17.6</v>
      </c>
      <c r="H884" t="n">
        <v>0</v>
      </c>
      <c r="I884" t="n">
        <v>0</v>
      </c>
      <c r="J884" t="n">
        <v>0</v>
      </c>
      <c r="K884" t="n">
        <v>0</v>
      </c>
      <c r="L884" t="n">
        <v>0</v>
      </c>
      <c r="M884" t="n">
        <v>0</v>
      </c>
      <c r="N884" t="n">
        <v>0</v>
      </c>
      <c r="O884" t="n">
        <v>0</v>
      </c>
      <c r="P884" t="n">
        <v>0</v>
      </c>
      <c r="Q884" t="n">
        <v>0</v>
      </c>
      <c r="R884" s="2" t="inlineStr"/>
    </row>
    <row r="885" ht="15" customHeight="1">
      <c r="A885" t="inlineStr">
        <is>
          <t>A 13905-2025</t>
        </is>
      </c>
      <c r="B885" s="1" t="n">
        <v>45737.63574074074</v>
      </c>
      <c r="C885" s="1" t="n">
        <v>45969</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49994-2025</t>
        </is>
      </c>
      <c r="B886" s="1" t="n">
        <v>45942.96922453704</v>
      </c>
      <c r="C886" s="1" t="n">
        <v>45969</v>
      </c>
      <c r="D886" t="inlineStr">
        <is>
          <t>JÄMTLANDS LÄN</t>
        </is>
      </c>
      <c r="E886" t="inlineStr">
        <is>
          <t>RAGUNDA</t>
        </is>
      </c>
      <c r="G886" t="n">
        <v>4.5</v>
      </c>
      <c r="H886" t="n">
        <v>0</v>
      </c>
      <c r="I886" t="n">
        <v>0</v>
      </c>
      <c r="J886" t="n">
        <v>0</v>
      </c>
      <c r="K886" t="n">
        <v>0</v>
      </c>
      <c r="L886" t="n">
        <v>0</v>
      </c>
      <c r="M886" t="n">
        <v>0</v>
      </c>
      <c r="N886" t="n">
        <v>0</v>
      </c>
      <c r="O886" t="n">
        <v>0</v>
      </c>
      <c r="P886" t="n">
        <v>0</v>
      </c>
      <c r="Q886" t="n">
        <v>0</v>
      </c>
      <c r="R886" s="2" t="inlineStr"/>
    </row>
    <row r="887" ht="15" customHeight="1">
      <c r="A887" t="inlineStr">
        <is>
          <t>A 50126-2025</t>
        </is>
      </c>
      <c r="B887" s="1" t="n">
        <v>45943.55271990741</v>
      </c>
      <c r="C887" s="1" t="n">
        <v>45969</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62407-2023</t>
        </is>
      </c>
      <c r="B888" s="1" t="n">
        <v>45266</v>
      </c>
      <c r="C888" s="1" t="n">
        <v>45969</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38191-2024</t>
        </is>
      </c>
      <c r="B889" s="1" t="n">
        <v>45545.49078703704</v>
      </c>
      <c r="C889" s="1" t="n">
        <v>45969</v>
      </c>
      <c r="D889" t="inlineStr">
        <is>
          <t>JÄMTLANDS LÄN</t>
        </is>
      </c>
      <c r="E889" t="inlineStr">
        <is>
          <t>RAGUNDA</t>
        </is>
      </c>
      <c r="G889" t="n">
        <v>1.6</v>
      </c>
      <c r="H889" t="n">
        <v>0</v>
      </c>
      <c r="I889" t="n">
        <v>0</v>
      </c>
      <c r="J889" t="n">
        <v>0</v>
      </c>
      <c r="K889" t="n">
        <v>0</v>
      </c>
      <c r="L889" t="n">
        <v>0</v>
      </c>
      <c r="M889" t="n">
        <v>0</v>
      </c>
      <c r="N889" t="n">
        <v>0</v>
      </c>
      <c r="O889" t="n">
        <v>0</v>
      </c>
      <c r="P889" t="n">
        <v>0</v>
      </c>
      <c r="Q889" t="n">
        <v>0</v>
      </c>
      <c r="R889" s="2" t="inlineStr"/>
    </row>
    <row r="890" ht="15" customHeight="1">
      <c r="A890" t="inlineStr">
        <is>
          <t>A 50081-2025</t>
        </is>
      </c>
      <c r="B890" s="1" t="n">
        <v>45943.46954861111</v>
      </c>
      <c r="C890" s="1" t="n">
        <v>45969</v>
      </c>
      <c r="D890" t="inlineStr">
        <is>
          <t>JÄMTLANDS LÄN</t>
        </is>
      </c>
      <c r="E890" t="inlineStr">
        <is>
          <t>RAGUNDA</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4125-2024</t>
        </is>
      </c>
      <c r="B891" s="1" t="n">
        <v>45323</v>
      </c>
      <c r="C891" s="1" t="n">
        <v>45969</v>
      </c>
      <c r="D891" t="inlineStr">
        <is>
          <t>JÄMTLANDS LÄN</t>
        </is>
      </c>
      <c r="E891" t="inlineStr">
        <is>
          <t>RAGUNDA</t>
        </is>
      </c>
      <c r="G891" t="n">
        <v>1</v>
      </c>
      <c r="H891" t="n">
        <v>0</v>
      </c>
      <c r="I891" t="n">
        <v>0</v>
      </c>
      <c r="J891" t="n">
        <v>0</v>
      </c>
      <c r="K891" t="n">
        <v>0</v>
      </c>
      <c r="L891" t="n">
        <v>0</v>
      </c>
      <c r="M891" t="n">
        <v>0</v>
      </c>
      <c r="N891" t="n">
        <v>0</v>
      </c>
      <c r="O891" t="n">
        <v>0</v>
      </c>
      <c r="P891" t="n">
        <v>0</v>
      </c>
      <c r="Q891" t="n">
        <v>0</v>
      </c>
      <c r="R891" s="2" t="inlineStr"/>
    </row>
    <row r="892" ht="15" customHeight="1">
      <c r="A892" t="inlineStr">
        <is>
          <t>A 24391-2025</t>
        </is>
      </c>
      <c r="B892" s="1" t="n">
        <v>45797.63627314815</v>
      </c>
      <c r="C892" s="1" t="n">
        <v>45969</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44980-2023</t>
        </is>
      </c>
      <c r="B893" s="1" t="n">
        <v>45190</v>
      </c>
      <c r="C893" s="1" t="n">
        <v>45969</v>
      </c>
      <c r="D893" t="inlineStr">
        <is>
          <t>JÄMTLANDS LÄN</t>
        </is>
      </c>
      <c r="E893" t="inlineStr">
        <is>
          <t>RAGUNDA</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25376-2025</t>
        </is>
      </c>
      <c r="B894" s="1" t="n">
        <v>45800.63619212963</v>
      </c>
      <c r="C894" s="1" t="n">
        <v>45969</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50711-2025</t>
        </is>
      </c>
      <c r="B895" s="1" t="n">
        <v>45946.34431712963</v>
      </c>
      <c r="C895" s="1" t="n">
        <v>45969</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27777-2022</t>
        </is>
      </c>
      <c r="B896" s="1" t="n">
        <v>44743</v>
      </c>
      <c r="C896" s="1" t="n">
        <v>45969</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41876-2025</t>
        </is>
      </c>
      <c r="B897" s="1" t="n">
        <v>45903.34555555556</v>
      </c>
      <c r="C897" s="1" t="n">
        <v>45969</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51245-2024</t>
        </is>
      </c>
      <c r="B898" s="1" t="n">
        <v>45603.67850694444</v>
      </c>
      <c r="C898" s="1" t="n">
        <v>45969</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61923-2024</t>
        </is>
      </c>
      <c r="B899" s="1" t="n">
        <v>45653.44836805556</v>
      </c>
      <c r="C899" s="1" t="n">
        <v>45969</v>
      </c>
      <c r="D899" t="inlineStr">
        <is>
          <t>JÄMTLANDS LÄN</t>
        </is>
      </c>
      <c r="E899" t="inlineStr">
        <is>
          <t>RAGUNDA</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50503-2024</t>
        </is>
      </c>
      <c r="B900" s="1" t="n">
        <v>45601.5315625</v>
      </c>
      <c r="C900" s="1" t="n">
        <v>45969</v>
      </c>
      <c r="D900" t="inlineStr">
        <is>
          <t>JÄMTLANDS LÄN</t>
        </is>
      </c>
      <c r="E900" t="inlineStr">
        <is>
          <t>RAGUNDA</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25350-2025</t>
        </is>
      </c>
      <c r="B901" s="1" t="n">
        <v>45800</v>
      </c>
      <c r="C901" s="1" t="n">
        <v>45969</v>
      </c>
      <c r="D901" t="inlineStr">
        <is>
          <t>JÄMTLANDS LÄN</t>
        </is>
      </c>
      <c r="E901" t="inlineStr">
        <is>
          <t>RAGUNDA</t>
        </is>
      </c>
      <c r="G901" t="n">
        <v>2.4</v>
      </c>
      <c r="H901" t="n">
        <v>0</v>
      </c>
      <c r="I901" t="n">
        <v>0</v>
      </c>
      <c r="J901" t="n">
        <v>0</v>
      </c>
      <c r="K901" t="n">
        <v>0</v>
      </c>
      <c r="L901" t="n">
        <v>0</v>
      </c>
      <c r="M901" t="n">
        <v>0</v>
      </c>
      <c r="N901" t="n">
        <v>0</v>
      </c>
      <c r="O901" t="n">
        <v>0</v>
      </c>
      <c r="P901" t="n">
        <v>0</v>
      </c>
      <c r="Q901" t="n">
        <v>0</v>
      </c>
      <c r="R901" s="2" t="inlineStr"/>
    </row>
    <row r="902" ht="15" customHeight="1">
      <c r="A902" t="inlineStr">
        <is>
          <t>A 59556-2024</t>
        </is>
      </c>
      <c r="B902" s="1" t="n">
        <v>45638.63600694444</v>
      </c>
      <c r="C902" s="1" t="n">
        <v>45969</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13302-2022</t>
        </is>
      </c>
      <c r="B903" s="1" t="n">
        <v>44644</v>
      </c>
      <c r="C903" s="1" t="n">
        <v>45969</v>
      </c>
      <c r="D903" t="inlineStr">
        <is>
          <t>JÄMTLANDS LÄN</t>
        </is>
      </c>
      <c r="E903" t="inlineStr">
        <is>
          <t>RAGUNDA</t>
        </is>
      </c>
      <c r="F903" t="inlineStr">
        <is>
          <t>SCA</t>
        </is>
      </c>
      <c r="G903" t="n">
        <v>35.6</v>
      </c>
      <c r="H903" t="n">
        <v>0</v>
      </c>
      <c r="I903" t="n">
        <v>0</v>
      </c>
      <c r="J903" t="n">
        <v>0</v>
      </c>
      <c r="K903" t="n">
        <v>0</v>
      </c>
      <c r="L903" t="n">
        <v>0</v>
      </c>
      <c r="M903" t="n">
        <v>0</v>
      </c>
      <c r="N903" t="n">
        <v>0</v>
      </c>
      <c r="O903" t="n">
        <v>0</v>
      </c>
      <c r="P903" t="n">
        <v>0</v>
      </c>
      <c r="Q903" t="n">
        <v>0</v>
      </c>
      <c r="R903" s="2" t="inlineStr"/>
    </row>
    <row r="904" ht="15" customHeight="1">
      <c r="A904" t="inlineStr">
        <is>
          <t>A 25152-2025</t>
        </is>
      </c>
      <c r="B904" s="1" t="n">
        <v>45800.42743055556</v>
      </c>
      <c r="C904" s="1" t="n">
        <v>45969</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25175-2025</t>
        </is>
      </c>
      <c r="B905" s="1" t="n">
        <v>45800.44822916666</v>
      </c>
      <c r="C905" s="1" t="n">
        <v>45969</v>
      </c>
      <c r="D905" t="inlineStr">
        <is>
          <t>JÄMTLANDS LÄN</t>
        </is>
      </c>
      <c r="E905" t="inlineStr">
        <is>
          <t>RAGUNDA</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25177-2025</t>
        </is>
      </c>
      <c r="B906" s="1" t="n">
        <v>45800.44862268519</v>
      </c>
      <c r="C906" s="1" t="n">
        <v>45969</v>
      </c>
      <c r="D906" t="inlineStr">
        <is>
          <t>JÄMTLANDS LÄN</t>
        </is>
      </c>
      <c r="E906" t="inlineStr">
        <is>
          <t>RAGUNDA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18225-2024</t>
        </is>
      </c>
      <c r="B907" s="1" t="n">
        <v>45420</v>
      </c>
      <c r="C907" s="1" t="n">
        <v>45969</v>
      </c>
      <c r="D907" t="inlineStr">
        <is>
          <t>JÄMTLANDS LÄN</t>
        </is>
      </c>
      <c r="E907" t="inlineStr">
        <is>
          <t>RAGUNDA</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25631-2025</t>
        </is>
      </c>
      <c r="B908" s="1" t="n">
        <v>45803.5946875</v>
      </c>
      <c r="C908" s="1" t="n">
        <v>45969</v>
      </c>
      <c r="D908" t="inlineStr">
        <is>
          <t>JÄMTLANDS LÄN</t>
        </is>
      </c>
      <c r="E908" t="inlineStr">
        <is>
          <t>RAGUNDA</t>
        </is>
      </c>
      <c r="G908" t="n">
        <v>1.1</v>
      </c>
      <c r="H908" t="n">
        <v>0</v>
      </c>
      <c r="I908" t="n">
        <v>0</v>
      </c>
      <c r="J908" t="n">
        <v>0</v>
      </c>
      <c r="K908" t="n">
        <v>0</v>
      </c>
      <c r="L908" t="n">
        <v>0</v>
      </c>
      <c r="M908" t="n">
        <v>0</v>
      </c>
      <c r="N908" t="n">
        <v>0</v>
      </c>
      <c r="O908" t="n">
        <v>0</v>
      </c>
      <c r="P908" t="n">
        <v>0</v>
      </c>
      <c r="Q908" t="n">
        <v>0</v>
      </c>
      <c r="R908" s="2" t="inlineStr"/>
    </row>
    <row r="909" ht="15" customHeight="1">
      <c r="A909" t="inlineStr">
        <is>
          <t>A 25659-2025</t>
        </is>
      </c>
      <c r="B909" s="1" t="n">
        <v>45803.61552083334</v>
      </c>
      <c r="C909" s="1" t="n">
        <v>45969</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25661-2025</t>
        </is>
      </c>
      <c r="B910" s="1" t="n">
        <v>45803.61557870371</v>
      </c>
      <c r="C910" s="1" t="n">
        <v>45969</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50503-2025</t>
        </is>
      </c>
      <c r="B911" s="1" t="n">
        <v>45945.42746527777</v>
      </c>
      <c r="C911" s="1" t="n">
        <v>45969</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25944-2025</t>
        </is>
      </c>
      <c r="B912" s="1" t="n">
        <v>45804.59487268519</v>
      </c>
      <c r="C912" s="1" t="n">
        <v>45969</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25814-2025</t>
        </is>
      </c>
      <c r="B913" s="1" t="n">
        <v>45804.42642361111</v>
      </c>
      <c r="C913" s="1" t="n">
        <v>45969</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61598-2024</t>
        </is>
      </c>
      <c r="B914" s="1" t="n">
        <v>45646.63605324074</v>
      </c>
      <c r="C914" s="1" t="n">
        <v>45969</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7280-2024</t>
        </is>
      </c>
      <c r="B915" s="1" t="n">
        <v>45344</v>
      </c>
      <c r="C915" s="1" t="n">
        <v>45969</v>
      </c>
      <c r="D915" t="inlineStr">
        <is>
          <t>JÄMTLANDS LÄN</t>
        </is>
      </c>
      <c r="E915" t="inlineStr">
        <is>
          <t>RAGUNDA</t>
        </is>
      </c>
      <c r="G915" t="n">
        <v>1.6</v>
      </c>
      <c r="H915" t="n">
        <v>0</v>
      </c>
      <c r="I915" t="n">
        <v>0</v>
      </c>
      <c r="J915" t="n">
        <v>0</v>
      </c>
      <c r="K915" t="n">
        <v>0</v>
      </c>
      <c r="L915" t="n">
        <v>0</v>
      </c>
      <c r="M915" t="n">
        <v>0</v>
      </c>
      <c r="N915" t="n">
        <v>0</v>
      </c>
      <c r="O915" t="n">
        <v>0</v>
      </c>
      <c r="P915" t="n">
        <v>0</v>
      </c>
      <c r="Q915" t="n">
        <v>0</v>
      </c>
      <c r="R915" s="2" t="inlineStr"/>
    </row>
    <row r="916" ht="15" customHeight="1">
      <c r="A916" t="inlineStr">
        <is>
          <t>A 21662-2023</t>
        </is>
      </c>
      <c r="B916" s="1" t="n">
        <v>45063</v>
      </c>
      <c r="C916" s="1" t="n">
        <v>45969</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61107-2024</t>
        </is>
      </c>
      <c r="B917" s="1" t="n">
        <v>45645.55665509259</v>
      </c>
      <c r="C917" s="1" t="n">
        <v>45969</v>
      </c>
      <c r="D917" t="inlineStr">
        <is>
          <t>JÄMTLANDS LÄN</t>
        </is>
      </c>
      <c r="E917" t="inlineStr">
        <is>
          <t>RAGUNDA</t>
        </is>
      </c>
      <c r="G917" t="n">
        <v>3.2</v>
      </c>
      <c r="H917" t="n">
        <v>0</v>
      </c>
      <c r="I917" t="n">
        <v>0</v>
      </c>
      <c r="J917" t="n">
        <v>0</v>
      </c>
      <c r="K917" t="n">
        <v>0</v>
      </c>
      <c r="L917" t="n">
        <v>0</v>
      </c>
      <c r="M917" t="n">
        <v>0</v>
      </c>
      <c r="N917" t="n">
        <v>0</v>
      </c>
      <c r="O917" t="n">
        <v>0</v>
      </c>
      <c r="P917" t="n">
        <v>0</v>
      </c>
      <c r="Q917" t="n">
        <v>0</v>
      </c>
      <c r="R917" s="2" t="inlineStr"/>
    </row>
    <row r="918" ht="15" customHeight="1">
      <c r="A918" t="inlineStr">
        <is>
          <t>A 19613-2023</t>
        </is>
      </c>
      <c r="B918" s="1" t="n">
        <v>45050.94020833333</v>
      </c>
      <c r="C918" s="1" t="n">
        <v>45969</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25994-2025</t>
        </is>
      </c>
      <c r="B919" s="1" t="n">
        <v>45804.65672453704</v>
      </c>
      <c r="C919" s="1" t="n">
        <v>45969</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5313-2025</t>
        </is>
      </c>
      <c r="B920" s="1" t="n">
        <v>45692.51069444444</v>
      </c>
      <c r="C920" s="1" t="n">
        <v>45969</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5357-2025</t>
        </is>
      </c>
      <c r="B921" s="1" t="n">
        <v>45692.57326388889</v>
      </c>
      <c r="C921" s="1" t="n">
        <v>45969</v>
      </c>
      <c r="D921" t="inlineStr">
        <is>
          <t>JÄMTLANDS LÄN</t>
        </is>
      </c>
      <c r="E921" t="inlineStr">
        <is>
          <t>RAGUNDA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26283-2025</t>
        </is>
      </c>
      <c r="B922" s="1" t="n">
        <v>45805.61495370371</v>
      </c>
      <c r="C922" s="1" t="n">
        <v>45969</v>
      </c>
      <c r="D922" t="inlineStr">
        <is>
          <t>JÄMTLANDS LÄN</t>
        </is>
      </c>
      <c r="E922" t="inlineStr">
        <is>
          <t>RAGUNDA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50473-2025</t>
        </is>
      </c>
      <c r="B923" s="1" t="n">
        <v>45945.36520833334</v>
      </c>
      <c r="C923" s="1" t="n">
        <v>45969</v>
      </c>
      <c r="D923" t="inlineStr">
        <is>
          <t>JÄMTLANDS LÄN</t>
        </is>
      </c>
      <c r="E923" t="inlineStr">
        <is>
          <t>RAGUNDA</t>
        </is>
      </c>
      <c r="F923" t="inlineStr">
        <is>
          <t>SCA</t>
        </is>
      </c>
      <c r="G923" t="n">
        <v>11.2</v>
      </c>
      <c r="H923" t="n">
        <v>0</v>
      </c>
      <c r="I923" t="n">
        <v>0</v>
      </c>
      <c r="J923" t="n">
        <v>0</v>
      </c>
      <c r="K923" t="n">
        <v>0</v>
      </c>
      <c r="L923" t="n">
        <v>0</v>
      </c>
      <c r="M923" t="n">
        <v>0</v>
      </c>
      <c r="N923" t="n">
        <v>0</v>
      </c>
      <c r="O923" t="n">
        <v>0</v>
      </c>
      <c r="P923" t="n">
        <v>0</v>
      </c>
      <c r="Q923" t="n">
        <v>0</v>
      </c>
      <c r="R923" s="2" t="inlineStr"/>
    </row>
    <row r="924" ht="15" customHeight="1">
      <c r="A924" t="inlineStr">
        <is>
          <t>A 42269-2025</t>
        </is>
      </c>
      <c r="B924" s="1" t="n">
        <v>45904.60431712963</v>
      </c>
      <c r="C924" s="1" t="n">
        <v>45969</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44494-2024</t>
        </is>
      </c>
      <c r="B925" s="1" t="n">
        <v>45574.39081018518</v>
      </c>
      <c r="C925" s="1" t="n">
        <v>45969</v>
      </c>
      <c r="D925" t="inlineStr">
        <is>
          <t>JÄMTLANDS LÄN</t>
        </is>
      </c>
      <c r="E925" t="inlineStr">
        <is>
          <t>RAGUNDA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12983-2025</t>
        </is>
      </c>
      <c r="B926" s="1" t="n">
        <v>45734.4633912037</v>
      </c>
      <c r="C926" s="1" t="n">
        <v>45969</v>
      </c>
      <c r="D926" t="inlineStr">
        <is>
          <t>JÄMTLANDS LÄN</t>
        </is>
      </c>
      <c r="E926" t="inlineStr">
        <is>
          <t>RAGUNDA</t>
        </is>
      </c>
      <c r="G926" t="n">
        <v>5.2</v>
      </c>
      <c r="H926" t="n">
        <v>0</v>
      </c>
      <c r="I926" t="n">
        <v>0</v>
      </c>
      <c r="J926" t="n">
        <v>0</v>
      </c>
      <c r="K926" t="n">
        <v>0</v>
      </c>
      <c r="L926" t="n">
        <v>0</v>
      </c>
      <c r="M926" t="n">
        <v>0</v>
      </c>
      <c r="N926" t="n">
        <v>0</v>
      </c>
      <c r="O926" t="n">
        <v>0</v>
      </c>
      <c r="P926" t="n">
        <v>0</v>
      </c>
      <c r="Q926" t="n">
        <v>0</v>
      </c>
      <c r="R926" s="2" t="inlineStr"/>
    </row>
    <row r="927" ht="15" customHeight="1">
      <c r="A927" t="inlineStr">
        <is>
          <t>A 24258-2025</t>
        </is>
      </c>
      <c r="B927" s="1" t="n">
        <v>45797.40800925926</v>
      </c>
      <c r="C927" s="1" t="n">
        <v>45969</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26172-2025</t>
        </is>
      </c>
      <c r="B928" s="1" t="n">
        <v>45805.46613425926</v>
      </c>
      <c r="C928" s="1" t="n">
        <v>45969</v>
      </c>
      <c r="D928" t="inlineStr">
        <is>
          <t>JÄMTLANDS LÄN</t>
        </is>
      </c>
      <c r="E928" t="inlineStr">
        <is>
          <t>RAGUNDA</t>
        </is>
      </c>
      <c r="G928" t="n">
        <v>2.1</v>
      </c>
      <c r="H928" t="n">
        <v>0</v>
      </c>
      <c r="I928" t="n">
        <v>0</v>
      </c>
      <c r="J928" t="n">
        <v>0</v>
      </c>
      <c r="K928" t="n">
        <v>0</v>
      </c>
      <c r="L928" t="n">
        <v>0</v>
      </c>
      <c r="M928" t="n">
        <v>0</v>
      </c>
      <c r="N928" t="n">
        <v>0</v>
      </c>
      <c r="O928" t="n">
        <v>0</v>
      </c>
      <c r="P928" t="n">
        <v>0</v>
      </c>
      <c r="Q928" t="n">
        <v>0</v>
      </c>
      <c r="R928" s="2" t="inlineStr"/>
    </row>
    <row r="929" ht="15" customHeight="1">
      <c r="A929" t="inlineStr">
        <is>
          <t>A 39626-2024</t>
        </is>
      </c>
      <c r="B929" s="1" t="n">
        <v>45552.44096064815</v>
      </c>
      <c r="C929" s="1" t="n">
        <v>45969</v>
      </c>
      <c r="D929" t="inlineStr">
        <is>
          <t>JÄMTLANDS LÄN</t>
        </is>
      </c>
      <c r="E929" t="inlineStr">
        <is>
          <t>RAGUNDA</t>
        </is>
      </c>
      <c r="G929" t="n">
        <v>23.5</v>
      </c>
      <c r="H929" t="n">
        <v>0</v>
      </c>
      <c r="I929" t="n">
        <v>0</v>
      </c>
      <c r="J929" t="n">
        <v>0</v>
      </c>
      <c r="K929" t="n">
        <v>0</v>
      </c>
      <c r="L929" t="n">
        <v>0</v>
      </c>
      <c r="M929" t="n">
        <v>0</v>
      </c>
      <c r="N929" t="n">
        <v>0</v>
      </c>
      <c r="O929" t="n">
        <v>0</v>
      </c>
      <c r="P929" t="n">
        <v>0</v>
      </c>
      <c r="Q929" t="n">
        <v>0</v>
      </c>
      <c r="R929" s="2" t="inlineStr"/>
    </row>
    <row r="930" ht="15" customHeight="1">
      <c r="A930" t="inlineStr">
        <is>
          <t>A 10788-2025</t>
        </is>
      </c>
      <c r="B930" s="1" t="n">
        <v>45722.48982638889</v>
      </c>
      <c r="C930" s="1" t="n">
        <v>45969</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50716-2025</t>
        </is>
      </c>
      <c r="B931" s="1" t="n">
        <v>45946.34572916666</v>
      </c>
      <c r="C931" s="1" t="n">
        <v>45969</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26246-2025</t>
        </is>
      </c>
      <c r="B932" s="1" t="n">
        <v>45805.57390046296</v>
      </c>
      <c r="C932" s="1" t="n">
        <v>45969</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45631-2024</t>
        </is>
      </c>
      <c r="B933" s="1" t="n">
        <v>45579.47052083333</v>
      </c>
      <c r="C933" s="1" t="n">
        <v>45969</v>
      </c>
      <c r="D933" t="inlineStr">
        <is>
          <t>JÄMTLANDS LÄN</t>
        </is>
      </c>
      <c r="E933" t="inlineStr">
        <is>
          <t>RAGUNDA</t>
        </is>
      </c>
      <c r="G933" t="n">
        <v>15.1</v>
      </c>
      <c r="H933" t="n">
        <v>0</v>
      </c>
      <c r="I933" t="n">
        <v>0</v>
      </c>
      <c r="J933" t="n">
        <v>0</v>
      </c>
      <c r="K933" t="n">
        <v>0</v>
      </c>
      <c r="L933" t="n">
        <v>0</v>
      </c>
      <c r="M933" t="n">
        <v>0</v>
      </c>
      <c r="N933" t="n">
        <v>0</v>
      </c>
      <c r="O933" t="n">
        <v>0</v>
      </c>
      <c r="P933" t="n">
        <v>0</v>
      </c>
      <c r="Q933" t="n">
        <v>0</v>
      </c>
      <c r="R933" s="2" t="inlineStr"/>
    </row>
    <row r="934" ht="15" customHeight="1">
      <c r="A934" t="inlineStr">
        <is>
          <t>A 50504-2025</t>
        </is>
      </c>
      <c r="B934" s="1" t="n">
        <v>45945.4284837963</v>
      </c>
      <c r="C934" s="1" t="n">
        <v>45969</v>
      </c>
      <c r="D934" t="inlineStr">
        <is>
          <t>JÄMTLANDS LÄN</t>
        </is>
      </c>
      <c r="E934" t="inlineStr">
        <is>
          <t>RAGUNDA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2001-2025</t>
        </is>
      </c>
      <c r="B935" s="1" t="n">
        <v>45672.44898148148</v>
      </c>
      <c r="C935" s="1" t="n">
        <v>45969</v>
      </c>
      <c r="D935" t="inlineStr">
        <is>
          <t>JÄMTLANDS LÄN</t>
        </is>
      </c>
      <c r="E935" t="inlineStr">
        <is>
          <t>RAGUNDA</t>
        </is>
      </c>
      <c r="F935" t="inlineStr">
        <is>
          <t>SCA</t>
        </is>
      </c>
      <c r="G935" t="n">
        <v>16.2</v>
      </c>
      <c r="H935" t="n">
        <v>0</v>
      </c>
      <c r="I935" t="n">
        <v>0</v>
      </c>
      <c r="J935" t="n">
        <v>0</v>
      </c>
      <c r="K935" t="n">
        <v>0</v>
      </c>
      <c r="L935" t="n">
        <v>0</v>
      </c>
      <c r="M935" t="n">
        <v>0</v>
      </c>
      <c r="N935" t="n">
        <v>0</v>
      </c>
      <c r="O935" t="n">
        <v>0</v>
      </c>
      <c r="P935" t="n">
        <v>0</v>
      </c>
      <c r="Q935" t="n">
        <v>0</v>
      </c>
      <c r="R935" s="2" t="inlineStr"/>
    </row>
    <row r="936" ht="15" customHeight="1">
      <c r="A936" t="inlineStr">
        <is>
          <t>A 62135-2024</t>
        </is>
      </c>
      <c r="B936" s="1" t="n">
        <v>45656.64223379629</v>
      </c>
      <c r="C936" s="1" t="n">
        <v>45969</v>
      </c>
      <c r="D936" t="inlineStr">
        <is>
          <t>JÄMTLANDS LÄN</t>
        </is>
      </c>
      <c r="E936" t="inlineStr">
        <is>
          <t>RAGUNDA</t>
        </is>
      </c>
      <c r="G936" t="n">
        <v>1.5</v>
      </c>
      <c r="H936" t="n">
        <v>0</v>
      </c>
      <c r="I936" t="n">
        <v>0</v>
      </c>
      <c r="J936" t="n">
        <v>0</v>
      </c>
      <c r="K936" t="n">
        <v>0</v>
      </c>
      <c r="L936" t="n">
        <v>0</v>
      </c>
      <c r="M936" t="n">
        <v>0</v>
      </c>
      <c r="N936" t="n">
        <v>0</v>
      </c>
      <c r="O936" t="n">
        <v>0</v>
      </c>
      <c r="P936" t="n">
        <v>0</v>
      </c>
      <c r="Q936" t="n">
        <v>0</v>
      </c>
      <c r="R936" s="2" t="inlineStr"/>
    </row>
    <row r="937" ht="15" customHeight="1">
      <c r="A937" t="inlineStr">
        <is>
          <t>A 50719-2025</t>
        </is>
      </c>
      <c r="B937" s="1" t="n">
        <v>45946.34642361111</v>
      </c>
      <c r="C937" s="1" t="n">
        <v>45969</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8802-2022</t>
        </is>
      </c>
      <c r="B938" s="1" t="n">
        <v>44614</v>
      </c>
      <c r="C938" s="1" t="n">
        <v>45969</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9823-2025</t>
        </is>
      </c>
      <c r="B939" s="1" t="n">
        <v>45716</v>
      </c>
      <c r="C939" s="1" t="n">
        <v>45969</v>
      </c>
      <c r="D939" t="inlineStr">
        <is>
          <t>JÄMTLANDS LÄN</t>
        </is>
      </c>
      <c r="E939" t="inlineStr">
        <is>
          <t>RAGUNDA</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9847-2025</t>
        </is>
      </c>
      <c r="B940" s="1" t="n">
        <v>45716.61487268518</v>
      </c>
      <c r="C940" s="1" t="n">
        <v>45969</v>
      </c>
      <c r="D940" t="inlineStr">
        <is>
          <t>JÄMTLANDS LÄN</t>
        </is>
      </c>
      <c r="E940" t="inlineStr">
        <is>
          <t>RAGUNDA</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73278-2021</t>
        </is>
      </c>
      <c r="B941" s="1" t="n">
        <v>44550.92168981482</v>
      </c>
      <c r="C941" s="1" t="n">
        <v>45969</v>
      </c>
      <c r="D941" t="inlineStr">
        <is>
          <t>JÄMTLANDS LÄN</t>
        </is>
      </c>
      <c r="E941" t="inlineStr">
        <is>
          <t>RAGUNDA</t>
        </is>
      </c>
      <c r="G941" t="n">
        <v>4.4</v>
      </c>
      <c r="H941" t="n">
        <v>0</v>
      </c>
      <c r="I941" t="n">
        <v>0</v>
      </c>
      <c r="J941" t="n">
        <v>0</v>
      </c>
      <c r="K941" t="n">
        <v>0</v>
      </c>
      <c r="L941" t="n">
        <v>0</v>
      </c>
      <c r="M941" t="n">
        <v>0</v>
      </c>
      <c r="N941" t="n">
        <v>0</v>
      </c>
      <c r="O941" t="n">
        <v>0</v>
      </c>
      <c r="P941" t="n">
        <v>0</v>
      </c>
      <c r="Q941" t="n">
        <v>0</v>
      </c>
      <c r="R941" s="2" t="inlineStr"/>
    </row>
    <row r="942" ht="15" customHeight="1">
      <c r="A942" t="inlineStr">
        <is>
          <t>A 50985-2025</t>
        </is>
      </c>
      <c r="B942" s="1" t="n">
        <v>45947.34506944445</v>
      </c>
      <c r="C942" s="1" t="n">
        <v>45969</v>
      </c>
      <c r="D942" t="inlineStr">
        <is>
          <t>JÄMTLANDS LÄN</t>
        </is>
      </c>
      <c r="E942" t="inlineStr">
        <is>
          <t>RAGUNDA</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51484-2025</t>
        </is>
      </c>
      <c r="B943" s="1" t="n">
        <v>45950.62196759259</v>
      </c>
      <c r="C943" s="1" t="n">
        <v>45969</v>
      </c>
      <c r="D943" t="inlineStr">
        <is>
          <t>JÄMTLANDS LÄN</t>
        </is>
      </c>
      <c r="E943" t="inlineStr">
        <is>
          <t>RAGUNDA</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51019-2025</t>
        </is>
      </c>
      <c r="B944" s="1" t="n">
        <v>45947.38623842593</v>
      </c>
      <c r="C944" s="1" t="n">
        <v>45969</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20987-2023</t>
        </is>
      </c>
      <c r="B945" s="1" t="n">
        <v>45056</v>
      </c>
      <c r="C945" s="1" t="n">
        <v>45969</v>
      </c>
      <c r="D945" t="inlineStr">
        <is>
          <t>JÄMTLANDS LÄN</t>
        </is>
      </c>
      <c r="E945" t="inlineStr">
        <is>
          <t>RAGUNDA</t>
        </is>
      </c>
      <c r="G945" t="n">
        <v>1.1</v>
      </c>
      <c r="H945" t="n">
        <v>0</v>
      </c>
      <c r="I945" t="n">
        <v>0</v>
      </c>
      <c r="J945" t="n">
        <v>0</v>
      </c>
      <c r="K945" t="n">
        <v>0</v>
      </c>
      <c r="L945" t="n">
        <v>0</v>
      </c>
      <c r="M945" t="n">
        <v>0</v>
      </c>
      <c r="N945" t="n">
        <v>0</v>
      </c>
      <c r="O945" t="n">
        <v>0</v>
      </c>
      <c r="P945" t="n">
        <v>0</v>
      </c>
      <c r="Q945" t="n">
        <v>0</v>
      </c>
      <c r="R945" s="2" t="inlineStr"/>
    </row>
    <row r="946" ht="15" customHeight="1">
      <c r="A946" t="inlineStr">
        <is>
          <t>A 20994-2023</t>
        </is>
      </c>
      <c r="B946" s="1" t="n">
        <v>45056</v>
      </c>
      <c r="C946" s="1" t="n">
        <v>45969</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33763-2025</t>
        </is>
      </c>
      <c r="B947" s="1" t="n">
        <v>45842.38579861111</v>
      </c>
      <c r="C947" s="1" t="n">
        <v>45969</v>
      </c>
      <c r="D947" t="inlineStr">
        <is>
          <t>JÄMTLANDS LÄN</t>
        </is>
      </c>
      <c r="E947" t="inlineStr">
        <is>
          <t>RAGUNDA</t>
        </is>
      </c>
      <c r="F947" t="inlineStr">
        <is>
          <t>SCA</t>
        </is>
      </c>
      <c r="G947" t="n">
        <v>13.4</v>
      </c>
      <c r="H947" t="n">
        <v>0</v>
      </c>
      <c r="I947" t="n">
        <v>0</v>
      </c>
      <c r="J947" t="n">
        <v>0</v>
      </c>
      <c r="K947" t="n">
        <v>0</v>
      </c>
      <c r="L947" t="n">
        <v>0</v>
      </c>
      <c r="M947" t="n">
        <v>0</v>
      </c>
      <c r="N947" t="n">
        <v>0</v>
      </c>
      <c r="O947" t="n">
        <v>0</v>
      </c>
      <c r="P947" t="n">
        <v>0</v>
      </c>
      <c r="Q947" t="n">
        <v>0</v>
      </c>
      <c r="R947" s="2" t="inlineStr"/>
    </row>
    <row r="948" ht="15" customHeight="1">
      <c r="A948" t="inlineStr">
        <is>
          <t>A 51394-2025</t>
        </is>
      </c>
      <c r="B948" s="1" t="n">
        <v>45950.46972222222</v>
      </c>
      <c r="C948" s="1" t="n">
        <v>45969</v>
      </c>
      <c r="D948" t="inlineStr">
        <is>
          <t>JÄMTLANDS LÄN</t>
        </is>
      </c>
      <c r="E948" t="inlineStr">
        <is>
          <t>RAGUNDA</t>
        </is>
      </c>
      <c r="F948" t="inlineStr">
        <is>
          <t>SCA</t>
        </is>
      </c>
      <c r="G948" t="n">
        <v>36.5</v>
      </c>
      <c r="H948" t="n">
        <v>0</v>
      </c>
      <c r="I948" t="n">
        <v>0</v>
      </c>
      <c r="J948" t="n">
        <v>0</v>
      </c>
      <c r="K948" t="n">
        <v>0</v>
      </c>
      <c r="L948" t="n">
        <v>0</v>
      </c>
      <c r="M948" t="n">
        <v>0</v>
      </c>
      <c r="N948" t="n">
        <v>0</v>
      </c>
      <c r="O948" t="n">
        <v>0</v>
      </c>
      <c r="P948" t="n">
        <v>0</v>
      </c>
      <c r="Q948" t="n">
        <v>0</v>
      </c>
      <c r="R948" s="2" t="inlineStr"/>
    </row>
    <row r="949" ht="15" customHeight="1">
      <c r="A949" t="inlineStr">
        <is>
          <t>A 51396-2024</t>
        </is>
      </c>
      <c r="B949" s="1" t="n">
        <v>45604.4190625</v>
      </c>
      <c r="C949" s="1" t="n">
        <v>45969</v>
      </c>
      <c r="D949" t="inlineStr">
        <is>
          <t>JÄMTLANDS LÄN</t>
        </is>
      </c>
      <c r="E949" t="inlineStr">
        <is>
          <t>RAGUNDA</t>
        </is>
      </c>
      <c r="G949" t="n">
        <v>0.8</v>
      </c>
      <c r="H949" t="n">
        <v>0</v>
      </c>
      <c r="I949" t="n">
        <v>0</v>
      </c>
      <c r="J949" t="n">
        <v>0</v>
      </c>
      <c r="K949" t="n">
        <v>0</v>
      </c>
      <c r="L949" t="n">
        <v>0</v>
      </c>
      <c r="M949" t="n">
        <v>0</v>
      </c>
      <c r="N949" t="n">
        <v>0</v>
      </c>
      <c r="O949" t="n">
        <v>0</v>
      </c>
      <c r="P949" t="n">
        <v>0</v>
      </c>
      <c r="Q949" t="n">
        <v>0</v>
      </c>
      <c r="R949" s="2" t="inlineStr"/>
    </row>
    <row r="950" ht="15" customHeight="1">
      <c r="A950" t="inlineStr">
        <is>
          <t>A 26640-2025</t>
        </is>
      </c>
      <c r="B950" s="1" t="n">
        <v>45810.36495370371</v>
      </c>
      <c r="C950" s="1" t="n">
        <v>45969</v>
      </c>
      <c r="D950" t="inlineStr">
        <is>
          <t>JÄMTLANDS LÄN</t>
        </is>
      </c>
      <c r="E950" t="inlineStr">
        <is>
          <t>RAGUNDA</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51491-2025</t>
        </is>
      </c>
      <c r="B951" s="1" t="n">
        <v>45950.63362268519</v>
      </c>
      <c r="C951" s="1" t="n">
        <v>45969</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6490-2022</t>
        </is>
      </c>
      <c r="B952" s="1" t="n">
        <v>44601</v>
      </c>
      <c r="C952" s="1" t="n">
        <v>45969</v>
      </c>
      <c r="D952" t="inlineStr">
        <is>
          <t>JÄMTLANDS LÄN</t>
        </is>
      </c>
      <c r="E952" t="inlineStr">
        <is>
          <t>RAGUNDA</t>
        </is>
      </c>
      <c r="G952" t="n">
        <v>3.8</v>
      </c>
      <c r="H952" t="n">
        <v>0</v>
      </c>
      <c r="I952" t="n">
        <v>0</v>
      </c>
      <c r="J952" t="n">
        <v>0</v>
      </c>
      <c r="K952" t="n">
        <v>0</v>
      </c>
      <c r="L952" t="n">
        <v>0</v>
      </c>
      <c r="M952" t="n">
        <v>0</v>
      </c>
      <c r="N952" t="n">
        <v>0</v>
      </c>
      <c r="O952" t="n">
        <v>0</v>
      </c>
      <c r="P952" t="n">
        <v>0</v>
      </c>
      <c r="Q952" t="n">
        <v>0</v>
      </c>
      <c r="R952" s="2" t="inlineStr"/>
    </row>
    <row r="953" ht="15" customHeight="1">
      <c r="A953" t="inlineStr">
        <is>
          <t>A 23287-2024</t>
        </is>
      </c>
      <c r="B953" s="1" t="n">
        <v>45453.42041666667</v>
      </c>
      <c r="C953" s="1" t="n">
        <v>45969</v>
      </c>
      <c r="D953" t="inlineStr">
        <is>
          <t>JÄMTLANDS LÄN</t>
        </is>
      </c>
      <c r="E953" t="inlineStr">
        <is>
          <t>RAGUNDA</t>
        </is>
      </c>
      <c r="G953" t="n">
        <v>3.1</v>
      </c>
      <c r="H953" t="n">
        <v>0</v>
      </c>
      <c r="I953" t="n">
        <v>0</v>
      </c>
      <c r="J953" t="n">
        <v>0</v>
      </c>
      <c r="K953" t="n">
        <v>0</v>
      </c>
      <c r="L953" t="n">
        <v>0</v>
      </c>
      <c r="M953" t="n">
        <v>0</v>
      </c>
      <c r="N953" t="n">
        <v>0</v>
      </c>
      <c r="O953" t="n">
        <v>0</v>
      </c>
      <c r="P953" t="n">
        <v>0</v>
      </c>
      <c r="Q953" t="n">
        <v>0</v>
      </c>
      <c r="R953" s="2" t="inlineStr"/>
    </row>
    <row r="954" ht="15" customHeight="1">
      <c r="A954" t="inlineStr">
        <is>
          <t>A 53762-2023</t>
        </is>
      </c>
      <c r="B954" s="1" t="n">
        <v>45230.96376157407</v>
      </c>
      <c r="C954" s="1" t="n">
        <v>45969</v>
      </c>
      <c r="D954" t="inlineStr">
        <is>
          <t>JÄMTLANDS LÄN</t>
        </is>
      </c>
      <c r="E954" t="inlineStr">
        <is>
          <t>RAGUNDA</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53740-2024</t>
        </is>
      </c>
      <c r="B955" s="1" t="n">
        <v>45615.47091435185</v>
      </c>
      <c r="C955" s="1" t="n">
        <v>45969</v>
      </c>
      <c r="D955" t="inlineStr">
        <is>
          <t>JÄMTLANDS LÄN</t>
        </is>
      </c>
      <c r="E955" t="inlineStr">
        <is>
          <t>RAGUNDA</t>
        </is>
      </c>
      <c r="G955" t="n">
        <v>2.7</v>
      </c>
      <c r="H955" t="n">
        <v>0</v>
      </c>
      <c r="I955" t="n">
        <v>0</v>
      </c>
      <c r="J955" t="n">
        <v>0</v>
      </c>
      <c r="K955" t="n">
        <v>0</v>
      </c>
      <c r="L955" t="n">
        <v>0</v>
      </c>
      <c r="M955" t="n">
        <v>0</v>
      </c>
      <c r="N955" t="n">
        <v>0</v>
      </c>
      <c r="O955" t="n">
        <v>0</v>
      </c>
      <c r="P955" t="n">
        <v>0</v>
      </c>
      <c r="Q955" t="n">
        <v>0</v>
      </c>
      <c r="R955" s="2" t="inlineStr"/>
    </row>
    <row r="956" ht="15" customHeight="1">
      <c r="A956" t="inlineStr">
        <is>
          <t>A 51034-2025</t>
        </is>
      </c>
      <c r="B956" s="1" t="n">
        <v>45947.40670138889</v>
      </c>
      <c r="C956" s="1" t="n">
        <v>45969</v>
      </c>
      <c r="D956" t="inlineStr">
        <is>
          <t>JÄMTLANDS LÄN</t>
        </is>
      </c>
      <c r="E956" t="inlineStr">
        <is>
          <t>RAGUNDA</t>
        </is>
      </c>
      <c r="F956" t="inlineStr">
        <is>
          <t>SCA</t>
        </is>
      </c>
      <c r="G956" t="n">
        <v>44.1</v>
      </c>
      <c r="H956" t="n">
        <v>0</v>
      </c>
      <c r="I956" t="n">
        <v>0</v>
      </c>
      <c r="J956" t="n">
        <v>0</v>
      </c>
      <c r="K956" t="n">
        <v>0</v>
      </c>
      <c r="L956" t="n">
        <v>0</v>
      </c>
      <c r="M956" t="n">
        <v>0</v>
      </c>
      <c r="N956" t="n">
        <v>0</v>
      </c>
      <c r="O956" t="n">
        <v>0</v>
      </c>
      <c r="P956" t="n">
        <v>0</v>
      </c>
      <c r="Q956" t="n">
        <v>0</v>
      </c>
      <c r="R956" s="2" t="inlineStr"/>
    </row>
    <row r="957" ht="15" customHeight="1">
      <c r="A957" t="inlineStr">
        <is>
          <t>A 19089-2024</t>
        </is>
      </c>
      <c r="B957" s="1" t="n">
        <v>45428.00471064815</v>
      </c>
      <c r="C957" s="1" t="n">
        <v>45969</v>
      </c>
      <c r="D957" t="inlineStr">
        <is>
          <t>JÄMTLANDS LÄN</t>
        </is>
      </c>
      <c r="E957" t="inlineStr">
        <is>
          <t>RAGUNDA</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1325-2025</t>
        </is>
      </c>
      <c r="B958" s="1" t="n">
        <v>45667.57342592593</v>
      </c>
      <c r="C958" s="1" t="n">
        <v>45969</v>
      </c>
      <c r="D958" t="inlineStr">
        <is>
          <t>JÄMTLANDS LÄN</t>
        </is>
      </c>
      <c r="E958" t="inlineStr">
        <is>
          <t>RAGUNDA</t>
        </is>
      </c>
      <c r="F958" t="inlineStr">
        <is>
          <t>SCA</t>
        </is>
      </c>
      <c r="G958" t="n">
        <v>20.2</v>
      </c>
      <c r="H958" t="n">
        <v>0</v>
      </c>
      <c r="I958" t="n">
        <v>0</v>
      </c>
      <c r="J958" t="n">
        <v>0</v>
      </c>
      <c r="K958" t="n">
        <v>0</v>
      </c>
      <c r="L958" t="n">
        <v>0</v>
      </c>
      <c r="M958" t="n">
        <v>0</v>
      </c>
      <c r="N958" t="n">
        <v>0</v>
      </c>
      <c r="O958" t="n">
        <v>0</v>
      </c>
      <c r="P958" t="n">
        <v>0</v>
      </c>
      <c r="Q958" t="n">
        <v>0</v>
      </c>
      <c r="R958" s="2" t="inlineStr"/>
    </row>
    <row r="959" ht="15" customHeight="1">
      <c r="A959" t="inlineStr">
        <is>
          <t>A 1326-2025</t>
        </is>
      </c>
      <c r="B959" s="1" t="n">
        <v>45667.57347222222</v>
      </c>
      <c r="C959" s="1" t="n">
        <v>45969</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51395-2025</t>
        </is>
      </c>
      <c r="B960" s="1" t="n">
        <v>45950.46989583333</v>
      </c>
      <c r="C960" s="1" t="n">
        <v>45969</v>
      </c>
      <c r="D960" t="inlineStr">
        <is>
          <t>JÄMTLANDS LÄN</t>
        </is>
      </c>
      <c r="E960" t="inlineStr">
        <is>
          <t>RAGUNDA</t>
        </is>
      </c>
      <c r="F960" t="inlineStr">
        <is>
          <t>SCA</t>
        </is>
      </c>
      <c r="G960" t="n">
        <v>30.7</v>
      </c>
      <c r="H960" t="n">
        <v>0</v>
      </c>
      <c r="I960" t="n">
        <v>0</v>
      </c>
      <c r="J960" t="n">
        <v>0</v>
      </c>
      <c r="K960" t="n">
        <v>0</v>
      </c>
      <c r="L960" t="n">
        <v>0</v>
      </c>
      <c r="M960" t="n">
        <v>0</v>
      </c>
      <c r="N960" t="n">
        <v>0</v>
      </c>
      <c r="O960" t="n">
        <v>0</v>
      </c>
      <c r="P960" t="n">
        <v>0</v>
      </c>
      <c r="Q960" t="n">
        <v>0</v>
      </c>
      <c r="R960" s="2" t="inlineStr"/>
    </row>
    <row r="961" ht="15" customHeight="1">
      <c r="A961" t="inlineStr">
        <is>
          <t>A 51932-2025</t>
        </is>
      </c>
      <c r="B961" s="1" t="n">
        <v>45952.51094907407</v>
      </c>
      <c r="C961" s="1" t="n">
        <v>45969</v>
      </c>
      <c r="D961" t="inlineStr">
        <is>
          <t>JÄMTLANDS LÄN</t>
        </is>
      </c>
      <c r="E961" t="inlineStr">
        <is>
          <t>RAGUNDA</t>
        </is>
      </c>
      <c r="F961" t="inlineStr">
        <is>
          <t>SCA</t>
        </is>
      </c>
      <c r="G961" t="n">
        <v>39.2</v>
      </c>
      <c r="H961" t="n">
        <v>0</v>
      </c>
      <c r="I961" t="n">
        <v>0</v>
      </c>
      <c r="J961" t="n">
        <v>0</v>
      </c>
      <c r="K961" t="n">
        <v>0</v>
      </c>
      <c r="L961" t="n">
        <v>0</v>
      </c>
      <c r="M961" t="n">
        <v>0</v>
      </c>
      <c r="N961" t="n">
        <v>0</v>
      </c>
      <c r="O961" t="n">
        <v>0</v>
      </c>
      <c r="P961" t="n">
        <v>0</v>
      </c>
      <c r="Q961" t="n">
        <v>0</v>
      </c>
      <c r="R961" s="2" t="inlineStr"/>
    </row>
    <row r="962" ht="15" customHeight="1">
      <c r="A962" t="inlineStr">
        <is>
          <t>A 51903-2025</t>
        </is>
      </c>
      <c r="B962" s="1" t="n">
        <v>45952.44857638889</v>
      </c>
      <c r="C962" s="1" t="n">
        <v>45969</v>
      </c>
      <c r="D962" t="inlineStr">
        <is>
          <t>JÄMTLANDS LÄN</t>
        </is>
      </c>
      <c r="E962" t="inlineStr">
        <is>
          <t>RAGUNDA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43330-2025</t>
        </is>
      </c>
      <c r="B963" s="1" t="n">
        <v>45910.67766203704</v>
      </c>
      <c r="C963" s="1" t="n">
        <v>45969</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51791-2025</t>
        </is>
      </c>
      <c r="B964" s="1" t="n">
        <v>45951.69833333333</v>
      </c>
      <c r="C964" s="1" t="n">
        <v>45969</v>
      </c>
      <c r="D964" t="inlineStr">
        <is>
          <t>JÄMTLANDS LÄN</t>
        </is>
      </c>
      <c r="E964" t="inlineStr">
        <is>
          <t>RAGUNDA</t>
        </is>
      </c>
      <c r="F964" t="inlineStr">
        <is>
          <t>SCA</t>
        </is>
      </c>
      <c r="G964" t="n">
        <v>43.3</v>
      </c>
      <c r="H964" t="n">
        <v>0</v>
      </c>
      <c r="I964" t="n">
        <v>0</v>
      </c>
      <c r="J964" t="n">
        <v>0</v>
      </c>
      <c r="K964" t="n">
        <v>0</v>
      </c>
      <c r="L964" t="n">
        <v>0</v>
      </c>
      <c r="M964" t="n">
        <v>0</v>
      </c>
      <c r="N964" t="n">
        <v>0</v>
      </c>
      <c r="O964" t="n">
        <v>0</v>
      </c>
      <c r="P964" t="n">
        <v>0</v>
      </c>
      <c r="Q964" t="n">
        <v>0</v>
      </c>
      <c r="R964" s="2" t="inlineStr"/>
    </row>
    <row r="965" ht="15" customHeight="1">
      <c r="A965" t="inlineStr">
        <is>
          <t>A 51906-2025</t>
        </is>
      </c>
      <c r="B965" s="1" t="n">
        <v>45952.4615162037</v>
      </c>
      <c r="C965" s="1" t="n">
        <v>45969</v>
      </c>
      <c r="D965" t="inlineStr">
        <is>
          <t>JÄMTLANDS LÄN</t>
        </is>
      </c>
      <c r="E965" t="inlineStr">
        <is>
          <t>RAGUNDA</t>
        </is>
      </c>
      <c r="G965" t="n">
        <v>4.5</v>
      </c>
      <c r="H965" t="n">
        <v>0</v>
      </c>
      <c r="I965" t="n">
        <v>0</v>
      </c>
      <c r="J965" t="n">
        <v>0</v>
      </c>
      <c r="K965" t="n">
        <v>0</v>
      </c>
      <c r="L965" t="n">
        <v>0</v>
      </c>
      <c r="M965" t="n">
        <v>0</v>
      </c>
      <c r="N965" t="n">
        <v>0</v>
      </c>
      <c r="O965" t="n">
        <v>0</v>
      </c>
      <c r="P965" t="n">
        <v>0</v>
      </c>
      <c r="Q965" t="n">
        <v>0</v>
      </c>
      <c r="R965" s="2" t="inlineStr"/>
    </row>
    <row r="966" ht="15" customHeight="1">
      <c r="A966" t="inlineStr">
        <is>
          <t>A 51593-2025</t>
        </is>
      </c>
      <c r="B966" s="1" t="n">
        <v>45951.36548611111</v>
      </c>
      <c r="C966" s="1" t="n">
        <v>45969</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14696-2022</t>
        </is>
      </c>
      <c r="B967" s="1" t="n">
        <v>44655</v>
      </c>
      <c r="C967" s="1" t="n">
        <v>45969</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51882-2025</t>
        </is>
      </c>
      <c r="B968" s="1" t="n">
        <v>45952.40685185185</v>
      </c>
      <c r="C968" s="1" t="n">
        <v>45969</v>
      </c>
      <c r="D968" t="inlineStr">
        <is>
          <t>JÄMTLANDS LÄN</t>
        </is>
      </c>
      <c r="E968" t="inlineStr">
        <is>
          <t>RAGUNDA</t>
        </is>
      </c>
      <c r="F968" t="inlineStr">
        <is>
          <t>SCA</t>
        </is>
      </c>
      <c r="G968" t="n">
        <v>11.9</v>
      </c>
      <c r="H968" t="n">
        <v>0</v>
      </c>
      <c r="I968" t="n">
        <v>0</v>
      </c>
      <c r="J968" t="n">
        <v>0</v>
      </c>
      <c r="K968" t="n">
        <v>0</v>
      </c>
      <c r="L968" t="n">
        <v>0</v>
      </c>
      <c r="M968" t="n">
        <v>0</v>
      </c>
      <c r="N968" t="n">
        <v>0</v>
      </c>
      <c r="O968" t="n">
        <v>0</v>
      </c>
      <c r="P968" t="n">
        <v>0</v>
      </c>
      <c r="Q968" t="n">
        <v>0</v>
      </c>
      <c r="R968" s="2" t="inlineStr"/>
    </row>
    <row r="969" ht="15" customHeight="1">
      <c r="A969" t="inlineStr">
        <is>
          <t>A 52093-2025</t>
        </is>
      </c>
      <c r="B969" s="1" t="n">
        <v>45952.67865740741</v>
      </c>
      <c r="C969" s="1" t="n">
        <v>45969</v>
      </c>
      <c r="D969" t="inlineStr">
        <is>
          <t>JÄMTLANDS LÄN</t>
        </is>
      </c>
      <c r="E969" t="inlineStr">
        <is>
          <t>RAGUNDA</t>
        </is>
      </c>
      <c r="F969" t="inlineStr">
        <is>
          <t>SCA</t>
        </is>
      </c>
      <c r="G969" t="n">
        <v>22.7</v>
      </c>
      <c r="H969" t="n">
        <v>0</v>
      </c>
      <c r="I969" t="n">
        <v>0</v>
      </c>
      <c r="J969" t="n">
        <v>0</v>
      </c>
      <c r="K969" t="n">
        <v>0</v>
      </c>
      <c r="L969" t="n">
        <v>0</v>
      </c>
      <c r="M969" t="n">
        <v>0</v>
      </c>
      <c r="N969" t="n">
        <v>0</v>
      </c>
      <c r="O969" t="n">
        <v>0</v>
      </c>
      <c r="P969" t="n">
        <v>0</v>
      </c>
      <c r="Q969" t="n">
        <v>0</v>
      </c>
      <c r="R969" s="2" t="inlineStr"/>
    </row>
    <row r="970" ht="15" customHeight="1">
      <c r="A970" t="inlineStr">
        <is>
          <t>A 52122-2025</t>
        </is>
      </c>
      <c r="B970" s="1" t="n">
        <v>45952.71946759259</v>
      </c>
      <c r="C970" s="1" t="n">
        <v>45969</v>
      </c>
      <c r="D970" t="inlineStr">
        <is>
          <t>JÄMTLANDS LÄN</t>
        </is>
      </c>
      <c r="E970" t="inlineStr">
        <is>
          <t>RAGUNDA</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45952-2023</t>
        </is>
      </c>
      <c r="B971" s="1" t="n">
        <v>45195</v>
      </c>
      <c r="C971" s="1" t="n">
        <v>45969</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45954-2023</t>
        </is>
      </c>
      <c r="B972" s="1" t="n">
        <v>45195.94679398148</v>
      </c>
      <c r="C972" s="1" t="n">
        <v>45969</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45955-2023</t>
        </is>
      </c>
      <c r="B973" s="1" t="n">
        <v>45195.94685185186</v>
      </c>
      <c r="C973" s="1" t="n">
        <v>45969</v>
      </c>
      <c r="D973" t="inlineStr">
        <is>
          <t>JÄMTLANDS LÄN</t>
        </is>
      </c>
      <c r="E973" t="inlineStr">
        <is>
          <t>RAGUNDA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43181-2025</t>
        </is>
      </c>
      <c r="B974" s="1" t="n">
        <v>45910.40721064815</v>
      </c>
      <c r="C974" s="1" t="n">
        <v>45969</v>
      </c>
      <c r="D974" t="inlineStr">
        <is>
          <t>JÄMTLANDS LÄN</t>
        </is>
      </c>
      <c r="E974" t="inlineStr">
        <is>
          <t>RAGUNDA</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51678-2025</t>
        </is>
      </c>
      <c r="B975" s="1" t="n">
        <v>45951.51106481482</v>
      </c>
      <c r="C975" s="1" t="n">
        <v>45969</v>
      </c>
      <c r="D975" t="inlineStr">
        <is>
          <t>JÄMTLANDS LÄN</t>
        </is>
      </c>
      <c r="E975" t="inlineStr">
        <is>
          <t>RAGUNDA</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8787-2022</t>
        </is>
      </c>
      <c r="B976" s="1" t="n">
        <v>44614</v>
      </c>
      <c r="C976" s="1" t="n">
        <v>45969</v>
      </c>
      <c r="D976" t="inlineStr">
        <is>
          <t>JÄMTLANDS LÄN</t>
        </is>
      </c>
      <c r="E976" t="inlineStr">
        <is>
          <t>RAGUNDA</t>
        </is>
      </c>
      <c r="G976" t="n">
        <v>6.4</v>
      </c>
      <c r="H976" t="n">
        <v>0</v>
      </c>
      <c r="I976" t="n">
        <v>0</v>
      </c>
      <c r="J976" t="n">
        <v>0</v>
      </c>
      <c r="K976" t="n">
        <v>0</v>
      </c>
      <c r="L976" t="n">
        <v>0</v>
      </c>
      <c r="M976" t="n">
        <v>0</v>
      </c>
      <c r="N976" t="n">
        <v>0</v>
      </c>
      <c r="O976" t="n">
        <v>0</v>
      </c>
      <c r="P976" t="n">
        <v>0</v>
      </c>
      <c r="Q976" t="n">
        <v>0</v>
      </c>
      <c r="R976" s="2" t="inlineStr"/>
    </row>
    <row r="977" ht="15" customHeight="1">
      <c r="A977" t="inlineStr">
        <is>
          <t>A 5308-2025</t>
        </is>
      </c>
      <c r="B977" s="1" t="n">
        <v>45692.49008101852</v>
      </c>
      <c r="C977" s="1" t="n">
        <v>45969</v>
      </c>
      <c r="D977" t="inlineStr">
        <is>
          <t>JÄMTLANDS LÄN</t>
        </is>
      </c>
      <c r="E977" t="inlineStr">
        <is>
          <t>RAGUNDA</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43177-2025</t>
        </is>
      </c>
      <c r="B978" s="1" t="n">
        <v>45910.40667824074</v>
      </c>
      <c r="C978" s="1" t="n">
        <v>45969</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45253-2023</t>
        </is>
      </c>
      <c r="B979" s="1" t="n">
        <v>45187</v>
      </c>
      <c r="C979" s="1" t="n">
        <v>45969</v>
      </c>
      <c r="D979" t="inlineStr">
        <is>
          <t>JÄMTLANDS LÄN</t>
        </is>
      </c>
      <c r="E979" t="inlineStr">
        <is>
          <t>RAGUNDA</t>
        </is>
      </c>
      <c r="G979" t="n">
        <v>3.3</v>
      </c>
      <c r="H979" t="n">
        <v>0</v>
      </c>
      <c r="I979" t="n">
        <v>0</v>
      </c>
      <c r="J979" t="n">
        <v>0</v>
      </c>
      <c r="K979" t="n">
        <v>0</v>
      </c>
      <c r="L979" t="n">
        <v>0</v>
      </c>
      <c r="M979" t="n">
        <v>0</v>
      </c>
      <c r="N979" t="n">
        <v>0</v>
      </c>
      <c r="O979" t="n">
        <v>0</v>
      </c>
      <c r="P979" t="n">
        <v>0</v>
      </c>
      <c r="Q979" t="n">
        <v>0</v>
      </c>
      <c r="R979" s="2" t="inlineStr"/>
    </row>
    <row r="980" ht="15" customHeight="1">
      <c r="A980" t="inlineStr">
        <is>
          <t>A 51702-2025</t>
        </is>
      </c>
      <c r="B980" s="1" t="n">
        <v>45951.55305555555</v>
      </c>
      <c r="C980" s="1" t="n">
        <v>45969</v>
      </c>
      <c r="D980" t="inlineStr">
        <is>
          <t>JÄMTLANDS LÄN</t>
        </is>
      </c>
      <c r="E980" t="inlineStr">
        <is>
          <t>RAGUNDA</t>
        </is>
      </c>
      <c r="G980" t="n">
        <v>11.4</v>
      </c>
      <c r="H980" t="n">
        <v>0</v>
      </c>
      <c r="I980" t="n">
        <v>0</v>
      </c>
      <c r="J980" t="n">
        <v>0</v>
      </c>
      <c r="K980" t="n">
        <v>0</v>
      </c>
      <c r="L980" t="n">
        <v>0</v>
      </c>
      <c r="M980" t="n">
        <v>0</v>
      </c>
      <c r="N980" t="n">
        <v>0</v>
      </c>
      <c r="O980" t="n">
        <v>0</v>
      </c>
      <c r="P980" t="n">
        <v>0</v>
      </c>
      <c r="Q980" t="n">
        <v>0</v>
      </c>
      <c r="R980" s="2" t="inlineStr"/>
    </row>
    <row r="981" ht="15" customHeight="1">
      <c r="A981" t="inlineStr">
        <is>
          <t>A 3104-2025</t>
        </is>
      </c>
      <c r="B981" s="1" t="n">
        <v>45678.67761574074</v>
      </c>
      <c r="C981" s="1" t="n">
        <v>45969</v>
      </c>
      <c r="D981" t="inlineStr">
        <is>
          <t>JÄMTLANDS LÄN</t>
        </is>
      </c>
      <c r="E981" t="inlineStr">
        <is>
          <t>RAGUNDA</t>
        </is>
      </c>
      <c r="F981" t="inlineStr">
        <is>
          <t>SCA</t>
        </is>
      </c>
      <c r="G981" t="n">
        <v>46.2</v>
      </c>
      <c r="H981" t="n">
        <v>0</v>
      </c>
      <c r="I981" t="n">
        <v>0</v>
      </c>
      <c r="J981" t="n">
        <v>0</v>
      </c>
      <c r="K981" t="n">
        <v>0</v>
      </c>
      <c r="L981" t="n">
        <v>0</v>
      </c>
      <c r="M981" t="n">
        <v>0</v>
      </c>
      <c r="N981" t="n">
        <v>0</v>
      </c>
      <c r="O981" t="n">
        <v>0</v>
      </c>
      <c r="P981" t="n">
        <v>0</v>
      </c>
      <c r="Q981" t="n">
        <v>0</v>
      </c>
      <c r="R981" s="2" t="inlineStr"/>
    </row>
    <row r="982" ht="15" customHeight="1">
      <c r="A982" t="inlineStr">
        <is>
          <t>A 51592-2025</t>
        </is>
      </c>
      <c r="B982" s="1" t="n">
        <v>45951.36541666667</v>
      </c>
      <c r="C982" s="1" t="n">
        <v>45969</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19404-2025</t>
        </is>
      </c>
      <c r="B983" s="1" t="n">
        <v>45769.67802083334</v>
      </c>
      <c r="C983" s="1" t="n">
        <v>45969</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c r="U983">
        <f>HYPERLINK("https://klasma.github.io/Logging_2303/knärot/A 19404-2025 karta knärot.png", "A 19404-2025")</f>
        <v/>
      </c>
      <c r="V983">
        <f>HYPERLINK("https://klasma.github.io/Logging_2303/klagomål/A 19404-2025 FSC-klagomål.docx", "A 19404-2025")</f>
        <v/>
      </c>
      <c r="W983">
        <f>HYPERLINK("https://klasma.github.io/Logging_2303/klagomålsmail/A 19404-2025 FSC-klagomål mail.docx", "A 19404-2025")</f>
        <v/>
      </c>
      <c r="X983">
        <f>HYPERLINK("https://klasma.github.io/Logging_2303/tillsyn/A 19404-2025 tillsynsbegäran.docx", "A 19404-2025")</f>
        <v/>
      </c>
      <c r="Y983">
        <f>HYPERLINK("https://klasma.github.io/Logging_2303/tillsynsmail/A 19404-2025 tillsynsbegäran mail.docx", "A 19404-2025")</f>
        <v/>
      </c>
    </row>
    <row r="984" ht="15" customHeight="1">
      <c r="A984" t="inlineStr">
        <is>
          <t>A 52394-2025</t>
        </is>
      </c>
      <c r="B984" s="1" t="n">
        <v>45954.34466435185</v>
      </c>
      <c r="C984" s="1" t="n">
        <v>45969</v>
      </c>
      <c r="D984" t="inlineStr">
        <is>
          <t>JÄMTLANDS LÄN</t>
        </is>
      </c>
      <c r="E984" t="inlineStr">
        <is>
          <t>RAGUNDA</t>
        </is>
      </c>
      <c r="F984" t="inlineStr">
        <is>
          <t>SCA</t>
        </is>
      </c>
      <c r="G984" t="n">
        <v>53.8</v>
      </c>
      <c r="H984" t="n">
        <v>0</v>
      </c>
      <c r="I984" t="n">
        <v>0</v>
      </c>
      <c r="J984" t="n">
        <v>0</v>
      </c>
      <c r="K984" t="n">
        <v>0</v>
      </c>
      <c r="L984" t="n">
        <v>0</v>
      </c>
      <c r="M984" t="n">
        <v>0</v>
      </c>
      <c r="N984" t="n">
        <v>0</v>
      </c>
      <c r="O984" t="n">
        <v>0</v>
      </c>
      <c r="P984" t="n">
        <v>0</v>
      </c>
      <c r="Q984" t="n">
        <v>0</v>
      </c>
      <c r="R984" s="2" t="inlineStr"/>
    </row>
    <row r="985" ht="15" customHeight="1">
      <c r="A985" t="inlineStr">
        <is>
          <t>A 52330-2025</t>
        </is>
      </c>
      <c r="B985" s="1" t="n">
        <v>45953.67752314815</v>
      </c>
      <c r="C985" s="1" t="n">
        <v>45969</v>
      </c>
      <c r="D985" t="inlineStr">
        <is>
          <t>JÄMTLANDS LÄN</t>
        </is>
      </c>
      <c r="E985" t="inlineStr">
        <is>
          <t>RAGUNDA</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27510-2025</t>
        </is>
      </c>
      <c r="B986" s="1" t="n">
        <v>45813.42790509259</v>
      </c>
      <c r="C986" s="1" t="n">
        <v>45969</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52317-2025</t>
        </is>
      </c>
      <c r="B987" s="1" t="n">
        <v>45953.65675925926</v>
      </c>
      <c r="C987" s="1" t="n">
        <v>45969</v>
      </c>
      <c r="D987" t="inlineStr">
        <is>
          <t>JÄMTLANDS LÄN</t>
        </is>
      </c>
      <c r="E987" t="inlineStr">
        <is>
          <t>RAGUNDA</t>
        </is>
      </c>
      <c r="F987" t="inlineStr">
        <is>
          <t>SCA</t>
        </is>
      </c>
      <c r="G987" t="n">
        <v>27.2</v>
      </c>
      <c r="H987" t="n">
        <v>0</v>
      </c>
      <c r="I987" t="n">
        <v>0</v>
      </c>
      <c r="J987" t="n">
        <v>0</v>
      </c>
      <c r="K987" t="n">
        <v>0</v>
      </c>
      <c r="L987" t="n">
        <v>0</v>
      </c>
      <c r="M987" t="n">
        <v>0</v>
      </c>
      <c r="N987" t="n">
        <v>0</v>
      </c>
      <c r="O987" t="n">
        <v>0</v>
      </c>
      <c r="P987" t="n">
        <v>0</v>
      </c>
      <c r="Q987" t="n">
        <v>0</v>
      </c>
      <c r="R987" s="2" t="inlineStr"/>
    </row>
    <row r="988" ht="15" customHeight="1">
      <c r="A988" t="inlineStr">
        <is>
          <t>A 36046-2023</t>
        </is>
      </c>
      <c r="B988" s="1" t="n">
        <v>45148</v>
      </c>
      <c r="C988" s="1" t="n">
        <v>45969</v>
      </c>
      <c r="D988" t="inlineStr">
        <is>
          <t>JÄMTLANDS LÄN</t>
        </is>
      </c>
      <c r="E988" t="inlineStr">
        <is>
          <t>RAGUNDA</t>
        </is>
      </c>
      <c r="G988" t="n">
        <v>1.9</v>
      </c>
      <c r="H988" t="n">
        <v>0</v>
      </c>
      <c r="I988" t="n">
        <v>0</v>
      </c>
      <c r="J988" t="n">
        <v>0</v>
      </c>
      <c r="K988" t="n">
        <v>0</v>
      </c>
      <c r="L988" t="n">
        <v>0</v>
      </c>
      <c r="M988" t="n">
        <v>0</v>
      </c>
      <c r="N988" t="n">
        <v>0</v>
      </c>
      <c r="O988" t="n">
        <v>0</v>
      </c>
      <c r="P988" t="n">
        <v>0</v>
      </c>
      <c r="Q988" t="n">
        <v>0</v>
      </c>
      <c r="R988" s="2" t="inlineStr"/>
    </row>
    <row r="989" ht="15" customHeight="1">
      <c r="A989" t="inlineStr">
        <is>
          <t>A 18193-2022</t>
        </is>
      </c>
      <c r="B989" s="1" t="n">
        <v>44684.94032407407</v>
      </c>
      <c r="C989" s="1" t="n">
        <v>45969</v>
      </c>
      <c r="D989" t="inlineStr">
        <is>
          <t>JÄMTLANDS LÄN</t>
        </is>
      </c>
      <c r="E989" t="inlineStr">
        <is>
          <t>RAGUNDA</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34323-2023</t>
        </is>
      </c>
      <c r="B990" s="1" t="n">
        <v>45138.94925925926</v>
      </c>
      <c r="C990" s="1" t="n">
        <v>45969</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58843-2024</t>
        </is>
      </c>
      <c r="B991" s="1" t="n">
        <v>45636.38599537037</v>
      </c>
      <c r="C991" s="1" t="n">
        <v>45969</v>
      </c>
      <c r="D991" t="inlineStr">
        <is>
          <t>JÄMTLANDS LÄN</t>
        </is>
      </c>
      <c r="E991" t="inlineStr">
        <is>
          <t>RAGUNDA</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18989-2025</t>
        </is>
      </c>
      <c r="B992" s="1" t="n">
        <v>45764</v>
      </c>
      <c r="C992" s="1" t="n">
        <v>45969</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45953-2023</t>
        </is>
      </c>
      <c r="B993" s="1" t="n">
        <v>45195.94672453704</v>
      </c>
      <c r="C993" s="1" t="n">
        <v>45969</v>
      </c>
      <c r="D993" t="inlineStr">
        <is>
          <t>JÄMTLANDS LÄN</t>
        </is>
      </c>
      <c r="E993" t="inlineStr">
        <is>
          <t>RAGUNDA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30824-2023</t>
        </is>
      </c>
      <c r="B994" s="1" t="n">
        <v>45112.94303240741</v>
      </c>
      <c r="C994" s="1" t="n">
        <v>45969</v>
      </c>
      <c r="D994" t="inlineStr">
        <is>
          <t>JÄMTLANDS LÄN</t>
        </is>
      </c>
      <c r="E994" t="inlineStr">
        <is>
          <t>RAGUNDA</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45969</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52430-2025</t>
        </is>
      </c>
      <c r="B996" s="1" t="n">
        <v>45954.38592592593</v>
      </c>
      <c r="C996" s="1" t="n">
        <v>45969</v>
      </c>
      <c r="D996" t="inlineStr">
        <is>
          <t>JÄMTLANDS LÄN</t>
        </is>
      </c>
      <c r="E996" t="inlineStr">
        <is>
          <t>RAGUNDA</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31506-2024</t>
        </is>
      </c>
      <c r="B997" s="1" t="n">
        <v>45505</v>
      </c>
      <c r="C997" s="1" t="n">
        <v>45969</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55222-2024</t>
        </is>
      </c>
      <c r="B998" s="1" t="n">
        <v>45621.57395833333</v>
      </c>
      <c r="C998" s="1" t="n">
        <v>45969</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44755-2024</t>
        </is>
      </c>
      <c r="B999" s="1" t="n">
        <v>45574.61184027778</v>
      </c>
      <c r="C999" s="1" t="n">
        <v>45969</v>
      </c>
      <c r="D999" t="inlineStr">
        <is>
          <t>JÄMTLANDS LÄN</t>
        </is>
      </c>
      <c r="E999" t="inlineStr">
        <is>
          <t>RAGUNDA</t>
        </is>
      </c>
      <c r="G999" t="n">
        <v>4.4</v>
      </c>
      <c r="H999" t="n">
        <v>0</v>
      </c>
      <c r="I999" t="n">
        <v>0</v>
      </c>
      <c r="J999" t="n">
        <v>0</v>
      </c>
      <c r="K999" t="n">
        <v>0</v>
      </c>
      <c r="L999" t="n">
        <v>0</v>
      </c>
      <c r="M999" t="n">
        <v>0</v>
      </c>
      <c r="N999" t="n">
        <v>0</v>
      </c>
      <c r="O999" t="n">
        <v>0</v>
      </c>
      <c r="P999" t="n">
        <v>0</v>
      </c>
      <c r="Q999" t="n">
        <v>0</v>
      </c>
      <c r="R999" s="2" t="inlineStr"/>
    </row>
    <row r="1000" ht="15" customHeight="1">
      <c r="A1000" t="inlineStr">
        <is>
          <t>A 44766-2024</t>
        </is>
      </c>
      <c r="B1000" s="1" t="n">
        <v>45574.62297453704</v>
      </c>
      <c r="C1000" s="1" t="n">
        <v>45969</v>
      </c>
      <c r="D1000" t="inlineStr">
        <is>
          <t>JÄMTLANDS LÄN</t>
        </is>
      </c>
      <c r="E1000" t="inlineStr">
        <is>
          <t>RAGUNDA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44778-2024</t>
        </is>
      </c>
      <c r="B1001" s="1" t="n">
        <v>45574.63355324074</v>
      </c>
      <c r="C1001" s="1" t="n">
        <v>45969</v>
      </c>
      <c r="D1001" t="inlineStr">
        <is>
          <t>JÄMTLANDS LÄN</t>
        </is>
      </c>
      <c r="E1001" t="inlineStr">
        <is>
          <t>RAGUNDA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43812-2025</t>
        </is>
      </c>
      <c r="B1002" s="1" t="n">
        <v>45912.59417824074</v>
      </c>
      <c r="C1002" s="1" t="n">
        <v>45969</v>
      </c>
      <c r="D1002" t="inlineStr">
        <is>
          <t>JÄMTLANDS LÄN</t>
        </is>
      </c>
      <c r="E1002" t="inlineStr">
        <is>
          <t>RAGUNDA</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52395-2025</t>
        </is>
      </c>
      <c r="B1003" s="1" t="n">
        <v>45954.34487268519</v>
      </c>
      <c r="C1003" s="1" t="n">
        <v>45969</v>
      </c>
      <c r="D1003" t="inlineStr">
        <is>
          <t>JÄMTLANDS LÄN</t>
        </is>
      </c>
      <c r="E1003" t="inlineStr">
        <is>
          <t>RAGUNDA</t>
        </is>
      </c>
      <c r="F1003" t="inlineStr">
        <is>
          <t>SCA</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43776-2025</t>
        </is>
      </c>
      <c r="B1004" s="1" t="n">
        <v>45912.51086805556</v>
      </c>
      <c r="C1004" s="1" t="n">
        <v>45969</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43804-2025</t>
        </is>
      </c>
      <c r="B1005" s="1" t="n">
        <v>45912.57373842593</v>
      </c>
      <c r="C1005" s="1" t="n">
        <v>45969</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28637-2025</t>
        </is>
      </c>
      <c r="B1006" s="1" t="n">
        <v>45819.6359375</v>
      </c>
      <c r="C1006" s="1" t="n">
        <v>45969</v>
      </c>
      <c r="D1006" t="inlineStr">
        <is>
          <t>JÄMTLANDS LÄN</t>
        </is>
      </c>
      <c r="E1006" t="inlineStr">
        <is>
          <t>RAGUNDA</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8795-2022</t>
        </is>
      </c>
      <c r="B1007" s="1" t="n">
        <v>44614</v>
      </c>
      <c r="C1007" s="1" t="n">
        <v>45969</v>
      </c>
      <c r="D1007" t="inlineStr">
        <is>
          <t>JÄMTLANDS LÄN</t>
        </is>
      </c>
      <c r="E1007" t="inlineStr">
        <is>
          <t>RAGUNDA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14905-2022</t>
        </is>
      </c>
      <c r="B1008" s="1" t="n">
        <v>44656.94708333333</v>
      </c>
      <c r="C1008" s="1" t="n">
        <v>45969</v>
      </c>
      <c r="D1008" t="inlineStr">
        <is>
          <t>JÄMTLANDS LÄN</t>
        </is>
      </c>
      <c r="E1008" t="inlineStr">
        <is>
          <t>RAGUNDA</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28973-2025</t>
        </is>
      </c>
      <c r="B1009" s="1" t="n">
        <v>45821.34513888889</v>
      </c>
      <c r="C1009" s="1" t="n">
        <v>45969</v>
      </c>
      <c r="D1009" t="inlineStr">
        <is>
          <t>JÄMTLANDS LÄN</t>
        </is>
      </c>
      <c r="E1009" t="inlineStr">
        <is>
          <t>RAGUNDA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6257-2025</t>
        </is>
      </c>
      <c r="B1010" s="1" t="n">
        <v>45698.59409722222</v>
      </c>
      <c r="C1010" s="1" t="n">
        <v>45969</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42508-2023</t>
        </is>
      </c>
      <c r="B1011" s="1" t="n">
        <v>45180.95907407408</v>
      </c>
      <c r="C1011" s="1" t="n">
        <v>45969</v>
      </c>
      <c r="D1011" t="inlineStr">
        <is>
          <t>JÄMTLANDS LÄN</t>
        </is>
      </c>
      <c r="E1011" t="inlineStr">
        <is>
          <t>RAGUNDA</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52875-2025</t>
        </is>
      </c>
      <c r="B1012" s="1" t="n">
        <v>45957.53211805555</v>
      </c>
      <c r="C1012" s="1" t="n">
        <v>45969</v>
      </c>
      <c r="D1012" t="inlineStr">
        <is>
          <t>JÄMTLANDS LÄN</t>
        </is>
      </c>
      <c r="E1012" t="inlineStr">
        <is>
          <t>RAGUNDA</t>
        </is>
      </c>
      <c r="F1012" t="inlineStr">
        <is>
          <t>SCA</t>
        </is>
      </c>
      <c r="G1012" t="n">
        <v>34.3</v>
      </c>
      <c r="H1012" t="n">
        <v>0</v>
      </c>
      <c r="I1012" t="n">
        <v>0</v>
      </c>
      <c r="J1012" t="n">
        <v>0</v>
      </c>
      <c r="K1012" t="n">
        <v>0</v>
      </c>
      <c r="L1012" t="n">
        <v>0</v>
      </c>
      <c r="M1012" t="n">
        <v>0</v>
      </c>
      <c r="N1012" t="n">
        <v>0</v>
      </c>
      <c r="O1012" t="n">
        <v>0</v>
      </c>
      <c r="P1012" t="n">
        <v>0</v>
      </c>
      <c r="Q1012" t="n">
        <v>0</v>
      </c>
      <c r="R1012" s="2" t="inlineStr"/>
    </row>
    <row r="1013" ht="15" customHeight="1">
      <c r="A1013" t="inlineStr">
        <is>
          <t>A 29723-2025</t>
        </is>
      </c>
      <c r="B1013" s="1" t="n">
        <v>45825.57675925926</v>
      </c>
      <c r="C1013" s="1" t="n">
        <v>45969</v>
      </c>
      <c r="D1013" t="inlineStr">
        <is>
          <t>JÄMTLANDS LÄN</t>
        </is>
      </c>
      <c r="E1013" t="inlineStr">
        <is>
          <t>RAGUNDA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29731-2025</t>
        </is>
      </c>
      <c r="B1014" s="1" t="n">
        <v>45825.58252314815</v>
      </c>
      <c r="C1014" s="1" t="n">
        <v>45969</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53211-2025</t>
        </is>
      </c>
      <c r="B1015" s="1" t="n">
        <v>45958.59490740741</v>
      </c>
      <c r="C1015" s="1" t="n">
        <v>45969</v>
      </c>
      <c r="D1015" t="inlineStr">
        <is>
          <t>JÄMTLANDS LÄN</t>
        </is>
      </c>
      <c r="E1015" t="inlineStr">
        <is>
          <t>RAGUNDA</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59286-2023</t>
        </is>
      </c>
      <c r="B1016" s="1" t="n">
        <v>45253</v>
      </c>
      <c r="C1016" s="1" t="n">
        <v>45969</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7284-2025</t>
        </is>
      </c>
      <c r="B1017" s="1" t="n">
        <v>45702.63604166666</v>
      </c>
      <c r="C1017" s="1" t="n">
        <v>45969</v>
      </c>
      <c r="D1017" t="inlineStr">
        <is>
          <t>JÄMTLANDS LÄN</t>
        </is>
      </c>
      <c r="E1017" t="inlineStr">
        <is>
          <t>RAGUNDA</t>
        </is>
      </c>
      <c r="F1017" t="inlineStr">
        <is>
          <t>SCA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30088-2025</t>
        </is>
      </c>
      <c r="B1018" s="1" t="n">
        <v>45826.65759259259</v>
      </c>
      <c r="C1018" s="1" t="n">
        <v>45969</v>
      </c>
      <c r="D1018" t="inlineStr">
        <is>
          <t>JÄMTLANDS LÄN</t>
        </is>
      </c>
      <c r="E1018" t="inlineStr">
        <is>
          <t>RAGUNDA</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43971-2025</t>
        </is>
      </c>
      <c r="B1019" s="1" t="n">
        <v>45915.40694444445</v>
      </c>
      <c r="C1019" s="1" t="n">
        <v>45969</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31463-2024</t>
        </is>
      </c>
      <c r="B1020" s="1" t="n">
        <v>45505</v>
      </c>
      <c r="C1020" s="1" t="n">
        <v>45969</v>
      </c>
      <c r="D1020" t="inlineStr">
        <is>
          <t>JÄMTLANDS LÄN</t>
        </is>
      </c>
      <c r="E1020" t="inlineStr">
        <is>
          <t>RAGUNDA</t>
        </is>
      </c>
      <c r="F1020" t="inlineStr">
        <is>
          <t>SCA</t>
        </is>
      </c>
      <c r="G1020" t="n">
        <v>20.3</v>
      </c>
      <c r="H1020" t="n">
        <v>0</v>
      </c>
      <c r="I1020" t="n">
        <v>0</v>
      </c>
      <c r="J1020" t="n">
        <v>0</v>
      </c>
      <c r="K1020" t="n">
        <v>0</v>
      </c>
      <c r="L1020" t="n">
        <v>0</v>
      </c>
      <c r="M1020" t="n">
        <v>0</v>
      </c>
      <c r="N1020" t="n">
        <v>0</v>
      </c>
      <c r="O1020" t="n">
        <v>0</v>
      </c>
      <c r="P1020" t="n">
        <v>0</v>
      </c>
      <c r="Q1020" t="n">
        <v>0</v>
      </c>
      <c r="R1020" s="2" t="inlineStr"/>
    </row>
    <row r="1021" ht="15" customHeight="1">
      <c r="A1021" t="inlineStr">
        <is>
          <t>A 60012-2023</t>
        </is>
      </c>
      <c r="B1021" s="1" t="n">
        <v>45257</v>
      </c>
      <c r="C1021" s="1" t="n">
        <v>45969</v>
      </c>
      <c r="D1021" t="inlineStr">
        <is>
          <t>JÄMTLANDS LÄN</t>
        </is>
      </c>
      <c r="E1021" t="inlineStr">
        <is>
          <t>RAGUNDA</t>
        </is>
      </c>
      <c r="F1021" t="inlineStr">
        <is>
          <t>SCA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30348-2025</t>
        </is>
      </c>
      <c r="B1022" s="1" t="n">
        <v>45827.53178240741</v>
      </c>
      <c r="C1022" s="1" t="n">
        <v>45969</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20221-2025</t>
        </is>
      </c>
      <c r="B1023" s="1" t="n">
        <v>45772.6565625</v>
      </c>
      <c r="C1023" s="1" t="n">
        <v>45969</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30434-2025</t>
        </is>
      </c>
      <c r="B1024" s="1" t="n">
        <v>45827.63582175926</v>
      </c>
      <c r="C1024" s="1" t="n">
        <v>45969</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35265-2023</t>
        </is>
      </c>
      <c r="B1025" s="1" t="n">
        <v>45145.95326388889</v>
      </c>
      <c r="C1025" s="1" t="n">
        <v>45969</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31435-2022</t>
        </is>
      </c>
      <c r="B1026" s="1" t="n">
        <v>44774</v>
      </c>
      <c r="C1026" s="1" t="n">
        <v>45969</v>
      </c>
      <c r="D1026" t="inlineStr">
        <is>
          <t>JÄMTLANDS LÄN</t>
        </is>
      </c>
      <c r="E1026" t="inlineStr">
        <is>
          <t>RAGUNDA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50211-2023</t>
        </is>
      </c>
      <c r="B1027" s="1" t="n">
        <v>45215.94657407407</v>
      </c>
      <c r="C1027" s="1" t="n">
        <v>45969</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30883-2025</t>
        </is>
      </c>
      <c r="B1028" s="1" t="n">
        <v>45832.34552083333</v>
      </c>
      <c r="C1028" s="1" t="n">
        <v>45969</v>
      </c>
      <c r="D1028" t="inlineStr">
        <is>
          <t>JÄMTLANDS LÄN</t>
        </is>
      </c>
      <c r="E1028" t="inlineStr">
        <is>
          <t>RAGUNDA</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16529-2022</t>
        </is>
      </c>
      <c r="B1029" s="1" t="n">
        <v>44671</v>
      </c>
      <c r="C1029" s="1" t="n">
        <v>45969</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30880-2025</t>
        </is>
      </c>
      <c r="B1030" s="1" t="n">
        <v>45832.34524305556</v>
      </c>
      <c r="C1030" s="1" t="n">
        <v>45969</v>
      </c>
      <c r="D1030" t="inlineStr">
        <is>
          <t>JÄMTLANDS LÄN</t>
        </is>
      </c>
      <c r="E1030" t="inlineStr">
        <is>
          <t>RAGUNDA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40269-2022</t>
        </is>
      </c>
      <c r="B1031" s="1" t="n">
        <v>44820</v>
      </c>
      <c r="C1031" s="1" t="n">
        <v>45969</v>
      </c>
      <c r="D1031" t="inlineStr">
        <is>
          <t>JÄMTLANDS LÄN</t>
        </is>
      </c>
      <c r="E1031" t="inlineStr">
        <is>
          <t>RAGUNDA</t>
        </is>
      </c>
      <c r="F1031" t="inlineStr">
        <is>
          <t>SCA</t>
        </is>
      </c>
      <c r="G1031" t="n">
        <v>77.8</v>
      </c>
      <c r="H1031" t="n">
        <v>0</v>
      </c>
      <c r="I1031" t="n">
        <v>0</v>
      </c>
      <c r="J1031" t="n">
        <v>0</v>
      </c>
      <c r="K1031" t="n">
        <v>0</v>
      </c>
      <c r="L1031" t="n">
        <v>0</v>
      </c>
      <c r="M1031" t="n">
        <v>0</v>
      </c>
      <c r="N1031" t="n">
        <v>0</v>
      </c>
      <c r="O1031" t="n">
        <v>0</v>
      </c>
      <c r="P1031" t="n">
        <v>0</v>
      </c>
      <c r="Q1031" t="n">
        <v>0</v>
      </c>
      <c r="R1031" s="2" t="inlineStr"/>
    </row>
    <row r="1032" ht="15" customHeight="1">
      <c r="A1032" t="inlineStr">
        <is>
          <t>A 30887-2025</t>
        </is>
      </c>
      <c r="B1032" s="1" t="n">
        <v>45832.3459375</v>
      </c>
      <c r="C1032" s="1" t="n">
        <v>45969</v>
      </c>
      <c r="D1032" t="inlineStr">
        <is>
          <t>JÄMTLANDS LÄN</t>
        </is>
      </c>
      <c r="E1032" t="inlineStr">
        <is>
          <t>RAGUNDA</t>
        </is>
      </c>
      <c r="F1032" t="inlineStr">
        <is>
          <t>SCA</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44536-2022</t>
        </is>
      </c>
      <c r="B1033" s="1" t="n">
        <v>44839</v>
      </c>
      <c r="C1033" s="1" t="n">
        <v>45969</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53075-2025</t>
        </is>
      </c>
      <c r="B1034" s="1" t="n">
        <v>45958.38584490741</v>
      </c>
      <c r="C1034" s="1" t="n">
        <v>45969</v>
      </c>
      <c r="D1034" t="inlineStr">
        <is>
          <t>JÄMTLANDS LÄN</t>
        </is>
      </c>
      <c r="E1034" t="inlineStr">
        <is>
          <t>RAGUNDA</t>
        </is>
      </c>
      <c r="F1034" t="inlineStr">
        <is>
          <t>SCA</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53032-2025</t>
        </is>
      </c>
      <c r="B1035" s="1" t="n">
        <v>45958.34462962963</v>
      </c>
      <c r="C1035" s="1" t="n">
        <v>45969</v>
      </c>
      <c r="D1035" t="inlineStr">
        <is>
          <t>JÄMTLANDS LÄN</t>
        </is>
      </c>
      <c r="E1035" t="inlineStr">
        <is>
          <t>RAGUNDA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53076-2025</t>
        </is>
      </c>
      <c r="B1036" s="1" t="n">
        <v>45958.38604166666</v>
      </c>
      <c r="C1036" s="1" t="n">
        <v>45969</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52578-2025</t>
        </is>
      </c>
      <c r="B1037" s="1" t="n">
        <v>45954.61508101852</v>
      </c>
      <c r="C1037" s="1" t="n">
        <v>45969</v>
      </c>
      <c r="D1037" t="inlineStr">
        <is>
          <t>JÄMTLANDS LÄN</t>
        </is>
      </c>
      <c r="E1037" t="inlineStr">
        <is>
          <t>RAGUNDA</t>
        </is>
      </c>
      <c r="F1037" t="inlineStr">
        <is>
          <t>SCA</t>
        </is>
      </c>
      <c r="G1037" t="n">
        <v>25.2</v>
      </c>
      <c r="H1037" t="n">
        <v>0</v>
      </c>
      <c r="I1037" t="n">
        <v>0</v>
      </c>
      <c r="J1037" t="n">
        <v>0</v>
      </c>
      <c r="K1037" t="n">
        <v>0</v>
      </c>
      <c r="L1037" t="n">
        <v>0</v>
      </c>
      <c r="M1037" t="n">
        <v>0</v>
      </c>
      <c r="N1037" t="n">
        <v>0</v>
      </c>
      <c r="O1037" t="n">
        <v>0</v>
      </c>
      <c r="P1037" t="n">
        <v>0</v>
      </c>
      <c r="Q1037" t="n">
        <v>0</v>
      </c>
      <c r="R1037" s="2" t="inlineStr"/>
    </row>
    <row r="1038" ht="15" customHeight="1">
      <c r="A1038" t="inlineStr">
        <is>
          <t>A 53109-2025</t>
        </is>
      </c>
      <c r="B1038" s="1" t="n">
        <v>45958.44135416667</v>
      </c>
      <c r="C1038" s="1" t="n">
        <v>45969</v>
      </c>
      <c r="D1038" t="inlineStr">
        <is>
          <t>JÄMTLANDS LÄN</t>
        </is>
      </c>
      <c r="E1038" t="inlineStr">
        <is>
          <t>RAGUNDA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36212-2023</t>
        </is>
      </c>
      <c r="B1039" s="1" t="n">
        <v>45149.95241898148</v>
      </c>
      <c r="C1039" s="1" t="n">
        <v>45969</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52972-2025</t>
        </is>
      </c>
      <c r="B1040" s="1" t="n">
        <v>45957.67783564814</v>
      </c>
      <c r="C1040" s="1" t="n">
        <v>45969</v>
      </c>
      <c r="D1040" t="inlineStr">
        <is>
          <t>JÄMTLANDS LÄN</t>
        </is>
      </c>
      <c r="E1040" t="inlineStr">
        <is>
          <t>RAGUNDA</t>
        </is>
      </c>
      <c r="F1040" t="inlineStr">
        <is>
          <t>SCA</t>
        </is>
      </c>
      <c r="G1040" t="n">
        <v>53.4</v>
      </c>
      <c r="H1040" t="n">
        <v>0</v>
      </c>
      <c r="I1040" t="n">
        <v>0</v>
      </c>
      <c r="J1040" t="n">
        <v>0</v>
      </c>
      <c r="K1040" t="n">
        <v>0</v>
      </c>
      <c r="L1040" t="n">
        <v>0</v>
      </c>
      <c r="M1040" t="n">
        <v>0</v>
      </c>
      <c r="N1040" t="n">
        <v>0</v>
      </c>
      <c r="O1040" t="n">
        <v>0</v>
      </c>
      <c r="P1040" t="n">
        <v>0</v>
      </c>
      <c r="Q1040" t="n">
        <v>0</v>
      </c>
      <c r="R1040" s="2" t="inlineStr"/>
    </row>
    <row r="1041" ht="15" customHeight="1">
      <c r="A1041" t="inlineStr">
        <is>
          <t>A 31882-2025</t>
        </is>
      </c>
      <c r="B1041" s="1" t="n">
        <v>45834.65662037037</v>
      </c>
      <c r="C1041" s="1" t="n">
        <v>45969</v>
      </c>
      <c r="D1041" t="inlineStr">
        <is>
          <t>JÄMTLANDS LÄN</t>
        </is>
      </c>
      <c r="E1041" t="inlineStr">
        <is>
          <t>RAGUNDA</t>
        </is>
      </c>
      <c r="F1041" t="inlineStr">
        <is>
          <t>SCA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53726-2025</t>
        </is>
      </c>
      <c r="B1042" s="1" t="n">
        <v>45960.63597222222</v>
      </c>
      <c r="C1042" s="1" t="n">
        <v>45969</v>
      </c>
      <c r="D1042" t="inlineStr">
        <is>
          <t>JÄMTLANDS LÄN</t>
        </is>
      </c>
      <c r="E1042" t="inlineStr">
        <is>
          <t>RAGUNDA</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53549-2025</t>
        </is>
      </c>
      <c r="B1043" s="1" t="n">
        <v>45960.38576388889</v>
      </c>
      <c r="C1043" s="1" t="n">
        <v>45969</v>
      </c>
      <c r="D1043" t="inlineStr">
        <is>
          <t>JÄMTLANDS LÄN</t>
        </is>
      </c>
      <c r="E1043" t="inlineStr">
        <is>
          <t>RAGUNDA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53860-2023</t>
        </is>
      </c>
      <c r="B1044" s="1" t="n">
        <v>45224</v>
      </c>
      <c r="C1044" s="1" t="n">
        <v>45969</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54599-2023</t>
        </is>
      </c>
      <c r="B1045" s="1" t="n">
        <v>45233.92591435185</v>
      </c>
      <c r="C1045" s="1" t="n">
        <v>45969</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32762-2025</t>
        </is>
      </c>
      <c r="B1046" s="1" t="n">
        <v>45838</v>
      </c>
      <c r="C1046" s="1" t="n">
        <v>45969</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10610-2024</t>
        </is>
      </c>
      <c r="B1047" s="1" t="n">
        <v>45367.04693287037</v>
      </c>
      <c r="C1047" s="1" t="n">
        <v>45969</v>
      </c>
      <c r="D1047" t="inlineStr">
        <is>
          <t>JÄMTLANDS LÄN</t>
        </is>
      </c>
      <c r="E1047" t="inlineStr">
        <is>
          <t>RAGUNDA</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8779-2025</t>
        </is>
      </c>
      <c r="B1048" s="1" t="n">
        <v>45712.61552083334</v>
      </c>
      <c r="C1048" s="1" t="n">
        <v>45969</v>
      </c>
      <c r="D1048" t="inlineStr">
        <is>
          <t>JÄMTLANDS LÄN</t>
        </is>
      </c>
      <c r="E1048" t="inlineStr">
        <is>
          <t>RAGUNDA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32306-2025</t>
        </is>
      </c>
      <c r="B1049" s="1" t="n">
        <v>45835.72046296296</v>
      </c>
      <c r="C1049" s="1" t="n">
        <v>45969</v>
      </c>
      <c r="D1049" t="inlineStr">
        <is>
          <t>JÄMTLANDS LÄN</t>
        </is>
      </c>
      <c r="E1049" t="inlineStr">
        <is>
          <t>RAGUNDA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32757-2025</t>
        </is>
      </c>
      <c r="B1050" s="1" t="n">
        <v>45838</v>
      </c>
      <c r="C1050" s="1" t="n">
        <v>45969</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20574-2025</t>
        </is>
      </c>
      <c r="B1051" s="1" t="n">
        <v>45775.67747685185</v>
      </c>
      <c r="C1051" s="1" t="n">
        <v>45969</v>
      </c>
      <c r="D1051" t="inlineStr">
        <is>
          <t>JÄMTLANDS LÄN</t>
        </is>
      </c>
      <c r="E1051" t="inlineStr">
        <is>
          <t>RAGUNDA</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32660-2025</t>
        </is>
      </c>
      <c r="B1052" s="1" t="n">
        <v>45838.67887731481</v>
      </c>
      <c r="C1052" s="1" t="n">
        <v>45969</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16676-2022</t>
        </is>
      </c>
      <c r="B1053" s="1" t="n">
        <v>44672.94018518519</v>
      </c>
      <c r="C1053" s="1" t="n">
        <v>45969</v>
      </c>
      <c r="D1053" t="inlineStr">
        <is>
          <t>JÄMTLANDS LÄN</t>
        </is>
      </c>
      <c r="E1053" t="inlineStr">
        <is>
          <t>RAGUNDA</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32527-2025</t>
        </is>
      </c>
      <c r="B1054" s="1" t="n">
        <v>45838.48996527777</v>
      </c>
      <c r="C1054" s="1" t="n">
        <v>45969</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32021-2025</t>
        </is>
      </c>
      <c r="B1055" s="1" t="n">
        <v>45835.40668981482</v>
      </c>
      <c r="C1055" s="1" t="n">
        <v>45969</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45969</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32655-2025</t>
        </is>
      </c>
      <c r="B1057" s="1" t="n">
        <v>45838.67800925926</v>
      </c>
      <c r="C1057" s="1" t="n">
        <v>45969</v>
      </c>
      <c r="D1057" t="inlineStr">
        <is>
          <t>JÄMTLANDS LÄN</t>
        </is>
      </c>
      <c r="E1057" t="inlineStr">
        <is>
          <t>RAGUNDA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53727-2025</t>
        </is>
      </c>
      <c r="B1058" s="1" t="n">
        <v>45960.63630787037</v>
      </c>
      <c r="C1058" s="1" t="n">
        <v>45969</v>
      </c>
      <c r="D1058" t="inlineStr">
        <is>
          <t>JÄMTLANDS LÄN</t>
        </is>
      </c>
      <c r="E1058" t="inlineStr">
        <is>
          <t>RAGUNDA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53748-2025</t>
        </is>
      </c>
      <c r="B1059" s="1" t="n">
        <v>45960.65673611111</v>
      </c>
      <c r="C1059" s="1" t="n">
        <v>45969</v>
      </c>
      <c r="D1059" t="inlineStr">
        <is>
          <t>JÄMTLANDS LÄN</t>
        </is>
      </c>
      <c r="E1059" t="inlineStr">
        <is>
          <t>RAGUNDA</t>
        </is>
      </c>
      <c r="F1059" t="inlineStr">
        <is>
          <t>SCA</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32151-2025</t>
        </is>
      </c>
      <c r="B1060" s="1" t="n">
        <v>45835.53166666667</v>
      </c>
      <c r="C1060" s="1" t="n">
        <v>45969</v>
      </c>
      <c r="D1060" t="inlineStr">
        <is>
          <t>JÄMTLANDS LÄN</t>
        </is>
      </c>
      <c r="E1060" t="inlineStr">
        <is>
          <t>RAGUNDA</t>
        </is>
      </c>
      <c r="F1060" t="inlineStr">
        <is>
          <t>SCA</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12976-2025</t>
        </is>
      </c>
      <c r="B1061" s="1" t="n">
        <v>45734.45268518518</v>
      </c>
      <c r="C1061" s="1" t="n">
        <v>45969</v>
      </c>
      <c r="D1061" t="inlineStr">
        <is>
          <t>JÄMTLANDS LÄN</t>
        </is>
      </c>
      <c r="E1061" t="inlineStr">
        <is>
          <t>RAGUNDA</t>
        </is>
      </c>
      <c r="G1061" t="n">
        <v>24.2</v>
      </c>
      <c r="H1061" t="n">
        <v>0</v>
      </c>
      <c r="I1061" t="n">
        <v>0</v>
      </c>
      <c r="J1061" t="n">
        <v>0</v>
      </c>
      <c r="K1061" t="n">
        <v>0</v>
      </c>
      <c r="L1061" t="n">
        <v>0</v>
      </c>
      <c r="M1061" t="n">
        <v>0</v>
      </c>
      <c r="N1061" t="n">
        <v>0</v>
      </c>
      <c r="O1061" t="n">
        <v>0</v>
      </c>
      <c r="P1061" t="n">
        <v>0</v>
      </c>
      <c r="Q1061" t="n">
        <v>0</v>
      </c>
      <c r="R1061" s="2" t="inlineStr"/>
    </row>
    <row r="1062" ht="15" customHeight="1">
      <c r="A1062" t="inlineStr">
        <is>
          <t>A 32096-2025</t>
        </is>
      </c>
      <c r="B1062" s="1" t="n">
        <v>45835.46334490741</v>
      </c>
      <c r="C1062" s="1" t="n">
        <v>45969</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56286-2023</t>
        </is>
      </c>
      <c r="B1063" s="1" t="n">
        <v>45241.95741898148</v>
      </c>
      <c r="C1063" s="1" t="n">
        <v>45969</v>
      </c>
      <c r="D1063" t="inlineStr">
        <is>
          <t>JÄMTLANDS LÄN</t>
        </is>
      </c>
      <c r="E1063" t="inlineStr">
        <is>
          <t>RAGUNDA</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56287-2023</t>
        </is>
      </c>
      <c r="B1064" s="1" t="n">
        <v>45241</v>
      </c>
      <c r="C1064" s="1" t="n">
        <v>45969</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32748-2025</t>
        </is>
      </c>
      <c r="B1065" s="1" t="n">
        <v>45839.42822916667</v>
      </c>
      <c r="C1065" s="1" t="n">
        <v>45969</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32777-2025</t>
        </is>
      </c>
      <c r="B1066" s="1" t="n">
        <v>45839.46915509259</v>
      </c>
      <c r="C1066" s="1" t="n">
        <v>45969</v>
      </c>
      <c r="D1066" t="inlineStr">
        <is>
          <t>JÄMTLANDS LÄN</t>
        </is>
      </c>
      <c r="E1066" t="inlineStr">
        <is>
          <t>RAGUNDA</t>
        </is>
      </c>
      <c r="F1066" t="inlineStr">
        <is>
          <t>SCA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59658-2023</t>
        </is>
      </c>
      <c r="B1067" s="1" t="n">
        <v>45254.96402777778</v>
      </c>
      <c r="C1067" s="1" t="n">
        <v>45969</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32430-2025</t>
        </is>
      </c>
      <c r="B1068" s="1" t="n">
        <v>45838.36532407408</v>
      </c>
      <c r="C1068" s="1" t="n">
        <v>45969</v>
      </c>
      <c r="D1068" t="inlineStr">
        <is>
          <t>JÄMTLANDS LÄN</t>
        </is>
      </c>
      <c r="E1068" t="inlineStr">
        <is>
          <t>RAGUNDA</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32796-2025</t>
        </is>
      </c>
      <c r="B1069" s="1" t="n">
        <v>45839.49082175926</v>
      </c>
      <c r="C1069" s="1" t="n">
        <v>45969</v>
      </c>
      <c r="D1069" t="inlineStr">
        <is>
          <t>JÄMTLANDS LÄN</t>
        </is>
      </c>
      <c r="E1069" t="inlineStr">
        <is>
          <t>RAGUNDA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44954-2025</t>
        </is>
      </c>
      <c r="B1070" s="1" t="n">
        <v>45918.61203703703</v>
      </c>
      <c r="C1070" s="1" t="n">
        <v>45969</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32747-2025</t>
        </is>
      </c>
      <c r="B1071" s="1" t="n">
        <v>45839.42810185185</v>
      </c>
      <c r="C1071" s="1" t="n">
        <v>45969</v>
      </c>
      <c r="D1071" t="inlineStr">
        <is>
          <t>JÄMTLANDS LÄN</t>
        </is>
      </c>
      <c r="E1071" t="inlineStr">
        <is>
          <t>RAGUNDA</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28081-2022</t>
        </is>
      </c>
      <c r="B1072" s="1" t="n">
        <v>44746</v>
      </c>
      <c r="C1072" s="1" t="n">
        <v>45969</v>
      </c>
      <c r="D1072" t="inlineStr">
        <is>
          <t>JÄMTLANDS LÄN</t>
        </is>
      </c>
      <c r="E1072" t="inlineStr">
        <is>
          <t>RAGUNDA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32751-2025</t>
        </is>
      </c>
      <c r="B1073" s="1" t="n">
        <v>45839.42864583333</v>
      </c>
      <c r="C1073" s="1" t="n">
        <v>45969</v>
      </c>
      <c r="D1073" t="inlineStr">
        <is>
          <t>JÄMTLANDS LÄN</t>
        </is>
      </c>
      <c r="E1073" t="inlineStr">
        <is>
          <t>RAGUNDA</t>
        </is>
      </c>
      <c r="F1073" t="inlineStr">
        <is>
          <t>SCA</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32846-2025</t>
        </is>
      </c>
      <c r="B1074" s="1" t="n">
        <v>45839.57331018519</v>
      </c>
      <c r="C1074" s="1" t="n">
        <v>45969</v>
      </c>
      <c r="D1074" t="inlineStr">
        <is>
          <t>JÄMTLANDS LÄN</t>
        </is>
      </c>
      <c r="E1074" t="inlineStr">
        <is>
          <t>RAGUNDA</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37324-2022</t>
        </is>
      </c>
      <c r="B1075" s="1" t="n">
        <v>44806</v>
      </c>
      <c r="C1075" s="1" t="n">
        <v>45969</v>
      </c>
      <c r="D1075" t="inlineStr">
        <is>
          <t>JÄMTLANDS LÄN</t>
        </is>
      </c>
      <c r="E1075" t="inlineStr">
        <is>
          <t>RAGUNDA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33140-2025</t>
        </is>
      </c>
      <c r="B1076" s="1" t="n">
        <v>45840.52225694444</v>
      </c>
      <c r="C1076" s="1" t="n">
        <v>45969</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53765-2025</t>
        </is>
      </c>
      <c r="B1077" s="1" t="n">
        <v>45960.67753472222</v>
      </c>
      <c r="C1077" s="1" t="n">
        <v>45969</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33556-2025</t>
        </is>
      </c>
      <c r="B1078" s="1" t="n">
        <v>45841.57427083333</v>
      </c>
      <c r="C1078" s="1" t="n">
        <v>45969</v>
      </c>
      <c r="D1078" t="inlineStr">
        <is>
          <t>JÄMTLANDS LÄN</t>
        </is>
      </c>
      <c r="E1078" t="inlineStr">
        <is>
          <t>RAGUNDA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33790-2025</t>
        </is>
      </c>
      <c r="B1079" s="1" t="n">
        <v>45842.42608796297</v>
      </c>
      <c r="C1079" s="1" t="n">
        <v>45969</v>
      </c>
      <c r="D1079" t="inlineStr">
        <is>
          <t>JÄMTLANDS LÄN</t>
        </is>
      </c>
      <c r="E1079" t="inlineStr">
        <is>
          <t>RAGUNDA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62106-2023</t>
        </is>
      </c>
      <c r="B1080" s="1" t="n">
        <v>45266.95082175926</v>
      </c>
      <c r="C1080" s="1" t="n">
        <v>45969</v>
      </c>
      <c r="D1080" t="inlineStr">
        <is>
          <t>JÄMTLANDS LÄN</t>
        </is>
      </c>
      <c r="E1080" t="inlineStr">
        <is>
          <t>RAGUNDA</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4592-2024</t>
        </is>
      </c>
      <c r="B1081" s="1" t="n">
        <v>45327.94443287037</v>
      </c>
      <c r="C1081" s="1" t="n">
        <v>45969</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34296-2025</t>
        </is>
      </c>
      <c r="B1082" s="1" t="n">
        <v>45846.34454861111</v>
      </c>
      <c r="C1082" s="1" t="n">
        <v>45969</v>
      </c>
      <c r="D1082" t="inlineStr">
        <is>
          <t>JÄMTLANDS LÄN</t>
        </is>
      </c>
      <c r="E1082" t="inlineStr">
        <is>
          <t>RAGUNDA</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18984-2023</t>
        </is>
      </c>
      <c r="B1083" s="1" t="n">
        <v>45044</v>
      </c>
      <c r="C1083" s="1" t="n">
        <v>45969</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8241-2024</t>
        </is>
      </c>
      <c r="B1084" s="1" t="n">
        <v>45351.98496527778</v>
      </c>
      <c r="C1084" s="1" t="n">
        <v>45969</v>
      </c>
      <c r="D1084" t="inlineStr">
        <is>
          <t>JÄMTLANDS LÄN</t>
        </is>
      </c>
      <c r="E1084" t="inlineStr">
        <is>
          <t>RAGUNDA</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14512-2025</t>
        </is>
      </c>
      <c r="B1085" s="1" t="n">
        <v>45741.63659722222</v>
      </c>
      <c r="C1085" s="1" t="n">
        <v>45969</v>
      </c>
      <c r="D1085" t="inlineStr">
        <is>
          <t>JÄMTLANDS LÄN</t>
        </is>
      </c>
      <c r="E1085" t="inlineStr">
        <is>
          <t>RAGUNDA</t>
        </is>
      </c>
      <c r="F1085" t="inlineStr">
        <is>
          <t>SCA</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34461-2025</t>
        </is>
      </c>
      <c r="B1086" s="1" t="n">
        <v>45847.34474537037</v>
      </c>
      <c r="C1086" s="1" t="n">
        <v>45969</v>
      </c>
      <c r="D1086" t="inlineStr">
        <is>
          <t>JÄMTLANDS LÄN</t>
        </is>
      </c>
      <c r="E1086" t="inlineStr">
        <is>
          <t>RAGUNDA</t>
        </is>
      </c>
      <c r="F1086" t="inlineStr">
        <is>
          <t>SCA</t>
        </is>
      </c>
      <c r="G1086" t="n">
        <v>44.8</v>
      </c>
      <c r="H1086" t="n">
        <v>0</v>
      </c>
      <c r="I1086" t="n">
        <v>0</v>
      </c>
      <c r="J1086" t="n">
        <v>0</v>
      </c>
      <c r="K1086" t="n">
        <v>0</v>
      </c>
      <c r="L1086" t="n">
        <v>0</v>
      </c>
      <c r="M1086" t="n">
        <v>0</v>
      </c>
      <c r="N1086" t="n">
        <v>0</v>
      </c>
      <c r="O1086" t="n">
        <v>0</v>
      </c>
      <c r="P1086" t="n">
        <v>0</v>
      </c>
      <c r="Q1086" t="n">
        <v>0</v>
      </c>
      <c r="R1086" s="2" t="inlineStr"/>
    </row>
    <row r="1087" ht="15" customHeight="1">
      <c r="A1087" t="inlineStr">
        <is>
          <t>A 34464-2025</t>
        </is>
      </c>
      <c r="B1087" s="1" t="n">
        <v>45847.34528935186</v>
      </c>
      <c r="C1087" s="1" t="n">
        <v>45969</v>
      </c>
      <c r="D1087" t="inlineStr">
        <is>
          <t>JÄMTLANDS LÄN</t>
        </is>
      </c>
      <c r="E1087" t="inlineStr">
        <is>
          <t>RAGUNDA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53951-2025</t>
        </is>
      </c>
      <c r="B1088" s="1" t="n">
        <v>45961.50200231482</v>
      </c>
      <c r="C1088" s="1" t="n">
        <v>45969</v>
      </c>
      <c r="D1088" t="inlineStr">
        <is>
          <t>JÄMTLANDS LÄN</t>
        </is>
      </c>
      <c r="E1088" t="inlineStr">
        <is>
          <t>RAGUNDA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53975-2025</t>
        </is>
      </c>
      <c r="B1089" s="1" t="n">
        <v>45961.55277777778</v>
      </c>
      <c r="C1089" s="1" t="n">
        <v>45969</v>
      </c>
      <c r="D1089" t="inlineStr">
        <is>
          <t>JÄMTLANDS LÄN</t>
        </is>
      </c>
      <c r="E1089" t="inlineStr">
        <is>
          <t>RAGUNDA</t>
        </is>
      </c>
      <c r="F1089" t="inlineStr">
        <is>
          <t>SCA</t>
        </is>
      </c>
      <c r="G1089" t="n">
        <v>21.9</v>
      </c>
      <c r="H1089" t="n">
        <v>0</v>
      </c>
      <c r="I1089" t="n">
        <v>0</v>
      </c>
      <c r="J1089" t="n">
        <v>0</v>
      </c>
      <c r="K1089" t="n">
        <v>0</v>
      </c>
      <c r="L1089" t="n">
        <v>0</v>
      </c>
      <c r="M1089" t="n">
        <v>0</v>
      </c>
      <c r="N1089" t="n">
        <v>0</v>
      </c>
      <c r="O1089" t="n">
        <v>0</v>
      </c>
      <c r="P1089" t="n">
        <v>0</v>
      </c>
      <c r="Q1089" t="n">
        <v>0</v>
      </c>
      <c r="R1089" s="2" t="inlineStr"/>
    </row>
    <row r="1090" ht="15" customHeight="1">
      <c r="A1090" t="inlineStr">
        <is>
          <t>A 53019-2023</t>
        </is>
      </c>
      <c r="B1090" s="1" t="n">
        <v>45222</v>
      </c>
      <c r="C1090" s="1" t="n">
        <v>45969</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59996-2023</t>
        </is>
      </c>
      <c r="B1091" s="1" t="n">
        <v>45257.92826388889</v>
      </c>
      <c r="C1091" s="1" t="n">
        <v>45969</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1537-2024</t>
        </is>
      </c>
      <c r="B1092" s="1" t="n">
        <v>45306</v>
      </c>
      <c r="C1092" s="1" t="n">
        <v>45969</v>
      </c>
      <c r="D1092" t="inlineStr">
        <is>
          <t>JÄMTLANDS LÄN</t>
        </is>
      </c>
      <c r="E1092" t="inlineStr">
        <is>
          <t>RAGUNDA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34468-2025</t>
        </is>
      </c>
      <c r="B1093" s="1" t="n">
        <v>45847.34597222223</v>
      </c>
      <c r="C1093" s="1" t="n">
        <v>45969</v>
      </c>
      <c r="D1093" t="inlineStr">
        <is>
          <t>JÄMTLANDS LÄN</t>
        </is>
      </c>
      <c r="E1093" t="inlineStr">
        <is>
          <t>RAGUNDA</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34586-2025</t>
        </is>
      </c>
      <c r="B1094" s="1" t="n">
        <v>45847.61513888889</v>
      </c>
      <c r="C1094" s="1" t="n">
        <v>45969</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34607-2025</t>
        </is>
      </c>
      <c r="B1095" s="1" t="n">
        <v>45847.65703703704</v>
      </c>
      <c r="C1095" s="1" t="n">
        <v>45969</v>
      </c>
      <c r="D1095" t="inlineStr">
        <is>
          <t>JÄMTLANDS LÄN</t>
        </is>
      </c>
      <c r="E1095" t="inlineStr">
        <is>
          <t>RAGUNDA</t>
        </is>
      </c>
      <c r="F1095" t="inlineStr">
        <is>
          <t>SCA</t>
        </is>
      </c>
      <c r="G1095" t="n">
        <v>31.4</v>
      </c>
      <c r="H1095" t="n">
        <v>0</v>
      </c>
      <c r="I1095" t="n">
        <v>0</v>
      </c>
      <c r="J1095" t="n">
        <v>0</v>
      </c>
      <c r="K1095" t="n">
        <v>0</v>
      </c>
      <c r="L1095" t="n">
        <v>0</v>
      </c>
      <c r="M1095" t="n">
        <v>0</v>
      </c>
      <c r="N1095" t="n">
        <v>0</v>
      </c>
      <c r="O1095" t="n">
        <v>0</v>
      </c>
      <c r="P1095" t="n">
        <v>0</v>
      </c>
      <c r="Q1095" t="n">
        <v>0</v>
      </c>
      <c r="R1095" s="2" t="inlineStr"/>
    </row>
    <row r="1096" ht="15" customHeight="1">
      <c r="A1096" t="inlineStr">
        <is>
          <t>A 34772-2025</t>
        </is>
      </c>
      <c r="B1096" s="1" t="n">
        <v>45848.65658564815</v>
      </c>
      <c r="C1096" s="1" t="n">
        <v>45969</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34466-2025</t>
        </is>
      </c>
      <c r="B1097" s="1" t="n">
        <v>45847.34565972222</v>
      </c>
      <c r="C1097" s="1" t="n">
        <v>45969</v>
      </c>
      <c r="D1097" t="inlineStr">
        <is>
          <t>JÄMTLANDS LÄN</t>
        </is>
      </c>
      <c r="E1097" t="inlineStr">
        <is>
          <t>RAGUNDA</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34588-2025</t>
        </is>
      </c>
      <c r="B1098" s="1" t="n">
        <v>45847.61548611111</v>
      </c>
      <c r="C1098" s="1" t="n">
        <v>45969</v>
      </c>
      <c r="D1098" t="inlineStr">
        <is>
          <t>JÄMTLANDS LÄN</t>
        </is>
      </c>
      <c r="E1098" t="inlineStr">
        <is>
          <t>RAGUNDA</t>
        </is>
      </c>
      <c r="G1098" t="n">
        <v>32.3</v>
      </c>
      <c r="H1098" t="n">
        <v>0</v>
      </c>
      <c r="I1098" t="n">
        <v>0</v>
      </c>
      <c r="J1098" t="n">
        <v>0</v>
      </c>
      <c r="K1098" t="n">
        <v>0</v>
      </c>
      <c r="L1098" t="n">
        <v>0</v>
      </c>
      <c r="M1098" t="n">
        <v>0</v>
      </c>
      <c r="N1098" t="n">
        <v>0</v>
      </c>
      <c r="O1098" t="n">
        <v>0</v>
      </c>
      <c r="P1098" t="n">
        <v>0</v>
      </c>
      <c r="Q1098" t="n">
        <v>0</v>
      </c>
      <c r="R1098" s="2" t="inlineStr"/>
    </row>
    <row r="1099" ht="15" customHeight="1">
      <c r="A1099" t="inlineStr">
        <is>
          <t>A 34463-2025</t>
        </is>
      </c>
      <c r="B1099" s="1" t="n">
        <v>45847.34515046296</v>
      </c>
      <c r="C1099" s="1" t="n">
        <v>45969</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34710-2025</t>
        </is>
      </c>
      <c r="B1100" s="1" t="n">
        <v>45848.49774305556</v>
      </c>
      <c r="C1100" s="1" t="n">
        <v>45969</v>
      </c>
      <c r="D1100" t="inlineStr">
        <is>
          <t>JÄMTLANDS LÄN</t>
        </is>
      </c>
      <c r="E1100" t="inlineStr">
        <is>
          <t>RAGUNDA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29257-2024</t>
        </is>
      </c>
      <c r="B1101" s="1" t="n">
        <v>45482.94815972223</v>
      </c>
      <c r="C1101" s="1" t="n">
        <v>45969</v>
      </c>
      <c r="D1101" t="inlineStr">
        <is>
          <t>JÄMTLANDS LÄN</t>
        </is>
      </c>
      <c r="E1101" t="inlineStr">
        <is>
          <t>RAGUNDA</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53986-2025</t>
        </is>
      </c>
      <c r="B1102" s="1" t="n">
        <v>45961.57381944444</v>
      </c>
      <c r="C1102" s="1" t="n">
        <v>45969</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34709-2025</t>
        </is>
      </c>
      <c r="B1103" s="1" t="n">
        <v>45848.49761574074</v>
      </c>
      <c r="C1103" s="1" t="n">
        <v>45969</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53973-2025</t>
        </is>
      </c>
      <c r="B1104" s="1" t="n">
        <v>45961.55246527777</v>
      </c>
      <c r="C1104" s="1" t="n">
        <v>45969</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35092-2025</t>
        </is>
      </c>
      <c r="B1105" s="1" t="n">
        <v>45852.53185185185</v>
      </c>
      <c r="C1105" s="1" t="n">
        <v>45969</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55487-2023</t>
        </is>
      </c>
      <c r="B1106" s="1" t="n">
        <v>45238</v>
      </c>
      <c r="C1106" s="1" t="n">
        <v>45969</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34998-2025</t>
        </is>
      </c>
      <c r="B1107" s="1" t="n">
        <v>45850.34434027778</v>
      </c>
      <c r="C1107" s="1" t="n">
        <v>45969</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45279-2025</t>
        </is>
      </c>
      <c r="B1108" s="1" t="n">
        <v>45919.71912037037</v>
      </c>
      <c r="C1108" s="1" t="n">
        <v>45969</v>
      </c>
      <c r="D1108" t="inlineStr">
        <is>
          <t>JÄMTLANDS LÄN</t>
        </is>
      </c>
      <c r="E1108" t="inlineStr">
        <is>
          <t>RAGUNDA</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34968-2025</t>
        </is>
      </c>
      <c r="B1109" s="1" t="n">
        <v>45849.65663194445</v>
      </c>
      <c r="C1109" s="1" t="n">
        <v>45969</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34999-2025</t>
        </is>
      </c>
      <c r="B1110" s="1" t="n">
        <v>45850.34450231482</v>
      </c>
      <c r="C1110" s="1" t="n">
        <v>45969</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20770-2024</t>
        </is>
      </c>
      <c r="B1111" s="1" t="n">
        <v>45436.94613425926</v>
      </c>
      <c r="C1111" s="1" t="n">
        <v>45969</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35091-2025</t>
        </is>
      </c>
      <c r="B1112" s="1" t="n">
        <v>45852.53168981482</v>
      </c>
      <c r="C1112" s="1" t="n">
        <v>45969</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19383-2025</t>
        </is>
      </c>
      <c r="B1113" s="1" t="n">
        <v>45769.65688657408</v>
      </c>
      <c r="C1113" s="1" t="n">
        <v>45969</v>
      </c>
      <c r="D1113" t="inlineStr">
        <is>
          <t>JÄMTLANDS LÄN</t>
        </is>
      </c>
      <c r="E1113" t="inlineStr">
        <is>
          <t>RAGUNDA</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35355-2025</t>
        </is>
      </c>
      <c r="B1114" s="1" t="n">
        <v>45854.65663194445</v>
      </c>
      <c r="C1114" s="1" t="n">
        <v>45969</v>
      </c>
      <c r="D1114" t="inlineStr">
        <is>
          <t>JÄMTLANDS LÄN</t>
        </is>
      </c>
      <c r="E1114" t="inlineStr">
        <is>
          <t>RAGUNDA</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54195-2025</t>
        </is>
      </c>
      <c r="B1115" s="1" t="n">
        <v>45964.57413194444</v>
      </c>
      <c r="C1115" s="1" t="n">
        <v>45969</v>
      </c>
      <c r="D1115" t="inlineStr">
        <is>
          <t>JÄMTLANDS LÄN</t>
        </is>
      </c>
      <c r="E1115" t="inlineStr">
        <is>
          <t>RAGUNDA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12783-2023</t>
        </is>
      </c>
      <c r="B1116" s="1" t="n">
        <v>45000</v>
      </c>
      <c r="C1116" s="1" t="n">
        <v>45969</v>
      </c>
      <c r="D1116" t="inlineStr">
        <is>
          <t>JÄMTLANDS LÄN</t>
        </is>
      </c>
      <c r="E1116" t="inlineStr">
        <is>
          <t>RAGUNDA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35153-2024</t>
        </is>
      </c>
      <c r="B1117" s="1" t="n">
        <v>45530</v>
      </c>
      <c r="C1117" s="1" t="n">
        <v>45969</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35477-2025</t>
        </is>
      </c>
      <c r="B1118" s="1" t="n">
        <v>45855.67899305555</v>
      </c>
      <c r="C1118" s="1" t="n">
        <v>45969</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35541-2025</t>
        </is>
      </c>
      <c r="B1119" s="1" t="n">
        <v>45856.46931712963</v>
      </c>
      <c r="C1119" s="1" t="n">
        <v>45969</v>
      </c>
      <c r="D1119" t="inlineStr">
        <is>
          <t>JÄMTLANDS LÄN</t>
        </is>
      </c>
      <c r="E1119" t="inlineStr">
        <is>
          <t>RAGUNDA</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35462-2025</t>
        </is>
      </c>
      <c r="B1120" s="1" t="n">
        <v>45855.61523148148</v>
      </c>
      <c r="C1120" s="1" t="n">
        <v>45969</v>
      </c>
      <c r="D1120" t="inlineStr">
        <is>
          <t>JÄMTLANDS LÄN</t>
        </is>
      </c>
      <c r="E1120" t="inlineStr">
        <is>
          <t>RAGUNDA</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61197-2023</t>
        </is>
      </c>
      <c r="B1121" s="1" t="n">
        <v>45260</v>
      </c>
      <c r="C1121" s="1" t="n">
        <v>45969</v>
      </c>
      <c r="D1121" t="inlineStr">
        <is>
          <t>JÄMTLANDS LÄN</t>
        </is>
      </c>
      <c r="E1121" t="inlineStr">
        <is>
          <t>RAGUNDA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35689-2025</t>
        </is>
      </c>
      <c r="B1122" s="1" t="n">
        <v>45860.30229166667</v>
      </c>
      <c r="C1122" s="1" t="n">
        <v>45969</v>
      </c>
      <c r="D1122" t="inlineStr">
        <is>
          <t>JÄMTLANDS LÄN</t>
        </is>
      </c>
      <c r="E1122" t="inlineStr">
        <is>
          <t>RAGUNDA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35658-2025</t>
        </is>
      </c>
      <c r="B1123" s="1" t="n">
        <v>45859.594375</v>
      </c>
      <c r="C1123" s="1" t="n">
        <v>45969</v>
      </c>
      <c r="D1123" t="inlineStr">
        <is>
          <t>JÄMTLANDS LÄN</t>
        </is>
      </c>
      <c r="E1123" t="inlineStr">
        <is>
          <t>RAGUNDA</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53948-2025</t>
        </is>
      </c>
      <c r="B1124" s="1" t="n">
        <v>45961.50033564815</v>
      </c>
      <c r="C1124" s="1" t="n">
        <v>45969</v>
      </c>
      <c r="D1124" t="inlineStr">
        <is>
          <t>JÄMTLANDS LÄN</t>
        </is>
      </c>
      <c r="E1124" t="inlineStr">
        <is>
          <t>RAGUNDA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21401-2024</t>
        </is>
      </c>
      <c r="B1125" s="1" t="n">
        <v>45441.33313657407</v>
      </c>
      <c r="C1125" s="1" t="n">
        <v>45969</v>
      </c>
      <c r="D1125" t="inlineStr">
        <is>
          <t>JÄMTLANDS LÄN</t>
        </is>
      </c>
      <c r="E1125" t="inlineStr">
        <is>
          <t>RAGUNDA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31135-2023</t>
        </is>
      </c>
      <c r="B1126" s="1" t="n">
        <v>45103</v>
      </c>
      <c r="C1126" s="1" t="n">
        <v>45969</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13767-2022</t>
        </is>
      </c>
      <c r="B1127" s="1" t="n">
        <v>44649.47048611111</v>
      </c>
      <c r="C1127" s="1" t="n">
        <v>45969</v>
      </c>
      <c r="D1127" t="inlineStr">
        <is>
          <t>JÄMTLANDS LÄN</t>
        </is>
      </c>
      <c r="E1127" t="inlineStr">
        <is>
          <t>RAGUNDA</t>
        </is>
      </c>
      <c r="F1127" t="inlineStr">
        <is>
          <t>Kommuner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22569-2023</t>
        </is>
      </c>
      <c r="B1128" s="1" t="n">
        <v>45069</v>
      </c>
      <c r="C1128" s="1" t="n">
        <v>45969</v>
      </c>
      <c r="D1128" t="inlineStr">
        <is>
          <t>JÄMTLANDS LÄN</t>
        </is>
      </c>
      <c r="E1128" t="inlineStr">
        <is>
          <t>RAGUNDA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4212-2024</t>
        </is>
      </c>
      <c r="B1129" s="1" t="n">
        <v>45324</v>
      </c>
      <c r="C1129" s="1" t="n">
        <v>45969</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54092-2024</t>
        </is>
      </c>
      <c r="B1130" s="1" t="n">
        <v>45616.5108912037</v>
      </c>
      <c r="C1130" s="1" t="n">
        <v>45969</v>
      </c>
      <c r="D1130" t="inlineStr">
        <is>
          <t>JÄMTLANDS LÄN</t>
        </is>
      </c>
      <c r="E1130" t="inlineStr">
        <is>
          <t>RAGUNDA</t>
        </is>
      </c>
      <c r="F1130" t="inlineStr">
        <is>
          <t>Naturvårdsverket</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43405-2023</t>
        </is>
      </c>
      <c r="B1131" s="1" t="n">
        <v>45183.95563657407</v>
      </c>
      <c r="C1131" s="1" t="n">
        <v>45969</v>
      </c>
      <c r="D1131" t="inlineStr">
        <is>
          <t>JÄMTLANDS LÄN</t>
        </is>
      </c>
      <c r="E1131" t="inlineStr">
        <is>
          <t>RAGUNDA</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56984-2022</t>
        </is>
      </c>
      <c r="B1132" s="1" t="n">
        <v>44894.79018518519</v>
      </c>
      <c r="C1132" s="1" t="n">
        <v>45969</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54820-2025</t>
        </is>
      </c>
      <c r="B1133" s="1" t="n">
        <v>45966.65728009259</v>
      </c>
      <c r="C1133" s="1" t="n">
        <v>45969</v>
      </c>
      <c r="D1133" t="inlineStr">
        <is>
          <t>JÄMTLANDS LÄN</t>
        </is>
      </c>
      <c r="E1133" t="inlineStr">
        <is>
          <t>RAGUNDA</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5958-2023</t>
        </is>
      </c>
      <c r="B1134" s="1" t="n">
        <v>44963</v>
      </c>
      <c r="C1134" s="1" t="n">
        <v>45969</v>
      </c>
      <c r="D1134" t="inlineStr">
        <is>
          <t>JÄMTLANDS LÄN</t>
        </is>
      </c>
      <c r="E1134" t="inlineStr">
        <is>
          <t>RAGUNDA</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50521-2024</t>
        </is>
      </c>
      <c r="B1135" s="1" t="n">
        <v>45601.55331018518</v>
      </c>
      <c r="C1135" s="1" t="n">
        <v>45969</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36541-2025</t>
        </is>
      </c>
      <c r="B1136" s="1" t="n">
        <v>45869.65666666667</v>
      </c>
      <c r="C1136" s="1" t="n">
        <v>45969</v>
      </c>
      <c r="D1136" t="inlineStr">
        <is>
          <t>JÄMTLANDS LÄN</t>
        </is>
      </c>
      <c r="E1136" t="inlineStr">
        <is>
          <t>RAGUNDA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36544-2025</t>
        </is>
      </c>
      <c r="B1137" s="1" t="n">
        <v>45869.67744212963</v>
      </c>
      <c r="C1137" s="1" t="n">
        <v>45969</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29920-2024</t>
        </is>
      </c>
      <c r="B1138" s="1" t="n">
        <v>45487.92856481481</v>
      </c>
      <c r="C1138" s="1" t="n">
        <v>45969</v>
      </c>
      <c r="D1138" t="inlineStr">
        <is>
          <t>JÄMTLANDS LÄN</t>
        </is>
      </c>
      <c r="E1138" t="inlineStr">
        <is>
          <t>RAGUNDA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62011-2022</t>
        </is>
      </c>
      <c r="B1139" s="1" t="n">
        <v>44914</v>
      </c>
      <c r="C1139" s="1" t="n">
        <v>45969</v>
      </c>
      <c r="D1139" t="inlineStr">
        <is>
          <t>JÄMTLANDS LÄN</t>
        </is>
      </c>
      <c r="E1139" t="inlineStr">
        <is>
          <t>RAGUNDA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36553-2025</t>
        </is>
      </c>
      <c r="B1140" s="1" t="n">
        <v>45870.34439814815</v>
      </c>
      <c r="C1140" s="1" t="n">
        <v>45969</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22311-2024</t>
        </is>
      </c>
      <c r="B1141" s="1" t="n">
        <v>45446.57052083333</v>
      </c>
      <c r="C1141" s="1" t="n">
        <v>45969</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19866-2023</t>
        </is>
      </c>
      <c r="B1142" s="1" t="n">
        <v>45053.94313657407</v>
      </c>
      <c r="C1142" s="1" t="n">
        <v>45969</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53935-2022</t>
        </is>
      </c>
      <c r="B1143" s="1" t="n">
        <v>44880</v>
      </c>
      <c r="C1143" s="1" t="n">
        <v>45969</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18631-2024</t>
        </is>
      </c>
      <c r="B1144" s="1" t="n">
        <v>45425.96494212963</v>
      </c>
      <c r="C1144" s="1" t="n">
        <v>45969</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45894-2025</t>
        </is>
      </c>
      <c r="B1145" s="1" t="n">
        <v>45923.67765046296</v>
      </c>
      <c r="C1145" s="1" t="n">
        <v>45969</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36947-2025</t>
        </is>
      </c>
      <c r="B1146" s="1" t="n">
        <v>45874.59496527778</v>
      </c>
      <c r="C1146" s="1" t="n">
        <v>45969</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32075-2025</t>
        </is>
      </c>
      <c r="B1147" s="1" t="n">
        <v>45835.4506712963</v>
      </c>
      <c r="C1147" s="1" t="n">
        <v>45969</v>
      </c>
      <c r="D1147" t="inlineStr">
        <is>
          <t>JÄMTLANDS LÄN</t>
        </is>
      </c>
      <c r="E1147" t="inlineStr">
        <is>
          <t>RAGUNDA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36994-2025</t>
        </is>
      </c>
      <c r="B1148" s="1" t="n">
        <v>45874.67746527777</v>
      </c>
      <c r="C1148" s="1" t="n">
        <v>45969</v>
      </c>
      <c r="D1148" t="inlineStr">
        <is>
          <t>JÄMTLANDS LÄN</t>
        </is>
      </c>
      <c r="E1148" t="inlineStr">
        <is>
          <t>RAGUNDA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32874-2025</t>
        </is>
      </c>
      <c r="B1149" s="1" t="n">
        <v>45839</v>
      </c>
      <c r="C1149" s="1" t="n">
        <v>45969</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37008-2025</t>
        </is>
      </c>
      <c r="B1150" s="1" t="n">
        <v>45874.69844907407</v>
      </c>
      <c r="C1150" s="1" t="n">
        <v>45969</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46192-2025</t>
        </is>
      </c>
      <c r="B1151" s="1" t="n">
        <v>45924.67789351852</v>
      </c>
      <c r="C1151" s="1" t="n">
        <v>45969</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12805-2025</t>
        </is>
      </c>
      <c r="B1152" s="1" t="n">
        <v>45733.61497685185</v>
      </c>
      <c r="C1152" s="1" t="n">
        <v>45969</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37292-2025</t>
        </is>
      </c>
      <c r="B1153" s="1" t="n">
        <v>45876.53188657408</v>
      </c>
      <c r="C1153" s="1" t="n">
        <v>45969</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11062-2023</t>
        </is>
      </c>
      <c r="B1154" s="1" t="n">
        <v>44991</v>
      </c>
      <c r="C1154" s="1" t="n">
        <v>45969</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69153-2021</t>
        </is>
      </c>
      <c r="B1155" s="1" t="n">
        <v>44530.94694444445</v>
      </c>
      <c r="C1155" s="1" t="n">
        <v>45969</v>
      </c>
      <c r="D1155" t="inlineStr">
        <is>
          <t>JÄMTLANDS LÄN</t>
        </is>
      </c>
      <c r="E1155" t="inlineStr">
        <is>
          <t>RAGUNDA</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4882-2023</t>
        </is>
      </c>
      <c r="B1156" s="1" t="n">
        <v>44957.94075231482</v>
      </c>
      <c r="C1156" s="1" t="n">
        <v>45969</v>
      </c>
      <c r="D1156" t="inlineStr">
        <is>
          <t>JÄMTLANDS LÄN</t>
        </is>
      </c>
      <c r="E1156" t="inlineStr">
        <is>
          <t>RAGUNDA</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39608-2024</t>
        </is>
      </c>
      <c r="B1157" s="1" t="n">
        <v>45552.39113425926</v>
      </c>
      <c r="C1157" s="1" t="n">
        <v>45969</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18454-2021</t>
        </is>
      </c>
      <c r="B1158" s="1" t="n">
        <v>44305.92047453704</v>
      </c>
      <c r="C1158" s="1" t="n">
        <v>45969</v>
      </c>
      <c r="D1158" t="inlineStr">
        <is>
          <t>JÄMTLANDS LÄN</t>
        </is>
      </c>
      <c r="E1158" t="inlineStr">
        <is>
          <t>RAGUNDA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9504-2025</t>
        </is>
      </c>
      <c r="B1159" s="1" t="n">
        <v>45714</v>
      </c>
      <c r="C1159" s="1" t="n">
        <v>45969</v>
      </c>
      <c r="D1159" t="inlineStr">
        <is>
          <t>JÄMTLANDS LÄN</t>
        </is>
      </c>
      <c r="E1159" t="inlineStr">
        <is>
          <t>RAGUNDA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26455-2023</t>
        </is>
      </c>
      <c r="B1160" s="1" t="n">
        <v>45092</v>
      </c>
      <c r="C1160" s="1" t="n">
        <v>45969</v>
      </c>
      <c r="D1160" t="inlineStr">
        <is>
          <t>JÄMTLANDS LÄN</t>
        </is>
      </c>
      <c r="E1160" t="inlineStr">
        <is>
          <t>RAGUNDA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54396-2025</t>
        </is>
      </c>
      <c r="B1161" s="1" t="n">
        <v>45965.44849537037</v>
      </c>
      <c r="C1161" s="1" t="n">
        <v>45969</v>
      </c>
      <c r="D1161" t="inlineStr">
        <is>
          <t>JÄMTLANDS LÄN</t>
        </is>
      </c>
      <c r="E1161" t="inlineStr">
        <is>
          <t>RAGUNDA</t>
        </is>
      </c>
      <c r="F1161" t="inlineStr">
        <is>
          <t>SCA</t>
        </is>
      </c>
      <c r="G1161" t="n">
        <v>35.2</v>
      </c>
      <c r="H1161" t="n">
        <v>0</v>
      </c>
      <c r="I1161" t="n">
        <v>0</v>
      </c>
      <c r="J1161" t="n">
        <v>0</v>
      </c>
      <c r="K1161" t="n">
        <v>0</v>
      </c>
      <c r="L1161" t="n">
        <v>0</v>
      </c>
      <c r="M1161" t="n">
        <v>0</v>
      </c>
      <c r="N1161" t="n">
        <v>0</v>
      </c>
      <c r="O1161" t="n">
        <v>0</v>
      </c>
      <c r="P1161" t="n">
        <v>0</v>
      </c>
      <c r="Q1161" t="n">
        <v>0</v>
      </c>
      <c r="R1161" s="2" t="inlineStr"/>
    </row>
    <row r="1162" ht="15" customHeight="1">
      <c r="A1162" t="inlineStr">
        <is>
          <t>A 54794-2025</t>
        </is>
      </c>
      <c r="B1162" s="1" t="n">
        <v>45966.63592592593</v>
      </c>
      <c r="C1162" s="1" t="n">
        <v>45969</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6801-2023</t>
        </is>
      </c>
      <c r="B1163" s="1" t="n">
        <v>44966.95328703704</v>
      </c>
      <c r="C1163" s="1" t="n">
        <v>45969</v>
      </c>
      <c r="D1163" t="inlineStr">
        <is>
          <t>JÄMTLANDS LÄN</t>
        </is>
      </c>
      <c r="E1163" t="inlineStr">
        <is>
          <t>RAGUNDA</t>
        </is>
      </c>
      <c r="F1163" t="inlineStr">
        <is>
          <t>SCA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5967-2021</t>
        </is>
      </c>
      <c r="B1164" s="1" t="n">
        <v>44231</v>
      </c>
      <c r="C1164" s="1" t="n">
        <v>45969</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46689-2025</t>
        </is>
      </c>
      <c r="B1165" s="1" t="n">
        <v>45926.55307870371</v>
      </c>
      <c r="C1165" s="1" t="n">
        <v>45969</v>
      </c>
      <c r="D1165" t="inlineStr">
        <is>
          <t>JÄMTLANDS LÄN</t>
        </is>
      </c>
      <c r="E1165" t="inlineStr">
        <is>
          <t>RAGUNDA</t>
        </is>
      </c>
      <c r="F1165" t="inlineStr">
        <is>
          <t>SCA</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10641-2024</t>
        </is>
      </c>
      <c r="B1166" s="1" t="n">
        <v>45367.69850694444</v>
      </c>
      <c r="C1166" s="1" t="n">
        <v>45969</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10644-2024</t>
        </is>
      </c>
      <c r="B1167" s="1" t="n">
        <v>45367.71348379629</v>
      </c>
      <c r="C1167" s="1" t="n">
        <v>45969</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46275-2025</t>
        </is>
      </c>
      <c r="B1168" s="1" t="n">
        <v>45925.3711574074</v>
      </c>
      <c r="C1168" s="1" t="n">
        <v>45969</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46710-2025</t>
        </is>
      </c>
      <c r="B1169" s="1" t="n">
        <v>45926.57337962963</v>
      </c>
      <c r="C1169" s="1" t="n">
        <v>45969</v>
      </c>
      <c r="D1169" t="inlineStr">
        <is>
          <t>JÄMTLANDS LÄN</t>
        </is>
      </c>
      <c r="E1169" t="inlineStr">
        <is>
          <t>RAGUNDA</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46751-2025</t>
        </is>
      </c>
      <c r="B1170" s="1" t="n">
        <v>45926.6153125</v>
      </c>
      <c r="C1170" s="1" t="n">
        <v>45969</v>
      </c>
      <c r="D1170" t="inlineStr">
        <is>
          <t>JÄMTLANDS LÄN</t>
        </is>
      </c>
      <c r="E1170" t="inlineStr">
        <is>
          <t>RAGUNDA</t>
        </is>
      </c>
      <c r="F1170" t="inlineStr">
        <is>
          <t>SCA</t>
        </is>
      </c>
      <c r="G1170" t="n">
        <v>7.8</v>
      </c>
      <c r="H1170" t="n">
        <v>0</v>
      </c>
      <c r="I1170" t="n">
        <v>0</v>
      </c>
      <c r="J1170" t="n">
        <v>0</v>
      </c>
      <c r="K1170" t="n">
        <v>0</v>
      </c>
      <c r="L1170" t="n">
        <v>0</v>
      </c>
      <c r="M1170" t="n">
        <v>0</v>
      </c>
      <c r="N1170" t="n">
        <v>0</v>
      </c>
      <c r="O1170" t="n">
        <v>0</v>
      </c>
      <c r="P1170" t="n">
        <v>0</v>
      </c>
      <c r="Q1170" t="n">
        <v>0</v>
      </c>
      <c r="R1170" s="2" t="inlineStr"/>
    </row>
    <row r="1171">
      <c r="A1171" t="inlineStr">
        <is>
          <t>A 46753-2025</t>
        </is>
      </c>
      <c r="B1171" s="1" t="n">
        <v>45926.61552083334</v>
      </c>
      <c r="C1171" s="1" t="n">
        <v>45969</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2025-11-08T10:05:45Z</dcterms:created>
  <dcterms:modified xmlns:dcterms="http://purl.org/dc/terms/" xmlns:xsi="http://www.w3.org/2001/XMLSchema-instance" xsi:type="dcterms:W3CDTF">2025-11-08T10:05:46Z</dcterms:modified>
</cp:coreProperties>
</file>