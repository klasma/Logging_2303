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2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41411-2024</t>
        </is>
      </c>
      <c r="B2" t="inlineStr">
        <is>
          <t>avverkningsanmälan</t>
        </is>
      </c>
      <c r="C2" t="inlineStr">
        <is>
          <t>Föryngringsavverkning</t>
        </is>
      </c>
      <c r="D2" s="1" t="n">
        <v>45560</v>
      </c>
      <c r="E2" s="1" t="n">
        <v>46319</v>
      </c>
      <c r="F2" t="inlineStr">
        <is>
          <t>JÄMTLANDS LÄN</t>
        </is>
      </c>
      <c r="G2" t="inlineStr">
        <is>
          <t>RAGUNDA</t>
        </is>
      </c>
      <c r="H2" t="inlineStr">
        <is>
          <t>SCA</t>
        </is>
      </c>
      <c r="I2" t="n">
        <v>9.800000000000001</v>
      </c>
      <c r="J2" t="n">
        <v>8</v>
      </c>
      <c r="K2" t="n">
        <v>8</v>
      </c>
      <c r="L2" t="n">
        <v>19</v>
      </c>
      <c r="M2" t="n">
        <v>7</v>
      </c>
      <c r="N2" t="n">
        <v>0</v>
      </c>
      <c r="O2" t="n">
        <v>0</v>
      </c>
      <c r="P2" t="n">
        <v>0</v>
      </c>
      <c r="Q2" t="n">
        <v>26</v>
      </c>
      <c r="R2" t="n">
        <v>7</v>
      </c>
      <c r="S2" t="n">
        <v>40</v>
      </c>
      <c r="T2" t="n">
        <v>128</v>
      </c>
      <c r="U2" t="n">
        <v>105</v>
      </c>
      <c r="V2" s="2" t="inlineStr">
        <is>
          <t>Doftticka
Fläckporing
Garnlav
Gräddporing
Knärot
Smalfotad taggsvamp
Tajgataggsvamp
Doftskinn
Dropptaggsvamp
Dvärgbägarlav
Gammelgransskål
Gultoppig fingersvamp
Kortskaftad ärgspik
Lunglav
Mörk kolflarnlav
Nordtagging
Orange taggsvamp
Phellodon aquiloniniger
Skarp dropptaggsvamp
Skrovellav
Sotvaxskivling
Vaddporing
Vedskivlav
Vedtrappmossa
Vitplätt
Äggvaxskivling
Bårdlav
Grönpyrola
Korallblylav
Mörk husmossa
Plattlummer
Skinnlav
Spindelblomster
Stuplav
Blåsippa
Ekbräken
Liljekonvalj
Tjäder
Tofsmes
Nattviol</t>
        </is>
      </c>
      <c r="W2">
        <f>HYPERLINK("https://klasma.github.io/Logging_2303/artfynd/A 41411-2024 artfynd.xlsx", "A 41411-2024")</f>
        <v/>
      </c>
      <c r="X2">
        <f>HYPERLINK("https://klasma.github.io/Logging_2303/kartor/A 41411-2024 karta.png", "A 41411-2024")</f>
        <v/>
      </c>
      <c r="Y2">
        <f>HYPERLINK("https://klasma.github.io/Logging_2303/kartor_geotiff/A 41411-2024 georefererad karta.tif", "A 41411-2024")</f>
        <v/>
      </c>
      <c r="Z2">
        <f>HYPERLINK("https://klasma.github.io/Logging_2303/knärot/A 41411-2024 karta knärot.png", "A 41411-2024")</f>
        <v/>
      </c>
      <c r="AA2">
        <f>HYPERLINK("https://klasma.github.io/Logging_2303/klagomål/A 41411-2024 FSC-klagomål.docx", "A 41411-2024")</f>
        <v/>
      </c>
      <c r="AB2">
        <f>HYPERLINK("https://klasma.github.io/Logging_2303/klagomålsmail/A 41411-2024 FSC-klagomål mail.docx", "A 41411-2024")</f>
        <v/>
      </c>
      <c r="AC2">
        <f>HYPERLINK("https://klasma.github.io/Logging_2303/tillsyn/A 41411-2024 tillsynsbegäran.docx", "A 41411-2024")</f>
        <v/>
      </c>
      <c r="AD2">
        <f>HYPERLINK("https://klasma.github.io/Logging_2303/tillsynsmail/A 41411-2024 tillsynsbegäran mail.docx", "A 41411-2024")</f>
        <v/>
      </c>
      <c r="AE2">
        <f>HYPERLINK("https://klasma.github.io/Logging_2303/fåglar/A 41411-2024 prioriterade fågelarter.docx", "A 41411-2024")</f>
        <v/>
      </c>
    </row>
    <row r="3" ht="15" customHeight="1">
      <c r="A3" t="inlineStr">
        <is>
          <t>A 62949-2021</t>
        </is>
      </c>
      <c r="B3" t="inlineStr">
        <is>
          <t>avverkningsanmälan</t>
        </is>
      </c>
      <c r="C3" t="inlineStr">
        <is>
          <t>Avverkning för att bevara och utveckla /försöksver</t>
        </is>
      </c>
      <c r="D3" s="1" t="n">
        <v>44504</v>
      </c>
      <c r="E3" s="1" t="n">
        <v>46319</v>
      </c>
      <c r="F3" t="inlineStr">
        <is>
          <t>JÄMTLANDS LÄN</t>
        </is>
      </c>
      <c r="G3" t="inlineStr">
        <is>
          <t>RAGUNDA</t>
        </is>
      </c>
      <c r="H3" t="inlineStr">
        <is>
          <t>SCA</t>
        </is>
      </c>
      <c r="I3" t="n">
        <v>32.7</v>
      </c>
      <c r="J3" t="n">
        <v>4</v>
      </c>
      <c r="K3" t="n">
        <v>8</v>
      </c>
      <c r="L3" t="n">
        <v>12</v>
      </c>
      <c r="M3" t="n">
        <v>5</v>
      </c>
      <c r="N3" t="n">
        <v>0</v>
      </c>
      <c r="O3" t="n">
        <v>0</v>
      </c>
      <c r="P3" t="n">
        <v>0</v>
      </c>
      <c r="Q3" t="n">
        <v>17</v>
      </c>
      <c r="R3" t="n">
        <v>5</v>
      </c>
      <c r="S3" t="n">
        <v>26</v>
      </c>
      <c r="T3" t="n">
        <v>44</v>
      </c>
      <c r="U3" t="n">
        <v>36</v>
      </c>
      <c r="V3" s="2" t="inlineStr">
        <is>
          <t>Garnlav
Gyllenspindling
Knärot
Kopparspindling
Tvillingspindling
Blekspindling agg.
Blågrå svartspik
Dropptaggsvamp
Kolflarnlav
Lunglav
Mörk kolflarnlav
Persiljespindling
Rosenticka
Skrovellav
Ullticka
Vedflamlav
Vedskivlav
Bårdlav
Guckusko
Källmossa
Plattlummer
Purpurmylia
Strimspindling
Svavelriska
Toppvaxing
Tjäder</t>
        </is>
      </c>
      <c r="W3">
        <f>HYPERLINK("https://klasma.github.io/Logging_2303/artfynd/A 62949-2021 artfynd.xlsx", "A 62949-2021")</f>
        <v/>
      </c>
      <c r="X3">
        <f>HYPERLINK("https://klasma.github.io/Logging_2303/kartor/A 62949-2021 karta.png", "A 62949-2021")</f>
        <v/>
      </c>
      <c r="Y3">
        <f>HYPERLINK("https://klasma.github.io/Logging_2303/kartor_geotiff/A 62949-2021 georefererad karta.tif", "A 62949-2021")</f>
        <v/>
      </c>
      <c r="Z3">
        <f>HYPERLINK("https://klasma.github.io/Logging_2303/knärot/A 62949-2021 karta knärot.png", "A 62949-2021")</f>
        <v/>
      </c>
      <c r="AA3">
        <f>HYPERLINK("https://klasma.github.io/Logging_2303/klagomål/A 62949-2021 FSC-klagomål.docx", "A 62949-2021")</f>
        <v/>
      </c>
      <c r="AB3">
        <f>HYPERLINK("https://klasma.github.io/Logging_2303/klagomålsmail/A 62949-2021 FSC-klagomål mail.docx", "A 62949-2021")</f>
        <v/>
      </c>
      <c r="AC3">
        <f>HYPERLINK("https://klasma.github.io/Logging_2303/tillsyn/A 62949-2021 tillsynsbegäran.docx", "A 62949-2021")</f>
        <v/>
      </c>
      <c r="AD3">
        <f>HYPERLINK("https://klasma.github.io/Logging_2303/tillsynsmail/A 62949-2021 tillsynsbegäran mail.docx", "A 62949-2021")</f>
        <v/>
      </c>
      <c r="AE3">
        <f>HYPERLINK("https://klasma.github.io/Logging_2303/fåglar/A 62949-2021 prioriterade fågelarter.docx", "A 62949-2021")</f>
        <v/>
      </c>
    </row>
    <row r="4" ht="15" customHeight="1">
      <c r="A4" t="inlineStr">
        <is>
          <t>A 41415-2024</t>
        </is>
      </c>
      <c r="B4" t="inlineStr">
        <is>
          <t>avverkningsanmälan</t>
        </is>
      </c>
      <c r="C4" t="inlineStr">
        <is>
          <t>Föryngringsavverkning</t>
        </is>
      </c>
      <c r="D4" s="1" t="n">
        <v>45560</v>
      </c>
      <c r="E4" s="1" t="n">
        <v>46319</v>
      </c>
      <c r="F4" t="inlineStr">
        <is>
          <t>JÄMTLANDS LÄN</t>
        </is>
      </c>
      <c r="G4" t="inlineStr">
        <is>
          <t>RAGUNDA</t>
        </is>
      </c>
      <c r="H4" t="inlineStr">
        <is>
          <t>SCA</t>
        </is>
      </c>
      <c r="I4" t="n">
        <v>4.3</v>
      </c>
      <c r="J4" t="n">
        <v>2</v>
      </c>
      <c r="K4" t="n">
        <v>4</v>
      </c>
      <c r="L4" t="n">
        <v>15</v>
      </c>
      <c r="M4" t="n">
        <v>4</v>
      </c>
      <c r="N4" t="n">
        <v>0</v>
      </c>
      <c r="O4" t="n">
        <v>0</v>
      </c>
      <c r="P4" t="n">
        <v>0</v>
      </c>
      <c r="Q4" t="n">
        <v>19</v>
      </c>
      <c r="R4" t="n">
        <v>4</v>
      </c>
      <c r="S4" t="n">
        <v>23</v>
      </c>
      <c r="T4" t="n">
        <v>39</v>
      </c>
      <c r="U4" t="n">
        <v>33</v>
      </c>
      <c r="V4" s="2" t="inlineStr">
        <is>
          <t>Garnlav
Gräddporing
Knärot
Skrovlig taggsvamp
Dropptaggsvamp
Dvärgbägarlav
Gammelgransskål
Kolflarnlav
Kryddspindling
Lunglav
Mörk kolflarnlav
Nordlig nållav
Orange taggsvamp
Reliktbock
Rödfläckig zontaggsvamp
Skarp dropptaggsvamp
Vaddporing
Vedskivlav
Vitgrynig nållav
Bårdlav
Korallblylav
Norrlandslav
Spindelblomster</t>
        </is>
      </c>
      <c r="W4">
        <f>HYPERLINK("https://klasma.github.io/Logging_2303/artfynd/A 41415-2024 artfynd.xlsx", "A 41415-2024")</f>
        <v/>
      </c>
      <c r="X4">
        <f>HYPERLINK("https://klasma.github.io/Logging_2303/kartor/A 41415-2024 karta.png", "A 41415-2024")</f>
        <v/>
      </c>
      <c r="Y4">
        <f>HYPERLINK("https://klasma.github.io/Logging_2303/kartor_geotiff/A 41415-2024 georefererad karta.tif", "A 41415-2024")</f>
        <v/>
      </c>
      <c r="Z4">
        <f>HYPERLINK("https://klasma.github.io/Logging_2303/knärot/A 41415-2024 karta knärot.png", "A 41415-2024")</f>
        <v/>
      </c>
      <c r="AA4">
        <f>HYPERLINK("https://klasma.github.io/Logging_2303/klagomål/A 41415-2024 FSC-klagomål.docx", "A 41415-2024")</f>
        <v/>
      </c>
      <c r="AB4">
        <f>HYPERLINK("https://klasma.github.io/Logging_2303/klagomålsmail/A 41415-2024 FSC-klagomål mail.docx", "A 41415-2024")</f>
        <v/>
      </c>
      <c r="AC4">
        <f>HYPERLINK("https://klasma.github.io/Logging_2303/tillsyn/A 41415-2024 tillsynsbegäran.docx", "A 41415-2024")</f>
        <v/>
      </c>
      <c r="AD4">
        <f>HYPERLINK("https://klasma.github.io/Logging_2303/tillsynsmail/A 41415-2024 tillsynsbegäran mail.docx", "A 41415-2024")</f>
        <v/>
      </c>
    </row>
    <row r="5" ht="15" customHeight="1">
      <c r="A5" t="inlineStr">
        <is>
          <t>A 61937-2022</t>
        </is>
      </c>
      <c r="B5" t="inlineStr">
        <is>
          <t>avverkningsanmälan</t>
        </is>
      </c>
      <c r="C5" t="inlineStr">
        <is>
          <t>Föryngringsavverkning</t>
        </is>
      </c>
      <c r="D5" s="1" t="n">
        <v>44917</v>
      </c>
      <c r="E5" s="1" t="n">
        <v>46319</v>
      </c>
      <c r="F5" t="inlineStr">
        <is>
          <t>JÄMTLANDS LÄN</t>
        </is>
      </c>
      <c r="G5" t="inlineStr">
        <is>
          <t>RAGUNDA</t>
        </is>
      </c>
      <c r="H5" t="inlineStr">
        <is>
          <t>SCA</t>
        </is>
      </c>
      <c r="I5" t="n">
        <v>12.4</v>
      </c>
      <c r="J5" t="n">
        <v>7</v>
      </c>
      <c r="K5" t="n">
        <v>10</v>
      </c>
      <c r="L5" t="n">
        <v>8</v>
      </c>
      <c r="M5" t="n">
        <v>3</v>
      </c>
      <c r="N5" t="n">
        <v>0</v>
      </c>
      <c r="O5" t="n">
        <v>0</v>
      </c>
      <c r="P5" t="n">
        <v>0</v>
      </c>
      <c r="Q5" t="n">
        <v>11</v>
      </c>
      <c r="R5" t="n">
        <v>3</v>
      </c>
      <c r="S5" t="n">
        <v>23</v>
      </c>
      <c r="T5" t="n">
        <v>66</v>
      </c>
      <c r="U5" t="n">
        <v>50</v>
      </c>
      <c r="V5" s="2" t="inlineStr">
        <is>
          <t>Garnlav
Knärot
Smalskaftslav
Doftskinn
Lunglav
Rosenticka
Rynkskinn
Tretåig hackspett
Ullticka
Vedtrappmossa
Vitgrynig nållav
Guckusko
Gytterlav
Korallblylav
Kransrams
Luddlav
Spindelblomster
Stuplav
Svavelriska
Trådticka
Tvåblad
Tjäder
Fläcknycklar</t>
        </is>
      </c>
      <c r="W5">
        <f>HYPERLINK("https://klasma.github.io/Logging_2303/artfynd/A 61937-2022 artfynd.xlsx", "A 61937-2022")</f>
        <v/>
      </c>
      <c r="X5">
        <f>HYPERLINK("https://klasma.github.io/Logging_2303/kartor/A 61937-2022 karta.png", "A 61937-2022")</f>
        <v/>
      </c>
      <c r="Y5">
        <f>HYPERLINK("https://klasma.github.io/Logging_2303/kartor_geotiff/A 61937-2022 georefererad karta.tif", "A 61937-2022")</f>
        <v/>
      </c>
      <c r="Z5">
        <f>HYPERLINK("https://klasma.github.io/Logging_2303/knärot/A 61937-2022 karta knärot.png", "A 61937-2022")</f>
        <v/>
      </c>
      <c r="AA5">
        <f>HYPERLINK("https://klasma.github.io/Logging_2303/klagomål/A 61937-2022 FSC-klagomål.docx", "A 61937-2022")</f>
        <v/>
      </c>
      <c r="AB5">
        <f>HYPERLINK("https://klasma.github.io/Logging_2303/klagomålsmail/A 61937-2022 FSC-klagomål mail.docx", "A 61937-2022")</f>
        <v/>
      </c>
      <c r="AC5">
        <f>HYPERLINK("https://klasma.github.io/Logging_2303/tillsyn/A 61937-2022 tillsynsbegäran.docx", "A 61937-2022")</f>
        <v/>
      </c>
      <c r="AD5">
        <f>HYPERLINK("https://klasma.github.io/Logging_2303/tillsynsmail/A 61937-2022 tillsynsbegäran mail.docx", "A 61937-2022")</f>
        <v/>
      </c>
      <c r="AE5">
        <f>HYPERLINK("https://klasma.github.io/Logging_2303/fåglar/A 61937-2022 prioriterade fågelarter.docx", "A 61937-2022")</f>
        <v/>
      </c>
    </row>
    <row r="6" ht="15" customHeight="1">
      <c r="A6" t="inlineStr">
        <is>
          <t>A 36782-2026</t>
        </is>
      </c>
      <c r="B6" t="inlineStr">
        <is>
          <t>avverkningsanmälan</t>
        </is>
      </c>
      <c r="C6" t="inlineStr">
        <is>
          <t>Föryngringsavverkning</t>
        </is>
      </c>
      <c r="D6" s="1" t="n">
        <v>46272</v>
      </c>
      <c r="E6" s="1" t="n">
        <v>46319</v>
      </c>
      <c r="F6" t="inlineStr">
        <is>
          <t>JÄMTLANDS LÄN</t>
        </is>
      </c>
      <c r="G6" t="inlineStr">
        <is>
          <t>RAGUNDA</t>
        </is>
      </c>
      <c r="H6" t="inlineStr">
        <is>
          <t>SCA</t>
        </is>
      </c>
      <c r="I6" t="n">
        <v>2.7</v>
      </c>
      <c r="J6" t="n">
        <v>3</v>
      </c>
      <c r="K6" t="n">
        <v>10</v>
      </c>
      <c r="L6" t="n">
        <v>8</v>
      </c>
      <c r="M6" t="n">
        <v>2</v>
      </c>
      <c r="N6" t="n">
        <v>0</v>
      </c>
      <c r="O6" t="n">
        <v>0</v>
      </c>
      <c r="P6" t="n">
        <v>0</v>
      </c>
      <c r="Q6" t="n">
        <v>10</v>
      </c>
      <c r="R6" t="n">
        <v>2</v>
      </c>
      <c r="S6" t="n">
        <v>21</v>
      </c>
      <c r="T6" t="n">
        <v>30</v>
      </c>
      <c r="U6" t="n">
        <v>0</v>
      </c>
      <c r="V6" s="2" t="inlineStr">
        <is>
          <t>Knärot
Skrovlig taggsvamp
Blå taggsvamp
Dropptaggsvamp
Dvärgbägarlav
Lunglav
Orange taggsvamp
Vedflamlav
Vedskivlav
Vitplätt
Bårdlav
Granriska
Guckusko
Korallblylav
Rödgul trumpetsvamp
Strimspindling
Stuplav
Svart trolldruva
Svavelriska
Tibast
Fläcknycklar</t>
        </is>
      </c>
      <c r="W6">
        <f>HYPERLINK("https://klasma.github.io/Logging_2303/artfynd/A 36782-2026 artfynd.xlsx", "A 36782-2026")</f>
        <v/>
      </c>
      <c r="X6">
        <f>HYPERLINK("https://klasma.github.io/Logging_2303/kartor/A 36782-2026 karta.png", "A 36782-2026")</f>
        <v/>
      </c>
      <c r="Y6">
        <f>HYPERLINK("https://klasma.github.io/Logging_2303/kartor_geotiff/A 36782-2026 georefererad karta.tif", "A 36782-2026")</f>
        <v/>
      </c>
      <c r="Z6">
        <f>HYPERLINK("https://klasma.github.io/Logging_2303/knärot/A 36782-2026 karta knärot.png", "A 36782-2026")</f>
        <v/>
      </c>
      <c r="AA6">
        <f>HYPERLINK("https://klasma.github.io/Logging_2303/klagomål/A 36782-2026 FSC-klagomål.docx", "A 36782-2026")</f>
        <v/>
      </c>
      <c r="AB6">
        <f>HYPERLINK("https://klasma.github.io/Logging_2303/klagomålsmail/A 36782-2026 FSC-klagomål mail.docx", "A 36782-2026")</f>
        <v/>
      </c>
      <c r="AC6">
        <f>HYPERLINK("https://klasma.github.io/Logging_2303/tillsyn/A 36782-2026 tillsynsbegäran.docx", "A 36782-2026")</f>
        <v/>
      </c>
      <c r="AD6">
        <f>HYPERLINK("https://klasma.github.io/Logging_2303/tillsynsmail/A 36782-2026 tillsynsbegäran mail.docx", "A 36782-2026")</f>
        <v/>
      </c>
    </row>
    <row r="7" ht="15" customHeight="1">
      <c r="A7" t="inlineStr">
        <is>
          <t>A 10625-2024</t>
        </is>
      </c>
      <c r="B7" t="inlineStr">
        <is>
          <t>avverkningsanmälan</t>
        </is>
      </c>
      <c r="C7" t="inlineStr">
        <is>
          <t>Föryngringsavverkning</t>
        </is>
      </c>
      <c r="D7" s="1" t="n">
        <v>45367</v>
      </c>
      <c r="E7" s="1" t="n">
        <v>46319</v>
      </c>
      <c r="F7" t="inlineStr">
        <is>
          <t>JÄMTLANDS LÄN</t>
        </is>
      </c>
      <c r="G7" t="inlineStr">
        <is>
          <t>RAGUNDA</t>
        </is>
      </c>
      <c r="H7" t="inlineStr">
        <is>
          <t>SCA</t>
        </is>
      </c>
      <c r="I7" t="n">
        <v>18.1</v>
      </c>
      <c r="J7" t="n">
        <v>5</v>
      </c>
      <c r="K7" t="n">
        <v>1</v>
      </c>
      <c r="L7" t="n">
        <v>12</v>
      </c>
      <c r="M7" t="n">
        <v>3</v>
      </c>
      <c r="N7" t="n">
        <v>0</v>
      </c>
      <c r="O7" t="n">
        <v>0</v>
      </c>
      <c r="P7" t="n">
        <v>0</v>
      </c>
      <c r="Q7" t="n">
        <v>15</v>
      </c>
      <c r="R7" t="n">
        <v>3</v>
      </c>
      <c r="S7" t="n">
        <v>19</v>
      </c>
      <c r="T7" t="n">
        <v>65</v>
      </c>
      <c r="U7" t="n">
        <v>65</v>
      </c>
      <c r="V7" s="2" t="inlineStr">
        <is>
          <t>Garnlav
Gräddporing
Knärot
Blanksvart spiklav
Dropptaggsvamp
Dvärgbägarlav
Kolflarnlav
Kortskaftad ärgspik
Lunglav
Mörk kolflarnlav
Nordtagging
Tretåig hackspett
Vaddporing
Vedflamlav
Vedskivlav
Vedticka
Tjäder
Vanlig groda
Fläcknycklar</t>
        </is>
      </c>
      <c r="W7">
        <f>HYPERLINK("https://klasma.github.io/Logging_2303/artfynd/A 10625-2024 artfynd.xlsx", "A 10625-2024")</f>
        <v/>
      </c>
      <c r="X7">
        <f>HYPERLINK("https://klasma.github.io/Logging_2303/kartor/A 10625-2024 karta.png", "A 10625-2024")</f>
        <v/>
      </c>
      <c r="Y7">
        <f>HYPERLINK("https://klasma.github.io/Logging_2303/kartor_geotiff/A 10625-2024 georefererad karta.tif", "A 10625-2024")</f>
        <v/>
      </c>
      <c r="Z7">
        <f>HYPERLINK("https://klasma.github.io/Logging_2303/knärot/A 10625-2024 karta knärot.png", "A 10625-2024")</f>
        <v/>
      </c>
      <c r="AA7">
        <f>HYPERLINK("https://klasma.github.io/Logging_2303/klagomål/A 10625-2024 FSC-klagomål.docx", "A 10625-2024")</f>
        <v/>
      </c>
      <c r="AB7">
        <f>HYPERLINK("https://klasma.github.io/Logging_2303/klagomålsmail/A 10625-2024 FSC-klagomål mail.docx", "A 10625-2024")</f>
        <v/>
      </c>
      <c r="AC7">
        <f>HYPERLINK("https://klasma.github.io/Logging_2303/tillsyn/A 10625-2024 tillsynsbegäran.docx", "A 10625-2024")</f>
        <v/>
      </c>
      <c r="AD7">
        <f>HYPERLINK("https://klasma.github.io/Logging_2303/tillsynsmail/A 10625-2024 tillsynsbegäran mail.docx", "A 10625-2024")</f>
        <v/>
      </c>
      <c r="AE7">
        <f>HYPERLINK("https://klasma.github.io/Logging_2303/fåglar/A 10625-2024 prioriterade fågelarter.docx", "A 10625-2024")</f>
        <v/>
      </c>
    </row>
    <row r="8" ht="15" customHeight="1">
      <c r="A8" t="inlineStr">
        <is>
          <t>A 50055-2025</t>
        </is>
      </c>
      <c r="B8" t="inlineStr">
        <is>
          <t>avverkningsanmälan</t>
        </is>
      </c>
      <c r="C8" t="inlineStr">
        <is>
          <t>Föryngringsavverkning</t>
        </is>
      </c>
      <c r="D8" s="1" t="n">
        <v>45943</v>
      </c>
      <c r="E8" s="1" t="n">
        <v>46319</v>
      </c>
      <c r="F8" t="inlineStr">
        <is>
          <t>JÄMTLANDS LÄN</t>
        </is>
      </c>
      <c r="G8" t="inlineStr">
        <is>
          <t>RAGUNDA</t>
        </is>
      </c>
      <c r="I8" t="n">
        <v>17.6</v>
      </c>
      <c r="J8" t="n">
        <v>2</v>
      </c>
      <c r="K8" t="n">
        <v>6</v>
      </c>
      <c r="L8" t="n">
        <v>10</v>
      </c>
      <c r="M8" t="n">
        <v>2</v>
      </c>
      <c r="N8" t="n">
        <v>1</v>
      </c>
      <c r="O8" t="n">
        <v>0</v>
      </c>
      <c r="P8" t="n">
        <v>0</v>
      </c>
      <c r="Q8" t="n">
        <v>13</v>
      </c>
      <c r="R8" t="n">
        <v>3</v>
      </c>
      <c r="S8" t="n">
        <v>19</v>
      </c>
      <c r="T8" t="n">
        <v>160</v>
      </c>
      <c r="U8" t="n">
        <v>160</v>
      </c>
      <c r="V8" s="2" t="inlineStr">
        <is>
          <t>Blekskaftad nållav
Garnlav
Smalskaftslav
Liten svartspik
Lunglav
Nordlig nållav
Rosa skärelav
Skrovellav
Sparvuggla
Stiftgelélav
Tretåig hackspett
Ullticka
Vitgrynig nållav
Korallblylav
Luddlav
Rostfläck
Skinnlav
Stuplav
Trådticka</t>
        </is>
      </c>
      <c r="W8">
        <f>HYPERLINK("https://klasma.github.io/Logging_2303/artfynd/A 50055-2025 artfynd.xlsx", "A 50055-2025")</f>
        <v/>
      </c>
      <c r="X8">
        <f>HYPERLINK("https://klasma.github.io/Logging_2303/kartor/A 50055-2025 karta.png", "A 50055-2025")</f>
        <v/>
      </c>
      <c r="Y8">
        <f>HYPERLINK("https://klasma.github.io/Logging_2303/kartor_geotiff/A 50055-2025 georefererad karta.tif", "A 50055-2025")</f>
        <v/>
      </c>
      <c r="AA8">
        <f>HYPERLINK("https://klasma.github.io/Logging_2303/klagomål/A 50055-2025 FSC-klagomål.docx", "A 50055-2025")</f>
        <v/>
      </c>
      <c r="AB8">
        <f>HYPERLINK("https://klasma.github.io/Logging_2303/klagomålsmail/A 50055-2025 FSC-klagomål mail.docx", "A 50055-2025")</f>
        <v/>
      </c>
      <c r="AC8">
        <f>HYPERLINK("https://klasma.github.io/Logging_2303/tillsyn/A 50055-2025 tillsynsbegäran.docx", "A 50055-2025")</f>
        <v/>
      </c>
      <c r="AD8">
        <f>HYPERLINK("https://klasma.github.io/Logging_2303/tillsynsmail/A 50055-2025 tillsynsbegäran mail.docx", "A 50055-2025")</f>
        <v/>
      </c>
      <c r="AE8">
        <f>HYPERLINK("https://klasma.github.io/Logging_2303/fåglar/A 50055-2025 prioriterade fågelarter.docx", "A 50055-2025")</f>
        <v/>
      </c>
    </row>
    <row r="9" ht="15" customHeight="1">
      <c r="A9" t="inlineStr">
        <is>
          <t>A 3634-2024</t>
        </is>
      </c>
      <c r="B9" t="inlineStr">
        <is>
          <t>avverkningsanmälan</t>
        </is>
      </c>
      <c r="C9" t="inlineStr">
        <is>
          <t>Föryngringsavverkning</t>
        </is>
      </c>
      <c r="D9" s="1" t="n">
        <v>45320</v>
      </c>
      <c r="E9" s="1" t="n">
        <v>46319</v>
      </c>
      <c r="F9" t="inlineStr">
        <is>
          <t>JÄMTLANDS LÄN</t>
        </is>
      </c>
      <c r="G9" t="inlineStr">
        <is>
          <t>RAGUNDA</t>
        </is>
      </c>
      <c r="H9" t="inlineStr">
        <is>
          <t>SCA</t>
        </is>
      </c>
      <c r="I9" t="n">
        <v>3.5</v>
      </c>
      <c r="J9" t="n">
        <v>3</v>
      </c>
      <c r="K9" t="n">
        <v>6</v>
      </c>
      <c r="L9" t="n">
        <v>8</v>
      </c>
      <c r="M9" t="n">
        <v>3</v>
      </c>
      <c r="N9" t="n">
        <v>0</v>
      </c>
      <c r="O9" t="n">
        <v>0</v>
      </c>
      <c r="P9" t="n">
        <v>0</v>
      </c>
      <c r="Q9" t="n">
        <v>11</v>
      </c>
      <c r="R9" t="n">
        <v>3</v>
      </c>
      <c r="S9" t="n">
        <v>19</v>
      </c>
      <c r="T9" t="n">
        <v>30</v>
      </c>
      <c r="U9" t="n">
        <v>14</v>
      </c>
      <c r="V9" s="2" t="inlineStr">
        <is>
          <t>Garnlav
Knärot
Smalfotad taggsvamp
Blanksvart spiklav
Dropptaggsvamp
Kolflarnlav
Lunglav
Mörk kolflarnlav
Rosenticka
Skuggblåslav
Vitgrynig nållav
Bollvitmossa
Korallrot
Luddlav
Norrlandslav
Spindelblomster
Spädstarr
Kransmossa
Ormbär</t>
        </is>
      </c>
      <c r="W9">
        <f>HYPERLINK("https://klasma.github.io/Logging_2303/artfynd/A 3634-2024 artfynd.xlsx", "A 3634-2024")</f>
        <v/>
      </c>
      <c r="X9">
        <f>HYPERLINK("https://klasma.github.io/Logging_2303/kartor/A 3634-2024 karta.png", "A 3634-2024")</f>
        <v/>
      </c>
      <c r="Y9">
        <f>HYPERLINK("https://klasma.github.io/Logging_2303/kartor_geotiff/A 3634-2024 georefererad karta.tif", "A 3634-2024")</f>
        <v/>
      </c>
      <c r="Z9">
        <f>HYPERLINK("https://klasma.github.io/Logging_2303/knärot/A 3634-2024 karta knärot.png", "A 3634-2024")</f>
        <v/>
      </c>
      <c r="AA9">
        <f>HYPERLINK("https://klasma.github.io/Logging_2303/klagomål/A 3634-2024 FSC-klagomål.docx", "A 3634-2024")</f>
        <v/>
      </c>
      <c r="AB9">
        <f>HYPERLINK("https://klasma.github.io/Logging_2303/klagomålsmail/A 3634-2024 FSC-klagomål mail.docx", "A 3634-2024")</f>
        <v/>
      </c>
      <c r="AC9">
        <f>HYPERLINK("https://klasma.github.io/Logging_2303/tillsyn/A 3634-2024 tillsynsbegäran.docx", "A 3634-2024")</f>
        <v/>
      </c>
      <c r="AD9">
        <f>HYPERLINK("https://klasma.github.io/Logging_2303/tillsynsmail/A 3634-2024 tillsynsbegäran mail.docx", "A 3634-2024")</f>
        <v/>
      </c>
    </row>
    <row r="10" ht="15" customHeight="1">
      <c r="A10" t="inlineStr">
        <is>
          <t>A 43107-2023</t>
        </is>
      </c>
      <c r="B10" t="inlineStr">
        <is>
          <t>avverkningsanmälan</t>
        </is>
      </c>
      <c r="C10" t="inlineStr">
        <is>
          <t>Föryngringsavverkning</t>
        </is>
      </c>
      <c r="D10" s="1" t="n">
        <v>45182</v>
      </c>
      <c r="E10" s="1" t="n">
        <v>46319</v>
      </c>
      <c r="F10" t="inlineStr">
        <is>
          <t>JÄMTLANDS LÄN</t>
        </is>
      </c>
      <c r="G10" t="inlineStr">
        <is>
          <t>RAGUNDA</t>
        </is>
      </c>
      <c r="H10" t="inlineStr">
        <is>
          <t>SCA</t>
        </is>
      </c>
      <c r="I10" t="n">
        <v>8.6</v>
      </c>
      <c r="J10" t="n">
        <v>2</v>
      </c>
      <c r="K10" t="n">
        <v>3</v>
      </c>
      <c r="L10" t="n">
        <v>12</v>
      </c>
      <c r="M10" t="n">
        <v>2</v>
      </c>
      <c r="N10" t="n">
        <v>1</v>
      </c>
      <c r="O10" t="n">
        <v>0</v>
      </c>
      <c r="P10" t="n">
        <v>0</v>
      </c>
      <c r="Q10" t="n">
        <v>15</v>
      </c>
      <c r="R10" t="n">
        <v>3</v>
      </c>
      <c r="S10" t="n">
        <v>18</v>
      </c>
      <c r="T10" t="n">
        <v>35</v>
      </c>
      <c r="U10" t="n">
        <v>15</v>
      </c>
      <c r="V10" s="2" t="inlineStr">
        <is>
          <t>Trådbrosklav
Garnlav
Gräddporing
Blanksvart spiklav
Dropptaggsvamp
Dvärgbägarlav
Kolflarnlav
Kortskaftad ärgspik
Lunglav
Mörk kolflarnlav
Talltagel
Tretåig hackspett
Ullticka
Vedskivlav
Vitgrynig nållav
Spindelblomster
Stuplav
Svavelriska</t>
        </is>
      </c>
      <c r="W10">
        <f>HYPERLINK("https://klasma.github.io/Logging_2303/artfynd/A 43107-2023 artfynd.xlsx", "A 43107-2023")</f>
        <v/>
      </c>
      <c r="X10">
        <f>HYPERLINK("https://klasma.github.io/Logging_2303/kartor/A 43107-2023 karta.png", "A 43107-2023")</f>
        <v/>
      </c>
      <c r="Y10">
        <f>HYPERLINK("https://klasma.github.io/Logging_2303/kartor_geotiff/A 43107-2023 georefererad karta.tif", "A 43107-2023")</f>
        <v/>
      </c>
      <c r="AA10">
        <f>HYPERLINK("https://klasma.github.io/Logging_2303/klagomål/A 43107-2023 FSC-klagomål.docx", "A 43107-2023")</f>
        <v/>
      </c>
      <c r="AB10">
        <f>HYPERLINK("https://klasma.github.io/Logging_2303/klagomålsmail/A 43107-2023 FSC-klagomål mail.docx", "A 43107-2023")</f>
        <v/>
      </c>
      <c r="AC10">
        <f>HYPERLINK("https://klasma.github.io/Logging_2303/tillsyn/A 43107-2023 tillsynsbegäran.docx", "A 43107-2023")</f>
        <v/>
      </c>
      <c r="AD10">
        <f>HYPERLINK("https://klasma.github.io/Logging_2303/tillsynsmail/A 43107-2023 tillsynsbegäran mail.docx", "A 43107-2023")</f>
        <v/>
      </c>
      <c r="AE10">
        <f>HYPERLINK("https://klasma.github.io/Logging_2303/fåglar/A 43107-2023 prioriterade fågelarter.docx", "A 43107-2023")</f>
        <v/>
      </c>
    </row>
    <row r="11" ht="15" customHeight="1">
      <c r="A11" t="inlineStr">
        <is>
          <t>A 59762-2024</t>
        </is>
      </c>
      <c r="B11" t="inlineStr">
        <is>
          <t>avverkningsanmälan</t>
        </is>
      </c>
      <c r="C11" t="inlineStr">
        <is>
          <t>Föryngringsavverkning</t>
        </is>
      </c>
      <c r="D11" s="1" t="n">
        <v>45639</v>
      </c>
      <c r="E11" s="1" t="n">
        <v>46319</v>
      </c>
      <c r="F11" t="inlineStr">
        <is>
          <t>JÄMTLANDS LÄN</t>
        </is>
      </c>
      <c r="G11" t="inlineStr">
        <is>
          <t>RAGUNDA</t>
        </is>
      </c>
      <c r="H11" t="inlineStr">
        <is>
          <t>SCA</t>
        </is>
      </c>
      <c r="I11" t="n">
        <v>16.9</v>
      </c>
      <c r="J11" t="n">
        <v>5</v>
      </c>
      <c r="K11" t="n">
        <v>9</v>
      </c>
      <c r="L11" t="n">
        <v>6</v>
      </c>
      <c r="M11" t="n">
        <v>0</v>
      </c>
      <c r="N11" t="n">
        <v>0</v>
      </c>
      <c r="O11" t="n">
        <v>0</v>
      </c>
      <c r="P11" t="n">
        <v>0</v>
      </c>
      <c r="Q11" t="n">
        <v>6</v>
      </c>
      <c r="R11" t="n">
        <v>0</v>
      </c>
      <c r="S11" t="n">
        <v>17</v>
      </c>
      <c r="T11" t="n">
        <v>29</v>
      </c>
      <c r="U11" t="n">
        <v>0</v>
      </c>
      <c r="V11" s="2" t="inlineStr">
        <is>
          <t>Dropptaggsvamp
Kolflarnlav
Lunglav
Mörk kolflarnlav
Rosenticka
Skrovellav
Guckusko
Korallrot
Kransrams
Norrlandslav
Spindelblomster
Stuplav
Tibast
Underviol
Ögonpyrola
Blåsippa
Nattviol</t>
        </is>
      </c>
      <c r="W11">
        <f>HYPERLINK("https://klasma.github.io/Logging_2303/artfynd/A 59762-2024 artfynd.xlsx", "A 59762-2024")</f>
        <v/>
      </c>
      <c r="X11">
        <f>HYPERLINK("https://klasma.github.io/Logging_2303/kartor/A 59762-2024 karta.png", "A 59762-2024")</f>
        <v/>
      </c>
      <c r="Y11">
        <f>HYPERLINK("https://klasma.github.io/Logging_2303/kartor_geotiff/A 59762-2024 georefererad karta.tif", "A 59762-2024")</f>
        <v/>
      </c>
      <c r="AA11">
        <f>HYPERLINK("https://klasma.github.io/Logging_2303/klagomål/A 59762-2024 FSC-klagomål.docx", "A 59762-2024")</f>
        <v/>
      </c>
      <c r="AB11">
        <f>HYPERLINK("https://klasma.github.io/Logging_2303/klagomålsmail/A 59762-2024 FSC-klagomål mail.docx", "A 59762-2024")</f>
        <v/>
      </c>
      <c r="AC11">
        <f>HYPERLINK("https://klasma.github.io/Logging_2303/tillsyn/A 59762-2024 tillsynsbegäran.docx", "A 59762-2024")</f>
        <v/>
      </c>
      <c r="AD11">
        <f>HYPERLINK("https://klasma.github.io/Logging_2303/tillsynsmail/A 59762-2024 tillsynsbegäran mail.docx", "A 59762-2024")</f>
        <v/>
      </c>
    </row>
    <row r="12" ht="15" customHeight="1">
      <c r="A12" t="inlineStr">
        <is>
          <t>A 13305-2022</t>
        </is>
      </c>
      <c r="B12" t="inlineStr">
        <is>
          <t>avverkningsanmälan</t>
        </is>
      </c>
      <c r="C12" t="inlineStr">
        <is>
          <t>Föryngringsavverkning</t>
        </is>
      </c>
      <c r="D12" s="1" t="n">
        <v>44644</v>
      </c>
      <c r="E12" s="1" t="n">
        <v>46319</v>
      </c>
      <c r="F12" t="inlineStr">
        <is>
          <t>JÄMTLANDS LÄN</t>
        </is>
      </c>
      <c r="G12" t="inlineStr">
        <is>
          <t>RAGUNDA</t>
        </is>
      </c>
      <c r="H12" t="inlineStr">
        <is>
          <t>SCA</t>
        </is>
      </c>
      <c r="I12" t="n">
        <v>6</v>
      </c>
      <c r="J12" t="n">
        <v>3</v>
      </c>
      <c r="K12" t="n">
        <v>7</v>
      </c>
      <c r="L12" t="n">
        <v>7</v>
      </c>
      <c r="M12" t="n">
        <v>2</v>
      </c>
      <c r="N12" t="n">
        <v>0</v>
      </c>
      <c r="O12" t="n">
        <v>0</v>
      </c>
      <c r="P12" t="n">
        <v>0</v>
      </c>
      <c r="Q12" t="n">
        <v>9</v>
      </c>
      <c r="R12" t="n">
        <v>2</v>
      </c>
      <c r="S12" t="n">
        <v>17</v>
      </c>
      <c r="T12" t="n">
        <v>22</v>
      </c>
      <c r="U12" t="n">
        <v>22</v>
      </c>
      <c r="V12" s="2" t="inlineStr">
        <is>
          <t>Garnlav
Liten hornflikmossa
Dropptaggsvamp
Kolflarnlav
Lunglav
Skrovellav
Ullticka
Vedflikmossa
Vitgrynig nållav
Bårdlav
Korallblylav
Kransrams
Plattlummer
Spindelblomster
Stuplav
Vedticka
Fläcknycklar</t>
        </is>
      </c>
      <c r="W12">
        <f>HYPERLINK("https://klasma.github.io/Logging_2303/artfynd/A 13305-2022 artfynd.xlsx", "A 13305-2022")</f>
        <v/>
      </c>
      <c r="X12">
        <f>HYPERLINK("https://klasma.github.io/Logging_2303/kartor/A 13305-2022 karta.png", "A 13305-2022")</f>
        <v/>
      </c>
      <c r="Y12">
        <f>HYPERLINK("https://klasma.github.io/Logging_2303/kartor_geotiff/A 13305-2022 georefererad karta.tif", "A 13305-2022")</f>
        <v/>
      </c>
      <c r="AA12">
        <f>HYPERLINK("https://klasma.github.io/Logging_2303/klagomål/A 13305-2022 FSC-klagomål.docx", "A 13305-2022")</f>
        <v/>
      </c>
      <c r="AB12">
        <f>HYPERLINK("https://klasma.github.io/Logging_2303/klagomålsmail/A 13305-2022 FSC-klagomål mail.docx", "A 13305-2022")</f>
        <v/>
      </c>
      <c r="AC12">
        <f>HYPERLINK("https://klasma.github.io/Logging_2303/tillsyn/A 13305-2022 tillsynsbegäran.docx", "A 13305-2022")</f>
        <v/>
      </c>
      <c r="AD12">
        <f>HYPERLINK("https://klasma.github.io/Logging_2303/tillsynsmail/A 13305-2022 tillsynsbegäran mail.docx", "A 13305-2022")</f>
        <v/>
      </c>
    </row>
    <row r="13" ht="15" customHeight="1">
      <c r="A13" t="inlineStr">
        <is>
          <t>A 43960-2023</t>
        </is>
      </c>
      <c r="B13" t="inlineStr">
        <is>
          <t>avverkningsanmälan</t>
        </is>
      </c>
      <c r="C13" t="inlineStr">
        <is>
          <t>Föryngringsavverkning</t>
        </is>
      </c>
      <c r="D13" s="1" t="n">
        <v>45187</v>
      </c>
      <c r="E13" s="1" t="n">
        <v>46319</v>
      </c>
      <c r="F13" t="inlineStr">
        <is>
          <t>JÄMTLANDS LÄN</t>
        </is>
      </c>
      <c r="G13" t="inlineStr">
        <is>
          <t>RAGUNDA</t>
        </is>
      </c>
      <c r="H13" t="inlineStr">
        <is>
          <t>SCA</t>
        </is>
      </c>
      <c r="I13" t="n">
        <v>5.5</v>
      </c>
      <c r="J13" t="n">
        <v>4</v>
      </c>
      <c r="K13" t="n">
        <v>1</v>
      </c>
      <c r="L13" t="n">
        <v>10</v>
      </c>
      <c r="M13" t="n">
        <v>2</v>
      </c>
      <c r="N13" t="n">
        <v>0</v>
      </c>
      <c r="O13" t="n">
        <v>0</v>
      </c>
      <c r="P13" t="n">
        <v>0</v>
      </c>
      <c r="Q13" t="n">
        <v>12</v>
      </c>
      <c r="R13" t="n">
        <v>2</v>
      </c>
      <c r="S13" t="n">
        <v>16</v>
      </c>
      <c r="T13" t="n">
        <v>29</v>
      </c>
      <c r="U13" t="n">
        <v>24</v>
      </c>
      <c r="V13" s="2" t="inlineStr">
        <is>
          <t>Garnlav
Knärot
Kötticka
Lavskrika
Liten svartspik
Lunglav
Rynkskinn
Tretåig hackspett
Ullticka
Vedflikmossa
Vedtrappmossa
Vitgrynig nållav
Vedticka
Kransmossa
Ormbär
Fläcknycklar</t>
        </is>
      </c>
      <c r="W13">
        <f>HYPERLINK("https://klasma.github.io/Logging_2303/artfynd/A 43960-2023 artfynd.xlsx", "A 43960-2023")</f>
        <v/>
      </c>
      <c r="X13">
        <f>HYPERLINK("https://klasma.github.io/Logging_2303/kartor/A 43960-2023 karta.png", "A 43960-2023")</f>
        <v/>
      </c>
      <c r="Y13">
        <f>HYPERLINK("https://klasma.github.io/Logging_2303/kartor_geotiff/A 43960-2023 georefererad karta.tif", "A 43960-2023")</f>
        <v/>
      </c>
      <c r="Z13">
        <f>HYPERLINK("https://klasma.github.io/Logging_2303/knärot/A 43960-2023 karta knärot.png", "A 43960-2023")</f>
        <v/>
      </c>
      <c r="AA13">
        <f>HYPERLINK("https://klasma.github.io/Logging_2303/klagomål/A 43960-2023 FSC-klagomål.docx", "A 43960-2023")</f>
        <v/>
      </c>
      <c r="AB13">
        <f>HYPERLINK("https://klasma.github.io/Logging_2303/klagomålsmail/A 43960-2023 FSC-klagomål mail.docx", "A 43960-2023")</f>
        <v/>
      </c>
      <c r="AC13">
        <f>HYPERLINK("https://klasma.github.io/Logging_2303/tillsyn/A 43960-2023 tillsynsbegäran.docx", "A 43960-2023")</f>
        <v/>
      </c>
      <c r="AD13">
        <f>HYPERLINK("https://klasma.github.io/Logging_2303/tillsynsmail/A 43960-2023 tillsynsbegäran mail.docx", "A 43960-2023")</f>
        <v/>
      </c>
      <c r="AE13">
        <f>HYPERLINK("https://klasma.github.io/Logging_2303/fåglar/A 43960-2023 prioriterade fågelarter.docx", "A 43960-2023")</f>
        <v/>
      </c>
    </row>
    <row r="14" ht="15" customHeight="1">
      <c r="A14" t="inlineStr">
        <is>
          <t>A 41412-2024</t>
        </is>
      </c>
      <c r="B14" t="inlineStr">
        <is>
          <t>avverkningsanmälan</t>
        </is>
      </c>
      <c r="C14" t="inlineStr">
        <is>
          <t>Föryngringsavverkning</t>
        </is>
      </c>
      <c r="D14" s="1" t="n">
        <v>45560</v>
      </c>
      <c r="E14" s="1" t="n">
        <v>46319</v>
      </c>
      <c r="F14" t="inlineStr">
        <is>
          <t>JÄMTLANDS LÄN</t>
        </is>
      </c>
      <c r="G14" t="inlineStr">
        <is>
          <t>RAGUNDA</t>
        </is>
      </c>
      <c r="H14" t="inlineStr">
        <is>
          <t>SCA</t>
        </is>
      </c>
      <c r="I14" t="n">
        <v>1.8</v>
      </c>
      <c r="J14" t="n">
        <v>4</v>
      </c>
      <c r="K14" t="n">
        <v>7</v>
      </c>
      <c r="L14" t="n">
        <v>5</v>
      </c>
      <c r="M14" t="n">
        <v>2</v>
      </c>
      <c r="N14" t="n">
        <v>0</v>
      </c>
      <c r="O14" t="n">
        <v>0</v>
      </c>
      <c r="P14" t="n">
        <v>0</v>
      </c>
      <c r="Q14" t="n">
        <v>7</v>
      </c>
      <c r="R14" t="n">
        <v>2</v>
      </c>
      <c r="S14" t="n">
        <v>16</v>
      </c>
      <c r="T14" t="n">
        <v>42</v>
      </c>
      <c r="U14" t="n">
        <v>40</v>
      </c>
      <c r="V14" s="2" t="inlineStr">
        <is>
          <t>Garnlav
Knärot
Dropptaggsvamp
Kortskaftad ärgspik
Lunglav
Rosenticka
Ullticka
Bårdlav
Korallblylav
Luddlav
Mörk husmossa
Spindelblomster
Stuplav
Vedticka
Spillkråka
Svartvit flugsnappare</t>
        </is>
      </c>
      <c r="W14">
        <f>HYPERLINK("https://klasma.github.io/Logging_2303/artfynd/A 41412-2024 artfynd.xlsx", "A 41412-2024")</f>
        <v/>
      </c>
      <c r="X14">
        <f>HYPERLINK("https://klasma.github.io/Logging_2303/kartor/A 41412-2024 karta.png", "A 41412-2024")</f>
        <v/>
      </c>
      <c r="Y14">
        <f>HYPERLINK("https://klasma.github.io/Logging_2303/kartor_geotiff/A 41412-2024 georefererad karta.tif", "A 41412-2024")</f>
        <v/>
      </c>
      <c r="Z14">
        <f>HYPERLINK("https://klasma.github.io/Logging_2303/knärot/A 41412-2024 karta knärot.png", "A 41412-2024")</f>
        <v/>
      </c>
      <c r="AA14">
        <f>HYPERLINK("https://klasma.github.io/Logging_2303/klagomål/A 41412-2024 FSC-klagomål.docx", "A 41412-2024")</f>
        <v/>
      </c>
      <c r="AB14">
        <f>HYPERLINK("https://klasma.github.io/Logging_2303/klagomålsmail/A 41412-2024 FSC-klagomål mail.docx", "A 41412-2024")</f>
        <v/>
      </c>
      <c r="AC14">
        <f>HYPERLINK("https://klasma.github.io/Logging_2303/tillsyn/A 41412-2024 tillsynsbegäran.docx", "A 41412-2024")</f>
        <v/>
      </c>
      <c r="AD14">
        <f>HYPERLINK("https://klasma.github.io/Logging_2303/tillsynsmail/A 41412-2024 tillsynsbegäran mail.docx", "A 41412-2024")</f>
        <v/>
      </c>
      <c r="AE14">
        <f>HYPERLINK("https://klasma.github.io/Logging_2303/fåglar/A 41412-2024 prioriterade fågelarter.docx", "A 41412-2024")</f>
        <v/>
      </c>
    </row>
    <row r="15" ht="15" customHeight="1">
      <c r="A15" t="inlineStr">
        <is>
          <t>A 62948-2021</t>
        </is>
      </c>
      <c r="B15" t="inlineStr">
        <is>
          <t>avverkningsanmälan</t>
        </is>
      </c>
      <c r="C15" t="inlineStr">
        <is>
          <t>Avverkning för att bevara och utveckla /försöksver</t>
        </is>
      </c>
      <c r="D15" s="1" t="n">
        <v>44504</v>
      </c>
      <c r="E15" s="1" t="n">
        <v>46319</v>
      </c>
      <c r="F15" t="inlineStr">
        <is>
          <t>JÄMTLANDS LÄN</t>
        </is>
      </c>
      <c r="G15" t="inlineStr">
        <is>
          <t>RAGUNDA</t>
        </is>
      </c>
      <c r="H15" t="inlineStr">
        <is>
          <t>SCA</t>
        </is>
      </c>
      <c r="I15" t="n">
        <v>3.5</v>
      </c>
      <c r="J15" t="n">
        <v>3</v>
      </c>
      <c r="K15" t="n">
        <v>7</v>
      </c>
      <c r="L15" t="n">
        <v>5</v>
      </c>
      <c r="M15" t="n">
        <v>2</v>
      </c>
      <c r="N15" t="n">
        <v>0</v>
      </c>
      <c r="O15" t="n">
        <v>0</v>
      </c>
      <c r="P15" t="n">
        <v>0</v>
      </c>
      <c r="Q15" t="n">
        <v>7</v>
      </c>
      <c r="R15" t="n">
        <v>2</v>
      </c>
      <c r="S15" t="n">
        <v>15</v>
      </c>
      <c r="T15" t="n">
        <v>25</v>
      </c>
      <c r="U15" t="n">
        <v>22</v>
      </c>
      <c r="V15" s="2" t="inlineStr">
        <is>
          <t>Garnlav
Knärot
Brunpudrad nållav
Dropptaggsvamp
Lunglav
Ullticka
Vitgrynig nållav
Grönkulla
Guckusko
Gulnål
Kransrams
Luddlav
Tibast
Underviol
Bergsslok</t>
        </is>
      </c>
      <c r="W15">
        <f>HYPERLINK("https://klasma.github.io/Logging_2303/artfynd/A 62948-2021 artfynd.xlsx", "A 62948-2021")</f>
        <v/>
      </c>
      <c r="X15">
        <f>HYPERLINK("https://klasma.github.io/Logging_2303/kartor/A 62948-2021 karta.png", "A 62948-2021")</f>
        <v/>
      </c>
      <c r="Y15">
        <f>HYPERLINK("https://klasma.github.io/Logging_2303/kartor_geotiff/A 62948-2021 georefererad karta.tif", "A 62948-2021")</f>
        <v/>
      </c>
      <c r="Z15">
        <f>HYPERLINK("https://klasma.github.io/Logging_2303/knärot/A 62948-2021 karta knärot.png", "A 62948-2021")</f>
        <v/>
      </c>
      <c r="AA15">
        <f>HYPERLINK("https://klasma.github.io/Logging_2303/klagomål/A 62948-2021 FSC-klagomål.docx", "A 62948-2021")</f>
        <v/>
      </c>
      <c r="AB15">
        <f>HYPERLINK("https://klasma.github.io/Logging_2303/klagomålsmail/A 62948-2021 FSC-klagomål mail.docx", "A 62948-2021")</f>
        <v/>
      </c>
      <c r="AC15">
        <f>HYPERLINK("https://klasma.github.io/Logging_2303/tillsyn/A 62948-2021 tillsynsbegäran.docx", "A 62948-2021")</f>
        <v/>
      </c>
      <c r="AD15">
        <f>HYPERLINK("https://klasma.github.io/Logging_2303/tillsynsmail/A 62948-2021 tillsynsbegäran mail.docx", "A 62948-2021")</f>
        <v/>
      </c>
    </row>
    <row r="16" ht="15" customHeight="1">
      <c r="A16" t="inlineStr">
        <is>
          <t>A 13308-2022</t>
        </is>
      </c>
      <c r="B16" t="inlineStr">
        <is>
          <t>avverkningsanmälan</t>
        </is>
      </c>
      <c r="C16" t="inlineStr">
        <is>
          <t>Föryngringsavverkning</t>
        </is>
      </c>
      <c r="D16" s="1" t="n">
        <v>44644</v>
      </c>
      <c r="E16" s="1" t="n">
        <v>46319</v>
      </c>
      <c r="F16" t="inlineStr">
        <is>
          <t>JÄMTLANDS LÄN</t>
        </is>
      </c>
      <c r="G16" t="inlineStr">
        <is>
          <t>RAGUNDA</t>
        </is>
      </c>
      <c r="H16" t="inlineStr">
        <is>
          <t>SCA</t>
        </is>
      </c>
      <c r="I16" t="n">
        <v>7.1</v>
      </c>
      <c r="J16" t="n">
        <v>0</v>
      </c>
      <c r="K16" t="n">
        <v>7</v>
      </c>
      <c r="L16" t="n">
        <v>5</v>
      </c>
      <c r="M16" t="n">
        <v>2</v>
      </c>
      <c r="N16" t="n">
        <v>0</v>
      </c>
      <c r="O16" t="n">
        <v>0</v>
      </c>
      <c r="P16" t="n">
        <v>0</v>
      </c>
      <c r="Q16" t="n">
        <v>7</v>
      </c>
      <c r="R16" t="n">
        <v>2</v>
      </c>
      <c r="S16" t="n">
        <v>14</v>
      </c>
      <c r="T16" t="n">
        <v>21</v>
      </c>
      <c r="U16" t="n">
        <v>21</v>
      </c>
      <c r="V16" s="2" t="inlineStr">
        <is>
          <t>Gränsticka
Smalskaftslav
Brunklöver
Harticka
Lunglav
Rosenticka
Vedtrappmossa
Bronshjon
Gulnål
Kransrams
Mörk husmossa
Skogshakmossa
Stuplav
Vedticka</t>
        </is>
      </c>
      <c r="W16">
        <f>HYPERLINK("https://klasma.github.io/Logging_2303/artfynd/A 13308-2022 artfynd.xlsx", "A 13308-2022")</f>
        <v/>
      </c>
      <c r="X16">
        <f>HYPERLINK("https://klasma.github.io/Logging_2303/kartor/A 13308-2022 karta.png", "A 13308-2022")</f>
        <v/>
      </c>
      <c r="Y16">
        <f>HYPERLINK("https://klasma.github.io/Logging_2303/kartor_geotiff/A 13308-2022 georefererad karta.tif", "A 13308-2022")</f>
        <v/>
      </c>
      <c r="AA16">
        <f>HYPERLINK("https://klasma.github.io/Logging_2303/klagomål/A 13308-2022 FSC-klagomål.docx", "A 13308-2022")</f>
        <v/>
      </c>
      <c r="AB16">
        <f>HYPERLINK("https://klasma.github.io/Logging_2303/klagomålsmail/A 13308-2022 FSC-klagomål mail.docx", "A 13308-2022")</f>
        <v/>
      </c>
      <c r="AC16">
        <f>HYPERLINK("https://klasma.github.io/Logging_2303/tillsyn/A 13308-2022 tillsynsbegäran.docx", "A 13308-2022")</f>
        <v/>
      </c>
      <c r="AD16">
        <f>HYPERLINK("https://klasma.github.io/Logging_2303/tillsynsmail/A 13308-2022 tillsynsbegäran mail.docx", "A 13308-2022")</f>
        <v/>
      </c>
    </row>
    <row r="17" ht="15" customHeight="1">
      <c r="A17" t="inlineStr">
        <is>
          <t>A 32068-2024</t>
        </is>
      </c>
      <c r="B17" t="inlineStr">
        <is>
          <t>avverkningsanmälan</t>
        </is>
      </c>
      <c r="C17" t="inlineStr">
        <is>
          <t>Avverkning för att bevara och utveckla /försöksver</t>
        </is>
      </c>
      <c r="D17" s="1" t="n">
        <v>45510</v>
      </c>
      <c r="E17" s="1" t="n">
        <v>46319</v>
      </c>
      <c r="F17" t="inlineStr">
        <is>
          <t>JÄMTLANDS LÄN</t>
        </is>
      </c>
      <c r="G17" t="inlineStr">
        <is>
          <t>RAGUNDA</t>
        </is>
      </c>
      <c r="H17" t="inlineStr">
        <is>
          <t>SCA</t>
        </is>
      </c>
      <c r="I17" t="n">
        <v>5.2</v>
      </c>
      <c r="J17" t="n">
        <v>3</v>
      </c>
      <c r="K17" t="n">
        <v>5</v>
      </c>
      <c r="L17" t="n">
        <v>5</v>
      </c>
      <c r="M17" t="n">
        <v>4</v>
      </c>
      <c r="N17" t="n">
        <v>0</v>
      </c>
      <c r="O17" t="n">
        <v>0</v>
      </c>
      <c r="P17" t="n">
        <v>0</v>
      </c>
      <c r="Q17" t="n">
        <v>9</v>
      </c>
      <c r="R17" t="n">
        <v>4</v>
      </c>
      <c r="S17" t="n">
        <v>14</v>
      </c>
      <c r="T17" t="n">
        <v>21</v>
      </c>
      <c r="U17" t="n">
        <v>0</v>
      </c>
      <c r="V17" s="2" t="inlineStr">
        <is>
          <t>Doftticka
Garnlav
Gränsticka
Knärot
Gammelgransskål
Kolflarnlav
Lunglav
Vedflikmossa
Vedtrappmossa
Bårdlav
Korallblylav
Plattlummer
Stor aspticka
Stuplav</t>
        </is>
      </c>
      <c r="W17">
        <f>HYPERLINK("https://klasma.github.io/Logging_2303/artfynd/A 32068-2024 artfynd.xlsx", "A 32068-2024")</f>
        <v/>
      </c>
      <c r="X17">
        <f>HYPERLINK("https://klasma.github.io/Logging_2303/kartor/A 32068-2024 karta.png", "A 32068-2024")</f>
        <v/>
      </c>
      <c r="Y17">
        <f>HYPERLINK("https://klasma.github.io/Logging_2303/kartor_geotiff/A 32068-2024 georefererad karta.tif", "A 32068-2024")</f>
        <v/>
      </c>
      <c r="Z17">
        <f>HYPERLINK("https://klasma.github.io/Logging_2303/knärot/A 32068-2024 karta knärot.png", "A 32068-2024")</f>
        <v/>
      </c>
      <c r="AA17">
        <f>HYPERLINK("https://klasma.github.io/Logging_2303/klagomål/A 32068-2024 FSC-klagomål.docx", "A 32068-2024")</f>
        <v/>
      </c>
      <c r="AB17">
        <f>HYPERLINK("https://klasma.github.io/Logging_2303/klagomålsmail/A 32068-2024 FSC-klagomål mail.docx", "A 32068-2024")</f>
        <v/>
      </c>
      <c r="AC17">
        <f>HYPERLINK("https://klasma.github.io/Logging_2303/tillsyn/A 32068-2024 tillsynsbegäran.docx", "A 32068-2024")</f>
        <v/>
      </c>
      <c r="AD17">
        <f>HYPERLINK("https://klasma.github.io/Logging_2303/tillsynsmail/A 32068-2024 tillsynsbegäran mail.docx", "A 32068-2024")</f>
        <v/>
      </c>
    </row>
    <row r="18" ht="15" customHeight="1">
      <c r="A18" t="inlineStr">
        <is>
          <t>A 43533-2025</t>
        </is>
      </c>
      <c r="B18" t="inlineStr">
        <is>
          <t>avverkningsanmälan</t>
        </is>
      </c>
      <c r="C18" t="inlineStr">
        <is>
          <t>Föryngringsavverkning</t>
        </is>
      </c>
      <c r="D18" s="1" t="n">
        <v>45911</v>
      </c>
      <c r="E18" s="1" t="n">
        <v>46319</v>
      </c>
      <c r="F18" t="inlineStr">
        <is>
          <t>JÄMTLANDS LÄN</t>
        </is>
      </c>
      <c r="G18" t="inlineStr">
        <is>
          <t>RAGUNDA</t>
        </is>
      </c>
      <c r="I18" t="n">
        <v>19</v>
      </c>
      <c r="J18" t="n">
        <v>5</v>
      </c>
      <c r="K18" t="n">
        <v>4</v>
      </c>
      <c r="L18" t="n">
        <v>5</v>
      </c>
      <c r="M18" t="n">
        <v>3</v>
      </c>
      <c r="N18" t="n">
        <v>0</v>
      </c>
      <c r="O18" t="n">
        <v>0</v>
      </c>
      <c r="P18" t="n">
        <v>0</v>
      </c>
      <c r="Q18" t="n">
        <v>8</v>
      </c>
      <c r="R18" t="n">
        <v>3</v>
      </c>
      <c r="S18" t="n">
        <v>13</v>
      </c>
      <c r="T18" t="n">
        <v>76</v>
      </c>
      <c r="U18" t="n">
        <v>76</v>
      </c>
      <c r="V18" s="2" t="inlineStr">
        <is>
          <t>Doftticka
Garnlav
Knärot
Fjällig taggsvamp s.str.
Lavskrika
Lunglav
Skrovellav
Tretåig hackspett
Kransrams
Stuplav
Svavelriska
Tibast
Blåsippa</t>
        </is>
      </c>
      <c r="W18">
        <f>HYPERLINK("https://klasma.github.io/Logging_2303/artfynd/A 43533-2025 artfynd.xlsx", "A 43533-2025")</f>
        <v/>
      </c>
      <c r="X18">
        <f>HYPERLINK("https://klasma.github.io/Logging_2303/kartor/A 43533-2025 karta.png", "A 43533-2025")</f>
        <v/>
      </c>
      <c r="Y18">
        <f>HYPERLINK("https://klasma.github.io/Logging_2303/kartor_geotiff/A 43533-2025 georefererad karta.tif", "A 43533-2025")</f>
        <v/>
      </c>
      <c r="Z18">
        <f>HYPERLINK("https://klasma.github.io/Logging_2303/knärot/A 43533-2025 karta knärot.png", "A 43533-2025")</f>
        <v/>
      </c>
      <c r="AA18">
        <f>HYPERLINK("https://klasma.github.io/Logging_2303/klagomål/A 43533-2025 FSC-klagomål.docx", "A 43533-2025")</f>
        <v/>
      </c>
      <c r="AB18">
        <f>HYPERLINK("https://klasma.github.io/Logging_2303/klagomålsmail/A 43533-2025 FSC-klagomål mail.docx", "A 43533-2025")</f>
        <v/>
      </c>
      <c r="AC18">
        <f>HYPERLINK("https://klasma.github.io/Logging_2303/tillsyn/A 43533-2025 tillsynsbegäran.docx", "A 43533-2025")</f>
        <v/>
      </c>
      <c r="AD18">
        <f>HYPERLINK("https://klasma.github.io/Logging_2303/tillsynsmail/A 43533-2025 tillsynsbegäran mail.docx", "A 43533-2025")</f>
        <v/>
      </c>
      <c r="AE18">
        <f>HYPERLINK("https://klasma.github.io/Logging_2303/fåglar/A 43533-2025 prioriterade fågelarter.docx", "A 43533-2025")</f>
        <v/>
      </c>
    </row>
    <row r="19" ht="15" customHeight="1">
      <c r="A19" t="inlineStr">
        <is>
          <t>A 26082-2025</t>
        </is>
      </c>
      <c r="B19" t="inlineStr">
        <is>
          <t>avverkningsanmälan</t>
        </is>
      </c>
      <c r="C19" t="inlineStr">
        <is>
          <t>Föryngringsavverkning</t>
        </is>
      </c>
      <c r="D19" s="1" t="n">
        <v>45805</v>
      </c>
      <c r="E19" s="1" t="n">
        <v>46319</v>
      </c>
      <c r="F19" t="inlineStr">
        <is>
          <t>JÄMTLANDS LÄN</t>
        </is>
      </c>
      <c r="G19" t="inlineStr">
        <is>
          <t>RAGUNDA</t>
        </is>
      </c>
      <c r="H19" t="inlineStr">
        <is>
          <t>SCA</t>
        </is>
      </c>
      <c r="I19" t="n">
        <v>5</v>
      </c>
      <c r="J19" t="n">
        <v>3</v>
      </c>
      <c r="K19" t="n">
        <v>3</v>
      </c>
      <c r="L19" t="n">
        <v>6</v>
      </c>
      <c r="M19" t="n">
        <v>3</v>
      </c>
      <c r="N19" t="n">
        <v>0</v>
      </c>
      <c r="O19" t="n">
        <v>0</v>
      </c>
      <c r="P19" t="n">
        <v>0</v>
      </c>
      <c r="Q19" t="n">
        <v>9</v>
      </c>
      <c r="R19" t="n">
        <v>3</v>
      </c>
      <c r="S19" t="n">
        <v>13</v>
      </c>
      <c r="T19" t="n">
        <v>30</v>
      </c>
      <c r="U19" t="n">
        <v>23</v>
      </c>
      <c r="V19" s="2" t="inlineStr">
        <is>
          <t>Blackticka
Garnlav
Knärot
Gammelgransskål
Lunglav
Mörk kolflarnlav
Ullticka
Vedskivlav
Vitgrynig nållav
Barkticka
Bårdlav
Spindelblomster
Fläcknycklar</t>
        </is>
      </c>
      <c r="W19">
        <f>HYPERLINK("https://klasma.github.io/Logging_2303/artfynd/A 26082-2025 artfynd.xlsx", "A 26082-2025")</f>
        <v/>
      </c>
      <c r="X19">
        <f>HYPERLINK("https://klasma.github.io/Logging_2303/kartor/A 26082-2025 karta.png", "A 26082-2025")</f>
        <v/>
      </c>
      <c r="Y19">
        <f>HYPERLINK("https://klasma.github.io/Logging_2303/kartor_geotiff/A 26082-2025 georefererad karta.tif", "A 26082-2025")</f>
        <v/>
      </c>
      <c r="Z19">
        <f>HYPERLINK("https://klasma.github.io/Logging_2303/knärot/A 26082-2025 karta knärot.png", "A 26082-2025")</f>
        <v/>
      </c>
      <c r="AA19">
        <f>HYPERLINK("https://klasma.github.io/Logging_2303/klagomål/A 26082-2025 FSC-klagomål.docx", "A 26082-2025")</f>
        <v/>
      </c>
      <c r="AB19">
        <f>HYPERLINK("https://klasma.github.io/Logging_2303/klagomålsmail/A 26082-2025 FSC-klagomål mail.docx", "A 26082-2025")</f>
        <v/>
      </c>
      <c r="AC19">
        <f>HYPERLINK("https://klasma.github.io/Logging_2303/tillsyn/A 26082-2025 tillsynsbegäran.docx", "A 26082-2025")</f>
        <v/>
      </c>
      <c r="AD19">
        <f>HYPERLINK("https://klasma.github.io/Logging_2303/tillsynsmail/A 26082-2025 tillsynsbegäran mail.docx", "A 26082-2025")</f>
        <v/>
      </c>
    </row>
    <row r="20" ht="15" customHeight="1">
      <c r="A20" t="inlineStr">
        <is>
          <t>A 32741-2025</t>
        </is>
      </c>
      <c r="B20" t="inlineStr">
        <is>
          <t>avverkningsanmälan</t>
        </is>
      </c>
      <c r="C20" t="inlineStr">
        <is>
          <t>Föryngringsavverkning</t>
        </is>
      </c>
      <c r="D20" s="1" t="n">
        <v>45839</v>
      </c>
      <c r="E20" s="1" t="n">
        <v>46319</v>
      </c>
      <c r="F20" t="inlineStr">
        <is>
          <t>JÄMTLANDS LÄN</t>
        </is>
      </c>
      <c r="G20" t="inlineStr">
        <is>
          <t>RAGUNDA</t>
        </is>
      </c>
      <c r="I20" t="n">
        <v>4.2</v>
      </c>
      <c r="J20" t="n">
        <v>5</v>
      </c>
      <c r="K20" t="n">
        <v>2</v>
      </c>
      <c r="L20" t="n">
        <v>8</v>
      </c>
      <c r="M20" t="n">
        <v>2</v>
      </c>
      <c r="N20" t="n">
        <v>0</v>
      </c>
      <c r="O20" t="n">
        <v>0</v>
      </c>
      <c r="P20" t="n">
        <v>0</v>
      </c>
      <c r="Q20" t="n">
        <v>10</v>
      </c>
      <c r="R20" t="n">
        <v>2</v>
      </c>
      <c r="S20" t="n">
        <v>13</v>
      </c>
      <c r="T20" t="n">
        <v>37</v>
      </c>
      <c r="U20" t="n">
        <v>35</v>
      </c>
      <c r="V20" s="2" t="inlineStr">
        <is>
          <t>Garnlav
Knärot
Kolflarnlav
Lunglav
Talltagel
Talltita
Tretåig hackspett
Ullticka
Vedtrappmossa
Vitgrynig nållav
Spindelblomster
Stuplav
Fläcknycklar</t>
        </is>
      </c>
      <c r="W20">
        <f>HYPERLINK("https://klasma.github.io/Logging_2303/artfynd/A 32741-2025 artfynd.xlsx", "A 32741-2025")</f>
        <v/>
      </c>
      <c r="X20">
        <f>HYPERLINK("https://klasma.github.io/Logging_2303/kartor/A 32741-2025 karta.png", "A 32741-2025")</f>
        <v/>
      </c>
      <c r="Y20">
        <f>HYPERLINK("https://klasma.github.io/Logging_2303/kartor_geotiff/A 32741-2025 georefererad karta.tif", "A 32741-2025")</f>
        <v/>
      </c>
      <c r="Z20">
        <f>HYPERLINK("https://klasma.github.io/Logging_2303/knärot/A 32741-2025 karta knärot.png", "A 32741-2025")</f>
        <v/>
      </c>
      <c r="AA20">
        <f>HYPERLINK("https://klasma.github.io/Logging_2303/klagomål/A 32741-2025 FSC-klagomål.docx", "A 32741-2025")</f>
        <v/>
      </c>
      <c r="AB20">
        <f>HYPERLINK("https://klasma.github.io/Logging_2303/klagomålsmail/A 32741-2025 FSC-klagomål mail.docx", "A 32741-2025")</f>
        <v/>
      </c>
      <c r="AC20">
        <f>HYPERLINK("https://klasma.github.io/Logging_2303/tillsyn/A 32741-2025 tillsynsbegäran.docx", "A 32741-2025")</f>
        <v/>
      </c>
      <c r="AD20">
        <f>HYPERLINK("https://klasma.github.io/Logging_2303/tillsynsmail/A 32741-2025 tillsynsbegäran mail.docx", "A 32741-2025")</f>
        <v/>
      </c>
      <c r="AE20">
        <f>HYPERLINK("https://klasma.github.io/Logging_2303/fåglar/A 32741-2025 prioriterade fågelarter.docx", "A 32741-2025")</f>
        <v/>
      </c>
    </row>
    <row r="21" ht="15" customHeight="1">
      <c r="A21" t="inlineStr">
        <is>
          <t>A 14696-2022</t>
        </is>
      </c>
      <c r="B21" t="inlineStr">
        <is>
          <t>avverkningsanmälan</t>
        </is>
      </c>
      <c r="C21" t="inlineStr">
        <is>
          <t>Föryngringsavverkning</t>
        </is>
      </c>
      <c r="D21" s="1" t="n">
        <v>44655</v>
      </c>
      <c r="E21" s="1" t="n">
        <v>46319</v>
      </c>
      <c r="F21" t="inlineStr">
        <is>
          <t>JÄMTLANDS LÄN</t>
        </is>
      </c>
      <c r="G21" t="inlineStr">
        <is>
          <t>RAGUNDA</t>
        </is>
      </c>
      <c r="H21" t="inlineStr">
        <is>
          <t>SCA</t>
        </is>
      </c>
      <c r="I21" t="n">
        <v>3.4</v>
      </c>
      <c r="J21" t="n">
        <v>3</v>
      </c>
      <c r="K21" t="n">
        <v>3</v>
      </c>
      <c r="L21" t="n">
        <v>7</v>
      </c>
      <c r="M21" t="n">
        <v>2</v>
      </c>
      <c r="N21" t="n">
        <v>0</v>
      </c>
      <c r="O21" t="n">
        <v>0</v>
      </c>
      <c r="P21" t="n">
        <v>0</v>
      </c>
      <c r="Q21" t="n">
        <v>9</v>
      </c>
      <c r="R21" t="n">
        <v>2</v>
      </c>
      <c r="S21" t="n">
        <v>13</v>
      </c>
      <c r="T21" t="n">
        <v>28</v>
      </c>
      <c r="U21" t="n">
        <v>28</v>
      </c>
      <c r="V21" s="2" t="inlineStr">
        <is>
          <t>Doftticka
Garnlav
Gammelgransskål
Lunglav
Skuggblåslav
Tretåig hackspett
Ullticka
Vitgrynig nållav
Äggvaxskivling
Barkticka
Stuplav
Vedticka
Fläcknycklar</t>
        </is>
      </c>
      <c r="W21">
        <f>HYPERLINK("https://klasma.github.io/Logging_2303/artfynd/A 14696-2022 artfynd.xlsx", "A 14696-2022")</f>
        <v/>
      </c>
      <c r="X21">
        <f>HYPERLINK("https://klasma.github.io/Logging_2303/kartor/A 14696-2022 karta.png", "A 14696-2022")</f>
        <v/>
      </c>
      <c r="Y21">
        <f>HYPERLINK("https://klasma.github.io/Logging_2303/kartor_geotiff/A 14696-2022 georefererad karta.tif", "A 14696-2022")</f>
        <v/>
      </c>
      <c r="AA21">
        <f>HYPERLINK("https://klasma.github.io/Logging_2303/klagomål/A 14696-2022 FSC-klagomål.docx", "A 14696-2022")</f>
        <v/>
      </c>
      <c r="AB21">
        <f>HYPERLINK("https://klasma.github.io/Logging_2303/klagomålsmail/A 14696-2022 FSC-klagomål mail.docx", "A 14696-2022")</f>
        <v/>
      </c>
      <c r="AC21">
        <f>HYPERLINK("https://klasma.github.io/Logging_2303/tillsyn/A 14696-2022 tillsynsbegäran.docx", "A 14696-2022")</f>
        <v/>
      </c>
      <c r="AD21">
        <f>HYPERLINK("https://klasma.github.io/Logging_2303/tillsynsmail/A 14696-2022 tillsynsbegäran mail.docx", "A 14696-2022")</f>
        <v/>
      </c>
      <c r="AE21">
        <f>HYPERLINK("https://klasma.github.io/Logging_2303/fåglar/A 14696-2022 prioriterade fågelarter.docx", "A 14696-2022")</f>
        <v/>
      </c>
    </row>
    <row r="22" ht="15" customHeight="1">
      <c r="A22" t="inlineStr">
        <is>
          <t>A 19727-2025</t>
        </is>
      </c>
      <c r="B22" t="inlineStr">
        <is>
          <t>avverkningsanmälan</t>
        </is>
      </c>
      <c r="C22" t="inlineStr">
        <is>
          <t>Föryngringsavverkning</t>
        </is>
      </c>
      <c r="D22" s="1" t="n">
        <v>45771</v>
      </c>
      <c r="E22" s="1" t="n">
        <v>46319</v>
      </c>
      <c r="F22" t="inlineStr">
        <is>
          <t>JÄMTLANDS LÄN</t>
        </is>
      </c>
      <c r="G22" t="inlineStr">
        <is>
          <t>RAGUNDA</t>
        </is>
      </c>
      <c r="H22" t="inlineStr">
        <is>
          <t>SCA</t>
        </is>
      </c>
      <c r="I22" t="n">
        <v>9</v>
      </c>
      <c r="J22" t="n">
        <v>1</v>
      </c>
      <c r="K22" t="n">
        <v>2</v>
      </c>
      <c r="L22" t="n">
        <v>8</v>
      </c>
      <c r="M22" t="n">
        <v>3</v>
      </c>
      <c r="N22" t="n">
        <v>0</v>
      </c>
      <c r="O22" t="n">
        <v>0</v>
      </c>
      <c r="P22" t="n">
        <v>0</v>
      </c>
      <c r="Q22" t="n">
        <v>11</v>
      </c>
      <c r="R22" t="n">
        <v>3</v>
      </c>
      <c r="S22" t="n">
        <v>13</v>
      </c>
      <c r="T22" t="n">
        <v>28</v>
      </c>
      <c r="U22" t="n">
        <v>28</v>
      </c>
      <c r="V22" s="2" t="inlineStr">
        <is>
          <t>Garnlav
Knärot
Lappticka
Gammelgransskål
Lunglav
Rosenticka
Rynkskinn
Rödbrun blekspik
Ullticka
Violmussling
Vitgrynig nållav
Barkkornlav
Bårdlav</t>
        </is>
      </c>
      <c r="W22">
        <f>HYPERLINK("https://klasma.github.io/Logging_2303/artfynd/A 19727-2025 artfynd.xlsx", "A 19727-2025")</f>
        <v/>
      </c>
      <c r="X22">
        <f>HYPERLINK("https://klasma.github.io/Logging_2303/kartor/A 19727-2025 karta.png", "A 19727-2025")</f>
        <v/>
      </c>
      <c r="Y22">
        <f>HYPERLINK("https://klasma.github.io/Logging_2303/kartor_geotiff/A 19727-2025 georefererad karta.tif", "A 19727-2025")</f>
        <v/>
      </c>
      <c r="Z22">
        <f>HYPERLINK("https://klasma.github.io/Logging_2303/knärot/A 19727-2025 karta knärot.png", "A 19727-2025")</f>
        <v/>
      </c>
      <c r="AA22">
        <f>HYPERLINK("https://klasma.github.io/Logging_2303/klagomål/A 19727-2025 FSC-klagomål.docx", "A 19727-2025")</f>
        <v/>
      </c>
      <c r="AB22">
        <f>HYPERLINK("https://klasma.github.io/Logging_2303/klagomålsmail/A 19727-2025 FSC-klagomål mail.docx", "A 19727-2025")</f>
        <v/>
      </c>
      <c r="AC22">
        <f>HYPERLINK("https://klasma.github.io/Logging_2303/tillsyn/A 19727-2025 tillsynsbegäran.docx", "A 19727-2025")</f>
        <v/>
      </c>
      <c r="AD22">
        <f>HYPERLINK("https://klasma.github.io/Logging_2303/tillsynsmail/A 19727-2025 tillsynsbegäran mail.docx", "A 19727-2025")</f>
        <v/>
      </c>
    </row>
    <row r="23" ht="15" customHeight="1">
      <c r="A23" t="inlineStr">
        <is>
          <t>A 33822-2023</t>
        </is>
      </c>
      <c r="B23" t="inlineStr">
        <is>
          <t>avverkningsanmälan</t>
        </is>
      </c>
      <c r="C23" t="inlineStr">
        <is>
          <t>Föryngringsavverkning</t>
        </is>
      </c>
      <c r="D23" s="1" t="n">
        <v>45121</v>
      </c>
      <c r="E23" s="1" t="n">
        <v>46319</v>
      </c>
      <c r="F23" t="inlineStr">
        <is>
          <t>JÄMTLANDS LÄN</t>
        </is>
      </c>
      <c r="G23" t="inlineStr">
        <is>
          <t>RAGUNDA</t>
        </is>
      </c>
      <c r="I23" t="n">
        <v>3.9</v>
      </c>
      <c r="J23" t="n">
        <v>1</v>
      </c>
      <c r="K23" t="n">
        <v>4</v>
      </c>
      <c r="L23" t="n">
        <v>7</v>
      </c>
      <c r="M23" t="n">
        <v>1</v>
      </c>
      <c r="N23" t="n">
        <v>0</v>
      </c>
      <c r="O23" t="n">
        <v>0</v>
      </c>
      <c r="P23" t="n">
        <v>0</v>
      </c>
      <c r="Q23" t="n">
        <v>8</v>
      </c>
      <c r="R23" t="n">
        <v>1</v>
      </c>
      <c r="S23" t="n">
        <v>12</v>
      </c>
      <c r="T23" t="n">
        <v>21</v>
      </c>
      <c r="U23" t="n">
        <v>21</v>
      </c>
      <c r="V23" s="2" t="inlineStr">
        <is>
          <t>Fjällfotad musseron
Grynig filtlav
Lunglav
Skrovellav
Tretåig hackspett
Ullticka
Vedskivlav
Vitgrynig nållav
Bårdlav
Strimspindling
Stuplav
Svavelriska</t>
        </is>
      </c>
      <c r="W23">
        <f>HYPERLINK("https://klasma.github.io/Logging_2303/artfynd/A 33822-2023 artfynd.xlsx", "A 33822-2023")</f>
        <v/>
      </c>
      <c r="X23">
        <f>HYPERLINK("https://klasma.github.io/Logging_2303/kartor/A 33822-2023 karta.png", "A 33822-2023")</f>
        <v/>
      </c>
      <c r="Y23">
        <f>HYPERLINK("https://klasma.github.io/Logging_2303/kartor_geotiff/A 33822-2023 georefererad karta.tif", "A 33822-2023")</f>
        <v/>
      </c>
      <c r="AA23">
        <f>HYPERLINK("https://klasma.github.io/Logging_2303/klagomål/A 33822-2023 FSC-klagomål.docx", "A 33822-2023")</f>
        <v/>
      </c>
      <c r="AB23">
        <f>HYPERLINK("https://klasma.github.io/Logging_2303/klagomålsmail/A 33822-2023 FSC-klagomål mail.docx", "A 33822-2023")</f>
        <v/>
      </c>
      <c r="AC23">
        <f>HYPERLINK("https://klasma.github.io/Logging_2303/tillsyn/A 33822-2023 tillsynsbegäran.docx", "A 33822-2023")</f>
        <v/>
      </c>
      <c r="AD23">
        <f>HYPERLINK("https://klasma.github.io/Logging_2303/tillsynsmail/A 33822-2023 tillsynsbegäran mail.docx", "A 33822-2023")</f>
        <v/>
      </c>
      <c r="AE23">
        <f>HYPERLINK("https://klasma.github.io/Logging_2303/fåglar/A 33822-2023 prioriterade fågelarter.docx", "A 33822-2023")</f>
        <v/>
      </c>
    </row>
    <row r="24" ht="15" customHeight="1">
      <c r="A24" t="inlineStr">
        <is>
          <t>A 25632-2025</t>
        </is>
      </c>
      <c r="B24" t="inlineStr">
        <is>
          <t>avverkningsanmälan</t>
        </is>
      </c>
      <c r="C24" t="inlineStr">
        <is>
          <t>Föryngringsavverkning</t>
        </is>
      </c>
      <c r="D24" s="1" t="n">
        <v>45803</v>
      </c>
      <c r="E24" s="1" t="n">
        <v>46319</v>
      </c>
      <c r="F24" t="inlineStr">
        <is>
          <t>JÄMTLANDS LÄN</t>
        </is>
      </c>
      <c r="G24" t="inlineStr">
        <is>
          <t>RAGUNDA</t>
        </is>
      </c>
      <c r="I24" t="n">
        <v>13.3</v>
      </c>
      <c r="J24" t="n">
        <v>6</v>
      </c>
      <c r="K24" t="n">
        <v>3</v>
      </c>
      <c r="L24" t="n">
        <v>4</v>
      </c>
      <c r="M24" t="n">
        <v>2</v>
      </c>
      <c r="N24" t="n">
        <v>0</v>
      </c>
      <c r="O24" t="n">
        <v>0</v>
      </c>
      <c r="P24" t="n">
        <v>0</v>
      </c>
      <c r="Q24" t="n">
        <v>6</v>
      </c>
      <c r="R24" t="n">
        <v>2</v>
      </c>
      <c r="S24" t="n">
        <v>12</v>
      </c>
      <c r="T24" t="n">
        <v>22</v>
      </c>
      <c r="U24" t="n">
        <v>0</v>
      </c>
      <c r="V24" s="2" t="inlineStr">
        <is>
          <t>Garnlav
Knärot
Lunglav
Rödvingetrast
Skrovellav
Tretåig hackspett
Bårdlav
Stuplav
Svart trolldruva
Blåsippa
Spillkråka
Revlummer</t>
        </is>
      </c>
      <c r="W24">
        <f>HYPERLINK("https://klasma.github.io/Logging_2303/artfynd/A 25632-2025 artfynd.xlsx", "A 25632-2025")</f>
        <v/>
      </c>
      <c r="X24">
        <f>HYPERLINK("https://klasma.github.io/Logging_2303/kartor/A 25632-2025 karta.png", "A 25632-2025")</f>
        <v/>
      </c>
      <c r="Y24">
        <f>HYPERLINK("https://klasma.github.io/Logging_2303/kartor_geotiff/A 25632-2025 georefererad karta.tif", "A 25632-2025")</f>
        <v/>
      </c>
      <c r="Z24">
        <f>HYPERLINK("https://klasma.github.io/Logging_2303/knärot/A 25632-2025 karta knärot.png", "A 25632-2025")</f>
        <v/>
      </c>
      <c r="AA24">
        <f>HYPERLINK("https://klasma.github.io/Logging_2303/klagomål/A 25632-2025 FSC-klagomål.docx", "A 25632-2025")</f>
        <v/>
      </c>
      <c r="AB24">
        <f>HYPERLINK("https://klasma.github.io/Logging_2303/klagomålsmail/A 25632-2025 FSC-klagomål mail.docx", "A 25632-2025")</f>
        <v/>
      </c>
      <c r="AC24">
        <f>HYPERLINK("https://klasma.github.io/Logging_2303/tillsyn/A 25632-2025 tillsynsbegäran.docx", "A 25632-2025")</f>
        <v/>
      </c>
      <c r="AD24">
        <f>HYPERLINK("https://klasma.github.io/Logging_2303/tillsynsmail/A 25632-2025 tillsynsbegäran mail.docx", "A 25632-2025")</f>
        <v/>
      </c>
      <c r="AE24">
        <f>HYPERLINK("https://klasma.github.io/Logging_2303/fåglar/A 25632-2025 prioriterade fågelarter.docx", "A 25632-2025")</f>
        <v/>
      </c>
    </row>
    <row r="25" ht="15" customHeight="1">
      <c r="A25" t="inlineStr">
        <is>
          <t>A 43851-2026</t>
        </is>
      </c>
      <c r="B25" t="inlineStr">
        <is>
          <t>avverkningsanmälan</t>
        </is>
      </c>
      <c r="C25" t="inlineStr">
        <is>
          <t>Föryngringsavverkning</t>
        </is>
      </c>
      <c r="D25" s="1" t="n">
        <v>46316</v>
      </c>
      <c r="E25" s="1" t="n">
        <v>46319</v>
      </c>
      <c r="F25" t="inlineStr">
        <is>
          <t>JÄMTLANDS LÄN</t>
        </is>
      </c>
      <c r="G25" t="inlineStr">
        <is>
          <t>RAGUNDA</t>
        </is>
      </c>
      <c r="I25" t="n">
        <v>5.9</v>
      </c>
      <c r="J25" t="n">
        <v>1</v>
      </c>
      <c r="K25" t="n">
        <v>3</v>
      </c>
      <c r="L25" t="n">
        <v>7</v>
      </c>
      <c r="M25" t="n">
        <v>1</v>
      </c>
      <c r="N25" t="n">
        <v>0</v>
      </c>
      <c r="O25" t="n">
        <v>0</v>
      </c>
      <c r="P25" t="n">
        <v>0</v>
      </c>
      <c r="Q25" t="n">
        <v>8</v>
      </c>
      <c r="R25" t="n">
        <v>1</v>
      </c>
      <c r="S25" t="n">
        <v>12</v>
      </c>
      <c r="T25" t="n">
        <v>23</v>
      </c>
      <c r="U25" t="n">
        <v>0</v>
      </c>
      <c r="V25" s="2" t="inlineStr">
        <is>
          <t>Garnlav
Dvärgbägarlav
Kolflarnlav
Lunglav
Mörk kolflarnlav
Nordtagging
Vedflamlav
Vedskivlav
Bårdlav
Norrlandslav
Stuplav
Orre</t>
        </is>
      </c>
      <c r="W25">
        <f>HYPERLINK("https://klasma.github.io/Logging_2303/artfynd/A 43851-2026 artfynd.xlsx", "A 43851-2026")</f>
        <v/>
      </c>
      <c r="X25">
        <f>HYPERLINK("https://klasma.github.io/Logging_2303/kartor/A 43851-2026 karta.png", "A 43851-2026")</f>
        <v/>
      </c>
      <c r="Y25">
        <f>HYPERLINK("https://klasma.github.io/Logging_2303/kartor_geotiff/A 43851-2026 georefererad karta.tif", "A 43851-2026")</f>
        <v/>
      </c>
      <c r="AA25">
        <f>HYPERLINK("https://klasma.github.io/Logging_2303/klagomål/A 43851-2026 FSC-klagomål.docx", "A 43851-2026")</f>
        <v/>
      </c>
      <c r="AB25">
        <f>HYPERLINK("https://klasma.github.io/Logging_2303/klagomålsmail/A 43851-2026 FSC-klagomål mail.docx", "A 43851-2026")</f>
        <v/>
      </c>
      <c r="AC25">
        <f>HYPERLINK("https://klasma.github.io/Logging_2303/tillsyn/A 43851-2026 tillsynsbegäran.docx", "A 43851-2026")</f>
        <v/>
      </c>
      <c r="AD25">
        <f>HYPERLINK("https://klasma.github.io/Logging_2303/tillsynsmail/A 43851-2026 tillsynsbegäran mail.docx", "A 43851-2026")</f>
        <v/>
      </c>
      <c r="AE25">
        <f>HYPERLINK("https://klasma.github.io/Logging_2303/fåglar/A 43851-2026 prioriterade fågelarter.docx", "A 43851-2026")</f>
        <v/>
      </c>
    </row>
    <row r="26" ht="15" customHeight="1">
      <c r="A26" t="inlineStr">
        <is>
          <t>A 20574-2025</t>
        </is>
      </c>
      <c r="B26" t="inlineStr">
        <is>
          <t>avverkningsanmälan</t>
        </is>
      </c>
      <c r="C26" t="inlineStr">
        <is>
          <t>Föryngringsavverkning</t>
        </is>
      </c>
      <c r="D26" s="1" t="n">
        <v>45775</v>
      </c>
      <c r="E26" s="1" t="n">
        <v>46319</v>
      </c>
      <c r="F26" t="inlineStr">
        <is>
          <t>JÄMTLANDS LÄN</t>
        </is>
      </c>
      <c r="G26" t="inlineStr">
        <is>
          <t>RAGUNDA</t>
        </is>
      </c>
      <c r="H26" t="inlineStr">
        <is>
          <t>SCA</t>
        </is>
      </c>
      <c r="I26" t="n">
        <v>5.1</v>
      </c>
      <c r="J26" t="n">
        <v>5</v>
      </c>
      <c r="K26" t="n">
        <v>5</v>
      </c>
      <c r="L26" t="n">
        <v>2</v>
      </c>
      <c r="M26" t="n">
        <v>1</v>
      </c>
      <c r="N26" t="n">
        <v>0</v>
      </c>
      <c r="O26" t="n">
        <v>0</v>
      </c>
      <c r="P26" t="n">
        <v>0</v>
      </c>
      <c r="Q26" t="n">
        <v>3</v>
      </c>
      <c r="R26" t="n">
        <v>1</v>
      </c>
      <c r="S26" t="n">
        <v>12</v>
      </c>
      <c r="T26" t="n">
        <v>24</v>
      </c>
      <c r="U26" t="n">
        <v>24</v>
      </c>
      <c r="V26" s="2" t="inlineStr">
        <is>
          <t>Knärot
Lunglav
Rosenticka
Norrlandslav
Spindelblomster
Tibast
Trådticka
Tvåblad
Ekorrbär
Kärrfibbla
Svartvit flugsnappare
Brudsporre</t>
        </is>
      </c>
      <c r="W26">
        <f>HYPERLINK("https://klasma.github.io/Logging_2303/artfynd/A 20574-2025 artfynd.xlsx", "A 20574-2025")</f>
        <v/>
      </c>
      <c r="X26">
        <f>HYPERLINK("https://klasma.github.io/Logging_2303/kartor/A 20574-2025 karta.png", "A 20574-2025")</f>
        <v/>
      </c>
      <c r="Y26">
        <f>HYPERLINK("https://klasma.github.io/Logging_2303/kartor_geotiff/A 20574-2025 georefererad karta.tif", "A 20574-2025")</f>
        <v/>
      </c>
      <c r="Z26">
        <f>HYPERLINK("https://klasma.github.io/Logging_2303/knärot/A 20574-2025 karta knärot.png", "A 20574-2025")</f>
        <v/>
      </c>
      <c r="AA26">
        <f>HYPERLINK("https://klasma.github.io/Logging_2303/klagomål/A 20574-2025 FSC-klagomål.docx", "A 20574-2025")</f>
        <v/>
      </c>
      <c r="AB26">
        <f>HYPERLINK("https://klasma.github.io/Logging_2303/klagomålsmail/A 20574-2025 FSC-klagomål mail.docx", "A 20574-2025")</f>
        <v/>
      </c>
      <c r="AC26">
        <f>HYPERLINK("https://klasma.github.io/Logging_2303/tillsyn/A 20574-2025 tillsynsbegäran.docx", "A 20574-2025")</f>
        <v/>
      </c>
      <c r="AD26">
        <f>HYPERLINK("https://klasma.github.io/Logging_2303/tillsynsmail/A 20574-2025 tillsynsbegäran mail.docx", "A 20574-2025")</f>
        <v/>
      </c>
    </row>
    <row r="27" ht="15" customHeight="1">
      <c r="A27" t="inlineStr">
        <is>
          <t>S 841-2025</t>
        </is>
      </c>
      <c r="B27" t="inlineStr">
        <is>
          <t>samrådsanmälan</t>
        </is>
      </c>
      <c r="C27" t="inlineStr">
        <is>
          <t>Skogsgödsling</t>
        </is>
      </c>
      <c r="D27" s="1" t="n">
        <v>45733</v>
      </c>
      <c r="E27" s="1" t="n">
        <v>46319</v>
      </c>
      <c r="F27" t="inlineStr">
        <is>
          <t>JÄMTLANDS LÄN</t>
        </is>
      </c>
      <c r="G27" t="inlineStr">
        <is>
          <t>RAGUNDA</t>
        </is>
      </c>
      <c r="H27" t="inlineStr">
        <is>
          <t>SCA</t>
        </is>
      </c>
      <c r="I27" t="n">
        <v>1238.5</v>
      </c>
      <c r="J27" t="n">
        <v>8</v>
      </c>
      <c r="K27" t="n">
        <v>4</v>
      </c>
      <c r="L27" t="n">
        <v>0</v>
      </c>
      <c r="M27" t="n">
        <v>2</v>
      </c>
      <c r="N27" t="n">
        <v>0</v>
      </c>
      <c r="O27" t="n">
        <v>0</v>
      </c>
      <c r="P27" t="n">
        <v>0</v>
      </c>
      <c r="Q27" t="n">
        <v>2</v>
      </c>
      <c r="R27" t="n">
        <v>2</v>
      </c>
      <c r="S27" t="n">
        <v>12</v>
      </c>
      <c r="T27" t="n">
        <v>16</v>
      </c>
      <c r="U27" t="n">
        <v>4</v>
      </c>
      <c r="V27" s="2" t="inlineStr">
        <is>
          <t>Doftticka
Garnlav
Bårdlav
Korallrot
Plattlummer
Stuplav
Blåsippa
Kattfot
Mattlummer
Fläcknycklar
Revlummer
Äkta lopplummer</t>
        </is>
      </c>
      <c r="W27">
        <f>HYPERLINK("https://klasma.github.io/Logging_2303/artfynd/S 841-2025 artfynd.xlsx", "S 841-2025")</f>
        <v/>
      </c>
      <c r="X27">
        <f>HYPERLINK("https://klasma.github.io/Logging_2303/kartor/S 841-2025 karta.png", "S 841-2025")</f>
        <v/>
      </c>
      <c r="Y27">
        <f>HYPERLINK("https://klasma.github.io/Logging_2303/kartor_geotiff/S 841-2025 georefererad karta.tif", "S 841-2025")</f>
        <v/>
      </c>
      <c r="AA27">
        <f>HYPERLINK("https://klasma.github.io/Logging_2303/klagomål/S 841-2025 FSC-klagomål.docx", "S 841-2025")</f>
        <v/>
      </c>
      <c r="AB27">
        <f>HYPERLINK("https://klasma.github.io/Logging_2303/klagomålsmail/S 841-2025 FSC-klagomål mail.docx", "S 841-2025")</f>
        <v/>
      </c>
      <c r="AC27">
        <f>HYPERLINK("https://klasma.github.io/Logging_2303/tillsyn/S 841-2025 tillsynsbegäran.docx", "S 841-2025")</f>
        <v/>
      </c>
      <c r="AD27">
        <f>HYPERLINK("https://klasma.github.io/Logging_2303/tillsynsmail/S 841-2025 tillsynsbegäran mail.docx", "S 841-2025")</f>
        <v/>
      </c>
    </row>
    <row r="28" ht="15" customHeight="1">
      <c r="A28" t="inlineStr">
        <is>
          <t>A 2123-2026</t>
        </is>
      </c>
      <c r="B28" t="inlineStr">
        <is>
          <t>avverkningsanmälan</t>
        </is>
      </c>
      <c r="C28" t="inlineStr">
        <is>
          <t>Föryngringsavverkning</t>
        </is>
      </c>
      <c r="D28" s="1" t="n">
        <v>46036</v>
      </c>
      <c r="E28" s="1" t="n">
        <v>46319</v>
      </c>
      <c r="F28" t="inlineStr">
        <is>
          <t>JÄMTLANDS LÄN</t>
        </is>
      </c>
      <c r="G28" t="inlineStr">
        <is>
          <t>RAGUNDA</t>
        </is>
      </c>
      <c r="H28" t="inlineStr">
        <is>
          <t>SCA</t>
        </is>
      </c>
      <c r="I28" t="n">
        <v>5.1</v>
      </c>
      <c r="J28" t="n">
        <v>4</v>
      </c>
      <c r="K28" t="n">
        <v>1</v>
      </c>
      <c r="L28" t="n">
        <v>4</v>
      </c>
      <c r="M28" t="n">
        <v>2</v>
      </c>
      <c r="N28" t="n">
        <v>0</v>
      </c>
      <c r="O28" t="n">
        <v>0</v>
      </c>
      <c r="P28" t="n">
        <v>0</v>
      </c>
      <c r="Q28" t="n">
        <v>6</v>
      </c>
      <c r="R28" t="n">
        <v>2</v>
      </c>
      <c r="S28" t="n">
        <v>11</v>
      </c>
      <c r="T28" t="n">
        <v>24</v>
      </c>
      <c r="U28" t="n">
        <v>23</v>
      </c>
      <c r="V28" s="2" t="inlineStr">
        <is>
          <t>Violett guldvinge
Ängsblåvinge
Berggräsfjäril
Klådris
Månlåsbräken
Slåtterfibbla
Grönkulla
Bergsslok
Kattfot
Brudsporre
Fläcknycklar</t>
        </is>
      </c>
      <c r="W28">
        <f>HYPERLINK("https://klasma.github.io/Logging_2303/artfynd/A 2123-2026 artfynd.xlsx", "A 2123-2026")</f>
        <v/>
      </c>
      <c r="X28">
        <f>HYPERLINK("https://klasma.github.io/Logging_2303/kartor/A 2123-2026 karta.png", "A 2123-2026")</f>
        <v/>
      </c>
      <c r="Y28">
        <f>HYPERLINK("https://klasma.github.io/Logging_2303/kartor_geotiff/A 2123-2026 georefererad karta.tif", "A 2123-2026")</f>
        <v/>
      </c>
      <c r="AA28">
        <f>HYPERLINK("https://klasma.github.io/Logging_2303/klagomål/A 2123-2026 FSC-klagomål.docx", "A 2123-2026")</f>
        <v/>
      </c>
      <c r="AB28">
        <f>HYPERLINK("https://klasma.github.io/Logging_2303/klagomålsmail/A 2123-2026 FSC-klagomål mail.docx", "A 2123-2026")</f>
        <v/>
      </c>
      <c r="AC28">
        <f>HYPERLINK("https://klasma.github.io/Logging_2303/tillsyn/A 2123-2026 tillsynsbegäran.docx", "A 2123-2026")</f>
        <v/>
      </c>
      <c r="AD28">
        <f>HYPERLINK("https://klasma.github.io/Logging_2303/tillsynsmail/A 2123-2026 tillsynsbegäran mail.docx", "A 2123-2026")</f>
        <v/>
      </c>
    </row>
    <row r="29" ht="15" customHeight="1">
      <c r="A29" t="inlineStr">
        <is>
          <t>A 29517-2026</t>
        </is>
      </c>
      <c r="B29" t="inlineStr">
        <is>
          <t>avverkningsanmälan</t>
        </is>
      </c>
      <c r="C29" t="inlineStr">
        <is>
          <t>Föryngringsavverkning</t>
        </is>
      </c>
      <c r="D29" s="1" t="n">
        <v>46198</v>
      </c>
      <c r="E29" s="1" t="n">
        <v>46319</v>
      </c>
      <c r="F29" t="inlineStr">
        <is>
          <t>JÄMTLANDS LÄN</t>
        </is>
      </c>
      <c r="G29" t="inlineStr">
        <is>
          <t>RAGUNDA</t>
        </is>
      </c>
      <c r="I29" t="n">
        <v>5</v>
      </c>
      <c r="J29" t="n">
        <v>5</v>
      </c>
      <c r="K29" t="n">
        <v>1</v>
      </c>
      <c r="L29" t="n">
        <v>3</v>
      </c>
      <c r="M29" t="n">
        <v>2</v>
      </c>
      <c r="N29" t="n">
        <v>0</v>
      </c>
      <c r="O29" t="n">
        <v>0</v>
      </c>
      <c r="P29" t="n">
        <v>0</v>
      </c>
      <c r="Q29" t="n">
        <v>5</v>
      </c>
      <c r="R29" t="n">
        <v>2</v>
      </c>
      <c r="S29" t="n">
        <v>11</v>
      </c>
      <c r="T29" t="n">
        <v>68</v>
      </c>
      <c r="U29" t="n">
        <v>1</v>
      </c>
      <c r="V29" s="2" t="inlineStr">
        <is>
          <t>Garnlav
Knärot
Lunglav
Skrovellav
Tretåig hackspett
Bårdlav
Blåsippa
Kransmossa
Linnea
Fläcknycklar
Revlummer</t>
        </is>
      </c>
      <c r="W29">
        <f>HYPERLINK("https://klasma.github.io/Logging_2303/artfynd/A 29517-2026 artfynd.xlsx", "A 29517-2026")</f>
        <v/>
      </c>
      <c r="X29">
        <f>HYPERLINK("https://klasma.github.io/Logging_2303/kartor/A 29517-2026 karta.png", "A 29517-2026")</f>
        <v/>
      </c>
      <c r="Y29">
        <f>HYPERLINK("https://klasma.github.io/Logging_2303/kartor_geotiff/A 29517-2026 georefererad karta.tif", "A 29517-2026")</f>
        <v/>
      </c>
      <c r="Z29">
        <f>HYPERLINK("https://klasma.github.io/Logging_2303/knärot/A 29517-2026 karta knärot.png", "A 29517-2026")</f>
        <v/>
      </c>
      <c r="AA29">
        <f>HYPERLINK("https://klasma.github.io/Logging_2303/klagomål/A 29517-2026 FSC-klagomål.docx", "A 29517-2026")</f>
        <v/>
      </c>
      <c r="AB29">
        <f>HYPERLINK("https://klasma.github.io/Logging_2303/klagomålsmail/A 29517-2026 FSC-klagomål mail.docx", "A 29517-2026")</f>
        <v/>
      </c>
      <c r="AC29">
        <f>HYPERLINK("https://klasma.github.io/Logging_2303/tillsyn/A 29517-2026 tillsynsbegäran.docx", "A 29517-2026")</f>
        <v/>
      </c>
      <c r="AD29">
        <f>HYPERLINK("https://klasma.github.io/Logging_2303/tillsynsmail/A 29517-2026 tillsynsbegäran mail.docx", "A 29517-2026")</f>
        <v/>
      </c>
      <c r="AE29">
        <f>HYPERLINK("https://klasma.github.io/Logging_2303/fåglar/A 29517-2026 prioriterade fågelarter.docx", "A 29517-2026")</f>
        <v/>
      </c>
    </row>
    <row r="30" ht="15" customHeight="1">
      <c r="A30" t="inlineStr">
        <is>
          <t>A 13483-2022</t>
        </is>
      </c>
      <c r="B30" t="inlineStr">
        <is>
          <t>avverkningsanmälan</t>
        </is>
      </c>
      <c r="C30" t="inlineStr">
        <is>
          <t>Avverkning för att bevara och utveckla /försöksver</t>
        </is>
      </c>
      <c r="D30" s="1" t="n">
        <v>44645</v>
      </c>
      <c r="E30" s="1" t="n">
        <v>46319</v>
      </c>
      <c r="F30" t="inlineStr">
        <is>
          <t>JÄMTLANDS LÄN</t>
        </is>
      </c>
      <c r="G30" t="inlineStr">
        <is>
          <t>RAGUNDA</t>
        </is>
      </c>
      <c r="H30" t="inlineStr">
        <is>
          <t>SCA</t>
        </is>
      </c>
      <c r="I30" t="n">
        <v>5.7</v>
      </c>
      <c r="J30" t="n">
        <v>2</v>
      </c>
      <c r="K30" t="n">
        <v>3</v>
      </c>
      <c r="L30" t="n">
        <v>6</v>
      </c>
      <c r="M30" t="n">
        <v>2</v>
      </c>
      <c r="N30" t="n">
        <v>0</v>
      </c>
      <c r="O30" t="n">
        <v>0</v>
      </c>
      <c r="P30" t="n">
        <v>0</v>
      </c>
      <c r="Q30" t="n">
        <v>8</v>
      </c>
      <c r="R30" t="n">
        <v>2</v>
      </c>
      <c r="S30" t="n">
        <v>11</v>
      </c>
      <c r="T30" t="n">
        <v>42</v>
      </c>
      <c r="U30" t="n">
        <v>42</v>
      </c>
      <c r="V30" s="2" t="inlineStr">
        <is>
          <t>Garnlav
Knärot
Dropptaggsvamp
Lunglav
Mörk kolflarnlav
Vedskivlav
Vedtrappmossa
Vitgrynig nållav
Barkkornlav
Spindelblomster
Stuplav</t>
        </is>
      </c>
      <c r="W30">
        <f>HYPERLINK("https://klasma.github.io/Logging_2303/artfynd/A 13483-2022 artfynd.xlsx", "A 13483-2022")</f>
        <v/>
      </c>
      <c r="X30">
        <f>HYPERLINK("https://klasma.github.io/Logging_2303/kartor/A 13483-2022 karta.png", "A 13483-2022")</f>
        <v/>
      </c>
      <c r="Y30">
        <f>HYPERLINK("https://klasma.github.io/Logging_2303/kartor_geotiff/A 13483-2022 georefererad karta.tif", "A 13483-2022")</f>
        <v/>
      </c>
      <c r="Z30">
        <f>HYPERLINK("https://klasma.github.io/Logging_2303/knärot/A 13483-2022 karta knärot.png", "A 13483-2022")</f>
        <v/>
      </c>
      <c r="AA30">
        <f>HYPERLINK("https://klasma.github.io/Logging_2303/klagomål/A 13483-2022 FSC-klagomål.docx", "A 13483-2022")</f>
        <v/>
      </c>
      <c r="AB30">
        <f>HYPERLINK("https://klasma.github.io/Logging_2303/klagomålsmail/A 13483-2022 FSC-klagomål mail.docx", "A 13483-2022")</f>
        <v/>
      </c>
      <c r="AC30">
        <f>HYPERLINK("https://klasma.github.io/Logging_2303/tillsyn/A 13483-2022 tillsynsbegäran.docx", "A 13483-2022")</f>
        <v/>
      </c>
      <c r="AD30">
        <f>HYPERLINK("https://klasma.github.io/Logging_2303/tillsynsmail/A 13483-2022 tillsynsbegäran mail.docx", "A 13483-2022")</f>
        <v/>
      </c>
    </row>
    <row r="31" ht="15" customHeight="1">
      <c r="A31" t="inlineStr">
        <is>
          <t>A 9347-2024</t>
        </is>
      </c>
      <c r="B31" t="inlineStr">
        <is>
          <t>avverkningsanmälan</t>
        </is>
      </c>
      <c r="C31" t="inlineStr">
        <is>
          <t>Föryngringsavverkning</t>
        </is>
      </c>
      <c r="D31" s="1" t="n">
        <v>45358</v>
      </c>
      <c r="E31" s="1" t="n">
        <v>46319</v>
      </c>
      <c r="F31" t="inlineStr">
        <is>
          <t>JÄMTLANDS LÄN</t>
        </is>
      </c>
      <c r="G31" t="inlineStr">
        <is>
          <t>RAGUNDA</t>
        </is>
      </c>
      <c r="H31" t="inlineStr">
        <is>
          <t>SCA</t>
        </is>
      </c>
      <c r="I31" t="n">
        <v>1.6</v>
      </c>
      <c r="J31" t="n">
        <v>2</v>
      </c>
      <c r="K31" t="n">
        <v>2</v>
      </c>
      <c r="L31" t="n">
        <v>7</v>
      </c>
      <c r="M31" t="n">
        <v>2</v>
      </c>
      <c r="N31" t="n">
        <v>0</v>
      </c>
      <c r="O31" t="n">
        <v>0</v>
      </c>
      <c r="P31" t="n">
        <v>0</v>
      </c>
      <c r="Q31" t="n">
        <v>9</v>
      </c>
      <c r="R31" t="n">
        <v>2</v>
      </c>
      <c r="S31" t="n">
        <v>11</v>
      </c>
      <c r="T31" t="n">
        <v>12</v>
      </c>
      <c r="U31" t="n">
        <v>8</v>
      </c>
      <c r="V31" s="2" t="inlineStr">
        <is>
          <t>Garnlav
Knärot
Gultoppig fingersvamp
Kolflarnlav
Mörk kolflarnlav
Rosenticka
Rynkskinn
Rödfläckig zontaggsvamp
Vedskivlav
Svavelriska
Tvåblad</t>
        </is>
      </c>
      <c r="W31">
        <f>HYPERLINK("https://klasma.github.io/Logging_2303/artfynd/A 9347-2024 artfynd.xlsx", "A 9347-2024")</f>
        <v/>
      </c>
      <c r="X31">
        <f>HYPERLINK("https://klasma.github.io/Logging_2303/kartor/A 9347-2024 karta.png", "A 9347-2024")</f>
        <v/>
      </c>
      <c r="Y31">
        <f>HYPERLINK("https://klasma.github.io/Logging_2303/kartor_geotiff/A 9347-2024 georefererad karta.tif", "A 9347-2024")</f>
        <v/>
      </c>
      <c r="Z31">
        <f>HYPERLINK("https://klasma.github.io/Logging_2303/knärot/A 9347-2024 karta knärot.png", "A 9347-2024")</f>
        <v/>
      </c>
      <c r="AA31">
        <f>HYPERLINK("https://klasma.github.io/Logging_2303/klagomål/A 9347-2024 FSC-klagomål.docx", "A 9347-2024")</f>
        <v/>
      </c>
      <c r="AB31">
        <f>HYPERLINK("https://klasma.github.io/Logging_2303/klagomålsmail/A 9347-2024 FSC-klagomål mail.docx", "A 9347-2024")</f>
        <v/>
      </c>
      <c r="AC31">
        <f>HYPERLINK("https://klasma.github.io/Logging_2303/tillsyn/A 9347-2024 tillsynsbegäran.docx", "A 9347-2024")</f>
        <v/>
      </c>
      <c r="AD31">
        <f>HYPERLINK("https://klasma.github.io/Logging_2303/tillsynsmail/A 9347-2024 tillsynsbegäran mail.docx", "A 9347-2024")</f>
        <v/>
      </c>
    </row>
    <row r="32" ht="15" customHeight="1">
      <c r="A32" t="inlineStr">
        <is>
          <t>A 41406-2023</t>
        </is>
      </c>
      <c r="B32" t="inlineStr">
        <is>
          <t>avverkningsanmälan</t>
        </is>
      </c>
      <c r="C32" t="inlineStr">
        <is>
          <t>Avverkning för att bevara och utveckla /försöksver</t>
        </is>
      </c>
      <c r="D32" s="1" t="n">
        <v>45174</v>
      </c>
      <c r="E32" s="1" t="n">
        <v>46319</v>
      </c>
      <c r="F32" t="inlineStr">
        <is>
          <t>JÄMTLANDS LÄN</t>
        </is>
      </c>
      <c r="G32" t="inlineStr">
        <is>
          <t>RAGUNDA</t>
        </is>
      </c>
      <c r="H32" t="inlineStr">
        <is>
          <t>SCA</t>
        </is>
      </c>
      <c r="I32" t="n">
        <v>8</v>
      </c>
      <c r="J32" t="n">
        <v>0</v>
      </c>
      <c r="K32" t="n">
        <v>2</v>
      </c>
      <c r="L32" t="n">
        <v>9</v>
      </c>
      <c r="M32" t="n">
        <v>0</v>
      </c>
      <c r="N32" t="n">
        <v>0</v>
      </c>
      <c r="O32" t="n">
        <v>0</v>
      </c>
      <c r="P32" t="n">
        <v>0</v>
      </c>
      <c r="Q32" t="n">
        <v>9</v>
      </c>
      <c r="R32" t="n">
        <v>0</v>
      </c>
      <c r="S32" t="n">
        <v>11</v>
      </c>
      <c r="T32" t="n">
        <v>15</v>
      </c>
      <c r="U32" t="n">
        <v>1</v>
      </c>
      <c r="V32" s="2" t="inlineStr">
        <is>
          <t>Dropptaggsvamp
Dvärgbägarlav
Grönhjon
Lunglav
Nordtagging
Rosa skärelav
Rosenticka
Ullticka
Vitgrynig nållav
Gulnål
Kornig nållav</t>
        </is>
      </c>
      <c r="W32">
        <f>HYPERLINK("https://klasma.github.io/Logging_2303/artfynd/A 41406-2023 artfynd.xlsx", "A 41406-2023")</f>
        <v/>
      </c>
      <c r="X32">
        <f>HYPERLINK("https://klasma.github.io/Logging_2303/kartor/A 41406-2023 karta.png", "A 41406-2023")</f>
        <v/>
      </c>
      <c r="Y32">
        <f>HYPERLINK("https://klasma.github.io/Logging_2303/kartor_geotiff/A 41406-2023 georefererad karta.tif", "A 41406-2023")</f>
        <v/>
      </c>
      <c r="AA32">
        <f>HYPERLINK("https://klasma.github.io/Logging_2303/klagomål/A 41406-2023 FSC-klagomål.docx", "A 41406-2023")</f>
        <v/>
      </c>
      <c r="AB32">
        <f>HYPERLINK("https://klasma.github.io/Logging_2303/klagomålsmail/A 41406-2023 FSC-klagomål mail.docx", "A 41406-2023")</f>
        <v/>
      </c>
      <c r="AC32">
        <f>HYPERLINK("https://klasma.github.io/Logging_2303/tillsyn/A 41406-2023 tillsynsbegäran.docx", "A 41406-2023")</f>
        <v/>
      </c>
      <c r="AD32">
        <f>HYPERLINK("https://klasma.github.io/Logging_2303/tillsynsmail/A 41406-2023 tillsynsbegäran mail.docx", "A 41406-2023")</f>
        <v/>
      </c>
    </row>
    <row r="33" ht="15" customHeight="1">
      <c r="A33" t="inlineStr">
        <is>
          <t>A 36943-2022</t>
        </is>
      </c>
      <c r="B33" t="inlineStr">
        <is>
          <t>avverkningsanmälan</t>
        </is>
      </c>
      <c r="C33" t="inlineStr">
        <is>
          <t>Föryngringsavverkning</t>
        </is>
      </c>
      <c r="D33" s="1" t="n">
        <v>44805</v>
      </c>
      <c r="E33" s="1" t="n">
        <v>46319</v>
      </c>
      <c r="F33" t="inlineStr">
        <is>
          <t>JÄMTLANDS LÄN</t>
        </is>
      </c>
      <c r="G33" t="inlineStr">
        <is>
          <t>RAGUNDA</t>
        </is>
      </c>
      <c r="H33" t="inlineStr">
        <is>
          <t>SCA</t>
        </is>
      </c>
      <c r="I33" t="n">
        <v>2.2</v>
      </c>
      <c r="J33" t="n">
        <v>3</v>
      </c>
      <c r="K33" t="n">
        <v>2</v>
      </c>
      <c r="L33" t="n">
        <v>4</v>
      </c>
      <c r="M33" t="n">
        <v>2</v>
      </c>
      <c r="N33" t="n">
        <v>0</v>
      </c>
      <c r="O33" t="n">
        <v>0</v>
      </c>
      <c r="P33" t="n">
        <v>0</v>
      </c>
      <c r="Q33" t="n">
        <v>6</v>
      </c>
      <c r="R33" t="n">
        <v>2</v>
      </c>
      <c r="S33" t="n">
        <v>10</v>
      </c>
      <c r="T33" t="n">
        <v>15</v>
      </c>
      <c r="U33" t="n">
        <v>15</v>
      </c>
      <c r="V33" s="2" t="inlineStr">
        <is>
          <t>Garnlav
Knärot
Lunglav
Mörk kolflarnlav
Rosenticka
Ullticka
Bårdlav
Underviol
Blåsippa
Nattviol</t>
        </is>
      </c>
      <c r="W33">
        <f>HYPERLINK("https://klasma.github.io/Logging_2303/artfynd/A 36943-2022 artfynd.xlsx", "A 36943-2022")</f>
        <v/>
      </c>
      <c r="X33">
        <f>HYPERLINK("https://klasma.github.io/Logging_2303/kartor/A 36943-2022 karta.png", "A 36943-2022")</f>
        <v/>
      </c>
      <c r="Y33">
        <f>HYPERLINK("https://klasma.github.io/Logging_2303/kartor_geotiff/A 36943-2022 georefererad karta.tif", "A 36943-2022")</f>
        <v/>
      </c>
      <c r="Z33">
        <f>HYPERLINK("https://klasma.github.io/Logging_2303/knärot/A 36943-2022 karta knärot.png", "A 36943-2022")</f>
        <v/>
      </c>
      <c r="AA33">
        <f>HYPERLINK("https://klasma.github.io/Logging_2303/klagomål/A 36943-2022 FSC-klagomål.docx", "A 36943-2022")</f>
        <v/>
      </c>
      <c r="AB33">
        <f>HYPERLINK("https://klasma.github.io/Logging_2303/klagomålsmail/A 36943-2022 FSC-klagomål mail.docx", "A 36943-2022")</f>
        <v/>
      </c>
      <c r="AC33">
        <f>HYPERLINK("https://klasma.github.io/Logging_2303/tillsyn/A 36943-2022 tillsynsbegäran.docx", "A 36943-2022")</f>
        <v/>
      </c>
      <c r="AD33">
        <f>HYPERLINK("https://klasma.github.io/Logging_2303/tillsynsmail/A 36943-2022 tillsynsbegäran mail.docx", "A 36943-2022")</f>
        <v/>
      </c>
    </row>
    <row r="34" ht="15" customHeight="1">
      <c r="A34" t="inlineStr">
        <is>
          <t>A 31839-2022</t>
        </is>
      </c>
      <c r="B34" t="inlineStr">
        <is>
          <t>avverkningsanmälan</t>
        </is>
      </c>
      <c r="C34" t="inlineStr">
        <is>
          <t>Föryngringsavverkning</t>
        </is>
      </c>
      <c r="D34" s="1" t="n">
        <v>44776</v>
      </c>
      <c r="E34" s="1" t="n">
        <v>46319</v>
      </c>
      <c r="F34" t="inlineStr">
        <is>
          <t>JÄMTLANDS LÄN</t>
        </is>
      </c>
      <c r="G34" t="inlineStr">
        <is>
          <t>RAGUNDA</t>
        </is>
      </c>
      <c r="H34" t="inlineStr">
        <is>
          <t>SCA</t>
        </is>
      </c>
      <c r="I34" t="n">
        <v>3.2</v>
      </c>
      <c r="J34" t="n">
        <v>3</v>
      </c>
      <c r="K34" t="n">
        <v>4</v>
      </c>
      <c r="L34" t="n">
        <v>4</v>
      </c>
      <c r="M34" t="n">
        <v>2</v>
      </c>
      <c r="N34" t="n">
        <v>0</v>
      </c>
      <c r="O34" t="n">
        <v>0</v>
      </c>
      <c r="P34" t="n">
        <v>0</v>
      </c>
      <c r="Q34" t="n">
        <v>6</v>
      </c>
      <c r="R34" t="n">
        <v>2</v>
      </c>
      <c r="S34" t="n">
        <v>10</v>
      </c>
      <c r="T34" t="n">
        <v>12</v>
      </c>
      <c r="U34" t="n">
        <v>12</v>
      </c>
      <c r="V34" s="2" t="inlineStr">
        <is>
          <t>Knärot
Smalskaftslav
Rosenticka
Tretåig hackspett
Ullticka
Vitgrynig nållav
Grönkulla
Gulnål
Svavelriska
Vedticka</t>
        </is>
      </c>
      <c r="W34">
        <f>HYPERLINK("https://klasma.github.io/Logging_2303/artfynd/A 31839-2022 artfynd.xlsx", "A 31839-2022")</f>
        <v/>
      </c>
      <c r="X34">
        <f>HYPERLINK("https://klasma.github.io/Logging_2303/kartor/A 31839-2022 karta.png", "A 31839-2022")</f>
        <v/>
      </c>
      <c r="Y34">
        <f>HYPERLINK("https://klasma.github.io/Logging_2303/kartor_geotiff/A 31839-2022 georefererad karta.tif", "A 31839-2022")</f>
        <v/>
      </c>
      <c r="Z34">
        <f>HYPERLINK("https://klasma.github.io/Logging_2303/knärot/A 31839-2022 karta knärot.png", "A 31839-2022")</f>
        <v/>
      </c>
      <c r="AA34">
        <f>HYPERLINK("https://klasma.github.io/Logging_2303/klagomål/A 31839-2022 FSC-klagomål.docx", "A 31839-2022")</f>
        <v/>
      </c>
      <c r="AB34">
        <f>HYPERLINK("https://klasma.github.io/Logging_2303/klagomålsmail/A 31839-2022 FSC-klagomål mail.docx", "A 31839-2022")</f>
        <v/>
      </c>
      <c r="AC34">
        <f>HYPERLINK("https://klasma.github.io/Logging_2303/tillsyn/A 31839-2022 tillsynsbegäran.docx", "A 31839-2022")</f>
        <v/>
      </c>
      <c r="AD34">
        <f>HYPERLINK("https://klasma.github.io/Logging_2303/tillsynsmail/A 31839-2022 tillsynsbegäran mail.docx", "A 31839-2022")</f>
        <v/>
      </c>
      <c r="AE34">
        <f>HYPERLINK("https://klasma.github.io/Logging_2303/fåglar/A 31839-2022 prioriterade fågelarter.docx", "A 31839-2022")</f>
        <v/>
      </c>
    </row>
    <row r="35" ht="15" customHeight="1">
      <c r="A35" t="inlineStr">
        <is>
          <t>A 55894-2022</t>
        </is>
      </c>
      <c r="B35" t="inlineStr">
        <is>
          <t>avverkningsanmälan</t>
        </is>
      </c>
      <c r="C35" t="inlineStr">
        <is>
          <t>Avverkning för att bevara och utveckla /försöksver</t>
        </is>
      </c>
      <c r="D35" s="1" t="n">
        <v>44888</v>
      </c>
      <c r="E35" s="1" t="n">
        <v>46319</v>
      </c>
      <c r="F35" t="inlineStr">
        <is>
          <t>JÄMTLANDS LÄN</t>
        </is>
      </c>
      <c r="G35" t="inlineStr">
        <is>
          <t>RAGUNDA</t>
        </is>
      </c>
      <c r="H35" t="inlineStr">
        <is>
          <t>SCA</t>
        </is>
      </c>
      <c r="I35" t="n">
        <v>3.8</v>
      </c>
      <c r="J35" t="n">
        <v>3</v>
      </c>
      <c r="K35" t="n">
        <v>6</v>
      </c>
      <c r="L35" t="n">
        <v>1</v>
      </c>
      <c r="M35" t="n">
        <v>1</v>
      </c>
      <c r="N35" t="n">
        <v>0</v>
      </c>
      <c r="O35" t="n">
        <v>0</v>
      </c>
      <c r="P35" t="n">
        <v>0</v>
      </c>
      <c r="Q35" t="n">
        <v>2</v>
      </c>
      <c r="R35" t="n">
        <v>1</v>
      </c>
      <c r="S35" t="n">
        <v>10</v>
      </c>
      <c r="T35" t="n">
        <v>15</v>
      </c>
      <c r="U35" t="n">
        <v>0</v>
      </c>
      <c r="V35" s="2" t="inlineStr">
        <is>
          <t>Garnlav
Lunglav
Korallrot
Källmossa
Luddlav
Stuplav
Vedticka
Ögonpyrola
Spillkråka
Revlummer</t>
        </is>
      </c>
      <c r="W35">
        <f>HYPERLINK("https://klasma.github.io/Logging_2303/artfynd/A 55894-2022 artfynd.xlsx", "A 55894-2022")</f>
        <v/>
      </c>
      <c r="X35">
        <f>HYPERLINK("https://klasma.github.io/Logging_2303/kartor/A 55894-2022 karta.png", "A 55894-2022")</f>
        <v/>
      </c>
      <c r="Y35">
        <f>HYPERLINK("https://klasma.github.io/Logging_2303/kartor_geotiff/A 55894-2022 georefererad karta.tif", "A 55894-2022")</f>
        <v/>
      </c>
      <c r="AA35">
        <f>HYPERLINK("https://klasma.github.io/Logging_2303/klagomål/A 55894-2022 FSC-klagomål.docx", "A 55894-2022")</f>
        <v/>
      </c>
      <c r="AB35">
        <f>HYPERLINK("https://klasma.github.io/Logging_2303/klagomålsmail/A 55894-2022 FSC-klagomål mail.docx", "A 55894-2022")</f>
        <v/>
      </c>
      <c r="AC35">
        <f>HYPERLINK("https://klasma.github.io/Logging_2303/tillsyn/A 55894-2022 tillsynsbegäran.docx", "A 55894-2022")</f>
        <v/>
      </c>
      <c r="AD35">
        <f>HYPERLINK("https://klasma.github.io/Logging_2303/tillsynsmail/A 55894-2022 tillsynsbegäran mail.docx", "A 55894-2022")</f>
        <v/>
      </c>
      <c r="AE35">
        <f>HYPERLINK("https://klasma.github.io/Logging_2303/fåglar/A 55894-2022 prioriterade fågelarter.docx", "A 55894-2022")</f>
        <v/>
      </c>
    </row>
    <row r="36" ht="15" customHeight="1">
      <c r="A36" t="inlineStr">
        <is>
          <t>A 14908-2022</t>
        </is>
      </c>
      <c r="B36" t="inlineStr">
        <is>
          <t>avverkningsanmälan</t>
        </is>
      </c>
      <c r="C36" t="inlineStr">
        <is>
          <t>Avverkning för att bevara och utveckla /försöksver</t>
        </is>
      </c>
      <c r="D36" s="1" t="n">
        <v>44656</v>
      </c>
      <c r="E36" s="1" t="n">
        <v>46319</v>
      </c>
      <c r="F36" t="inlineStr">
        <is>
          <t>JÄMTLANDS LÄN</t>
        </is>
      </c>
      <c r="G36" t="inlineStr">
        <is>
          <t>RAGUNDA</t>
        </is>
      </c>
      <c r="H36" t="inlineStr">
        <is>
          <t>SCA</t>
        </is>
      </c>
      <c r="I36" t="n">
        <v>4.6</v>
      </c>
      <c r="J36" t="n">
        <v>0</v>
      </c>
      <c r="K36" t="n">
        <v>5</v>
      </c>
      <c r="L36" t="n">
        <v>2</v>
      </c>
      <c r="M36" t="n">
        <v>2</v>
      </c>
      <c r="N36" t="n">
        <v>0</v>
      </c>
      <c r="O36" t="n">
        <v>0</v>
      </c>
      <c r="P36" t="n">
        <v>0</v>
      </c>
      <c r="Q36" t="n">
        <v>4</v>
      </c>
      <c r="R36" t="n">
        <v>2</v>
      </c>
      <c r="S36" t="n">
        <v>9</v>
      </c>
      <c r="T36" t="n">
        <v>9</v>
      </c>
      <c r="U36" t="n">
        <v>0</v>
      </c>
      <c r="V36" s="2" t="inlineStr">
        <is>
          <t>Garnlav
Gränsticka
Lunglav
Skrovellav
Bårdlav
Källmossa
Stuplav
Vedticka
Ögonpyrola</t>
        </is>
      </c>
      <c r="W36">
        <f>HYPERLINK("https://klasma.github.io/Logging_2303/artfynd/A 14908-2022 artfynd.xlsx", "A 14908-2022")</f>
        <v/>
      </c>
      <c r="X36">
        <f>HYPERLINK("https://klasma.github.io/Logging_2303/kartor/A 14908-2022 karta.png", "A 14908-2022")</f>
        <v/>
      </c>
      <c r="Y36">
        <f>HYPERLINK("https://klasma.github.io/Logging_2303/kartor_geotiff/A 14908-2022 georefererad karta.tif", "A 14908-2022")</f>
        <v/>
      </c>
      <c r="AA36">
        <f>HYPERLINK("https://klasma.github.io/Logging_2303/klagomål/A 14908-2022 FSC-klagomål.docx", "A 14908-2022")</f>
        <v/>
      </c>
      <c r="AB36">
        <f>HYPERLINK("https://klasma.github.io/Logging_2303/klagomålsmail/A 14908-2022 FSC-klagomål mail.docx", "A 14908-2022")</f>
        <v/>
      </c>
      <c r="AC36">
        <f>HYPERLINK("https://klasma.github.io/Logging_2303/tillsyn/A 14908-2022 tillsynsbegäran.docx", "A 14908-2022")</f>
        <v/>
      </c>
      <c r="AD36">
        <f>HYPERLINK("https://klasma.github.io/Logging_2303/tillsynsmail/A 14908-2022 tillsynsbegäran mail.docx", "A 14908-2022")</f>
        <v/>
      </c>
    </row>
    <row r="37" ht="15" customHeight="1">
      <c r="A37" t="inlineStr">
        <is>
          <t>A 4146-2025</t>
        </is>
      </c>
      <c r="B37" t="inlineStr">
        <is>
          <t>avverkningsanmälan</t>
        </is>
      </c>
      <c r="C37" t="inlineStr">
        <is>
          <t>Föryngringsavverkning</t>
        </is>
      </c>
      <c r="D37" s="1" t="n">
        <v>45685</v>
      </c>
      <c r="E37" s="1" t="n">
        <v>46319</v>
      </c>
      <c r="F37" t="inlineStr">
        <is>
          <t>JÄMTLANDS LÄN</t>
        </is>
      </c>
      <c r="G37" t="inlineStr">
        <is>
          <t>RAGUNDA</t>
        </is>
      </c>
      <c r="I37" t="n">
        <v>10.7</v>
      </c>
      <c r="J37" t="n">
        <v>1</v>
      </c>
      <c r="K37" t="n">
        <v>4</v>
      </c>
      <c r="L37" t="n">
        <v>3</v>
      </c>
      <c r="M37" t="n">
        <v>2</v>
      </c>
      <c r="N37" t="n">
        <v>0</v>
      </c>
      <c r="O37" t="n">
        <v>0</v>
      </c>
      <c r="P37" t="n">
        <v>0</v>
      </c>
      <c r="Q37" t="n">
        <v>5</v>
      </c>
      <c r="R37" t="n">
        <v>2</v>
      </c>
      <c r="S37" t="n">
        <v>9</v>
      </c>
      <c r="T37" t="n">
        <v>13</v>
      </c>
      <c r="U37" t="n">
        <v>0</v>
      </c>
      <c r="V37" s="2" t="inlineStr">
        <is>
          <t>Knärot
Kopparspindling
Dropptaggsvamp
Kolflarnlav
Lunglav
Dvärgtufs
Korallblylav
Skinnlav
Stuplav</t>
        </is>
      </c>
      <c r="W37">
        <f>HYPERLINK("https://klasma.github.io/Logging_2303/artfynd/A 4146-2025 artfynd.xlsx", "A 4146-2025")</f>
        <v/>
      </c>
      <c r="X37">
        <f>HYPERLINK("https://klasma.github.io/Logging_2303/kartor/A 4146-2025 karta.png", "A 4146-2025")</f>
        <v/>
      </c>
      <c r="Y37">
        <f>HYPERLINK("https://klasma.github.io/Logging_2303/kartor_geotiff/A 4146-2025 georefererad karta.tif", "A 4146-2025")</f>
        <v/>
      </c>
      <c r="Z37">
        <f>HYPERLINK("https://klasma.github.io/Logging_2303/knärot/A 4146-2025 karta knärot.png", "A 4146-2025")</f>
        <v/>
      </c>
      <c r="AA37">
        <f>HYPERLINK("https://klasma.github.io/Logging_2303/klagomål/A 4146-2025 FSC-klagomål.docx", "A 4146-2025")</f>
        <v/>
      </c>
      <c r="AB37">
        <f>HYPERLINK("https://klasma.github.io/Logging_2303/klagomålsmail/A 4146-2025 FSC-klagomål mail.docx", "A 4146-2025")</f>
        <v/>
      </c>
      <c r="AC37">
        <f>HYPERLINK("https://klasma.github.io/Logging_2303/tillsyn/A 4146-2025 tillsynsbegäran.docx", "A 4146-2025")</f>
        <v/>
      </c>
      <c r="AD37">
        <f>HYPERLINK("https://klasma.github.io/Logging_2303/tillsynsmail/A 4146-2025 tillsynsbegäran mail.docx", "A 4146-2025")</f>
        <v/>
      </c>
    </row>
    <row r="38" ht="15" customHeight="1">
      <c r="A38" t="inlineStr">
        <is>
          <t>A 30335-2025</t>
        </is>
      </c>
      <c r="B38" t="inlineStr">
        <is>
          <t>avverkningsanmälan</t>
        </is>
      </c>
      <c r="C38" t="inlineStr">
        <is>
          <t>Föryngringsavverkning</t>
        </is>
      </c>
      <c r="D38" s="1" t="n">
        <v>45827</v>
      </c>
      <c r="E38" s="1" t="n">
        <v>46319</v>
      </c>
      <c r="F38" t="inlineStr">
        <is>
          <t>JÄMTLANDS LÄN</t>
        </is>
      </c>
      <c r="G38" t="inlineStr">
        <is>
          <t>RAGUNDA</t>
        </is>
      </c>
      <c r="H38" t="inlineStr">
        <is>
          <t>SCA</t>
        </is>
      </c>
      <c r="I38" t="n">
        <v>7.7</v>
      </c>
      <c r="J38" t="n">
        <v>2</v>
      </c>
      <c r="K38" t="n">
        <v>2</v>
      </c>
      <c r="L38" t="n">
        <v>5</v>
      </c>
      <c r="M38" t="n">
        <v>2</v>
      </c>
      <c r="N38" t="n">
        <v>0</v>
      </c>
      <c r="O38" t="n">
        <v>0</v>
      </c>
      <c r="P38" t="n">
        <v>0</v>
      </c>
      <c r="Q38" t="n">
        <v>7</v>
      </c>
      <c r="R38" t="n">
        <v>2</v>
      </c>
      <c r="S38" t="n">
        <v>9</v>
      </c>
      <c r="T38" t="n">
        <v>13</v>
      </c>
      <c r="U38" t="n">
        <v>0</v>
      </c>
      <c r="V38" s="2" t="inlineStr">
        <is>
          <t>Garnlav
Knärot
Harticka
Lunglav
Rosenticka
Rynkskinn
Vedskivlav
Korallrot
Ögonpyrola</t>
        </is>
      </c>
      <c r="W38">
        <f>HYPERLINK("https://klasma.github.io/Logging_2303/artfynd/A 30335-2025 artfynd.xlsx", "A 30335-2025")</f>
        <v/>
      </c>
      <c r="X38">
        <f>HYPERLINK("https://klasma.github.io/Logging_2303/kartor/A 30335-2025 karta.png", "A 30335-2025")</f>
        <v/>
      </c>
      <c r="Y38">
        <f>HYPERLINK("https://klasma.github.io/Logging_2303/kartor_geotiff/A 30335-2025 georefererad karta.tif", "A 30335-2025")</f>
        <v/>
      </c>
      <c r="Z38">
        <f>HYPERLINK("https://klasma.github.io/Logging_2303/knärot/A 30335-2025 karta knärot.png", "A 30335-2025")</f>
        <v/>
      </c>
      <c r="AA38">
        <f>HYPERLINK("https://klasma.github.io/Logging_2303/klagomål/A 30335-2025 FSC-klagomål.docx", "A 30335-2025")</f>
        <v/>
      </c>
      <c r="AB38">
        <f>HYPERLINK("https://klasma.github.io/Logging_2303/klagomålsmail/A 30335-2025 FSC-klagomål mail.docx", "A 30335-2025")</f>
        <v/>
      </c>
      <c r="AC38">
        <f>HYPERLINK("https://klasma.github.io/Logging_2303/tillsyn/A 30335-2025 tillsynsbegäran.docx", "A 30335-2025")</f>
        <v/>
      </c>
      <c r="AD38">
        <f>HYPERLINK("https://klasma.github.io/Logging_2303/tillsynsmail/A 30335-2025 tillsynsbegäran mail.docx", "A 30335-2025")</f>
        <v/>
      </c>
    </row>
    <row r="39" ht="15" customHeight="1">
      <c r="A39" t="inlineStr">
        <is>
          <t>A 30876-2025</t>
        </is>
      </c>
      <c r="B39" t="inlineStr">
        <is>
          <t>avverkningsanmälan</t>
        </is>
      </c>
      <c r="C39" t="inlineStr">
        <is>
          <t>Föryngringsavverkning</t>
        </is>
      </c>
      <c r="D39" s="1" t="n">
        <v>45832</v>
      </c>
      <c r="E39" s="1" t="n">
        <v>46319</v>
      </c>
      <c r="F39" t="inlineStr">
        <is>
          <t>JÄMTLANDS LÄN</t>
        </is>
      </c>
      <c r="G39" t="inlineStr">
        <is>
          <t>RAGUNDA</t>
        </is>
      </c>
      <c r="H39" t="inlineStr">
        <is>
          <t>SCA</t>
        </is>
      </c>
      <c r="I39" t="n">
        <v>5.5</v>
      </c>
      <c r="J39" t="n">
        <v>6</v>
      </c>
      <c r="K39" t="n">
        <v>1</v>
      </c>
      <c r="L39" t="n">
        <v>3</v>
      </c>
      <c r="M39" t="n">
        <v>1</v>
      </c>
      <c r="N39" t="n">
        <v>0</v>
      </c>
      <c r="O39" t="n">
        <v>0</v>
      </c>
      <c r="P39" t="n">
        <v>0</v>
      </c>
      <c r="Q39" t="n">
        <v>4</v>
      </c>
      <c r="R39" t="n">
        <v>1</v>
      </c>
      <c r="S39" t="n">
        <v>9</v>
      </c>
      <c r="T39" t="n">
        <v>13</v>
      </c>
      <c r="U39" t="n">
        <v>10</v>
      </c>
      <c r="V39" s="2" t="inlineStr">
        <is>
          <t>Knärot
Lunglav
Tallticka
Tretåig hackspett
Kamjordstjärna
Järpe
Spillkråka
Tjäder
Nattviol</t>
        </is>
      </c>
      <c r="W39">
        <f>HYPERLINK("https://klasma.github.io/Logging_2303/artfynd/A 30876-2025 artfynd.xlsx", "A 30876-2025")</f>
        <v/>
      </c>
      <c r="X39">
        <f>HYPERLINK("https://klasma.github.io/Logging_2303/kartor/A 30876-2025 karta.png", "A 30876-2025")</f>
        <v/>
      </c>
      <c r="Y39">
        <f>HYPERLINK("https://klasma.github.io/Logging_2303/kartor_geotiff/A 30876-2025 georefererad karta.tif", "A 30876-2025")</f>
        <v/>
      </c>
      <c r="Z39">
        <f>HYPERLINK("https://klasma.github.io/Logging_2303/knärot/A 30876-2025 karta knärot.png", "A 30876-2025")</f>
        <v/>
      </c>
      <c r="AA39">
        <f>HYPERLINK("https://klasma.github.io/Logging_2303/klagomål/A 30876-2025 FSC-klagomål.docx", "A 30876-2025")</f>
        <v/>
      </c>
      <c r="AB39">
        <f>HYPERLINK("https://klasma.github.io/Logging_2303/klagomålsmail/A 30876-2025 FSC-klagomål mail.docx", "A 30876-2025")</f>
        <v/>
      </c>
      <c r="AC39">
        <f>HYPERLINK("https://klasma.github.io/Logging_2303/tillsyn/A 30876-2025 tillsynsbegäran.docx", "A 30876-2025")</f>
        <v/>
      </c>
      <c r="AD39">
        <f>HYPERLINK("https://klasma.github.io/Logging_2303/tillsynsmail/A 30876-2025 tillsynsbegäran mail.docx", "A 30876-2025")</f>
        <v/>
      </c>
      <c r="AE39">
        <f>HYPERLINK("https://klasma.github.io/Logging_2303/fåglar/A 30876-2025 prioriterade fågelarter.docx", "A 30876-2025")</f>
        <v/>
      </c>
    </row>
    <row r="40" ht="15" customHeight="1">
      <c r="A40" t="inlineStr">
        <is>
          <t>A 11641-2026</t>
        </is>
      </c>
      <c r="B40" t="inlineStr">
        <is>
          <t>avverkningsanmälan</t>
        </is>
      </c>
      <c r="C40" t="inlineStr">
        <is>
          <t>Avverkning för annat ändamål</t>
        </is>
      </c>
      <c r="D40" s="1" t="n">
        <v>46084</v>
      </c>
      <c r="E40" s="1" t="n">
        <v>46319</v>
      </c>
      <c r="F40" t="inlineStr">
        <is>
          <t>JÄMTLANDS LÄN</t>
        </is>
      </c>
      <c r="G40" t="inlineStr">
        <is>
          <t>RAGUNDA</t>
        </is>
      </c>
      <c r="I40" t="n">
        <v>1.8</v>
      </c>
      <c r="J40" t="n">
        <v>2</v>
      </c>
      <c r="K40" t="n">
        <v>2</v>
      </c>
      <c r="L40" t="n">
        <v>5</v>
      </c>
      <c r="M40" t="n">
        <v>1</v>
      </c>
      <c r="N40" t="n">
        <v>0</v>
      </c>
      <c r="O40" t="n">
        <v>0</v>
      </c>
      <c r="P40" t="n">
        <v>0</v>
      </c>
      <c r="Q40" t="n">
        <v>6</v>
      </c>
      <c r="R40" t="n">
        <v>1</v>
      </c>
      <c r="S40" t="n">
        <v>9</v>
      </c>
      <c r="T40" t="n">
        <v>11</v>
      </c>
      <c r="U40" t="n">
        <v>0</v>
      </c>
      <c r="V40" s="2" t="inlineStr">
        <is>
          <t>Knärot
Lunglav
Skrovellav
Vedtrappmossa
Vitgrynig nållav
Äggvaxskivling
Bårdlav
Stuplav
Nattviol</t>
        </is>
      </c>
      <c r="W40">
        <f>HYPERLINK("https://klasma.github.io/Logging_2303/artfynd/A 11641-2026 artfynd.xlsx", "A 11641-2026")</f>
        <v/>
      </c>
      <c r="X40">
        <f>HYPERLINK("https://klasma.github.io/Logging_2303/kartor/A 11641-2026 karta.png", "A 11641-2026")</f>
        <v/>
      </c>
      <c r="Y40">
        <f>HYPERLINK("https://klasma.github.io/Logging_2303/kartor_geotiff/A 11641-2026 georefererad karta.tif", "A 11641-2026")</f>
        <v/>
      </c>
      <c r="Z40">
        <f>HYPERLINK("https://klasma.github.io/Logging_2303/knärot/A 11641-2026 karta knärot.png", "A 11641-2026")</f>
        <v/>
      </c>
      <c r="AA40">
        <f>HYPERLINK("https://klasma.github.io/Logging_2303/klagomål/A 11641-2026 FSC-klagomål.docx", "A 11641-2026")</f>
        <v/>
      </c>
      <c r="AB40">
        <f>HYPERLINK("https://klasma.github.io/Logging_2303/klagomålsmail/A 11641-2026 FSC-klagomål mail.docx", "A 11641-2026")</f>
        <v/>
      </c>
      <c r="AC40">
        <f>HYPERLINK("https://klasma.github.io/Logging_2303/tillsyn/A 11641-2026 tillsynsbegäran.docx", "A 11641-2026")</f>
        <v/>
      </c>
      <c r="AD40">
        <f>HYPERLINK("https://klasma.github.io/Logging_2303/tillsynsmail/A 11641-2026 tillsynsbegäran mail.docx", "A 11641-2026")</f>
        <v/>
      </c>
    </row>
    <row r="41" ht="15" customHeight="1">
      <c r="A41" t="inlineStr">
        <is>
          <t>A 19399-2025</t>
        </is>
      </c>
      <c r="B41" t="inlineStr">
        <is>
          <t>avverkningsanmälan</t>
        </is>
      </c>
      <c r="C41" t="inlineStr">
        <is>
          <t>Avverkning för att bevara och utveckla /försöksver</t>
        </is>
      </c>
      <c r="D41" s="1" t="n">
        <v>45769</v>
      </c>
      <c r="E41" s="1" t="n">
        <v>46319</v>
      </c>
      <c r="F41" t="inlineStr">
        <is>
          <t>JÄMTLANDS LÄN</t>
        </is>
      </c>
      <c r="G41" t="inlineStr">
        <is>
          <t>RAGUNDA</t>
        </is>
      </c>
      <c r="H41" t="inlineStr">
        <is>
          <t>SCA</t>
        </is>
      </c>
      <c r="I41" t="n">
        <v>3.8</v>
      </c>
      <c r="J41" t="n">
        <v>3</v>
      </c>
      <c r="K41" t="n">
        <v>3</v>
      </c>
      <c r="L41" t="n">
        <v>4</v>
      </c>
      <c r="M41" t="n">
        <v>1</v>
      </c>
      <c r="N41" t="n">
        <v>0</v>
      </c>
      <c r="O41" t="n">
        <v>0</v>
      </c>
      <c r="P41" t="n">
        <v>0</v>
      </c>
      <c r="Q41" t="n">
        <v>5</v>
      </c>
      <c r="R41" t="n">
        <v>1</v>
      </c>
      <c r="S41" t="n">
        <v>9</v>
      </c>
      <c r="T41" t="n">
        <v>15</v>
      </c>
      <c r="U41" t="n">
        <v>7</v>
      </c>
      <c r="V41" s="2" t="inlineStr">
        <is>
          <t>Garnlav
Lunglav
Skrovellav
Tretåig hackspett
Ullticka
Skinnlav
Spindelblomster
Stuplav
Nattviol</t>
        </is>
      </c>
      <c r="W41">
        <f>HYPERLINK("https://klasma.github.io/Logging_2303/artfynd/A 19399-2025 artfynd.xlsx", "A 19399-2025")</f>
        <v/>
      </c>
      <c r="X41">
        <f>HYPERLINK("https://klasma.github.io/Logging_2303/kartor/A 19399-2025 karta.png", "A 19399-2025")</f>
        <v/>
      </c>
      <c r="Y41">
        <f>HYPERLINK("https://klasma.github.io/Logging_2303/kartor_geotiff/A 19399-2025 georefererad karta.tif", "A 19399-2025")</f>
        <v/>
      </c>
      <c r="AA41">
        <f>HYPERLINK("https://klasma.github.io/Logging_2303/klagomål/A 19399-2025 FSC-klagomål.docx", "A 19399-2025")</f>
        <v/>
      </c>
      <c r="AB41">
        <f>HYPERLINK("https://klasma.github.io/Logging_2303/klagomålsmail/A 19399-2025 FSC-klagomål mail.docx", "A 19399-2025")</f>
        <v/>
      </c>
      <c r="AC41">
        <f>HYPERLINK("https://klasma.github.io/Logging_2303/tillsyn/A 19399-2025 tillsynsbegäran.docx", "A 19399-2025")</f>
        <v/>
      </c>
      <c r="AD41">
        <f>HYPERLINK("https://klasma.github.io/Logging_2303/tillsynsmail/A 19399-2025 tillsynsbegäran mail.docx", "A 19399-2025")</f>
        <v/>
      </c>
      <c r="AE41">
        <f>HYPERLINK("https://klasma.github.io/Logging_2303/fåglar/A 19399-2025 prioriterade fågelarter.docx", "A 19399-2025")</f>
        <v/>
      </c>
    </row>
    <row r="42" ht="15" customHeight="1">
      <c r="A42" t="inlineStr">
        <is>
          <t>A 24735-2025</t>
        </is>
      </c>
      <c r="B42" t="inlineStr">
        <is>
          <t>avverkningsanmälan</t>
        </is>
      </c>
      <c r="C42" t="inlineStr">
        <is>
          <t>Föryngringsavverkning</t>
        </is>
      </c>
      <c r="D42" s="1" t="n">
        <v>45799</v>
      </c>
      <c r="E42" s="1" t="n">
        <v>46319</v>
      </c>
      <c r="F42" t="inlineStr">
        <is>
          <t>JÄMTLANDS LÄN</t>
        </is>
      </c>
      <c r="G42" t="inlineStr">
        <is>
          <t>RAGUNDA</t>
        </is>
      </c>
      <c r="H42" t="inlineStr">
        <is>
          <t>SCA</t>
        </is>
      </c>
      <c r="I42" t="n">
        <v>7.1</v>
      </c>
      <c r="J42" t="n">
        <v>1</v>
      </c>
      <c r="K42" t="n">
        <v>4</v>
      </c>
      <c r="L42" t="n">
        <v>4</v>
      </c>
      <c r="M42" t="n">
        <v>1</v>
      </c>
      <c r="N42" t="n">
        <v>0</v>
      </c>
      <c r="O42" t="n">
        <v>0</v>
      </c>
      <c r="P42" t="n">
        <v>0</v>
      </c>
      <c r="Q42" t="n">
        <v>5</v>
      </c>
      <c r="R42" t="n">
        <v>1</v>
      </c>
      <c r="S42" t="n">
        <v>9</v>
      </c>
      <c r="T42" t="n">
        <v>24</v>
      </c>
      <c r="U42" t="n">
        <v>24</v>
      </c>
      <c r="V42" s="2" t="inlineStr">
        <is>
          <t>Garnlav
Lunglav
Mörk kolflarnlav
Tretåig hackspett
Ullticka
Bollvitmossa
Norrlandslav
Skinnlav
Stuplav</t>
        </is>
      </c>
      <c r="W42">
        <f>HYPERLINK("https://klasma.github.io/Logging_2303/artfynd/A 24735-2025 artfynd.xlsx", "A 24735-2025")</f>
        <v/>
      </c>
      <c r="X42">
        <f>HYPERLINK("https://klasma.github.io/Logging_2303/kartor/A 24735-2025 karta.png", "A 24735-2025")</f>
        <v/>
      </c>
      <c r="Y42">
        <f>HYPERLINK("https://klasma.github.io/Logging_2303/kartor_geotiff/A 24735-2025 georefererad karta.tif", "A 24735-2025")</f>
        <v/>
      </c>
      <c r="AA42">
        <f>HYPERLINK("https://klasma.github.io/Logging_2303/klagomål/A 24735-2025 FSC-klagomål.docx", "A 24735-2025")</f>
        <v/>
      </c>
      <c r="AB42">
        <f>HYPERLINK("https://klasma.github.io/Logging_2303/klagomålsmail/A 24735-2025 FSC-klagomål mail.docx", "A 24735-2025")</f>
        <v/>
      </c>
      <c r="AC42">
        <f>HYPERLINK("https://klasma.github.io/Logging_2303/tillsyn/A 24735-2025 tillsynsbegäran.docx", "A 24735-2025")</f>
        <v/>
      </c>
      <c r="AD42">
        <f>HYPERLINK("https://klasma.github.io/Logging_2303/tillsynsmail/A 24735-2025 tillsynsbegäran mail.docx", "A 24735-2025")</f>
        <v/>
      </c>
      <c r="AE42">
        <f>HYPERLINK("https://klasma.github.io/Logging_2303/fåglar/A 24735-2025 prioriterade fågelarter.docx", "A 24735-2025")</f>
        <v/>
      </c>
    </row>
    <row r="43" ht="15" customHeight="1">
      <c r="A43" t="inlineStr">
        <is>
          <t>A 41769-2026</t>
        </is>
      </c>
      <c r="B43" t="inlineStr">
        <is>
          <t>avverkningsanmälan</t>
        </is>
      </c>
      <c r="C43" t="inlineStr">
        <is>
          <t>Föryngringsavverkning</t>
        </is>
      </c>
      <c r="D43" s="1" t="n">
        <v>46302</v>
      </c>
      <c r="E43" s="1" t="n">
        <v>46319</v>
      </c>
      <c r="F43" t="inlineStr">
        <is>
          <t>JÄMTLANDS LÄN</t>
        </is>
      </c>
      <c r="G43" t="inlineStr">
        <is>
          <t>RAGUNDA</t>
        </is>
      </c>
      <c r="I43" t="n">
        <v>3.4</v>
      </c>
      <c r="J43" t="n">
        <v>1</v>
      </c>
      <c r="K43" t="n">
        <v>1</v>
      </c>
      <c r="L43" t="n">
        <v>6</v>
      </c>
      <c r="M43" t="n">
        <v>2</v>
      </c>
      <c r="N43" t="n">
        <v>0</v>
      </c>
      <c r="O43" t="n">
        <v>0</v>
      </c>
      <c r="P43" t="n">
        <v>0</v>
      </c>
      <c r="Q43" t="n">
        <v>8</v>
      </c>
      <c r="R43" t="n">
        <v>2</v>
      </c>
      <c r="S43" t="n">
        <v>9</v>
      </c>
      <c r="T43" t="n">
        <v>10</v>
      </c>
      <c r="U43" t="n">
        <v>0</v>
      </c>
      <c r="V43" s="2" t="inlineStr">
        <is>
          <t>Skrovlig taggsvamp
Smalfotad taggsvamp
Blå taggsvamp
Dropptaggsvamp
Skarp dropptaggsvamp
Vedtrappmossa
Vitgrynig nållav
Äggvaxskivling
Plattlummer</t>
        </is>
      </c>
      <c r="W43">
        <f>HYPERLINK("https://klasma.github.io/Logging_2303/artfynd/A 41769-2026 artfynd.xlsx", "A 41769-2026")</f>
        <v/>
      </c>
      <c r="X43">
        <f>HYPERLINK("https://klasma.github.io/Logging_2303/kartor/A 41769-2026 karta.png", "A 41769-2026")</f>
        <v/>
      </c>
      <c r="Y43">
        <f>HYPERLINK("https://klasma.github.io/Logging_2303/kartor_geotiff/A 41769-2026 georefererad karta.tif", "A 41769-2026")</f>
        <v/>
      </c>
      <c r="AA43">
        <f>HYPERLINK("https://klasma.github.io/Logging_2303/klagomål/A 41769-2026 FSC-klagomål.docx", "A 41769-2026")</f>
        <v/>
      </c>
      <c r="AB43">
        <f>HYPERLINK("https://klasma.github.io/Logging_2303/klagomålsmail/A 41769-2026 FSC-klagomål mail.docx", "A 41769-2026")</f>
        <v/>
      </c>
      <c r="AC43">
        <f>HYPERLINK("https://klasma.github.io/Logging_2303/tillsyn/A 41769-2026 tillsynsbegäran.docx", "A 41769-2026")</f>
        <v/>
      </c>
      <c r="AD43">
        <f>HYPERLINK("https://klasma.github.io/Logging_2303/tillsynsmail/A 41769-2026 tillsynsbegäran mail.docx", "A 41769-2026")</f>
        <v/>
      </c>
    </row>
    <row r="44" ht="15" customHeight="1">
      <c r="A44" t="inlineStr">
        <is>
          <t>A 42393-2025</t>
        </is>
      </c>
      <c r="B44" t="inlineStr">
        <is>
          <t>avverkningsanmälan</t>
        </is>
      </c>
      <c r="C44" t="inlineStr">
        <is>
          <t>Föryngringsavverkning</t>
        </is>
      </c>
      <c r="D44" s="1" t="n">
        <v>45905</v>
      </c>
      <c r="E44" s="1" t="n">
        <v>46319</v>
      </c>
      <c r="F44" t="inlineStr">
        <is>
          <t>JÄMTLANDS LÄN</t>
        </is>
      </c>
      <c r="G44" t="inlineStr">
        <is>
          <t>RAGUNDA</t>
        </is>
      </c>
      <c r="I44" t="n">
        <v>8.800000000000001</v>
      </c>
      <c r="J44" t="n">
        <v>6</v>
      </c>
      <c r="K44" t="n">
        <v>0</v>
      </c>
      <c r="L44" t="n">
        <v>4</v>
      </c>
      <c r="M44" t="n">
        <v>3</v>
      </c>
      <c r="N44" t="n">
        <v>0</v>
      </c>
      <c r="O44" t="n">
        <v>0</v>
      </c>
      <c r="P44" t="n">
        <v>0</v>
      </c>
      <c r="Q44" t="n">
        <v>7</v>
      </c>
      <c r="R44" t="n">
        <v>3</v>
      </c>
      <c r="S44" t="n">
        <v>9</v>
      </c>
      <c r="T44" t="n">
        <v>38</v>
      </c>
      <c r="U44" t="n">
        <v>38</v>
      </c>
      <c r="V44" s="2" t="inlineStr">
        <is>
          <t>Doftticka
Garnlav
Knärot
Lavskrika
Lunglav
Tallticka
Tretåig hackspett
Blåsippa
Fläcknycklar</t>
        </is>
      </c>
      <c r="W44">
        <f>HYPERLINK("https://klasma.github.io/Logging_2303/artfynd/A 42393-2025 artfynd.xlsx", "A 42393-2025")</f>
        <v/>
      </c>
      <c r="X44">
        <f>HYPERLINK("https://klasma.github.io/Logging_2303/kartor/A 42393-2025 karta.png", "A 42393-2025")</f>
        <v/>
      </c>
      <c r="Y44">
        <f>HYPERLINK("https://klasma.github.io/Logging_2303/kartor_geotiff/A 42393-2025 georefererad karta.tif", "A 42393-2025")</f>
        <v/>
      </c>
      <c r="Z44">
        <f>HYPERLINK("https://klasma.github.io/Logging_2303/knärot/A 42393-2025 karta knärot.png", "A 42393-2025")</f>
        <v/>
      </c>
      <c r="AA44">
        <f>HYPERLINK("https://klasma.github.io/Logging_2303/klagomål/A 42393-2025 FSC-klagomål.docx", "A 42393-2025")</f>
        <v/>
      </c>
      <c r="AB44">
        <f>HYPERLINK("https://klasma.github.io/Logging_2303/klagomålsmail/A 42393-2025 FSC-klagomål mail.docx", "A 42393-2025")</f>
        <v/>
      </c>
      <c r="AC44">
        <f>HYPERLINK("https://klasma.github.io/Logging_2303/tillsyn/A 42393-2025 tillsynsbegäran.docx", "A 42393-2025")</f>
        <v/>
      </c>
      <c r="AD44">
        <f>HYPERLINK("https://klasma.github.io/Logging_2303/tillsynsmail/A 42393-2025 tillsynsbegäran mail.docx", "A 42393-2025")</f>
        <v/>
      </c>
      <c r="AE44">
        <f>HYPERLINK("https://klasma.github.io/Logging_2303/fåglar/A 42393-2025 prioriterade fågelarter.docx", "A 42393-2025")</f>
        <v/>
      </c>
    </row>
    <row r="45" ht="15" customHeight="1">
      <c r="A45" t="inlineStr">
        <is>
          <t>A 30053-2024</t>
        </is>
      </c>
      <c r="B45" t="inlineStr">
        <is>
          <t>avverkningsanmälan</t>
        </is>
      </c>
      <c r="C45" t="inlineStr">
        <is>
          <t>Avverkning för att bevara och utveckla /försöksver</t>
        </is>
      </c>
      <c r="D45" s="1" t="n">
        <v>45488</v>
      </c>
      <c r="E45" s="1" t="n">
        <v>46319</v>
      </c>
      <c r="F45" t="inlineStr">
        <is>
          <t>JÄMTLANDS LÄN</t>
        </is>
      </c>
      <c r="G45" t="inlineStr">
        <is>
          <t>RAGUNDA</t>
        </is>
      </c>
      <c r="H45" t="inlineStr">
        <is>
          <t>SCA</t>
        </is>
      </c>
      <c r="I45" t="n">
        <v>9.6</v>
      </c>
      <c r="J45" t="n">
        <v>0</v>
      </c>
      <c r="K45" t="n">
        <v>2</v>
      </c>
      <c r="L45" t="n">
        <v>7</v>
      </c>
      <c r="M45" t="n">
        <v>0</v>
      </c>
      <c r="N45" t="n">
        <v>0</v>
      </c>
      <c r="O45" t="n">
        <v>0</v>
      </c>
      <c r="P45" t="n">
        <v>0</v>
      </c>
      <c r="Q45" t="n">
        <v>7</v>
      </c>
      <c r="R45" t="n">
        <v>0</v>
      </c>
      <c r="S45" t="n">
        <v>9</v>
      </c>
      <c r="T45" t="n">
        <v>11</v>
      </c>
      <c r="U45" t="n">
        <v>11</v>
      </c>
      <c r="V45" s="2" t="inlineStr">
        <is>
          <t>Gammelgransskål
Harticka
Kattfotslav
Lunglav
Rosenticka
Ullticka
Vitgrynig nållav
Barkkornlav
Korallblylav</t>
        </is>
      </c>
      <c r="W45">
        <f>HYPERLINK("https://klasma.github.io/Logging_2303/artfynd/A 30053-2024 artfynd.xlsx", "A 30053-2024")</f>
        <v/>
      </c>
      <c r="X45">
        <f>HYPERLINK("https://klasma.github.io/Logging_2303/kartor/A 30053-2024 karta.png", "A 30053-2024")</f>
        <v/>
      </c>
      <c r="Y45">
        <f>HYPERLINK("https://klasma.github.io/Logging_2303/kartor_geotiff/A 30053-2024 georefererad karta.tif", "A 30053-2024")</f>
        <v/>
      </c>
      <c r="AA45">
        <f>HYPERLINK("https://klasma.github.io/Logging_2303/klagomål/A 30053-2024 FSC-klagomål.docx", "A 30053-2024")</f>
        <v/>
      </c>
      <c r="AB45">
        <f>HYPERLINK("https://klasma.github.io/Logging_2303/klagomålsmail/A 30053-2024 FSC-klagomål mail.docx", "A 30053-2024")</f>
        <v/>
      </c>
      <c r="AC45">
        <f>HYPERLINK("https://klasma.github.io/Logging_2303/tillsyn/A 30053-2024 tillsynsbegäran.docx", "A 30053-2024")</f>
        <v/>
      </c>
      <c r="AD45">
        <f>HYPERLINK("https://klasma.github.io/Logging_2303/tillsynsmail/A 30053-2024 tillsynsbegäran mail.docx", "A 30053-2024")</f>
        <v/>
      </c>
    </row>
    <row r="46" ht="15" customHeight="1">
      <c r="A46" t="inlineStr">
        <is>
          <t>A 4591-2024</t>
        </is>
      </c>
      <c r="B46" t="inlineStr">
        <is>
          <t>avverkningsanmälan</t>
        </is>
      </c>
      <c r="C46" t="inlineStr">
        <is>
          <t>Föryngringsavverkning</t>
        </is>
      </c>
      <c r="D46" s="1" t="n">
        <v>45327</v>
      </c>
      <c r="E46" s="1" t="n">
        <v>46319</v>
      </c>
      <c r="F46" t="inlineStr">
        <is>
          <t>JÄMTLANDS LÄN</t>
        </is>
      </c>
      <c r="G46" t="inlineStr">
        <is>
          <t>RAGUNDA</t>
        </is>
      </c>
      <c r="H46" t="inlineStr">
        <is>
          <t>SCA</t>
        </is>
      </c>
      <c r="I46" t="n">
        <v>5.8</v>
      </c>
      <c r="J46" t="n">
        <v>6</v>
      </c>
      <c r="K46" t="n">
        <v>3</v>
      </c>
      <c r="L46" t="n">
        <v>4</v>
      </c>
      <c r="M46" t="n">
        <v>1</v>
      </c>
      <c r="N46" t="n">
        <v>0</v>
      </c>
      <c r="O46" t="n">
        <v>0</v>
      </c>
      <c r="P46" t="n">
        <v>0</v>
      </c>
      <c r="Q46" t="n">
        <v>5</v>
      </c>
      <c r="R46" t="n">
        <v>1</v>
      </c>
      <c r="S46" t="n">
        <v>9</v>
      </c>
      <c r="T46" t="n">
        <v>18</v>
      </c>
      <c r="U46" t="n">
        <v>18</v>
      </c>
      <c r="V46" s="2" t="inlineStr">
        <is>
          <t>Garnlav
Harticka
Lunglav
Talltita
Tretåig hackspett
Grönkulla
Spindelblomster
Tvåblad
Spillkråka</t>
        </is>
      </c>
      <c r="W46">
        <f>HYPERLINK("https://klasma.github.io/Logging_2303/artfynd/A 4591-2024 artfynd.xlsx", "A 4591-2024")</f>
        <v/>
      </c>
      <c r="X46">
        <f>HYPERLINK("https://klasma.github.io/Logging_2303/kartor/A 4591-2024 karta.png", "A 4591-2024")</f>
        <v/>
      </c>
      <c r="Y46">
        <f>HYPERLINK("https://klasma.github.io/Logging_2303/kartor_geotiff/A 4591-2024 georefererad karta.tif", "A 4591-2024")</f>
        <v/>
      </c>
      <c r="AA46">
        <f>HYPERLINK("https://klasma.github.io/Logging_2303/klagomål/A 4591-2024 FSC-klagomål.docx", "A 4591-2024")</f>
        <v/>
      </c>
      <c r="AB46">
        <f>HYPERLINK("https://klasma.github.io/Logging_2303/klagomålsmail/A 4591-2024 FSC-klagomål mail.docx", "A 4591-2024")</f>
        <v/>
      </c>
      <c r="AC46">
        <f>HYPERLINK("https://klasma.github.io/Logging_2303/tillsyn/A 4591-2024 tillsynsbegäran.docx", "A 4591-2024")</f>
        <v/>
      </c>
      <c r="AD46">
        <f>HYPERLINK("https://klasma.github.io/Logging_2303/tillsynsmail/A 4591-2024 tillsynsbegäran mail.docx", "A 4591-2024")</f>
        <v/>
      </c>
      <c r="AE46">
        <f>HYPERLINK("https://klasma.github.io/Logging_2303/fåglar/A 4591-2024 prioriterade fågelarter.docx", "A 4591-2024")</f>
        <v/>
      </c>
    </row>
    <row r="47" ht="15" customHeight="1">
      <c r="A47" t="inlineStr">
        <is>
          <t>A 39365-2024</t>
        </is>
      </c>
      <c r="B47" t="inlineStr">
        <is>
          <t>avverkningsanmälan</t>
        </is>
      </c>
      <c r="C47" t="inlineStr">
        <is>
          <t>Avverkning för att bevara och utveckla /försöksver</t>
        </is>
      </c>
      <c r="D47" s="1" t="n">
        <v>45551</v>
      </c>
      <c r="E47" s="1" t="n">
        <v>46319</v>
      </c>
      <c r="F47" t="inlineStr">
        <is>
          <t>JÄMTLANDS LÄN</t>
        </is>
      </c>
      <c r="G47" t="inlineStr">
        <is>
          <t>RAGUNDA</t>
        </is>
      </c>
      <c r="H47" t="inlineStr">
        <is>
          <t>SCA</t>
        </is>
      </c>
      <c r="I47" t="n">
        <v>7.3</v>
      </c>
      <c r="J47" t="n">
        <v>1</v>
      </c>
      <c r="K47" t="n">
        <v>5</v>
      </c>
      <c r="L47" t="n">
        <v>4</v>
      </c>
      <c r="M47" t="n">
        <v>0</v>
      </c>
      <c r="N47" t="n">
        <v>0</v>
      </c>
      <c r="O47" t="n">
        <v>0</v>
      </c>
      <c r="P47" t="n">
        <v>0</v>
      </c>
      <c r="Q47" t="n">
        <v>4</v>
      </c>
      <c r="R47" t="n">
        <v>0</v>
      </c>
      <c r="S47" t="n">
        <v>9</v>
      </c>
      <c r="T47" t="n">
        <v>23</v>
      </c>
      <c r="U47" t="n">
        <v>0</v>
      </c>
      <c r="V47" s="2" t="inlineStr">
        <is>
          <t>Gammelgransskål
Lunglav
Ullticka
Vedtrappmossa
Korallblylav
Plattlummer
Stor aspticka
Stuplav
Vedticka</t>
        </is>
      </c>
      <c r="W47">
        <f>HYPERLINK("https://klasma.github.io/Logging_2303/artfynd/A 39365-2024 artfynd.xlsx", "A 39365-2024")</f>
        <v/>
      </c>
      <c r="X47">
        <f>HYPERLINK("https://klasma.github.io/Logging_2303/kartor/A 39365-2024 karta.png", "A 39365-2024")</f>
        <v/>
      </c>
      <c r="Y47">
        <f>HYPERLINK("https://klasma.github.io/Logging_2303/kartor_geotiff/A 39365-2024 georefererad karta.tif", "A 39365-2024")</f>
        <v/>
      </c>
      <c r="Z47">
        <f>HYPERLINK("https://klasma.github.io/Logging_2303/knärot/A 39365-2024 karta knärot.png", "A 39365-2024")</f>
        <v/>
      </c>
      <c r="AA47">
        <f>HYPERLINK("https://klasma.github.io/Logging_2303/klagomål/A 39365-2024 FSC-klagomål.docx", "A 39365-2024")</f>
        <v/>
      </c>
      <c r="AB47">
        <f>HYPERLINK("https://klasma.github.io/Logging_2303/klagomålsmail/A 39365-2024 FSC-klagomål mail.docx", "A 39365-2024")</f>
        <v/>
      </c>
      <c r="AC47">
        <f>HYPERLINK("https://klasma.github.io/Logging_2303/tillsyn/A 39365-2024 tillsynsbegäran.docx", "A 39365-2024")</f>
        <v/>
      </c>
      <c r="AD47">
        <f>HYPERLINK("https://klasma.github.io/Logging_2303/tillsynsmail/A 39365-2024 tillsynsbegäran mail.docx", "A 39365-2024")</f>
        <v/>
      </c>
    </row>
    <row r="48" ht="15" customHeight="1">
      <c r="A48" t="inlineStr">
        <is>
          <t>A 20088-2023</t>
        </is>
      </c>
      <c r="B48" t="inlineStr">
        <is>
          <t>avverkningsanmälan</t>
        </is>
      </c>
      <c r="C48" t="inlineStr">
        <is>
          <t>Föryngringsavverkning</t>
        </is>
      </c>
      <c r="D48" s="1" t="n">
        <v>45054</v>
      </c>
      <c r="E48" s="1" t="n">
        <v>46319</v>
      </c>
      <c r="F48" t="inlineStr">
        <is>
          <t>JÄMTLANDS LÄN</t>
        </is>
      </c>
      <c r="G48" t="inlineStr">
        <is>
          <t>RAGUNDA</t>
        </is>
      </c>
      <c r="H48" t="inlineStr">
        <is>
          <t>SCA</t>
        </is>
      </c>
      <c r="I48" t="n">
        <v>23.4</v>
      </c>
      <c r="J48" t="n">
        <v>5</v>
      </c>
      <c r="K48" t="n">
        <v>5</v>
      </c>
      <c r="L48" t="n">
        <v>1</v>
      </c>
      <c r="M48" t="n">
        <v>1</v>
      </c>
      <c r="N48" t="n">
        <v>0</v>
      </c>
      <c r="O48" t="n">
        <v>0</v>
      </c>
      <c r="P48" t="n">
        <v>0</v>
      </c>
      <c r="Q48" t="n">
        <v>2</v>
      </c>
      <c r="R48" t="n">
        <v>1</v>
      </c>
      <c r="S48" t="n">
        <v>9</v>
      </c>
      <c r="T48" t="n">
        <v>12</v>
      </c>
      <c r="U48" t="n">
        <v>12</v>
      </c>
      <c r="V48" s="2" t="inlineStr">
        <is>
          <t>Knärot
Lunglav
Guckusko
Kransrams
Norrlandslav
Tvåblad
Ögonpyrola
Fläcknycklar
Nattviol</t>
        </is>
      </c>
      <c r="W48">
        <f>HYPERLINK("https://klasma.github.io/Logging_2303/artfynd/A 20088-2023 artfynd.xlsx", "A 20088-2023")</f>
        <v/>
      </c>
      <c r="X48">
        <f>HYPERLINK("https://klasma.github.io/Logging_2303/kartor/A 20088-2023 karta.png", "A 20088-2023")</f>
        <v/>
      </c>
      <c r="Y48">
        <f>HYPERLINK("https://klasma.github.io/Logging_2303/kartor_geotiff/A 20088-2023 georefererad karta.tif", "A 20088-2023")</f>
        <v/>
      </c>
      <c r="Z48">
        <f>HYPERLINK("https://klasma.github.io/Logging_2303/knärot/A 20088-2023 karta knärot.png", "A 20088-2023")</f>
        <v/>
      </c>
      <c r="AA48">
        <f>HYPERLINK("https://klasma.github.io/Logging_2303/klagomål/A 20088-2023 FSC-klagomål.docx", "A 20088-2023")</f>
        <v/>
      </c>
      <c r="AB48">
        <f>HYPERLINK("https://klasma.github.io/Logging_2303/klagomålsmail/A 20088-2023 FSC-klagomål mail.docx", "A 20088-2023")</f>
        <v/>
      </c>
      <c r="AC48">
        <f>HYPERLINK("https://klasma.github.io/Logging_2303/tillsyn/A 20088-2023 tillsynsbegäran.docx", "A 20088-2023")</f>
        <v/>
      </c>
      <c r="AD48">
        <f>HYPERLINK("https://klasma.github.io/Logging_2303/tillsynsmail/A 20088-2023 tillsynsbegäran mail.docx", "A 20088-2023")</f>
        <v/>
      </c>
    </row>
    <row r="49" ht="15" customHeight="1">
      <c r="A49" t="inlineStr">
        <is>
          <t>A 58876-2025</t>
        </is>
      </c>
      <c r="B49" t="inlineStr">
        <is>
          <t>avverkningsanmälan</t>
        </is>
      </c>
      <c r="C49" t="inlineStr">
        <is>
          <t>Föryngringsavverkning</t>
        </is>
      </c>
      <c r="D49" s="1" t="n">
        <v>45987</v>
      </c>
      <c r="E49" s="1" t="n">
        <v>46319</v>
      </c>
      <c r="F49" t="inlineStr">
        <is>
          <t>JÄMTLANDS LÄN</t>
        </is>
      </c>
      <c r="G49" t="inlineStr">
        <is>
          <t>RAGUNDA</t>
        </is>
      </c>
      <c r="H49" t="inlineStr">
        <is>
          <t>SCA</t>
        </is>
      </c>
      <c r="I49" t="n">
        <v>6.3</v>
      </c>
      <c r="J49" t="n">
        <v>2</v>
      </c>
      <c r="K49" t="n">
        <v>0</v>
      </c>
      <c r="L49" t="n">
        <v>5</v>
      </c>
      <c r="M49" t="n">
        <v>2</v>
      </c>
      <c r="N49" t="n">
        <v>0</v>
      </c>
      <c r="O49" t="n">
        <v>0</v>
      </c>
      <c r="P49" t="n">
        <v>0</v>
      </c>
      <c r="Q49" t="n">
        <v>7</v>
      </c>
      <c r="R49" t="n">
        <v>2</v>
      </c>
      <c r="S49" t="n">
        <v>8</v>
      </c>
      <c r="T49" t="n">
        <v>10</v>
      </c>
      <c r="U49" t="n">
        <v>0</v>
      </c>
      <c r="V49" s="2" t="inlineStr">
        <is>
          <t>Garnlav
Knärot
Gammelgransskål
Lunglav
Rosenticka
Ullticka
Vitgrynig nållav
Fläcknycklar</t>
        </is>
      </c>
      <c r="W49">
        <f>HYPERLINK("https://klasma.github.io/Logging_2303/artfynd/A 58876-2025 artfynd.xlsx", "A 58876-2025")</f>
        <v/>
      </c>
      <c r="X49">
        <f>HYPERLINK("https://klasma.github.io/Logging_2303/kartor/A 58876-2025 karta.png", "A 58876-2025")</f>
        <v/>
      </c>
      <c r="Y49">
        <f>HYPERLINK("https://klasma.github.io/Logging_2303/kartor_geotiff/A 58876-2025 georefererad karta.tif", "A 58876-2025")</f>
        <v/>
      </c>
      <c r="Z49">
        <f>HYPERLINK("https://klasma.github.io/Logging_2303/knärot/A 58876-2025 karta knärot.png", "A 58876-2025")</f>
        <v/>
      </c>
      <c r="AA49">
        <f>HYPERLINK("https://klasma.github.io/Logging_2303/klagomål/A 58876-2025 FSC-klagomål.docx", "A 58876-2025")</f>
        <v/>
      </c>
      <c r="AB49">
        <f>HYPERLINK("https://klasma.github.io/Logging_2303/klagomålsmail/A 58876-2025 FSC-klagomål mail.docx", "A 58876-2025")</f>
        <v/>
      </c>
      <c r="AC49">
        <f>HYPERLINK("https://klasma.github.io/Logging_2303/tillsyn/A 58876-2025 tillsynsbegäran.docx", "A 58876-2025")</f>
        <v/>
      </c>
      <c r="AD49">
        <f>HYPERLINK("https://klasma.github.io/Logging_2303/tillsynsmail/A 58876-2025 tillsynsbegäran mail.docx", "A 58876-2025")</f>
        <v/>
      </c>
    </row>
    <row r="50" ht="15" customHeight="1">
      <c r="A50" t="inlineStr">
        <is>
          <t>A 62738-2025</t>
        </is>
      </c>
      <c r="B50" t="inlineStr">
        <is>
          <t>avverkningsanmälan</t>
        </is>
      </c>
      <c r="C50" t="inlineStr">
        <is>
          <t>Avverkning för att bevara och utveckla /försöksver</t>
        </is>
      </c>
      <c r="D50" s="1" t="n">
        <v>46008</v>
      </c>
      <c r="E50" s="1" t="n">
        <v>46319</v>
      </c>
      <c r="F50" t="inlineStr">
        <is>
          <t>JÄMTLANDS LÄN</t>
        </is>
      </c>
      <c r="G50" t="inlineStr">
        <is>
          <t>RAGUNDA</t>
        </is>
      </c>
      <c r="H50" t="inlineStr">
        <is>
          <t>SCA</t>
        </is>
      </c>
      <c r="I50" t="n">
        <v>2.2</v>
      </c>
      <c r="J50" t="n">
        <v>1</v>
      </c>
      <c r="K50" t="n">
        <v>2</v>
      </c>
      <c r="L50" t="n">
        <v>4</v>
      </c>
      <c r="M50" t="n">
        <v>2</v>
      </c>
      <c r="N50" t="n">
        <v>0</v>
      </c>
      <c r="O50" t="n">
        <v>0</v>
      </c>
      <c r="P50" t="n">
        <v>0</v>
      </c>
      <c r="Q50" t="n">
        <v>6</v>
      </c>
      <c r="R50" t="n">
        <v>2</v>
      </c>
      <c r="S50" t="n">
        <v>8</v>
      </c>
      <c r="T50" t="n">
        <v>11</v>
      </c>
      <c r="U50" t="n">
        <v>0</v>
      </c>
      <c r="V50" s="2" t="inlineStr">
        <is>
          <t>Garnlav
Knärot
Dropptaggsvamp
Ullticka
Vedflamlav
Vedtrappmossa
Gullgröppa
Gulnål</t>
        </is>
      </c>
      <c r="W50">
        <f>HYPERLINK("https://klasma.github.io/Logging_2303/artfynd/A 62738-2025 artfynd.xlsx", "A 62738-2025")</f>
        <v/>
      </c>
      <c r="X50">
        <f>HYPERLINK("https://klasma.github.io/Logging_2303/kartor/A 62738-2025 karta.png", "A 62738-2025")</f>
        <v/>
      </c>
      <c r="Y50">
        <f>HYPERLINK("https://klasma.github.io/Logging_2303/kartor_geotiff/A 62738-2025 georefererad karta.tif", "A 62738-2025")</f>
        <v/>
      </c>
      <c r="Z50">
        <f>HYPERLINK("https://klasma.github.io/Logging_2303/knärot/A 62738-2025 karta knärot.png", "A 62738-2025")</f>
        <v/>
      </c>
      <c r="AA50">
        <f>HYPERLINK("https://klasma.github.io/Logging_2303/klagomål/A 62738-2025 FSC-klagomål.docx", "A 62738-2025")</f>
        <v/>
      </c>
      <c r="AB50">
        <f>HYPERLINK("https://klasma.github.io/Logging_2303/klagomålsmail/A 62738-2025 FSC-klagomål mail.docx", "A 62738-2025")</f>
        <v/>
      </c>
      <c r="AC50">
        <f>HYPERLINK("https://klasma.github.io/Logging_2303/tillsyn/A 62738-2025 tillsynsbegäran.docx", "A 62738-2025")</f>
        <v/>
      </c>
      <c r="AD50">
        <f>HYPERLINK("https://klasma.github.io/Logging_2303/tillsynsmail/A 62738-2025 tillsynsbegäran mail.docx", "A 62738-2025")</f>
        <v/>
      </c>
    </row>
    <row r="51" ht="15" customHeight="1">
      <c r="A51" t="inlineStr">
        <is>
          <t>A 32957-2026</t>
        </is>
      </c>
      <c r="B51" t="inlineStr">
        <is>
          <t>avverkningsanmälan</t>
        </is>
      </c>
      <c r="C51" t="inlineStr">
        <is>
          <t>Föryngringsavverkning</t>
        </is>
      </c>
      <c r="D51" s="1" t="n">
        <v>46244</v>
      </c>
      <c r="E51" s="1" t="n">
        <v>46319</v>
      </c>
      <c r="F51" t="inlineStr">
        <is>
          <t>JÄMTLANDS LÄN</t>
        </is>
      </c>
      <c r="G51" t="inlineStr">
        <is>
          <t>RAGUNDA</t>
        </is>
      </c>
      <c r="H51" t="inlineStr">
        <is>
          <t>SCA</t>
        </is>
      </c>
      <c r="I51" t="n">
        <v>22.6</v>
      </c>
      <c r="J51" t="n">
        <v>1</v>
      </c>
      <c r="K51" t="n">
        <v>4</v>
      </c>
      <c r="L51" t="n">
        <v>3</v>
      </c>
      <c r="M51" t="n">
        <v>1</v>
      </c>
      <c r="N51" t="n">
        <v>0</v>
      </c>
      <c r="O51" t="n">
        <v>0</v>
      </c>
      <c r="P51" t="n">
        <v>0</v>
      </c>
      <c r="Q51" t="n">
        <v>4</v>
      </c>
      <c r="R51" t="n">
        <v>1</v>
      </c>
      <c r="S51" t="n">
        <v>8</v>
      </c>
      <c r="T51" t="n">
        <v>42</v>
      </c>
      <c r="U51" t="n">
        <v>0</v>
      </c>
      <c r="V51" s="2" t="inlineStr">
        <is>
          <t>Garnlav
Lunglav
Skrovellav
Tretåig hackspett
Bårdlav
Luddlav
Skinnlav
Stuplav</t>
        </is>
      </c>
      <c r="W51">
        <f>HYPERLINK("https://klasma.github.io/Logging_2303/artfynd/A 32957-2026 artfynd.xlsx", "A 32957-2026")</f>
        <v/>
      </c>
      <c r="X51">
        <f>HYPERLINK("https://klasma.github.io/Logging_2303/kartor/A 32957-2026 karta.png", "A 32957-2026")</f>
        <v/>
      </c>
      <c r="Y51">
        <f>HYPERLINK("https://klasma.github.io/Logging_2303/kartor_geotiff/A 32957-2026 georefererad karta.tif", "A 32957-2026")</f>
        <v/>
      </c>
      <c r="AA51">
        <f>HYPERLINK("https://klasma.github.io/Logging_2303/klagomål/A 32957-2026 FSC-klagomål.docx", "A 32957-2026")</f>
        <v/>
      </c>
      <c r="AB51">
        <f>HYPERLINK("https://klasma.github.io/Logging_2303/klagomålsmail/A 32957-2026 FSC-klagomål mail.docx", "A 32957-2026")</f>
        <v/>
      </c>
      <c r="AC51">
        <f>HYPERLINK("https://klasma.github.io/Logging_2303/tillsyn/A 32957-2026 tillsynsbegäran.docx", "A 32957-2026")</f>
        <v/>
      </c>
      <c r="AD51">
        <f>HYPERLINK("https://klasma.github.io/Logging_2303/tillsynsmail/A 32957-2026 tillsynsbegäran mail.docx", "A 32957-2026")</f>
        <v/>
      </c>
      <c r="AE51">
        <f>HYPERLINK("https://klasma.github.io/Logging_2303/fåglar/A 32957-2026 prioriterade fågelarter.docx", "A 32957-2026")</f>
        <v/>
      </c>
    </row>
    <row r="52" ht="15" customHeight="1">
      <c r="A52" t="inlineStr">
        <is>
          <t>A 25016-2025</t>
        </is>
      </c>
      <c r="B52" t="inlineStr">
        <is>
          <t>avverkningsanmälan</t>
        </is>
      </c>
      <c r="C52" t="inlineStr">
        <is>
          <t>Föryngringsavverkning</t>
        </is>
      </c>
      <c r="D52" s="1" t="n">
        <v>45799</v>
      </c>
      <c r="E52" s="1" t="n">
        <v>46319</v>
      </c>
      <c r="F52" t="inlineStr">
        <is>
          <t>JÄMTLANDS LÄN</t>
        </is>
      </c>
      <c r="G52" t="inlineStr">
        <is>
          <t>RAGUNDA</t>
        </is>
      </c>
      <c r="H52" t="inlineStr">
        <is>
          <t>SCA</t>
        </is>
      </c>
      <c r="I52" t="n">
        <v>17.9</v>
      </c>
      <c r="J52" t="n">
        <v>2</v>
      </c>
      <c r="K52" t="n">
        <v>3</v>
      </c>
      <c r="L52" t="n">
        <v>3</v>
      </c>
      <c r="M52" t="n">
        <v>1</v>
      </c>
      <c r="N52" t="n">
        <v>0</v>
      </c>
      <c r="O52" t="n">
        <v>0</v>
      </c>
      <c r="P52" t="n">
        <v>0</v>
      </c>
      <c r="Q52" t="n">
        <v>4</v>
      </c>
      <c r="R52" t="n">
        <v>1</v>
      </c>
      <c r="S52" t="n">
        <v>8</v>
      </c>
      <c r="T52" t="n">
        <v>15</v>
      </c>
      <c r="U52" t="n">
        <v>6</v>
      </c>
      <c r="V52" s="2" t="inlineStr">
        <is>
          <t>Garnlav
Lunglav
Tretåig hackspett
Ullticka
Bårdlav
Stuplav
Vedticka
Spillkråka</t>
        </is>
      </c>
      <c r="W52">
        <f>HYPERLINK("https://klasma.github.io/Logging_2303/artfynd/A 25016-2025 artfynd.xlsx", "A 25016-2025")</f>
        <v/>
      </c>
      <c r="X52">
        <f>HYPERLINK("https://klasma.github.io/Logging_2303/kartor/A 25016-2025 karta.png", "A 25016-2025")</f>
        <v/>
      </c>
      <c r="Y52">
        <f>HYPERLINK("https://klasma.github.io/Logging_2303/kartor_geotiff/A 25016-2025 georefererad karta.tif", "A 25016-2025")</f>
        <v/>
      </c>
      <c r="AA52">
        <f>HYPERLINK("https://klasma.github.io/Logging_2303/klagomål/A 25016-2025 FSC-klagomål.docx", "A 25016-2025")</f>
        <v/>
      </c>
      <c r="AB52">
        <f>HYPERLINK("https://klasma.github.io/Logging_2303/klagomålsmail/A 25016-2025 FSC-klagomål mail.docx", "A 25016-2025")</f>
        <v/>
      </c>
      <c r="AC52">
        <f>HYPERLINK("https://klasma.github.io/Logging_2303/tillsyn/A 25016-2025 tillsynsbegäran.docx", "A 25016-2025")</f>
        <v/>
      </c>
      <c r="AD52">
        <f>HYPERLINK("https://klasma.github.io/Logging_2303/tillsynsmail/A 25016-2025 tillsynsbegäran mail.docx", "A 25016-2025")</f>
        <v/>
      </c>
      <c r="AE52">
        <f>HYPERLINK("https://klasma.github.io/Logging_2303/fåglar/A 25016-2025 prioriterade fågelarter.docx", "A 25016-2025")</f>
        <v/>
      </c>
    </row>
    <row r="53" ht="15" customHeight="1">
      <c r="A53" t="inlineStr">
        <is>
          <t>A 24732-2025</t>
        </is>
      </c>
      <c r="B53" t="inlineStr">
        <is>
          <t>avverkningsanmälan</t>
        </is>
      </c>
      <c r="C53" t="inlineStr">
        <is>
          <t>Föryngringsavverkning</t>
        </is>
      </c>
      <c r="D53" s="1" t="n">
        <v>45799</v>
      </c>
      <c r="E53" s="1" t="n">
        <v>46319</v>
      </c>
      <c r="F53" t="inlineStr">
        <is>
          <t>JÄMTLANDS LÄN</t>
        </is>
      </c>
      <c r="G53" t="inlineStr">
        <is>
          <t>RAGUNDA</t>
        </is>
      </c>
      <c r="H53" t="inlineStr">
        <is>
          <t>SCA</t>
        </is>
      </c>
      <c r="I53" t="n">
        <v>16.2</v>
      </c>
      <c r="J53" t="n">
        <v>1</v>
      </c>
      <c r="K53" t="n">
        <v>2</v>
      </c>
      <c r="L53" t="n">
        <v>4</v>
      </c>
      <c r="M53" t="n">
        <v>2</v>
      </c>
      <c r="N53" t="n">
        <v>0</v>
      </c>
      <c r="O53" t="n">
        <v>0</v>
      </c>
      <c r="P53" t="n">
        <v>0</v>
      </c>
      <c r="Q53" t="n">
        <v>6</v>
      </c>
      <c r="R53" t="n">
        <v>2</v>
      </c>
      <c r="S53" t="n">
        <v>8</v>
      </c>
      <c r="T53" t="n">
        <v>14</v>
      </c>
      <c r="U53" t="n">
        <v>14</v>
      </c>
      <c r="V53" s="2" t="inlineStr">
        <is>
          <t>Garnlav
Knärot
Gammelgransskål
Lunglav
Skarp dropptaggsvamp
Vitgrynig nållav
Bollvitmossa
Svavelriska</t>
        </is>
      </c>
      <c r="W53">
        <f>HYPERLINK("https://klasma.github.io/Logging_2303/artfynd/A 24732-2025 artfynd.xlsx", "A 24732-2025")</f>
        <v/>
      </c>
      <c r="X53">
        <f>HYPERLINK("https://klasma.github.io/Logging_2303/kartor/A 24732-2025 karta.png", "A 24732-2025")</f>
        <v/>
      </c>
      <c r="Y53">
        <f>HYPERLINK("https://klasma.github.io/Logging_2303/kartor_geotiff/A 24732-2025 georefererad karta.tif", "A 24732-2025")</f>
        <v/>
      </c>
      <c r="Z53">
        <f>HYPERLINK("https://klasma.github.io/Logging_2303/knärot/A 24732-2025 karta knärot.png", "A 24732-2025")</f>
        <v/>
      </c>
      <c r="AA53">
        <f>HYPERLINK("https://klasma.github.io/Logging_2303/klagomål/A 24732-2025 FSC-klagomål.docx", "A 24732-2025")</f>
        <v/>
      </c>
      <c r="AB53">
        <f>HYPERLINK("https://klasma.github.io/Logging_2303/klagomålsmail/A 24732-2025 FSC-klagomål mail.docx", "A 24732-2025")</f>
        <v/>
      </c>
      <c r="AC53">
        <f>HYPERLINK("https://klasma.github.io/Logging_2303/tillsyn/A 24732-2025 tillsynsbegäran.docx", "A 24732-2025")</f>
        <v/>
      </c>
      <c r="AD53">
        <f>HYPERLINK("https://klasma.github.io/Logging_2303/tillsynsmail/A 24732-2025 tillsynsbegäran mail.docx", "A 24732-2025")</f>
        <v/>
      </c>
    </row>
    <row r="54" ht="15" customHeight="1">
      <c r="A54" t="inlineStr">
        <is>
          <t>A 23931-2024</t>
        </is>
      </c>
      <c r="B54" t="inlineStr">
        <is>
          <t>avverkningsanmälan</t>
        </is>
      </c>
      <c r="C54" t="inlineStr">
        <is>
          <t>Avverkning för att bevara och utveckla /försöksver</t>
        </is>
      </c>
      <c r="D54" s="1" t="n">
        <v>45455</v>
      </c>
      <c r="E54" s="1" t="n">
        <v>46319</v>
      </c>
      <c r="F54" t="inlineStr">
        <is>
          <t>JÄMTLANDS LÄN</t>
        </is>
      </c>
      <c r="G54" t="inlineStr">
        <is>
          <t>RAGUNDA</t>
        </is>
      </c>
      <c r="H54" t="inlineStr">
        <is>
          <t>SCA</t>
        </is>
      </c>
      <c r="I54" t="n">
        <v>4</v>
      </c>
      <c r="J54" t="n">
        <v>3</v>
      </c>
      <c r="K54" t="n">
        <v>2</v>
      </c>
      <c r="L54" t="n">
        <v>2</v>
      </c>
      <c r="M54" t="n">
        <v>3</v>
      </c>
      <c r="N54" t="n">
        <v>0</v>
      </c>
      <c r="O54" t="n">
        <v>0</v>
      </c>
      <c r="P54" t="n">
        <v>0</v>
      </c>
      <c r="Q54" t="n">
        <v>5</v>
      </c>
      <c r="R54" t="n">
        <v>3</v>
      </c>
      <c r="S54" t="n">
        <v>8</v>
      </c>
      <c r="T54" t="n">
        <v>12</v>
      </c>
      <c r="U54" t="n">
        <v>3</v>
      </c>
      <c r="V54" s="2" t="inlineStr">
        <is>
          <t>Garnlav
Knärot
Laxporing
Lunglav
Ullticka
Korallblylav
Spindelblomster
Nattviol</t>
        </is>
      </c>
      <c r="W54">
        <f>HYPERLINK("https://klasma.github.io/Logging_2303/artfynd/A 23931-2024 artfynd.xlsx", "A 23931-2024")</f>
        <v/>
      </c>
      <c r="X54">
        <f>HYPERLINK("https://klasma.github.io/Logging_2303/kartor/A 23931-2024 karta.png", "A 23931-2024")</f>
        <v/>
      </c>
      <c r="Y54">
        <f>HYPERLINK("https://klasma.github.io/Logging_2303/kartor_geotiff/A 23931-2024 georefererad karta.tif", "A 23931-2024")</f>
        <v/>
      </c>
      <c r="Z54">
        <f>HYPERLINK("https://klasma.github.io/Logging_2303/knärot/A 23931-2024 karta knärot.png", "A 23931-2024")</f>
        <v/>
      </c>
      <c r="AA54">
        <f>HYPERLINK("https://klasma.github.io/Logging_2303/klagomål/A 23931-2024 FSC-klagomål.docx", "A 23931-2024")</f>
        <v/>
      </c>
      <c r="AB54">
        <f>HYPERLINK("https://klasma.github.io/Logging_2303/klagomålsmail/A 23931-2024 FSC-klagomål mail.docx", "A 23931-2024")</f>
        <v/>
      </c>
      <c r="AC54">
        <f>HYPERLINK("https://klasma.github.io/Logging_2303/tillsyn/A 23931-2024 tillsynsbegäran.docx", "A 23931-2024")</f>
        <v/>
      </c>
      <c r="AD54">
        <f>HYPERLINK("https://klasma.github.io/Logging_2303/tillsynsmail/A 23931-2024 tillsynsbegäran mail.docx", "A 23931-2024")</f>
        <v/>
      </c>
    </row>
    <row r="55" ht="15" customHeight="1">
      <c r="A55" t="inlineStr">
        <is>
          <t>A 19402-2025</t>
        </is>
      </c>
      <c r="B55" t="inlineStr">
        <is>
          <t>avverkningsanmälan</t>
        </is>
      </c>
      <c r="C55" t="inlineStr">
        <is>
          <t>Föryngringsavverkning</t>
        </is>
      </c>
      <c r="D55" s="1" t="n">
        <v>45769</v>
      </c>
      <c r="E55" s="1" t="n">
        <v>46319</v>
      </c>
      <c r="F55" t="inlineStr">
        <is>
          <t>JÄMTLANDS LÄN</t>
        </is>
      </c>
      <c r="G55" t="inlineStr">
        <is>
          <t>RAGUNDA</t>
        </is>
      </c>
      <c r="H55" t="inlineStr">
        <is>
          <t>SCA</t>
        </is>
      </c>
      <c r="I55" t="n">
        <v>3.1</v>
      </c>
      <c r="J55" t="n">
        <v>2</v>
      </c>
      <c r="K55" t="n">
        <v>4</v>
      </c>
      <c r="L55" t="n">
        <v>3</v>
      </c>
      <c r="M55" t="n">
        <v>1</v>
      </c>
      <c r="N55" t="n">
        <v>0</v>
      </c>
      <c r="O55" t="n">
        <v>0</v>
      </c>
      <c r="P55" t="n">
        <v>0</v>
      </c>
      <c r="Q55" t="n">
        <v>4</v>
      </c>
      <c r="R55" t="n">
        <v>1</v>
      </c>
      <c r="S55" t="n">
        <v>8</v>
      </c>
      <c r="T55" t="n">
        <v>13</v>
      </c>
      <c r="U55" t="n">
        <v>6</v>
      </c>
      <c r="V55" s="2" t="inlineStr">
        <is>
          <t>Garnlav
Lunglav
Skrovellav
Tretåig hackspett
Bårdlav
Spindelblomster
Stuplav
Vedticka</t>
        </is>
      </c>
      <c r="W55">
        <f>HYPERLINK("https://klasma.github.io/Logging_2303/artfynd/A 19402-2025 artfynd.xlsx", "A 19402-2025")</f>
        <v/>
      </c>
      <c r="X55">
        <f>HYPERLINK("https://klasma.github.io/Logging_2303/kartor/A 19402-2025 karta.png", "A 19402-2025")</f>
        <v/>
      </c>
      <c r="Y55">
        <f>HYPERLINK("https://klasma.github.io/Logging_2303/kartor_geotiff/A 19402-2025 georefererad karta.tif", "A 19402-2025")</f>
        <v/>
      </c>
      <c r="AA55">
        <f>HYPERLINK("https://klasma.github.io/Logging_2303/klagomål/A 19402-2025 FSC-klagomål.docx", "A 19402-2025")</f>
        <v/>
      </c>
      <c r="AB55">
        <f>HYPERLINK("https://klasma.github.io/Logging_2303/klagomålsmail/A 19402-2025 FSC-klagomål mail.docx", "A 19402-2025")</f>
        <v/>
      </c>
      <c r="AC55">
        <f>HYPERLINK("https://klasma.github.io/Logging_2303/tillsyn/A 19402-2025 tillsynsbegäran.docx", "A 19402-2025")</f>
        <v/>
      </c>
      <c r="AD55">
        <f>HYPERLINK("https://klasma.github.io/Logging_2303/tillsynsmail/A 19402-2025 tillsynsbegäran mail.docx", "A 19402-2025")</f>
        <v/>
      </c>
      <c r="AE55">
        <f>HYPERLINK("https://klasma.github.io/Logging_2303/fåglar/A 19402-2025 prioriterade fågelarter.docx", "A 19402-2025")</f>
        <v/>
      </c>
    </row>
    <row r="56" ht="15" customHeight="1">
      <c r="A56" t="inlineStr">
        <is>
          <t>A 41770-2026</t>
        </is>
      </c>
      <c r="B56" t="inlineStr">
        <is>
          <t>avverkningsanmälan</t>
        </is>
      </c>
      <c r="C56" t="inlineStr">
        <is>
          <t>Föryngringsavverkning</t>
        </is>
      </c>
      <c r="D56" s="1" t="n">
        <v>46302</v>
      </c>
      <c r="E56" s="1" t="n">
        <v>46319</v>
      </c>
      <c r="F56" t="inlineStr">
        <is>
          <t>JÄMTLANDS LÄN</t>
        </is>
      </c>
      <c r="G56" t="inlineStr">
        <is>
          <t>RAGUNDA</t>
        </is>
      </c>
      <c r="I56" t="n">
        <v>4</v>
      </c>
      <c r="J56" t="n">
        <v>1</v>
      </c>
      <c r="K56" t="n">
        <v>2</v>
      </c>
      <c r="L56" t="n">
        <v>6</v>
      </c>
      <c r="M56" t="n">
        <v>0</v>
      </c>
      <c r="N56" t="n">
        <v>0</v>
      </c>
      <c r="O56" t="n">
        <v>0</v>
      </c>
      <c r="P56" t="n">
        <v>0</v>
      </c>
      <c r="Q56" t="n">
        <v>6</v>
      </c>
      <c r="R56" t="n">
        <v>0</v>
      </c>
      <c r="S56" t="n">
        <v>8</v>
      </c>
      <c r="T56" t="n">
        <v>11</v>
      </c>
      <c r="U56" t="n">
        <v>0</v>
      </c>
      <c r="V56" s="2" t="inlineStr">
        <is>
          <t>Backruta
Blå taggsvamp
Dropptaggsvamp
Skarp dropptaggsvamp
Tallriska
Vedtrappmossa
Korallblylav
Plattlummer</t>
        </is>
      </c>
      <c r="W56">
        <f>HYPERLINK("https://klasma.github.io/Logging_2303/artfynd/A 41770-2026 artfynd.xlsx", "A 41770-2026")</f>
        <v/>
      </c>
      <c r="X56">
        <f>HYPERLINK("https://klasma.github.io/Logging_2303/kartor/A 41770-2026 karta.png", "A 41770-2026")</f>
        <v/>
      </c>
      <c r="Y56">
        <f>HYPERLINK("https://klasma.github.io/Logging_2303/kartor_geotiff/A 41770-2026 georefererad karta.tif", "A 41770-2026")</f>
        <v/>
      </c>
      <c r="AA56">
        <f>HYPERLINK("https://klasma.github.io/Logging_2303/klagomål/A 41770-2026 FSC-klagomål.docx", "A 41770-2026")</f>
        <v/>
      </c>
      <c r="AB56">
        <f>HYPERLINK("https://klasma.github.io/Logging_2303/klagomålsmail/A 41770-2026 FSC-klagomål mail.docx", "A 41770-2026")</f>
        <v/>
      </c>
      <c r="AC56">
        <f>HYPERLINK("https://klasma.github.io/Logging_2303/tillsyn/A 41770-2026 tillsynsbegäran.docx", "A 41770-2026")</f>
        <v/>
      </c>
      <c r="AD56">
        <f>HYPERLINK("https://klasma.github.io/Logging_2303/tillsynsmail/A 41770-2026 tillsynsbegäran mail.docx", "A 41770-2026")</f>
        <v/>
      </c>
    </row>
    <row r="57" ht="15" customHeight="1">
      <c r="A57" t="inlineStr">
        <is>
          <t>A 11828-2023</t>
        </is>
      </c>
      <c r="B57" t="inlineStr">
        <is>
          <t>avverkningsanmälan</t>
        </is>
      </c>
      <c r="C57" t="inlineStr">
        <is>
          <t>Föryngringsavverkning</t>
        </is>
      </c>
      <c r="D57" s="1" t="n">
        <v>44994</v>
      </c>
      <c r="E57" s="1" t="n">
        <v>46319</v>
      </c>
      <c r="F57" t="inlineStr">
        <is>
          <t>JÄMTLANDS LÄN</t>
        </is>
      </c>
      <c r="G57" t="inlineStr">
        <is>
          <t>RAGUNDA</t>
        </is>
      </c>
      <c r="H57" t="inlineStr">
        <is>
          <t>SCA</t>
        </is>
      </c>
      <c r="I57" t="n">
        <v>2.7</v>
      </c>
      <c r="J57" t="n">
        <v>0</v>
      </c>
      <c r="K57" t="n">
        <v>1</v>
      </c>
      <c r="L57" t="n">
        <v>6</v>
      </c>
      <c r="M57" t="n">
        <v>1</v>
      </c>
      <c r="N57" t="n">
        <v>0</v>
      </c>
      <c r="O57" t="n">
        <v>0</v>
      </c>
      <c r="P57" t="n">
        <v>0</v>
      </c>
      <c r="Q57" t="n">
        <v>7</v>
      </c>
      <c r="R57" t="n">
        <v>1</v>
      </c>
      <c r="S57" t="n">
        <v>8</v>
      </c>
      <c r="T57" t="n">
        <v>8</v>
      </c>
      <c r="U57" t="n">
        <v>0</v>
      </c>
      <c r="V57" s="2" t="inlineStr">
        <is>
          <t>Garnlav
Dvärgbägarlav
Kolflarnlav
Mörk kolflarnlav
Skrovellav
Vedskivlav
Vedtrappmossa
Källmossor</t>
        </is>
      </c>
      <c r="W57">
        <f>HYPERLINK("https://klasma.github.io/Logging_2303/artfynd/A 11828-2023 artfynd.xlsx", "A 11828-2023")</f>
        <v/>
      </c>
      <c r="X57">
        <f>HYPERLINK("https://klasma.github.io/Logging_2303/kartor/A 11828-2023 karta.png", "A 11828-2023")</f>
        <v/>
      </c>
      <c r="Y57">
        <f>HYPERLINK("https://klasma.github.io/Logging_2303/kartor_geotiff/A 11828-2023 georefererad karta.tif", "A 11828-2023")</f>
        <v/>
      </c>
      <c r="AA57">
        <f>HYPERLINK("https://klasma.github.io/Logging_2303/klagomål/A 11828-2023 FSC-klagomål.docx", "A 11828-2023")</f>
        <v/>
      </c>
      <c r="AB57">
        <f>HYPERLINK("https://klasma.github.io/Logging_2303/klagomålsmail/A 11828-2023 FSC-klagomål mail.docx", "A 11828-2023")</f>
        <v/>
      </c>
      <c r="AC57">
        <f>HYPERLINK("https://klasma.github.io/Logging_2303/tillsyn/A 11828-2023 tillsynsbegäran.docx", "A 11828-2023")</f>
        <v/>
      </c>
      <c r="AD57">
        <f>HYPERLINK("https://klasma.github.io/Logging_2303/tillsynsmail/A 11828-2023 tillsynsbegäran mail.docx", "A 11828-2023")</f>
        <v/>
      </c>
    </row>
    <row r="58" ht="15" customHeight="1">
      <c r="A58" t="inlineStr">
        <is>
          <t>A 15379-2024</t>
        </is>
      </c>
      <c r="B58" t="inlineStr">
        <is>
          <t>avverkningsanmälan</t>
        </is>
      </c>
      <c r="C58" t="inlineStr">
        <is>
          <t>Avverkning för att bevara och utveckla /försöksver</t>
        </is>
      </c>
      <c r="D58" s="1" t="n">
        <v>45400</v>
      </c>
      <c r="E58" s="1" t="n">
        <v>46319</v>
      </c>
      <c r="F58" t="inlineStr">
        <is>
          <t>JÄMTLANDS LÄN</t>
        </is>
      </c>
      <c r="G58" t="inlineStr">
        <is>
          <t>RAGUNDA</t>
        </is>
      </c>
      <c r="H58" t="inlineStr">
        <is>
          <t>SCA</t>
        </is>
      </c>
      <c r="I58" t="n">
        <v>4.2</v>
      </c>
      <c r="J58" t="n">
        <v>4</v>
      </c>
      <c r="K58" t="n">
        <v>4</v>
      </c>
      <c r="L58" t="n">
        <v>0</v>
      </c>
      <c r="M58" t="n">
        <v>3</v>
      </c>
      <c r="N58" t="n">
        <v>0</v>
      </c>
      <c r="O58" t="n">
        <v>0</v>
      </c>
      <c r="P58" t="n">
        <v>0</v>
      </c>
      <c r="Q58" t="n">
        <v>3</v>
      </c>
      <c r="R58" t="n">
        <v>3</v>
      </c>
      <c r="S58" t="n">
        <v>8</v>
      </c>
      <c r="T58" t="n">
        <v>12</v>
      </c>
      <c r="U58" t="n">
        <v>4</v>
      </c>
      <c r="V58" s="2" t="inlineStr">
        <is>
          <t>Garnlav
Gräddporing
Knärot
Finbräken
Guckusko
Svavelriska
Tvåblad
Blåsippa</t>
        </is>
      </c>
      <c r="W58">
        <f>HYPERLINK("https://klasma.github.io/Logging_2303/artfynd/A 15379-2024 artfynd.xlsx", "A 15379-2024")</f>
        <v/>
      </c>
      <c r="X58">
        <f>HYPERLINK("https://klasma.github.io/Logging_2303/kartor/A 15379-2024 karta.png", "A 15379-2024")</f>
        <v/>
      </c>
      <c r="Y58">
        <f>HYPERLINK("https://klasma.github.io/Logging_2303/kartor_geotiff/A 15379-2024 georefererad karta.tif", "A 15379-2024")</f>
        <v/>
      </c>
      <c r="Z58">
        <f>HYPERLINK("https://klasma.github.io/Logging_2303/knärot/A 15379-2024 karta knärot.png", "A 15379-2024")</f>
        <v/>
      </c>
      <c r="AA58">
        <f>HYPERLINK("https://klasma.github.io/Logging_2303/klagomål/A 15379-2024 FSC-klagomål.docx", "A 15379-2024")</f>
        <v/>
      </c>
      <c r="AB58">
        <f>HYPERLINK("https://klasma.github.io/Logging_2303/klagomålsmail/A 15379-2024 FSC-klagomål mail.docx", "A 15379-2024")</f>
        <v/>
      </c>
      <c r="AC58">
        <f>HYPERLINK("https://klasma.github.io/Logging_2303/tillsyn/A 15379-2024 tillsynsbegäran.docx", "A 15379-2024")</f>
        <v/>
      </c>
      <c r="AD58">
        <f>HYPERLINK("https://klasma.github.io/Logging_2303/tillsynsmail/A 15379-2024 tillsynsbegäran mail.docx", "A 15379-2024")</f>
        <v/>
      </c>
    </row>
    <row r="59" ht="15" customHeight="1">
      <c r="A59" t="inlineStr">
        <is>
          <t>A 20575-2025</t>
        </is>
      </c>
      <c r="B59" t="inlineStr">
        <is>
          <t>avverkningsanmälan</t>
        </is>
      </c>
      <c r="C59" t="inlineStr">
        <is>
          <t>Föryngringsavverkning</t>
        </is>
      </c>
      <c r="D59" s="1" t="n">
        <v>45775</v>
      </c>
      <c r="E59" s="1" t="n">
        <v>46319</v>
      </c>
      <c r="F59" t="inlineStr">
        <is>
          <t>JÄMTLANDS LÄN</t>
        </is>
      </c>
      <c r="G59" t="inlineStr">
        <is>
          <t>RAGUNDA</t>
        </is>
      </c>
      <c r="H59" t="inlineStr">
        <is>
          <t>SCA</t>
        </is>
      </c>
      <c r="I59" t="n">
        <v>8.1</v>
      </c>
      <c r="J59" t="n">
        <v>6</v>
      </c>
      <c r="K59" t="n">
        <v>2</v>
      </c>
      <c r="L59" t="n">
        <v>4</v>
      </c>
      <c r="M59" t="n">
        <v>1</v>
      </c>
      <c r="N59" t="n">
        <v>0</v>
      </c>
      <c r="O59" t="n">
        <v>0</v>
      </c>
      <c r="P59" t="n">
        <v>0</v>
      </c>
      <c r="Q59" t="n">
        <v>5</v>
      </c>
      <c r="R59" t="n">
        <v>1</v>
      </c>
      <c r="S59" t="n">
        <v>8</v>
      </c>
      <c r="T59" t="n">
        <v>89</v>
      </c>
      <c r="U59" t="n">
        <v>88</v>
      </c>
      <c r="V59" s="2" t="inlineStr">
        <is>
          <t>Knärot
Lunglav
Rosenticka
Skogsfru
Tretåig hackspett
Spindelblomster
Tvåblad
Fläcknycklar</t>
        </is>
      </c>
      <c r="W59">
        <f>HYPERLINK("https://klasma.github.io/Logging_2303/artfynd/A 20575-2025 artfynd.xlsx", "A 20575-2025")</f>
        <v/>
      </c>
      <c r="X59">
        <f>HYPERLINK("https://klasma.github.io/Logging_2303/kartor/A 20575-2025 karta.png", "A 20575-2025")</f>
        <v/>
      </c>
      <c r="Y59">
        <f>HYPERLINK("https://klasma.github.io/Logging_2303/kartor_geotiff/A 20575-2025 georefererad karta.tif", "A 20575-2025")</f>
        <v/>
      </c>
      <c r="Z59">
        <f>HYPERLINK("https://klasma.github.io/Logging_2303/knärot/A 20575-2025 karta knärot.png", "A 20575-2025")</f>
        <v/>
      </c>
      <c r="AA59">
        <f>HYPERLINK("https://klasma.github.io/Logging_2303/klagomål/A 20575-2025 FSC-klagomål.docx", "A 20575-2025")</f>
        <v/>
      </c>
      <c r="AB59">
        <f>HYPERLINK("https://klasma.github.io/Logging_2303/klagomålsmail/A 20575-2025 FSC-klagomål mail.docx", "A 20575-2025")</f>
        <v/>
      </c>
      <c r="AC59">
        <f>HYPERLINK("https://klasma.github.io/Logging_2303/tillsyn/A 20575-2025 tillsynsbegäran.docx", "A 20575-2025")</f>
        <v/>
      </c>
      <c r="AD59">
        <f>HYPERLINK("https://klasma.github.io/Logging_2303/tillsynsmail/A 20575-2025 tillsynsbegäran mail.docx", "A 20575-2025")</f>
        <v/>
      </c>
      <c r="AE59">
        <f>HYPERLINK("https://klasma.github.io/Logging_2303/fåglar/A 20575-2025 prioriterade fågelarter.docx", "A 20575-2025")</f>
        <v/>
      </c>
    </row>
    <row r="60" ht="15" customHeight="1">
      <c r="A60" t="inlineStr">
        <is>
          <t>A 61386-2022</t>
        </is>
      </c>
      <c r="B60" t="inlineStr">
        <is>
          <t>avverkningsanmälan</t>
        </is>
      </c>
      <c r="C60" t="inlineStr">
        <is>
          <t>Föryngringsavverkning</t>
        </is>
      </c>
      <c r="D60" s="1" t="n">
        <v>44915</v>
      </c>
      <c r="E60" s="1" t="n">
        <v>46319</v>
      </c>
      <c r="F60" t="inlineStr">
        <is>
          <t>JÄMTLANDS LÄN</t>
        </is>
      </c>
      <c r="G60" t="inlineStr">
        <is>
          <t>RAGUNDA</t>
        </is>
      </c>
      <c r="H60" t="inlineStr">
        <is>
          <t>Övriga Aktiebolag</t>
        </is>
      </c>
      <c r="I60" t="n">
        <v>19.7</v>
      </c>
      <c r="J60" t="n">
        <v>2</v>
      </c>
      <c r="K60" t="n">
        <v>2</v>
      </c>
      <c r="L60" t="n">
        <v>4</v>
      </c>
      <c r="M60" t="n">
        <v>1</v>
      </c>
      <c r="N60" t="n">
        <v>0</v>
      </c>
      <c r="O60" t="n">
        <v>0</v>
      </c>
      <c r="P60" t="n">
        <v>0</v>
      </c>
      <c r="Q60" t="n">
        <v>5</v>
      </c>
      <c r="R60" t="n">
        <v>1</v>
      </c>
      <c r="S60" t="n">
        <v>8</v>
      </c>
      <c r="T60" t="n">
        <v>20</v>
      </c>
      <c r="U60" t="n">
        <v>20</v>
      </c>
      <c r="V60" s="2" t="inlineStr">
        <is>
          <t>Knärot
Lunglav
Rosenticka
Rynkskinn
Ullticka
Svart trolldruva
Vanlig flatbagge
Tjäder</t>
        </is>
      </c>
      <c r="W60">
        <f>HYPERLINK("https://klasma.github.io/Logging_2303/artfynd/A 61386-2022 artfynd.xlsx", "A 61386-2022")</f>
        <v/>
      </c>
      <c r="X60">
        <f>HYPERLINK("https://klasma.github.io/Logging_2303/kartor/A 61386-2022 karta.png", "A 61386-2022")</f>
        <v/>
      </c>
      <c r="Y60">
        <f>HYPERLINK("https://klasma.github.io/Logging_2303/kartor_geotiff/A 61386-2022 georefererad karta.tif", "A 61386-2022")</f>
        <v/>
      </c>
      <c r="Z60">
        <f>HYPERLINK("https://klasma.github.io/Logging_2303/knärot/A 61386-2022 karta knärot.png", "A 61386-2022")</f>
        <v/>
      </c>
      <c r="AA60">
        <f>HYPERLINK("https://klasma.github.io/Logging_2303/klagomål/A 61386-2022 FSC-klagomål.docx", "A 61386-2022")</f>
        <v/>
      </c>
      <c r="AB60">
        <f>HYPERLINK("https://klasma.github.io/Logging_2303/klagomålsmail/A 61386-2022 FSC-klagomål mail.docx", "A 61386-2022")</f>
        <v/>
      </c>
      <c r="AC60">
        <f>HYPERLINK("https://klasma.github.io/Logging_2303/tillsyn/A 61386-2022 tillsynsbegäran.docx", "A 61386-2022")</f>
        <v/>
      </c>
      <c r="AD60">
        <f>HYPERLINK("https://klasma.github.io/Logging_2303/tillsynsmail/A 61386-2022 tillsynsbegäran mail.docx", "A 61386-2022")</f>
        <v/>
      </c>
      <c r="AE60">
        <f>HYPERLINK("https://klasma.github.io/Logging_2303/fåglar/A 61386-2022 prioriterade fågelarter.docx", "A 61386-2022")</f>
        <v/>
      </c>
    </row>
    <row r="61" ht="15" customHeight="1">
      <c r="A61" t="inlineStr">
        <is>
          <t>A 15665-2022</t>
        </is>
      </c>
      <c r="B61" t="inlineStr">
        <is>
          <t>avverkningsanmälan</t>
        </is>
      </c>
      <c r="C61" t="inlineStr">
        <is>
          <t>Avverkning för att bevara och utveckla /försöksver</t>
        </is>
      </c>
      <c r="D61" s="1" t="n">
        <v>44662</v>
      </c>
      <c r="E61" s="1" t="n">
        <v>46319</v>
      </c>
      <c r="F61" t="inlineStr">
        <is>
          <t>JÄMTLANDS LÄN</t>
        </is>
      </c>
      <c r="G61" t="inlineStr">
        <is>
          <t>RAGUNDA</t>
        </is>
      </c>
      <c r="H61" t="inlineStr">
        <is>
          <t>SCA</t>
        </is>
      </c>
      <c r="I61" t="n">
        <v>4.8</v>
      </c>
      <c r="J61" t="n">
        <v>4</v>
      </c>
      <c r="K61" t="n">
        <v>1</v>
      </c>
      <c r="L61" t="n">
        <v>2</v>
      </c>
      <c r="M61" t="n">
        <v>1</v>
      </c>
      <c r="N61" t="n">
        <v>0</v>
      </c>
      <c r="O61" t="n">
        <v>0</v>
      </c>
      <c r="P61" t="n">
        <v>0</v>
      </c>
      <c r="Q61" t="n">
        <v>3</v>
      </c>
      <c r="R61" t="n">
        <v>1</v>
      </c>
      <c r="S61" t="n">
        <v>7</v>
      </c>
      <c r="T61" t="n">
        <v>11</v>
      </c>
      <c r="U61" t="n">
        <v>0</v>
      </c>
      <c r="V61" s="2" t="inlineStr">
        <is>
          <t>Garnlav
Tretåig hackspett
Ullticka
Vedticka
Spillkråka
Orre
Revlummer</t>
        </is>
      </c>
      <c r="W61">
        <f>HYPERLINK("https://klasma.github.io/Logging_2303/artfynd/A 15665-2022 artfynd.xlsx", "A 15665-2022")</f>
        <v/>
      </c>
      <c r="X61">
        <f>HYPERLINK("https://klasma.github.io/Logging_2303/kartor/A 15665-2022 karta.png", "A 15665-2022")</f>
        <v/>
      </c>
      <c r="Y61">
        <f>HYPERLINK("https://klasma.github.io/Logging_2303/kartor_geotiff/A 15665-2022 georefererad karta.tif", "A 15665-2022")</f>
        <v/>
      </c>
      <c r="AA61">
        <f>HYPERLINK("https://klasma.github.io/Logging_2303/klagomål/A 15665-2022 FSC-klagomål.docx", "A 15665-2022")</f>
        <v/>
      </c>
      <c r="AB61">
        <f>HYPERLINK("https://klasma.github.io/Logging_2303/klagomålsmail/A 15665-2022 FSC-klagomål mail.docx", "A 15665-2022")</f>
        <v/>
      </c>
      <c r="AC61">
        <f>HYPERLINK("https://klasma.github.io/Logging_2303/tillsyn/A 15665-2022 tillsynsbegäran.docx", "A 15665-2022")</f>
        <v/>
      </c>
      <c r="AD61">
        <f>HYPERLINK("https://klasma.github.io/Logging_2303/tillsynsmail/A 15665-2022 tillsynsbegäran mail.docx", "A 15665-2022")</f>
        <v/>
      </c>
      <c r="AE61">
        <f>HYPERLINK("https://klasma.github.io/Logging_2303/fåglar/A 15665-2022 prioriterade fågelarter.docx", "A 15665-2022")</f>
        <v/>
      </c>
    </row>
    <row r="62" ht="15" customHeight="1">
      <c r="A62" t="inlineStr">
        <is>
          <t>A 27913-2024</t>
        </is>
      </c>
      <c r="B62" t="inlineStr">
        <is>
          <t>avverkningsanmälan</t>
        </is>
      </c>
      <c r="C62" t="inlineStr">
        <is>
          <t>Avverkning för att bevara och utveckla /försöksver</t>
        </is>
      </c>
      <c r="D62" s="1" t="n">
        <v>45475</v>
      </c>
      <c r="E62" s="1" t="n">
        <v>46319</v>
      </c>
      <c r="F62" t="inlineStr">
        <is>
          <t>JÄMTLANDS LÄN</t>
        </is>
      </c>
      <c r="G62" t="inlineStr">
        <is>
          <t>RAGUNDA</t>
        </is>
      </c>
      <c r="H62" t="inlineStr">
        <is>
          <t>SCA</t>
        </is>
      </c>
      <c r="I62" t="n">
        <v>11.1</v>
      </c>
      <c r="J62" t="n">
        <v>2</v>
      </c>
      <c r="K62" t="n">
        <v>4</v>
      </c>
      <c r="L62" t="n">
        <v>2</v>
      </c>
      <c r="M62" t="n">
        <v>1</v>
      </c>
      <c r="N62" t="n">
        <v>0</v>
      </c>
      <c r="O62" t="n">
        <v>0</v>
      </c>
      <c r="P62" t="n">
        <v>0</v>
      </c>
      <c r="Q62" t="n">
        <v>3</v>
      </c>
      <c r="R62" t="n">
        <v>1</v>
      </c>
      <c r="S62" t="n">
        <v>7</v>
      </c>
      <c r="T62" t="n">
        <v>7</v>
      </c>
      <c r="U62" t="n">
        <v>0</v>
      </c>
      <c r="V62" s="2" t="inlineStr">
        <is>
          <t>Knärot
Kolflarnlav
Lunglav
Bårdlav
Kransrams
Lappranunkel
Skinnlav</t>
        </is>
      </c>
      <c r="W62">
        <f>HYPERLINK("https://klasma.github.io/Logging_2303/artfynd/A 27913-2024 artfynd.xlsx", "A 27913-2024")</f>
        <v/>
      </c>
      <c r="X62">
        <f>HYPERLINK("https://klasma.github.io/Logging_2303/kartor/A 27913-2024 karta.png", "A 27913-2024")</f>
        <v/>
      </c>
      <c r="Y62">
        <f>HYPERLINK("https://klasma.github.io/Logging_2303/kartor_geotiff/A 27913-2024 georefererad karta.tif", "A 27913-2024")</f>
        <v/>
      </c>
      <c r="Z62">
        <f>HYPERLINK("https://klasma.github.io/Logging_2303/knärot/A 27913-2024 karta knärot.png", "A 27913-2024")</f>
        <v/>
      </c>
      <c r="AA62">
        <f>HYPERLINK("https://klasma.github.io/Logging_2303/klagomål/A 27913-2024 FSC-klagomål.docx", "A 27913-2024")</f>
        <v/>
      </c>
      <c r="AB62">
        <f>HYPERLINK("https://klasma.github.io/Logging_2303/klagomålsmail/A 27913-2024 FSC-klagomål mail.docx", "A 27913-2024")</f>
        <v/>
      </c>
      <c r="AC62">
        <f>HYPERLINK("https://klasma.github.io/Logging_2303/tillsyn/A 27913-2024 tillsynsbegäran.docx", "A 27913-2024")</f>
        <v/>
      </c>
      <c r="AD62">
        <f>HYPERLINK("https://klasma.github.io/Logging_2303/tillsynsmail/A 27913-2024 tillsynsbegäran mail.docx", "A 27913-2024")</f>
        <v/>
      </c>
    </row>
    <row r="63" ht="15" customHeight="1">
      <c r="A63" t="inlineStr">
        <is>
          <t>A 41929-2023</t>
        </is>
      </c>
      <c r="B63" t="inlineStr">
        <is>
          <t>avverkningsanmälan</t>
        </is>
      </c>
      <c r="C63" t="inlineStr">
        <is>
          <t>Avverkning för att bevara och utveckla /försöksver</t>
        </is>
      </c>
      <c r="D63" s="1" t="n">
        <v>45176</v>
      </c>
      <c r="E63" s="1" t="n">
        <v>46319</v>
      </c>
      <c r="F63" t="inlineStr">
        <is>
          <t>JÄMTLANDS LÄN</t>
        </is>
      </c>
      <c r="G63" t="inlineStr">
        <is>
          <t>RAGUNDA</t>
        </is>
      </c>
      <c r="H63" t="inlineStr">
        <is>
          <t>SCA</t>
        </is>
      </c>
      <c r="I63" t="n">
        <v>13.2</v>
      </c>
      <c r="J63" t="n">
        <v>3</v>
      </c>
      <c r="K63" t="n">
        <v>2</v>
      </c>
      <c r="L63" t="n">
        <v>3</v>
      </c>
      <c r="M63" t="n">
        <v>1</v>
      </c>
      <c r="N63" t="n">
        <v>0</v>
      </c>
      <c r="O63" t="n">
        <v>0</v>
      </c>
      <c r="P63" t="n">
        <v>0</v>
      </c>
      <c r="Q63" t="n">
        <v>4</v>
      </c>
      <c r="R63" t="n">
        <v>1</v>
      </c>
      <c r="S63" t="n">
        <v>7</v>
      </c>
      <c r="T63" t="n">
        <v>21</v>
      </c>
      <c r="U63" t="n">
        <v>0</v>
      </c>
      <c r="V63" s="2" t="inlineStr">
        <is>
          <t>Knärot
Rosenticka
Ullticka
Vårärt
Grönkulla
Svart trolldruva
Blåsippa</t>
        </is>
      </c>
      <c r="W63">
        <f>HYPERLINK("https://klasma.github.io/Logging_2303/artfynd/A 41929-2023 artfynd.xlsx", "A 41929-2023")</f>
        <v/>
      </c>
      <c r="X63">
        <f>HYPERLINK("https://klasma.github.io/Logging_2303/kartor/A 41929-2023 karta.png", "A 41929-2023")</f>
        <v/>
      </c>
      <c r="Y63">
        <f>HYPERLINK("https://klasma.github.io/Logging_2303/kartor_geotiff/A 41929-2023 georefererad karta.tif", "A 41929-2023")</f>
        <v/>
      </c>
      <c r="Z63">
        <f>HYPERLINK("https://klasma.github.io/Logging_2303/knärot/A 41929-2023 karta knärot.png", "A 41929-2023")</f>
        <v/>
      </c>
      <c r="AA63">
        <f>HYPERLINK("https://klasma.github.io/Logging_2303/klagomål/A 41929-2023 FSC-klagomål.docx", "A 41929-2023")</f>
        <v/>
      </c>
      <c r="AB63">
        <f>HYPERLINK("https://klasma.github.io/Logging_2303/klagomålsmail/A 41929-2023 FSC-klagomål mail.docx", "A 41929-2023")</f>
        <v/>
      </c>
      <c r="AC63">
        <f>HYPERLINK("https://klasma.github.io/Logging_2303/tillsyn/A 41929-2023 tillsynsbegäran.docx", "A 41929-2023")</f>
        <v/>
      </c>
      <c r="AD63">
        <f>HYPERLINK("https://klasma.github.io/Logging_2303/tillsynsmail/A 41929-2023 tillsynsbegäran mail.docx", "A 41929-2023")</f>
        <v/>
      </c>
    </row>
    <row r="64" ht="15" customHeight="1">
      <c r="A64" t="inlineStr">
        <is>
          <t>A 37237-2023</t>
        </is>
      </c>
      <c r="B64" t="inlineStr">
        <is>
          <t>avverkningsanmälan</t>
        </is>
      </c>
      <c r="C64" t="inlineStr">
        <is>
          <t>Avverkning för att bevara och utveckla /försöksver</t>
        </is>
      </c>
      <c r="D64" s="1" t="n">
        <v>45155</v>
      </c>
      <c r="E64" s="1" t="n">
        <v>46319</v>
      </c>
      <c r="F64" t="inlineStr">
        <is>
          <t>JÄMTLANDS LÄN</t>
        </is>
      </c>
      <c r="G64" t="inlineStr">
        <is>
          <t>RAGUNDA</t>
        </is>
      </c>
      <c r="H64" t="inlineStr">
        <is>
          <t>SCA</t>
        </is>
      </c>
      <c r="I64" t="n">
        <v>13.2</v>
      </c>
      <c r="J64" t="n">
        <v>3</v>
      </c>
      <c r="K64" t="n">
        <v>2</v>
      </c>
      <c r="L64" t="n">
        <v>3</v>
      </c>
      <c r="M64" t="n">
        <v>1</v>
      </c>
      <c r="N64" t="n">
        <v>0</v>
      </c>
      <c r="O64" t="n">
        <v>0</v>
      </c>
      <c r="P64" t="n">
        <v>0</v>
      </c>
      <c r="Q64" t="n">
        <v>4</v>
      </c>
      <c r="R64" t="n">
        <v>1</v>
      </c>
      <c r="S64" t="n">
        <v>7</v>
      </c>
      <c r="T64" t="n">
        <v>21</v>
      </c>
      <c r="U64" t="n">
        <v>0</v>
      </c>
      <c r="V64" s="2" t="inlineStr">
        <is>
          <t>Knärot
Rosenticka
Ullticka
Vårärt
Grönkulla
Svart trolldruva
Blåsippa</t>
        </is>
      </c>
      <c r="W64">
        <f>HYPERLINK("https://klasma.github.io/Logging_2303/artfynd/A 37237-2023 artfynd.xlsx", "A 37237-2023")</f>
        <v/>
      </c>
      <c r="X64">
        <f>HYPERLINK("https://klasma.github.io/Logging_2303/kartor/A 37237-2023 karta.png", "A 37237-2023")</f>
        <v/>
      </c>
      <c r="Y64">
        <f>HYPERLINK("https://klasma.github.io/Logging_2303/kartor_geotiff/A 37237-2023 georefererad karta.tif", "A 37237-2023")</f>
        <v/>
      </c>
      <c r="Z64">
        <f>HYPERLINK("https://klasma.github.io/Logging_2303/knärot/A 37237-2023 karta knärot.png", "A 37237-2023")</f>
        <v/>
      </c>
      <c r="AA64">
        <f>HYPERLINK("https://klasma.github.io/Logging_2303/klagomål/A 37237-2023 FSC-klagomål.docx", "A 37237-2023")</f>
        <v/>
      </c>
      <c r="AB64">
        <f>HYPERLINK("https://klasma.github.io/Logging_2303/klagomålsmail/A 37237-2023 FSC-klagomål mail.docx", "A 37237-2023")</f>
        <v/>
      </c>
      <c r="AC64">
        <f>HYPERLINK("https://klasma.github.io/Logging_2303/tillsyn/A 37237-2023 tillsynsbegäran.docx", "A 37237-2023")</f>
        <v/>
      </c>
      <c r="AD64">
        <f>HYPERLINK("https://klasma.github.io/Logging_2303/tillsynsmail/A 37237-2023 tillsynsbegäran mail.docx", "A 37237-2023")</f>
        <v/>
      </c>
    </row>
    <row r="65" ht="15" customHeight="1">
      <c r="A65" t="inlineStr">
        <is>
          <t>A 51037-2025</t>
        </is>
      </c>
      <c r="B65" t="inlineStr">
        <is>
          <t>avverkningsanmälan</t>
        </is>
      </c>
      <c r="C65" t="inlineStr">
        <is>
          <t>Föryngringsavverkning</t>
        </is>
      </c>
      <c r="D65" s="1" t="n">
        <v>45947</v>
      </c>
      <c r="E65" s="1" t="n">
        <v>46319</v>
      </c>
      <c r="F65" t="inlineStr">
        <is>
          <t>JÄMTLANDS LÄN</t>
        </is>
      </c>
      <c r="G65" t="inlineStr">
        <is>
          <t>RAGUNDA</t>
        </is>
      </c>
      <c r="H65" t="inlineStr">
        <is>
          <t>SCA</t>
        </is>
      </c>
      <c r="I65" t="n">
        <v>3.8</v>
      </c>
      <c r="J65" t="n">
        <v>2</v>
      </c>
      <c r="K65" t="n">
        <v>2</v>
      </c>
      <c r="L65" t="n">
        <v>3</v>
      </c>
      <c r="M65" t="n">
        <v>2</v>
      </c>
      <c r="N65" t="n">
        <v>0</v>
      </c>
      <c r="O65" t="n">
        <v>0</v>
      </c>
      <c r="P65" t="n">
        <v>0</v>
      </c>
      <c r="Q65" t="n">
        <v>5</v>
      </c>
      <c r="R65" t="n">
        <v>2</v>
      </c>
      <c r="S65" t="n">
        <v>7</v>
      </c>
      <c r="T65" t="n">
        <v>7</v>
      </c>
      <c r="U65" t="n">
        <v>0</v>
      </c>
      <c r="V65" s="2" t="inlineStr">
        <is>
          <t>Garnlav
Knärot
Lunglav
Rosenticka
Vedskivlav
Korallrot
Ögonpyrola</t>
        </is>
      </c>
      <c r="W65">
        <f>HYPERLINK("https://klasma.github.io/Logging_2303/artfynd/A 51037-2025 artfynd.xlsx", "A 51037-2025")</f>
        <v/>
      </c>
      <c r="X65">
        <f>HYPERLINK("https://klasma.github.io/Logging_2303/kartor/A 51037-2025 karta.png", "A 51037-2025")</f>
        <v/>
      </c>
      <c r="Y65">
        <f>HYPERLINK("https://klasma.github.io/Logging_2303/kartor_geotiff/A 51037-2025 georefererad karta.tif", "A 51037-2025")</f>
        <v/>
      </c>
      <c r="Z65">
        <f>HYPERLINK("https://klasma.github.io/Logging_2303/knärot/A 51037-2025 karta knärot.png", "A 51037-2025")</f>
        <v/>
      </c>
      <c r="AA65">
        <f>HYPERLINK("https://klasma.github.io/Logging_2303/klagomål/A 51037-2025 FSC-klagomål.docx", "A 51037-2025")</f>
        <v/>
      </c>
      <c r="AB65">
        <f>HYPERLINK("https://klasma.github.io/Logging_2303/klagomålsmail/A 51037-2025 FSC-klagomål mail.docx", "A 51037-2025")</f>
        <v/>
      </c>
      <c r="AC65">
        <f>HYPERLINK("https://klasma.github.io/Logging_2303/tillsyn/A 51037-2025 tillsynsbegäran.docx", "A 51037-2025")</f>
        <v/>
      </c>
      <c r="AD65">
        <f>HYPERLINK("https://klasma.github.io/Logging_2303/tillsynsmail/A 51037-2025 tillsynsbegäran mail.docx", "A 51037-2025")</f>
        <v/>
      </c>
    </row>
    <row r="66" ht="15" customHeight="1">
      <c r="A66" t="inlineStr">
        <is>
          <t>A 55646-2023</t>
        </is>
      </c>
      <c r="B66" t="inlineStr">
        <is>
          <t>avverkningsanmälan</t>
        </is>
      </c>
      <c r="C66" t="inlineStr">
        <is>
          <t>Avverkning för att bevara och utveckla /försöksver</t>
        </is>
      </c>
      <c r="D66" s="1" t="n">
        <v>45238</v>
      </c>
      <c r="E66" s="1" t="n">
        <v>46319</v>
      </c>
      <c r="F66" t="inlineStr">
        <is>
          <t>JÄMTLANDS LÄN</t>
        </is>
      </c>
      <c r="G66" t="inlineStr">
        <is>
          <t>RAGUNDA</t>
        </is>
      </c>
      <c r="H66" t="inlineStr">
        <is>
          <t>SCA</t>
        </is>
      </c>
      <c r="I66" t="n">
        <v>3.9</v>
      </c>
      <c r="J66" t="n">
        <v>0</v>
      </c>
      <c r="K66" t="n">
        <v>1</v>
      </c>
      <c r="L66" t="n">
        <v>5</v>
      </c>
      <c r="M66" t="n">
        <v>1</v>
      </c>
      <c r="N66" t="n">
        <v>0</v>
      </c>
      <c r="O66" t="n">
        <v>0</v>
      </c>
      <c r="P66" t="n">
        <v>0</v>
      </c>
      <c r="Q66" t="n">
        <v>6</v>
      </c>
      <c r="R66" t="n">
        <v>1</v>
      </c>
      <c r="S66" t="n">
        <v>7</v>
      </c>
      <c r="T66" t="n">
        <v>10</v>
      </c>
      <c r="U66" t="n">
        <v>0</v>
      </c>
      <c r="V66" s="2" t="inlineStr">
        <is>
          <t>Garnlav
Gammelgransskål
Lunglav
Skrovellav
Småflikig brosklav
Ullticka
Korallblylav</t>
        </is>
      </c>
      <c r="W66">
        <f>HYPERLINK("https://klasma.github.io/Logging_2303/artfynd/A 55646-2023 artfynd.xlsx", "A 55646-2023")</f>
        <v/>
      </c>
      <c r="X66">
        <f>HYPERLINK("https://klasma.github.io/Logging_2303/kartor/A 55646-2023 karta.png", "A 55646-2023")</f>
        <v/>
      </c>
      <c r="Y66">
        <f>HYPERLINK("https://klasma.github.io/Logging_2303/kartor_geotiff/A 55646-2023 georefererad karta.tif", "A 55646-2023")</f>
        <v/>
      </c>
      <c r="AA66">
        <f>HYPERLINK("https://klasma.github.io/Logging_2303/klagomål/A 55646-2023 FSC-klagomål.docx", "A 55646-2023")</f>
        <v/>
      </c>
      <c r="AB66">
        <f>HYPERLINK("https://klasma.github.io/Logging_2303/klagomålsmail/A 55646-2023 FSC-klagomål mail.docx", "A 55646-2023")</f>
        <v/>
      </c>
      <c r="AC66">
        <f>HYPERLINK("https://klasma.github.io/Logging_2303/tillsyn/A 55646-2023 tillsynsbegäran.docx", "A 55646-2023")</f>
        <v/>
      </c>
      <c r="AD66">
        <f>HYPERLINK("https://klasma.github.io/Logging_2303/tillsynsmail/A 55646-2023 tillsynsbegäran mail.docx", "A 55646-2023")</f>
        <v/>
      </c>
    </row>
    <row r="67" ht="15" customHeight="1">
      <c r="A67" t="inlineStr">
        <is>
          <t>A 35344-2025</t>
        </is>
      </c>
      <c r="B67" t="inlineStr">
        <is>
          <t>avverkningsanmälan</t>
        </is>
      </c>
      <c r="C67" t="inlineStr">
        <is>
          <t>Föryngringsavverkning</t>
        </is>
      </c>
      <c r="D67" s="1" t="n">
        <v>45854</v>
      </c>
      <c r="E67" s="1" t="n">
        <v>46319</v>
      </c>
      <c r="F67" t="inlineStr">
        <is>
          <t>JÄMTLANDS LÄN</t>
        </is>
      </c>
      <c r="G67" t="inlineStr">
        <is>
          <t>RAGUNDA</t>
        </is>
      </c>
      <c r="H67" t="inlineStr">
        <is>
          <t>SCA</t>
        </is>
      </c>
      <c r="I67" t="n">
        <v>6.1</v>
      </c>
      <c r="J67" t="n">
        <v>0</v>
      </c>
      <c r="K67" t="n">
        <v>0</v>
      </c>
      <c r="L67" t="n">
        <v>5</v>
      </c>
      <c r="M67" t="n">
        <v>2</v>
      </c>
      <c r="N67" t="n">
        <v>0</v>
      </c>
      <c r="O67" t="n">
        <v>0</v>
      </c>
      <c r="P67" t="n">
        <v>0</v>
      </c>
      <c r="Q67" t="n">
        <v>7</v>
      </c>
      <c r="R67" t="n">
        <v>2</v>
      </c>
      <c r="S67" t="n">
        <v>7</v>
      </c>
      <c r="T67" t="n">
        <v>11</v>
      </c>
      <c r="U67" t="n">
        <v>5</v>
      </c>
      <c r="V67" s="2" t="inlineStr">
        <is>
          <t>Garnlav
Lammticka
Blå taggsvamp
Dropptaggsvamp
Dvärgbägarlav
Lunglav
Vedtrappmossa</t>
        </is>
      </c>
      <c r="W67">
        <f>HYPERLINK("https://klasma.github.io/Logging_2303/artfynd/A 35344-2025 artfynd.xlsx", "A 35344-2025")</f>
        <v/>
      </c>
      <c r="X67">
        <f>HYPERLINK("https://klasma.github.io/Logging_2303/kartor/A 35344-2025 karta.png", "A 35344-2025")</f>
        <v/>
      </c>
      <c r="Y67">
        <f>HYPERLINK("https://klasma.github.io/Logging_2303/kartor_geotiff/A 35344-2025 georefererad karta.tif", "A 35344-2025")</f>
        <v/>
      </c>
      <c r="AA67">
        <f>HYPERLINK("https://klasma.github.io/Logging_2303/klagomål/A 35344-2025 FSC-klagomål.docx", "A 35344-2025")</f>
        <v/>
      </c>
      <c r="AB67">
        <f>HYPERLINK("https://klasma.github.io/Logging_2303/klagomålsmail/A 35344-2025 FSC-klagomål mail.docx", "A 35344-2025")</f>
        <v/>
      </c>
      <c r="AC67">
        <f>HYPERLINK("https://klasma.github.io/Logging_2303/tillsyn/A 35344-2025 tillsynsbegäran.docx", "A 35344-2025")</f>
        <v/>
      </c>
      <c r="AD67">
        <f>HYPERLINK("https://klasma.github.io/Logging_2303/tillsynsmail/A 35344-2025 tillsynsbegäran mail.docx", "A 35344-2025")</f>
        <v/>
      </c>
    </row>
    <row r="68" ht="15" customHeight="1">
      <c r="A68" t="inlineStr">
        <is>
          <t>A 53021-2022</t>
        </is>
      </c>
      <c r="B68" t="inlineStr">
        <is>
          <t>avverkningsanmälan</t>
        </is>
      </c>
      <c r="C68" t="inlineStr">
        <is>
          <t>Avverkning för att bevara och utveckla /försöksver</t>
        </is>
      </c>
      <c r="D68" s="1" t="n">
        <v>44875</v>
      </c>
      <c r="E68" s="1" t="n">
        <v>46319</v>
      </c>
      <c r="F68" t="inlineStr">
        <is>
          <t>JÄMTLANDS LÄN</t>
        </is>
      </c>
      <c r="G68" t="inlineStr">
        <is>
          <t>RAGUNDA</t>
        </is>
      </c>
      <c r="H68" t="inlineStr">
        <is>
          <t>SCA</t>
        </is>
      </c>
      <c r="I68" t="n">
        <v>6.1</v>
      </c>
      <c r="J68" t="n">
        <v>1</v>
      </c>
      <c r="K68" t="n">
        <v>3</v>
      </c>
      <c r="L68" t="n">
        <v>2</v>
      </c>
      <c r="M68" t="n">
        <v>1</v>
      </c>
      <c r="N68" t="n">
        <v>0</v>
      </c>
      <c r="O68" t="n">
        <v>0</v>
      </c>
      <c r="P68" t="n">
        <v>0</v>
      </c>
      <c r="Q68" t="n">
        <v>3</v>
      </c>
      <c r="R68" t="n">
        <v>1</v>
      </c>
      <c r="S68" t="n">
        <v>7</v>
      </c>
      <c r="T68" t="n">
        <v>7</v>
      </c>
      <c r="U68" t="n">
        <v>0</v>
      </c>
      <c r="V68" s="2" t="inlineStr">
        <is>
          <t>Garnlav
Gammelgransskål
Vitgrynig nållav
Bollvitmossa
Gräsull
Ögonpyrola
Brudsporre</t>
        </is>
      </c>
      <c r="W68">
        <f>HYPERLINK("https://klasma.github.io/Logging_2303/artfynd/A 53021-2022 artfynd.xlsx", "A 53021-2022")</f>
        <v/>
      </c>
      <c r="X68">
        <f>HYPERLINK("https://klasma.github.io/Logging_2303/kartor/A 53021-2022 karta.png", "A 53021-2022")</f>
        <v/>
      </c>
      <c r="Y68">
        <f>HYPERLINK("https://klasma.github.io/Logging_2303/kartor_geotiff/A 53021-2022 georefererad karta.tif", "A 53021-2022")</f>
        <v/>
      </c>
      <c r="AA68">
        <f>HYPERLINK("https://klasma.github.io/Logging_2303/klagomål/A 53021-2022 FSC-klagomål.docx", "A 53021-2022")</f>
        <v/>
      </c>
      <c r="AB68">
        <f>HYPERLINK("https://klasma.github.io/Logging_2303/klagomålsmail/A 53021-2022 FSC-klagomål mail.docx", "A 53021-2022")</f>
        <v/>
      </c>
      <c r="AC68">
        <f>HYPERLINK("https://klasma.github.io/Logging_2303/tillsyn/A 53021-2022 tillsynsbegäran.docx", "A 53021-2022")</f>
        <v/>
      </c>
      <c r="AD68">
        <f>HYPERLINK("https://klasma.github.io/Logging_2303/tillsynsmail/A 53021-2022 tillsynsbegäran mail.docx", "A 53021-2022")</f>
        <v/>
      </c>
    </row>
    <row r="69" ht="15" customHeight="1">
      <c r="A69" t="inlineStr">
        <is>
          <t>A 43106-2023</t>
        </is>
      </c>
      <c r="B69" t="inlineStr">
        <is>
          <t>avverkningsanmälan</t>
        </is>
      </c>
      <c r="C69" t="inlineStr">
        <is>
          <t>Avverkning för att bevara och utveckla /försöksver</t>
        </is>
      </c>
      <c r="D69" s="1" t="n">
        <v>45182</v>
      </c>
      <c r="E69" s="1" t="n">
        <v>46319</v>
      </c>
      <c r="F69" t="inlineStr">
        <is>
          <t>JÄMTLANDS LÄN</t>
        </is>
      </c>
      <c r="G69" t="inlineStr">
        <is>
          <t>RAGUNDA</t>
        </is>
      </c>
      <c r="H69" t="inlineStr">
        <is>
          <t>SCA</t>
        </is>
      </c>
      <c r="I69" t="n">
        <v>7.6</v>
      </c>
      <c r="J69" t="n">
        <v>2</v>
      </c>
      <c r="K69" t="n">
        <v>0</v>
      </c>
      <c r="L69" t="n">
        <v>6</v>
      </c>
      <c r="M69" t="n">
        <v>1</v>
      </c>
      <c r="N69" t="n">
        <v>0</v>
      </c>
      <c r="O69" t="n">
        <v>0</v>
      </c>
      <c r="P69" t="n">
        <v>0</v>
      </c>
      <c r="Q69" t="n">
        <v>7</v>
      </c>
      <c r="R69" t="n">
        <v>1</v>
      </c>
      <c r="S69" t="n">
        <v>7</v>
      </c>
      <c r="T69" t="n">
        <v>10</v>
      </c>
      <c r="U69" t="n">
        <v>3</v>
      </c>
      <c r="V69" s="2" t="inlineStr">
        <is>
          <t>Knärot
Blanksvart spiklav
Blågrå svartspik
Harticka
Rosenticka
Tretåig hackspett
Ullticka</t>
        </is>
      </c>
      <c r="W69">
        <f>HYPERLINK("https://klasma.github.io/Logging_2303/artfynd/A 43106-2023 artfynd.xlsx", "A 43106-2023")</f>
        <v/>
      </c>
      <c r="X69">
        <f>HYPERLINK("https://klasma.github.io/Logging_2303/kartor/A 43106-2023 karta.png", "A 43106-2023")</f>
        <v/>
      </c>
      <c r="Y69">
        <f>HYPERLINK("https://klasma.github.io/Logging_2303/kartor_geotiff/A 43106-2023 georefererad karta.tif", "A 43106-2023")</f>
        <v/>
      </c>
      <c r="Z69">
        <f>HYPERLINK("https://klasma.github.io/Logging_2303/knärot/A 43106-2023 karta knärot.png", "A 43106-2023")</f>
        <v/>
      </c>
      <c r="AA69">
        <f>HYPERLINK("https://klasma.github.io/Logging_2303/klagomål/A 43106-2023 FSC-klagomål.docx", "A 43106-2023")</f>
        <v/>
      </c>
      <c r="AB69">
        <f>HYPERLINK("https://klasma.github.io/Logging_2303/klagomålsmail/A 43106-2023 FSC-klagomål mail.docx", "A 43106-2023")</f>
        <v/>
      </c>
      <c r="AC69">
        <f>HYPERLINK("https://klasma.github.io/Logging_2303/tillsyn/A 43106-2023 tillsynsbegäran.docx", "A 43106-2023")</f>
        <v/>
      </c>
      <c r="AD69">
        <f>HYPERLINK("https://klasma.github.io/Logging_2303/tillsynsmail/A 43106-2023 tillsynsbegäran mail.docx", "A 43106-2023")</f>
        <v/>
      </c>
      <c r="AE69">
        <f>HYPERLINK("https://klasma.github.io/Logging_2303/fåglar/A 43106-2023 prioriterade fågelarter.docx", "A 43106-2023")</f>
        <v/>
      </c>
    </row>
    <row r="70" ht="15" customHeight="1">
      <c r="A70" t="inlineStr">
        <is>
          <t>A 33806-2023</t>
        </is>
      </c>
      <c r="B70" t="inlineStr">
        <is>
          <t>avverkningsanmälan</t>
        </is>
      </c>
      <c r="C70" t="inlineStr">
        <is>
          <t>Föryngringsavverkning</t>
        </is>
      </c>
      <c r="D70" s="1" t="n">
        <v>45121</v>
      </c>
      <c r="E70" s="1" t="n">
        <v>46319</v>
      </c>
      <c r="F70" t="inlineStr">
        <is>
          <t>JÄMTLANDS LÄN</t>
        </is>
      </c>
      <c r="G70" t="inlineStr">
        <is>
          <t>RAGUNDA</t>
        </is>
      </c>
      <c r="I70" t="n">
        <v>12</v>
      </c>
      <c r="J70" t="n">
        <v>2</v>
      </c>
      <c r="K70" t="n">
        <v>1</v>
      </c>
      <c r="L70" t="n">
        <v>4</v>
      </c>
      <c r="M70" t="n">
        <v>1</v>
      </c>
      <c r="N70" t="n">
        <v>0</v>
      </c>
      <c r="O70" t="n">
        <v>0</v>
      </c>
      <c r="P70" t="n">
        <v>0</v>
      </c>
      <c r="Q70" t="n">
        <v>5</v>
      </c>
      <c r="R70" t="n">
        <v>1</v>
      </c>
      <c r="S70" t="n">
        <v>7</v>
      </c>
      <c r="T70" t="n">
        <v>7</v>
      </c>
      <c r="U70" t="n">
        <v>6</v>
      </c>
      <c r="V70" s="2" t="inlineStr">
        <is>
          <t>Knärot
Koralltaggsvamp
Lunglav
Persiljespindling
Äggvaxskivling
Svavelriska
Blåsippa</t>
        </is>
      </c>
      <c r="W70">
        <f>HYPERLINK("https://klasma.github.io/Logging_2303/artfynd/A 33806-2023 artfynd.xlsx", "A 33806-2023")</f>
        <v/>
      </c>
      <c r="X70">
        <f>HYPERLINK("https://klasma.github.io/Logging_2303/kartor/A 33806-2023 karta.png", "A 33806-2023")</f>
        <v/>
      </c>
      <c r="Y70">
        <f>HYPERLINK("https://klasma.github.io/Logging_2303/kartor_geotiff/A 33806-2023 georefererad karta.tif", "A 33806-2023")</f>
        <v/>
      </c>
      <c r="Z70">
        <f>HYPERLINK("https://klasma.github.io/Logging_2303/knärot/A 33806-2023 karta knärot.png", "A 33806-2023")</f>
        <v/>
      </c>
      <c r="AA70">
        <f>HYPERLINK("https://klasma.github.io/Logging_2303/klagomål/A 33806-2023 FSC-klagomål.docx", "A 33806-2023")</f>
        <v/>
      </c>
      <c r="AB70">
        <f>HYPERLINK("https://klasma.github.io/Logging_2303/klagomålsmail/A 33806-2023 FSC-klagomål mail.docx", "A 33806-2023")</f>
        <v/>
      </c>
      <c r="AC70">
        <f>HYPERLINK("https://klasma.github.io/Logging_2303/tillsyn/A 33806-2023 tillsynsbegäran.docx", "A 33806-2023")</f>
        <v/>
      </c>
      <c r="AD70">
        <f>HYPERLINK("https://klasma.github.io/Logging_2303/tillsynsmail/A 33806-2023 tillsynsbegäran mail.docx", "A 33806-2023")</f>
        <v/>
      </c>
    </row>
    <row r="71" ht="15" customHeight="1">
      <c r="A71" t="inlineStr">
        <is>
          <t>A 15977-2024</t>
        </is>
      </c>
      <c r="B71" t="inlineStr">
        <is>
          <t>avverkningsanmälan</t>
        </is>
      </c>
      <c r="C71" t="inlineStr">
        <is>
          <t>Föryngringsavverkning</t>
        </is>
      </c>
      <c r="D71" s="1" t="n">
        <v>45405</v>
      </c>
      <c r="E71" s="1" t="n">
        <v>46319</v>
      </c>
      <c r="F71" t="inlineStr">
        <is>
          <t>JÄMTLANDS LÄN</t>
        </is>
      </c>
      <c r="G71" t="inlineStr">
        <is>
          <t>RAGUNDA</t>
        </is>
      </c>
      <c r="H71" t="inlineStr">
        <is>
          <t>Kommuner</t>
        </is>
      </c>
      <c r="I71" t="n">
        <v>12.1</v>
      </c>
      <c r="J71" t="n">
        <v>0</v>
      </c>
      <c r="K71" t="n">
        <v>0</v>
      </c>
      <c r="L71" t="n">
        <v>6</v>
      </c>
      <c r="M71" t="n">
        <v>1</v>
      </c>
      <c r="N71" t="n">
        <v>0</v>
      </c>
      <c r="O71" t="n">
        <v>0</v>
      </c>
      <c r="P71" t="n">
        <v>0</v>
      </c>
      <c r="Q71" t="n">
        <v>7</v>
      </c>
      <c r="R71" t="n">
        <v>1</v>
      </c>
      <c r="S71" t="n">
        <v>7</v>
      </c>
      <c r="T71" t="n">
        <v>10</v>
      </c>
      <c r="U71" t="n">
        <v>1</v>
      </c>
      <c r="V71" s="2" t="inlineStr">
        <is>
          <t>Garnlav
Blanksvart spiklav
Dropptaggsvamp
Dvärgbägarlav
Mörk kolflarnlav
Ullticka
Vedflamlav</t>
        </is>
      </c>
      <c r="W71">
        <f>HYPERLINK("https://klasma.github.io/Logging_2303/artfynd/A 15977-2024 artfynd.xlsx", "A 15977-2024")</f>
        <v/>
      </c>
      <c r="X71">
        <f>HYPERLINK("https://klasma.github.io/Logging_2303/kartor/A 15977-2024 karta.png", "A 15977-2024")</f>
        <v/>
      </c>
      <c r="Y71">
        <f>HYPERLINK("https://klasma.github.io/Logging_2303/kartor_geotiff/A 15977-2024 georefererad karta.tif", "A 15977-2024")</f>
        <v/>
      </c>
      <c r="AA71">
        <f>HYPERLINK("https://klasma.github.io/Logging_2303/klagomål/A 15977-2024 FSC-klagomål.docx", "A 15977-2024")</f>
        <v/>
      </c>
      <c r="AB71">
        <f>HYPERLINK("https://klasma.github.io/Logging_2303/klagomålsmail/A 15977-2024 FSC-klagomål mail.docx", "A 15977-2024")</f>
        <v/>
      </c>
      <c r="AC71">
        <f>HYPERLINK("https://klasma.github.io/Logging_2303/tillsyn/A 15977-2024 tillsynsbegäran.docx", "A 15977-2024")</f>
        <v/>
      </c>
      <c r="AD71">
        <f>HYPERLINK("https://klasma.github.io/Logging_2303/tillsynsmail/A 15977-2024 tillsynsbegäran mail.docx", "A 15977-2024")</f>
        <v/>
      </c>
    </row>
    <row r="72" ht="15" customHeight="1">
      <c r="A72" t="inlineStr">
        <is>
          <t>A 11829-2023</t>
        </is>
      </c>
      <c r="B72" t="inlineStr">
        <is>
          <t>avverkningsanmälan</t>
        </is>
      </c>
      <c r="C72" t="inlineStr">
        <is>
          <t>Avverkning för att bevara och utveckla /försöksver</t>
        </is>
      </c>
      <c r="D72" s="1" t="n">
        <v>44994</v>
      </c>
      <c r="E72" s="1" t="n">
        <v>46319</v>
      </c>
      <c r="F72" t="inlineStr">
        <is>
          <t>JÄMTLANDS LÄN</t>
        </is>
      </c>
      <c r="G72" t="inlineStr">
        <is>
          <t>RAGUNDA</t>
        </is>
      </c>
      <c r="H72" t="inlineStr">
        <is>
          <t>SCA</t>
        </is>
      </c>
      <c r="I72" t="n">
        <v>1.8</v>
      </c>
      <c r="J72" t="n">
        <v>0</v>
      </c>
      <c r="K72" t="n">
        <v>1</v>
      </c>
      <c r="L72" t="n">
        <v>5</v>
      </c>
      <c r="M72" t="n">
        <v>1</v>
      </c>
      <c r="N72" t="n">
        <v>0</v>
      </c>
      <c r="O72" t="n">
        <v>0</v>
      </c>
      <c r="P72" t="n">
        <v>0</v>
      </c>
      <c r="Q72" t="n">
        <v>6</v>
      </c>
      <c r="R72" t="n">
        <v>1</v>
      </c>
      <c r="S72" t="n">
        <v>7</v>
      </c>
      <c r="T72" t="n">
        <v>7</v>
      </c>
      <c r="U72" t="n">
        <v>0</v>
      </c>
      <c r="V72" s="2" t="inlineStr">
        <is>
          <t>Garnlav
Kolflarnlav
Lunglav
Ullticka
Vedflamlav
Vedtrappmossa
Vedticka</t>
        </is>
      </c>
      <c r="W72">
        <f>HYPERLINK("https://klasma.github.io/Logging_2303/artfynd/A 11829-2023 artfynd.xlsx", "A 11829-2023")</f>
        <v/>
      </c>
      <c r="X72">
        <f>HYPERLINK("https://klasma.github.io/Logging_2303/kartor/A 11829-2023 karta.png", "A 11829-2023")</f>
        <v/>
      </c>
      <c r="Y72">
        <f>HYPERLINK("https://klasma.github.io/Logging_2303/kartor_geotiff/A 11829-2023 georefererad karta.tif", "A 11829-2023")</f>
        <v/>
      </c>
      <c r="Z72">
        <f>HYPERLINK("https://klasma.github.io/Logging_2303/knärot/A 11829-2023 karta knärot.png", "A 11829-2023")</f>
        <v/>
      </c>
      <c r="AA72">
        <f>HYPERLINK("https://klasma.github.io/Logging_2303/klagomål/A 11829-2023 FSC-klagomål.docx", "A 11829-2023")</f>
        <v/>
      </c>
      <c r="AB72">
        <f>HYPERLINK("https://klasma.github.io/Logging_2303/klagomålsmail/A 11829-2023 FSC-klagomål mail.docx", "A 11829-2023")</f>
        <v/>
      </c>
      <c r="AC72">
        <f>HYPERLINK("https://klasma.github.io/Logging_2303/tillsyn/A 11829-2023 tillsynsbegäran.docx", "A 11829-2023")</f>
        <v/>
      </c>
      <c r="AD72">
        <f>HYPERLINK("https://klasma.github.io/Logging_2303/tillsynsmail/A 11829-2023 tillsynsbegäran mail.docx", "A 11829-2023")</f>
        <v/>
      </c>
    </row>
    <row r="73" ht="15" customHeight="1">
      <c r="A73" t="inlineStr">
        <is>
          <t>S 1382-2025</t>
        </is>
      </c>
      <c r="B73" t="inlineStr">
        <is>
          <t>samrådsanmälan</t>
        </is>
      </c>
      <c r="C73" t="inlineStr">
        <is>
          <t>Skogsgödsling</t>
        </is>
      </c>
      <c r="D73" s="1" t="n">
        <v>45776</v>
      </c>
      <c r="E73" s="1" t="n">
        <v>46319</v>
      </c>
      <c r="F73" t="inlineStr">
        <is>
          <t>JÄMTLANDS LÄN</t>
        </is>
      </c>
      <c r="G73" t="inlineStr">
        <is>
          <t>RAGUNDA</t>
        </is>
      </c>
      <c r="H73" t="inlineStr">
        <is>
          <t>SCA</t>
        </is>
      </c>
      <c r="I73" t="n">
        <v>1463.9</v>
      </c>
      <c r="J73" t="n">
        <v>5</v>
      </c>
      <c r="K73" t="n">
        <v>1</v>
      </c>
      <c r="L73" t="n">
        <v>3</v>
      </c>
      <c r="M73" t="n">
        <v>1</v>
      </c>
      <c r="N73" t="n">
        <v>0</v>
      </c>
      <c r="O73" t="n">
        <v>0</v>
      </c>
      <c r="P73" t="n">
        <v>0</v>
      </c>
      <c r="Q73" t="n">
        <v>4</v>
      </c>
      <c r="R73" t="n">
        <v>1</v>
      </c>
      <c r="S73" t="n">
        <v>7</v>
      </c>
      <c r="T73" t="n">
        <v>8</v>
      </c>
      <c r="U73" t="n">
        <v>1</v>
      </c>
      <c r="V73" s="2" t="inlineStr">
        <is>
          <t>Doftticka
Björktrast
Lunglav
Mörk kolflarnlav
Plattlummer
Tjäder
Revlummer</t>
        </is>
      </c>
      <c r="W73">
        <f>HYPERLINK("https://klasma.github.io/Logging_2303/artfynd/S 1382-2025 artfynd.xlsx", "S 1382-2025")</f>
        <v/>
      </c>
      <c r="X73">
        <f>HYPERLINK("https://klasma.github.io/Logging_2303/kartor/S 1382-2025 karta.png", "S 1382-2025")</f>
        <v/>
      </c>
      <c r="Y73">
        <f>HYPERLINK("https://klasma.github.io/Logging_2303/kartor_geotiff/S 1382-2025 georefererad karta.tif", "S 1382-2025")</f>
        <v/>
      </c>
      <c r="AA73">
        <f>HYPERLINK("https://klasma.github.io/Logging_2303/klagomål/S 1382-2025 FSC-klagomål.docx", "S 1382-2025")</f>
        <v/>
      </c>
      <c r="AB73">
        <f>HYPERLINK("https://klasma.github.io/Logging_2303/klagomålsmail/S 1382-2025 FSC-klagomål mail.docx", "S 1382-2025")</f>
        <v/>
      </c>
      <c r="AC73">
        <f>HYPERLINK("https://klasma.github.io/Logging_2303/tillsyn/S 1382-2025 tillsynsbegäran.docx", "S 1382-2025")</f>
        <v/>
      </c>
      <c r="AD73">
        <f>HYPERLINK("https://klasma.github.io/Logging_2303/tillsynsmail/S 1382-2025 tillsynsbegäran mail.docx", "S 1382-2025")</f>
        <v/>
      </c>
      <c r="AE73">
        <f>HYPERLINK("https://klasma.github.io/Logging_2303/fåglar/S 1382-2025 prioriterade fågelarter.docx", "S 1382-2025")</f>
        <v/>
      </c>
    </row>
    <row r="74" ht="15" customHeight="1">
      <c r="A74" t="inlineStr">
        <is>
          <t>S 1190-2026</t>
        </is>
      </c>
      <c r="B74" t="inlineStr">
        <is>
          <t>samrådsanmälan</t>
        </is>
      </c>
      <c r="C74" t="inlineStr">
        <is>
          <t>Annan skogsbruksåtgärd</t>
        </is>
      </c>
      <c r="D74" s="1" t="n">
        <v>46139</v>
      </c>
      <c r="E74" s="1" t="n">
        <v>46319</v>
      </c>
      <c r="F74" t="inlineStr">
        <is>
          <t>JÄMTLANDS LÄN</t>
        </is>
      </c>
      <c r="G74" t="inlineStr">
        <is>
          <t>RAGUNDA</t>
        </is>
      </c>
      <c r="H74" t="inlineStr">
        <is>
          <t>SCA</t>
        </is>
      </c>
      <c r="I74" t="n">
        <v>2.5</v>
      </c>
      <c r="J74" t="n">
        <v>0</v>
      </c>
      <c r="K74" t="n">
        <v>0</v>
      </c>
      <c r="L74" t="n">
        <v>6</v>
      </c>
      <c r="M74" t="n">
        <v>1</v>
      </c>
      <c r="N74" t="n">
        <v>0</v>
      </c>
      <c r="O74" t="n">
        <v>0</v>
      </c>
      <c r="P74" t="n">
        <v>0</v>
      </c>
      <c r="Q74" t="n">
        <v>7</v>
      </c>
      <c r="R74" t="n">
        <v>1</v>
      </c>
      <c r="S74" t="n">
        <v>7</v>
      </c>
      <c r="T74" t="n">
        <v>7</v>
      </c>
      <c r="U74" t="n">
        <v>0</v>
      </c>
      <c r="V74" s="2" t="inlineStr">
        <is>
          <t>Skrovlig taggsvamp
Dropptaggsvamp
Kolflarnlav
Mörk kolflarnlav
Svartvit taggsvamp
Vedflamlav
Vitgrynig nållav</t>
        </is>
      </c>
      <c r="W74">
        <f>HYPERLINK("https://klasma.github.io/Logging_2303/artfynd/S 1190-2026 artfynd.xlsx", "S 1190-2026")</f>
        <v/>
      </c>
      <c r="X74">
        <f>HYPERLINK("https://klasma.github.io/Logging_2303/kartor/S 1190-2026 karta.png", "S 1190-2026")</f>
        <v/>
      </c>
      <c r="Y74">
        <f>HYPERLINK("https://klasma.github.io/Logging_2303/kartor_geotiff/S 1190-2026 georefererad karta.tif", "S 1190-2026")</f>
        <v/>
      </c>
      <c r="AA74">
        <f>HYPERLINK("https://klasma.github.io/Logging_2303/klagomål/S 1190-2026 FSC-klagomål.docx", "S 1190-2026")</f>
        <v/>
      </c>
      <c r="AB74">
        <f>HYPERLINK("https://klasma.github.io/Logging_2303/klagomålsmail/S 1190-2026 FSC-klagomål mail.docx", "S 1190-2026")</f>
        <v/>
      </c>
      <c r="AC74">
        <f>HYPERLINK("https://klasma.github.io/Logging_2303/tillsyn/S 1190-2026 tillsynsbegäran.docx", "S 1190-2026")</f>
        <v/>
      </c>
      <c r="AD74">
        <f>HYPERLINK("https://klasma.github.io/Logging_2303/tillsynsmail/S 1190-2026 tillsynsbegäran mail.docx", "S 1190-2026")</f>
        <v/>
      </c>
    </row>
    <row r="75" ht="15" customHeight="1">
      <c r="A75" t="inlineStr">
        <is>
          <t>A 933-2023</t>
        </is>
      </c>
      <c r="B75" t="inlineStr">
        <is>
          <t>avverkningsanmälan</t>
        </is>
      </c>
      <c r="C75" t="inlineStr">
        <is>
          <t>Avverkning för att bevara och utveckla /försöksver</t>
        </is>
      </c>
      <c r="D75" s="1" t="n">
        <v>44932</v>
      </c>
      <c r="E75" s="1" t="n">
        <v>46319</v>
      </c>
      <c r="F75" t="inlineStr">
        <is>
          <t>JÄMTLANDS LÄN</t>
        </is>
      </c>
      <c r="G75" t="inlineStr">
        <is>
          <t>RAGUNDA</t>
        </is>
      </c>
      <c r="H75" t="inlineStr">
        <is>
          <t>SCA</t>
        </is>
      </c>
      <c r="I75" t="n">
        <v>2</v>
      </c>
      <c r="J75" t="n">
        <v>3</v>
      </c>
      <c r="K75" t="n">
        <v>3</v>
      </c>
      <c r="L75" t="n">
        <v>0</v>
      </c>
      <c r="M75" t="n">
        <v>0</v>
      </c>
      <c r="N75" t="n">
        <v>1</v>
      </c>
      <c r="O75" t="n">
        <v>0</v>
      </c>
      <c r="P75" t="n">
        <v>0</v>
      </c>
      <c r="Q75" t="n">
        <v>1</v>
      </c>
      <c r="R75" t="n">
        <v>1</v>
      </c>
      <c r="S75" t="n">
        <v>6</v>
      </c>
      <c r="T75" t="n">
        <v>17</v>
      </c>
      <c r="U75" t="n">
        <v>4</v>
      </c>
      <c r="V75" s="2" t="inlineStr">
        <is>
          <t>Trolldruvemätare
Stor aspticka
Svart trolldruva
Tvåblad
Nattviol
Gullviva</t>
        </is>
      </c>
      <c r="W75">
        <f>HYPERLINK("https://klasma.github.io/Logging_2303/artfynd/A 933-2023 artfynd.xlsx", "A 933-2023")</f>
        <v/>
      </c>
      <c r="X75">
        <f>HYPERLINK("https://klasma.github.io/Logging_2303/kartor/A 933-2023 karta.png", "A 933-2023")</f>
        <v/>
      </c>
      <c r="Y75">
        <f>HYPERLINK("https://klasma.github.io/Logging_2303/kartor_geotiff/A 933-2023 georefererad karta.tif", "A 933-2023")</f>
        <v/>
      </c>
      <c r="AA75">
        <f>HYPERLINK("https://klasma.github.io/Logging_2303/klagomål/A 933-2023 FSC-klagomål.docx", "A 933-2023")</f>
        <v/>
      </c>
      <c r="AB75">
        <f>HYPERLINK("https://klasma.github.io/Logging_2303/klagomålsmail/A 933-2023 FSC-klagomål mail.docx", "A 933-2023")</f>
        <v/>
      </c>
      <c r="AC75">
        <f>HYPERLINK("https://klasma.github.io/Logging_2303/tillsyn/A 933-2023 tillsynsbegäran.docx", "A 933-2023")</f>
        <v/>
      </c>
      <c r="AD75">
        <f>HYPERLINK("https://klasma.github.io/Logging_2303/tillsynsmail/A 933-2023 tillsynsbegäran mail.docx", "A 933-2023")</f>
        <v/>
      </c>
    </row>
    <row r="76" ht="15" customHeight="1">
      <c r="A76" t="inlineStr">
        <is>
          <t>A 27393-2026</t>
        </is>
      </c>
      <c r="B76" t="inlineStr">
        <is>
          <t>avverkningsanmälan</t>
        </is>
      </c>
      <c r="C76" t="inlineStr">
        <is>
          <t>Föryngringsavverkning</t>
        </is>
      </c>
      <c r="D76" s="1" t="n">
        <v>46189</v>
      </c>
      <c r="E76" s="1" t="n">
        <v>46319</v>
      </c>
      <c r="F76" t="inlineStr">
        <is>
          <t>JÄMTLANDS LÄN</t>
        </is>
      </c>
      <c r="G76" t="inlineStr">
        <is>
          <t>RAGUNDA</t>
        </is>
      </c>
      <c r="H76" t="inlineStr">
        <is>
          <t>SCA</t>
        </is>
      </c>
      <c r="I76" t="n">
        <v>2.5</v>
      </c>
      <c r="J76" t="n">
        <v>1</v>
      </c>
      <c r="K76" t="n">
        <v>1</v>
      </c>
      <c r="L76" t="n">
        <v>3</v>
      </c>
      <c r="M76" t="n">
        <v>2</v>
      </c>
      <c r="N76" t="n">
        <v>0</v>
      </c>
      <c r="O76" t="n">
        <v>0</v>
      </c>
      <c r="P76" t="n">
        <v>0</v>
      </c>
      <c r="Q76" t="n">
        <v>5</v>
      </c>
      <c r="R76" t="n">
        <v>2</v>
      </c>
      <c r="S76" t="n">
        <v>6</v>
      </c>
      <c r="T76" t="n">
        <v>6</v>
      </c>
      <c r="U76" t="n">
        <v>0</v>
      </c>
      <c r="V76" s="2" t="inlineStr">
        <is>
          <t>Garnlav
Knärot
Lunglav
Rosenticka
Ullticka
Luddlav</t>
        </is>
      </c>
      <c r="W76">
        <f>HYPERLINK("https://klasma.github.io/Logging_2303/artfynd/A 27393-2026 artfynd.xlsx", "A 27393-2026")</f>
        <v/>
      </c>
      <c r="X76">
        <f>HYPERLINK("https://klasma.github.io/Logging_2303/kartor/A 27393-2026 karta.png", "A 27393-2026")</f>
        <v/>
      </c>
      <c r="Y76">
        <f>HYPERLINK("https://klasma.github.io/Logging_2303/kartor_geotiff/A 27393-2026 georefererad karta.tif", "A 27393-2026")</f>
        <v/>
      </c>
      <c r="Z76">
        <f>HYPERLINK("https://klasma.github.io/Logging_2303/knärot/A 27393-2026 karta knärot.png", "A 27393-2026")</f>
        <v/>
      </c>
      <c r="AA76">
        <f>HYPERLINK("https://klasma.github.io/Logging_2303/klagomål/A 27393-2026 FSC-klagomål.docx", "A 27393-2026")</f>
        <v/>
      </c>
      <c r="AB76">
        <f>HYPERLINK("https://klasma.github.io/Logging_2303/klagomålsmail/A 27393-2026 FSC-klagomål mail.docx", "A 27393-2026")</f>
        <v/>
      </c>
      <c r="AC76">
        <f>HYPERLINK("https://klasma.github.io/Logging_2303/tillsyn/A 27393-2026 tillsynsbegäran.docx", "A 27393-2026")</f>
        <v/>
      </c>
      <c r="AD76">
        <f>HYPERLINK("https://klasma.github.io/Logging_2303/tillsynsmail/A 27393-2026 tillsynsbegäran mail.docx", "A 27393-2026")</f>
        <v/>
      </c>
    </row>
    <row r="77" ht="15" customHeight="1">
      <c r="A77" t="inlineStr">
        <is>
          <t>A 32903-2024</t>
        </is>
      </c>
      <c r="B77" t="inlineStr">
        <is>
          <t>avverkningsanmälan</t>
        </is>
      </c>
      <c r="C77" t="inlineStr">
        <is>
          <t>Avverkning för att bevara och utveckla /försöksver</t>
        </is>
      </c>
      <c r="D77" s="1" t="n">
        <v>45516</v>
      </c>
      <c r="E77" s="1" t="n">
        <v>46319</v>
      </c>
      <c r="F77" t="inlineStr">
        <is>
          <t>JÄMTLANDS LÄN</t>
        </is>
      </c>
      <c r="G77" t="inlineStr">
        <is>
          <t>RAGUNDA</t>
        </is>
      </c>
      <c r="H77" t="inlineStr">
        <is>
          <t>SCA</t>
        </is>
      </c>
      <c r="I77" t="n">
        <v>4.7</v>
      </c>
      <c r="J77" t="n">
        <v>1</v>
      </c>
      <c r="K77" t="n">
        <v>2</v>
      </c>
      <c r="L77" t="n">
        <v>2</v>
      </c>
      <c r="M77" t="n">
        <v>2</v>
      </c>
      <c r="N77" t="n">
        <v>0</v>
      </c>
      <c r="O77" t="n">
        <v>0</v>
      </c>
      <c r="P77" t="n">
        <v>0</v>
      </c>
      <c r="Q77" t="n">
        <v>4</v>
      </c>
      <c r="R77" t="n">
        <v>2</v>
      </c>
      <c r="S77" t="n">
        <v>6</v>
      </c>
      <c r="T77" t="n">
        <v>9</v>
      </c>
      <c r="U77" t="n">
        <v>5</v>
      </c>
      <c r="V77" s="2" t="inlineStr">
        <is>
          <t>Garnlav
Lappticka
Lunglav
Tretåig hackspett
Bollvitmossa
Luddlav</t>
        </is>
      </c>
      <c r="W77">
        <f>HYPERLINK("https://klasma.github.io/Logging_2303/artfynd/A 32903-2024 artfynd.xlsx", "A 32903-2024")</f>
        <v/>
      </c>
      <c r="X77">
        <f>HYPERLINK("https://klasma.github.io/Logging_2303/kartor/A 32903-2024 karta.png", "A 32903-2024")</f>
        <v/>
      </c>
      <c r="Y77">
        <f>HYPERLINK("https://klasma.github.io/Logging_2303/kartor_geotiff/A 32903-2024 georefererad karta.tif", "A 32903-2024")</f>
        <v/>
      </c>
      <c r="AA77">
        <f>HYPERLINK("https://klasma.github.io/Logging_2303/klagomål/A 32903-2024 FSC-klagomål.docx", "A 32903-2024")</f>
        <v/>
      </c>
      <c r="AB77">
        <f>HYPERLINK("https://klasma.github.io/Logging_2303/klagomålsmail/A 32903-2024 FSC-klagomål mail.docx", "A 32903-2024")</f>
        <v/>
      </c>
      <c r="AC77">
        <f>HYPERLINK("https://klasma.github.io/Logging_2303/tillsyn/A 32903-2024 tillsynsbegäran.docx", "A 32903-2024")</f>
        <v/>
      </c>
      <c r="AD77">
        <f>HYPERLINK("https://klasma.github.io/Logging_2303/tillsynsmail/A 32903-2024 tillsynsbegäran mail.docx", "A 32903-2024")</f>
        <v/>
      </c>
      <c r="AE77">
        <f>HYPERLINK("https://klasma.github.io/Logging_2303/fåglar/A 32903-2024 prioriterade fågelarter.docx", "A 32903-2024")</f>
        <v/>
      </c>
    </row>
    <row r="78" ht="15" customHeight="1">
      <c r="A78" t="inlineStr">
        <is>
          <t>A 27322-2024</t>
        </is>
      </c>
      <c r="B78" t="inlineStr">
        <is>
          <t>avverkningsanmälan</t>
        </is>
      </c>
      <c r="C78" t="inlineStr">
        <is>
          <t>Avverkning för att bevara och utveckla /försöksver</t>
        </is>
      </c>
      <c r="D78" s="1" t="n">
        <v>45471</v>
      </c>
      <c r="E78" s="1" t="n">
        <v>46319</v>
      </c>
      <c r="F78" t="inlineStr">
        <is>
          <t>JÄMTLANDS LÄN</t>
        </is>
      </c>
      <c r="G78" t="inlineStr">
        <is>
          <t>RAGUNDA</t>
        </is>
      </c>
      <c r="I78" t="n">
        <v>2.3</v>
      </c>
      <c r="J78" t="n">
        <v>1</v>
      </c>
      <c r="K78" t="n">
        <v>0</v>
      </c>
      <c r="L78" t="n">
        <v>4</v>
      </c>
      <c r="M78" t="n">
        <v>2</v>
      </c>
      <c r="N78" t="n">
        <v>0</v>
      </c>
      <c r="O78" t="n">
        <v>0</v>
      </c>
      <c r="P78" t="n">
        <v>0</v>
      </c>
      <c r="Q78" t="n">
        <v>6</v>
      </c>
      <c r="R78" t="n">
        <v>2</v>
      </c>
      <c r="S78" t="n">
        <v>6</v>
      </c>
      <c r="T78" t="n">
        <v>7</v>
      </c>
      <c r="U78" t="n">
        <v>0</v>
      </c>
      <c r="V78" s="2" t="inlineStr">
        <is>
          <t>Garnlav
Knärot
Gammelgransskål
Lunglav
Skrovellav
Vedtrappmossa</t>
        </is>
      </c>
      <c r="W78">
        <f>HYPERLINK("https://klasma.github.io/Logging_2303/artfynd/A 27322-2024 artfynd.xlsx", "A 27322-2024")</f>
        <v/>
      </c>
      <c r="X78">
        <f>HYPERLINK("https://klasma.github.io/Logging_2303/kartor/A 27322-2024 karta.png", "A 27322-2024")</f>
        <v/>
      </c>
      <c r="Y78">
        <f>HYPERLINK("https://klasma.github.io/Logging_2303/kartor_geotiff/A 27322-2024 georefererad karta.tif", "A 27322-2024")</f>
        <v/>
      </c>
      <c r="Z78">
        <f>HYPERLINK("https://klasma.github.io/Logging_2303/knärot/A 27322-2024 karta knärot.png", "A 27322-2024")</f>
        <v/>
      </c>
      <c r="AA78">
        <f>HYPERLINK("https://klasma.github.io/Logging_2303/klagomål/A 27322-2024 FSC-klagomål.docx", "A 27322-2024")</f>
        <v/>
      </c>
      <c r="AB78">
        <f>HYPERLINK("https://klasma.github.io/Logging_2303/klagomålsmail/A 27322-2024 FSC-klagomål mail.docx", "A 27322-2024")</f>
        <v/>
      </c>
      <c r="AC78">
        <f>HYPERLINK("https://klasma.github.io/Logging_2303/tillsyn/A 27322-2024 tillsynsbegäran.docx", "A 27322-2024")</f>
        <v/>
      </c>
      <c r="AD78">
        <f>HYPERLINK("https://klasma.github.io/Logging_2303/tillsynsmail/A 27322-2024 tillsynsbegäran mail.docx", "A 27322-2024")</f>
        <v/>
      </c>
    </row>
    <row r="79" ht="15" customHeight="1">
      <c r="A79" t="inlineStr">
        <is>
          <t>A 2173-2026</t>
        </is>
      </c>
      <c r="B79" t="inlineStr">
        <is>
          <t>avverkningsanmälan</t>
        </is>
      </c>
      <c r="C79" t="inlineStr">
        <is>
          <t>Föryngringsavverkning</t>
        </is>
      </c>
      <c r="D79" s="1" t="n">
        <v>46036</v>
      </c>
      <c r="E79" s="1" t="n">
        <v>46319</v>
      </c>
      <c r="F79" t="inlineStr">
        <is>
          <t>JÄMTLANDS LÄN</t>
        </is>
      </c>
      <c r="G79" t="inlineStr">
        <is>
          <t>RAGUNDA</t>
        </is>
      </c>
      <c r="H79" t="inlineStr">
        <is>
          <t>SCA</t>
        </is>
      </c>
      <c r="I79" t="n">
        <v>3.5</v>
      </c>
      <c r="J79" t="n">
        <v>0</v>
      </c>
      <c r="K79" t="n">
        <v>3</v>
      </c>
      <c r="L79" t="n">
        <v>3</v>
      </c>
      <c r="M79" t="n">
        <v>0</v>
      </c>
      <c r="N79" t="n">
        <v>0</v>
      </c>
      <c r="O79" t="n">
        <v>0</v>
      </c>
      <c r="P79" t="n">
        <v>0</v>
      </c>
      <c r="Q79" t="n">
        <v>3</v>
      </c>
      <c r="R79" t="n">
        <v>0</v>
      </c>
      <c r="S79" t="n">
        <v>6</v>
      </c>
      <c r="T79" t="n">
        <v>8</v>
      </c>
      <c r="U79" t="n">
        <v>5</v>
      </c>
      <c r="V79" s="2" t="inlineStr">
        <is>
          <t>Lunglav
Skrovellav
Vedtrappmossa
Bårdlav
Korallblylav
Stuplav</t>
        </is>
      </c>
      <c r="W79">
        <f>HYPERLINK("https://klasma.github.io/Logging_2303/artfynd/A 2173-2026 artfynd.xlsx", "A 2173-2026")</f>
        <v/>
      </c>
      <c r="X79">
        <f>HYPERLINK("https://klasma.github.io/Logging_2303/kartor/A 2173-2026 karta.png", "A 2173-2026")</f>
        <v/>
      </c>
      <c r="Y79">
        <f>HYPERLINK("https://klasma.github.io/Logging_2303/kartor_geotiff/A 2173-2026 georefererad karta.tif", "A 2173-2026")</f>
        <v/>
      </c>
      <c r="AA79">
        <f>HYPERLINK("https://klasma.github.io/Logging_2303/klagomål/A 2173-2026 FSC-klagomål.docx", "A 2173-2026")</f>
        <v/>
      </c>
      <c r="AB79">
        <f>HYPERLINK("https://klasma.github.io/Logging_2303/klagomålsmail/A 2173-2026 FSC-klagomål mail.docx", "A 2173-2026")</f>
        <v/>
      </c>
      <c r="AC79">
        <f>HYPERLINK("https://klasma.github.io/Logging_2303/tillsyn/A 2173-2026 tillsynsbegäran.docx", "A 2173-2026")</f>
        <v/>
      </c>
      <c r="AD79">
        <f>HYPERLINK("https://klasma.github.io/Logging_2303/tillsynsmail/A 2173-2026 tillsynsbegäran mail.docx", "A 2173-2026")</f>
        <v/>
      </c>
    </row>
    <row r="80" ht="15" customHeight="1">
      <c r="A80" t="inlineStr">
        <is>
          <t>A 2193-2026</t>
        </is>
      </c>
      <c r="B80" t="inlineStr">
        <is>
          <t>avverkningsanmälan</t>
        </is>
      </c>
      <c r="C80" t="inlineStr">
        <is>
          <t>Föryngringsavverkning</t>
        </is>
      </c>
      <c r="D80" s="1" t="n">
        <v>46036</v>
      </c>
      <c r="E80" s="1" t="n">
        <v>46319</v>
      </c>
      <c r="F80" t="inlineStr">
        <is>
          <t>JÄMTLANDS LÄN</t>
        </is>
      </c>
      <c r="G80" t="inlineStr">
        <is>
          <t>RAGUNDA</t>
        </is>
      </c>
      <c r="H80" t="inlineStr">
        <is>
          <t>SCA</t>
        </is>
      </c>
      <c r="I80" t="n">
        <v>2.4</v>
      </c>
      <c r="J80" t="n">
        <v>1</v>
      </c>
      <c r="K80" t="n">
        <v>1</v>
      </c>
      <c r="L80" t="n">
        <v>3</v>
      </c>
      <c r="M80" t="n">
        <v>2</v>
      </c>
      <c r="N80" t="n">
        <v>0</v>
      </c>
      <c r="O80" t="n">
        <v>0</v>
      </c>
      <c r="P80" t="n">
        <v>0</v>
      </c>
      <c r="Q80" t="n">
        <v>5</v>
      </c>
      <c r="R80" t="n">
        <v>2</v>
      </c>
      <c r="S80" t="n">
        <v>6</v>
      </c>
      <c r="T80" t="n">
        <v>6</v>
      </c>
      <c r="U80" t="n">
        <v>0</v>
      </c>
      <c r="V80" s="2" t="inlineStr">
        <is>
          <t>Garnlav
Knärot
Lunglav
Rosenticka
Ullticka
Luddlav</t>
        </is>
      </c>
      <c r="W80">
        <f>HYPERLINK("https://klasma.github.io/Logging_2303/artfynd/A 2193-2026 artfynd.xlsx", "A 2193-2026")</f>
        <v/>
      </c>
      <c r="X80">
        <f>HYPERLINK("https://klasma.github.io/Logging_2303/kartor/A 2193-2026 karta.png", "A 2193-2026")</f>
        <v/>
      </c>
      <c r="Y80">
        <f>HYPERLINK("https://klasma.github.io/Logging_2303/kartor_geotiff/A 2193-2026 georefererad karta.tif", "A 2193-2026")</f>
        <v/>
      </c>
      <c r="Z80">
        <f>HYPERLINK("https://klasma.github.io/Logging_2303/knärot/A 2193-2026 karta knärot.png", "A 2193-2026")</f>
        <v/>
      </c>
      <c r="AA80">
        <f>HYPERLINK("https://klasma.github.io/Logging_2303/klagomål/A 2193-2026 FSC-klagomål.docx", "A 2193-2026")</f>
        <v/>
      </c>
      <c r="AB80">
        <f>HYPERLINK("https://klasma.github.io/Logging_2303/klagomålsmail/A 2193-2026 FSC-klagomål mail.docx", "A 2193-2026")</f>
        <v/>
      </c>
      <c r="AC80">
        <f>HYPERLINK("https://klasma.github.io/Logging_2303/tillsyn/A 2193-2026 tillsynsbegäran.docx", "A 2193-2026")</f>
        <v/>
      </c>
      <c r="AD80">
        <f>HYPERLINK("https://klasma.github.io/Logging_2303/tillsynsmail/A 2193-2026 tillsynsbegäran mail.docx", "A 2193-2026")</f>
        <v/>
      </c>
    </row>
    <row r="81" ht="15" customHeight="1">
      <c r="A81" t="inlineStr">
        <is>
          <t>A 25769-2025</t>
        </is>
      </c>
      <c r="B81" t="inlineStr">
        <is>
          <t>avverkningsanmälan</t>
        </is>
      </c>
      <c r="C81" t="inlineStr">
        <is>
          <t>Föryngringsavverkning</t>
        </is>
      </c>
      <c r="D81" s="1" t="n">
        <v>45804</v>
      </c>
      <c r="E81" s="1" t="n">
        <v>46319</v>
      </c>
      <c r="F81" t="inlineStr">
        <is>
          <t>JÄMTLANDS LÄN</t>
        </is>
      </c>
      <c r="G81" t="inlineStr">
        <is>
          <t>RAGUNDA</t>
        </is>
      </c>
      <c r="H81" t="inlineStr">
        <is>
          <t>SCA</t>
        </is>
      </c>
      <c r="I81" t="n">
        <v>5.3</v>
      </c>
      <c r="J81" t="n">
        <v>3</v>
      </c>
      <c r="K81" t="n">
        <v>1</v>
      </c>
      <c r="L81" t="n">
        <v>3</v>
      </c>
      <c r="M81" t="n">
        <v>1</v>
      </c>
      <c r="N81" t="n">
        <v>0</v>
      </c>
      <c r="O81" t="n">
        <v>0</v>
      </c>
      <c r="P81" t="n">
        <v>0</v>
      </c>
      <c r="Q81" t="n">
        <v>4</v>
      </c>
      <c r="R81" t="n">
        <v>1</v>
      </c>
      <c r="S81" t="n">
        <v>6</v>
      </c>
      <c r="T81" t="n">
        <v>6</v>
      </c>
      <c r="U81" t="n">
        <v>3</v>
      </c>
      <c r="V81" s="2" t="inlineStr">
        <is>
          <t>Garnlav
Lunglav
Rödvingetrast
Tretåig hackspett
Luddlav
Järpe</t>
        </is>
      </c>
      <c r="W81">
        <f>HYPERLINK("https://klasma.github.io/Logging_2303/artfynd/A 25769-2025 artfynd.xlsx", "A 25769-2025")</f>
        <v/>
      </c>
      <c r="X81">
        <f>HYPERLINK("https://klasma.github.io/Logging_2303/kartor/A 25769-2025 karta.png", "A 25769-2025")</f>
        <v/>
      </c>
      <c r="Y81">
        <f>HYPERLINK("https://klasma.github.io/Logging_2303/kartor_geotiff/A 25769-2025 georefererad karta.tif", "A 25769-2025")</f>
        <v/>
      </c>
      <c r="AA81">
        <f>HYPERLINK("https://klasma.github.io/Logging_2303/klagomål/A 25769-2025 FSC-klagomål.docx", "A 25769-2025")</f>
        <v/>
      </c>
      <c r="AB81">
        <f>HYPERLINK("https://klasma.github.io/Logging_2303/klagomålsmail/A 25769-2025 FSC-klagomål mail.docx", "A 25769-2025")</f>
        <v/>
      </c>
      <c r="AC81">
        <f>HYPERLINK("https://klasma.github.io/Logging_2303/tillsyn/A 25769-2025 tillsynsbegäran.docx", "A 25769-2025")</f>
        <v/>
      </c>
      <c r="AD81">
        <f>HYPERLINK("https://klasma.github.io/Logging_2303/tillsynsmail/A 25769-2025 tillsynsbegäran mail.docx", "A 25769-2025")</f>
        <v/>
      </c>
      <c r="AE81">
        <f>HYPERLINK("https://klasma.github.io/Logging_2303/fåglar/A 25769-2025 prioriterade fågelarter.docx", "A 25769-2025")</f>
        <v/>
      </c>
    </row>
    <row r="82" ht="15" customHeight="1">
      <c r="A82" t="inlineStr">
        <is>
          <t>A 34219-2026</t>
        </is>
      </c>
      <c r="B82" t="inlineStr">
        <is>
          <t>avverkningsanmälan</t>
        </is>
      </c>
      <c r="C82" t="inlineStr">
        <is>
          <t>Föryngringsavverkning</t>
        </is>
      </c>
      <c r="D82" s="1" t="n">
        <v>46253</v>
      </c>
      <c r="E82" s="1" t="n">
        <v>46319</v>
      </c>
      <c r="F82" t="inlineStr">
        <is>
          <t>JÄMTLANDS LÄN</t>
        </is>
      </c>
      <c r="G82" t="inlineStr">
        <is>
          <t>RAGUNDA</t>
        </is>
      </c>
      <c r="H82" t="inlineStr">
        <is>
          <t>SCA</t>
        </is>
      </c>
      <c r="I82" t="n">
        <v>2.5</v>
      </c>
      <c r="J82" t="n">
        <v>2</v>
      </c>
      <c r="K82" t="n">
        <v>0</v>
      </c>
      <c r="L82" t="n">
        <v>3</v>
      </c>
      <c r="M82" t="n">
        <v>1</v>
      </c>
      <c r="N82" t="n">
        <v>1</v>
      </c>
      <c r="O82" t="n">
        <v>0</v>
      </c>
      <c r="P82" t="n">
        <v>0</v>
      </c>
      <c r="Q82" t="n">
        <v>5</v>
      </c>
      <c r="R82" t="n">
        <v>2</v>
      </c>
      <c r="S82" t="n">
        <v>6</v>
      </c>
      <c r="T82" t="n">
        <v>6</v>
      </c>
      <c r="U82" t="n">
        <v>0</v>
      </c>
      <c r="V82" s="2" t="inlineStr">
        <is>
          <t>Bitter taggsvamp
Knärot
Barrfagerspindling
Reliktbock
Rosenticka
Nattviol</t>
        </is>
      </c>
      <c r="W82">
        <f>HYPERLINK("https://klasma.github.io/Logging_2303/artfynd/A 34219-2026 artfynd.xlsx", "A 34219-2026")</f>
        <v/>
      </c>
      <c r="X82">
        <f>HYPERLINK("https://klasma.github.io/Logging_2303/kartor/A 34219-2026 karta.png", "A 34219-2026")</f>
        <v/>
      </c>
      <c r="Y82">
        <f>HYPERLINK("https://klasma.github.io/Logging_2303/kartor_geotiff/A 34219-2026 georefererad karta.tif", "A 34219-2026")</f>
        <v/>
      </c>
      <c r="Z82">
        <f>HYPERLINK("https://klasma.github.io/Logging_2303/knärot/A 34219-2026 karta knärot.png", "A 34219-2026")</f>
        <v/>
      </c>
      <c r="AA82">
        <f>HYPERLINK("https://klasma.github.io/Logging_2303/klagomål/A 34219-2026 FSC-klagomål.docx", "A 34219-2026")</f>
        <v/>
      </c>
      <c r="AB82">
        <f>HYPERLINK("https://klasma.github.io/Logging_2303/klagomålsmail/A 34219-2026 FSC-klagomål mail.docx", "A 34219-2026")</f>
        <v/>
      </c>
      <c r="AC82">
        <f>HYPERLINK("https://klasma.github.io/Logging_2303/tillsyn/A 34219-2026 tillsynsbegäran.docx", "A 34219-2026")</f>
        <v/>
      </c>
      <c r="AD82">
        <f>HYPERLINK("https://klasma.github.io/Logging_2303/tillsynsmail/A 34219-2026 tillsynsbegäran mail.docx", "A 34219-2026")</f>
        <v/>
      </c>
    </row>
    <row r="83" ht="15" customHeight="1">
      <c r="A83" t="inlineStr">
        <is>
          <t>A 30390-2025</t>
        </is>
      </c>
      <c r="B83" t="inlineStr">
        <is>
          <t>avverkningsanmälan</t>
        </is>
      </c>
      <c r="C83" t="inlineStr">
        <is>
          <t>Föryngringsavverkning</t>
        </is>
      </c>
      <c r="D83" s="1" t="n">
        <v>45827</v>
      </c>
      <c r="E83" s="1" t="n">
        <v>46319</v>
      </c>
      <c r="F83" t="inlineStr">
        <is>
          <t>JÄMTLANDS LÄN</t>
        </is>
      </c>
      <c r="G83" t="inlineStr">
        <is>
          <t>RAGUNDA</t>
        </is>
      </c>
      <c r="H83" t="inlineStr">
        <is>
          <t>SCA</t>
        </is>
      </c>
      <c r="I83" t="n">
        <v>11.2</v>
      </c>
      <c r="J83" t="n">
        <v>3</v>
      </c>
      <c r="K83" t="n">
        <v>1</v>
      </c>
      <c r="L83" t="n">
        <v>2</v>
      </c>
      <c r="M83" t="n">
        <v>2</v>
      </c>
      <c r="N83" t="n">
        <v>0</v>
      </c>
      <c r="O83" t="n">
        <v>0</v>
      </c>
      <c r="P83" t="n">
        <v>0</v>
      </c>
      <c r="Q83" t="n">
        <v>4</v>
      </c>
      <c r="R83" t="n">
        <v>2</v>
      </c>
      <c r="S83" t="n">
        <v>6</v>
      </c>
      <c r="T83" t="n">
        <v>8</v>
      </c>
      <c r="U83" t="n">
        <v>0</v>
      </c>
      <c r="V83" s="2" t="inlineStr">
        <is>
          <t>Garnlav
Knärot
Lunglav
Rynkskinn
Spindelblomster
Tjäder</t>
        </is>
      </c>
      <c r="W83">
        <f>HYPERLINK("https://klasma.github.io/Logging_2303/artfynd/A 30390-2025 artfynd.xlsx", "A 30390-2025")</f>
        <v/>
      </c>
      <c r="X83">
        <f>HYPERLINK("https://klasma.github.io/Logging_2303/kartor/A 30390-2025 karta.png", "A 30390-2025")</f>
        <v/>
      </c>
      <c r="Y83">
        <f>HYPERLINK("https://klasma.github.io/Logging_2303/kartor_geotiff/A 30390-2025 georefererad karta.tif", "A 30390-2025")</f>
        <v/>
      </c>
      <c r="Z83">
        <f>HYPERLINK("https://klasma.github.io/Logging_2303/knärot/A 30390-2025 karta knärot.png", "A 30390-2025")</f>
        <v/>
      </c>
      <c r="AA83">
        <f>HYPERLINK("https://klasma.github.io/Logging_2303/klagomål/A 30390-2025 FSC-klagomål.docx", "A 30390-2025")</f>
        <v/>
      </c>
      <c r="AB83">
        <f>HYPERLINK("https://klasma.github.io/Logging_2303/klagomålsmail/A 30390-2025 FSC-klagomål mail.docx", "A 30390-2025")</f>
        <v/>
      </c>
      <c r="AC83">
        <f>HYPERLINK("https://klasma.github.io/Logging_2303/tillsyn/A 30390-2025 tillsynsbegäran.docx", "A 30390-2025")</f>
        <v/>
      </c>
      <c r="AD83">
        <f>HYPERLINK("https://klasma.github.io/Logging_2303/tillsynsmail/A 30390-2025 tillsynsbegäran mail.docx", "A 30390-2025")</f>
        <v/>
      </c>
      <c r="AE83">
        <f>HYPERLINK("https://klasma.github.io/Logging_2303/fåglar/A 30390-2025 prioriterade fågelarter.docx", "A 30390-2025")</f>
        <v/>
      </c>
    </row>
    <row r="84" ht="15" customHeight="1">
      <c r="A84" t="inlineStr">
        <is>
          <t>A 30886-2025</t>
        </is>
      </c>
      <c r="B84" t="inlineStr">
        <is>
          <t>avverkningsanmälan</t>
        </is>
      </c>
      <c r="C84" t="inlineStr">
        <is>
          <t>Föryngringsavverkning</t>
        </is>
      </c>
      <c r="D84" s="1" t="n">
        <v>45832</v>
      </c>
      <c r="E84" s="1" t="n">
        <v>46319</v>
      </c>
      <c r="F84" t="inlineStr">
        <is>
          <t>JÄMTLANDS LÄN</t>
        </is>
      </c>
      <c r="G84" t="inlineStr">
        <is>
          <t>RAGUNDA</t>
        </is>
      </c>
      <c r="H84" t="inlineStr">
        <is>
          <t>SCA</t>
        </is>
      </c>
      <c r="I84" t="n">
        <v>4.4</v>
      </c>
      <c r="J84" t="n">
        <v>4</v>
      </c>
      <c r="K84" t="n">
        <v>1</v>
      </c>
      <c r="L84" t="n">
        <v>1</v>
      </c>
      <c r="M84" t="n">
        <v>1</v>
      </c>
      <c r="N84" t="n">
        <v>0</v>
      </c>
      <c r="O84" t="n">
        <v>0</v>
      </c>
      <c r="P84" t="n">
        <v>0</v>
      </c>
      <c r="Q84" t="n">
        <v>2</v>
      </c>
      <c r="R84" t="n">
        <v>1</v>
      </c>
      <c r="S84" t="n">
        <v>6</v>
      </c>
      <c r="T84" t="n">
        <v>15</v>
      </c>
      <c r="U84" t="n">
        <v>15</v>
      </c>
      <c r="V84" s="2" t="inlineStr">
        <is>
          <t>Knärot
Lunglav
Ögonpyrola
Blåsippa
Järpe
Nattviol</t>
        </is>
      </c>
      <c r="W84">
        <f>HYPERLINK("https://klasma.github.io/Logging_2303/artfynd/A 30886-2025 artfynd.xlsx", "A 30886-2025")</f>
        <v/>
      </c>
      <c r="X84">
        <f>HYPERLINK("https://klasma.github.io/Logging_2303/kartor/A 30886-2025 karta.png", "A 30886-2025")</f>
        <v/>
      </c>
      <c r="Y84">
        <f>HYPERLINK("https://klasma.github.io/Logging_2303/kartor_geotiff/A 30886-2025 georefererad karta.tif", "A 30886-2025")</f>
        <v/>
      </c>
      <c r="Z84">
        <f>HYPERLINK("https://klasma.github.io/Logging_2303/knärot/A 30886-2025 karta knärot.png", "A 30886-2025")</f>
        <v/>
      </c>
      <c r="AA84">
        <f>HYPERLINK("https://klasma.github.io/Logging_2303/klagomål/A 30886-2025 FSC-klagomål.docx", "A 30886-2025")</f>
        <v/>
      </c>
      <c r="AB84">
        <f>HYPERLINK("https://klasma.github.io/Logging_2303/klagomålsmail/A 30886-2025 FSC-klagomål mail.docx", "A 30886-2025")</f>
        <v/>
      </c>
      <c r="AC84">
        <f>HYPERLINK("https://klasma.github.io/Logging_2303/tillsyn/A 30886-2025 tillsynsbegäran.docx", "A 30886-2025")</f>
        <v/>
      </c>
      <c r="AD84">
        <f>HYPERLINK("https://klasma.github.io/Logging_2303/tillsynsmail/A 30886-2025 tillsynsbegäran mail.docx", "A 30886-2025")</f>
        <v/>
      </c>
      <c r="AE84">
        <f>HYPERLINK("https://klasma.github.io/Logging_2303/fåglar/A 30886-2025 prioriterade fågelarter.docx", "A 30886-2025")</f>
        <v/>
      </c>
    </row>
    <row r="85" ht="15" customHeight="1">
      <c r="A85" t="inlineStr">
        <is>
          <t>A 47115-2025</t>
        </is>
      </c>
      <c r="B85" t="inlineStr">
        <is>
          <t>avverkningsanmälan</t>
        </is>
      </c>
      <c r="C85" t="inlineStr">
        <is>
          <t>Föryngringsavverkning</t>
        </is>
      </c>
      <c r="D85" s="1" t="n">
        <v>45929</v>
      </c>
      <c r="E85" s="1" t="n">
        <v>46319</v>
      </c>
      <c r="F85" t="inlineStr">
        <is>
          <t>JÄMTLANDS LÄN</t>
        </is>
      </c>
      <c r="G85" t="inlineStr">
        <is>
          <t>RAGUNDA</t>
        </is>
      </c>
      <c r="I85" t="n">
        <v>6.4</v>
      </c>
      <c r="J85" t="n">
        <v>4</v>
      </c>
      <c r="K85" t="n">
        <v>0</v>
      </c>
      <c r="L85" t="n">
        <v>3</v>
      </c>
      <c r="M85" t="n">
        <v>3</v>
      </c>
      <c r="N85" t="n">
        <v>0</v>
      </c>
      <c r="O85" t="n">
        <v>0</v>
      </c>
      <c r="P85" t="n">
        <v>0</v>
      </c>
      <c r="Q85" t="n">
        <v>6</v>
      </c>
      <c r="R85" t="n">
        <v>3</v>
      </c>
      <c r="S85" t="n">
        <v>6</v>
      </c>
      <c r="T85" t="n">
        <v>44</v>
      </c>
      <c r="U85" t="n">
        <v>44</v>
      </c>
      <c r="V85" s="2" t="inlineStr">
        <is>
          <t>Doftticka
Garnlav
Knärot
Lavskrika
Lunglav
Tretåig hackspett</t>
        </is>
      </c>
      <c r="W85">
        <f>HYPERLINK("https://klasma.github.io/Logging_2303/artfynd/A 47115-2025 artfynd.xlsx", "A 47115-2025")</f>
        <v/>
      </c>
      <c r="X85">
        <f>HYPERLINK("https://klasma.github.io/Logging_2303/kartor/A 47115-2025 karta.png", "A 47115-2025")</f>
        <v/>
      </c>
      <c r="Y85">
        <f>HYPERLINK("https://klasma.github.io/Logging_2303/kartor_geotiff/A 47115-2025 georefererad karta.tif", "A 47115-2025")</f>
        <v/>
      </c>
      <c r="Z85">
        <f>HYPERLINK("https://klasma.github.io/Logging_2303/knärot/A 47115-2025 karta knärot.png", "A 47115-2025")</f>
        <v/>
      </c>
      <c r="AA85">
        <f>HYPERLINK("https://klasma.github.io/Logging_2303/klagomål/A 47115-2025 FSC-klagomål.docx", "A 47115-2025")</f>
        <v/>
      </c>
      <c r="AB85">
        <f>HYPERLINK("https://klasma.github.io/Logging_2303/klagomålsmail/A 47115-2025 FSC-klagomål mail.docx", "A 47115-2025")</f>
        <v/>
      </c>
      <c r="AC85">
        <f>HYPERLINK("https://klasma.github.io/Logging_2303/tillsyn/A 47115-2025 tillsynsbegäran.docx", "A 47115-2025")</f>
        <v/>
      </c>
      <c r="AD85">
        <f>HYPERLINK("https://klasma.github.io/Logging_2303/tillsynsmail/A 47115-2025 tillsynsbegäran mail.docx", "A 47115-2025")</f>
        <v/>
      </c>
      <c r="AE85">
        <f>HYPERLINK("https://klasma.github.io/Logging_2303/fåglar/A 47115-2025 prioriterade fågelarter.docx", "A 47115-2025")</f>
        <v/>
      </c>
    </row>
    <row r="86" ht="15" customHeight="1">
      <c r="A86" t="inlineStr">
        <is>
          <t>A 36276-2025</t>
        </is>
      </c>
      <c r="B86" t="inlineStr">
        <is>
          <t>avverkningsanmälan</t>
        </is>
      </c>
      <c r="C86" t="inlineStr">
        <is>
          <t>Föryngringsavverkning</t>
        </is>
      </c>
      <c r="D86" s="1" t="n">
        <v>45867</v>
      </c>
      <c r="E86" s="1" t="n">
        <v>46319</v>
      </c>
      <c r="F86" t="inlineStr">
        <is>
          <t>JÄMTLANDS LÄN</t>
        </is>
      </c>
      <c r="G86" t="inlineStr">
        <is>
          <t>RAGUNDA</t>
        </is>
      </c>
      <c r="H86" t="inlineStr">
        <is>
          <t>SCA</t>
        </is>
      </c>
      <c r="I86" t="n">
        <v>3.2</v>
      </c>
      <c r="J86" t="n">
        <v>1</v>
      </c>
      <c r="K86" t="n">
        <v>2</v>
      </c>
      <c r="L86" t="n">
        <v>2</v>
      </c>
      <c r="M86" t="n">
        <v>2</v>
      </c>
      <c r="N86" t="n">
        <v>0</v>
      </c>
      <c r="O86" t="n">
        <v>0</v>
      </c>
      <c r="P86" t="n">
        <v>0</v>
      </c>
      <c r="Q86" t="n">
        <v>4</v>
      </c>
      <c r="R86" t="n">
        <v>2</v>
      </c>
      <c r="S86" t="n">
        <v>6</v>
      </c>
      <c r="T86" t="n">
        <v>6</v>
      </c>
      <c r="U86" t="n">
        <v>0</v>
      </c>
      <c r="V86" s="2" t="inlineStr">
        <is>
          <t>Garnlav
Knärot
Lunglav
Ullticka
Grovticka
Stuplav</t>
        </is>
      </c>
      <c r="W86">
        <f>HYPERLINK("https://klasma.github.io/Logging_2303/artfynd/A 36276-2025 artfynd.xlsx", "A 36276-2025")</f>
        <v/>
      </c>
      <c r="X86">
        <f>HYPERLINK("https://klasma.github.io/Logging_2303/kartor/A 36276-2025 karta.png", "A 36276-2025")</f>
        <v/>
      </c>
      <c r="Y86">
        <f>HYPERLINK("https://klasma.github.io/Logging_2303/kartor_geotiff/A 36276-2025 georefererad karta.tif", "A 36276-2025")</f>
        <v/>
      </c>
      <c r="Z86">
        <f>HYPERLINK("https://klasma.github.io/Logging_2303/knärot/A 36276-2025 karta knärot.png", "A 36276-2025")</f>
        <v/>
      </c>
      <c r="AA86">
        <f>HYPERLINK("https://klasma.github.io/Logging_2303/klagomål/A 36276-2025 FSC-klagomål.docx", "A 36276-2025")</f>
        <v/>
      </c>
      <c r="AB86">
        <f>HYPERLINK("https://klasma.github.io/Logging_2303/klagomålsmail/A 36276-2025 FSC-klagomål mail.docx", "A 36276-2025")</f>
        <v/>
      </c>
      <c r="AC86">
        <f>HYPERLINK("https://klasma.github.io/Logging_2303/tillsyn/A 36276-2025 tillsynsbegäran.docx", "A 36276-2025")</f>
        <v/>
      </c>
      <c r="AD86">
        <f>HYPERLINK("https://klasma.github.io/Logging_2303/tillsynsmail/A 36276-2025 tillsynsbegäran mail.docx", "A 36276-2025")</f>
        <v/>
      </c>
    </row>
    <row r="87" ht="15" customHeight="1">
      <c r="A87" t="inlineStr">
        <is>
          <t>A 26482-2023</t>
        </is>
      </c>
      <c r="B87" t="inlineStr">
        <is>
          <t>avverkningsanmälan</t>
        </is>
      </c>
      <c r="C87" t="inlineStr">
        <is>
          <t>Avverkning för annat ändamål</t>
        </is>
      </c>
      <c r="D87" s="1" t="n">
        <v>45089</v>
      </c>
      <c r="E87" s="1" t="n">
        <v>46319</v>
      </c>
      <c r="F87" t="inlineStr">
        <is>
          <t>JÄMTLANDS LÄN</t>
        </is>
      </c>
      <c r="G87" t="inlineStr">
        <is>
          <t>RAGUNDA</t>
        </is>
      </c>
      <c r="I87" t="n">
        <v>2</v>
      </c>
      <c r="J87" t="n">
        <v>1</v>
      </c>
      <c r="K87" t="n">
        <v>0</v>
      </c>
      <c r="L87" t="n">
        <v>5</v>
      </c>
      <c r="M87" t="n">
        <v>1</v>
      </c>
      <c r="N87" t="n">
        <v>0</v>
      </c>
      <c r="O87" t="n">
        <v>0</v>
      </c>
      <c r="P87" t="n">
        <v>0</v>
      </c>
      <c r="Q87" t="n">
        <v>6</v>
      </c>
      <c r="R87" t="n">
        <v>1</v>
      </c>
      <c r="S87" t="n">
        <v>6</v>
      </c>
      <c r="T87" t="n">
        <v>15</v>
      </c>
      <c r="U87" t="n">
        <v>10</v>
      </c>
      <c r="V87" s="2" t="inlineStr">
        <is>
          <t>Garnlav
Gammelgransskål
Lunglav
Skrovellav
Tretåig hackspett
Ullticka</t>
        </is>
      </c>
      <c r="W87">
        <f>HYPERLINK("https://klasma.github.io/Logging_2303/artfynd/A 26482-2023 artfynd.xlsx", "A 26482-2023")</f>
        <v/>
      </c>
      <c r="X87">
        <f>HYPERLINK("https://klasma.github.io/Logging_2303/kartor/A 26482-2023 karta.png", "A 26482-2023")</f>
        <v/>
      </c>
      <c r="Y87">
        <f>HYPERLINK("https://klasma.github.io/Logging_2303/kartor_geotiff/A 26482-2023 georefererad karta.tif", "A 26482-2023")</f>
        <v/>
      </c>
      <c r="AA87">
        <f>HYPERLINK("https://klasma.github.io/Logging_2303/klagomål/A 26482-2023 FSC-klagomål.docx", "A 26482-2023")</f>
        <v/>
      </c>
      <c r="AB87">
        <f>HYPERLINK("https://klasma.github.io/Logging_2303/klagomålsmail/A 26482-2023 FSC-klagomål mail.docx", "A 26482-2023")</f>
        <v/>
      </c>
      <c r="AC87">
        <f>HYPERLINK("https://klasma.github.io/Logging_2303/tillsyn/A 26482-2023 tillsynsbegäran.docx", "A 26482-2023")</f>
        <v/>
      </c>
      <c r="AD87">
        <f>HYPERLINK("https://klasma.github.io/Logging_2303/tillsynsmail/A 26482-2023 tillsynsbegäran mail.docx", "A 26482-2023")</f>
        <v/>
      </c>
      <c r="AE87">
        <f>HYPERLINK("https://klasma.github.io/Logging_2303/fåglar/A 26482-2023 prioriterade fågelarter.docx", "A 26482-2023")</f>
        <v/>
      </c>
    </row>
    <row r="88" ht="15" customHeight="1">
      <c r="A88" t="inlineStr">
        <is>
          <t>A 26326-2024</t>
        </is>
      </c>
      <c r="B88" t="inlineStr">
        <is>
          <t>avverkningsanmälan</t>
        </is>
      </c>
      <c r="C88" t="inlineStr">
        <is>
          <t>Föryngringsavverkning</t>
        </is>
      </c>
      <c r="D88" s="1" t="n">
        <v>45468</v>
      </c>
      <c r="E88" s="1" t="n">
        <v>46319</v>
      </c>
      <c r="F88" t="inlineStr">
        <is>
          <t>JÄMTLANDS LÄN</t>
        </is>
      </c>
      <c r="G88" t="inlineStr">
        <is>
          <t>RAGUNDA</t>
        </is>
      </c>
      <c r="H88" t="inlineStr">
        <is>
          <t>SCA</t>
        </is>
      </c>
      <c r="I88" t="n">
        <v>1.8</v>
      </c>
      <c r="J88" t="n">
        <v>1</v>
      </c>
      <c r="K88" t="n">
        <v>1</v>
      </c>
      <c r="L88" t="n">
        <v>4</v>
      </c>
      <c r="M88" t="n">
        <v>1</v>
      </c>
      <c r="N88" t="n">
        <v>0</v>
      </c>
      <c r="O88" t="n">
        <v>0</v>
      </c>
      <c r="P88" t="n">
        <v>0</v>
      </c>
      <c r="Q88" t="n">
        <v>5</v>
      </c>
      <c r="R88" t="n">
        <v>1</v>
      </c>
      <c r="S88" t="n">
        <v>6</v>
      </c>
      <c r="T88" t="n">
        <v>11</v>
      </c>
      <c r="U88" t="n">
        <v>0</v>
      </c>
      <c r="V88" s="2" t="inlineStr">
        <is>
          <t>Knärot
Gammelgransskål
Kortskaftad ärgspik
Mörk kolflarnlav
Vedtrappmossa
Gytterlav</t>
        </is>
      </c>
      <c r="W88">
        <f>HYPERLINK("https://klasma.github.io/Logging_2303/artfynd/A 26326-2024 artfynd.xlsx", "A 26326-2024")</f>
        <v/>
      </c>
      <c r="X88">
        <f>HYPERLINK("https://klasma.github.io/Logging_2303/kartor/A 26326-2024 karta.png", "A 26326-2024")</f>
        <v/>
      </c>
      <c r="Y88">
        <f>HYPERLINK("https://klasma.github.io/Logging_2303/kartor_geotiff/A 26326-2024 georefererad karta.tif", "A 26326-2024")</f>
        <v/>
      </c>
      <c r="Z88">
        <f>HYPERLINK("https://klasma.github.io/Logging_2303/knärot/A 26326-2024 karta knärot.png", "A 26326-2024")</f>
        <v/>
      </c>
      <c r="AA88">
        <f>HYPERLINK("https://klasma.github.io/Logging_2303/klagomål/A 26326-2024 FSC-klagomål.docx", "A 26326-2024")</f>
        <v/>
      </c>
      <c r="AB88">
        <f>HYPERLINK("https://klasma.github.io/Logging_2303/klagomålsmail/A 26326-2024 FSC-klagomål mail.docx", "A 26326-2024")</f>
        <v/>
      </c>
      <c r="AC88">
        <f>HYPERLINK("https://klasma.github.io/Logging_2303/tillsyn/A 26326-2024 tillsynsbegäran.docx", "A 26326-2024")</f>
        <v/>
      </c>
      <c r="AD88">
        <f>HYPERLINK("https://klasma.github.io/Logging_2303/tillsynsmail/A 26326-2024 tillsynsbegäran mail.docx", "A 26326-2024")</f>
        <v/>
      </c>
    </row>
    <row r="89" ht="15" customHeight="1">
      <c r="A89" t="inlineStr">
        <is>
          <t>A 24431-2024</t>
        </is>
      </c>
      <c r="B89" t="inlineStr">
        <is>
          <t>avverkningsanmälan</t>
        </is>
      </c>
      <c r="C89" t="inlineStr">
        <is>
          <t>Avverkning för att bevara och utveckla /försöksver</t>
        </is>
      </c>
      <c r="D89" s="1" t="n">
        <v>45457</v>
      </c>
      <c r="E89" s="1" t="n">
        <v>46319</v>
      </c>
      <c r="F89" t="inlineStr">
        <is>
          <t>JÄMTLANDS LÄN</t>
        </is>
      </c>
      <c r="G89" t="inlineStr">
        <is>
          <t>RAGUNDA</t>
        </is>
      </c>
      <c r="H89" t="inlineStr">
        <is>
          <t>SCA</t>
        </is>
      </c>
      <c r="I89" t="n">
        <v>3.6</v>
      </c>
      <c r="J89" t="n">
        <v>1</v>
      </c>
      <c r="K89" t="n">
        <v>0</v>
      </c>
      <c r="L89" t="n">
        <v>6</v>
      </c>
      <c r="M89" t="n">
        <v>0</v>
      </c>
      <c r="N89" t="n">
        <v>0</v>
      </c>
      <c r="O89" t="n">
        <v>0</v>
      </c>
      <c r="P89" t="n">
        <v>0</v>
      </c>
      <c r="Q89" t="n">
        <v>6</v>
      </c>
      <c r="R89" t="n">
        <v>0</v>
      </c>
      <c r="S89" t="n">
        <v>6</v>
      </c>
      <c r="T89" t="n">
        <v>15</v>
      </c>
      <c r="U89" t="n">
        <v>10</v>
      </c>
      <c r="V89" s="2" t="inlineStr">
        <is>
          <t>Doftskinn
Gammelgransskål
Rosenticka
Tretåig hackspett
Ullticka
Vitgrynig nållav</t>
        </is>
      </c>
      <c r="W89">
        <f>HYPERLINK("https://klasma.github.io/Logging_2303/artfynd/A 24431-2024 artfynd.xlsx", "A 24431-2024")</f>
        <v/>
      </c>
      <c r="X89">
        <f>HYPERLINK("https://klasma.github.io/Logging_2303/kartor/A 24431-2024 karta.png", "A 24431-2024")</f>
        <v/>
      </c>
      <c r="Y89">
        <f>HYPERLINK("https://klasma.github.io/Logging_2303/kartor_geotiff/A 24431-2024 georefererad karta.tif", "A 24431-2024")</f>
        <v/>
      </c>
      <c r="AA89">
        <f>HYPERLINK("https://klasma.github.io/Logging_2303/klagomål/A 24431-2024 FSC-klagomål.docx", "A 24431-2024")</f>
        <v/>
      </c>
      <c r="AB89">
        <f>HYPERLINK("https://klasma.github.io/Logging_2303/klagomålsmail/A 24431-2024 FSC-klagomål mail.docx", "A 24431-2024")</f>
        <v/>
      </c>
      <c r="AC89">
        <f>HYPERLINK("https://klasma.github.io/Logging_2303/tillsyn/A 24431-2024 tillsynsbegäran.docx", "A 24431-2024")</f>
        <v/>
      </c>
      <c r="AD89">
        <f>HYPERLINK("https://klasma.github.io/Logging_2303/tillsynsmail/A 24431-2024 tillsynsbegäran mail.docx", "A 24431-2024")</f>
        <v/>
      </c>
      <c r="AE89">
        <f>HYPERLINK("https://klasma.github.io/Logging_2303/fåglar/A 24431-2024 prioriterade fågelarter.docx", "A 24431-2024")</f>
        <v/>
      </c>
    </row>
    <row r="90" ht="15" customHeight="1">
      <c r="A90" t="inlineStr">
        <is>
          <t>A 13266-2023</t>
        </is>
      </c>
      <c r="B90" t="inlineStr">
        <is>
          <t>avverkningsanmälan</t>
        </is>
      </c>
      <c r="C90" t="inlineStr">
        <is>
          <t>Föryngringsavverkning</t>
        </is>
      </c>
      <c r="D90" s="1" t="n">
        <v>45002</v>
      </c>
      <c r="E90" s="1" t="n">
        <v>46319</v>
      </c>
      <c r="F90" t="inlineStr">
        <is>
          <t>JÄMTLANDS LÄN</t>
        </is>
      </c>
      <c r="G90" t="inlineStr">
        <is>
          <t>RAGUNDA</t>
        </is>
      </c>
      <c r="H90" t="inlineStr">
        <is>
          <t>SCA</t>
        </is>
      </c>
      <c r="I90" t="n">
        <v>4.1</v>
      </c>
      <c r="J90" t="n">
        <v>2</v>
      </c>
      <c r="K90" t="n">
        <v>1</v>
      </c>
      <c r="L90" t="n">
        <v>2</v>
      </c>
      <c r="M90" t="n">
        <v>1</v>
      </c>
      <c r="N90" t="n">
        <v>0</v>
      </c>
      <c r="O90" t="n">
        <v>0</v>
      </c>
      <c r="P90" t="n">
        <v>0</v>
      </c>
      <c r="Q90" t="n">
        <v>3</v>
      </c>
      <c r="R90" t="n">
        <v>1</v>
      </c>
      <c r="S90" t="n">
        <v>6</v>
      </c>
      <c r="T90" t="n">
        <v>10</v>
      </c>
      <c r="U90" t="n">
        <v>0</v>
      </c>
      <c r="V90" s="2" t="inlineStr">
        <is>
          <t>Garnlav
Gammelgransskål
Lunglav
Korallblylav
Fläcknycklar
Revlummer</t>
        </is>
      </c>
      <c r="W90">
        <f>HYPERLINK("https://klasma.github.io/Logging_2303/artfynd/A 13266-2023 artfynd.xlsx", "A 13266-2023")</f>
        <v/>
      </c>
      <c r="X90">
        <f>HYPERLINK("https://klasma.github.io/Logging_2303/kartor/A 13266-2023 karta.png", "A 13266-2023")</f>
        <v/>
      </c>
      <c r="Y90">
        <f>HYPERLINK("https://klasma.github.io/Logging_2303/kartor_geotiff/A 13266-2023 georefererad karta.tif", "A 13266-2023")</f>
        <v/>
      </c>
      <c r="AA90">
        <f>HYPERLINK("https://klasma.github.io/Logging_2303/klagomål/A 13266-2023 FSC-klagomål.docx", "A 13266-2023")</f>
        <v/>
      </c>
      <c r="AB90">
        <f>HYPERLINK("https://klasma.github.io/Logging_2303/klagomålsmail/A 13266-2023 FSC-klagomål mail.docx", "A 13266-2023")</f>
        <v/>
      </c>
      <c r="AC90">
        <f>HYPERLINK("https://klasma.github.io/Logging_2303/tillsyn/A 13266-2023 tillsynsbegäran.docx", "A 13266-2023")</f>
        <v/>
      </c>
      <c r="AD90">
        <f>HYPERLINK("https://klasma.github.io/Logging_2303/tillsynsmail/A 13266-2023 tillsynsbegäran mail.docx", "A 13266-2023")</f>
        <v/>
      </c>
    </row>
    <row r="91" ht="15" customHeight="1">
      <c r="A91" t="inlineStr">
        <is>
          <t>A 22469-2024</t>
        </is>
      </c>
      <c r="B91" t="inlineStr">
        <is>
          <t>avverkningsanmälan</t>
        </is>
      </c>
      <c r="C91" t="inlineStr">
        <is>
          <t>Avverkning för att bevara och utveckla /försöksver</t>
        </is>
      </c>
      <c r="D91" s="1" t="n">
        <v>45446</v>
      </c>
      <c r="E91" s="1" t="n">
        <v>46319</v>
      </c>
      <c r="F91" t="inlineStr">
        <is>
          <t>JÄMTLANDS LÄN</t>
        </is>
      </c>
      <c r="G91" t="inlineStr">
        <is>
          <t>RAGUNDA</t>
        </is>
      </c>
      <c r="H91" t="inlineStr">
        <is>
          <t>SCA</t>
        </is>
      </c>
      <c r="I91" t="n">
        <v>5.2</v>
      </c>
      <c r="J91" t="n">
        <v>2</v>
      </c>
      <c r="K91" t="n">
        <v>3</v>
      </c>
      <c r="L91" t="n">
        <v>2</v>
      </c>
      <c r="M91" t="n">
        <v>1</v>
      </c>
      <c r="N91" t="n">
        <v>0</v>
      </c>
      <c r="O91" t="n">
        <v>0</v>
      </c>
      <c r="P91" t="n">
        <v>0</v>
      </c>
      <c r="Q91" t="n">
        <v>3</v>
      </c>
      <c r="R91" t="n">
        <v>1</v>
      </c>
      <c r="S91" t="n">
        <v>6</v>
      </c>
      <c r="T91" t="n">
        <v>6</v>
      </c>
      <c r="U91" t="n">
        <v>0</v>
      </c>
      <c r="V91" s="2" t="inlineStr">
        <is>
          <t>Garnlav
Gammelgransskål
Lunglav
Guckusko
Gytterlav
Tvåblad</t>
        </is>
      </c>
      <c r="W91">
        <f>HYPERLINK("https://klasma.github.io/Logging_2303/artfynd/A 22469-2024 artfynd.xlsx", "A 22469-2024")</f>
        <v/>
      </c>
      <c r="X91">
        <f>HYPERLINK("https://klasma.github.io/Logging_2303/kartor/A 22469-2024 karta.png", "A 22469-2024")</f>
        <v/>
      </c>
      <c r="Y91">
        <f>HYPERLINK("https://klasma.github.io/Logging_2303/kartor_geotiff/A 22469-2024 georefererad karta.tif", "A 22469-2024")</f>
        <v/>
      </c>
      <c r="AA91">
        <f>HYPERLINK("https://klasma.github.io/Logging_2303/klagomål/A 22469-2024 FSC-klagomål.docx", "A 22469-2024")</f>
        <v/>
      </c>
      <c r="AB91">
        <f>HYPERLINK("https://klasma.github.io/Logging_2303/klagomålsmail/A 22469-2024 FSC-klagomål mail.docx", "A 22469-2024")</f>
        <v/>
      </c>
      <c r="AC91">
        <f>HYPERLINK("https://klasma.github.io/Logging_2303/tillsyn/A 22469-2024 tillsynsbegäran.docx", "A 22469-2024")</f>
        <v/>
      </c>
      <c r="AD91">
        <f>HYPERLINK("https://klasma.github.io/Logging_2303/tillsynsmail/A 22469-2024 tillsynsbegäran mail.docx", "A 22469-2024")</f>
        <v/>
      </c>
    </row>
    <row r="92" ht="15" customHeight="1">
      <c r="A92" t="inlineStr">
        <is>
          <t>A 48538-2022</t>
        </is>
      </c>
      <c r="B92" t="inlineStr">
        <is>
          <t>avverkningsanmälan</t>
        </is>
      </c>
      <c r="C92" t="inlineStr">
        <is>
          <t>Avverkning för att bevara och utveckla /försöksver</t>
        </is>
      </c>
      <c r="D92" s="1" t="n">
        <v>44858</v>
      </c>
      <c r="E92" s="1" t="n">
        <v>46319</v>
      </c>
      <c r="F92" t="inlineStr">
        <is>
          <t>JÄMTLANDS LÄN</t>
        </is>
      </c>
      <c r="G92" t="inlineStr">
        <is>
          <t>RAGUNDA</t>
        </is>
      </c>
      <c r="H92" t="inlineStr">
        <is>
          <t>SCA</t>
        </is>
      </c>
      <c r="I92" t="n">
        <v>2.8</v>
      </c>
      <c r="J92" t="n">
        <v>1</v>
      </c>
      <c r="K92" t="n">
        <v>0</v>
      </c>
      <c r="L92" t="n">
        <v>4</v>
      </c>
      <c r="M92" t="n">
        <v>1</v>
      </c>
      <c r="N92" t="n">
        <v>0</v>
      </c>
      <c r="O92" t="n">
        <v>0</v>
      </c>
      <c r="P92" t="n">
        <v>0</v>
      </c>
      <c r="Q92" t="n">
        <v>5</v>
      </c>
      <c r="R92" t="n">
        <v>1</v>
      </c>
      <c r="S92" t="n">
        <v>5</v>
      </c>
      <c r="T92" t="n">
        <v>7</v>
      </c>
      <c r="U92" t="n">
        <v>0</v>
      </c>
      <c r="V92" s="2" t="inlineStr">
        <is>
          <t>Garnlav
Gammelgransskål
Lunglav
Skrovellav
Tretåig hackspett</t>
        </is>
      </c>
      <c r="W92">
        <f>HYPERLINK("https://klasma.github.io/Logging_2303/artfynd/A 48538-2022 artfynd.xlsx", "A 48538-2022")</f>
        <v/>
      </c>
      <c r="X92">
        <f>HYPERLINK("https://klasma.github.io/Logging_2303/kartor/A 48538-2022 karta.png", "A 48538-2022")</f>
        <v/>
      </c>
      <c r="Y92">
        <f>HYPERLINK("https://klasma.github.io/Logging_2303/kartor_geotiff/A 48538-2022 georefererad karta.tif", "A 48538-2022")</f>
        <v/>
      </c>
      <c r="AA92">
        <f>HYPERLINK("https://klasma.github.io/Logging_2303/klagomål/A 48538-2022 FSC-klagomål.docx", "A 48538-2022")</f>
        <v/>
      </c>
      <c r="AB92">
        <f>HYPERLINK("https://klasma.github.io/Logging_2303/klagomålsmail/A 48538-2022 FSC-klagomål mail.docx", "A 48538-2022")</f>
        <v/>
      </c>
      <c r="AC92">
        <f>HYPERLINK("https://klasma.github.io/Logging_2303/tillsyn/A 48538-2022 tillsynsbegäran.docx", "A 48538-2022")</f>
        <v/>
      </c>
      <c r="AD92">
        <f>HYPERLINK("https://klasma.github.io/Logging_2303/tillsynsmail/A 48538-2022 tillsynsbegäran mail.docx", "A 48538-2022")</f>
        <v/>
      </c>
      <c r="AE92">
        <f>HYPERLINK("https://klasma.github.io/Logging_2303/fåglar/A 48538-2022 prioriterade fågelarter.docx", "A 48538-2022")</f>
        <v/>
      </c>
    </row>
    <row r="93" ht="15" customHeight="1">
      <c r="A93" t="inlineStr">
        <is>
          <t>A 19851-2022</t>
        </is>
      </c>
      <c r="B93" t="inlineStr">
        <is>
          <t>avverkningsanmälan</t>
        </is>
      </c>
      <c r="C93" t="inlineStr">
        <is>
          <t>Avverkning för att bevara och utveckla /försöksver</t>
        </is>
      </c>
      <c r="D93" s="1" t="n">
        <v>44696</v>
      </c>
      <c r="E93" s="1" t="n">
        <v>46319</v>
      </c>
      <c r="F93" t="inlineStr">
        <is>
          <t>JÄMTLANDS LÄN</t>
        </is>
      </c>
      <c r="G93" t="inlineStr">
        <is>
          <t>RAGUNDA</t>
        </is>
      </c>
      <c r="H93" t="inlineStr">
        <is>
          <t>SCA</t>
        </is>
      </c>
      <c r="I93" t="n">
        <v>3</v>
      </c>
      <c r="J93" t="n">
        <v>3</v>
      </c>
      <c r="K93" t="n">
        <v>0</v>
      </c>
      <c r="L93" t="n">
        <v>2</v>
      </c>
      <c r="M93" t="n">
        <v>1</v>
      </c>
      <c r="N93" t="n">
        <v>0</v>
      </c>
      <c r="O93" t="n">
        <v>0</v>
      </c>
      <c r="P93" t="n">
        <v>0</v>
      </c>
      <c r="Q93" t="n">
        <v>3</v>
      </c>
      <c r="R93" t="n">
        <v>1</v>
      </c>
      <c r="S93" t="n">
        <v>5</v>
      </c>
      <c r="T93" t="n">
        <v>7</v>
      </c>
      <c r="U93" t="n">
        <v>0</v>
      </c>
      <c r="V93" s="2" t="inlineStr">
        <is>
          <t>Garnlav
Talltita
Ullticka
Fläcknycklar
Revlummer</t>
        </is>
      </c>
      <c r="W93">
        <f>HYPERLINK("https://klasma.github.io/Logging_2303/artfynd/A 19851-2022 artfynd.xlsx", "A 19851-2022")</f>
        <v/>
      </c>
      <c r="X93">
        <f>HYPERLINK("https://klasma.github.io/Logging_2303/kartor/A 19851-2022 karta.png", "A 19851-2022")</f>
        <v/>
      </c>
      <c r="Y93">
        <f>HYPERLINK("https://klasma.github.io/Logging_2303/kartor_geotiff/A 19851-2022 georefererad karta.tif", "A 19851-2022")</f>
        <v/>
      </c>
      <c r="AA93">
        <f>HYPERLINK("https://klasma.github.io/Logging_2303/klagomål/A 19851-2022 FSC-klagomål.docx", "A 19851-2022")</f>
        <v/>
      </c>
      <c r="AB93">
        <f>HYPERLINK("https://klasma.github.io/Logging_2303/klagomålsmail/A 19851-2022 FSC-klagomål mail.docx", "A 19851-2022")</f>
        <v/>
      </c>
      <c r="AC93">
        <f>HYPERLINK("https://klasma.github.io/Logging_2303/tillsyn/A 19851-2022 tillsynsbegäran.docx", "A 19851-2022")</f>
        <v/>
      </c>
      <c r="AD93">
        <f>HYPERLINK("https://klasma.github.io/Logging_2303/tillsynsmail/A 19851-2022 tillsynsbegäran mail.docx", "A 19851-2022")</f>
        <v/>
      </c>
      <c r="AE93">
        <f>HYPERLINK("https://klasma.github.io/Logging_2303/fåglar/A 19851-2022 prioriterade fågelarter.docx", "A 19851-2022")</f>
        <v/>
      </c>
    </row>
    <row r="94" ht="15" customHeight="1">
      <c r="A94" t="inlineStr">
        <is>
          <t>A 39974-2025</t>
        </is>
      </c>
      <c r="B94" t="inlineStr">
        <is>
          <t>avverkningsanmälan</t>
        </is>
      </c>
      <c r="C94" t="inlineStr">
        <is>
          <t>Föryngringsavverkning</t>
        </is>
      </c>
      <c r="D94" s="1" t="n">
        <v>45893</v>
      </c>
      <c r="E94" s="1" t="n">
        <v>46319</v>
      </c>
      <c r="F94" t="inlineStr">
        <is>
          <t>JÄMTLANDS LÄN</t>
        </is>
      </c>
      <c r="G94" t="inlineStr">
        <is>
          <t>RAGUNDA</t>
        </is>
      </c>
      <c r="H94" t="inlineStr">
        <is>
          <t>SCA</t>
        </is>
      </c>
      <c r="I94" t="n">
        <v>2.5</v>
      </c>
      <c r="J94" t="n">
        <v>0</v>
      </c>
      <c r="K94" t="n">
        <v>1</v>
      </c>
      <c r="L94" t="n">
        <v>3</v>
      </c>
      <c r="M94" t="n">
        <v>1</v>
      </c>
      <c r="N94" t="n">
        <v>0</v>
      </c>
      <c r="O94" t="n">
        <v>0</v>
      </c>
      <c r="P94" t="n">
        <v>0</v>
      </c>
      <c r="Q94" t="n">
        <v>4</v>
      </c>
      <c r="R94" t="n">
        <v>1</v>
      </c>
      <c r="S94" t="n">
        <v>5</v>
      </c>
      <c r="T94" t="n">
        <v>5</v>
      </c>
      <c r="U94" t="n">
        <v>0</v>
      </c>
      <c r="V94" s="2" t="inlineStr">
        <is>
          <t>Garnlav
Dropptaggsvamp
Lunglav
Skrovellav
Luddlav</t>
        </is>
      </c>
      <c r="W94">
        <f>HYPERLINK("https://klasma.github.io/Logging_2303/artfynd/A 39974-2025 artfynd.xlsx", "A 39974-2025")</f>
        <v/>
      </c>
      <c r="X94">
        <f>HYPERLINK("https://klasma.github.io/Logging_2303/kartor/A 39974-2025 karta.png", "A 39974-2025")</f>
        <v/>
      </c>
      <c r="Y94">
        <f>HYPERLINK("https://klasma.github.io/Logging_2303/kartor_geotiff/A 39974-2025 georefererad karta.tif", "A 39974-2025")</f>
        <v/>
      </c>
      <c r="AA94">
        <f>HYPERLINK("https://klasma.github.io/Logging_2303/klagomål/A 39974-2025 FSC-klagomål.docx", "A 39974-2025")</f>
        <v/>
      </c>
      <c r="AB94">
        <f>HYPERLINK("https://klasma.github.io/Logging_2303/klagomålsmail/A 39974-2025 FSC-klagomål mail.docx", "A 39974-2025")</f>
        <v/>
      </c>
      <c r="AC94">
        <f>HYPERLINK("https://klasma.github.io/Logging_2303/tillsyn/A 39974-2025 tillsynsbegäran.docx", "A 39974-2025")</f>
        <v/>
      </c>
      <c r="AD94">
        <f>HYPERLINK("https://klasma.github.io/Logging_2303/tillsynsmail/A 39974-2025 tillsynsbegäran mail.docx", "A 39974-2025")</f>
        <v/>
      </c>
    </row>
    <row r="95" ht="15" customHeight="1">
      <c r="A95" t="inlineStr">
        <is>
          <t>A 39973-2025</t>
        </is>
      </c>
      <c r="B95" t="inlineStr">
        <is>
          <t>avverkningsanmälan</t>
        </is>
      </c>
      <c r="C95" t="inlineStr">
        <is>
          <t>Föryngringsavverkning</t>
        </is>
      </c>
      <c r="D95" s="1" t="n">
        <v>45893</v>
      </c>
      <c r="E95" s="1" t="n">
        <v>46319</v>
      </c>
      <c r="F95" t="inlineStr">
        <is>
          <t>JÄMTLANDS LÄN</t>
        </is>
      </c>
      <c r="G95" t="inlineStr">
        <is>
          <t>RAGUNDA</t>
        </is>
      </c>
      <c r="H95" t="inlineStr">
        <is>
          <t>Naturvårdsverket</t>
        </is>
      </c>
      <c r="I95" t="n">
        <v>8</v>
      </c>
      <c r="J95" t="n">
        <v>0</v>
      </c>
      <c r="K95" t="n">
        <v>1</v>
      </c>
      <c r="L95" t="n">
        <v>4</v>
      </c>
      <c r="M95" t="n">
        <v>0</v>
      </c>
      <c r="N95" t="n">
        <v>0</v>
      </c>
      <c r="O95" t="n">
        <v>0</v>
      </c>
      <c r="P95" t="n">
        <v>0</v>
      </c>
      <c r="Q95" t="n">
        <v>4</v>
      </c>
      <c r="R95" t="n">
        <v>0</v>
      </c>
      <c r="S95" t="n">
        <v>5</v>
      </c>
      <c r="T95" t="n">
        <v>9</v>
      </c>
      <c r="U95" t="n">
        <v>0</v>
      </c>
      <c r="V95" s="2" t="inlineStr">
        <is>
          <t>Lunglav
Mörk kolflarnlav
Tallticka
Vedskivlav
Skinnlav</t>
        </is>
      </c>
      <c r="W95">
        <f>HYPERLINK("https://klasma.github.io/Logging_2303/artfynd/A 39973-2025 artfynd.xlsx", "A 39973-2025")</f>
        <v/>
      </c>
      <c r="X95">
        <f>HYPERLINK("https://klasma.github.io/Logging_2303/kartor/A 39973-2025 karta.png", "A 39973-2025")</f>
        <v/>
      </c>
      <c r="Y95">
        <f>HYPERLINK("https://klasma.github.io/Logging_2303/kartor_geotiff/A 39973-2025 georefererad karta.tif", "A 39973-2025")</f>
        <v/>
      </c>
      <c r="AA95">
        <f>HYPERLINK("https://klasma.github.io/Logging_2303/klagomål/A 39973-2025 FSC-klagomål.docx", "A 39973-2025")</f>
        <v/>
      </c>
      <c r="AB95">
        <f>HYPERLINK("https://klasma.github.io/Logging_2303/klagomålsmail/A 39973-2025 FSC-klagomål mail.docx", "A 39973-2025")</f>
        <v/>
      </c>
      <c r="AC95">
        <f>HYPERLINK("https://klasma.github.io/Logging_2303/tillsyn/A 39973-2025 tillsynsbegäran.docx", "A 39973-2025")</f>
        <v/>
      </c>
      <c r="AD95">
        <f>HYPERLINK("https://klasma.github.io/Logging_2303/tillsynsmail/A 39973-2025 tillsynsbegäran mail.docx", "A 39973-2025")</f>
        <v/>
      </c>
    </row>
    <row r="96" ht="15" customHeight="1">
      <c r="A96" t="inlineStr">
        <is>
          <t>A 16316-2025</t>
        </is>
      </c>
      <c r="B96" t="inlineStr">
        <is>
          <t>avverkningsanmälan</t>
        </is>
      </c>
      <c r="C96" t="inlineStr">
        <is>
          <t>Föryngringsavverkning</t>
        </is>
      </c>
      <c r="D96" s="1" t="n">
        <v>45751</v>
      </c>
      <c r="E96" s="1" t="n">
        <v>46319</v>
      </c>
      <c r="F96" t="inlineStr">
        <is>
          <t>JÄMTLANDS LÄN</t>
        </is>
      </c>
      <c r="G96" t="inlineStr">
        <is>
          <t>RAGUNDA</t>
        </is>
      </c>
      <c r="H96" t="inlineStr">
        <is>
          <t>SCA</t>
        </is>
      </c>
      <c r="I96" t="n">
        <v>1.7</v>
      </c>
      <c r="J96" t="n">
        <v>4</v>
      </c>
      <c r="K96" t="n">
        <v>1</v>
      </c>
      <c r="L96" t="n">
        <v>1</v>
      </c>
      <c r="M96" t="n">
        <v>0</v>
      </c>
      <c r="N96" t="n">
        <v>0</v>
      </c>
      <c r="O96" t="n">
        <v>0</v>
      </c>
      <c r="P96" t="n">
        <v>0</v>
      </c>
      <c r="Q96" t="n">
        <v>1</v>
      </c>
      <c r="R96" t="n">
        <v>0</v>
      </c>
      <c r="S96" t="n">
        <v>5</v>
      </c>
      <c r="T96" t="n">
        <v>7</v>
      </c>
      <c r="U96" t="n">
        <v>5</v>
      </c>
      <c r="V96" s="2" t="inlineStr">
        <is>
          <t>Brunklöver
Tvåblad
Brudsporre
Fläcknycklar
Vanliga ängsnycklar</t>
        </is>
      </c>
      <c r="W96">
        <f>HYPERLINK("https://klasma.github.io/Logging_2303/artfynd/A 16316-2025 artfynd.xlsx", "A 16316-2025")</f>
        <v/>
      </c>
      <c r="X96">
        <f>HYPERLINK("https://klasma.github.io/Logging_2303/kartor/A 16316-2025 karta.png", "A 16316-2025")</f>
        <v/>
      </c>
      <c r="Y96">
        <f>HYPERLINK("https://klasma.github.io/Logging_2303/kartor_geotiff/A 16316-2025 georefererad karta.tif", "A 16316-2025")</f>
        <v/>
      </c>
      <c r="AA96">
        <f>HYPERLINK("https://klasma.github.io/Logging_2303/klagomål/A 16316-2025 FSC-klagomål.docx", "A 16316-2025")</f>
        <v/>
      </c>
      <c r="AB96">
        <f>HYPERLINK("https://klasma.github.io/Logging_2303/klagomålsmail/A 16316-2025 FSC-klagomål mail.docx", "A 16316-2025")</f>
        <v/>
      </c>
      <c r="AC96">
        <f>HYPERLINK("https://klasma.github.io/Logging_2303/tillsyn/A 16316-2025 tillsynsbegäran.docx", "A 16316-2025")</f>
        <v/>
      </c>
      <c r="AD96">
        <f>HYPERLINK("https://klasma.github.io/Logging_2303/tillsynsmail/A 16316-2025 tillsynsbegäran mail.docx", "A 16316-2025")</f>
        <v/>
      </c>
    </row>
    <row r="97" ht="15" customHeight="1">
      <c r="A97" t="inlineStr">
        <is>
          <t>A 58737-2022</t>
        </is>
      </c>
      <c r="B97" t="inlineStr">
        <is>
          <t>avverkningsanmälan</t>
        </is>
      </c>
      <c r="C97" t="inlineStr">
        <is>
          <t>Avverkning för att bevara och utveckla /försöksver</t>
        </is>
      </c>
      <c r="D97" s="1" t="n">
        <v>44902</v>
      </c>
      <c r="E97" s="1" t="n">
        <v>46319</v>
      </c>
      <c r="F97" t="inlineStr">
        <is>
          <t>JÄMTLANDS LÄN</t>
        </is>
      </c>
      <c r="G97" t="inlineStr">
        <is>
          <t>RAGUNDA</t>
        </is>
      </c>
      <c r="H97" t="inlineStr">
        <is>
          <t>SCA</t>
        </is>
      </c>
      <c r="I97" t="n">
        <v>2.7</v>
      </c>
      <c r="J97" t="n">
        <v>1</v>
      </c>
      <c r="K97" t="n">
        <v>2</v>
      </c>
      <c r="L97" t="n">
        <v>1</v>
      </c>
      <c r="M97" t="n">
        <v>1</v>
      </c>
      <c r="N97" t="n">
        <v>0</v>
      </c>
      <c r="O97" t="n">
        <v>0</v>
      </c>
      <c r="P97" t="n">
        <v>0</v>
      </c>
      <c r="Q97" t="n">
        <v>2</v>
      </c>
      <c r="R97" t="n">
        <v>1</v>
      </c>
      <c r="S97" t="n">
        <v>5</v>
      </c>
      <c r="T97" t="n">
        <v>5</v>
      </c>
      <c r="U97" t="n">
        <v>0</v>
      </c>
      <c r="V97" s="2" t="inlineStr">
        <is>
          <t>Garnlav
Lunglav
Källmossor
Stuplav
Fläcknycklar</t>
        </is>
      </c>
      <c r="W97">
        <f>HYPERLINK("https://klasma.github.io/Logging_2303/artfynd/A 58737-2022 artfynd.xlsx", "A 58737-2022")</f>
        <v/>
      </c>
      <c r="X97">
        <f>HYPERLINK("https://klasma.github.io/Logging_2303/kartor/A 58737-2022 karta.png", "A 58737-2022")</f>
        <v/>
      </c>
      <c r="Y97">
        <f>HYPERLINK("https://klasma.github.io/Logging_2303/kartor_geotiff/A 58737-2022 georefererad karta.tif", "A 58737-2022")</f>
        <v/>
      </c>
      <c r="AA97">
        <f>HYPERLINK("https://klasma.github.io/Logging_2303/klagomål/A 58737-2022 FSC-klagomål.docx", "A 58737-2022")</f>
        <v/>
      </c>
      <c r="AB97">
        <f>HYPERLINK("https://klasma.github.io/Logging_2303/klagomålsmail/A 58737-2022 FSC-klagomål mail.docx", "A 58737-2022")</f>
        <v/>
      </c>
      <c r="AC97">
        <f>HYPERLINK("https://klasma.github.io/Logging_2303/tillsyn/A 58737-2022 tillsynsbegäran.docx", "A 58737-2022")</f>
        <v/>
      </c>
      <c r="AD97">
        <f>HYPERLINK("https://klasma.github.io/Logging_2303/tillsynsmail/A 58737-2022 tillsynsbegäran mail.docx", "A 58737-2022")</f>
        <v/>
      </c>
    </row>
    <row r="98" ht="15" customHeight="1">
      <c r="A98" t="inlineStr">
        <is>
          <t>A 15244-2025</t>
        </is>
      </c>
      <c r="B98" t="inlineStr">
        <is>
          <t>avverkningsanmälan</t>
        </is>
      </c>
      <c r="C98" t="inlineStr">
        <is>
          <t>Föryngringsavverkning</t>
        </is>
      </c>
      <c r="D98" s="1" t="n">
        <v>45744</v>
      </c>
      <c r="E98" s="1" t="n">
        <v>46319</v>
      </c>
      <c r="F98" t="inlineStr">
        <is>
          <t>JÄMTLANDS LÄN</t>
        </is>
      </c>
      <c r="G98" t="inlineStr">
        <is>
          <t>RAGUNDA</t>
        </is>
      </c>
      <c r="H98" t="inlineStr">
        <is>
          <t>SCA</t>
        </is>
      </c>
      <c r="I98" t="n">
        <v>2.6</v>
      </c>
      <c r="J98" t="n">
        <v>0</v>
      </c>
      <c r="K98" t="n">
        <v>2</v>
      </c>
      <c r="L98" t="n">
        <v>2</v>
      </c>
      <c r="M98" t="n">
        <v>1</v>
      </c>
      <c r="N98" t="n">
        <v>0</v>
      </c>
      <c r="O98" t="n">
        <v>0</v>
      </c>
      <c r="P98" t="n">
        <v>0</v>
      </c>
      <c r="Q98" t="n">
        <v>3</v>
      </c>
      <c r="R98" t="n">
        <v>1</v>
      </c>
      <c r="S98" t="n">
        <v>5</v>
      </c>
      <c r="T98" t="n">
        <v>5</v>
      </c>
      <c r="U98" t="n">
        <v>0</v>
      </c>
      <c r="V98" s="2" t="inlineStr">
        <is>
          <t>Garnlav
Rosenticka
Ullticka
Stuplav
Vedticka</t>
        </is>
      </c>
      <c r="W98">
        <f>HYPERLINK("https://klasma.github.io/Logging_2303/artfynd/A 15244-2025 artfynd.xlsx", "A 15244-2025")</f>
        <v/>
      </c>
      <c r="X98">
        <f>HYPERLINK("https://klasma.github.io/Logging_2303/kartor/A 15244-2025 karta.png", "A 15244-2025")</f>
        <v/>
      </c>
      <c r="Y98">
        <f>HYPERLINK("https://klasma.github.io/Logging_2303/kartor_geotiff/A 15244-2025 georefererad karta.tif", "A 15244-2025")</f>
        <v/>
      </c>
      <c r="AA98">
        <f>HYPERLINK("https://klasma.github.io/Logging_2303/klagomål/A 15244-2025 FSC-klagomål.docx", "A 15244-2025")</f>
        <v/>
      </c>
      <c r="AB98">
        <f>HYPERLINK("https://klasma.github.io/Logging_2303/klagomålsmail/A 15244-2025 FSC-klagomål mail.docx", "A 15244-2025")</f>
        <v/>
      </c>
      <c r="AC98">
        <f>HYPERLINK("https://klasma.github.io/Logging_2303/tillsyn/A 15244-2025 tillsynsbegäran.docx", "A 15244-2025")</f>
        <v/>
      </c>
      <c r="AD98">
        <f>HYPERLINK("https://klasma.github.io/Logging_2303/tillsynsmail/A 15244-2025 tillsynsbegäran mail.docx", "A 15244-2025")</f>
        <v/>
      </c>
    </row>
    <row r="99" ht="15" customHeight="1">
      <c r="A99" t="inlineStr">
        <is>
          <t>A 57941-2024</t>
        </is>
      </c>
      <c r="B99" t="inlineStr">
        <is>
          <t>avverkningsanmälan</t>
        </is>
      </c>
      <c r="C99" t="inlineStr">
        <is>
          <t>Avverkning för att bevara och utveckla /försöksver</t>
        </is>
      </c>
      <c r="D99" s="1" t="n">
        <v>45631</v>
      </c>
      <c r="E99" s="1" t="n">
        <v>46319</v>
      </c>
      <c r="F99" t="inlineStr">
        <is>
          <t>JÄMTLANDS LÄN</t>
        </is>
      </c>
      <c r="G99" t="inlineStr">
        <is>
          <t>RAGUNDA</t>
        </is>
      </c>
      <c r="H99" t="inlineStr">
        <is>
          <t>SCA</t>
        </is>
      </c>
      <c r="I99" t="n">
        <v>4.2</v>
      </c>
      <c r="J99" t="n">
        <v>1</v>
      </c>
      <c r="K99" t="n">
        <v>0</v>
      </c>
      <c r="L99" t="n">
        <v>3</v>
      </c>
      <c r="M99" t="n">
        <v>2</v>
      </c>
      <c r="N99" t="n">
        <v>0</v>
      </c>
      <c r="O99" t="n">
        <v>0</v>
      </c>
      <c r="P99" t="n">
        <v>0</v>
      </c>
      <c r="Q99" t="n">
        <v>5</v>
      </c>
      <c r="R99" t="n">
        <v>2</v>
      </c>
      <c r="S99" t="n">
        <v>5</v>
      </c>
      <c r="T99" t="n">
        <v>23</v>
      </c>
      <c r="U99" t="n">
        <v>23</v>
      </c>
      <c r="V99" s="2" t="inlineStr">
        <is>
          <t>Garnlav
Sprickporing
Lunglav
Tretåig hackspett
Ullticka</t>
        </is>
      </c>
      <c r="W99">
        <f>HYPERLINK("https://klasma.github.io/Logging_2303/artfynd/A 57941-2024 artfynd.xlsx", "A 57941-2024")</f>
        <v/>
      </c>
      <c r="X99">
        <f>HYPERLINK("https://klasma.github.io/Logging_2303/kartor/A 57941-2024 karta.png", "A 57941-2024")</f>
        <v/>
      </c>
      <c r="Y99">
        <f>HYPERLINK("https://klasma.github.io/Logging_2303/kartor_geotiff/A 57941-2024 georefererad karta.tif", "A 57941-2024")</f>
        <v/>
      </c>
      <c r="AA99">
        <f>HYPERLINK("https://klasma.github.io/Logging_2303/klagomål/A 57941-2024 FSC-klagomål.docx", "A 57941-2024")</f>
        <v/>
      </c>
      <c r="AB99">
        <f>HYPERLINK("https://klasma.github.io/Logging_2303/klagomålsmail/A 57941-2024 FSC-klagomål mail.docx", "A 57941-2024")</f>
        <v/>
      </c>
      <c r="AC99">
        <f>HYPERLINK("https://klasma.github.io/Logging_2303/tillsyn/A 57941-2024 tillsynsbegäran.docx", "A 57941-2024")</f>
        <v/>
      </c>
      <c r="AD99">
        <f>HYPERLINK("https://klasma.github.io/Logging_2303/tillsynsmail/A 57941-2024 tillsynsbegäran mail.docx", "A 57941-2024")</f>
        <v/>
      </c>
      <c r="AE99">
        <f>HYPERLINK("https://klasma.github.io/Logging_2303/fåglar/A 57941-2024 prioriterade fågelarter.docx", "A 57941-2024")</f>
        <v/>
      </c>
    </row>
    <row r="100" ht="15" customHeight="1">
      <c r="A100" t="inlineStr">
        <is>
          <t>A 12640-2024</t>
        </is>
      </c>
      <c r="B100" t="inlineStr">
        <is>
          <t>avverkningsanmälan</t>
        </is>
      </c>
      <c r="C100" t="inlineStr">
        <is>
          <t>Föryngringsavverkning</t>
        </is>
      </c>
      <c r="D100" s="1" t="n">
        <v>45384</v>
      </c>
      <c r="E100" s="1" t="n">
        <v>46319</v>
      </c>
      <c r="F100" t="inlineStr">
        <is>
          <t>JÄMTLANDS LÄN</t>
        </is>
      </c>
      <c r="G100" t="inlineStr">
        <is>
          <t>RAGUNDA</t>
        </is>
      </c>
      <c r="I100" t="n">
        <v>3.3</v>
      </c>
      <c r="J100" t="n">
        <v>1</v>
      </c>
      <c r="K100" t="n">
        <v>1</v>
      </c>
      <c r="L100" t="n">
        <v>3</v>
      </c>
      <c r="M100" t="n">
        <v>1</v>
      </c>
      <c r="N100" t="n">
        <v>0</v>
      </c>
      <c r="O100" t="n">
        <v>0</v>
      </c>
      <c r="P100" t="n">
        <v>0</v>
      </c>
      <c r="Q100" t="n">
        <v>4</v>
      </c>
      <c r="R100" t="n">
        <v>1</v>
      </c>
      <c r="S100" t="n">
        <v>5</v>
      </c>
      <c r="T100" t="n">
        <v>5</v>
      </c>
      <c r="U100" t="n">
        <v>0</v>
      </c>
      <c r="V100" s="2" t="inlineStr">
        <is>
          <t>Spadskinn
Dropptaggsvamp
Skarp dropptaggsvamp
Vedskivlav
Plattlummer</t>
        </is>
      </c>
      <c r="W100">
        <f>HYPERLINK("https://klasma.github.io/Logging_2303/artfynd/A 12640-2024 artfynd.xlsx", "A 12640-2024")</f>
        <v/>
      </c>
      <c r="X100">
        <f>HYPERLINK("https://klasma.github.io/Logging_2303/kartor/A 12640-2024 karta.png", "A 12640-2024")</f>
        <v/>
      </c>
      <c r="Y100">
        <f>HYPERLINK("https://klasma.github.io/Logging_2303/kartor_geotiff/A 12640-2024 georefererad karta.tif", "A 12640-2024")</f>
        <v/>
      </c>
      <c r="AA100">
        <f>HYPERLINK("https://klasma.github.io/Logging_2303/klagomål/A 12640-2024 FSC-klagomål.docx", "A 12640-2024")</f>
        <v/>
      </c>
      <c r="AB100">
        <f>HYPERLINK("https://klasma.github.io/Logging_2303/klagomålsmail/A 12640-2024 FSC-klagomål mail.docx", "A 12640-2024")</f>
        <v/>
      </c>
      <c r="AC100">
        <f>HYPERLINK("https://klasma.github.io/Logging_2303/tillsyn/A 12640-2024 tillsynsbegäran.docx", "A 12640-2024")</f>
        <v/>
      </c>
      <c r="AD100">
        <f>HYPERLINK("https://klasma.github.io/Logging_2303/tillsynsmail/A 12640-2024 tillsynsbegäran mail.docx", "A 12640-2024")</f>
        <v/>
      </c>
    </row>
    <row r="101" ht="15" customHeight="1">
      <c r="A101" t="inlineStr">
        <is>
          <t>A 12268-2024</t>
        </is>
      </c>
      <c r="B101" t="inlineStr">
        <is>
          <t>avverkningsanmälan</t>
        </is>
      </c>
      <c r="C101" t="inlineStr">
        <is>
          <t>Föryngringsavverkning</t>
        </is>
      </c>
      <c r="D101" s="1" t="n">
        <v>45378</v>
      </c>
      <c r="E101" s="1" t="n">
        <v>46319</v>
      </c>
      <c r="F101" t="inlineStr">
        <is>
          <t>JÄMTLANDS LÄN</t>
        </is>
      </c>
      <c r="G101" t="inlineStr">
        <is>
          <t>RAGUNDA</t>
        </is>
      </c>
      <c r="H101" t="inlineStr">
        <is>
          <t>Kommuner</t>
        </is>
      </c>
      <c r="I101" t="n">
        <v>15.7</v>
      </c>
      <c r="J101" t="n">
        <v>0</v>
      </c>
      <c r="K101" t="n">
        <v>0</v>
      </c>
      <c r="L101" t="n">
        <v>4</v>
      </c>
      <c r="M101" t="n">
        <v>1</v>
      </c>
      <c r="N101" t="n">
        <v>0</v>
      </c>
      <c r="O101" t="n">
        <v>0</v>
      </c>
      <c r="P101" t="n">
        <v>0</v>
      </c>
      <c r="Q101" t="n">
        <v>5</v>
      </c>
      <c r="R101" t="n">
        <v>1</v>
      </c>
      <c r="S101" t="n">
        <v>5</v>
      </c>
      <c r="T101" t="n">
        <v>6</v>
      </c>
      <c r="U101" t="n">
        <v>0</v>
      </c>
      <c r="V101" s="2" t="inlineStr">
        <is>
          <t>Garnlav
Blanksvart spiklav
Mörk kolflarnlav
Vedskivlav
Vitgrynig nållav</t>
        </is>
      </c>
      <c r="W101">
        <f>HYPERLINK("https://klasma.github.io/Logging_2303/artfynd/A 12268-2024 artfynd.xlsx", "A 12268-2024")</f>
        <v/>
      </c>
      <c r="X101">
        <f>HYPERLINK("https://klasma.github.io/Logging_2303/kartor/A 12268-2024 karta.png", "A 12268-2024")</f>
        <v/>
      </c>
      <c r="Y101">
        <f>HYPERLINK("https://klasma.github.io/Logging_2303/kartor_geotiff/A 12268-2024 georefererad karta.tif", "A 12268-2024")</f>
        <v/>
      </c>
      <c r="AA101">
        <f>HYPERLINK("https://klasma.github.io/Logging_2303/klagomål/A 12268-2024 FSC-klagomål.docx", "A 12268-2024")</f>
        <v/>
      </c>
      <c r="AB101">
        <f>HYPERLINK("https://klasma.github.io/Logging_2303/klagomålsmail/A 12268-2024 FSC-klagomål mail.docx", "A 12268-2024")</f>
        <v/>
      </c>
      <c r="AC101">
        <f>HYPERLINK("https://klasma.github.io/Logging_2303/tillsyn/A 12268-2024 tillsynsbegäran.docx", "A 12268-2024")</f>
        <v/>
      </c>
      <c r="AD101">
        <f>HYPERLINK("https://klasma.github.io/Logging_2303/tillsynsmail/A 12268-2024 tillsynsbegäran mail.docx", "A 12268-2024")</f>
        <v/>
      </c>
    </row>
    <row r="102" ht="15" customHeight="1">
      <c r="A102" t="inlineStr">
        <is>
          <t>A 30884-2025</t>
        </is>
      </c>
      <c r="B102" t="inlineStr">
        <is>
          <t>avverkningsanmälan</t>
        </is>
      </c>
      <c r="C102" t="inlineStr">
        <is>
          <t>Föryngringsavverkning</t>
        </is>
      </c>
      <c r="D102" s="1" t="n">
        <v>45832</v>
      </c>
      <c r="E102" s="1" t="n">
        <v>46319</v>
      </c>
      <c r="F102" t="inlineStr">
        <is>
          <t>JÄMTLANDS LÄN</t>
        </is>
      </c>
      <c r="G102" t="inlineStr">
        <is>
          <t>RAGUNDA</t>
        </is>
      </c>
      <c r="H102" t="inlineStr">
        <is>
          <t>SCA</t>
        </is>
      </c>
      <c r="I102" t="n">
        <v>5.7</v>
      </c>
      <c r="J102" t="n">
        <v>0</v>
      </c>
      <c r="K102" t="n">
        <v>1</v>
      </c>
      <c r="L102" t="n">
        <v>3</v>
      </c>
      <c r="M102" t="n">
        <v>1</v>
      </c>
      <c r="N102" t="n">
        <v>0</v>
      </c>
      <c r="O102" t="n">
        <v>0</v>
      </c>
      <c r="P102" t="n">
        <v>0</v>
      </c>
      <c r="Q102" t="n">
        <v>4</v>
      </c>
      <c r="R102" t="n">
        <v>1</v>
      </c>
      <c r="S102" t="n">
        <v>5</v>
      </c>
      <c r="T102" t="n">
        <v>7</v>
      </c>
      <c r="U102" t="n">
        <v>0</v>
      </c>
      <c r="V102" s="2" t="inlineStr">
        <is>
          <t>Garnlav
Rosenticka
Stjärntagging
Ullticka
Rödgul trumpetsvamp</t>
        </is>
      </c>
      <c r="W102">
        <f>HYPERLINK("https://klasma.github.io/Logging_2303/artfynd/A 30884-2025 artfynd.xlsx", "A 30884-2025")</f>
        <v/>
      </c>
      <c r="X102">
        <f>HYPERLINK("https://klasma.github.io/Logging_2303/kartor/A 30884-2025 karta.png", "A 30884-2025")</f>
        <v/>
      </c>
      <c r="Y102">
        <f>HYPERLINK("https://klasma.github.io/Logging_2303/kartor_geotiff/A 30884-2025 georefererad karta.tif", "A 30884-2025")</f>
        <v/>
      </c>
      <c r="AA102">
        <f>HYPERLINK("https://klasma.github.io/Logging_2303/klagomål/A 30884-2025 FSC-klagomål.docx", "A 30884-2025")</f>
        <v/>
      </c>
      <c r="AB102">
        <f>HYPERLINK("https://klasma.github.io/Logging_2303/klagomålsmail/A 30884-2025 FSC-klagomål mail.docx", "A 30884-2025")</f>
        <v/>
      </c>
      <c r="AC102">
        <f>HYPERLINK("https://klasma.github.io/Logging_2303/tillsyn/A 30884-2025 tillsynsbegäran.docx", "A 30884-2025")</f>
        <v/>
      </c>
      <c r="AD102">
        <f>HYPERLINK("https://klasma.github.io/Logging_2303/tillsynsmail/A 30884-2025 tillsynsbegäran mail.docx", "A 30884-2025")</f>
        <v/>
      </c>
    </row>
    <row r="103" ht="15" customHeight="1">
      <c r="A103" t="inlineStr">
        <is>
          <t>A 31960-2025</t>
        </is>
      </c>
      <c r="B103" t="inlineStr">
        <is>
          <t>avverkningsanmälan</t>
        </is>
      </c>
      <c r="C103" t="inlineStr">
        <is>
          <t>Föryngringsavverkning</t>
        </is>
      </c>
      <c r="D103" s="1" t="n">
        <v>45835</v>
      </c>
      <c r="E103" s="1" t="n">
        <v>46319</v>
      </c>
      <c r="F103" t="inlineStr">
        <is>
          <t>JÄMTLANDS LÄN</t>
        </is>
      </c>
      <c r="G103" t="inlineStr">
        <is>
          <t>RAGUNDA</t>
        </is>
      </c>
      <c r="H103" t="inlineStr">
        <is>
          <t>SCA</t>
        </is>
      </c>
      <c r="I103" t="n">
        <v>1.6</v>
      </c>
      <c r="J103" t="n">
        <v>0</v>
      </c>
      <c r="K103" t="n">
        <v>0</v>
      </c>
      <c r="L103" t="n">
        <v>4</v>
      </c>
      <c r="M103" t="n">
        <v>1</v>
      </c>
      <c r="N103" t="n">
        <v>0</v>
      </c>
      <c r="O103" t="n">
        <v>0</v>
      </c>
      <c r="P103" t="n">
        <v>0</v>
      </c>
      <c r="Q103" t="n">
        <v>5</v>
      </c>
      <c r="R103" t="n">
        <v>1</v>
      </c>
      <c r="S103" t="n">
        <v>5</v>
      </c>
      <c r="T103" t="n">
        <v>12</v>
      </c>
      <c r="U103" t="n">
        <v>11</v>
      </c>
      <c r="V103" s="2" t="inlineStr">
        <is>
          <t>Garnlav
Gammelgransskål
Liten svartspik
Lunglav
Vitgrynig nållav</t>
        </is>
      </c>
      <c r="W103">
        <f>HYPERLINK("https://klasma.github.io/Logging_2303/artfynd/A 31960-2025 artfynd.xlsx", "A 31960-2025")</f>
        <v/>
      </c>
      <c r="X103">
        <f>HYPERLINK("https://klasma.github.io/Logging_2303/kartor/A 31960-2025 karta.png", "A 31960-2025")</f>
        <v/>
      </c>
      <c r="Y103">
        <f>HYPERLINK("https://klasma.github.io/Logging_2303/kartor_geotiff/A 31960-2025 georefererad karta.tif", "A 31960-2025")</f>
        <v/>
      </c>
      <c r="AA103">
        <f>HYPERLINK("https://klasma.github.io/Logging_2303/klagomål/A 31960-2025 FSC-klagomål.docx", "A 31960-2025")</f>
        <v/>
      </c>
      <c r="AB103">
        <f>HYPERLINK("https://klasma.github.io/Logging_2303/klagomålsmail/A 31960-2025 FSC-klagomål mail.docx", "A 31960-2025")</f>
        <v/>
      </c>
      <c r="AC103">
        <f>HYPERLINK("https://klasma.github.io/Logging_2303/tillsyn/A 31960-2025 tillsynsbegäran.docx", "A 31960-2025")</f>
        <v/>
      </c>
      <c r="AD103">
        <f>HYPERLINK("https://klasma.github.io/Logging_2303/tillsynsmail/A 31960-2025 tillsynsbegäran mail.docx", "A 31960-2025")</f>
        <v/>
      </c>
    </row>
    <row r="104" ht="15" customHeight="1">
      <c r="A104" t="inlineStr">
        <is>
          <t>A 11544-2024</t>
        </is>
      </c>
      <c r="B104" t="inlineStr">
        <is>
          <t>avverkningsanmälan</t>
        </is>
      </c>
      <c r="C104" t="inlineStr">
        <is>
          <t>Föryngringsavverkning</t>
        </is>
      </c>
      <c r="D104" s="1" t="n">
        <v>45372</v>
      </c>
      <c r="E104" s="1" t="n">
        <v>46319</v>
      </c>
      <c r="F104" t="inlineStr">
        <is>
          <t>JÄMTLANDS LÄN</t>
        </is>
      </c>
      <c r="G104" t="inlineStr">
        <is>
          <t>RAGUNDA</t>
        </is>
      </c>
      <c r="H104" t="inlineStr">
        <is>
          <t>SCA</t>
        </is>
      </c>
      <c r="I104" t="n">
        <v>15.5</v>
      </c>
      <c r="J104" t="n">
        <v>1</v>
      </c>
      <c r="K104" t="n">
        <v>2</v>
      </c>
      <c r="L104" t="n">
        <v>3</v>
      </c>
      <c r="M104" t="n">
        <v>0</v>
      </c>
      <c r="N104" t="n">
        <v>0</v>
      </c>
      <c r="O104" t="n">
        <v>0</v>
      </c>
      <c r="P104" t="n">
        <v>0</v>
      </c>
      <c r="Q104" t="n">
        <v>3</v>
      </c>
      <c r="R104" t="n">
        <v>0</v>
      </c>
      <c r="S104" t="n">
        <v>5</v>
      </c>
      <c r="T104" t="n">
        <v>6</v>
      </c>
      <c r="U104" t="n">
        <v>0</v>
      </c>
      <c r="V104" s="2" t="inlineStr">
        <is>
          <t>Kolflarnlav
Mörk kolflarnlav
Rosenticka
Källmossor
Spindelblomster</t>
        </is>
      </c>
      <c r="W104">
        <f>HYPERLINK("https://klasma.github.io/Logging_2303/artfynd/A 11544-2024 artfynd.xlsx", "A 11544-2024")</f>
        <v/>
      </c>
      <c r="X104">
        <f>HYPERLINK("https://klasma.github.io/Logging_2303/kartor/A 11544-2024 karta.png", "A 11544-2024")</f>
        <v/>
      </c>
      <c r="Y104">
        <f>HYPERLINK("https://klasma.github.io/Logging_2303/kartor_geotiff/A 11544-2024 georefererad karta.tif", "A 11544-2024")</f>
        <v/>
      </c>
      <c r="AA104">
        <f>HYPERLINK("https://klasma.github.io/Logging_2303/klagomål/A 11544-2024 FSC-klagomål.docx", "A 11544-2024")</f>
        <v/>
      </c>
      <c r="AB104">
        <f>HYPERLINK("https://klasma.github.io/Logging_2303/klagomålsmail/A 11544-2024 FSC-klagomål mail.docx", "A 11544-2024")</f>
        <v/>
      </c>
      <c r="AC104">
        <f>HYPERLINK("https://klasma.github.io/Logging_2303/tillsyn/A 11544-2024 tillsynsbegäran.docx", "A 11544-2024")</f>
        <v/>
      </c>
      <c r="AD104">
        <f>HYPERLINK("https://klasma.github.io/Logging_2303/tillsynsmail/A 11544-2024 tillsynsbegäran mail.docx", "A 11544-2024")</f>
        <v/>
      </c>
    </row>
    <row r="105" ht="15" customHeight="1">
      <c r="A105" t="inlineStr">
        <is>
          <t>A 32067-2024</t>
        </is>
      </c>
      <c r="B105" t="inlineStr">
        <is>
          <t>avverkningsanmälan</t>
        </is>
      </c>
      <c r="C105" t="inlineStr">
        <is>
          <t>Avverkning för att bevara och utveckla /försöksver</t>
        </is>
      </c>
      <c r="D105" s="1" t="n">
        <v>45510</v>
      </c>
      <c r="E105" s="1" t="n">
        <v>46319</v>
      </c>
      <c r="F105" t="inlineStr">
        <is>
          <t>JÄMTLANDS LÄN</t>
        </is>
      </c>
      <c r="G105" t="inlineStr">
        <is>
          <t>RAGUNDA</t>
        </is>
      </c>
      <c r="H105" t="inlineStr">
        <is>
          <t>SCA</t>
        </is>
      </c>
      <c r="I105" t="n">
        <v>4.1</v>
      </c>
      <c r="J105" t="n">
        <v>0</v>
      </c>
      <c r="K105" t="n">
        <v>2</v>
      </c>
      <c r="L105" t="n">
        <v>3</v>
      </c>
      <c r="M105" t="n">
        <v>0</v>
      </c>
      <c r="N105" t="n">
        <v>0</v>
      </c>
      <c r="O105" t="n">
        <v>0</v>
      </c>
      <c r="P105" t="n">
        <v>0</v>
      </c>
      <c r="Q105" t="n">
        <v>3</v>
      </c>
      <c r="R105" t="n">
        <v>0</v>
      </c>
      <c r="S105" t="n">
        <v>5</v>
      </c>
      <c r="T105" t="n">
        <v>9</v>
      </c>
      <c r="U105" t="n">
        <v>0</v>
      </c>
      <c r="V105" s="2" t="inlineStr">
        <is>
          <t>Ullticka
Vedflikmossa
Vedtrappmossa
Stor aspticka
Vedticka</t>
        </is>
      </c>
      <c r="W105">
        <f>HYPERLINK("https://klasma.github.io/Logging_2303/artfynd/A 32067-2024 artfynd.xlsx", "A 32067-2024")</f>
        <v/>
      </c>
      <c r="X105">
        <f>HYPERLINK("https://klasma.github.io/Logging_2303/kartor/A 32067-2024 karta.png", "A 32067-2024")</f>
        <v/>
      </c>
      <c r="Y105">
        <f>HYPERLINK("https://klasma.github.io/Logging_2303/kartor_geotiff/A 32067-2024 georefererad karta.tif", "A 32067-2024")</f>
        <v/>
      </c>
      <c r="Z105">
        <f>HYPERLINK("https://klasma.github.io/Logging_2303/knärot/A 32067-2024 karta knärot.png", "A 32067-2024")</f>
        <v/>
      </c>
      <c r="AA105">
        <f>HYPERLINK("https://klasma.github.io/Logging_2303/klagomål/A 32067-2024 FSC-klagomål.docx", "A 32067-2024")</f>
        <v/>
      </c>
      <c r="AB105">
        <f>HYPERLINK("https://klasma.github.io/Logging_2303/klagomålsmail/A 32067-2024 FSC-klagomål mail.docx", "A 32067-2024")</f>
        <v/>
      </c>
      <c r="AC105">
        <f>HYPERLINK("https://klasma.github.io/Logging_2303/tillsyn/A 32067-2024 tillsynsbegäran.docx", "A 32067-2024")</f>
        <v/>
      </c>
      <c r="AD105">
        <f>HYPERLINK("https://klasma.github.io/Logging_2303/tillsynsmail/A 32067-2024 tillsynsbegäran mail.docx", "A 32067-2024")</f>
        <v/>
      </c>
    </row>
    <row r="106" ht="15" customHeight="1">
      <c r="A106" t="inlineStr">
        <is>
          <t>A 38169-2024</t>
        </is>
      </c>
      <c r="B106" t="inlineStr">
        <is>
          <t>avverkningsanmälan</t>
        </is>
      </c>
      <c r="C106" t="inlineStr">
        <is>
          <t>Föryngringsavverkning</t>
        </is>
      </c>
      <c r="D106" s="1" t="n">
        <v>45545</v>
      </c>
      <c r="E106" s="1" t="n">
        <v>46319</v>
      </c>
      <c r="F106" t="inlineStr">
        <is>
          <t>JÄMTLANDS LÄN</t>
        </is>
      </c>
      <c r="G106" t="inlineStr">
        <is>
          <t>RAGUNDA</t>
        </is>
      </c>
      <c r="I106" t="n">
        <v>7.5</v>
      </c>
      <c r="J106" t="n">
        <v>2</v>
      </c>
      <c r="K106" t="n">
        <v>0</v>
      </c>
      <c r="L106" t="n">
        <v>4</v>
      </c>
      <c r="M106" t="n">
        <v>1</v>
      </c>
      <c r="N106" t="n">
        <v>0</v>
      </c>
      <c r="O106" t="n">
        <v>0</v>
      </c>
      <c r="P106" t="n">
        <v>0</v>
      </c>
      <c r="Q106" t="n">
        <v>5</v>
      </c>
      <c r="R106" t="n">
        <v>1</v>
      </c>
      <c r="S106" t="n">
        <v>5</v>
      </c>
      <c r="T106" t="n">
        <v>22</v>
      </c>
      <c r="U106" t="n">
        <v>22</v>
      </c>
      <c r="V106" s="2" t="inlineStr">
        <is>
          <t>Garnlav
Lunglav
Skrovellav
Talltita
Tretåig hackspett</t>
        </is>
      </c>
      <c r="W106">
        <f>HYPERLINK("https://klasma.github.io/Logging_2303/artfynd/A 38169-2024 artfynd.xlsx", "A 38169-2024")</f>
        <v/>
      </c>
      <c r="X106">
        <f>HYPERLINK("https://klasma.github.io/Logging_2303/kartor/A 38169-2024 karta.png", "A 38169-2024")</f>
        <v/>
      </c>
      <c r="Y106">
        <f>HYPERLINK("https://klasma.github.io/Logging_2303/kartor_geotiff/A 38169-2024 georefererad karta.tif", "A 38169-2024")</f>
        <v/>
      </c>
      <c r="AA106">
        <f>HYPERLINK("https://klasma.github.io/Logging_2303/klagomål/A 38169-2024 FSC-klagomål.docx", "A 38169-2024")</f>
        <v/>
      </c>
      <c r="AB106">
        <f>HYPERLINK("https://klasma.github.io/Logging_2303/klagomålsmail/A 38169-2024 FSC-klagomål mail.docx", "A 38169-2024")</f>
        <v/>
      </c>
      <c r="AC106">
        <f>HYPERLINK("https://klasma.github.io/Logging_2303/tillsyn/A 38169-2024 tillsynsbegäran.docx", "A 38169-2024")</f>
        <v/>
      </c>
      <c r="AD106">
        <f>HYPERLINK("https://klasma.github.io/Logging_2303/tillsynsmail/A 38169-2024 tillsynsbegäran mail.docx", "A 38169-2024")</f>
        <v/>
      </c>
      <c r="AE106">
        <f>HYPERLINK("https://klasma.github.io/Logging_2303/fåglar/A 38169-2024 prioriterade fågelarter.docx", "A 38169-2024")</f>
        <v/>
      </c>
    </row>
    <row r="107" ht="15" customHeight="1">
      <c r="A107" t="inlineStr">
        <is>
          <t>A 15836-2024</t>
        </is>
      </c>
      <c r="B107" t="inlineStr">
        <is>
          <t>avverkningsanmälan</t>
        </is>
      </c>
      <c r="C107" t="inlineStr">
        <is>
          <t>Föryngringsavverkning</t>
        </is>
      </c>
      <c r="D107" s="1" t="n">
        <v>45404</v>
      </c>
      <c r="E107" s="1" t="n">
        <v>46319</v>
      </c>
      <c r="F107" t="inlineStr">
        <is>
          <t>JÄMTLANDS LÄN</t>
        </is>
      </c>
      <c r="G107" t="inlineStr">
        <is>
          <t>RAGUNDA</t>
        </is>
      </c>
      <c r="H107" t="inlineStr">
        <is>
          <t>Kommuner</t>
        </is>
      </c>
      <c r="I107" t="n">
        <v>3.1</v>
      </c>
      <c r="J107" t="n">
        <v>0</v>
      </c>
      <c r="K107" t="n">
        <v>3</v>
      </c>
      <c r="L107" t="n">
        <v>1</v>
      </c>
      <c r="M107" t="n">
        <v>0</v>
      </c>
      <c r="N107" t="n">
        <v>1</v>
      </c>
      <c r="O107" t="n">
        <v>0</v>
      </c>
      <c r="P107" t="n">
        <v>0</v>
      </c>
      <c r="Q107" t="n">
        <v>2</v>
      </c>
      <c r="R107" t="n">
        <v>1</v>
      </c>
      <c r="S107" t="n">
        <v>5</v>
      </c>
      <c r="T107" t="n">
        <v>15</v>
      </c>
      <c r="U107" t="n">
        <v>15</v>
      </c>
      <c r="V107" s="2" t="inlineStr">
        <is>
          <t>Trolldruvemätare
Lunglav
Stor aspticka
Större aspvedbock
Svart trolldruva</t>
        </is>
      </c>
      <c r="W107">
        <f>HYPERLINK("https://klasma.github.io/Logging_2303/artfynd/A 15836-2024 artfynd.xlsx", "A 15836-2024")</f>
        <v/>
      </c>
      <c r="X107">
        <f>HYPERLINK("https://klasma.github.io/Logging_2303/kartor/A 15836-2024 karta.png", "A 15836-2024")</f>
        <v/>
      </c>
      <c r="Y107">
        <f>HYPERLINK("https://klasma.github.io/Logging_2303/kartor_geotiff/A 15836-2024 georefererad karta.tif", "A 15836-2024")</f>
        <v/>
      </c>
      <c r="AA107">
        <f>HYPERLINK("https://klasma.github.io/Logging_2303/klagomål/A 15836-2024 FSC-klagomål.docx", "A 15836-2024")</f>
        <v/>
      </c>
      <c r="AB107">
        <f>HYPERLINK("https://klasma.github.io/Logging_2303/klagomålsmail/A 15836-2024 FSC-klagomål mail.docx", "A 15836-2024")</f>
        <v/>
      </c>
      <c r="AC107">
        <f>HYPERLINK("https://klasma.github.io/Logging_2303/tillsyn/A 15836-2024 tillsynsbegäran.docx", "A 15836-2024")</f>
        <v/>
      </c>
      <c r="AD107">
        <f>HYPERLINK("https://klasma.github.io/Logging_2303/tillsynsmail/A 15836-2024 tillsynsbegäran mail.docx", "A 15836-2024")</f>
        <v/>
      </c>
    </row>
    <row r="108" ht="15" customHeight="1">
      <c r="A108" t="inlineStr">
        <is>
          <t>A 50342-2025</t>
        </is>
      </c>
      <c r="B108" t="inlineStr">
        <is>
          <t>avverkningsanmälan</t>
        </is>
      </c>
      <c r="C108" t="inlineStr">
        <is>
          <t>Föryngringsavverkning</t>
        </is>
      </c>
      <c r="D108" s="1" t="n">
        <v>45944</v>
      </c>
      <c r="E108" s="1" t="n">
        <v>46319</v>
      </c>
      <c r="F108" t="inlineStr">
        <is>
          <t>JÄMTLANDS LÄN</t>
        </is>
      </c>
      <c r="G108" t="inlineStr">
        <is>
          <t>RAGUNDA</t>
        </is>
      </c>
      <c r="H108" t="inlineStr">
        <is>
          <t>SCA</t>
        </is>
      </c>
      <c r="I108" t="n">
        <v>20.7</v>
      </c>
      <c r="J108" t="n">
        <v>3</v>
      </c>
      <c r="K108" t="n">
        <v>1</v>
      </c>
      <c r="L108" t="n">
        <v>2</v>
      </c>
      <c r="M108" t="n">
        <v>1</v>
      </c>
      <c r="N108" t="n">
        <v>0</v>
      </c>
      <c r="O108" t="n">
        <v>0</v>
      </c>
      <c r="P108" t="n">
        <v>0</v>
      </c>
      <c r="Q108" t="n">
        <v>3</v>
      </c>
      <c r="R108" t="n">
        <v>1</v>
      </c>
      <c r="S108" t="n">
        <v>5</v>
      </c>
      <c r="T108" t="n">
        <v>48</v>
      </c>
      <c r="U108" t="n">
        <v>0</v>
      </c>
      <c r="V108" s="2" t="inlineStr">
        <is>
          <t>Garnlav
Lavskrika
Tretåig hackspett
Trådticka
Spillkråka</t>
        </is>
      </c>
      <c r="W108">
        <f>HYPERLINK("https://klasma.github.io/Logging_2303/artfynd/A 50342-2025 artfynd.xlsx", "A 50342-2025")</f>
        <v/>
      </c>
      <c r="X108">
        <f>HYPERLINK("https://klasma.github.io/Logging_2303/kartor/A 50342-2025 karta.png", "A 50342-2025")</f>
        <v/>
      </c>
      <c r="Y108">
        <f>HYPERLINK("https://klasma.github.io/Logging_2303/kartor_geotiff/A 50342-2025 georefererad karta.tif", "A 50342-2025")</f>
        <v/>
      </c>
      <c r="AA108">
        <f>HYPERLINK("https://klasma.github.io/Logging_2303/klagomål/A 50342-2025 FSC-klagomål.docx", "A 50342-2025")</f>
        <v/>
      </c>
      <c r="AB108">
        <f>HYPERLINK("https://klasma.github.io/Logging_2303/klagomålsmail/A 50342-2025 FSC-klagomål mail.docx", "A 50342-2025")</f>
        <v/>
      </c>
      <c r="AC108">
        <f>HYPERLINK("https://klasma.github.io/Logging_2303/tillsyn/A 50342-2025 tillsynsbegäran.docx", "A 50342-2025")</f>
        <v/>
      </c>
      <c r="AD108">
        <f>HYPERLINK("https://klasma.github.io/Logging_2303/tillsynsmail/A 50342-2025 tillsynsbegäran mail.docx", "A 50342-2025")</f>
        <v/>
      </c>
      <c r="AE108">
        <f>HYPERLINK("https://klasma.github.io/Logging_2303/fåglar/A 50342-2025 prioriterade fågelarter.docx", "A 50342-2025")</f>
        <v/>
      </c>
    </row>
    <row r="109" ht="15" customHeight="1">
      <c r="A109" t="inlineStr">
        <is>
          <t>A 18629-2024</t>
        </is>
      </c>
      <c r="B109" t="inlineStr">
        <is>
          <t>avverkningsanmälan</t>
        </is>
      </c>
      <c r="C109" t="inlineStr">
        <is>
          <t>Föryngringsavverkning</t>
        </is>
      </c>
      <c r="D109" s="1" t="n">
        <v>45425</v>
      </c>
      <c r="E109" s="1" t="n">
        <v>46319</v>
      </c>
      <c r="F109" t="inlineStr">
        <is>
          <t>JÄMTLANDS LÄN</t>
        </is>
      </c>
      <c r="G109" t="inlineStr">
        <is>
          <t>RAGUNDA</t>
        </is>
      </c>
      <c r="H109" t="inlineStr">
        <is>
          <t>SCA</t>
        </is>
      </c>
      <c r="I109" t="n">
        <v>1.6</v>
      </c>
      <c r="J109" t="n">
        <v>2</v>
      </c>
      <c r="K109" t="n">
        <v>1</v>
      </c>
      <c r="L109" t="n">
        <v>2</v>
      </c>
      <c r="M109" t="n">
        <v>1</v>
      </c>
      <c r="N109" t="n">
        <v>0</v>
      </c>
      <c r="O109" t="n">
        <v>0</v>
      </c>
      <c r="P109" t="n">
        <v>0</v>
      </c>
      <c r="Q109" t="n">
        <v>3</v>
      </c>
      <c r="R109" t="n">
        <v>1</v>
      </c>
      <c r="S109" t="n">
        <v>5</v>
      </c>
      <c r="T109" t="n">
        <v>6</v>
      </c>
      <c r="U109" t="n">
        <v>6</v>
      </c>
      <c r="V109" s="2" t="inlineStr">
        <is>
          <t>Garnlav
Lunglav
Tretåig hackspett
Stuplav
Fläcknycklar</t>
        </is>
      </c>
      <c r="W109">
        <f>HYPERLINK("https://klasma.github.io/Logging_2303/artfynd/A 18629-2024 artfynd.xlsx", "A 18629-2024")</f>
        <v/>
      </c>
      <c r="X109">
        <f>HYPERLINK("https://klasma.github.io/Logging_2303/kartor/A 18629-2024 karta.png", "A 18629-2024")</f>
        <v/>
      </c>
      <c r="Y109">
        <f>HYPERLINK("https://klasma.github.io/Logging_2303/kartor_geotiff/A 18629-2024 georefererad karta.tif", "A 18629-2024")</f>
        <v/>
      </c>
      <c r="AA109">
        <f>HYPERLINK("https://klasma.github.io/Logging_2303/klagomål/A 18629-2024 FSC-klagomål.docx", "A 18629-2024")</f>
        <v/>
      </c>
      <c r="AB109">
        <f>HYPERLINK("https://klasma.github.io/Logging_2303/klagomålsmail/A 18629-2024 FSC-klagomål mail.docx", "A 18629-2024")</f>
        <v/>
      </c>
      <c r="AC109">
        <f>HYPERLINK("https://klasma.github.io/Logging_2303/tillsyn/A 18629-2024 tillsynsbegäran.docx", "A 18629-2024")</f>
        <v/>
      </c>
      <c r="AD109">
        <f>HYPERLINK("https://klasma.github.io/Logging_2303/tillsynsmail/A 18629-2024 tillsynsbegäran mail.docx", "A 18629-2024")</f>
        <v/>
      </c>
      <c r="AE109">
        <f>HYPERLINK("https://klasma.github.io/Logging_2303/fåglar/A 18629-2024 prioriterade fågelarter.docx", "A 18629-2024")</f>
        <v/>
      </c>
    </row>
    <row r="110" ht="15" customHeight="1">
      <c r="A110" t="inlineStr">
        <is>
          <t>A 27313-2024</t>
        </is>
      </c>
      <c r="B110" t="inlineStr">
        <is>
          <t>avverkningsanmälan</t>
        </is>
      </c>
      <c r="C110" t="inlineStr">
        <is>
          <t>Avverkning för att bevara och utveckla /försöksver</t>
        </is>
      </c>
      <c r="D110" s="1" t="n">
        <v>45471</v>
      </c>
      <c r="E110" s="1" t="n">
        <v>46319</v>
      </c>
      <c r="F110" t="inlineStr">
        <is>
          <t>JÄMTLANDS LÄN</t>
        </is>
      </c>
      <c r="G110" t="inlineStr">
        <is>
          <t>RAGUNDA</t>
        </is>
      </c>
      <c r="I110" t="n">
        <v>2.1</v>
      </c>
      <c r="J110" t="n">
        <v>2</v>
      </c>
      <c r="K110" t="n">
        <v>0</v>
      </c>
      <c r="L110" t="n">
        <v>2</v>
      </c>
      <c r="M110" t="n">
        <v>2</v>
      </c>
      <c r="N110" t="n">
        <v>0</v>
      </c>
      <c r="O110" t="n">
        <v>0</v>
      </c>
      <c r="P110" t="n">
        <v>0</v>
      </c>
      <c r="Q110" t="n">
        <v>4</v>
      </c>
      <c r="R110" t="n">
        <v>2</v>
      </c>
      <c r="S110" t="n">
        <v>5</v>
      </c>
      <c r="T110" t="n">
        <v>5</v>
      </c>
      <c r="U110" t="n">
        <v>0</v>
      </c>
      <c r="V110" s="2" t="inlineStr">
        <is>
          <t>Garnlav
Knärot
Gammelgransskål
Lunglav
Nattviol</t>
        </is>
      </c>
      <c r="W110">
        <f>HYPERLINK("https://klasma.github.io/Logging_2303/artfynd/A 27313-2024 artfynd.xlsx", "A 27313-2024")</f>
        <v/>
      </c>
      <c r="X110">
        <f>HYPERLINK("https://klasma.github.io/Logging_2303/kartor/A 27313-2024 karta.png", "A 27313-2024")</f>
        <v/>
      </c>
      <c r="Y110">
        <f>HYPERLINK("https://klasma.github.io/Logging_2303/kartor_geotiff/A 27313-2024 georefererad karta.tif", "A 27313-2024")</f>
        <v/>
      </c>
      <c r="Z110">
        <f>HYPERLINK("https://klasma.github.io/Logging_2303/knärot/A 27313-2024 karta knärot.png", "A 27313-2024")</f>
        <v/>
      </c>
      <c r="AA110">
        <f>HYPERLINK("https://klasma.github.io/Logging_2303/klagomål/A 27313-2024 FSC-klagomål.docx", "A 27313-2024")</f>
        <v/>
      </c>
      <c r="AB110">
        <f>HYPERLINK("https://klasma.github.io/Logging_2303/klagomålsmail/A 27313-2024 FSC-klagomål mail.docx", "A 27313-2024")</f>
        <v/>
      </c>
      <c r="AC110">
        <f>HYPERLINK("https://klasma.github.io/Logging_2303/tillsyn/A 27313-2024 tillsynsbegäran.docx", "A 27313-2024")</f>
        <v/>
      </c>
      <c r="AD110">
        <f>HYPERLINK("https://klasma.github.io/Logging_2303/tillsynsmail/A 27313-2024 tillsynsbegäran mail.docx", "A 27313-2024")</f>
        <v/>
      </c>
    </row>
    <row r="111" ht="15" customHeight="1">
      <c r="A111" t="inlineStr">
        <is>
          <t>A 41693-2023</t>
        </is>
      </c>
      <c r="B111" t="inlineStr">
        <is>
          <t>avverkningsanmälan</t>
        </is>
      </c>
      <c r="C111" t="inlineStr">
        <is>
          <t>Föryngringsavverkning</t>
        </is>
      </c>
      <c r="D111" s="1" t="n">
        <v>45176</v>
      </c>
      <c r="E111" s="1" t="n">
        <v>46319</v>
      </c>
      <c r="F111" t="inlineStr">
        <is>
          <t>JÄMTLANDS LÄN</t>
        </is>
      </c>
      <c r="G111" t="inlineStr">
        <is>
          <t>RAGUNDA</t>
        </is>
      </c>
      <c r="I111" t="n">
        <v>5.5</v>
      </c>
      <c r="J111" t="n">
        <v>0</v>
      </c>
      <c r="K111" t="n">
        <v>2</v>
      </c>
      <c r="L111" t="n">
        <v>3</v>
      </c>
      <c r="M111" t="n">
        <v>0</v>
      </c>
      <c r="N111" t="n">
        <v>0</v>
      </c>
      <c r="O111" t="n">
        <v>0</v>
      </c>
      <c r="P111" t="n">
        <v>0</v>
      </c>
      <c r="Q111" t="n">
        <v>3</v>
      </c>
      <c r="R111" t="n">
        <v>0</v>
      </c>
      <c r="S111" t="n">
        <v>5</v>
      </c>
      <c r="T111" t="n">
        <v>5</v>
      </c>
      <c r="U111" t="n">
        <v>0</v>
      </c>
      <c r="V111" s="2" t="inlineStr">
        <is>
          <t>Lunglav
Rosenticka
Vitgrynig nållav
Luddlav
Stor aspticka</t>
        </is>
      </c>
      <c r="W111">
        <f>HYPERLINK("https://klasma.github.io/Logging_2303/artfynd/A 41693-2023 artfynd.xlsx", "A 41693-2023")</f>
        <v/>
      </c>
      <c r="X111">
        <f>HYPERLINK("https://klasma.github.io/Logging_2303/kartor/A 41693-2023 karta.png", "A 41693-2023")</f>
        <v/>
      </c>
      <c r="Y111">
        <f>HYPERLINK("https://klasma.github.io/Logging_2303/kartor_geotiff/A 41693-2023 georefererad karta.tif", "A 41693-2023")</f>
        <v/>
      </c>
      <c r="AA111">
        <f>HYPERLINK("https://klasma.github.io/Logging_2303/klagomål/A 41693-2023 FSC-klagomål.docx", "A 41693-2023")</f>
        <v/>
      </c>
      <c r="AB111">
        <f>HYPERLINK("https://klasma.github.io/Logging_2303/klagomålsmail/A 41693-2023 FSC-klagomål mail.docx", "A 41693-2023")</f>
        <v/>
      </c>
      <c r="AC111">
        <f>HYPERLINK("https://klasma.github.io/Logging_2303/tillsyn/A 41693-2023 tillsynsbegäran.docx", "A 41693-2023")</f>
        <v/>
      </c>
      <c r="AD111">
        <f>HYPERLINK("https://klasma.github.io/Logging_2303/tillsynsmail/A 41693-2023 tillsynsbegäran mail.docx", "A 41693-2023")</f>
        <v/>
      </c>
    </row>
    <row r="112" ht="15" customHeight="1">
      <c r="A112" t="inlineStr">
        <is>
          <t>A 17340-2023</t>
        </is>
      </c>
      <c r="B112" t="inlineStr">
        <is>
          <t>avverkningsanmälan</t>
        </is>
      </c>
      <c r="C112" t="inlineStr">
        <is>
          <t>Avverkning för annat ändamål</t>
        </is>
      </c>
      <c r="D112" s="1" t="n">
        <v>45033</v>
      </c>
      <c r="E112" s="1" t="n">
        <v>46319</v>
      </c>
      <c r="F112" t="inlineStr">
        <is>
          <t>JÄMTLANDS LÄN</t>
        </is>
      </c>
      <c r="G112" t="inlineStr">
        <is>
          <t>RAGUNDA</t>
        </is>
      </c>
      <c r="I112" t="n">
        <v>1.6</v>
      </c>
      <c r="J112" t="n">
        <v>2</v>
      </c>
      <c r="K112" t="n">
        <v>0</v>
      </c>
      <c r="L112" t="n">
        <v>3</v>
      </c>
      <c r="M112" t="n">
        <v>1</v>
      </c>
      <c r="N112" t="n">
        <v>0</v>
      </c>
      <c r="O112" t="n">
        <v>0</v>
      </c>
      <c r="P112" t="n">
        <v>0</v>
      </c>
      <c r="Q112" t="n">
        <v>4</v>
      </c>
      <c r="R112" t="n">
        <v>1</v>
      </c>
      <c r="S112" t="n">
        <v>5</v>
      </c>
      <c r="T112" t="n">
        <v>5</v>
      </c>
      <c r="U112" t="n">
        <v>2</v>
      </c>
      <c r="V112" s="2" t="inlineStr">
        <is>
          <t>Knärot
Lunglav
Ullticka
Vedtrappmossa
Tjäder</t>
        </is>
      </c>
      <c r="W112">
        <f>HYPERLINK("https://klasma.github.io/Logging_2303/artfynd/A 17340-2023 artfynd.xlsx", "A 17340-2023")</f>
        <v/>
      </c>
      <c r="X112">
        <f>HYPERLINK("https://klasma.github.io/Logging_2303/kartor/A 17340-2023 karta.png", "A 17340-2023")</f>
        <v/>
      </c>
      <c r="Y112">
        <f>HYPERLINK("https://klasma.github.io/Logging_2303/kartor_geotiff/A 17340-2023 georefererad karta.tif", "A 17340-2023")</f>
        <v/>
      </c>
      <c r="Z112">
        <f>HYPERLINK("https://klasma.github.io/Logging_2303/knärot/A 17340-2023 karta knärot.png", "A 17340-2023")</f>
        <v/>
      </c>
      <c r="AA112">
        <f>HYPERLINK("https://klasma.github.io/Logging_2303/klagomål/A 17340-2023 FSC-klagomål.docx", "A 17340-2023")</f>
        <v/>
      </c>
      <c r="AB112">
        <f>HYPERLINK("https://klasma.github.io/Logging_2303/klagomålsmail/A 17340-2023 FSC-klagomål mail.docx", "A 17340-2023")</f>
        <v/>
      </c>
      <c r="AC112">
        <f>HYPERLINK("https://klasma.github.io/Logging_2303/tillsyn/A 17340-2023 tillsynsbegäran.docx", "A 17340-2023")</f>
        <v/>
      </c>
      <c r="AD112">
        <f>HYPERLINK("https://klasma.github.io/Logging_2303/tillsynsmail/A 17340-2023 tillsynsbegäran mail.docx", "A 17340-2023")</f>
        <v/>
      </c>
      <c r="AE112">
        <f>HYPERLINK("https://klasma.github.io/Logging_2303/fåglar/A 17340-2023 prioriterade fågelarter.docx", "A 17340-2023")</f>
        <v/>
      </c>
    </row>
    <row r="113" ht="15" customHeight="1">
      <c r="A113" t="inlineStr">
        <is>
          <t>A 32736-2023</t>
        </is>
      </c>
      <c r="B113" t="inlineStr">
        <is>
          <t>avverkningsanmälan</t>
        </is>
      </c>
      <c r="C113" t="inlineStr">
        <is>
          <t>Avverkning för att bevara och utveckla /försöksver</t>
        </is>
      </c>
      <c r="D113" s="1" t="n">
        <v>45121</v>
      </c>
      <c r="E113" s="1" t="n">
        <v>46319</v>
      </c>
      <c r="F113" t="inlineStr">
        <is>
          <t>JÄMTLANDS LÄN</t>
        </is>
      </c>
      <c r="G113" t="inlineStr">
        <is>
          <t>RAGUNDA</t>
        </is>
      </c>
      <c r="H113" t="inlineStr">
        <is>
          <t>SCA</t>
        </is>
      </c>
      <c r="I113" t="n">
        <v>2.5</v>
      </c>
      <c r="J113" t="n">
        <v>1</v>
      </c>
      <c r="K113" t="n">
        <v>1</v>
      </c>
      <c r="L113" t="n">
        <v>3</v>
      </c>
      <c r="M113" t="n">
        <v>1</v>
      </c>
      <c r="N113" t="n">
        <v>0</v>
      </c>
      <c r="O113" t="n">
        <v>0</v>
      </c>
      <c r="P113" t="n">
        <v>0</v>
      </c>
      <c r="Q113" t="n">
        <v>4</v>
      </c>
      <c r="R113" t="n">
        <v>1</v>
      </c>
      <c r="S113" t="n">
        <v>5</v>
      </c>
      <c r="T113" t="n">
        <v>5</v>
      </c>
      <c r="U113" t="n">
        <v>1</v>
      </c>
      <c r="V113" s="2" t="inlineStr">
        <is>
          <t>Knärot
Rynkskinn
Ullticka
Vedtrappmossa
Stor aspticka</t>
        </is>
      </c>
      <c r="W113">
        <f>HYPERLINK("https://klasma.github.io/Logging_2303/artfynd/A 32736-2023 artfynd.xlsx", "A 32736-2023")</f>
        <v/>
      </c>
      <c r="X113">
        <f>HYPERLINK("https://klasma.github.io/Logging_2303/kartor/A 32736-2023 karta.png", "A 32736-2023")</f>
        <v/>
      </c>
      <c r="Y113">
        <f>HYPERLINK("https://klasma.github.io/Logging_2303/kartor_geotiff/A 32736-2023 georefererad karta.tif", "A 32736-2023")</f>
        <v/>
      </c>
      <c r="Z113">
        <f>HYPERLINK("https://klasma.github.io/Logging_2303/knärot/A 32736-2023 karta knärot.png", "A 32736-2023")</f>
        <v/>
      </c>
      <c r="AA113">
        <f>HYPERLINK("https://klasma.github.io/Logging_2303/klagomål/A 32736-2023 FSC-klagomål.docx", "A 32736-2023")</f>
        <v/>
      </c>
      <c r="AB113">
        <f>HYPERLINK("https://klasma.github.io/Logging_2303/klagomålsmail/A 32736-2023 FSC-klagomål mail.docx", "A 32736-2023")</f>
        <v/>
      </c>
      <c r="AC113">
        <f>HYPERLINK("https://klasma.github.io/Logging_2303/tillsyn/A 32736-2023 tillsynsbegäran.docx", "A 32736-2023")</f>
        <v/>
      </c>
      <c r="AD113">
        <f>HYPERLINK("https://klasma.github.io/Logging_2303/tillsynsmail/A 32736-2023 tillsynsbegäran mail.docx", "A 32736-2023")</f>
        <v/>
      </c>
    </row>
    <row r="114" ht="15" customHeight="1">
      <c r="A114" t="inlineStr">
        <is>
          <t>A 52644-2024</t>
        </is>
      </c>
      <c r="B114" t="inlineStr">
        <is>
          <t>avverkningsanmälan</t>
        </is>
      </c>
      <c r="C114" t="inlineStr">
        <is>
          <t>Avverkning för att bevara och utveckla /försöksver</t>
        </is>
      </c>
      <c r="D114" s="1" t="n">
        <v>45610</v>
      </c>
      <c r="E114" s="1" t="n">
        <v>46319</v>
      </c>
      <c r="F114" t="inlineStr">
        <is>
          <t>JÄMTLANDS LÄN</t>
        </is>
      </c>
      <c r="G114" t="inlineStr">
        <is>
          <t>RAGUNDA</t>
        </is>
      </c>
      <c r="H114" t="inlineStr">
        <is>
          <t>SCA</t>
        </is>
      </c>
      <c r="I114" t="n">
        <v>6.6</v>
      </c>
      <c r="J114" t="n">
        <v>2</v>
      </c>
      <c r="K114" t="n">
        <v>1</v>
      </c>
      <c r="L114" t="n">
        <v>2</v>
      </c>
      <c r="M114" t="n">
        <v>2</v>
      </c>
      <c r="N114" t="n">
        <v>0</v>
      </c>
      <c r="O114" t="n">
        <v>0</v>
      </c>
      <c r="P114" t="n">
        <v>0</v>
      </c>
      <c r="Q114" t="n">
        <v>4</v>
      </c>
      <c r="R114" t="n">
        <v>2</v>
      </c>
      <c r="S114" t="n">
        <v>5</v>
      </c>
      <c r="T114" t="n">
        <v>6</v>
      </c>
      <c r="U114" t="n">
        <v>0</v>
      </c>
      <c r="V114" s="2" t="inlineStr">
        <is>
          <t>Doftticka
Garnlav
Gammelgransskål
Lunglav
Guckusko</t>
        </is>
      </c>
      <c r="W114">
        <f>HYPERLINK("https://klasma.github.io/Logging_2303/artfynd/A 52644-2024 artfynd.xlsx", "A 52644-2024")</f>
        <v/>
      </c>
      <c r="X114">
        <f>HYPERLINK("https://klasma.github.io/Logging_2303/kartor/A 52644-2024 karta.png", "A 52644-2024")</f>
        <v/>
      </c>
      <c r="Y114">
        <f>HYPERLINK("https://klasma.github.io/Logging_2303/kartor_geotiff/A 52644-2024 georefererad karta.tif", "A 52644-2024")</f>
        <v/>
      </c>
      <c r="AA114">
        <f>HYPERLINK("https://klasma.github.io/Logging_2303/klagomål/A 52644-2024 FSC-klagomål.docx", "A 52644-2024")</f>
        <v/>
      </c>
      <c r="AB114">
        <f>HYPERLINK("https://klasma.github.io/Logging_2303/klagomålsmail/A 52644-2024 FSC-klagomål mail.docx", "A 52644-2024")</f>
        <v/>
      </c>
      <c r="AC114">
        <f>HYPERLINK("https://klasma.github.io/Logging_2303/tillsyn/A 52644-2024 tillsynsbegäran.docx", "A 52644-2024")</f>
        <v/>
      </c>
      <c r="AD114">
        <f>HYPERLINK("https://klasma.github.io/Logging_2303/tillsynsmail/A 52644-2024 tillsynsbegäran mail.docx", "A 52644-2024")</f>
        <v/>
      </c>
    </row>
    <row r="115" ht="15" customHeight="1">
      <c r="A115" t="inlineStr">
        <is>
          <t>A 45969-2023</t>
        </is>
      </c>
      <c r="B115" t="inlineStr">
        <is>
          <t>avverkningsanmälan</t>
        </is>
      </c>
      <c r="C115" t="inlineStr">
        <is>
          <t>Föryngringsavverkning</t>
        </is>
      </c>
      <c r="D115" s="1" t="n">
        <v>45195</v>
      </c>
      <c r="E115" s="1" t="n">
        <v>46319</v>
      </c>
      <c r="F115" t="inlineStr">
        <is>
          <t>JÄMTLANDS LÄN</t>
        </is>
      </c>
      <c r="G115" t="inlineStr">
        <is>
          <t>RAGUNDA</t>
        </is>
      </c>
      <c r="H115" t="inlineStr">
        <is>
          <t>SCA</t>
        </is>
      </c>
      <c r="I115" t="n">
        <v>9.300000000000001</v>
      </c>
      <c r="J115" t="n">
        <v>1</v>
      </c>
      <c r="K115" t="n">
        <v>2</v>
      </c>
      <c r="L115" t="n">
        <v>3</v>
      </c>
      <c r="M115" t="n">
        <v>0</v>
      </c>
      <c r="N115" t="n">
        <v>0</v>
      </c>
      <c r="O115" t="n">
        <v>0</v>
      </c>
      <c r="P115" t="n">
        <v>0</v>
      </c>
      <c r="Q115" t="n">
        <v>3</v>
      </c>
      <c r="R115" t="n">
        <v>0</v>
      </c>
      <c r="S115" t="n">
        <v>5</v>
      </c>
      <c r="T115" t="n">
        <v>6</v>
      </c>
      <c r="U115" t="n">
        <v>0</v>
      </c>
      <c r="V115" s="2" t="inlineStr">
        <is>
          <t>Dropptaggsvamp
Lunglav
Skarp dropptaggsvamp
Grönpyrola
Plattlummer</t>
        </is>
      </c>
      <c r="W115">
        <f>HYPERLINK("https://klasma.github.io/Logging_2303/artfynd/A 45969-2023 artfynd.xlsx", "A 45969-2023")</f>
        <v/>
      </c>
      <c r="X115">
        <f>HYPERLINK("https://klasma.github.io/Logging_2303/kartor/A 45969-2023 karta.png", "A 45969-2023")</f>
        <v/>
      </c>
      <c r="Y115">
        <f>HYPERLINK("https://klasma.github.io/Logging_2303/kartor_geotiff/A 45969-2023 georefererad karta.tif", "A 45969-2023")</f>
        <v/>
      </c>
      <c r="AA115">
        <f>HYPERLINK("https://klasma.github.io/Logging_2303/klagomål/A 45969-2023 FSC-klagomål.docx", "A 45969-2023")</f>
        <v/>
      </c>
      <c r="AB115">
        <f>HYPERLINK("https://klasma.github.io/Logging_2303/klagomålsmail/A 45969-2023 FSC-klagomål mail.docx", "A 45969-2023")</f>
        <v/>
      </c>
      <c r="AC115">
        <f>HYPERLINK("https://klasma.github.io/Logging_2303/tillsyn/A 45969-2023 tillsynsbegäran.docx", "A 45969-2023")</f>
        <v/>
      </c>
      <c r="AD115">
        <f>HYPERLINK("https://klasma.github.io/Logging_2303/tillsynsmail/A 45969-2023 tillsynsbegäran mail.docx", "A 45969-2023")</f>
        <v/>
      </c>
    </row>
    <row r="116" ht="15" customHeight="1">
      <c r="A116" t="inlineStr">
        <is>
          <t>A 12024-2022</t>
        </is>
      </c>
      <c r="B116" t="inlineStr">
        <is>
          <t>avverkningsanmälan</t>
        </is>
      </c>
      <c r="C116" t="inlineStr">
        <is>
          <t>Föryngringsavverkning</t>
        </is>
      </c>
      <c r="D116" s="1" t="n">
        <v>44635</v>
      </c>
      <c r="E116" s="1" t="n">
        <v>46319</v>
      </c>
      <c r="F116" t="inlineStr">
        <is>
          <t>JÄMTLANDS LÄN</t>
        </is>
      </c>
      <c r="G116" t="inlineStr">
        <is>
          <t>RAGUNDA</t>
        </is>
      </c>
      <c r="H116" t="inlineStr">
        <is>
          <t>SCA</t>
        </is>
      </c>
      <c r="I116" t="n">
        <v>4.9</v>
      </c>
      <c r="J116" t="n">
        <v>1</v>
      </c>
      <c r="K116" t="n">
        <v>0</v>
      </c>
      <c r="L116" t="n">
        <v>4</v>
      </c>
      <c r="M116" t="n">
        <v>1</v>
      </c>
      <c r="N116" t="n">
        <v>0</v>
      </c>
      <c r="O116" t="n">
        <v>0</v>
      </c>
      <c r="P116" t="n">
        <v>0</v>
      </c>
      <c r="Q116" t="n">
        <v>5</v>
      </c>
      <c r="R116" t="n">
        <v>1</v>
      </c>
      <c r="S116" t="n">
        <v>5</v>
      </c>
      <c r="T116" t="n">
        <v>7</v>
      </c>
      <c r="U116" t="n">
        <v>7</v>
      </c>
      <c r="V116" s="2" t="inlineStr">
        <is>
          <t>Garnlav
Dropptaggsvamp
Rynkskinn
Tretåig hackspett
Vitgrynig nållav</t>
        </is>
      </c>
      <c r="W116">
        <f>HYPERLINK("https://klasma.github.io/Logging_2303/artfynd/A 12024-2022 artfynd.xlsx", "A 12024-2022")</f>
        <v/>
      </c>
      <c r="X116">
        <f>HYPERLINK("https://klasma.github.io/Logging_2303/kartor/A 12024-2022 karta.png", "A 12024-2022")</f>
        <v/>
      </c>
      <c r="Y116">
        <f>HYPERLINK("https://klasma.github.io/Logging_2303/kartor_geotiff/A 12024-2022 georefererad karta.tif", "A 12024-2022")</f>
        <v/>
      </c>
      <c r="AA116">
        <f>HYPERLINK("https://klasma.github.io/Logging_2303/klagomål/A 12024-2022 FSC-klagomål.docx", "A 12024-2022")</f>
        <v/>
      </c>
      <c r="AB116">
        <f>HYPERLINK("https://klasma.github.io/Logging_2303/klagomålsmail/A 12024-2022 FSC-klagomål mail.docx", "A 12024-2022")</f>
        <v/>
      </c>
      <c r="AC116">
        <f>HYPERLINK("https://klasma.github.io/Logging_2303/tillsyn/A 12024-2022 tillsynsbegäran.docx", "A 12024-2022")</f>
        <v/>
      </c>
      <c r="AD116">
        <f>HYPERLINK("https://klasma.github.io/Logging_2303/tillsynsmail/A 12024-2022 tillsynsbegäran mail.docx", "A 12024-2022")</f>
        <v/>
      </c>
      <c r="AE116">
        <f>HYPERLINK("https://klasma.github.io/Logging_2303/fåglar/A 12024-2022 prioriterade fågelarter.docx", "A 12024-2022")</f>
        <v/>
      </c>
    </row>
    <row r="117" ht="15" customHeight="1">
      <c r="A117" t="inlineStr">
        <is>
          <t>A 30483-2024</t>
        </is>
      </c>
      <c r="B117" t="inlineStr">
        <is>
          <t>avverkningsanmälan</t>
        </is>
      </c>
      <c r="C117" t="inlineStr">
        <is>
          <t>Avverkning för att bevara och utveckla /försöksver</t>
        </is>
      </c>
      <c r="D117" s="1" t="n">
        <v>45491</v>
      </c>
      <c r="E117" s="1" t="n">
        <v>46319</v>
      </c>
      <c r="F117" t="inlineStr">
        <is>
          <t>JÄMTLANDS LÄN</t>
        </is>
      </c>
      <c r="G117" t="inlineStr">
        <is>
          <t>RAGUNDA</t>
        </is>
      </c>
      <c r="H117" t="inlineStr">
        <is>
          <t>SCA</t>
        </is>
      </c>
      <c r="I117" t="n">
        <v>1.6</v>
      </c>
      <c r="J117" t="n">
        <v>1</v>
      </c>
      <c r="K117" t="n">
        <v>1</v>
      </c>
      <c r="L117" t="n">
        <v>3</v>
      </c>
      <c r="M117" t="n">
        <v>0</v>
      </c>
      <c r="N117" t="n">
        <v>0</v>
      </c>
      <c r="O117" t="n">
        <v>0</v>
      </c>
      <c r="P117" t="n">
        <v>0</v>
      </c>
      <c r="Q117" t="n">
        <v>3</v>
      </c>
      <c r="R117" t="n">
        <v>0</v>
      </c>
      <c r="S117" t="n">
        <v>5</v>
      </c>
      <c r="T117" t="n">
        <v>5</v>
      </c>
      <c r="U117" t="n">
        <v>0</v>
      </c>
      <c r="V117" s="2" t="inlineStr">
        <is>
          <t>Dvärgbägarlav
Kolflarnlav
Vedskivlav
Korallblylav
Järpe</t>
        </is>
      </c>
      <c r="W117">
        <f>HYPERLINK("https://klasma.github.io/Logging_2303/artfynd/A 30483-2024 artfynd.xlsx", "A 30483-2024")</f>
        <v/>
      </c>
      <c r="X117">
        <f>HYPERLINK("https://klasma.github.io/Logging_2303/kartor/A 30483-2024 karta.png", "A 30483-2024")</f>
        <v/>
      </c>
      <c r="Y117">
        <f>HYPERLINK("https://klasma.github.io/Logging_2303/kartor_geotiff/A 30483-2024 georefererad karta.tif", "A 30483-2024")</f>
        <v/>
      </c>
      <c r="AA117">
        <f>HYPERLINK("https://klasma.github.io/Logging_2303/klagomål/A 30483-2024 FSC-klagomål.docx", "A 30483-2024")</f>
        <v/>
      </c>
      <c r="AB117">
        <f>HYPERLINK("https://klasma.github.io/Logging_2303/klagomålsmail/A 30483-2024 FSC-klagomål mail.docx", "A 30483-2024")</f>
        <v/>
      </c>
      <c r="AC117">
        <f>HYPERLINK("https://klasma.github.io/Logging_2303/tillsyn/A 30483-2024 tillsynsbegäran.docx", "A 30483-2024")</f>
        <v/>
      </c>
      <c r="AD117">
        <f>HYPERLINK("https://klasma.github.io/Logging_2303/tillsynsmail/A 30483-2024 tillsynsbegäran mail.docx", "A 30483-2024")</f>
        <v/>
      </c>
      <c r="AE117">
        <f>HYPERLINK("https://klasma.github.io/Logging_2303/fåglar/A 30483-2024 prioriterade fågelarter.docx", "A 30483-2024")</f>
        <v/>
      </c>
    </row>
    <row r="118" ht="15" customHeight="1">
      <c r="A118" t="inlineStr">
        <is>
          <t>S 2162-2026</t>
        </is>
      </c>
      <c r="B118" t="inlineStr">
        <is>
          <t>samrådsanmälan</t>
        </is>
      </c>
      <c r="C118" t="inlineStr">
        <is>
          <t>Annan skogsbruksåtgärd</t>
        </is>
      </c>
      <c r="D118" s="1" t="n">
        <v>46248</v>
      </c>
      <c r="E118" s="1" t="n">
        <v>46319</v>
      </c>
      <c r="F118" t="inlineStr">
        <is>
          <t>JÄMTLANDS LÄN</t>
        </is>
      </c>
      <c r="G118" t="inlineStr">
        <is>
          <t>RAGUNDA</t>
        </is>
      </c>
      <c r="H118" t="inlineStr">
        <is>
          <t>SCA</t>
        </is>
      </c>
      <c r="I118" t="n">
        <v>1.9</v>
      </c>
      <c r="J118" t="n">
        <v>1</v>
      </c>
      <c r="K118" t="n">
        <v>0</v>
      </c>
      <c r="L118" t="n">
        <v>4</v>
      </c>
      <c r="M118" t="n">
        <v>1</v>
      </c>
      <c r="N118" t="n">
        <v>0</v>
      </c>
      <c r="O118" t="n">
        <v>0</v>
      </c>
      <c r="P118" t="n">
        <v>0</v>
      </c>
      <c r="Q118" t="n">
        <v>5</v>
      </c>
      <c r="R118" t="n">
        <v>1</v>
      </c>
      <c r="S118" t="n">
        <v>5</v>
      </c>
      <c r="T118" t="n">
        <v>6</v>
      </c>
      <c r="U118" t="n">
        <v>0</v>
      </c>
      <c r="V118" s="2" t="inlineStr">
        <is>
          <t>Knärot
Lunglav
Mörk kolflarnlav
Vedflamlav
Vedskivlav</t>
        </is>
      </c>
      <c r="W118">
        <f>HYPERLINK("https://klasma.github.io/Logging_2303/artfynd/S 2162-2026 artfynd.xlsx", "S 2162-2026")</f>
        <v/>
      </c>
      <c r="X118">
        <f>HYPERLINK("https://klasma.github.io/Logging_2303/kartor/S 2162-2026 karta.png", "S 2162-2026")</f>
        <v/>
      </c>
      <c r="Y118">
        <f>HYPERLINK("https://klasma.github.io/Logging_2303/kartor_geotiff/S 2162-2026 georefererad karta.tif", "S 2162-2026")</f>
        <v/>
      </c>
      <c r="Z118">
        <f>HYPERLINK("https://klasma.github.io/Logging_2303/knärot/S 2162-2026 karta knärot.png", "S 2162-2026")</f>
        <v/>
      </c>
      <c r="AA118">
        <f>HYPERLINK("https://klasma.github.io/Logging_2303/klagomål/S 2162-2026 FSC-klagomål.docx", "S 2162-2026")</f>
        <v/>
      </c>
      <c r="AB118">
        <f>HYPERLINK("https://klasma.github.io/Logging_2303/klagomålsmail/S 2162-2026 FSC-klagomål mail.docx", "S 2162-2026")</f>
        <v/>
      </c>
      <c r="AC118">
        <f>HYPERLINK("https://klasma.github.io/Logging_2303/tillsyn/S 2162-2026 tillsynsbegäran.docx", "S 2162-2026")</f>
        <v/>
      </c>
      <c r="AD118">
        <f>HYPERLINK("https://klasma.github.io/Logging_2303/tillsynsmail/S 2162-2026 tillsynsbegäran mail.docx", "S 2162-2026")</f>
        <v/>
      </c>
    </row>
    <row r="119" ht="15" customHeight="1">
      <c r="A119" t="inlineStr">
        <is>
          <t>A 48052-2022</t>
        </is>
      </c>
      <c r="B119" t="inlineStr">
        <is>
          <t>avverkningsanmälan</t>
        </is>
      </c>
      <c r="C119" t="inlineStr">
        <is>
          <t>Avverkning för att bevara och utveckla /försöksver</t>
        </is>
      </c>
      <c r="D119" s="1" t="n">
        <v>44855</v>
      </c>
      <c r="E119" s="1" t="n">
        <v>46319</v>
      </c>
      <c r="F119" t="inlineStr">
        <is>
          <t>JÄMTLANDS LÄN</t>
        </is>
      </c>
      <c r="G119" t="inlineStr">
        <is>
          <t>RAGUNDA</t>
        </is>
      </c>
      <c r="H119" t="inlineStr">
        <is>
          <t>SCA</t>
        </is>
      </c>
      <c r="I119" t="n">
        <v>8.6</v>
      </c>
      <c r="J119" t="n">
        <v>1</v>
      </c>
      <c r="K119" t="n">
        <v>2</v>
      </c>
      <c r="L119" t="n">
        <v>2</v>
      </c>
      <c r="M119" t="n">
        <v>0</v>
      </c>
      <c r="N119" t="n">
        <v>0</v>
      </c>
      <c r="O119" t="n">
        <v>0</v>
      </c>
      <c r="P119" t="n">
        <v>0</v>
      </c>
      <c r="Q119" t="n">
        <v>2</v>
      </c>
      <c r="R119" t="n">
        <v>0</v>
      </c>
      <c r="S119" t="n">
        <v>4</v>
      </c>
      <c r="T119" t="n">
        <v>5</v>
      </c>
      <c r="U119" t="n">
        <v>0</v>
      </c>
      <c r="V119" s="2" t="inlineStr">
        <is>
          <t>Lunglav
Ullticka
Lappranunkel
Stuplav</t>
        </is>
      </c>
      <c r="W119">
        <f>HYPERLINK("https://klasma.github.io/Logging_2303/artfynd/A 48052-2022 artfynd.xlsx", "A 48052-2022")</f>
        <v/>
      </c>
      <c r="X119">
        <f>HYPERLINK("https://klasma.github.io/Logging_2303/kartor/A 48052-2022 karta.png", "A 48052-2022")</f>
        <v/>
      </c>
      <c r="Y119">
        <f>HYPERLINK("https://klasma.github.io/Logging_2303/kartor_geotiff/A 48052-2022 georefererad karta.tif", "A 48052-2022")</f>
        <v/>
      </c>
      <c r="AA119">
        <f>HYPERLINK("https://klasma.github.io/Logging_2303/klagomål/A 48052-2022 FSC-klagomål.docx", "A 48052-2022")</f>
        <v/>
      </c>
      <c r="AB119">
        <f>HYPERLINK("https://klasma.github.io/Logging_2303/klagomålsmail/A 48052-2022 FSC-klagomål mail.docx", "A 48052-2022")</f>
        <v/>
      </c>
      <c r="AC119">
        <f>HYPERLINK("https://klasma.github.io/Logging_2303/tillsyn/A 48052-2022 tillsynsbegäran.docx", "A 48052-2022")</f>
        <v/>
      </c>
      <c r="AD119">
        <f>HYPERLINK("https://klasma.github.io/Logging_2303/tillsynsmail/A 48052-2022 tillsynsbegäran mail.docx", "A 48052-2022")</f>
        <v/>
      </c>
    </row>
    <row r="120" ht="15" customHeight="1">
      <c r="A120" t="inlineStr">
        <is>
          <t>A 15667-2022</t>
        </is>
      </c>
      <c r="B120" t="inlineStr">
        <is>
          <t>avverkningsanmälan</t>
        </is>
      </c>
      <c r="C120" t="inlineStr">
        <is>
          <t>Avverkning för att bevara och utveckla /försöksver</t>
        </is>
      </c>
      <c r="D120" s="1" t="n">
        <v>44662</v>
      </c>
      <c r="E120" s="1" t="n">
        <v>46319</v>
      </c>
      <c r="F120" t="inlineStr">
        <is>
          <t>JÄMTLANDS LÄN</t>
        </is>
      </c>
      <c r="G120" t="inlineStr">
        <is>
          <t>RAGUNDA</t>
        </is>
      </c>
      <c r="H120" t="inlineStr">
        <is>
          <t>SCA</t>
        </is>
      </c>
      <c r="I120" t="n">
        <v>2.9</v>
      </c>
      <c r="J120" t="n">
        <v>0</v>
      </c>
      <c r="K120" t="n">
        <v>2</v>
      </c>
      <c r="L120" t="n">
        <v>1</v>
      </c>
      <c r="M120" t="n">
        <v>1</v>
      </c>
      <c r="N120" t="n">
        <v>0</v>
      </c>
      <c r="O120" t="n">
        <v>0</v>
      </c>
      <c r="P120" t="n">
        <v>0</v>
      </c>
      <c r="Q120" t="n">
        <v>2</v>
      </c>
      <c r="R120" t="n">
        <v>1</v>
      </c>
      <c r="S120" t="n">
        <v>4</v>
      </c>
      <c r="T120" t="n">
        <v>4</v>
      </c>
      <c r="U120" t="n">
        <v>0</v>
      </c>
      <c r="V120" s="2" t="inlineStr">
        <is>
          <t>Garnlav
Lunglav
Källmossa
Ögonpyrola</t>
        </is>
      </c>
      <c r="W120">
        <f>HYPERLINK("https://klasma.github.io/Logging_2303/artfynd/A 15667-2022 artfynd.xlsx", "A 15667-2022")</f>
        <v/>
      </c>
      <c r="X120">
        <f>HYPERLINK("https://klasma.github.io/Logging_2303/kartor/A 15667-2022 karta.png", "A 15667-2022")</f>
        <v/>
      </c>
      <c r="Y120">
        <f>HYPERLINK("https://klasma.github.io/Logging_2303/kartor_geotiff/A 15667-2022 georefererad karta.tif", "A 15667-2022")</f>
        <v/>
      </c>
      <c r="AA120">
        <f>HYPERLINK("https://klasma.github.io/Logging_2303/klagomål/A 15667-2022 FSC-klagomål.docx", "A 15667-2022")</f>
        <v/>
      </c>
      <c r="AB120">
        <f>HYPERLINK("https://klasma.github.io/Logging_2303/klagomålsmail/A 15667-2022 FSC-klagomål mail.docx", "A 15667-2022")</f>
        <v/>
      </c>
      <c r="AC120">
        <f>HYPERLINK("https://klasma.github.io/Logging_2303/tillsyn/A 15667-2022 tillsynsbegäran.docx", "A 15667-2022")</f>
        <v/>
      </c>
      <c r="AD120">
        <f>HYPERLINK("https://klasma.github.io/Logging_2303/tillsynsmail/A 15667-2022 tillsynsbegäran mail.docx", "A 15667-2022")</f>
        <v/>
      </c>
    </row>
    <row r="121" ht="15" customHeight="1">
      <c r="A121" t="inlineStr">
        <is>
          <t>A 40653-2025</t>
        </is>
      </c>
      <c r="B121" t="inlineStr">
        <is>
          <t>avverkningsanmälan</t>
        </is>
      </c>
      <c r="C121" t="inlineStr">
        <is>
          <t>Avverkning för att bevara och utveckla /försöksver</t>
        </is>
      </c>
      <c r="D121" s="1" t="n">
        <v>45896</v>
      </c>
      <c r="E121" s="1" t="n">
        <v>46319</v>
      </c>
      <c r="F121" t="inlineStr">
        <is>
          <t>JÄMTLANDS LÄN</t>
        </is>
      </c>
      <c r="G121" t="inlineStr">
        <is>
          <t>RAGUNDA</t>
        </is>
      </c>
      <c r="H121" t="inlineStr">
        <is>
          <t>SCA</t>
        </is>
      </c>
      <c r="I121" t="n">
        <v>3.9</v>
      </c>
      <c r="J121" t="n">
        <v>0</v>
      </c>
      <c r="K121" t="n">
        <v>0</v>
      </c>
      <c r="L121" t="n">
        <v>3</v>
      </c>
      <c r="M121" t="n">
        <v>1</v>
      </c>
      <c r="N121" t="n">
        <v>0</v>
      </c>
      <c r="O121" t="n">
        <v>0</v>
      </c>
      <c r="P121" t="n">
        <v>0</v>
      </c>
      <c r="Q121" t="n">
        <v>4</v>
      </c>
      <c r="R121" t="n">
        <v>1</v>
      </c>
      <c r="S121" t="n">
        <v>4</v>
      </c>
      <c r="T121" t="n">
        <v>4</v>
      </c>
      <c r="U121" t="n">
        <v>0</v>
      </c>
      <c r="V121" s="2" t="inlineStr">
        <is>
          <t>Garnlav
Blå taggsvamp
Dropptaggsvamp
Mörk kolflarnlav</t>
        </is>
      </c>
      <c r="W121">
        <f>HYPERLINK("https://klasma.github.io/Logging_2303/artfynd/A 40653-2025 artfynd.xlsx", "A 40653-2025")</f>
        <v/>
      </c>
      <c r="X121">
        <f>HYPERLINK("https://klasma.github.io/Logging_2303/kartor/A 40653-2025 karta.png", "A 40653-2025")</f>
        <v/>
      </c>
      <c r="Y121">
        <f>HYPERLINK("https://klasma.github.io/Logging_2303/kartor_geotiff/A 40653-2025 georefererad karta.tif", "A 40653-2025")</f>
        <v/>
      </c>
      <c r="AA121">
        <f>HYPERLINK("https://klasma.github.io/Logging_2303/klagomål/A 40653-2025 FSC-klagomål.docx", "A 40653-2025")</f>
        <v/>
      </c>
      <c r="AB121">
        <f>HYPERLINK("https://klasma.github.io/Logging_2303/klagomålsmail/A 40653-2025 FSC-klagomål mail.docx", "A 40653-2025")</f>
        <v/>
      </c>
      <c r="AC121">
        <f>HYPERLINK("https://klasma.github.io/Logging_2303/tillsyn/A 40653-2025 tillsynsbegäran.docx", "A 40653-2025")</f>
        <v/>
      </c>
      <c r="AD121">
        <f>HYPERLINK("https://klasma.github.io/Logging_2303/tillsynsmail/A 40653-2025 tillsynsbegäran mail.docx", "A 40653-2025")</f>
        <v/>
      </c>
    </row>
    <row r="122" ht="15" customHeight="1">
      <c r="A122" t="inlineStr">
        <is>
          <t>A 14814-2024</t>
        </is>
      </c>
      <c r="B122" t="inlineStr">
        <is>
          <t>avverkningsanmälan</t>
        </is>
      </c>
      <c r="C122" t="inlineStr">
        <is>
          <t>Föryngringsavverkning</t>
        </is>
      </c>
      <c r="D122" s="1" t="n">
        <v>45397</v>
      </c>
      <c r="E122" s="1" t="n">
        <v>46319</v>
      </c>
      <c r="F122" t="inlineStr">
        <is>
          <t>JÄMTLANDS LÄN</t>
        </is>
      </c>
      <c r="G122" t="inlineStr">
        <is>
          <t>RAGUNDA</t>
        </is>
      </c>
      <c r="H122" t="inlineStr">
        <is>
          <t>SCA</t>
        </is>
      </c>
      <c r="I122" t="n">
        <v>10.5</v>
      </c>
      <c r="J122" t="n">
        <v>0</v>
      </c>
      <c r="K122" t="n">
        <v>2</v>
      </c>
      <c r="L122" t="n">
        <v>1</v>
      </c>
      <c r="M122" t="n">
        <v>0</v>
      </c>
      <c r="N122" t="n">
        <v>0</v>
      </c>
      <c r="O122" t="n">
        <v>0</v>
      </c>
      <c r="P122" t="n">
        <v>0</v>
      </c>
      <c r="Q122" t="n">
        <v>1</v>
      </c>
      <c r="R122" t="n">
        <v>0</v>
      </c>
      <c r="S122" t="n">
        <v>4</v>
      </c>
      <c r="T122" t="n">
        <v>14</v>
      </c>
      <c r="U122" t="n">
        <v>14</v>
      </c>
      <c r="V122" s="2" t="inlineStr">
        <is>
          <t>Rosenticka
Svart trolldruva
Tibast
Bergsslok</t>
        </is>
      </c>
      <c r="W122">
        <f>HYPERLINK("https://klasma.github.io/Logging_2303/artfynd/A 14814-2024 artfynd.xlsx", "A 14814-2024")</f>
        <v/>
      </c>
      <c r="X122">
        <f>HYPERLINK("https://klasma.github.io/Logging_2303/kartor/A 14814-2024 karta.png", "A 14814-2024")</f>
        <v/>
      </c>
      <c r="Y122">
        <f>HYPERLINK("https://klasma.github.io/Logging_2303/kartor_geotiff/A 14814-2024 georefererad karta.tif", "A 14814-2024")</f>
        <v/>
      </c>
      <c r="AA122">
        <f>HYPERLINK("https://klasma.github.io/Logging_2303/klagomål/A 14814-2024 FSC-klagomål.docx", "A 14814-2024")</f>
        <v/>
      </c>
      <c r="AB122">
        <f>HYPERLINK("https://klasma.github.io/Logging_2303/klagomålsmail/A 14814-2024 FSC-klagomål mail.docx", "A 14814-2024")</f>
        <v/>
      </c>
      <c r="AC122">
        <f>HYPERLINK("https://klasma.github.io/Logging_2303/tillsyn/A 14814-2024 tillsynsbegäran.docx", "A 14814-2024")</f>
        <v/>
      </c>
      <c r="AD122">
        <f>HYPERLINK("https://klasma.github.io/Logging_2303/tillsynsmail/A 14814-2024 tillsynsbegäran mail.docx", "A 14814-2024")</f>
        <v/>
      </c>
    </row>
    <row r="123" ht="15" customHeight="1">
      <c r="A123" t="inlineStr">
        <is>
          <t>A 52168-2025</t>
        </is>
      </c>
      <c r="B123" t="inlineStr">
        <is>
          <t>avverkningsanmälan</t>
        </is>
      </c>
      <c r="C123" t="inlineStr">
        <is>
          <t>Föryngringsavverkning</t>
        </is>
      </c>
      <c r="D123" s="1" t="n">
        <v>45953</v>
      </c>
      <c r="E123" s="1" t="n">
        <v>46319</v>
      </c>
      <c r="F123" t="inlineStr">
        <is>
          <t>JÄMTLANDS LÄN</t>
        </is>
      </c>
      <c r="G123" t="inlineStr">
        <is>
          <t>RAGUNDA</t>
        </is>
      </c>
      <c r="H123" t="inlineStr">
        <is>
          <t>SCA</t>
        </is>
      </c>
      <c r="I123" t="n">
        <v>19.5</v>
      </c>
      <c r="J123" t="n">
        <v>0</v>
      </c>
      <c r="K123" t="n">
        <v>1</v>
      </c>
      <c r="L123" t="n">
        <v>2</v>
      </c>
      <c r="M123" t="n">
        <v>1</v>
      </c>
      <c r="N123" t="n">
        <v>0</v>
      </c>
      <c r="O123" t="n">
        <v>0</v>
      </c>
      <c r="P123" t="n">
        <v>0</v>
      </c>
      <c r="Q123" t="n">
        <v>3</v>
      </c>
      <c r="R123" t="n">
        <v>1</v>
      </c>
      <c r="S123" t="n">
        <v>4</v>
      </c>
      <c r="T123" t="n">
        <v>4</v>
      </c>
      <c r="U123" t="n">
        <v>0</v>
      </c>
      <c r="V123" s="2" t="inlineStr">
        <is>
          <t>Garnlav
Lunglav
Vitgrynig nållav
Källmossa</t>
        </is>
      </c>
      <c r="W123">
        <f>HYPERLINK("https://klasma.github.io/Logging_2303/artfynd/A 52168-2025 artfynd.xlsx", "A 52168-2025")</f>
        <v/>
      </c>
      <c r="X123">
        <f>HYPERLINK("https://klasma.github.io/Logging_2303/kartor/A 52168-2025 karta.png", "A 52168-2025")</f>
        <v/>
      </c>
      <c r="Y123">
        <f>HYPERLINK("https://klasma.github.io/Logging_2303/kartor_geotiff/A 52168-2025 georefererad karta.tif", "A 52168-2025")</f>
        <v/>
      </c>
      <c r="AA123">
        <f>HYPERLINK("https://klasma.github.io/Logging_2303/klagomål/A 52168-2025 FSC-klagomål.docx", "A 52168-2025")</f>
        <v/>
      </c>
      <c r="AB123">
        <f>HYPERLINK("https://klasma.github.io/Logging_2303/klagomålsmail/A 52168-2025 FSC-klagomål mail.docx", "A 52168-2025")</f>
        <v/>
      </c>
      <c r="AC123">
        <f>HYPERLINK("https://klasma.github.io/Logging_2303/tillsyn/A 52168-2025 tillsynsbegäran.docx", "A 52168-2025")</f>
        <v/>
      </c>
      <c r="AD123">
        <f>HYPERLINK("https://klasma.github.io/Logging_2303/tillsynsmail/A 52168-2025 tillsynsbegäran mail.docx", "A 52168-2025")</f>
        <v/>
      </c>
    </row>
    <row r="124" ht="15" customHeight="1">
      <c r="A124" t="inlineStr">
        <is>
          <t>A 28423-2026</t>
        </is>
      </c>
      <c r="B124" t="inlineStr">
        <is>
          <t>avverkningsanmälan</t>
        </is>
      </c>
      <c r="C124" t="inlineStr">
        <is>
          <t>Föryngringsavverkning</t>
        </is>
      </c>
      <c r="D124" s="1" t="n">
        <v>46197</v>
      </c>
      <c r="E124" s="1" t="n">
        <v>46319</v>
      </c>
      <c r="F124" t="inlineStr">
        <is>
          <t>JÄMTLANDS LÄN</t>
        </is>
      </c>
      <c r="G124" t="inlineStr">
        <is>
          <t>RAGUNDA</t>
        </is>
      </c>
      <c r="I124" t="n">
        <v>5.1</v>
      </c>
      <c r="J124" t="n">
        <v>2</v>
      </c>
      <c r="K124" t="n">
        <v>0</v>
      </c>
      <c r="L124" t="n">
        <v>2</v>
      </c>
      <c r="M124" t="n">
        <v>2</v>
      </c>
      <c r="N124" t="n">
        <v>0</v>
      </c>
      <c r="O124" t="n">
        <v>0</v>
      </c>
      <c r="P124" t="n">
        <v>0</v>
      </c>
      <c r="Q124" t="n">
        <v>4</v>
      </c>
      <c r="R124" t="n">
        <v>2</v>
      </c>
      <c r="S124" t="n">
        <v>4</v>
      </c>
      <c r="T124" t="n">
        <v>11</v>
      </c>
      <c r="U124" t="n">
        <v>11</v>
      </c>
      <c r="V124" s="2" t="inlineStr">
        <is>
          <t>Garnlav
Knärot
Lunglav
Tretåig hackspett</t>
        </is>
      </c>
      <c r="W124">
        <f>HYPERLINK("https://klasma.github.io/Logging_2303/artfynd/A 28423-2026 artfynd.xlsx", "A 28423-2026")</f>
        <v/>
      </c>
      <c r="X124">
        <f>HYPERLINK("https://klasma.github.io/Logging_2303/kartor/A 28423-2026 karta.png", "A 28423-2026")</f>
        <v/>
      </c>
      <c r="Y124">
        <f>HYPERLINK("https://klasma.github.io/Logging_2303/kartor_geotiff/A 28423-2026 georefererad karta.tif", "A 28423-2026")</f>
        <v/>
      </c>
      <c r="Z124">
        <f>HYPERLINK("https://klasma.github.io/Logging_2303/knärot/A 28423-2026 karta knärot.png", "A 28423-2026")</f>
        <v/>
      </c>
      <c r="AA124">
        <f>HYPERLINK("https://klasma.github.io/Logging_2303/klagomål/A 28423-2026 FSC-klagomål.docx", "A 28423-2026")</f>
        <v/>
      </c>
      <c r="AB124">
        <f>HYPERLINK("https://klasma.github.io/Logging_2303/klagomålsmail/A 28423-2026 FSC-klagomål mail.docx", "A 28423-2026")</f>
        <v/>
      </c>
      <c r="AC124">
        <f>HYPERLINK("https://klasma.github.io/Logging_2303/tillsyn/A 28423-2026 tillsynsbegäran.docx", "A 28423-2026")</f>
        <v/>
      </c>
      <c r="AD124">
        <f>HYPERLINK("https://klasma.github.io/Logging_2303/tillsynsmail/A 28423-2026 tillsynsbegäran mail.docx", "A 28423-2026")</f>
        <v/>
      </c>
      <c r="AE124">
        <f>HYPERLINK("https://klasma.github.io/Logging_2303/fåglar/A 28423-2026 prioriterade fågelarter.docx", "A 28423-2026")</f>
        <v/>
      </c>
    </row>
    <row r="125" ht="15" customHeight="1">
      <c r="A125" t="inlineStr">
        <is>
          <t>A 57478-2025</t>
        </is>
      </c>
      <c r="B125" t="inlineStr">
        <is>
          <t>avverkningsanmälan</t>
        </is>
      </c>
      <c r="C125" t="inlineStr">
        <is>
          <t>Föryngringsavverkning</t>
        </is>
      </c>
      <c r="D125" s="1" t="n">
        <v>45980</v>
      </c>
      <c r="E125" s="1" t="n">
        <v>46319</v>
      </c>
      <c r="F125" t="inlineStr">
        <is>
          <t>JÄMTLANDS LÄN</t>
        </is>
      </c>
      <c r="G125" t="inlineStr">
        <is>
          <t>RAGUNDA</t>
        </is>
      </c>
      <c r="H125" t="inlineStr">
        <is>
          <t>SCA</t>
        </is>
      </c>
      <c r="I125" t="n">
        <v>3.3</v>
      </c>
      <c r="J125" t="n">
        <v>2</v>
      </c>
      <c r="K125" t="n">
        <v>0</v>
      </c>
      <c r="L125" t="n">
        <v>2</v>
      </c>
      <c r="M125" t="n">
        <v>0</v>
      </c>
      <c r="N125" t="n">
        <v>0</v>
      </c>
      <c r="O125" t="n">
        <v>0</v>
      </c>
      <c r="P125" t="n">
        <v>0</v>
      </c>
      <c r="Q125" t="n">
        <v>2</v>
      </c>
      <c r="R125" t="n">
        <v>0</v>
      </c>
      <c r="S125" t="n">
        <v>4</v>
      </c>
      <c r="T125" t="n">
        <v>6</v>
      </c>
      <c r="U125" t="n">
        <v>3</v>
      </c>
      <c r="V125" s="2" t="inlineStr">
        <is>
          <t>Klofibbla
Lunglav
Brudsporre
Fläcknycklar</t>
        </is>
      </c>
      <c r="W125">
        <f>HYPERLINK("https://klasma.github.io/Logging_2303/artfynd/A 57478-2025 artfynd.xlsx", "A 57478-2025")</f>
        <v/>
      </c>
      <c r="X125">
        <f>HYPERLINK("https://klasma.github.io/Logging_2303/kartor/A 57478-2025 karta.png", "A 57478-2025")</f>
        <v/>
      </c>
      <c r="Y125">
        <f>HYPERLINK("https://klasma.github.io/Logging_2303/kartor_geotiff/A 57478-2025 georefererad karta.tif", "A 57478-2025")</f>
        <v/>
      </c>
      <c r="AA125">
        <f>HYPERLINK("https://klasma.github.io/Logging_2303/klagomål/A 57478-2025 FSC-klagomål.docx", "A 57478-2025")</f>
        <v/>
      </c>
      <c r="AB125">
        <f>HYPERLINK("https://klasma.github.io/Logging_2303/klagomålsmail/A 57478-2025 FSC-klagomål mail.docx", "A 57478-2025")</f>
        <v/>
      </c>
      <c r="AC125">
        <f>HYPERLINK("https://klasma.github.io/Logging_2303/tillsyn/A 57478-2025 tillsynsbegäran.docx", "A 57478-2025")</f>
        <v/>
      </c>
      <c r="AD125">
        <f>HYPERLINK("https://klasma.github.io/Logging_2303/tillsynsmail/A 57478-2025 tillsynsbegäran mail.docx", "A 57478-2025")</f>
        <v/>
      </c>
    </row>
    <row r="126" ht="15" customHeight="1">
      <c r="A126" t="inlineStr">
        <is>
          <t>A 57667-2025</t>
        </is>
      </c>
      <c r="B126" t="inlineStr">
        <is>
          <t>avverkningsanmälan</t>
        </is>
      </c>
      <c r="C126" t="inlineStr">
        <is>
          <t>Föryngringsavverkning</t>
        </is>
      </c>
      <c r="D126" s="1" t="n">
        <v>45981</v>
      </c>
      <c r="E126" s="1" t="n">
        <v>46319</v>
      </c>
      <c r="F126" t="inlineStr">
        <is>
          <t>JÄMTLANDS LÄN</t>
        </is>
      </c>
      <c r="G126" t="inlineStr">
        <is>
          <t>RAGUNDA</t>
        </is>
      </c>
      <c r="H126" t="inlineStr">
        <is>
          <t>SCA</t>
        </is>
      </c>
      <c r="I126" t="n">
        <v>1.7</v>
      </c>
      <c r="J126" t="n">
        <v>0</v>
      </c>
      <c r="K126" t="n">
        <v>2</v>
      </c>
      <c r="L126" t="n">
        <v>2</v>
      </c>
      <c r="M126" t="n">
        <v>0</v>
      </c>
      <c r="N126" t="n">
        <v>0</v>
      </c>
      <c r="O126" t="n">
        <v>0</v>
      </c>
      <c r="P126" t="n">
        <v>0</v>
      </c>
      <c r="Q126" t="n">
        <v>2</v>
      </c>
      <c r="R126" t="n">
        <v>0</v>
      </c>
      <c r="S126" t="n">
        <v>4</v>
      </c>
      <c r="T126" t="n">
        <v>8</v>
      </c>
      <c r="U126" t="n">
        <v>0</v>
      </c>
      <c r="V126" s="2" t="inlineStr">
        <is>
          <t>Lunglav
Rosenticka
Korallblylav
Luddlav</t>
        </is>
      </c>
      <c r="W126">
        <f>HYPERLINK("https://klasma.github.io/Logging_2303/artfynd/A 57667-2025 artfynd.xlsx", "A 57667-2025")</f>
        <v/>
      </c>
      <c r="X126">
        <f>HYPERLINK("https://klasma.github.io/Logging_2303/kartor/A 57667-2025 karta.png", "A 57667-2025")</f>
        <v/>
      </c>
      <c r="Y126">
        <f>HYPERLINK("https://klasma.github.io/Logging_2303/kartor_geotiff/A 57667-2025 georefererad karta.tif", "A 57667-2025")</f>
        <v/>
      </c>
      <c r="AA126">
        <f>HYPERLINK("https://klasma.github.io/Logging_2303/klagomål/A 57667-2025 FSC-klagomål.docx", "A 57667-2025")</f>
        <v/>
      </c>
      <c r="AB126">
        <f>HYPERLINK("https://klasma.github.io/Logging_2303/klagomålsmail/A 57667-2025 FSC-klagomål mail.docx", "A 57667-2025")</f>
        <v/>
      </c>
      <c r="AC126">
        <f>HYPERLINK("https://klasma.github.io/Logging_2303/tillsyn/A 57667-2025 tillsynsbegäran.docx", "A 57667-2025")</f>
        <v/>
      </c>
      <c r="AD126">
        <f>HYPERLINK("https://klasma.github.io/Logging_2303/tillsynsmail/A 57667-2025 tillsynsbegäran mail.docx", "A 57667-2025")</f>
        <v/>
      </c>
    </row>
    <row r="127" ht="15" customHeight="1">
      <c r="A127" t="inlineStr">
        <is>
          <t>A 19401-2025</t>
        </is>
      </c>
      <c r="B127" t="inlineStr">
        <is>
          <t>avverkningsanmälan</t>
        </is>
      </c>
      <c r="C127" t="inlineStr">
        <is>
          <t>Avverkning för att bevara och utveckla /försöksver</t>
        </is>
      </c>
      <c r="D127" s="1" t="n">
        <v>45769</v>
      </c>
      <c r="E127" s="1" t="n">
        <v>46319</v>
      </c>
      <c r="F127" t="inlineStr">
        <is>
          <t>JÄMTLANDS LÄN</t>
        </is>
      </c>
      <c r="G127" t="inlineStr">
        <is>
          <t>RAGUNDA</t>
        </is>
      </c>
      <c r="H127" t="inlineStr">
        <is>
          <t>SCA</t>
        </is>
      </c>
      <c r="I127" t="n">
        <v>4.3</v>
      </c>
      <c r="J127" t="n">
        <v>1</v>
      </c>
      <c r="K127" t="n">
        <v>0</v>
      </c>
      <c r="L127" t="n">
        <v>3</v>
      </c>
      <c r="M127" t="n">
        <v>1</v>
      </c>
      <c r="N127" t="n">
        <v>0</v>
      </c>
      <c r="O127" t="n">
        <v>0</v>
      </c>
      <c r="P127" t="n">
        <v>0</v>
      </c>
      <c r="Q127" t="n">
        <v>4</v>
      </c>
      <c r="R127" t="n">
        <v>1</v>
      </c>
      <c r="S127" t="n">
        <v>4</v>
      </c>
      <c r="T127" t="n">
        <v>7</v>
      </c>
      <c r="U127" t="n">
        <v>7</v>
      </c>
      <c r="V127" s="2" t="inlineStr">
        <is>
          <t>Knärot
Rosenticka
Rynkskinn
Vitgrynig nållav</t>
        </is>
      </c>
      <c r="W127">
        <f>HYPERLINK("https://klasma.github.io/Logging_2303/artfynd/A 19401-2025 artfynd.xlsx", "A 19401-2025")</f>
        <v/>
      </c>
      <c r="X127">
        <f>HYPERLINK("https://klasma.github.io/Logging_2303/kartor/A 19401-2025 karta.png", "A 19401-2025")</f>
        <v/>
      </c>
      <c r="Y127">
        <f>HYPERLINK("https://klasma.github.io/Logging_2303/kartor_geotiff/A 19401-2025 georefererad karta.tif", "A 19401-2025")</f>
        <v/>
      </c>
      <c r="Z127">
        <f>HYPERLINK("https://klasma.github.io/Logging_2303/knärot/A 19401-2025 karta knärot.png", "A 19401-2025")</f>
        <v/>
      </c>
      <c r="AA127">
        <f>HYPERLINK("https://klasma.github.io/Logging_2303/klagomål/A 19401-2025 FSC-klagomål.docx", "A 19401-2025")</f>
        <v/>
      </c>
      <c r="AB127">
        <f>HYPERLINK("https://klasma.github.io/Logging_2303/klagomålsmail/A 19401-2025 FSC-klagomål mail.docx", "A 19401-2025")</f>
        <v/>
      </c>
      <c r="AC127">
        <f>HYPERLINK("https://klasma.github.io/Logging_2303/tillsyn/A 19401-2025 tillsynsbegäran.docx", "A 19401-2025")</f>
        <v/>
      </c>
      <c r="AD127">
        <f>HYPERLINK("https://klasma.github.io/Logging_2303/tillsynsmail/A 19401-2025 tillsynsbegäran mail.docx", "A 19401-2025")</f>
        <v/>
      </c>
    </row>
    <row r="128" ht="15" customHeight="1">
      <c r="A128" t="inlineStr">
        <is>
          <t>A 57073-2023</t>
        </is>
      </c>
      <c r="B128" t="inlineStr">
        <is>
          <t>avverkningsanmälan</t>
        </is>
      </c>
      <c r="C128" t="inlineStr">
        <is>
          <t>Avverkning för att bevara och utveckla /försöksver</t>
        </is>
      </c>
      <c r="D128" s="1" t="n">
        <v>45244</v>
      </c>
      <c r="E128" s="1" t="n">
        <v>46319</v>
      </c>
      <c r="F128" t="inlineStr">
        <is>
          <t>JÄMTLANDS LÄN</t>
        </is>
      </c>
      <c r="G128" t="inlineStr">
        <is>
          <t>RAGUNDA</t>
        </is>
      </c>
      <c r="H128" t="inlineStr">
        <is>
          <t>SCA</t>
        </is>
      </c>
      <c r="I128" t="n">
        <v>4.1</v>
      </c>
      <c r="J128" t="n">
        <v>1</v>
      </c>
      <c r="K128" t="n">
        <v>0</v>
      </c>
      <c r="L128" t="n">
        <v>3</v>
      </c>
      <c r="M128" t="n">
        <v>1</v>
      </c>
      <c r="N128" t="n">
        <v>0</v>
      </c>
      <c r="O128" t="n">
        <v>0</v>
      </c>
      <c r="P128" t="n">
        <v>0</v>
      </c>
      <c r="Q128" t="n">
        <v>4</v>
      </c>
      <c r="R128" t="n">
        <v>1</v>
      </c>
      <c r="S128" t="n">
        <v>4</v>
      </c>
      <c r="T128" t="n">
        <v>6</v>
      </c>
      <c r="U128" t="n">
        <v>2</v>
      </c>
      <c r="V128" s="2" t="inlineStr">
        <is>
          <t>Läderlappslav
Lunglav
Tretåig hackspett
Ullticka</t>
        </is>
      </c>
      <c r="W128">
        <f>HYPERLINK("https://klasma.github.io/Logging_2303/artfynd/A 57073-2023 artfynd.xlsx", "A 57073-2023")</f>
        <v/>
      </c>
      <c r="X128">
        <f>HYPERLINK("https://klasma.github.io/Logging_2303/kartor/A 57073-2023 karta.png", "A 57073-2023")</f>
        <v/>
      </c>
      <c r="Y128">
        <f>HYPERLINK("https://klasma.github.io/Logging_2303/kartor_geotiff/A 57073-2023 georefererad karta.tif", "A 57073-2023")</f>
        <v/>
      </c>
      <c r="AA128">
        <f>HYPERLINK("https://klasma.github.io/Logging_2303/klagomål/A 57073-2023 FSC-klagomål.docx", "A 57073-2023")</f>
        <v/>
      </c>
      <c r="AB128">
        <f>HYPERLINK("https://klasma.github.io/Logging_2303/klagomålsmail/A 57073-2023 FSC-klagomål mail.docx", "A 57073-2023")</f>
        <v/>
      </c>
      <c r="AC128">
        <f>HYPERLINK("https://klasma.github.io/Logging_2303/tillsyn/A 57073-2023 tillsynsbegäran.docx", "A 57073-2023")</f>
        <v/>
      </c>
      <c r="AD128">
        <f>HYPERLINK("https://klasma.github.io/Logging_2303/tillsynsmail/A 57073-2023 tillsynsbegäran mail.docx", "A 57073-2023")</f>
        <v/>
      </c>
      <c r="AE128">
        <f>HYPERLINK("https://klasma.github.io/Logging_2303/fåglar/A 57073-2023 prioriterade fågelarter.docx", "A 57073-2023")</f>
        <v/>
      </c>
    </row>
    <row r="129" ht="15" customHeight="1">
      <c r="A129" t="inlineStr">
        <is>
          <t>A 21372-2025</t>
        </is>
      </c>
      <c r="B129" t="inlineStr">
        <is>
          <t>avverkningsanmälan</t>
        </is>
      </c>
      <c r="C129" t="inlineStr">
        <is>
          <t>Föryngringsavverkning</t>
        </is>
      </c>
      <c r="D129" s="1" t="n">
        <v>45782</v>
      </c>
      <c r="E129" s="1" t="n">
        <v>46319</v>
      </c>
      <c r="F129" t="inlineStr">
        <is>
          <t>JÄMTLANDS LÄN</t>
        </is>
      </c>
      <c r="G129" t="inlineStr">
        <is>
          <t>RAGUNDA</t>
        </is>
      </c>
      <c r="H129" t="inlineStr">
        <is>
          <t>SCA</t>
        </is>
      </c>
      <c r="I129" t="n">
        <v>2.7</v>
      </c>
      <c r="J129" t="n">
        <v>1</v>
      </c>
      <c r="K129" t="n">
        <v>1</v>
      </c>
      <c r="L129" t="n">
        <v>1</v>
      </c>
      <c r="M129" t="n">
        <v>1</v>
      </c>
      <c r="N129" t="n">
        <v>0</v>
      </c>
      <c r="O129" t="n">
        <v>0</v>
      </c>
      <c r="P129" t="n">
        <v>0</v>
      </c>
      <c r="Q129" t="n">
        <v>2</v>
      </c>
      <c r="R129" t="n">
        <v>1</v>
      </c>
      <c r="S129" t="n">
        <v>4</v>
      </c>
      <c r="T129" t="n">
        <v>6</v>
      </c>
      <c r="U129" t="n">
        <v>6</v>
      </c>
      <c r="V129" s="2" t="inlineStr">
        <is>
          <t>Garnlav
Lunglav
Stuplav
Tjäder</t>
        </is>
      </c>
      <c r="W129">
        <f>HYPERLINK("https://klasma.github.io/Logging_2303/artfynd/A 21372-2025 artfynd.xlsx", "A 21372-2025")</f>
        <v/>
      </c>
      <c r="X129">
        <f>HYPERLINK("https://klasma.github.io/Logging_2303/kartor/A 21372-2025 karta.png", "A 21372-2025")</f>
        <v/>
      </c>
      <c r="Y129">
        <f>HYPERLINK("https://klasma.github.io/Logging_2303/kartor_geotiff/A 21372-2025 georefererad karta.tif", "A 21372-2025")</f>
        <v/>
      </c>
      <c r="AA129">
        <f>HYPERLINK("https://klasma.github.io/Logging_2303/klagomål/A 21372-2025 FSC-klagomål.docx", "A 21372-2025")</f>
        <v/>
      </c>
      <c r="AB129">
        <f>HYPERLINK("https://klasma.github.io/Logging_2303/klagomålsmail/A 21372-2025 FSC-klagomål mail.docx", "A 21372-2025")</f>
        <v/>
      </c>
      <c r="AC129">
        <f>HYPERLINK("https://klasma.github.io/Logging_2303/tillsyn/A 21372-2025 tillsynsbegäran.docx", "A 21372-2025")</f>
        <v/>
      </c>
      <c r="AD129">
        <f>HYPERLINK("https://klasma.github.io/Logging_2303/tillsynsmail/A 21372-2025 tillsynsbegäran mail.docx", "A 21372-2025")</f>
        <v/>
      </c>
      <c r="AE129">
        <f>HYPERLINK("https://klasma.github.io/Logging_2303/fåglar/A 21372-2025 prioriterade fågelarter.docx", "A 21372-2025")</f>
        <v/>
      </c>
    </row>
    <row r="130" ht="15" customHeight="1">
      <c r="A130" t="inlineStr">
        <is>
          <t>A 10410-2026</t>
        </is>
      </c>
      <c r="B130" t="inlineStr">
        <is>
          <t>avverkningsanmälan</t>
        </is>
      </c>
      <c r="C130" t="inlineStr">
        <is>
          <t>Föryngringsavverkning</t>
        </is>
      </c>
      <c r="D130" s="1" t="n">
        <v>46077</v>
      </c>
      <c r="E130" s="1" t="n">
        <v>46319</v>
      </c>
      <c r="F130" t="inlineStr">
        <is>
          <t>JÄMTLANDS LÄN</t>
        </is>
      </c>
      <c r="G130" t="inlineStr">
        <is>
          <t>RAGUNDA</t>
        </is>
      </c>
      <c r="H130" t="inlineStr">
        <is>
          <t>SCA</t>
        </is>
      </c>
      <c r="I130" t="n">
        <v>46.5</v>
      </c>
      <c r="J130" t="n">
        <v>0</v>
      </c>
      <c r="K130" t="n">
        <v>2</v>
      </c>
      <c r="L130" t="n">
        <v>1</v>
      </c>
      <c r="M130" t="n">
        <v>1</v>
      </c>
      <c r="N130" t="n">
        <v>0</v>
      </c>
      <c r="O130" t="n">
        <v>0</v>
      </c>
      <c r="P130" t="n">
        <v>0</v>
      </c>
      <c r="Q130" t="n">
        <v>2</v>
      </c>
      <c r="R130" t="n">
        <v>1</v>
      </c>
      <c r="S130" t="n">
        <v>4</v>
      </c>
      <c r="T130" t="n">
        <v>4</v>
      </c>
      <c r="U130" t="n">
        <v>0</v>
      </c>
      <c r="V130" s="2" t="inlineStr">
        <is>
          <t>Aspgelélav
Vedtrappmossa
Bårdlav
Korallblylav</t>
        </is>
      </c>
      <c r="W130">
        <f>HYPERLINK("https://klasma.github.io/Logging_2303/artfynd/A 10410-2026 artfynd.xlsx", "A 10410-2026")</f>
        <v/>
      </c>
      <c r="X130">
        <f>HYPERLINK("https://klasma.github.io/Logging_2303/kartor/A 10410-2026 karta.png", "A 10410-2026")</f>
        <v/>
      </c>
      <c r="Y130">
        <f>HYPERLINK("https://klasma.github.io/Logging_2303/kartor_geotiff/A 10410-2026 georefererad karta.tif", "A 10410-2026")</f>
        <v/>
      </c>
      <c r="AA130">
        <f>HYPERLINK("https://klasma.github.io/Logging_2303/klagomål/A 10410-2026 FSC-klagomål.docx", "A 10410-2026")</f>
        <v/>
      </c>
      <c r="AB130">
        <f>HYPERLINK("https://klasma.github.io/Logging_2303/klagomålsmail/A 10410-2026 FSC-klagomål mail.docx", "A 10410-2026")</f>
        <v/>
      </c>
      <c r="AC130">
        <f>HYPERLINK("https://klasma.github.io/Logging_2303/tillsyn/A 10410-2026 tillsynsbegäran.docx", "A 10410-2026")</f>
        <v/>
      </c>
      <c r="AD130">
        <f>HYPERLINK("https://klasma.github.io/Logging_2303/tillsynsmail/A 10410-2026 tillsynsbegäran mail.docx", "A 10410-2026")</f>
        <v/>
      </c>
    </row>
    <row r="131" ht="15" customHeight="1">
      <c r="A131" t="inlineStr">
        <is>
          <t>A 34585-2025</t>
        </is>
      </c>
      <c r="B131" t="inlineStr">
        <is>
          <t>avverkningsanmälan</t>
        </is>
      </c>
      <c r="C131" t="inlineStr">
        <is>
          <t>Föryngringsavverkning</t>
        </is>
      </c>
      <c r="D131" s="1" t="n">
        <v>45847</v>
      </c>
      <c r="E131" s="1" t="n">
        <v>46319</v>
      </c>
      <c r="F131" t="inlineStr">
        <is>
          <t>JÄMTLANDS LÄN</t>
        </is>
      </c>
      <c r="G131" t="inlineStr">
        <is>
          <t>RAGUNDA</t>
        </is>
      </c>
      <c r="H131" t="inlineStr">
        <is>
          <t>SCA</t>
        </is>
      </c>
      <c r="I131" t="n">
        <v>1.1</v>
      </c>
      <c r="J131" t="n">
        <v>2</v>
      </c>
      <c r="K131" t="n">
        <v>1</v>
      </c>
      <c r="L131" t="n">
        <v>1</v>
      </c>
      <c r="M131" t="n">
        <v>0</v>
      </c>
      <c r="N131" t="n">
        <v>0</v>
      </c>
      <c r="O131" t="n">
        <v>0</v>
      </c>
      <c r="P131" t="n">
        <v>0</v>
      </c>
      <c r="Q131" t="n">
        <v>1</v>
      </c>
      <c r="R131" t="n">
        <v>0</v>
      </c>
      <c r="S131" t="n">
        <v>4</v>
      </c>
      <c r="T131" t="n">
        <v>4</v>
      </c>
      <c r="U131" t="n">
        <v>0</v>
      </c>
      <c r="V131" s="2" t="inlineStr">
        <is>
          <t>Gullpudra
Underviol
Blåsippa
Revlummer</t>
        </is>
      </c>
      <c r="W131">
        <f>HYPERLINK("https://klasma.github.io/Logging_2303/artfynd/A 34585-2025 artfynd.xlsx", "A 34585-2025")</f>
        <v/>
      </c>
      <c r="X131">
        <f>HYPERLINK("https://klasma.github.io/Logging_2303/kartor/A 34585-2025 karta.png", "A 34585-2025")</f>
        <v/>
      </c>
      <c r="Y131">
        <f>HYPERLINK("https://klasma.github.io/Logging_2303/kartor_geotiff/A 34585-2025 georefererad karta.tif", "A 34585-2025")</f>
        <v/>
      </c>
      <c r="AA131">
        <f>HYPERLINK("https://klasma.github.io/Logging_2303/klagomål/A 34585-2025 FSC-klagomål.docx", "A 34585-2025")</f>
        <v/>
      </c>
      <c r="AB131">
        <f>HYPERLINK("https://klasma.github.io/Logging_2303/klagomålsmail/A 34585-2025 FSC-klagomål mail.docx", "A 34585-2025")</f>
        <v/>
      </c>
      <c r="AC131">
        <f>HYPERLINK("https://klasma.github.io/Logging_2303/tillsyn/A 34585-2025 tillsynsbegäran.docx", "A 34585-2025")</f>
        <v/>
      </c>
      <c r="AD131">
        <f>HYPERLINK("https://klasma.github.io/Logging_2303/tillsynsmail/A 34585-2025 tillsynsbegäran mail.docx", "A 34585-2025")</f>
        <v/>
      </c>
    </row>
    <row r="132" ht="15" customHeight="1">
      <c r="A132" t="inlineStr">
        <is>
          <t>A 32416-2025</t>
        </is>
      </c>
      <c r="B132" t="inlineStr">
        <is>
          <t>avverkningsanmälan</t>
        </is>
      </c>
      <c r="C132" t="inlineStr">
        <is>
          <t>Föryngringsavverkning</t>
        </is>
      </c>
      <c r="D132" s="1" t="n">
        <v>45838</v>
      </c>
      <c r="E132" s="1" t="n">
        <v>46319</v>
      </c>
      <c r="F132" t="inlineStr">
        <is>
          <t>JÄMTLANDS LÄN</t>
        </is>
      </c>
      <c r="G132" t="inlineStr">
        <is>
          <t>RAGUNDA</t>
        </is>
      </c>
      <c r="H132" t="inlineStr">
        <is>
          <t>SCA</t>
        </is>
      </c>
      <c r="I132" t="n">
        <v>1.1</v>
      </c>
      <c r="J132" t="n">
        <v>2</v>
      </c>
      <c r="K132" t="n">
        <v>1</v>
      </c>
      <c r="L132" t="n">
        <v>1</v>
      </c>
      <c r="M132" t="n">
        <v>0</v>
      </c>
      <c r="N132" t="n">
        <v>0</v>
      </c>
      <c r="O132" t="n">
        <v>0</v>
      </c>
      <c r="P132" t="n">
        <v>0</v>
      </c>
      <c r="Q132" t="n">
        <v>1</v>
      </c>
      <c r="R132" t="n">
        <v>0</v>
      </c>
      <c r="S132" t="n">
        <v>4</v>
      </c>
      <c r="T132" t="n">
        <v>4</v>
      </c>
      <c r="U132" t="n">
        <v>0</v>
      </c>
      <c r="V132" s="2" t="inlineStr">
        <is>
          <t>Gullpudra
Underviol
Blåsippa
Revlummer</t>
        </is>
      </c>
      <c r="W132">
        <f>HYPERLINK("https://klasma.github.io/Logging_2303/artfynd/A 32416-2025 artfynd.xlsx", "A 32416-2025")</f>
        <v/>
      </c>
      <c r="X132">
        <f>HYPERLINK("https://klasma.github.io/Logging_2303/kartor/A 32416-2025 karta.png", "A 32416-2025")</f>
        <v/>
      </c>
      <c r="Y132">
        <f>HYPERLINK("https://klasma.github.io/Logging_2303/kartor_geotiff/A 32416-2025 georefererad karta.tif", "A 32416-2025")</f>
        <v/>
      </c>
      <c r="AA132">
        <f>HYPERLINK("https://klasma.github.io/Logging_2303/klagomål/A 32416-2025 FSC-klagomål.docx", "A 32416-2025")</f>
        <v/>
      </c>
      <c r="AB132">
        <f>HYPERLINK("https://klasma.github.io/Logging_2303/klagomålsmail/A 32416-2025 FSC-klagomål mail.docx", "A 32416-2025")</f>
        <v/>
      </c>
      <c r="AC132">
        <f>HYPERLINK("https://klasma.github.io/Logging_2303/tillsyn/A 32416-2025 tillsynsbegäran.docx", "A 32416-2025")</f>
        <v/>
      </c>
      <c r="AD132">
        <f>HYPERLINK("https://klasma.github.io/Logging_2303/tillsynsmail/A 32416-2025 tillsynsbegäran mail.docx", "A 32416-2025")</f>
        <v/>
      </c>
    </row>
    <row r="133" ht="15" customHeight="1">
      <c r="A133" t="inlineStr">
        <is>
          <t>A 30465-2024</t>
        </is>
      </c>
      <c r="B133" t="inlineStr">
        <is>
          <t>avverkningsanmälan</t>
        </is>
      </c>
      <c r="C133" t="inlineStr">
        <is>
          <t>Avverkning för att bevara och utveckla /försöksver</t>
        </is>
      </c>
      <c r="D133" s="1" t="n">
        <v>45491</v>
      </c>
      <c r="E133" s="1" t="n">
        <v>46319</v>
      </c>
      <c r="F133" t="inlineStr">
        <is>
          <t>JÄMTLANDS LÄN</t>
        </is>
      </c>
      <c r="G133" t="inlineStr">
        <is>
          <t>RAGUNDA</t>
        </is>
      </c>
      <c r="H133" t="inlineStr">
        <is>
          <t>SCA</t>
        </is>
      </c>
      <c r="I133" t="n">
        <v>3.7</v>
      </c>
      <c r="J133" t="n">
        <v>1</v>
      </c>
      <c r="K133" t="n">
        <v>0</v>
      </c>
      <c r="L133" t="n">
        <v>4</v>
      </c>
      <c r="M133" t="n">
        <v>0</v>
      </c>
      <c r="N133" t="n">
        <v>0</v>
      </c>
      <c r="O133" t="n">
        <v>0</v>
      </c>
      <c r="P133" t="n">
        <v>0</v>
      </c>
      <c r="Q133" t="n">
        <v>4</v>
      </c>
      <c r="R133" t="n">
        <v>0</v>
      </c>
      <c r="S133" t="n">
        <v>4</v>
      </c>
      <c r="T133" t="n">
        <v>5</v>
      </c>
      <c r="U133" t="n">
        <v>4</v>
      </c>
      <c r="V133" s="2" t="inlineStr">
        <is>
          <t>Rosenticka
Tretåig hackspett
Ullticka
Violmussling</t>
        </is>
      </c>
      <c r="W133">
        <f>HYPERLINK("https://klasma.github.io/Logging_2303/artfynd/A 30465-2024 artfynd.xlsx", "A 30465-2024")</f>
        <v/>
      </c>
      <c r="X133">
        <f>HYPERLINK("https://klasma.github.io/Logging_2303/kartor/A 30465-2024 karta.png", "A 30465-2024")</f>
        <v/>
      </c>
      <c r="Y133">
        <f>HYPERLINK("https://klasma.github.io/Logging_2303/kartor_geotiff/A 30465-2024 georefererad karta.tif", "A 30465-2024")</f>
        <v/>
      </c>
      <c r="AA133">
        <f>HYPERLINK("https://klasma.github.io/Logging_2303/klagomål/A 30465-2024 FSC-klagomål.docx", "A 30465-2024")</f>
        <v/>
      </c>
      <c r="AB133">
        <f>HYPERLINK("https://klasma.github.io/Logging_2303/klagomålsmail/A 30465-2024 FSC-klagomål mail.docx", "A 30465-2024")</f>
        <v/>
      </c>
      <c r="AC133">
        <f>HYPERLINK("https://klasma.github.io/Logging_2303/tillsyn/A 30465-2024 tillsynsbegäran.docx", "A 30465-2024")</f>
        <v/>
      </c>
      <c r="AD133">
        <f>HYPERLINK("https://klasma.github.io/Logging_2303/tillsynsmail/A 30465-2024 tillsynsbegäran mail.docx", "A 30465-2024")</f>
        <v/>
      </c>
      <c r="AE133">
        <f>HYPERLINK("https://klasma.github.io/Logging_2303/fåglar/A 30465-2024 prioriterade fågelarter.docx", "A 30465-2024")</f>
        <v/>
      </c>
    </row>
    <row r="134" ht="15" customHeight="1">
      <c r="A134" t="inlineStr">
        <is>
          <t>A 53989-2024</t>
        </is>
      </c>
      <c r="B134" t="inlineStr">
        <is>
          <t>avverkningsanmälan</t>
        </is>
      </c>
      <c r="C134" t="inlineStr">
        <is>
          <t>Avverkning för att bevara och utveckla /försöksver</t>
        </is>
      </c>
      <c r="D134" s="1" t="n">
        <v>45616</v>
      </c>
      <c r="E134" s="1" t="n">
        <v>46319</v>
      </c>
      <c r="F134" t="inlineStr">
        <is>
          <t>JÄMTLANDS LÄN</t>
        </is>
      </c>
      <c r="G134" t="inlineStr">
        <is>
          <t>RAGUNDA</t>
        </is>
      </c>
      <c r="H134" t="inlineStr">
        <is>
          <t>SCA</t>
        </is>
      </c>
      <c r="I134" t="n">
        <v>7.2</v>
      </c>
      <c r="J134" t="n">
        <v>0</v>
      </c>
      <c r="K134" t="n">
        <v>2</v>
      </c>
      <c r="L134" t="n">
        <v>2</v>
      </c>
      <c r="M134" t="n">
        <v>0</v>
      </c>
      <c r="N134" t="n">
        <v>0</v>
      </c>
      <c r="O134" t="n">
        <v>0</v>
      </c>
      <c r="P134" t="n">
        <v>0</v>
      </c>
      <c r="Q134" t="n">
        <v>2</v>
      </c>
      <c r="R134" t="n">
        <v>0</v>
      </c>
      <c r="S134" t="n">
        <v>4</v>
      </c>
      <c r="T134" t="n">
        <v>6</v>
      </c>
      <c r="U134" t="n">
        <v>6</v>
      </c>
      <c r="V134" s="2" t="inlineStr">
        <is>
          <t>Lunglav
Vitgrynig nållav
Korallblylav
Mörk husmossa</t>
        </is>
      </c>
      <c r="W134">
        <f>HYPERLINK("https://klasma.github.io/Logging_2303/artfynd/A 53989-2024 artfynd.xlsx", "A 53989-2024")</f>
        <v/>
      </c>
      <c r="X134">
        <f>HYPERLINK("https://klasma.github.io/Logging_2303/kartor/A 53989-2024 karta.png", "A 53989-2024")</f>
        <v/>
      </c>
      <c r="Y134">
        <f>HYPERLINK("https://klasma.github.io/Logging_2303/kartor_geotiff/A 53989-2024 georefererad karta.tif", "A 53989-2024")</f>
        <v/>
      </c>
      <c r="AA134">
        <f>HYPERLINK("https://klasma.github.io/Logging_2303/klagomål/A 53989-2024 FSC-klagomål.docx", "A 53989-2024")</f>
        <v/>
      </c>
      <c r="AB134">
        <f>HYPERLINK("https://klasma.github.io/Logging_2303/klagomålsmail/A 53989-2024 FSC-klagomål mail.docx", "A 53989-2024")</f>
        <v/>
      </c>
      <c r="AC134">
        <f>HYPERLINK("https://klasma.github.io/Logging_2303/tillsyn/A 53989-2024 tillsynsbegäran.docx", "A 53989-2024")</f>
        <v/>
      </c>
      <c r="AD134">
        <f>HYPERLINK("https://klasma.github.io/Logging_2303/tillsynsmail/A 53989-2024 tillsynsbegäran mail.docx", "A 53989-2024")</f>
        <v/>
      </c>
    </row>
    <row r="135" ht="15" customHeight="1">
      <c r="A135" t="inlineStr">
        <is>
          <t>A 33432-2023</t>
        </is>
      </c>
      <c r="B135" t="inlineStr">
        <is>
          <t>avverkningsanmälan</t>
        </is>
      </c>
      <c r="C135" t="inlineStr">
        <is>
          <t>Avverkning för annat ändamål</t>
        </is>
      </c>
      <c r="D135" s="1" t="n">
        <v>45128</v>
      </c>
      <c r="E135" s="1" t="n">
        <v>46319</v>
      </c>
      <c r="F135" t="inlineStr">
        <is>
          <t>JÄMTLANDS LÄN</t>
        </is>
      </c>
      <c r="G135" t="inlineStr">
        <is>
          <t>RAGUNDA</t>
        </is>
      </c>
      <c r="H135" t="inlineStr">
        <is>
          <t>SCA</t>
        </is>
      </c>
      <c r="I135" t="n">
        <v>10</v>
      </c>
      <c r="J135" t="n">
        <v>1</v>
      </c>
      <c r="K135" t="n">
        <v>1</v>
      </c>
      <c r="L135" t="n">
        <v>2</v>
      </c>
      <c r="M135" t="n">
        <v>1</v>
      </c>
      <c r="N135" t="n">
        <v>0</v>
      </c>
      <c r="O135" t="n">
        <v>0</v>
      </c>
      <c r="P135" t="n">
        <v>0</v>
      </c>
      <c r="Q135" t="n">
        <v>3</v>
      </c>
      <c r="R135" t="n">
        <v>1</v>
      </c>
      <c r="S135" t="n">
        <v>4</v>
      </c>
      <c r="T135" t="n">
        <v>10</v>
      </c>
      <c r="U135" t="n">
        <v>10</v>
      </c>
      <c r="V135" s="2" t="inlineStr">
        <is>
          <t>Garnlav
Lunglav
Tretåig hackspett
Luddlav</t>
        </is>
      </c>
      <c r="W135">
        <f>HYPERLINK("https://klasma.github.io/Logging_2303/artfynd/A 33432-2023 artfynd.xlsx", "A 33432-2023")</f>
        <v/>
      </c>
      <c r="X135">
        <f>HYPERLINK("https://klasma.github.io/Logging_2303/kartor/A 33432-2023 karta.png", "A 33432-2023")</f>
        <v/>
      </c>
      <c r="Y135">
        <f>HYPERLINK("https://klasma.github.io/Logging_2303/kartor_geotiff/A 33432-2023 georefererad karta.tif", "A 33432-2023")</f>
        <v/>
      </c>
      <c r="AA135">
        <f>HYPERLINK("https://klasma.github.io/Logging_2303/klagomål/A 33432-2023 FSC-klagomål.docx", "A 33432-2023")</f>
        <v/>
      </c>
      <c r="AB135">
        <f>HYPERLINK("https://klasma.github.io/Logging_2303/klagomålsmail/A 33432-2023 FSC-klagomål mail.docx", "A 33432-2023")</f>
        <v/>
      </c>
      <c r="AC135">
        <f>HYPERLINK("https://klasma.github.io/Logging_2303/tillsyn/A 33432-2023 tillsynsbegäran.docx", "A 33432-2023")</f>
        <v/>
      </c>
      <c r="AD135">
        <f>HYPERLINK("https://klasma.github.io/Logging_2303/tillsynsmail/A 33432-2023 tillsynsbegäran mail.docx", "A 33432-2023")</f>
        <v/>
      </c>
      <c r="AE135">
        <f>HYPERLINK("https://klasma.github.io/Logging_2303/fåglar/A 33432-2023 prioriterade fågelarter.docx", "A 33432-2023")</f>
        <v/>
      </c>
    </row>
    <row r="136" ht="15" customHeight="1">
      <c r="A136" t="inlineStr">
        <is>
          <t>A 60670-2022</t>
        </is>
      </c>
      <c r="B136" t="inlineStr">
        <is>
          <t>avverkningsanmälan</t>
        </is>
      </c>
      <c r="C136" t="inlineStr">
        <is>
          <t>Avverkning för att bevara och utveckla /försöksver</t>
        </is>
      </c>
      <c r="D136" s="1" t="n">
        <v>44911</v>
      </c>
      <c r="E136" s="1" t="n">
        <v>46319</v>
      </c>
      <c r="F136" t="inlineStr">
        <is>
          <t>JÄMTLANDS LÄN</t>
        </is>
      </c>
      <c r="G136" t="inlineStr">
        <is>
          <t>RAGUNDA</t>
        </is>
      </c>
      <c r="H136" t="inlineStr">
        <is>
          <t>SCA</t>
        </is>
      </c>
      <c r="I136" t="n">
        <v>5.1</v>
      </c>
      <c r="J136" t="n">
        <v>0</v>
      </c>
      <c r="K136" t="n">
        <v>0</v>
      </c>
      <c r="L136" t="n">
        <v>4</v>
      </c>
      <c r="M136" t="n">
        <v>0</v>
      </c>
      <c r="N136" t="n">
        <v>0</v>
      </c>
      <c r="O136" t="n">
        <v>0</v>
      </c>
      <c r="P136" t="n">
        <v>0</v>
      </c>
      <c r="Q136" t="n">
        <v>4</v>
      </c>
      <c r="R136" t="n">
        <v>0</v>
      </c>
      <c r="S136" t="n">
        <v>4</v>
      </c>
      <c r="T136" t="n">
        <v>5</v>
      </c>
      <c r="U136" t="n">
        <v>0</v>
      </c>
      <c r="V136" s="2" t="inlineStr">
        <is>
          <t>Doftskinn
Gammelgransskål
Lunglav
Ullticka</t>
        </is>
      </c>
      <c r="W136">
        <f>HYPERLINK("https://klasma.github.io/Logging_2303/artfynd/A 60670-2022 artfynd.xlsx", "A 60670-2022")</f>
        <v/>
      </c>
      <c r="X136">
        <f>HYPERLINK("https://klasma.github.io/Logging_2303/kartor/A 60670-2022 karta.png", "A 60670-2022")</f>
        <v/>
      </c>
      <c r="Y136">
        <f>HYPERLINK("https://klasma.github.io/Logging_2303/kartor_geotiff/A 60670-2022 georefererad karta.tif", "A 60670-2022")</f>
        <v/>
      </c>
      <c r="AA136">
        <f>HYPERLINK("https://klasma.github.io/Logging_2303/klagomål/A 60670-2022 FSC-klagomål.docx", "A 60670-2022")</f>
        <v/>
      </c>
      <c r="AB136">
        <f>HYPERLINK("https://klasma.github.io/Logging_2303/klagomålsmail/A 60670-2022 FSC-klagomål mail.docx", "A 60670-2022")</f>
        <v/>
      </c>
      <c r="AC136">
        <f>HYPERLINK("https://klasma.github.io/Logging_2303/tillsyn/A 60670-2022 tillsynsbegäran.docx", "A 60670-2022")</f>
        <v/>
      </c>
      <c r="AD136">
        <f>HYPERLINK("https://klasma.github.io/Logging_2303/tillsynsmail/A 60670-2022 tillsynsbegäran mail.docx", "A 60670-2022")</f>
        <v/>
      </c>
    </row>
    <row r="137" ht="15" customHeight="1">
      <c r="A137" t="inlineStr">
        <is>
          <t>A 29766-2023</t>
        </is>
      </c>
      <c r="B137" t="inlineStr">
        <is>
          <t>avverkningsanmälan</t>
        </is>
      </c>
      <c r="C137" t="inlineStr">
        <is>
          <t>Föryngringsavverkning</t>
        </is>
      </c>
      <c r="D137" s="1" t="n">
        <v>45098</v>
      </c>
      <c r="E137" s="1" t="n">
        <v>46319</v>
      </c>
      <c r="F137" t="inlineStr">
        <is>
          <t>JÄMTLANDS LÄN</t>
        </is>
      </c>
      <c r="G137" t="inlineStr">
        <is>
          <t>RAGUNDA</t>
        </is>
      </c>
      <c r="I137" t="n">
        <v>2.7</v>
      </c>
      <c r="J137" t="n">
        <v>3</v>
      </c>
      <c r="K137" t="n">
        <v>2</v>
      </c>
      <c r="L137" t="n">
        <v>0</v>
      </c>
      <c r="M137" t="n">
        <v>1</v>
      </c>
      <c r="N137" t="n">
        <v>0</v>
      </c>
      <c r="O137" t="n">
        <v>0</v>
      </c>
      <c r="P137" t="n">
        <v>0</v>
      </c>
      <c r="Q137" t="n">
        <v>1</v>
      </c>
      <c r="R137" t="n">
        <v>1</v>
      </c>
      <c r="S137" t="n">
        <v>4</v>
      </c>
      <c r="T137" t="n">
        <v>4</v>
      </c>
      <c r="U137" t="n">
        <v>0</v>
      </c>
      <c r="V137" s="2" t="inlineStr">
        <is>
          <t>Garnlav
Korallrot
Spindelblomster
Fläcknycklar</t>
        </is>
      </c>
      <c r="W137">
        <f>HYPERLINK("https://klasma.github.io/Logging_2303/artfynd/A 29766-2023 artfynd.xlsx", "A 29766-2023")</f>
        <v/>
      </c>
      <c r="X137">
        <f>HYPERLINK("https://klasma.github.io/Logging_2303/kartor/A 29766-2023 karta.png", "A 29766-2023")</f>
        <v/>
      </c>
      <c r="Y137">
        <f>HYPERLINK("https://klasma.github.io/Logging_2303/kartor_geotiff/A 29766-2023 georefererad karta.tif", "A 29766-2023")</f>
        <v/>
      </c>
      <c r="AA137">
        <f>HYPERLINK("https://klasma.github.io/Logging_2303/klagomål/A 29766-2023 FSC-klagomål.docx", "A 29766-2023")</f>
        <v/>
      </c>
      <c r="AB137">
        <f>HYPERLINK("https://klasma.github.io/Logging_2303/klagomålsmail/A 29766-2023 FSC-klagomål mail.docx", "A 29766-2023")</f>
        <v/>
      </c>
      <c r="AC137">
        <f>HYPERLINK("https://klasma.github.io/Logging_2303/tillsyn/A 29766-2023 tillsynsbegäran.docx", "A 29766-2023")</f>
        <v/>
      </c>
      <c r="AD137">
        <f>HYPERLINK("https://klasma.github.io/Logging_2303/tillsynsmail/A 29766-2023 tillsynsbegäran mail.docx", "A 29766-2023")</f>
        <v/>
      </c>
    </row>
    <row r="138" ht="15" customHeight="1">
      <c r="A138" t="inlineStr">
        <is>
          <t>A 52345-2024</t>
        </is>
      </c>
      <c r="B138" t="inlineStr">
        <is>
          <t>avverkningsanmälan</t>
        </is>
      </c>
      <c r="C138" t="inlineStr">
        <is>
          <t>Avverkning för att bevara och utveckla /försöksver</t>
        </is>
      </c>
      <c r="D138" s="1" t="n">
        <v>45609</v>
      </c>
      <c r="E138" s="1" t="n">
        <v>46319</v>
      </c>
      <c r="F138" t="inlineStr">
        <is>
          <t>JÄMTLANDS LÄN</t>
        </is>
      </c>
      <c r="G138" t="inlineStr">
        <is>
          <t>RAGUNDA</t>
        </is>
      </c>
      <c r="H138" t="inlineStr">
        <is>
          <t>SCA</t>
        </is>
      </c>
      <c r="I138" t="n">
        <v>10.3</v>
      </c>
      <c r="J138" t="n">
        <v>1</v>
      </c>
      <c r="K138" t="n">
        <v>0</v>
      </c>
      <c r="L138" t="n">
        <v>3</v>
      </c>
      <c r="M138" t="n">
        <v>0</v>
      </c>
      <c r="N138" t="n">
        <v>0</v>
      </c>
      <c r="O138" t="n">
        <v>0</v>
      </c>
      <c r="P138" t="n">
        <v>0</v>
      </c>
      <c r="Q138" t="n">
        <v>3</v>
      </c>
      <c r="R138" t="n">
        <v>0</v>
      </c>
      <c r="S138" t="n">
        <v>4</v>
      </c>
      <c r="T138" t="n">
        <v>4</v>
      </c>
      <c r="U138" t="n">
        <v>3</v>
      </c>
      <c r="V138" s="2" t="inlineStr">
        <is>
          <t>Doftskinn
Koralltaggsvamp
Lunglav
Blåsippa</t>
        </is>
      </c>
      <c r="W138">
        <f>HYPERLINK("https://klasma.github.io/Logging_2303/artfynd/A 52345-2024 artfynd.xlsx", "A 52345-2024")</f>
        <v/>
      </c>
      <c r="X138">
        <f>HYPERLINK("https://klasma.github.io/Logging_2303/kartor/A 52345-2024 karta.png", "A 52345-2024")</f>
        <v/>
      </c>
      <c r="Y138">
        <f>HYPERLINK("https://klasma.github.io/Logging_2303/kartor_geotiff/A 52345-2024 georefererad karta.tif", "A 52345-2024")</f>
        <v/>
      </c>
      <c r="AA138">
        <f>HYPERLINK("https://klasma.github.io/Logging_2303/klagomål/A 52345-2024 FSC-klagomål.docx", "A 52345-2024")</f>
        <v/>
      </c>
      <c r="AB138">
        <f>HYPERLINK("https://klasma.github.io/Logging_2303/klagomålsmail/A 52345-2024 FSC-klagomål mail.docx", "A 52345-2024")</f>
        <v/>
      </c>
      <c r="AC138">
        <f>HYPERLINK("https://klasma.github.io/Logging_2303/tillsyn/A 52345-2024 tillsynsbegäran.docx", "A 52345-2024")</f>
        <v/>
      </c>
      <c r="AD138">
        <f>HYPERLINK("https://klasma.github.io/Logging_2303/tillsynsmail/A 52345-2024 tillsynsbegäran mail.docx", "A 52345-2024")</f>
        <v/>
      </c>
    </row>
    <row r="139" ht="15" customHeight="1">
      <c r="A139" t="inlineStr">
        <is>
          <t>A 48065-2023</t>
        </is>
      </c>
      <c r="B139" t="inlineStr">
        <is>
          <t>avverkningsanmälan</t>
        </is>
      </c>
      <c r="C139" t="inlineStr">
        <is>
          <t>Avverkning för att bevara och utveckla /försöksver</t>
        </is>
      </c>
      <c r="D139" s="1" t="n">
        <v>45204</v>
      </c>
      <c r="E139" s="1" t="n">
        <v>46319</v>
      </c>
      <c r="F139" t="inlineStr">
        <is>
          <t>JÄMTLANDS LÄN</t>
        </is>
      </c>
      <c r="G139" t="inlineStr">
        <is>
          <t>RAGUNDA</t>
        </is>
      </c>
      <c r="H139" t="inlineStr">
        <is>
          <t>SCA</t>
        </is>
      </c>
      <c r="I139" t="n">
        <v>3.2</v>
      </c>
      <c r="J139" t="n">
        <v>2</v>
      </c>
      <c r="K139" t="n">
        <v>3</v>
      </c>
      <c r="L139" t="n">
        <v>0</v>
      </c>
      <c r="M139" t="n">
        <v>1</v>
      </c>
      <c r="N139" t="n">
        <v>0</v>
      </c>
      <c r="O139" t="n">
        <v>0</v>
      </c>
      <c r="P139" t="n">
        <v>0</v>
      </c>
      <c r="Q139" t="n">
        <v>1</v>
      </c>
      <c r="R139" t="n">
        <v>1</v>
      </c>
      <c r="S139" t="n">
        <v>4</v>
      </c>
      <c r="T139" t="n">
        <v>4</v>
      </c>
      <c r="U139" t="n">
        <v>4</v>
      </c>
      <c r="V139" s="2" t="inlineStr">
        <is>
          <t>Knärot
Gytterlav
Spindelblomster
Stuplav</t>
        </is>
      </c>
      <c r="W139">
        <f>HYPERLINK("https://klasma.github.io/Logging_2303/artfynd/A 48065-2023 artfynd.xlsx", "A 48065-2023")</f>
        <v/>
      </c>
      <c r="X139">
        <f>HYPERLINK("https://klasma.github.io/Logging_2303/kartor/A 48065-2023 karta.png", "A 48065-2023")</f>
        <v/>
      </c>
      <c r="Y139">
        <f>HYPERLINK("https://klasma.github.io/Logging_2303/kartor_geotiff/A 48065-2023 georefererad karta.tif", "A 48065-2023")</f>
        <v/>
      </c>
      <c r="Z139">
        <f>HYPERLINK("https://klasma.github.io/Logging_2303/knärot/A 48065-2023 karta knärot.png", "A 48065-2023")</f>
        <v/>
      </c>
      <c r="AA139">
        <f>HYPERLINK("https://klasma.github.io/Logging_2303/klagomål/A 48065-2023 FSC-klagomål.docx", "A 48065-2023")</f>
        <v/>
      </c>
      <c r="AB139">
        <f>HYPERLINK("https://klasma.github.io/Logging_2303/klagomålsmail/A 48065-2023 FSC-klagomål mail.docx", "A 48065-2023")</f>
        <v/>
      </c>
      <c r="AC139">
        <f>HYPERLINK("https://klasma.github.io/Logging_2303/tillsyn/A 48065-2023 tillsynsbegäran.docx", "A 48065-2023")</f>
        <v/>
      </c>
      <c r="AD139">
        <f>HYPERLINK("https://klasma.github.io/Logging_2303/tillsynsmail/A 48065-2023 tillsynsbegäran mail.docx", "A 48065-2023")</f>
        <v/>
      </c>
    </row>
    <row r="140" ht="15" customHeight="1">
      <c r="A140" t="inlineStr">
        <is>
          <t>A 13302-2022</t>
        </is>
      </c>
      <c r="B140" t="inlineStr">
        <is>
          <t>avverkningsanmälan</t>
        </is>
      </c>
      <c r="C140" t="inlineStr">
        <is>
          <t>Föryngringsavverkning</t>
        </is>
      </c>
      <c r="D140" s="1" t="n">
        <v>44644</v>
      </c>
      <c r="E140" s="1" t="n">
        <v>46319</v>
      </c>
      <c r="F140" t="inlineStr">
        <is>
          <t>JÄMTLANDS LÄN</t>
        </is>
      </c>
      <c r="G140" t="inlineStr">
        <is>
          <t>RAGUNDA</t>
        </is>
      </c>
      <c r="H140" t="inlineStr">
        <is>
          <t>SCA</t>
        </is>
      </c>
      <c r="I140" t="n">
        <v>35.6</v>
      </c>
      <c r="J140" t="n">
        <v>2</v>
      </c>
      <c r="K140" t="n">
        <v>0</v>
      </c>
      <c r="L140" t="n">
        <v>2</v>
      </c>
      <c r="M140" t="n">
        <v>2</v>
      </c>
      <c r="N140" t="n">
        <v>0</v>
      </c>
      <c r="O140" t="n">
        <v>0</v>
      </c>
      <c r="P140" t="n">
        <v>0</v>
      </c>
      <c r="Q140" t="n">
        <v>4</v>
      </c>
      <c r="R140" t="n">
        <v>2</v>
      </c>
      <c r="S140" t="n">
        <v>4</v>
      </c>
      <c r="T140" t="n">
        <v>4</v>
      </c>
      <c r="U140" t="n">
        <v>4</v>
      </c>
      <c r="V140" s="2" t="inlineStr">
        <is>
          <t>Doftticka
Garnlav
Lunglav
Tretåig hackspett</t>
        </is>
      </c>
      <c r="W140">
        <f>HYPERLINK("https://klasma.github.io/Logging_2303/artfynd/A 13302-2022 artfynd.xlsx", "A 13302-2022")</f>
        <v/>
      </c>
      <c r="X140">
        <f>HYPERLINK("https://klasma.github.io/Logging_2303/kartor/A 13302-2022 karta.png", "A 13302-2022")</f>
        <v/>
      </c>
      <c r="Y140">
        <f>HYPERLINK("https://klasma.github.io/Logging_2303/kartor_geotiff/A 13302-2022 georefererad karta.tif", "A 13302-2022")</f>
        <v/>
      </c>
      <c r="AA140">
        <f>HYPERLINK("https://klasma.github.io/Logging_2303/klagomål/A 13302-2022 FSC-klagomål.docx", "A 13302-2022")</f>
        <v/>
      </c>
      <c r="AB140">
        <f>HYPERLINK("https://klasma.github.io/Logging_2303/klagomålsmail/A 13302-2022 FSC-klagomål mail.docx", "A 13302-2022")</f>
        <v/>
      </c>
      <c r="AC140">
        <f>HYPERLINK("https://klasma.github.io/Logging_2303/tillsyn/A 13302-2022 tillsynsbegäran.docx", "A 13302-2022")</f>
        <v/>
      </c>
      <c r="AD140">
        <f>HYPERLINK("https://klasma.github.io/Logging_2303/tillsynsmail/A 13302-2022 tillsynsbegäran mail.docx", "A 13302-2022")</f>
        <v/>
      </c>
      <c r="AE140">
        <f>HYPERLINK("https://klasma.github.io/Logging_2303/fåglar/A 13302-2022 prioriterade fågelarter.docx", "A 13302-2022")</f>
        <v/>
      </c>
    </row>
    <row r="141" ht="15" customHeight="1">
      <c r="A141" t="inlineStr">
        <is>
          <t>A 17733-2022</t>
        </is>
      </c>
      <c r="B141" t="inlineStr">
        <is>
          <t>avverkningsanmälan</t>
        </is>
      </c>
      <c r="C141" t="inlineStr">
        <is>
          <t>Föryngringsavverkning</t>
        </is>
      </c>
      <c r="D141" s="1" t="n">
        <v>44680</v>
      </c>
      <c r="E141" s="1" t="n">
        <v>46319</v>
      </c>
      <c r="F141" t="inlineStr">
        <is>
          <t>JÄMTLANDS LÄN</t>
        </is>
      </c>
      <c r="G141" t="inlineStr">
        <is>
          <t>RAGUNDA</t>
        </is>
      </c>
      <c r="I141" t="n">
        <v>2.2</v>
      </c>
      <c r="J141" t="n">
        <v>0</v>
      </c>
      <c r="K141" t="n">
        <v>2</v>
      </c>
      <c r="L141" t="n">
        <v>2</v>
      </c>
      <c r="M141" t="n">
        <v>0</v>
      </c>
      <c r="N141" t="n">
        <v>0</v>
      </c>
      <c r="O141" t="n">
        <v>0</v>
      </c>
      <c r="P141" t="n">
        <v>0</v>
      </c>
      <c r="Q141" t="n">
        <v>2</v>
      </c>
      <c r="R141" t="n">
        <v>0</v>
      </c>
      <c r="S141" t="n">
        <v>4</v>
      </c>
      <c r="T141" t="n">
        <v>11</v>
      </c>
      <c r="U141" t="n">
        <v>0</v>
      </c>
      <c r="V141" s="2" t="inlineStr">
        <is>
          <t>Lunglav
Skrovellav
Dvärgtufs
Stuplav</t>
        </is>
      </c>
      <c r="W141">
        <f>HYPERLINK("https://klasma.github.io/Logging_2303/artfynd/A 17733-2022 artfynd.xlsx", "A 17733-2022")</f>
        <v/>
      </c>
      <c r="X141">
        <f>HYPERLINK("https://klasma.github.io/Logging_2303/kartor/A 17733-2022 karta.png", "A 17733-2022")</f>
        <v/>
      </c>
      <c r="Y141">
        <f>HYPERLINK("https://klasma.github.io/Logging_2303/kartor_geotiff/A 17733-2022 georefererad karta.tif", "A 17733-2022")</f>
        <v/>
      </c>
      <c r="AA141">
        <f>HYPERLINK("https://klasma.github.io/Logging_2303/klagomål/A 17733-2022 FSC-klagomål.docx", "A 17733-2022")</f>
        <v/>
      </c>
      <c r="AB141">
        <f>HYPERLINK("https://klasma.github.io/Logging_2303/klagomålsmail/A 17733-2022 FSC-klagomål mail.docx", "A 17733-2022")</f>
        <v/>
      </c>
      <c r="AC141">
        <f>HYPERLINK("https://klasma.github.io/Logging_2303/tillsyn/A 17733-2022 tillsynsbegäran.docx", "A 17733-2022")</f>
        <v/>
      </c>
      <c r="AD141">
        <f>HYPERLINK("https://klasma.github.io/Logging_2303/tillsynsmail/A 17733-2022 tillsynsbegäran mail.docx", "A 17733-2022")</f>
        <v/>
      </c>
    </row>
    <row r="142" ht="15" customHeight="1">
      <c r="A142" t="inlineStr">
        <is>
          <t>A 17092-2022</t>
        </is>
      </c>
      <c r="B142" t="inlineStr">
        <is>
          <t>avverkningsanmälan</t>
        </is>
      </c>
      <c r="C142" t="inlineStr">
        <is>
          <t>Föryngringsavverkning</t>
        </is>
      </c>
      <c r="D142" s="1" t="n">
        <v>44677</v>
      </c>
      <c r="E142" s="1" t="n">
        <v>46319</v>
      </c>
      <c r="F142" t="inlineStr">
        <is>
          <t>JÄMTLANDS LÄN</t>
        </is>
      </c>
      <c r="G142" t="inlineStr">
        <is>
          <t>RAGUNDA</t>
        </is>
      </c>
      <c r="I142" t="n">
        <v>21.2</v>
      </c>
      <c r="J142" t="n">
        <v>1</v>
      </c>
      <c r="K142" t="n">
        <v>0</v>
      </c>
      <c r="L142" t="n">
        <v>2</v>
      </c>
      <c r="M142" t="n">
        <v>2</v>
      </c>
      <c r="N142" t="n">
        <v>0</v>
      </c>
      <c r="O142" t="n">
        <v>0</v>
      </c>
      <c r="P142" t="n">
        <v>0</v>
      </c>
      <c r="Q142" t="n">
        <v>4</v>
      </c>
      <c r="R142" t="n">
        <v>2</v>
      </c>
      <c r="S142" t="n">
        <v>4</v>
      </c>
      <c r="T142" t="n">
        <v>12</v>
      </c>
      <c r="U142" t="n">
        <v>12</v>
      </c>
      <c r="V142" s="2" t="inlineStr">
        <is>
          <t>Garnlav
Knärot
Lunglav
Ullticka</t>
        </is>
      </c>
      <c r="W142">
        <f>HYPERLINK("https://klasma.github.io/Logging_2303/artfynd/A 17092-2022 artfynd.xlsx", "A 17092-2022")</f>
        <v/>
      </c>
      <c r="X142">
        <f>HYPERLINK("https://klasma.github.io/Logging_2303/kartor/A 17092-2022 karta.png", "A 17092-2022")</f>
        <v/>
      </c>
      <c r="Y142">
        <f>HYPERLINK("https://klasma.github.io/Logging_2303/kartor_geotiff/A 17092-2022 georefererad karta.tif", "A 17092-2022")</f>
        <v/>
      </c>
      <c r="Z142">
        <f>HYPERLINK("https://klasma.github.io/Logging_2303/knärot/A 17092-2022 karta knärot.png", "A 17092-2022")</f>
        <v/>
      </c>
      <c r="AA142">
        <f>HYPERLINK("https://klasma.github.io/Logging_2303/klagomål/A 17092-2022 FSC-klagomål.docx", "A 17092-2022")</f>
        <v/>
      </c>
      <c r="AB142">
        <f>HYPERLINK("https://klasma.github.io/Logging_2303/klagomålsmail/A 17092-2022 FSC-klagomål mail.docx", "A 17092-2022")</f>
        <v/>
      </c>
      <c r="AC142">
        <f>HYPERLINK("https://klasma.github.io/Logging_2303/tillsyn/A 17092-2022 tillsynsbegäran.docx", "A 17092-2022")</f>
        <v/>
      </c>
      <c r="AD142">
        <f>HYPERLINK("https://klasma.github.io/Logging_2303/tillsynsmail/A 17092-2022 tillsynsbegäran mail.docx", "A 17092-2022")</f>
        <v/>
      </c>
    </row>
    <row r="143" ht="15" customHeight="1">
      <c r="A143" t="inlineStr">
        <is>
          <t>A 17043-2022</t>
        </is>
      </c>
      <c r="B143" t="inlineStr">
        <is>
          <t>avverkningsanmälan</t>
        </is>
      </c>
      <c r="C143" t="inlineStr">
        <is>
          <t>Avverkning för att bevara och utveckla /försöksver</t>
        </is>
      </c>
      <c r="D143" s="1" t="n">
        <v>44676</v>
      </c>
      <c r="E143" s="1" t="n">
        <v>46319</v>
      </c>
      <c r="F143" t="inlineStr">
        <is>
          <t>JÄMTLANDS LÄN</t>
        </is>
      </c>
      <c r="G143" t="inlineStr">
        <is>
          <t>RAGUNDA</t>
        </is>
      </c>
      <c r="H143" t="inlineStr">
        <is>
          <t>SCA</t>
        </is>
      </c>
      <c r="I143" t="n">
        <v>3</v>
      </c>
      <c r="J143" t="n">
        <v>0</v>
      </c>
      <c r="K143" t="n">
        <v>2</v>
      </c>
      <c r="L143" t="n">
        <v>1</v>
      </c>
      <c r="M143" t="n">
        <v>0</v>
      </c>
      <c r="N143" t="n">
        <v>0</v>
      </c>
      <c r="O143" t="n">
        <v>0</v>
      </c>
      <c r="P143" t="n">
        <v>0</v>
      </c>
      <c r="Q143" t="n">
        <v>1</v>
      </c>
      <c r="R143" t="n">
        <v>0</v>
      </c>
      <c r="S143" t="n">
        <v>3</v>
      </c>
      <c r="T143" t="n">
        <v>4</v>
      </c>
      <c r="U143" t="n">
        <v>0</v>
      </c>
      <c r="V143" s="2" t="inlineStr">
        <is>
          <t>Lunglav
Skinnlav
Vedticka</t>
        </is>
      </c>
      <c r="W143">
        <f>HYPERLINK("https://klasma.github.io/Logging_2303/artfynd/A 17043-2022 artfynd.xlsx", "A 17043-2022")</f>
        <v/>
      </c>
      <c r="X143">
        <f>HYPERLINK("https://klasma.github.io/Logging_2303/kartor/A 17043-2022 karta.png", "A 17043-2022")</f>
        <v/>
      </c>
      <c r="Y143">
        <f>HYPERLINK("https://klasma.github.io/Logging_2303/kartor_geotiff/A 17043-2022 georefererad karta.tif", "A 17043-2022")</f>
        <v/>
      </c>
      <c r="AA143">
        <f>HYPERLINK("https://klasma.github.io/Logging_2303/klagomål/A 17043-2022 FSC-klagomål.docx", "A 17043-2022")</f>
        <v/>
      </c>
      <c r="AB143">
        <f>HYPERLINK("https://klasma.github.io/Logging_2303/klagomålsmail/A 17043-2022 FSC-klagomål mail.docx", "A 17043-2022")</f>
        <v/>
      </c>
      <c r="AC143">
        <f>HYPERLINK("https://klasma.github.io/Logging_2303/tillsyn/A 17043-2022 tillsynsbegäran.docx", "A 17043-2022")</f>
        <v/>
      </c>
      <c r="AD143">
        <f>HYPERLINK("https://klasma.github.io/Logging_2303/tillsynsmail/A 17043-2022 tillsynsbegäran mail.docx", "A 17043-2022")</f>
        <v/>
      </c>
    </row>
    <row r="144" ht="15" customHeight="1">
      <c r="A144" t="inlineStr">
        <is>
          <t>A 22730-2023</t>
        </is>
      </c>
      <c r="B144" t="inlineStr">
        <is>
          <t>avverkningsanmälan</t>
        </is>
      </c>
      <c r="C144" t="inlineStr">
        <is>
          <t>Föryngringsavverkning</t>
        </is>
      </c>
      <c r="D144" s="1" t="n">
        <v>45071</v>
      </c>
      <c r="E144" s="1" t="n">
        <v>46319</v>
      </c>
      <c r="F144" t="inlineStr">
        <is>
          <t>JÄMTLANDS LÄN</t>
        </is>
      </c>
      <c r="G144" t="inlineStr">
        <is>
          <t>RAGUNDA</t>
        </is>
      </c>
      <c r="I144" t="n">
        <v>3.6</v>
      </c>
      <c r="J144" t="n">
        <v>0</v>
      </c>
      <c r="K144" t="n">
        <v>0</v>
      </c>
      <c r="L144" t="n">
        <v>2</v>
      </c>
      <c r="M144" t="n">
        <v>1</v>
      </c>
      <c r="N144" t="n">
        <v>0</v>
      </c>
      <c r="O144" t="n">
        <v>0</v>
      </c>
      <c r="P144" t="n">
        <v>0</v>
      </c>
      <c r="Q144" t="n">
        <v>3</v>
      </c>
      <c r="R144" t="n">
        <v>1</v>
      </c>
      <c r="S144" t="n">
        <v>3</v>
      </c>
      <c r="T144" t="n">
        <v>3</v>
      </c>
      <c r="U144" t="n">
        <v>0</v>
      </c>
      <c r="V144" s="2" t="inlineStr">
        <is>
          <t>Garnlav
Lunglav
Vitgrynig nållav</t>
        </is>
      </c>
      <c r="W144">
        <f>HYPERLINK("https://klasma.github.io/Logging_2303/artfynd/A 22730-2023 artfynd.xlsx", "A 22730-2023")</f>
        <v/>
      </c>
      <c r="X144">
        <f>HYPERLINK("https://klasma.github.io/Logging_2303/kartor/A 22730-2023 karta.png", "A 22730-2023")</f>
        <v/>
      </c>
      <c r="Y144">
        <f>HYPERLINK("https://klasma.github.io/Logging_2303/kartor_geotiff/A 22730-2023 georefererad karta.tif", "A 22730-2023")</f>
        <v/>
      </c>
      <c r="AA144">
        <f>HYPERLINK("https://klasma.github.io/Logging_2303/klagomål/A 22730-2023 FSC-klagomål.docx", "A 22730-2023")</f>
        <v/>
      </c>
      <c r="AB144">
        <f>HYPERLINK("https://klasma.github.io/Logging_2303/klagomålsmail/A 22730-2023 FSC-klagomål mail.docx", "A 22730-2023")</f>
        <v/>
      </c>
      <c r="AC144">
        <f>HYPERLINK("https://klasma.github.io/Logging_2303/tillsyn/A 22730-2023 tillsynsbegäran.docx", "A 22730-2023")</f>
        <v/>
      </c>
      <c r="AD144">
        <f>HYPERLINK("https://klasma.github.io/Logging_2303/tillsynsmail/A 22730-2023 tillsynsbegäran mail.docx", "A 22730-2023")</f>
        <v/>
      </c>
    </row>
    <row r="145" ht="15" customHeight="1">
      <c r="A145" t="inlineStr">
        <is>
          <t>A 48477-2023</t>
        </is>
      </c>
      <c r="B145" t="inlineStr">
        <is>
          <t>avverkningsanmälan</t>
        </is>
      </c>
      <c r="C145" t="inlineStr">
        <is>
          <t>Föryngringsavverkning</t>
        </is>
      </c>
      <c r="D145" s="1" t="n">
        <v>45206</v>
      </c>
      <c r="E145" s="1" t="n">
        <v>46319</v>
      </c>
      <c r="F145" t="inlineStr">
        <is>
          <t>JÄMTLANDS LÄN</t>
        </is>
      </c>
      <c r="G145" t="inlineStr">
        <is>
          <t>RAGUNDA</t>
        </is>
      </c>
      <c r="H145" t="inlineStr">
        <is>
          <t>SCA</t>
        </is>
      </c>
      <c r="I145" t="n">
        <v>1.8</v>
      </c>
      <c r="J145" t="n">
        <v>1</v>
      </c>
      <c r="K145" t="n">
        <v>0</v>
      </c>
      <c r="L145" t="n">
        <v>3</v>
      </c>
      <c r="M145" t="n">
        <v>0</v>
      </c>
      <c r="N145" t="n">
        <v>0</v>
      </c>
      <c r="O145" t="n">
        <v>0</v>
      </c>
      <c r="P145" t="n">
        <v>0</v>
      </c>
      <c r="Q145" t="n">
        <v>3</v>
      </c>
      <c r="R145" t="n">
        <v>0</v>
      </c>
      <c r="S145" t="n">
        <v>3</v>
      </c>
      <c r="T145" t="n">
        <v>3</v>
      </c>
      <c r="U145" t="n">
        <v>0</v>
      </c>
      <c r="V145" s="2" t="inlineStr">
        <is>
          <t>Dropptaggsvamp
Gammelgransskål
Talltita</t>
        </is>
      </c>
      <c r="W145">
        <f>HYPERLINK("https://klasma.github.io/Logging_2303/artfynd/A 48477-2023 artfynd.xlsx", "A 48477-2023")</f>
        <v/>
      </c>
      <c r="X145">
        <f>HYPERLINK("https://klasma.github.io/Logging_2303/kartor/A 48477-2023 karta.png", "A 48477-2023")</f>
        <v/>
      </c>
      <c r="Y145">
        <f>HYPERLINK("https://klasma.github.io/Logging_2303/kartor_geotiff/A 48477-2023 georefererad karta.tif", "A 48477-2023")</f>
        <v/>
      </c>
      <c r="AA145">
        <f>HYPERLINK("https://klasma.github.io/Logging_2303/klagomål/A 48477-2023 FSC-klagomål.docx", "A 48477-2023")</f>
        <v/>
      </c>
      <c r="AB145">
        <f>HYPERLINK("https://klasma.github.io/Logging_2303/klagomålsmail/A 48477-2023 FSC-klagomål mail.docx", "A 48477-2023")</f>
        <v/>
      </c>
      <c r="AC145">
        <f>HYPERLINK("https://klasma.github.io/Logging_2303/tillsyn/A 48477-2023 tillsynsbegäran.docx", "A 48477-2023")</f>
        <v/>
      </c>
      <c r="AD145">
        <f>HYPERLINK("https://klasma.github.io/Logging_2303/tillsynsmail/A 48477-2023 tillsynsbegäran mail.docx", "A 48477-2023")</f>
        <v/>
      </c>
      <c r="AE145">
        <f>HYPERLINK("https://klasma.github.io/Logging_2303/fåglar/A 48477-2023 prioriterade fågelarter.docx", "A 48477-2023")</f>
        <v/>
      </c>
    </row>
    <row r="146" ht="15" customHeight="1">
      <c r="A146" t="inlineStr">
        <is>
          <t>A 15611-2024</t>
        </is>
      </c>
      <c r="B146" t="inlineStr">
        <is>
          <t>avverkningsanmälan</t>
        </is>
      </c>
      <c r="C146" t="inlineStr">
        <is>
          <t>Föryngringsavverkning</t>
        </is>
      </c>
      <c r="D146" s="1" t="n">
        <v>45401</v>
      </c>
      <c r="E146" s="1" t="n">
        <v>46319</v>
      </c>
      <c r="F146" t="inlineStr">
        <is>
          <t>JÄMTLANDS LÄN</t>
        </is>
      </c>
      <c r="G146" t="inlineStr">
        <is>
          <t>RAGUNDA</t>
        </is>
      </c>
      <c r="H146" t="inlineStr">
        <is>
          <t>SCA</t>
        </is>
      </c>
      <c r="I146" t="n">
        <v>10.3</v>
      </c>
      <c r="J146" t="n">
        <v>1</v>
      </c>
      <c r="K146" t="n">
        <v>0</v>
      </c>
      <c r="L146" t="n">
        <v>2</v>
      </c>
      <c r="M146" t="n">
        <v>1</v>
      </c>
      <c r="N146" t="n">
        <v>0</v>
      </c>
      <c r="O146" t="n">
        <v>0</v>
      </c>
      <c r="P146" t="n">
        <v>0</v>
      </c>
      <c r="Q146" t="n">
        <v>3</v>
      </c>
      <c r="R146" t="n">
        <v>1</v>
      </c>
      <c r="S146" t="n">
        <v>3</v>
      </c>
      <c r="T146" t="n">
        <v>4</v>
      </c>
      <c r="U146" t="n">
        <v>4</v>
      </c>
      <c r="V146" s="2" t="inlineStr">
        <is>
          <t>Garnlav
Lunglav
Talltita</t>
        </is>
      </c>
      <c r="W146">
        <f>HYPERLINK("https://klasma.github.io/Logging_2303/artfynd/A 15611-2024 artfynd.xlsx", "A 15611-2024")</f>
        <v/>
      </c>
      <c r="X146">
        <f>HYPERLINK("https://klasma.github.io/Logging_2303/kartor/A 15611-2024 karta.png", "A 15611-2024")</f>
        <v/>
      </c>
      <c r="Y146">
        <f>HYPERLINK("https://klasma.github.io/Logging_2303/kartor_geotiff/A 15611-2024 georefererad karta.tif", "A 15611-2024")</f>
        <v/>
      </c>
      <c r="AA146">
        <f>HYPERLINK("https://klasma.github.io/Logging_2303/klagomål/A 15611-2024 FSC-klagomål.docx", "A 15611-2024")</f>
        <v/>
      </c>
      <c r="AB146">
        <f>HYPERLINK("https://klasma.github.io/Logging_2303/klagomålsmail/A 15611-2024 FSC-klagomål mail.docx", "A 15611-2024")</f>
        <v/>
      </c>
      <c r="AC146">
        <f>HYPERLINK("https://klasma.github.io/Logging_2303/tillsyn/A 15611-2024 tillsynsbegäran.docx", "A 15611-2024")</f>
        <v/>
      </c>
      <c r="AD146">
        <f>HYPERLINK("https://klasma.github.io/Logging_2303/tillsynsmail/A 15611-2024 tillsynsbegäran mail.docx", "A 15611-2024")</f>
        <v/>
      </c>
      <c r="AE146">
        <f>HYPERLINK("https://klasma.github.io/Logging_2303/fåglar/A 15611-2024 prioriterade fågelarter.docx", "A 15611-2024")</f>
        <v/>
      </c>
    </row>
    <row r="147" ht="15" customHeight="1">
      <c r="A147" t="inlineStr">
        <is>
          <t>A 18610-2024</t>
        </is>
      </c>
      <c r="B147" t="inlineStr">
        <is>
          <t>avverkningsanmälan</t>
        </is>
      </c>
      <c r="C147" t="inlineStr">
        <is>
          <t>Föryngringsavverkning</t>
        </is>
      </c>
      <c r="D147" s="1" t="n">
        <v>45425</v>
      </c>
      <c r="E147" s="1" t="n">
        <v>46319</v>
      </c>
      <c r="F147" t="inlineStr">
        <is>
          <t>JÄMTLANDS LÄN</t>
        </is>
      </c>
      <c r="G147" t="inlineStr">
        <is>
          <t>RAGUNDA</t>
        </is>
      </c>
      <c r="H147" t="inlineStr">
        <is>
          <t>SCA</t>
        </is>
      </c>
      <c r="I147" t="n">
        <v>1.2</v>
      </c>
      <c r="J147" t="n">
        <v>0</v>
      </c>
      <c r="K147" t="n">
        <v>0</v>
      </c>
      <c r="L147" t="n">
        <v>1</v>
      </c>
      <c r="M147" t="n">
        <v>2</v>
      </c>
      <c r="N147" t="n">
        <v>0</v>
      </c>
      <c r="O147" t="n">
        <v>0</v>
      </c>
      <c r="P147" t="n">
        <v>0</v>
      </c>
      <c r="Q147" t="n">
        <v>3</v>
      </c>
      <c r="R147" t="n">
        <v>2</v>
      </c>
      <c r="S147" t="n">
        <v>3</v>
      </c>
      <c r="T147" t="n">
        <v>3</v>
      </c>
      <c r="U147" t="n">
        <v>0</v>
      </c>
      <c r="V147" s="2" t="inlineStr">
        <is>
          <t>Fläckporing
Gräddporing
Dropptaggsvamp</t>
        </is>
      </c>
      <c r="W147">
        <f>HYPERLINK("https://klasma.github.io/Logging_2303/artfynd/A 18610-2024 artfynd.xlsx", "A 18610-2024")</f>
        <v/>
      </c>
      <c r="X147">
        <f>HYPERLINK("https://klasma.github.io/Logging_2303/kartor/A 18610-2024 karta.png", "A 18610-2024")</f>
        <v/>
      </c>
      <c r="Y147">
        <f>HYPERLINK("https://klasma.github.io/Logging_2303/kartor_geotiff/A 18610-2024 georefererad karta.tif", "A 18610-2024")</f>
        <v/>
      </c>
      <c r="AA147">
        <f>HYPERLINK("https://klasma.github.io/Logging_2303/klagomål/A 18610-2024 FSC-klagomål.docx", "A 18610-2024")</f>
        <v/>
      </c>
      <c r="AB147">
        <f>HYPERLINK("https://klasma.github.io/Logging_2303/klagomålsmail/A 18610-2024 FSC-klagomål mail.docx", "A 18610-2024")</f>
        <v/>
      </c>
      <c r="AC147">
        <f>HYPERLINK("https://klasma.github.io/Logging_2303/tillsyn/A 18610-2024 tillsynsbegäran.docx", "A 18610-2024")</f>
        <v/>
      </c>
      <c r="AD147">
        <f>HYPERLINK("https://klasma.github.io/Logging_2303/tillsynsmail/A 18610-2024 tillsynsbegäran mail.docx", "A 18610-2024")</f>
        <v/>
      </c>
    </row>
    <row r="148" ht="15" customHeight="1">
      <c r="A148" t="inlineStr">
        <is>
          <t>A 3838-2024</t>
        </is>
      </c>
      <c r="B148" t="inlineStr">
        <is>
          <t>avverkningsanmälan</t>
        </is>
      </c>
      <c r="C148" t="inlineStr">
        <is>
          <t>Föryngringsavverkning</t>
        </is>
      </c>
      <c r="D148" s="1" t="n">
        <v>45321</v>
      </c>
      <c r="E148" s="1" t="n">
        <v>46319</v>
      </c>
      <c r="F148" t="inlineStr">
        <is>
          <t>JÄMTLANDS LÄN</t>
        </is>
      </c>
      <c r="G148" t="inlineStr">
        <is>
          <t>RAGUNDA</t>
        </is>
      </c>
      <c r="H148" t="inlineStr">
        <is>
          <t>SCA</t>
        </is>
      </c>
      <c r="I148" t="n">
        <v>2</v>
      </c>
      <c r="J148" t="n">
        <v>1</v>
      </c>
      <c r="K148" t="n">
        <v>1</v>
      </c>
      <c r="L148" t="n">
        <v>1</v>
      </c>
      <c r="M148" t="n">
        <v>1</v>
      </c>
      <c r="N148" t="n">
        <v>0</v>
      </c>
      <c r="O148" t="n">
        <v>0</v>
      </c>
      <c r="P148" t="n">
        <v>0</v>
      </c>
      <c r="Q148" t="n">
        <v>2</v>
      </c>
      <c r="R148" t="n">
        <v>1</v>
      </c>
      <c r="S148" t="n">
        <v>3</v>
      </c>
      <c r="T148" t="n">
        <v>4</v>
      </c>
      <c r="U148" t="n">
        <v>0</v>
      </c>
      <c r="V148" s="2" t="inlineStr">
        <is>
          <t>Garnlav
Lunglav
Guckusko</t>
        </is>
      </c>
      <c r="W148">
        <f>HYPERLINK("https://klasma.github.io/Logging_2303/artfynd/A 3838-2024 artfynd.xlsx", "A 3838-2024")</f>
        <v/>
      </c>
      <c r="X148">
        <f>HYPERLINK("https://klasma.github.io/Logging_2303/kartor/A 3838-2024 karta.png", "A 3838-2024")</f>
        <v/>
      </c>
      <c r="Y148">
        <f>HYPERLINK("https://klasma.github.io/Logging_2303/kartor_geotiff/A 3838-2024 georefererad karta.tif", "A 3838-2024")</f>
        <v/>
      </c>
      <c r="AA148">
        <f>HYPERLINK("https://klasma.github.io/Logging_2303/klagomål/A 3838-2024 FSC-klagomål.docx", "A 3838-2024")</f>
        <v/>
      </c>
      <c r="AB148">
        <f>HYPERLINK("https://klasma.github.io/Logging_2303/klagomålsmail/A 3838-2024 FSC-klagomål mail.docx", "A 3838-2024")</f>
        <v/>
      </c>
      <c r="AC148">
        <f>HYPERLINK("https://klasma.github.io/Logging_2303/tillsyn/A 3838-2024 tillsynsbegäran.docx", "A 3838-2024")</f>
        <v/>
      </c>
      <c r="AD148">
        <f>HYPERLINK("https://klasma.github.io/Logging_2303/tillsynsmail/A 3838-2024 tillsynsbegäran mail.docx", "A 3838-2024")</f>
        <v/>
      </c>
    </row>
    <row r="149" ht="15" customHeight="1">
      <c r="A149" t="inlineStr">
        <is>
          <t>A 12271-2024</t>
        </is>
      </c>
      <c r="B149" t="inlineStr">
        <is>
          <t>avverkningsanmälan</t>
        </is>
      </c>
      <c r="C149" t="inlineStr">
        <is>
          <t>Föryngringsavverkning</t>
        </is>
      </c>
      <c r="D149" s="1" t="n">
        <v>45378</v>
      </c>
      <c r="E149" s="1" t="n">
        <v>46319</v>
      </c>
      <c r="F149" t="inlineStr">
        <is>
          <t>JÄMTLANDS LÄN</t>
        </is>
      </c>
      <c r="G149" t="inlineStr">
        <is>
          <t>RAGUNDA</t>
        </is>
      </c>
      <c r="H149" t="inlineStr">
        <is>
          <t>Kommuner</t>
        </is>
      </c>
      <c r="I149" t="n">
        <v>6.1</v>
      </c>
      <c r="J149" t="n">
        <v>0</v>
      </c>
      <c r="K149" t="n">
        <v>0</v>
      </c>
      <c r="L149" t="n">
        <v>2</v>
      </c>
      <c r="M149" t="n">
        <v>1</v>
      </c>
      <c r="N149" t="n">
        <v>0</v>
      </c>
      <c r="O149" t="n">
        <v>0</v>
      </c>
      <c r="P149" t="n">
        <v>0</v>
      </c>
      <c r="Q149" t="n">
        <v>3</v>
      </c>
      <c r="R149" t="n">
        <v>1</v>
      </c>
      <c r="S149" t="n">
        <v>3</v>
      </c>
      <c r="T149" t="n">
        <v>3</v>
      </c>
      <c r="U149" t="n">
        <v>0</v>
      </c>
      <c r="V149" s="2" t="inlineStr">
        <is>
          <t>Garnlav
Dvärgbägarlav
Lunglav</t>
        </is>
      </c>
      <c r="W149">
        <f>HYPERLINK("https://klasma.github.io/Logging_2303/artfynd/A 12271-2024 artfynd.xlsx", "A 12271-2024")</f>
        <v/>
      </c>
      <c r="X149">
        <f>HYPERLINK("https://klasma.github.io/Logging_2303/kartor/A 12271-2024 karta.png", "A 12271-2024")</f>
        <v/>
      </c>
      <c r="Y149">
        <f>HYPERLINK("https://klasma.github.io/Logging_2303/kartor_geotiff/A 12271-2024 georefererad karta.tif", "A 12271-2024")</f>
        <v/>
      </c>
      <c r="AA149">
        <f>HYPERLINK("https://klasma.github.io/Logging_2303/klagomål/A 12271-2024 FSC-klagomål.docx", "A 12271-2024")</f>
        <v/>
      </c>
      <c r="AB149">
        <f>HYPERLINK("https://klasma.github.io/Logging_2303/klagomålsmail/A 12271-2024 FSC-klagomål mail.docx", "A 12271-2024")</f>
        <v/>
      </c>
      <c r="AC149">
        <f>HYPERLINK("https://klasma.github.io/Logging_2303/tillsyn/A 12271-2024 tillsynsbegäran.docx", "A 12271-2024")</f>
        <v/>
      </c>
      <c r="AD149">
        <f>HYPERLINK("https://klasma.github.io/Logging_2303/tillsynsmail/A 12271-2024 tillsynsbegäran mail.docx", "A 12271-2024")</f>
        <v/>
      </c>
    </row>
    <row r="150" ht="15" customHeight="1">
      <c r="A150" t="inlineStr">
        <is>
          <t>A 48054-2022</t>
        </is>
      </c>
      <c r="B150" t="inlineStr">
        <is>
          <t>avverkningsanmälan</t>
        </is>
      </c>
      <c r="C150" t="inlineStr">
        <is>
          <t>Avverkning för att bevara och utveckla /försöksver</t>
        </is>
      </c>
      <c r="D150" s="1" t="n">
        <v>44855</v>
      </c>
      <c r="E150" s="1" t="n">
        <v>46319</v>
      </c>
      <c r="F150" t="inlineStr">
        <is>
          <t>JÄMTLANDS LÄN</t>
        </is>
      </c>
      <c r="G150" t="inlineStr">
        <is>
          <t>RAGUNDA</t>
        </is>
      </c>
      <c r="H150" t="inlineStr">
        <is>
          <t>SCA</t>
        </is>
      </c>
      <c r="I150" t="n">
        <v>1.5</v>
      </c>
      <c r="J150" t="n">
        <v>2</v>
      </c>
      <c r="K150" t="n">
        <v>0</v>
      </c>
      <c r="L150" t="n">
        <v>1</v>
      </c>
      <c r="M150" t="n">
        <v>1</v>
      </c>
      <c r="N150" t="n">
        <v>0</v>
      </c>
      <c r="O150" t="n">
        <v>0</v>
      </c>
      <c r="P150" t="n">
        <v>0</v>
      </c>
      <c r="Q150" t="n">
        <v>2</v>
      </c>
      <c r="R150" t="n">
        <v>1</v>
      </c>
      <c r="S150" t="n">
        <v>3</v>
      </c>
      <c r="T150" t="n">
        <v>3</v>
      </c>
      <c r="U150" t="n">
        <v>0</v>
      </c>
      <c r="V150" s="2" t="inlineStr">
        <is>
          <t>Knärot
Lunglav
Blåsippa</t>
        </is>
      </c>
      <c r="W150">
        <f>HYPERLINK("https://klasma.github.io/Logging_2303/artfynd/A 48054-2022 artfynd.xlsx", "A 48054-2022")</f>
        <v/>
      </c>
      <c r="X150">
        <f>HYPERLINK("https://klasma.github.io/Logging_2303/kartor/A 48054-2022 karta.png", "A 48054-2022")</f>
        <v/>
      </c>
      <c r="Y150">
        <f>HYPERLINK("https://klasma.github.io/Logging_2303/kartor_geotiff/A 48054-2022 georefererad karta.tif", "A 48054-2022")</f>
        <v/>
      </c>
      <c r="Z150">
        <f>HYPERLINK("https://klasma.github.io/Logging_2303/knärot/A 48054-2022 karta knärot.png", "A 48054-2022")</f>
        <v/>
      </c>
      <c r="AA150">
        <f>HYPERLINK("https://klasma.github.io/Logging_2303/klagomål/A 48054-2022 FSC-klagomål.docx", "A 48054-2022")</f>
        <v/>
      </c>
      <c r="AB150">
        <f>HYPERLINK("https://klasma.github.io/Logging_2303/klagomålsmail/A 48054-2022 FSC-klagomål mail.docx", "A 48054-2022")</f>
        <v/>
      </c>
      <c r="AC150">
        <f>HYPERLINK("https://klasma.github.io/Logging_2303/tillsyn/A 48054-2022 tillsynsbegäran.docx", "A 48054-2022")</f>
        <v/>
      </c>
      <c r="AD150">
        <f>HYPERLINK("https://klasma.github.io/Logging_2303/tillsynsmail/A 48054-2022 tillsynsbegäran mail.docx", "A 48054-2022")</f>
        <v/>
      </c>
    </row>
    <row r="151" ht="15" customHeight="1">
      <c r="A151" t="inlineStr">
        <is>
          <t>A 27651-2026</t>
        </is>
      </c>
      <c r="B151" t="inlineStr">
        <is>
          <t>avverkningsanmälan</t>
        </is>
      </c>
      <c r="C151" t="inlineStr">
        <is>
          <t>Föryngringsavverkning</t>
        </is>
      </c>
      <c r="D151" s="1" t="n">
        <v>46188</v>
      </c>
      <c r="E151" s="1" t="n">
        <v>46319</v>
      </c>
      <c r="F151" t="inlineStr">
        <is>
          <t>JÄMTLANDS LÄN</t>
        </is>
      </c>
      <c r="G151" t="inlineStr">
        <is>
          <t>RAGUNDA</t>
        </is>
      </c>
      <c r="I151" t="n">
        <v>14.5</v>
      </c>
      <c r="J151" t="n">
        <v>1</v>
      </c>
      <c r="K151" t="n">
        <v>0</v>
      </c>
      <c r="L151" t="n">
        <v>2</v>
      </c>
      <c r="M151" t="n">
        <v>1</v>
      </c>
      <c r="N151" t="n">
        <v>0</v>
      </c>
      <c r="O151" t="n">
        <v>0</v>
      </c>
      <c r="P151" t="n">
        <v>0</v>
      </c>
      <c r="Q151" t="n">
        <v>3</v>
      </c>
      <c r="R151" t="n">
        <v>1</v>
      </c>
      <c r="S151" t="n">
        <v>3</v>
      </c>
      <c r="T151" t="n">
        <v>8</v>
      </c>
      <c r="U151" t="n">
        <v>8</v>
      </c>
      <c r="V151" s="2" t="inlineStr">
        <is>
          <t>Garnlav
Lunglav
Tretåig hackspett</t>
        </is>
      </c>
      <c r="W151">
        <f>HYPERLINK("https://klasma.github.io/Logging_2303/artfynd/A 27651-2026 artfynd.xlsx", "A 27651-2026")</f>
        <v/>
      </c>
      <c r="X151">
        <f>HYPERLINK("https://klasma.github.io/Logging_2303/kartor/A 27651-2026 karta.png", "A 27651-2026")</f>
        <v/>
      </c>
      <c r="Y151">
        <f>HYPERLINK("https://klasma.github.io/Logging_2303/kartor_geotiff/A 27651-2026 georefererad karta.tif", "A 27651-2026")</f>
        <v/>
      </c>
      <c r="AA151">
        <f>HYPERLINK("https://klasma.github.io/Logging_2303/klagomål/A 27651-2026 FSC-klagomål.docx", "A 27651-2026")</f>
        <v/>
      </c>
      <c r="AB151">
        <f>HYPERLINK("https://klasma.github.io/Logging_2303/klagomålsmail/A 27651-2026 FSC-klagomål mail.docx", "A 27651-2026")</f>
        <v/>
      </c>
      <c r="AC151">
        <f>HYPERLINK("https://klasma.github.io/Logging_2303/tillsyn/A 27651-2026 tillsynsbegäran.docx", "A 27651-2026")</f>
        <v/>
      </c>
      <c r="AD151">
        <f>HYPERLINK("https://klasma.github.io/Logging_2303/tillsynsmail/A 27651-2026 tillsynsbegäran mail.docx", "A 27651-2026")</f>
        <v/>
      </c>
      <c r="AE151">
        <f>HYPERLINK("https://klasma.github.io/Logging_2303/fåglar/A 27651-2026 prioriterade fågelarter.docx", "A 27651-2026")</f>
        <v/>
      </c>
    </row>
    <row r="152" ht="15" customHeight="1">
      <c r="A152" t="inlineStr">
        <is>
          <t>A 61790-2023</t>
        </is>
      </c>
      <c r="B152" t="inlineStr">
        <is>
          <t>avverkningsanmälan</t>
        </is>
      </c>
      <c r="C152" t="inlineStr">
        <is>
          <t>Avverkning för att bevara och utveckla /försöksver</t>
        </is>
      </c>
      <c r="D152" s="1" t="n">
        <v>45265</v>
      </c>
      <c r="E152" s="1" t="n">
        <v>46319</v>
      </c>
      <c r="F152" t="inlineStr">
        <is>
          <t>JÄMTLANDS LÄN</t>
        </is>
      </c>
      <c r="G152" t="inlineStr">
        <is>
          <t>RAGUNDA</t>
        </is>
      </c>
      <c r="H152" t="inlineStr">
        <is>
          <t>SCA</t>
        </is>
      </c>
      <c r="I152" t="n">
        <v>6.1</v>
      </c>
      <c r="J152" t="n">
        <v>0</v>
      </c>
      <c r="K152" t="n">
        <v>0</v>
      </c>
      <c r="L152" t="n">
        <v>3</v>
      </c>
      <c r="M152" t="n">
        <v>0</v>
      </c>
      <c r="N152" t="n">
        <v>0</v>
      </c>
      <c r="O152" t="n">
        <v>0</v>
      </c>
      <c r="P152" t="n">
        <v>0</v>
      </c>
      <c r="Q152" t="n">
        <v>3</v>
      </c>
      <c r="R152" t="n">
        <v>0</v>
      </c>
      <c r="S152" t="n">
        <v>3</v>
      </c>
      <c r="T152" t="n">
        <v>3</v>
      </c>
      <c r="U152" t="n">
        <v>0</v>
      </c>
      <c r="V152" s="2" t="inlineStr">
        <is>
          <t>Gammelgransskål
Lunglav
Skrovellav</t>
        </is>
      </c>
      <c r="W152">
        <f>HYPERLINK("https://klasma.github.io/Logging_2303/artfynd/A 61790-2023 artfynd.xlsx", "A 61790-2023")</f>
        <v/>
      </c>
      <c r="X152">
        <f>HYPERLINK("https://klasma.github.io/Logging_2303/kartor/A 61790-2023 karta.png", "A 61790-2023")</f>
        <v/>
      </c>
      <c r="Y152">
        <f>HYPERLINK("https://klasma.github.io/Logging_2303/kartor_geotiff/A 61790-2023 georefererad karta.tif", "A 61790-2023")</f>
        <v/>
      </c>
      <c r="AA152">
        <f>HYPERLINK("https://klasma.github.io/Logging_2303/klagomål/A 61790-2023 FSC-klagomål.docx", "A 61790-2023")</f>
        <v/>
      </c>
      <c r="AB152">
        <f>HYPERLINK("https://klasma.github.io/Logging_2303/klagomålsmail/A 61790-2023 FSC-klagomål mail.docx", "A 61790-2023")</f>
        <v/>
      </c>
      <c r="AC152">
        <f>HYPERLINK("https://klasma.github.io/Logging_2303/tillsyn/A 61790-2023 tillsynsbegäran.docx", "A 61790-2023")</f>
        <v/>
      </c>
      <c r="AD152">
        <f>HYPERLINK("https://klasma.github.io/Logging_2303/tillsynsmail/A 61790-2023 tillsynsbegäran mail.docx", "A 61790-2023")</f>
        <v/>
      </c>
    </row>
    <row r="153" ht="15" customHeight="1">
      <c r="A153" t="inlineStr">
        <is>
          <t>A 32904-2024</t>
        </is>
      </c>
      <c r="B153" t="inlineStr">
        <is>
          <t>avverkningsanmälan</t>
        </is>
      </c>
      <c r="C153" t="inlineStr">
        <is>
          <t>Avverkning för att bevara och utveckla /försöksver</t>
        </is>
      </c>
      <c r="D153" s="1" t="n">
        <v>45516</v>
      </c>
      <c r="E153" s="1" t="n">
        <v>46319</v>
      </c>
      <c r="F153" t="inlineStr">
        <is>
          <t>JÄMTLANDS LÄN</t>
        </is>
      </c>
      <c r="G153" t="inlineStr">
        <is>
          <t>RAGUNDA</t>
        </is>
      </c>
      <c r="H153" t="inlineStr">
        <is>
          <t>SCA</t>
        </is>
      </c>
      <c r="I153" t="n">
        <v>2.8</v>
      </c>
      <c r="J153" t="n">
        <v>0</v>
      </c>
      <c r="K153" t="n">
        <v>2</v>
      </c>
      <c r="L153" t="n">
        <v>1</v>
      </c>
      <c r="M153" t="n">
        <v>0</v>
      </c>
      <c r="N153" t="n">
        <v>0</v>
      </c>
      <c r="O153" t="n">
        <v>0</v>
      </c>
      <c r="P153" t="n">
        <v>0</v>
      </c>
      <c r="Q153" t="n">
        <v>1</v>
      </c>
      <c r="R153" t="n">
        <v>0</v>
      </c>
      <c r="S153" t="n">
        <v>3</v>
      </c>
      <c r="T153" t="n">
        <v>3</v>
      </c>
      <c r="U153" t="n">
        <v>3</v>
      </c>
      <c r="V153" s="2" t="inlineStr">
        <is>
          <t>Ullticka
Rödgul trumpetsvamp
Svavelriska</t>
        </is>
      </c>
      <c r="W153">
        <f>HYPERLINK("https://klasma.github.io/Logging_2303/artfynd/A 32904-2024 artfynd.xlsx", "A 32904-2024")</f>
        <v/>
      </c>
      <c r="X153">
        <f>HYPERLINK("https://klasma.github.io/Logging_2303/kartor/A 32904-2024 karta.png", "A 32904-2024")</f>
        <v/>
      </c>
      <c r="Y153">
        <f>HYPERLINK("https://klasma.github.io/Logging_2303/kartor_geotiff/A 32904-2024 georefererad karta.tif", "A 32904-2024")</f>
        <v/>
      </c>
      <c r="AA153">
        <f>HYPERLINK("https://klasma.github.io/Logging_2303/klagomål/A 32904-2024 FSC-klagomål.docx", "A 32904-2024")</f>
        <v/>
      </c>
      <c r="AB153">
        <f>HYPERLINK("https://klasma.github.io/Logging_2303/klagomålsmail/A 32904-2024 FSC-klagomål mail.docx", "A 32904-2024")</f>
        <v/>
      </c>
      <c r="AC153">
        <f>HYPERLINK("https://klasma.github.io/Logging_2303/tillsyn/A 32904-2024 tillsynsbegäran.docx", "A 32904-2024")</f>
        <v/>
      </c>
      <c r="AD153">
        <f>HYPERLINK("https://klasma.github.io/Logging_2303/tillsynsmail/A 32904-2024 tillsynsbegäran mail.docx", "A 32904-2024")</f>
        <v/>
      </c>
    </row>
    <row r="154" ht="15" customHeight="1">
      <c r="A154" t="inlineStr">
        <is>
          <t>A 59179-2025</t>
        </is>
      </c>
      <c r="B154" t="inlineStr">
        <is>
          <t>avverkningsanmälan</t>
        </is>
      </c>
      <c r="C154" t="inlineStr">
        <is>
          <t>Föryngringsavverkning</t>
        </is>
      </c>
      <c r="D154" s="1" t="n">
        <v>45988</v>
      </c>
      <c r="E154" s="1" t="n">
        <v>46319</v>
      </c>
      <c r="F154" t="inlineStr">
        <is>
          <t>JÄMTLANDS LÄN</t>
        </is>
      </c>
      <c r="G154" t="inlineStr">
        <is>
          <t>RAGUNDA</t>
        </is>
      </c>
      <c r="H154" t="inlineStr">
        <is>
          <t>SCA</t>
        </is>
      </c>
      <c r="I154" t="n">
        <v>2.3</v>
      </c>
      <c r="J154" t="n">
        <v>0</v>
      </c>
      <c r="K154" t="n">
        <v>0</v>
      </c>
      <c r="L154" t="n">
        <v>2</v>
      </c>
      <c r="M154" t="n">
        <v>1</v>
      </c>
      <c r="N154" t="n">
        <v>0</v>
      </c>
      <c r="O154" t="n">
        <v>0</v>
      </c>
      <c r="P154" t="n">
        <v>0</v>
      </c>
      <c r="Q154" t="n">
        <v>3</v>
      </c>
      <c r="R154" t="n">
        <v>1</v>
      </c>
      <c r="S154" t="n">
        <v>3</v>
      </c>
      <c r="T154" t="n">
        <v>3</v>
      </c>
      <c r="U154" t="n">
        <v>0</v>
      </c>
      <c r="V154" s="2" t="inlineStr">
        <is>
          <t>Garnlav
Kolflarnlav
Lunglav</t>
        </is>
      </c>
      <c r="W154">
        <f>HYPERLINK("https://klasma.github.io/Logging_2303/artfynd/A 59179-2025 artfynd.xlsx", "A 59179-2025")</f>
        <v/>
      </c>
      <c r="X154">
        <f>HYPERLINK("https://klasma.github.io/Logging_2303/kartor/A 59179-2025 karta.png", "A 59179-2025")</f>
        <v/>
      </c>
      <c r="Y154">
        <f>HYPERLINK("https://klasma.github.io/Logging_2303/kartor_geotiff/A 59179-2025 georefererad karta.tif", "A 59179-2025")</f>
        <v/>
      </c>
      <c r="AA154">
        <f>HYPERLINK("https://klasma.github.io/Logging_2303/klagomål/A 59179-2025 FSC-klagomål.docx", "A 59179-2025")</f>
        <v/>
      </c>
      <c r="AB154">
        <f>HYPERLINK("https://klasma.github.io/Logging_2303/klagomålsmail/A 59179-2025 FSC-klagomål mail.docx", "A 59179-2025")</f>
        <v/>
      </c>
      <c r="AC154">
        <f>HYPERLINK("https://klasma.github.io/Logging_2303/tillsyn/A 59179-2025 tillsynsbegäran.docx", "A 59179-2025")</f>
        <v/>
      </c>
      <c r="AD154">
        <f>HYPERLINK("https://klasma.github.io/Logging_2303/tillsynsmail/A 59179-2025 tillsynsbegäran mail.docx", "A 59179-2025")</f>
        <v/>
      </c>
    </row>
    <row r="155" ht="15" customHeight="1">
      <c r="A155" t="inlineStr">
        <is>
          <t>A 5048-2025</t>
        </is>
      </c>
      <c r="B155" t="inlineStr">
        <is>
          <t>avverkningsanmälan</t>
        </is>
      </c>
      <c r="C155" t="inlineStr">
        <is>
          <t>Föryngringsavverkning</t>
        </is>
      </c>
      <c r="D155" s="1" t="n">
        <v>45691</v>
      </c>
      <c r="E155" s="1" t="n">
        <v>46319</v>
      </c>
      <c r="F155" t="inlineStr">
        <is>
          <t>JÄMTLANDS LÄN</t>
        </is>
      </c>
      <c r="G155" t="inlineStr">
        <is>
          <t>RAGUNDA</t>
        </is>
      </c>
      <c r="H155" t="inlineStr">
        <is>
          <t>SCA</t>
        </is>
      </c>
      <c r="I155" t="n">
        <v>1.8</v>
      </c>
      <c r="J155" t="n">
        <v>3</v>
      </c>
      <c r="K155" t="n">
        <v>2</v>
      </c>
      <c r="L155" t="n">
        <v>0</v>
      </c>
      <c r="M155" t="n">
        <v>0</v>
      </c>
      <c r="N155" t="n">
        <v>0</v>
      </c>
      <c r="O155" t="n">
        <v>0</v>
      </c>
      <c r="P155" t="n">
        <v>0</v>
      </c>
      <c r="Q155" t="n">
        <v>0</v>
      </c>
      <c r="R155" t="n">
        <v>0</v>
      </c>
      <c r="S155" t="n">
        <v>3</v>
      </c>
      <c r="T155" t="n">
        <v>3</v>
      </c>
      <c r="U155" t="n">
        <v>3</v>
      </c>
      <c r="V155" s="2" t="inlineStr">
        <is>
          <t>Guckusko
Tvåblad
Fläcknycklar</t>
        </is>
      </c>
      <c r="W155">
        <f>HYPERLINK("https://klasma.github.io/Logging_2303/artfynd/A 5048-2025 artfynd.xlsx", "A 5048-2025")</f>
        <v/>
      </c>
      <c r="X155">
        <f>HYPERLINK("https://klasma.github.io/Logging_2303/kartor/A 5048-2025 karta.png", "A 5048-2025")</f>
        <v/>
      </c>
      <c r="Y155">
        <f>HYPERLINK("https://klasma.github.io/Logging_2303/kartor_geotiff/A 5048-2025 georefererad karta.tif", "A 5048-2025")</f>
        <v/>
      </c>
      <c r="AA155">
        <f>HYPERLINK("https://klasma.github.io/Logging_2303/klagomål/A 5048-2025 FSC-klagomål.docx", "A 5048-2025")</f>
        <v/>
      </c>
      <c r="AB155">
        <f>HYPERLINK("https://klasma.github.io/Logging_2303/klagomålsmail/A 5048-2025 FSC-klagomål mail.docx", "A 5048-2025")</f>
        <v/>
      </c>
      <c r="AC155">
        <f>HYPERLINK("https://klasma.github.io/Logging_2303/tillsyn/A 5048-2025 tillsynsbegäran.docx", "A 5048-2025")</f>
        <v/>
      </c>
      <c r="AD155">
        <f>HYPERLINK("https://klasma.github.io/Logging_2303/tillsynsmail/A 5048-2025 tillsynsbegäran mail.docx", "A 5048-2025")</f>
        <v/>
      </c>
    </row>
    <row r="156" ht="15" customHeight="1">
      <c r="A156" t="inlineStr">
        <is>
          <t>A 26322-2024</t>
        </is>
      </c>
      <c r="B156" t="inlineStr">
        <is>
          <t>avverkningsanmälan</t>
        </is>
      </c>
      <c r="C156" t="inlineStr">
        <is>
          <t>Föryngringsavverkning</t>
        </is>
      </c>
      <c r="D156" s="1" t="n">
        <v>45468</v>
      </c>
      <c r="E156" s="1" t="n">
        <v>46319</v>
      </c>
      <c r="F156" t="inlineStr">
        <is>
          <t>JÄMTLANDS LÄN</t>
        </is>
      </c>
      <c r="G156" t="inlineStr">
        <is>
          <t>RAGUNDA</t>
        </is>
      </c>
      <c r="H156" t="inlineStr">
        <is>
          <t>SCA</t>
        </is>
      </c>
      <c r="I156" t="n">
        <v>9.6</v>
      </c>
      <c r="J156" t="n">
        <v>1</v>
      </c>
      <c r="K156" t="n">
        <v>0</v>
      </c>
      <c r="L156" t="n">
        <v>2</v>
      </c>
      <c r="M156" t="n">
        <v>1</v>
      </c>
      <c r="N156" t="n">
        <v>0</v>
      </c>
      <c r="O156" t="n">
        <v>0</v>
      </c>
      <c r="P156" t="n">
        <v>0</v>
      </c>
      <c r="Q156" t="n">
        <v>3</v>
      </c>
      <c r="R156" t="n">
        <v>1</v>
      </c>
      <c r="S156" t="n">
        <v>3</v>
      </c>
      <c r="T156" t="n">
        <v>3</v>
      </c>
      <c r="U156" t="n">
        <v>0</v>
      </c>
      <c r="V156" s="2" t="inlineStr">
        <is>
          <t>Knärot
Gammelgransskål
Rosenticka</t>
        </is>
      </c>
      <c r="W156">
        <f>HYPERLINK("https://klasma.github.io/Logging_2303/artfynd/A 26322-2024 artfynd.xlsx", "A 26322-2024")</f>
        <v/>
      </c>
      <c r="X156">
        <f>HYPERLINK("https://klasma.github.io/Logging_2303/kartor/A 26322-2024 karta.png", "A 26322-2024")</f>
        <v/>
      </c>
      <c r="Y156">
        <f>HYPERLINK("https://klasma.github.io/Logging_2303/kartor_geotiff/A 26322-2024 georefererad karta.tif", "A 26322-2024")</f>
        <v/>
      </c>
      <c r="Z156">
        <f>HYPERLINK("https://klasma.github.io/Logging_2303/knärot/A 26322-2024 karta knärot.png", "A 26322-2024")</f>
        <v/>
      </c>
      <c r="AA156">
        <f>HYPERLINK("https://klasma.github.io/Logging_2303/klagomål/A 26322-2024 FSC-klagomål.docx", "A 26322-2024")</f>
        <v/>
      </c>
      <c r="AB156">
        <f>HYPERLINK("https://klasma.github.io/Logging_2303/klagomålsmail/A 26322-2024 FSC-klagomål mail.docx", "A 26322-2024")</f>
        <v/>
      </c>
      <c r="AC156">
        <f>HYPERLINK("https://klasma.github.io/Logging_2303/tillsyn/A 26322-2024 tillsynsbegäran.docx", "A 26322-2024")</f>
        <v/>
      </c>
      <c r="AD156">
        <f>HYPERLINK("https://klasma.github.io/Logging_2303/tillsynsmail/A 26322-2024 tillsynsbegäran mail.docx", "A 26322-2024")</f>
        <v/>
      </c>
    </row>
    <row r="157" ht="15" customHeight="1">
      <c r="A157" t="inlineStr">
        <is>
          <t>A 21248-2025</t>
        </is>
      </c>
      <c r="B157" t="inlineStr">
        <is>
          <t>avverkningsanmälan</t>
        </is>
      </c>
      <c r="C157" t="inlineStr">
        <is>
          <t>Föryngringsavverkning</t>
        </is>
      </c>
      <c r="D157" s="1" t="n">
        <v>45779</v>
      </c>
      <c r="E157" s="1" t="n">
        <v>46319</v>
      </c>
      <c r="F157" t="inlineStr">
        <is>
          <t>JÄMTLANDS LÄN</t>
        </is>
      </c>
      <c r="G157" t="inlineStr">
        <is>
          <t>RAGUNDA</t>
        </is>
      </c>
      <c r="H157" t="inlineStr">
        <is>
          <t>SCA</t>
        </is>
      </c>
      <c r="I157" t="n">
        <v>2.9</v>
      </c>
      <c r="J157" t="n">
        <v>1</v>
      </c>
      <c r="K157" t="n">
        <v>1</v>
      </c>
      <c r="L157" t="n">
        <v>1</v>
      </c>
      <c r="M157" t="n">
        <v>1</v>
      </c>
      <c r="N157" t="n">
        <v>0</v>
      </c>
      <c r="O157" t="n">
        <v>0</v>
      </c>
      <c r="P157" t="n">
        <v>0</v>
      </c>
      <c r="Q157" t="n">
        <v>2</v>
      </c>
      <c r="R157" t="n">
        <v>1</v>
      </c>
      <c r="S157" t="n">
        <v>3</v>
      </c>
      <c r="T157" t="n">
        <v>4</v>
      </c>
      <c r="U157" t="n">
        <v>3</v>
      </c>
      <c r="V157" s="2" t="inlineStr">
        <is>
          <t>Garnlav
Tretåig hackspett
Vedticka</t>
        </is>
      </c>
      <c r="W157">
        <f>HYPERLINK("https://klasma.github.io/Logging_2303/artfynd/A 21248-2025 artfynd.xlsx", "A 21248-2025")</f>
        <v/>
      </c>
      <c r="X157">
        <f>HYPERLINK("https://klasma.github.io/Logging_2303/kartor/A 21248-2025 karta.png", "A 21248-2025")</f>
        <v/>
      </c>
      <c r="Y157">
        <f>HYPERLINK("https://klasma.github.io/Logging_2303/kartor_geotiff/A 21248-2025 georefererad karta.tif", "A 21248-2025")</f>
        <v/>
      </c>
      <c r="AA157">
        <f>HYPERLINK("https://klasma.github.io/Logging_2303/klagomål/A 21248-2025 FSC-klagomål.docx", "A 21248-2025")</f>
        <v/>
      </c>
      <c r="AB157">
        <f>HYPERLINK("https://klasma.github.io/Logging_2303/klagomålsmail/A 21248-2025 FSC-klagomål mail.docx", "A 21248-2025")</f>
        <v/>
      </c>
      <c r="AC157">
        <f>HYPERLINK("https://klasma.github.io/Logging_2303/tillsyn/A 21248-2025 tillsynsbegäran.docx", "A 21248-2025")</f>
        <v/>
      </c>
      <c r="AD157">
        <f>HYPERLINK("https://klasma.github.io/Logging_2303/tillsynsmail/A 21248-2025 tillsynsbegäran mail.docx", "A 21248-2025")</f>
        <v/>
      </c>
      <c r="AE157">
        <f>HYPERLINK("https://klasma.github.io/Logging_2303/fåglar/A 21248-2025 prioriterade fågelarter.docx", "A 21248-2025")</f>
        <v/>
      </c>
    </row>
    <row r="158" ht="15" customHeight="1">
      <c r="A158" t="inlineStr">
        <is>
          <t>A 61954-2025</t>
        </is>
      </c>
      <c r="B158" t="inlineStr">
        <is>
          <t>avverkningsanmälan</t>
        </is>
      </c>
      <c r="C158" t="inlineStr">
        <is>
          <t>Föryngringsavverkning</t>
        </is>
      </c>
      <c r="D158" s="1" t="n">
        <v>46003</v>
      </c>
      <c r="E158" s="1" t="n">
        <v>46319</v>
      </c>
      <c r="F158" t="inlineStr">
        <is>
          <t>JÄMTLANDS LÄN</t>
        </is>
      </c>
      <c r="G158" t="inlineStr">
        <is>
          <t>RAGUNDA</t>
        </is>
      </c>
      <c r="H158" t="inlineStr">
        <is>
          <t>SCA</t>
        </is>
      </c>
      <c r="I158" t="n">
        <v>6.5</v>
      </c>
      <c r="J158" t="n">
        <v>0</v>
      </c>
      <c r="K158" t="n">
        <v>1</v>
      </c>
      <c r="L158" t="n">
        <v>1</v>
      </c>
      <c r="M158" t="n">
        <v>1</v>
      </c>
      <c r="N158" t="n">
        <v>0</v>
      </c>
      <c r="O158" t="n">
        <v>0</v>
      </c>
      <c r="P158" t="n">
        <v>0</v>
      </c>
      <c r="Q158" t="n">
        <v>2</v>
      </c>
      <c r="R158" t="n">
        <v>1</v>
      </c>
      <c r="S158" t="n">
        <v>3</v>
      </c>
      <c r="T158" t="n">
        <v>4</v>
      </c>
      <c r="U158" t="n">
        <v>0</v>
      </c>
      <c r="V158" s="2" t="inlineStr">
        <is>
          <t>Garnlav
Lunglav
Trådticka</t>
        </is>
      </c>
      <c r="W158">
        <f>HYPERLINK("https://klasma.github.io/Logging_2303/artfynd/A 61954-2025 artfynd.xlsx", "A 61954-2025")</f>
        <v/>
      </c>
      <c r="X158">
        <f>HYPERLINK("https://klasma.github.io/Logging_2303/kartor/A 61954-2025 karta.png", "A 61954-2025")</f>
        <v/>
      </c>
      <c r="Y158">
        <f>HYPERLINK("https://klasma.github.io/Logging_2303/kartor_geotiff/A 61954-2025 georefererad karta.tif", "A 61954-2025")</f>
        <v/>
      </c>
      <c r="AA158">
        <f>HYPERLINK("https://klasma.github.io/Logging_2303/klagomål/A 61954-2025 FSC-klagomål.docx", "A 61954-2025")</f>
        <v/>
      </c>
      <c r="AB158">
        <f>HYPERLINK("https://klasma.github.io/Logging_2303/klagomålsmail/A 61954-2025 FSC-klagomål mail.docx", "A 61954-2025")</f>
        <v/>
      </c>
      <c r="AC158">
        <f>HYPERLINK("https://klasma.github.io/Logging_2303/tillsyn/A 61954-2025 tillsynsbegäran.docx", "A 61954-2025")</f>
        <v/>
      </c>
      <c r="AD158">
        <f>HYPERLINK("https://klasma.github.io/Logging_2303/tillsynsmail/A 61954-2025 tillsynsbegäran mail.docx", "A 61954-2025")</f>
        <v/>
      </c>
    </row>
    <row r="159" ht="15" customHeight="1">
      <c r="A159" t="inlineStr">
        <is>
          <t>A 5731-2026</t>
        </is>
      </c>
      <c r="B159" t="inlineStr">
        <is>
          <t>avverkningsanmälan</t>
        </is>
      </c>
      <c r="C159" t="inlineStr">
        <is>
          <t>Föryngringsavverkning</t>
        </is>
      </c>
      <c r="D159" s="1" t="n">
        <v>46051</v>
      </c>
      <c r="E159" s="1" t="n">
        <v>46319</v>
      </c>
      <c r="F159" t="inlineStr">
        <is>
          <t>JÄMTLANDS LÄN</t>
        </is>
      </c>
      <c r="G159" t="inlineStr">
        <is>
          <t>RAGUNDA</t>
        </is>
      </c>
      <c r="H159" t="inlineStr">
        <is>
          <t>SCA</t>
        </is>
      </c>
      <c r="I159" t="n">
        <v>2</v>
      </c>
      <c r="J159" t="n">
        <v>1</v>
      </c>
      <c r="K159" t="n">
        <v>0</v>
      </c>
      <c r="L159" t="n">
        <v>2</v>
      </c>
      <c r="M159" t="n">
        <v>1</v>
      </c>
      <c r="N159" t="n">
        <v>0</v>
      </c>
      <c r="O159" t="n">
        <v>0</v>
      </c>
      <c r="P159" t="n">
        <v>0</v>
      </c>
      <c r="Q159" t="n">
        <v>3</v>
      </c>
      <c r="R159" t="n">
        <v>1</v>
      </c>
      <c r="S159" t="n">
        <v>3</v>
      </c>
      <c r="T159" t="n">
        <v>3</v>
      </c>
      <c r="U159" t="n">
        <v>0</v>
      </c>
      <c r="V159" s="2" t="inlineStr">
        <is>
          <t>Garnlav
Lavskrika
Lunglav</t>
        </is>
      </c>
      <c r="W159">
        <f>HYPERLINK("https://klasma.github.io/Logging_2303/artfynd/A 5731-2026 artfynd.xlsx", "A 5731-2026")</f>
        <v/>
      </c>
      <c r="X159">
        <f>HYPERLINK("https://klasma.github.io/Logging_2303/kartor/A 5731-2026 karta.png", "A 5731-2026")</f>
        <v/>
      </c>
      <c r="Y159">
        <f>HYPERLINK("https://klasma.github.io/Logging_2303/kartor_geotiff/A 5731-2026 georefererad karta.tif", "A 5731-2026")</f>
        <v/>
      </c>
      <c r="AA159">
        <f>HYPERLINK("https://klasma.github.io/Logging_2303/klagomål/A 5731-2026 FSC-klagomål.docx", "A 5731-2026")</f>
        <v/>
      </c>
      <c r="AB159">
        <f>HYPERLINK("https://klasma.github.io/Logging_2303/klagomålsmail/A 5731-2026 FSC-klagomål mail.docx", "A 5731-2026")</f>
        <v/>
      </c>
      <c r="AC159">
        <f>HYPERLINK("https://klasma.github.io/Logging_2303/tillsyn/A 5731-2026 tillsynsbegäran.docx", "A 5731-2026")</f>
        <v/>
      </c>
      <c r="AD159">
        <f>HYPERLINK("https://klasma.github.io/Logging_2303/tillsynsmail/A 5731-2026 tillsynsbegäran mail.docx", "A 5731-2026")</f>
        <v/>
      </c>
      <c r="AE159">
        <f>HYPERLINK("https://klasma.github.io/Logging_2303/fåglar/A 5731-2026 prioriterade fågelarter.docx", "A 5731-2026")</f>
        <v/>
      </c>
    </row>
    <row r="160" ht="15" customHeight="1">
      <c r="A160" t="inlineStr">
        <is>
          <t>A 30470-2024</t>
        </is>
      </c>
      <c r="B160" t="inlineStr">
        <is>
          <t>avverkningsanmälan</t>
        </is>
      </c>
      <c r="C160" t="inlineStr">
        <is>
          <t>Föryngringsavverkning</t>
        </is>
      </c>
      <c r="D160" s="1" t="n">
        <v>45491</v>
      </c>
      <c r="E160" s="1" t="n">
        <v>46319</v>
      </c>
      <c r="F160" t="inlineStr">
        <is>
          <t>JÄMTLANDS LÄN</t>
        </is>
      </c>
      <c r="G160" t="inlineStr">
        <is>
          <t>RAGUNDA</t>
        </is>
      </c>
      <c r="H160" t="inlineStr">
        <is>
          <t>SCA</t>
        </is>
      </c>
      <c r="I160" t="n">
        <v>1.4</v>
      </c>
      <c r="J160" t="n">
        <v>2</v>
      </c>
      <c r="K160" t="n">
        <v>0</v>
      </c>
      <c r="L160" t="n">
        <v>2</v>
      </c>
      <c r="M160" t="n">
        <v>1</v>
      </c>
      <c r="N160" t="n">
        <v>0</v>
      </c>
      <c r="O160" t="n">
        <v>0</v>
      </c>
      <c r="P160" t="n">
        <v>0</v>
      </c>
      <c r="Q160" t="n">
        <v>3</v>
      </c>
      <c r="R160" t="n">
        <v>1</v>
      </c>
      <c r="S160" t="n">
        <v>3</v>
      </c>
      <c r="T160" t="n">
        <v>3</v>
      </c>
      <c r="U160" t="n">
        <v>2</v>
      </c>
      <c r="V160" s="2" t="inlineStr">
        <is>
          <t>Knärot
Lunglav
Tretåig hackspett</t>
        </is>
      </c>
      <c r="W160">
        <f>HYPERLINK("https://klasma.github.io/Logging_2303/artfynd/A 30470-2024 artfynd.xlsx", "A 30470-2024")</f>
        <v/>
      </c>
      <c r="X160">
        <f>HYPERLINK("https://klasma.github.io/Logging_2303/kartor/A 30470-2024 karta.png", "A 30470-2024")</f>
        <v/>
      </c>
      <c r="Y160">
        <f>HYPERLINK("https://klasma.github.io/Logging_2303/kartor_geotiff/A 30470-2024 georefererad karta.tif", "A 30470-2024")</f>
        <v/>
      </c>
      <c r="Z160">
        <f>HYPERLINK("https://klasma.github.io/Logging_2303/knärot/A 30470-2024 karta knärot.png", "A 30470-2024")</f>
        <v/>
      </c>
      <c r="AA160">
        <f>HYPERLINK("https://klasma.github.io/Logging_2303/klagomål/A 30470-2024 FSC-klagomål.docx", "A 30470-2024")</f>
        <v/>
      </c>
      <c r="AB160">
        <f>HYPERLINK("https://klasma.github.io/Logging_2303/klagomålsmail/A 30470-2024 FSC-klagomål mail.docx", "A 30470-2024")</f>
        <v/>
      </c>
      <c r="AC160">
        <f>HYPERLINK("https://klasma.github.io/Logging_2303/tillsyn/A 30470-2024 tillsynsbegäran.docx", "A 30470-2024")</f>
        <v/>
      </c>
      <c r="AD160">
        <f>HYPERLINK("https://klasma.github.io/Logging_2303/tillsynsmail/A 30470-2024 tillsynsbegäran mail.docx", "A 30470-2024")</f>
        <v/>
      </c>
      <c r="AE160">
        <f>HYPERLINK("https://klasma.github.io/Logging_2303/fåglar/A 30470-2024 prioriterade fågelarter.docx", "A 30470-2024")</f>
        <v/>
      </c>
    </row>
    <row r="161" ht="15" customHeight="1">
      <c r="A161" t="inlineStr">
        <is>
          <t>A 40655-2026</t>
        </is>
      </c>
      <c r="B161" t="inlineStr">
        <is>
          <t>avverkningsanmälan</t>
        </is>
      </c>
      <c r="C161" t="inlineStr">
        <is>
          <t>Avverkning för att bevara och utveckla /försöksver</t>
        </is>
      </c>
      <c r="D161" s="1" t="n">
        <v>46296</v>
      </c>
      <c r="E161" s="1" t="n">
        <v>46319</v>
      </c>
      <c r="F161" t="inlineStr">
        <is>
          <t>JÄMTLANDS LÄN</t>
        </is>
      </c>
      <c r="G161" t="inlineStr">
        <is>
          <t>RAGUNDA</t>
        </is>
      </c>
      <c r="H161" t="inlineStr">
        <is>
          <t>SCA</t>
        </is>
      </c>
      <c r="I161" t="n">
        <v>5</v>
      </c>
      <c r="J161" t="n">
        <v>0</v>
      </c>
      <c r="K161" t="n">
        <v>2</v>
      </c>
      <c r="L161" t="n">
        <v>1</v>
      </c>
      <c r="M161" t="n">
        <v>0</v>
      </c>
      <c r="N161" t="n">
        <v>0</v>
      </c>
      <c r="O161" t="n">
        <v>0</v>
      </c>
      <c r="P161" t="n">
        <v>0</v>
      </c>
      <c r="Q161" t="n">
        <v>1</v>
      </c>
      <c r="R161" t="n">
        <v>0</v>
      </c>
      <c r="S161" t="n">
        <v>3</v>
      </c>
      <c r="T161" t="n">
        <v>3</v>
      </c>
      <c r="U161" t="n">
        <v>0</v>
      </c>
      <c r="V161" s="2" t="inlineStr">
        <is>
          <t>Ullticka
Stor aspticka
Stuplav</t>
        </is>
      </c>
      <c r="W161">
        <f>HYPERLINK("https://klasma.github.io/Logging_2303/artfynd/A 40655-2026 artfynd.xlsx", "A 40655-2026")</f>
        <v/>
      </c>
      <c r="X161">
        <f>HYPERLINK("https://klasma.github.io/Logging_2303/kartor/A 40655-2026 karta.png", "A 40655-2026")</f>
        <v/>
      </c>
      <c r="Y161">
        <f>HYPERLINK("https://klasma.github.io/Logging_2303/kartor_geotiff/A 40655-2026 georefererad karta.tif", "A 40655-2026")</f>
        <v/>
      </c>
      <c r="AA161">
        <f>HYPERLINK("https://klasma.github.io/Logging_2303/klagomål/A 40655-2026 FSC-klagomål.docx", "A 40655-2026")</f>
        <v/>
      </c>
      <c r="AB161">
        <f>HYPERLINK("https://klasma.github.io/Logging_2303/klagomålsmail/A 40655-2026 FSC-klagomål mail.docx", "A 40655-2026")</f>
        <v/>
      </c>
      <c r="AC161">
        <f>HYPERLINK("https://klasma.github.io/Logging_2303/tillsyn/A 40655-2026 tillsynsbegäran.docx", "A 40655-2026")</f>
        <v/>
      </c>
      <c r="AD161">
        <f>HYPERLINK("https://klasma.github.io/Logging_2303/tillsynsmail/A 40655-2026 tillsynsbegäran mail.docx", "A 40655-2026")</f>
        <v/>
      </c>
    </row>
    <row r="162" ht="15" customHeight="1">
      <c r="A162" t="inlineStr">
        <is>
          <t>A 22571-2025</t>
        </is>
      </c>
      <c r="B162" t="inlineStr">
        <is>
          <t>avverkningsanmälan</t>
        </is>
      </c>
      <c r="C162" t="inlineStr">
        <is>
          <t>Föryngringsavverkning</t>
        </is>
      </c>
      <c r="D162" s="1" t="n">
        <v>45789</v>
      </c>
      <c r="E162" s="1" t="n">
        <v>46319</v>
      </c>
      <c r="F162" t="inlineStr">
        <is>
          <t>JÄMTLANDS LÄN</t>
        </is>
      </c>
      <c r="G162" t="inlineStr">
        <is>
          <t>RAGUNDA</t>
        </is>
      </c>
      <c r="H162" t="inlineStr">
        <is>
          <t>SCA</t>
        </is>
      </c>
      <c r="I162" t="n">
        <v>18.2</v>
      </c>
      <c r="J162" t="n">
        <v>2</v>
      </c>
      <c r="K162" t="n">
        <v>0</v>
      </c>
      <c r="L162" t="n">
        <v>1</v>
      </c>
      <c r="M162" t="n">
        <v>1</v>
      </c>
      <c r="N162" t="n">
        <v>0</v>
      </c>
      <c r="O162" t="n">
        <v>0</v>
      </c>
      <c r="P162" t="n">
        <v>0</v>
      </c>
      <c r="Q162" t="n">
        <v>2</v>
      </c>
      <c r="R162" t="n">
        <v>1</v>
      </c>
      <c r="S162" t="n">
        <v>3</v>
      </c>
      <c r="T162" t="n">
        <v>7</v>
      </c>
      <c r="U162" t="n">
        <v>7</v>
      </c>
      <c r="V162" s="2" t="inlineStr">
        <is>
          <t>Garnlav
Tretåig hackspett
Nattviol</t>
        </is>
      </c>
      <c r="W162">
        <f>HYPERLINK("https://klasma.github.io/Logging_2303/artfynd/A 22571-2025 artfynd.xlsx", "A 22571-2025")</f>
        <v/>
      </c>
      <c r="X162">
        <f>HYPERLINK("https://klasma.github.io/Logging_2303/kartor/A 22571-2025 karta.png", "A 22571-2025")</f>
        <v/>
      </c>
      <c r="Y162">
        <f>HYPERLINK("https://klasma.github.io/Logging_2303/kartor_geotiff/A 22571-2025 georefererad karta.tif", "A 22571-2025")</f>
        <v/>
      </c>
      <c r="AA162">
        <f>HYPERLINK("https://klasma.github.io/Logging_2303/klagomål/A 22571-2025 FSC-klagomål.docx", "A 22571-2025")</f>
        <v/>
      </c>
      <c r="AB162">
        <f>HYPERLINK("https://klasma.github.io/Logging_2303/klagomålsmail/A 22571-2025 FSC-klagomål mail.docx", "A 22571-2025")</f>
        <v/>
      </c>
      <c r="AC162">
        <f>HYPERLINK("https://klasma.github.io/Logging_2303/tillsyn/A 22571-2025 tillsynsbegäran.docx", "A 22571-2025")</f>
        <v/>
      </c>
      <c r="AD162">
        <f>HYPERLINK("https://klasma.github.io/Logging_2303/tillsynsmail/A 22571-2025 tillsynsbegäran mail.docx", "A 22571-2025")</f>
        <v/>
      </c>
      <c r="AE162">
        <f>HYPERLINK("https://klasma.github.io/Logging_2303/fåglar/A 22571-2025 prioriterade fågelarter.docx", "A 22571-2025")</f>
        <v/>
      </c>
    </row>
    <row r="163" ht="15" customHeight="1">
      <c r="A163" t="inlineStr">
        <is>
          <t>A 34474-2025</t>
        </is>
      </c>
      <c r="B163" t="inlineStr">
        <is>
          <t>avverkningsanmälan</t>
        </is>
      </c>
      <c r="C163" t="inlineStr">
        <is>
          <t>Föryngringsavverkning</t>
        </is>
      </c>
      <c r="D163" s="1" t="n">
        <v>45847</v>
      </c>
      <c r="E163" s="1" t="n">
        <v>46319</v>
      </c>
      <c r="F163" t="inlineStr">
        <is>
          <t>JÄMTLANDS LÄN</t>
        </is>
      </c>
      <c r="G163" t="inlineStr">
        <is>
          <t>RAGUNDA</t>
        </is>
      </c>
      <c r="H163" t="inlineStr">
        <is>
          <t>SCA</t>
        </is>
      </c>
      <c r="I163" t="n">
        <v>9.699999999999999</v>
      </c>
      <c r="J163" t="n">
        <v>3</v>
      </c>
      <c r="K163" t="n">
        <v>1</v>
      </c>
      <c r="L163" t="n">
        <v>0</v>
      </c>
      <c r="M163" t="n">
        <v>0</v>
      </c>
      <c r="N163" t="n">
        <v>0</v>
      </c>
      <c r="O163" t="n">
        <v>0</v>
      </c>
      <c r="P163" t="n">
        <v>0</v>
      </c>
      <c r="Q163" t="n">
        <v>0</v>
      </c>
      <c r="R163" t="n">
        <v>0</v>
      </c>
      <c r="S163" t="n">
        <v>3</v>
      </c>
      <c r="T163" t="n">
        <v>4</v>
      </c>
      <c r="U163" t="n">
        <v>3</v>
      </c>
      <c r="V163" s="2" t="inlineStr">
        <is>
          <t>Tvåblad
Fjällvråk
Fläcknycklar</t>
        </is>
      </c>
      <c r="W163">
        <f>HYPERLINK("https://klasma.github.io/Logging_2303/artfynd/A 34474-2025 artfynd.xlsx", "A 34474-2025")</f>
        <v/>
      </c>
      <c r="X163">
        <f>HYPERLINK("https://klasma.github.io/Logging_2303/kartor/A 34474-2025 karta.png", "A 34474-2025")</f>
        <v/>
      </c>
      <c r="Y163">
        <f>HYPERLINK("https://klasma.github.io/Logging_2303/kartor_geotiff/A 34474-2025 georefererad karta.tif", "A 34474-2025")</f>
        <v/>
      </c>
      <c r="AA163">
        <f>HYPERLINK("https://klasma.github.io/Logging_2303/klagomål/A 34474-2025 FSC-klagomål.docx", "A 34474-2025")</f>
        <v/>
      </c>
      <c r="AB163">
        <f>HYPERLINK("https://klasma.github.io/Logging_2303/klagomålsmail/A 34474-2025 FSC-klagomål mail.docx", "A 34474-2025")</f>
        <v/>
      </c>
      <c r="AC163">
        <f>HYPERLINK("https://klasma.github.io/Logging_2303/tillsyn/A 34474-2025 tillsynsbegäran.docx", "A 34474-2025")</f>
        <v/>
      </c>
      <c r="AD163">
        <f>HYPERLINK("https://klasma.github.io/Logging_2303/tillsynsmail/A 34474-2025 tillsynsbegäran mail.docx", "A 34474-2025")</f>
        <v/>
      </c>
      <c r="AE163">
        <f>HYPERLINK("https://klasma.github.io/Logging_2303/fåglar/A 34474-2025 prioriterade fågelarter.docx", "A 34474-2025")</f>
        <v/>
      </c>
    </row>
    <row r="164" ht="15" customHeight="1">
      <c r="A164" t="inlineStr">
        <is>
          <t>A 9360-2023</t>
        </is>
      </c>
      <c r="B164" t="inlineStr">
        <is>
          <t>avverkningsanmälan</t>
        </is>
      </c>
      <c r="C164" t="inlineStr">
        <is>
          <t>Föryngringsavverkning</t>
        </is>
      </c>
      <c r="D164" s="1" t="n">
        <v>44980</v>
      </c>
      <c r="E164" s="1" t="n">
        <v>46319</v>
      </c>
      <c r="F164" t="inlineStr">
        <is>
          <t>JÄMTLANDS LÄN</t>
        </is>
      </c>
      <c r="G164" t="inlineStr">
        <is>
          <t>RAGUNDA</t>
        </is>
      </c>
      <c r="H164" t="inlineStr">
        <is>
          <t>SCA</t>
        </is>
      </c>
      <c r="I164" t="n">
        <v>3.5</v>
      </c>
      <c r="J164" t="n">
        <v>1</v>
      </c>
      <c r="K164" t="n">
        <v>0</v>
      </c>
      <c r="L164" t="n">
        <v>0</v>
      </c>
      <c r="M164" t="n">
        <v>0</v>
      </c>
      <c r="N164" t="n">
        <v>0</v>
      </c>
      <c r="O164" t="n">
        <v>0</v>
      </c>
      <c r="P164" t="n">
        <v>0</v>
      </c>
      <c r="Q164" t="n">
        <v>0</v>
      </c>
      <c r="R164" t="n">
        <v>0</v>
      </c>
      <c r="S164" t="n">
        <v>3</v>
      </c>
      <c r="T164" t="n">
        <v>3</v>
      </c>
      <c r="U164" t="n">
        <v>3</v>
      </c>
      <c r="V164" s="2" t="inlineStr">
        <is>
          <t>Brudborste
Fjällskära
Fläcknycklar</t>
        </is>
      </c>
      <c r="W164">
        <f>HYPERLINK("https://klasma.github.io/Logging_2303/artfynd/A 9360-2023 artfynd.xlsx", "A 9360-2023")</f>
        <v/>
      </c>
      <c r="X164">
        <f>HYPERLINK("https://klasma.github.io/Logging_2303/kartor/A 9360-2023 karta.png", "A 9360-2023")</f>
        <v/>
      </c>
      <c r="Y164">
        <f>HYPERLINK("https://klasma.github.io/Logging_2303/kartor_geotiff/A 9360-2023 georefererad karta.tif", "A 9360-2023")</f>
        <v/>
      </c>
      <c r="AA164">
        <f>HYPERLINK("https://klasma.github.io/Logging_2303/klagomål/A 9360-2023 FSC-klagomål.docx", "A 9360-2023")</f>
        <v/>
      </c>
      <c r="AB164">
        <f>HYPERLINK("https://klasma.github.io/Logging_2303/klagomålsmail/A 9360-2023 FSC-klagomål mail.docx", "A 9360-2023")</f>
        <v/>
      </c>
      <c r="AC164">
        <f>HYPERLINK("https://klasma.github.io/Logging_2303/tillsyn/A 9360-2023 tillsynsbegäran.docx", "A 9360-2023")</f>
        <v/>
      </c>
      <c r="AD164">
        <f>HYPERLINK("https://klasma.github.io/Logging_2303/tillsynsmail/A 9360-2023 tillsynsbegäran mail.docx", "A 9360-2023")</f>
        <v/>
      </c>
    </row>
    <row r="165" ht="15" customHeight="1">
      <c r="A165" t="inlineStr">
        <is>
          <t>A 20776-2024</t>
        </is>
      </c>
      <c r="B165" t="inlineStr">
        <is>
          <t>avverkningsanmälan</t>
        </is>
      </c>
      <c r="C165" t="inlineStr">
        <is>
          <t>Föryngringsavverkning</t>
        </is>
      </c>
      <c r="D165" s="1" t="n">
        <v>45436</v>
      </c>
      <c r="E165" s="1" t="n">
        <v>46319</v>
      </c>
      <c r="F165" t="inlineStr">
        <is>
          <t>JÄMTLANDS LÄN</t>
        </is>
      </c>
      <c r="G165" t="inlineStr">
        <is>
          <t>RAGUNDA</t>
        </is>
      </c>
      <c r="H165" t="inlineStr">
        <is>
          <t>SCA</t>
        </is>
      </c>
      <c r="I165" t="n">
        <v>5.2</v>
      </c>
      <c r="J165" t="n">
        <v>0</v>
      </c>
      <c r="K165" t="n">
        <v>0</v>
      </c>
      <c r="L165" t="n">
        <v>1</v>
      </c>
      <c r="M165" t="n">
        <v>2</v>
      </c>
      <c r="N165" t="n">
        <v>0</v>
      </c>
      <c r="O165" t="n">
        <v>0</v>
      </c>
      <c r="P165" t="n">
        <v>0</v>
      </c>
      <c r="Q165" t="n">
        <v>3</v>
      </c>
      <c r="R165" t="n">
        <v>2</v>
      </c>
      <c r="S165" t="n">
        <v>3</v>
      </c>
      <c r="T165" t="n">
        <v>3</v>
      </c>
      <c r="U165" t="n">
        <v>0</v>
      </c>
      <c r="V165" s="2" t="inlineStr">
        <is>
          <t>Garnlav
Liten hornflikmossa
Vedtrappmossa</t>
        </is>
      </c>
      <c r="W165">
        <f>HYPERLINK("https://klasma.github.io/Logging_2303/artfynd/A 20776-2024 artfynd.xlsx", "A 20776-2024")</f>
        <v/>
      </c>
      <c r="X165">
        <f>HYPERLINK("https://klasma.github.io/Logging_2303/kartor/A 20776-2024 karta.png", "A 20776-2024")</f>
        <v/>
      </c>
      <c r="Y165">
        <f>HYPERLINK("https://klasma.github.io/Logging_2303/kartor_geotiff/A 20776-2024 georefererad karta.tif", "A 20776-2024")</f>
        <v/>
      </c>
      <c r="AA165">
        <f>HYPERLINK("https://klasma.github.io/Logging_2303/klagomål/A 20776-2024 FSC-klagomål.docx", "A 20776-2024")</f>
        <v/>
      </c>
      <c r="AB165">
        <f>HYPERLINK("https://klasma.github.io/Logging_2303/klagomålsmail/A 20776-2024 FSC-klagomål mail.docx", "A 20776-2024")</f>
        <v/>
      </c>
      <c r="AC165">
        <f>HYPERLINK("https://klasma.github.io/Logging_2303/tillsyn/A 20776-2024 tillsynsbegäran.docx", "A 20776-2024")</f>
        <v/>
      </c>
      <c r="AD165">
        <f>HYPERLINK("https://klasma.github.io/Logging_2303/tillsynsmail/A 20776-2024 tillsynsbegäran mail.docx", "A 20776-2024")</f>
        <v/>
      </c>
    </row>
    <row r="166" ht="15" customHeight="1">
      <c r="A166" t="inlineStr">
        <is>
          <t>A 48429-2023</t>
        </is>
      </c>
      <c r="B166" t="inlineStr">
        <is>
          <t>avverkningsanmälan</t>
        </is>
      </c>
      <c r="C166" t="inlineStr">
        <is>
          <t>Föryngringsavverkning</t>
        </is>
      </c>
      <c r="D166" s="1" t="n">
        <v>45205</v>
      </c>
      <c r="E166" s="1" t="n">
        <v>46319</v>
      </c>
      <c r="F166" t="inlineStr">
        <is>
          <t>JÄMTLANDS LÄN</t>
        </is>
      </c>
      <c r="G166" t="inlineStr">
        <is>
          <t>RAGUNDA</t>
        </is>
      </c>
      <c r="H166" t="inlineStr">
        <is>
          <t>SCA</t>
        </is>
      </c>
      <c r="I166" t="n">
        <v>1.8</v>
      </c>
      <c r="J166" t="n">
        <v>1</v>
      </c>
      <c r="K166" t="n">
        <v>0</v>
      </c>
      <c r="L166" t="n">
        <v>3</v>
      </c>
      <c r="M166" t="n">
        <v>0</v>
      </c>
      <c r="N166" t="n">
        <v>0</v>
      </c>
      <c r="O166" t="n">
        <v>0</v>
      </c>
      <c r="P166" t="n">
        <v>0</v>
      </c>
      <c r="Q166" t="n">
        <v>3</v>
      </c>
      <c r="R166" t="n">
        <v>0</v>
      </c>
      <c r="S166" t="n">
        <v>3</v>
      </c>
      <c r="T166" t="n">
        <v>3</v>
      </c>
      <c r="U166" t="n">
        <v>0</v>
      </c>
      <c r="V166" s="2" t="inlineStr">
        <is>
          <t>Dropptaggsvamp
Gammelgransskål
Talltita</t>
        </is>
      </c>
      <c r="W166">
        <f>HYPERLINK("https://klasma.github.io/Logging_2303/artfynd/A 48429-2023 artfynd.xlsx", "A 48429-2023")</f>
        <v/>
      </c>
      <c r="X166">
        <f>HYPERLINK("https://klasma.github.io/Logging_2303/kartor/A 48429-2023 karta.png", "A 48429-2023")</f>
        <v/>
      </c>
      <c r="Y166">
        <f>HYPERLINK("https://klasma.github.io/Logging_2303/kartor_geotiff/A 48429-2023 georefererad karta.tif", "A 48429-2023")</f>
        <v/>
      </c>
      <c r="AA166">
        <f>HYPERLINK("https://klasma.github.io/Logging_2303/klagomål/A 48429-2023 FSC-klagomål.docx", "A 48429-2023")</f>
        <v/>
      </c>
      <c r="AB166">
        <f>HYPERLINK("https://klasma.github.io/Logging_2303/klagomålsmail/A 48429-2023 FSC-klagomål mail.docx", "A 48429-2023")</f>
        <v/>
      </c>
      <c r="AC166">
        <f>HYPERLINK("https://klasma.github.io/Logging_2303/tillsyn/A 48429-2023 tillsynsbegäran.docx", "A 48429-2023")</f>
        <v/>
      </c>
      <c r="AD166">
        <f>HYPERLINK("https://klasma.github.io/Logging_2303/tillsynsmail/A 48429-2023 tillsynsbegäran mail.docx", "A 48429-2023")</f>
        <v/>
      </c>
      <c r="AE166">
        <f>HYPERLINK("https://klasma.github.io/Logging_2303/fåglar/A 48429-2023 prioriterade fågelarter.docx", "A 48429-2023")</f>
        <v/>
      </c>
    </row>
    <row r="167" ht="15" customHeight="1">
      <c r="A167" t="inlineStr">
        <is>
          <t>A 15864-2024</t>
        </is>
      </c>
      <c r="B167" t="inlineStr">
        <is>
          <t>avverkningsanmälan</t>
        </is>
      </c>
      <c r="C167" t="inlineStr">
        <is>
          <t>Föryngringsavverkning</t>
        </is>
      </c>
      <c r="D167" s="1" t="n">
        <v>45404</v>
      </c>
      <c r="E167" s="1" t="n">
        <v>46319</v>
      </c>
      <c r="F167" t="inlineStr">
        <is>
          <t>JÄMTLANDS LÄN</t>
        </is>
      </c>
      <c r="G167" t="inlineStr">
        <is>
          <t>RAGUNDA</t>
        </is>
      </c>
      <c r="H167" t="inlineStr">
        <is>
          <t>SCA</t>
        </is>
      </c>
      <c r="I167" t="n">
        <v>1.1</v>
      </c>
      <c r="J167" t="n">
        <v>3</v>
      </c>
      <c r="K167" t="n">
        <v>0</v>
      </c>
      <c r="L167" t="n">
        <v>0</v>
      </c>
      <c r="M167" t="n">
        <v>1</v>
      </c>
      <c r="N167" t="n">
        <v>0</v>
      </c>
      <c r="O167" t="n">
        <v>0</v>
      </c>
      <c r="P167" t="n">
        <v>0</v>
      </c>
      <c r="Q167" t="n">
        <v>1</v>
      </c>
      <c r="R167" t="n">
        <v>1</v>
      </c>
      <c r="S167" t="n">
        <v>3</v>
      </c>
      <c r="T167" t="n">
        <v>3</v>
      </c>
      <c r="U167" t="n">
        <v>1</v>
      </c>
      <c r="V167" s="2" t="inlineStr">
        <is>
          <t>Knärot
Blåsippa
Fläcknycklar</t>
        </is>
      </c>
      <c r="W167">
        <f>HYPERLINK("https://klasma.github.io/Logging_2303/artfynd/A 15864-2024 artfynd.xlsx", "A 15864-2024")</f>
        <v/>
      </c>
      <c r="X167">
        <f>HYPERLINK("https://klasma.github.io/Logging_2303/kartor/A 15864-2024 karta.png", "A 15864-2024")</f>
        <v/>
      </c>
      <c r="Y167">
        <f>HYPERLINK("https://klasma.github.io/Logging_2303/kartor_geotiff/A 15864-2024 georefererad karta.tif", "A 15864-2024")</f>
        <v/>
      </c>
      <c r="Z167">
        <f>HYPERLINK("https://klasma.github.io/Logging_2303/knärot/A 15864-2024 karta knärot.png", "A 15864-2024")</f>
        <v/>
      </c>
      <c r="AA167">
        <f>HYPERLINK("https://klasma.github.io/Logging_2303/klagomål/A 15864-2024 FSC-klagomål.docx", "A 15864-2024")</f>
        <v/>
      </c>
      <c r="AB167">
        <f>HYPERLINK("https://klasma.github.io/Logging_2303/klagomålsmail/A 15864-2024 FSC-klagomål mail.docx", "A 15864-2024")</f>
        <v/>
      </c>
      <c r="AC167">
        <f>HYPERLINK("https://klasma.github.io/Logging_2303/tillsyn/A 15864-2024 tillsynsbegäran.docx", "A 15864-2024")</f>
        <v/>
      </c>
      <c r="AD167">
        <f>HYPERLINK("https://klasma.github.io/Logging_2303/tillsynsmail/A 15864-2024 tillsynsbegäran mail.docx", "A 15864-2024")</f>
        <v/>
      </c>
    </row>
    <row r="168" ht="15" customHeight="1">
      <c r="A168" t="inlineStr">
        <is>
          <t>A 58368-2024</t>
        </is>
      </c>
      <c r="B168" t="inlineStr">
        <is>
          <t>avverkningsanmälan</t>
        </is>
      </c>
      <c r="C168" t="inlineStr">
        <is>
          <t>Föryngringsavverkning</t>
        </is>
      </c>
      <c r="D168" s="1" t="n">
        <v>45632</v>
      </c>
      <c r="E168" s="1" t="n">
        <v>46319</v>
      </c>
      <c r="F168" t="inlineStr">
        <is>
          <t>JÄMTLANDS LÄN</t>
        </is>
      </c>
      <c r="G168" t="inlineStr">
        <is>
          <t>RAGUNDA</t>
        </is>
      </c>
      <c r="H168" t="inlineStr">
        <is>
          <t>SCA</t>
        </is>
      </c>
      <c r="I168" t="n">
        <v>4.1</v>
      </c>
      <c r="J168" t="n">
        <v>2</v>
      </c>
      <c r="K168" t="n">
        <v>0</v>
      </c>
      <c r="L168" t="n">
        <v>2</v>
      </c>
      <c r="M168" t="n">
        <v>0</v>
      </c>
      <c r="N168" t="n">
        <v>0</v>
      </c>
      <c r="O168" t="n">
        <v>0</v>
      </c>
      <c r="P168" t="n">
        <v>0</v>
      </c>
      <c r="Q168" t="n">
        <v>2</v>
      </c>
      <c r="R168" t="n">
        <v>0</v>
      </c>
      <c r="S168" t="n">
        <v>3</v>
      </c>
      <c r="T168" t="n">
        <v>16</v>
      </c>
      <c r="U168" t="n">
        <v>16</v>
      </c>
      <c r="V168" s="2" t="inlineStr">
        <is>
          <t>Lunglav
Tretåig hackspett
Järpe</t>
        </is>
      </c>
      <c r="W168">
        <f>HYPERLINK("https://klasma.github.io/Logging_2303/artfynd/A 58368-2024 artfynd.xlsx", "A 58368-2024")</f>
        <v/>
      </c>
      <c r="X168">
        <f>HYPERLINK("https://klasma.github.io/Logging_2303/kartor/A 58368-2024 karta.png", "A 58368-2024")</f>
        <v/>
      </c>
      <c r="Y168">
        <f>HYPERLINK("https://klasma.github.io/Logging_2303/kartor_geotiff/A 58368-2024 georefererad karta.tif", "A 58368-2024")</f>
        <v/>
      </c>
      <c r="AA168">
        <f>HYPERLINK("https://klasma.github.io/Logging_2303/klagomål/A 58368-2024 FSC-klagomål.docx", "A 58368-2024")</f>
        <v/>
      </c>
      <c r="AB168">
        <f>HYPERLINK("https://klasma.github.io/Logging_2303/klagomålsmail/A 58368-2024 FSC-klagomål mail.docx", "A 58368-2024")</f>
        <v/>
      </c>
      <c r="AC168">
        <f>HYPERLINK("https://klasma.github.io/Logging_2303/tillsyn/A 58368-2024 tillsynsbegäran.docx", "A 58368-2024")</f>
        <v/>
      </c>
      <c r="AD168">
        <f>HYPERLINK("https://klasma.github.io/Logging_2303/tillsynsmail/A 58368-2024 tillsynsbegäran mail.docx", "A 58368-2024")</f>
        <v/>
      </c>
      <c r="AE168">
        <f>HYPERLINK("https://klasma.github.io/Logging_2303/fåglar/A 58368-2024 prioriterade fågelarter.docx", "A 58368-2024")</f>
        <v/>
      </c>
    </row>
    <row r="169" ht="15" customHeight="1">
      <c r="A169" t="inlineStr">
        <is>
          <t>A 21853-2026</t>
        </is>
      </c>
      <c r="B169" t="inlineStr">
        <is>
          <t>avverkningsanmälan</t>
        </is>
      </c>
      <c r="C169" t="inlineStr">
        <is>
          <t>Föryngringsavverkning</t>
        </is>
      </c>
      <c r="D169" s="1" t="n">
        <v>46150</v>
      </c>
      <c r="E169" s="1" t="n">
        <v>46319</v>
      </c>
      <c r="F169" t="inlineStr">
        <is>
          <t>JÄMTLANDS LÄN</t>
        </is>
      </c>
      <c r="G169" t="inlineStr">
        <is>
          <t>RAGUNDA</t>
        </is>
      </c>
      <c r="H169" t="inlineStr">
        <is>
          <t>SCA</t>
        </is>
      </c>
      <c r="I169" t="n">
        <v>0.8</v>
      </c>
      <c r="J169" t="n">
        <v>0</v>
      </c>
      <c r="K169" t="n">
        <v>0</v>
      </c>
      <c r="L169" t="n">
        <v>1</v>
      </c>
      <c r="M169" t="n">
        <v>1</v>
      </c>
      <c r="N169" t="n">
        <v>0</v>
      </c>
      <c r="O169" t="n">
        <v>0</v>
      </c>
      <c r="P169" t="n">
        <v>0</v>
      </c>
      <c r="Q169" t="n">
        <v>2</v>
      </c>
      <c r="R169" t="n">
        <v>1</v>
      </c>
      <c r="S169" t="n">
        <v>3</v>
      </c>
      <c r="T169" t="n">
        <v>5</v>
      </c>
      <c r="U169" t="n">
        <v>5</v>
      </c>
      <c r="V169" s="2" t="inlineStr">
        <is>
          <t>Garnlav
Gammelgransskål
Nordisk stormhatt</t>
        </is>
      </c>
      <c r="W169">
        <f>HYPERLINK("https://klasma.github.io/Logging_2303/artfynd/A 21853-2026 artfynd.xlsx", "A 21853-2026")</f>
        <v/>
      </c>
      <c r="X169">
        <f>HYPERLINK("https://klasma.github.io/Logging_2303/kartor/A 21853-2026 karta.png", "A 21853-2026")</f>
        <v/>
      </c>
      <c r="Y169">
        <f>HYPERLINK("https://klasma.github.io/Logging_2303/kartor_geotiff/A 21853-2026 georefererad karta.tif", "A 21853-2026")</f>
        <v/>
      </c>
      <c r="AA169">
        <f>HYPERLINK("https://klasma.github.io/Logging_2303/klagomål/A 21853-2026 FSC-klagomål.docx", "A 21853-2026")</f>
        <v/>
      </c>
      <c r="AB169">
        <f>HYPERLINK("https://klasma.github.io/Logging_2303/klagomålsmail/A 21853-2026 FSC-klagomål mail.docx", "A 21853-2026")</f>
        <v/>
      </c>
      <c r="AC169">
        <f>HYPERLINK("https://klasma.github.io/Logging_2303/tillsyn/A 21853-2026 tillsynsbegäran.docx", "A 21853-2026")</f>
        <v/>
      </c>
      <c r="AD169">
        <f>HYPERLINK("https://klasma.github.io/Logging_2303/tillsynsmail/A 21853-2026 tillsynsbegäran mail.docx", "A 21853-2026")</f>
        <v/>
      </c>
    </row>
    <row r="170" ht="15" customHeight="1">
      <c r="A170" t="inlineStr">
        <is>
          <t>A 18375-2022</t>
        </is>
      </c>
      <c r="B170" t="inlineStr">
        <is>
          <t>avverkningsanmälan</t>
        </is>
      </c>
      <c r="C170" t="inlineStr">
        <is>
          <t>Föryngringsavverkning</t>
        </is>
      </c>
      <c r="D170" s="1" t="n">
        <v>44685</v>
      </c>
      <c r="E170" s="1" t="n">
        <v>46319</v>
      </c>
      <c r="F170" t="inlineStr">
        <is>
          <t>JÄMTLANDS LÄN</t>
        </is>
      </c>
      <c r="G170" t="inlineStr">
        <is>
          <t>RAGUNDA</t>
        </is>
      </c>
      <c r="H170" t="inlineStr">
        <is>
          <t>SCA</t>
        </is>
      </c>
      <c r="I170" t="n">
        <v>0.8</v>
      </c>
      <c r="J170" t="n">
        <v>3</v>
      </c>
      <c r="K170" t="n">
        <v>1</v>
      </c>
      <c r="L170" t="n">
        <v>0</v>
      </c>
      <c r="M170" t="n">
        <v>0</v>
      </c>
      <c r="N170" t="n">
        <v>0</v>
      </c>
      <c r="O170" t="n">
        <v>0</v>
      </c>
      <c r="P170" t="n">
        <v>0</v>
      </c>
      <c r="Q170" t="n">
        <v>0</v>
      </c>
      <c r="R170" t="n">
        <v>0</v>
      </c>
      <c r="S170" t="n">
        <v>3</v>
      </c>
      <c r="T170" t="n">
        <v>3</v>
      </c>
      <c r="U170" t="n">
        <v>3</v>
      </c>
      <c r="V170" s="2" t="inlineStr">
        <is>
          <t>Tvåblad
Brudsporre
Fläcknycklar</t>
        </is>
      </c>
      <c r="W170">
        <f>HYPERLINK("https://klasma.github.io/Logging_2303/artfynd/A 18375-2022 artfynd.xlsx", "A 18375-2022")</f>
        <v/>
      </c>
      <c r="X170">
        <f>HYPERLINK("https://klasma.github.io/Logging_2303/kartor/A 18375-2022 karta.png", "A 18375-2022")</f>
        <v/>
      </c>
      <c r="Y170">
        <f>HYPERLINK("https://klasma.github.io/Logging_2303/kartor_geotiff/A 18375-2022 georefererad karta.tif", "A 18375-2022")</f>
        <v/>
      </c>
      <c r="AA170">
        <f>HYPERLINK("https://klasma.github.io/Logging_2303/klagomål/A 18375-2022 FSC-klagomål.docx", "A 18375-2022")</f>
        <v/>
      </c>
      <c r="AB170">
        <f>HYPERLINK("https://klasma.github.io/Logging_2303/klagomålsmail/A 18375-2022 FSC-klagomål mail.docx", "A 18375-2022")</f>
        <v/>
      </c>
      <c r="AC170">
        <f>HYPERLINK("https://klasma.github.io/Logging_2303/tillsyn/A 18375-2022 tillsynsbegäran.docx", "A 18375-2022")</f>
        <v/>
      </c>
      <c r="AD170">
        <f>HYPERLINK("https://klasma.github.io/Logging_2303/tillsynsmail/A 18375-2022 tillsynsbegäran mail.docx", "A 18375-2022")</f>
        <v/>
      </c>
    </row>
    <row r="171" ht="15" customHeight="1">
      <c r="A171" t="inlineStr">
        <is>
          <t>A 28173-2024</t>
        </is>
      </c>
      <c r="B171" t="inlineStr">
        <is>
          <t>avverkningsanmälan</t>
        </is>
      </c>
      <c r="C171" t="inlineStr">
        <is>
          <t>Avverkning för att bevara och utveckla /försöksver</t>
        </is>
      </c>
      <c r="D171" s="1" t="n">
        <v>45476</v>
      </c>
      <c r="E171" s="1" t="n">
        <v>46319</v>
      </c>
      <c r="F171" t="inlineStr">
        <is>
          <t>JÄMTLANDS LÄN</t>
        </is>
      </c>
      <c r="G171" t="inlineStr">
        <is>
          <t>RAGUNDA</t>
        </is>
      </c>
      <c r="H171" t="inlineStr">
        <is>
          <t>SCA</t>
        </is>
      </c>
      <c r="I171" t="n">
        <v>1.5</v>
      </c>
      <c r="J171" t="n">
        <v>0</v>
      </c>
      <c r="K171" t="n">
        <v>0</v>
      </c>
      <c r="L171" t="n">
        <v>2</v>
      </c>
      <c r="M171" t="n">
        <v>1</v>
      </c>
      <c r="N171" t="n">
        <v>0</v>
      </c>
      <c r="O171" t="n">
        <v>0</v>
      </c>
      <c r="P171" t="n">
        <v>0</v>
      </c>
      <c r="Q171" t="n">
        <v>3</v>
      </c>
      <c r="R171" t="n">
        <v>1</v>
      </c>
      <c r="S171" t="n">
        <v>3</v>
      </c>
      <c r="T171" t="n">
        <v>3</v>
      </c>
      <c r="U171" t="n">
        <v>0</v>
      </c>
      <c r="V171" s="2" t="inlineStr">
        <is>
          <t>Garnlav
Gammelgransskål
Skrovellav</t>
        </is>
      </c>
      <c r="W171">
        <f>HYPERLINK("https://klasma.github.io/Logging_2303/artfynd/A 28173-2024 artfynd.xlsx", "A 28173-2024")</f>
        <v/>
      </c>
      <c r="X171">
        <f>HYPERLINK("https://klasma.github.io/Logging_2303/kartor/A 28173-2024 karta.png", "A 28173-2024")</f>
        <v/>
      </c>
      <c r="Y171">
        <f>HYPERLINK("https://klasma.github.io/Logging_2303/kartor_geotiff/A 28173-2024 georefererad karta.tif", "A 28173-2024")</f>
        <v/>
      </c>
      <c r="AA171">
        <f>HYPERLINK("https://klasma.github.io/Logging_2303/klagomål/A 28173-2024 FSC-klagomål.docx", "A 28173-2024")</f>
        <v/>
      </c>
      <c r="AB171">
        <f>HYPERLINK("https://klasma.github.io/Logging_2303/klagomålsmail/A 28173-2024 FSC-klagomål mail.docx", "A 28173-2024")</f>
        <v/>
      </c>
      <c r="AC171">
        <f>HYPERLINK("https://klasma.github.io/Logging_2303/tillsyn/A 28173-2024 tillsynsbegäran.docx", "A 28173-2024")</f>
        <v/>
      </c>
      <c r="AD171">
        <f>HYPERLINK("https://klasma.github.io/Logging_2303/tillsynsmail/A 28173-2024 tillsynsbegäran mail.docx", "A 28173-2024")</f>
        <v/>
      </c>
    </row>
    <row r="172" ht="15" customHeight="1">
      <c r="A172" t="inlineStr">
        <is>
          <t>A 28178-2023</t>
        </is>
      </c>
      <c r="B172" t="inlineStr">
        <is>
          <t>avverkningsanmälan</t>
        </is>
      </c>
      <c r="C172" t="inlineStr">
        <is>
          <t>Föryngringsavverkning</t>
        </is>
      </c>
      <c r="D172" s="1" t="n">
        <v>45093</v>
      </c>
      <c r="E172" s="1" t="n">
        <v>46319</v>
      </c>
      <c r="F172" t="inlineStr">
        <is>
          <t>JÄMTLANDS LÄN</t>
        </is>
      </c>
      <c r="G172" t="inlineStr">
        <is>
          <t>RAGUNDA</t>
        </is>
      </c>
      <c r="I172" t="n">
        <v>5.6</v>
      </c>
      <c r="J172" t="n">
        <v>0</v>
      </c>
      <c r="K172" t="n">
        <v>0</v>
      </c>
      <c r="L172" t="n">
        <v>2</v>
      </c>
      <c r="M172" t="n">
        <v>1</v>
      </c>
      <c r="N172" t="n">
        <v>0</v>
      </c>
      <c r="O172" t="n">
        <v>0</v>
      </c>
      <c r="P172" t="n">
        <v>0</v>
      </c>
      <c r="Q172" t="n">
        <v>3</v>
      </c>
      <c r="R172" t="n">
        <v>1</v>
      </c>
      <c r="S172" t="n">
        <v>3</v>
      </c>
      <c r="T172" t="n">
        <v>3</v>
      </c>
      <c r="U172" t="n">
        <v>3</v>
      </c>
      <c r="V172" s="2" t="inlineStr">
        <is>
          <t>Garnlav
Gultoppig fingersvamp
Violettgrå tagellav</t>
        </is>
      </c>
      <c r="W172">
        <f>HYPERLINK("https://klasma.github.io/Logging_2303/artfynd/A 28178-2023 artfynd.xlsx", "A 28178-2023")</f>
        <v/>
      </c>
      <c r="X172">
        <f>HYPERLINK("https://klasma.github.io/Logging_2303/kartor/A 28178-2023 karta.png", "A 28178-2023")</f>
        <v/>
      </c>
      <c r="Y172">
        <f>HYPERLINK("https://klasma.github.io/Logging_2303/kartor_geotiff/A 28178-2023 georefererad karta.tif", "A 28178-2023")</f>
        <v/>
      </c>
      <c r="AA172">
        <f>HYPERLINK("https://klasma.github.io/Logging_2303/klagomål/A 28178-2023 FSC-klagomål.docx", "A 28178-2023")</f>
        <v/>
      </c>
      <c r="AB172">
        <f>HYPERLINK("https://klasma.github.io/Logging_2303/klagomålsmail/A 28178-2023 FSC-klagomål mail.docx", "A 28178-2023")</f>
        <v/>
      </c>
      <c r="AC172">
        <f>HYPERLINK("https://klasma.github.io/Logging_2303/tillsyn/A 28178-2023 tillsynsbegäran.docx", "A 28178-2023")</f>
        <v/>
      </c>
      <c r="AD172">
        <f>HYPERLINK("https://klasma.github.io/Logging_2303/tillsynsmail/A 28178-2023 tillsynsbegäran mail.docx", "A 28178-2023")</f>
        <v/>
      </c>
    </row>
    <row r="173" ht="15" customHeight="1">
      <c r="A173" t="inlineStr">
        <is>
          <t>A 49047-2023</t>
        </is>
      </c>
      <c r="B173" t="inlineStr">
        <is>
          <t>avverkningsanmälan</t>
        </is>
      </c>
      <c r="C173" t="inlineStr">
        <is>
          <t>Avverkning för att bevara och utveckla /försöksver</t>
        </is>
      </c>
      <c r="D173" s="1" t="n">
        <v>45209</v>
      </c>
      <c r="E173" s="1" t="n">
        <v>46319</v>
      </c>
      <c r="F173" t="inlineStr">
        <is>
          <t>JÄMTLANDS LÄN</t>
        </is>
      </c>
      <c r="G173" t="inlineStr">
        <is>
          <t>RAGUNDA</t>
        </is>
      </c>
      <c r="H173" t="inlineStr">
        <is>
          <t>SCA</t>
        </is>
      </c>
      <c r="I173" t="n">
        <v>6.9</v>
      </c>
      <c r="J173" t="n">
        <v>0</v>
      </c>
      <c r="K173" t="n">
        <v>0</v>
      </c>
      <c r="L173" t="n">
        <v>3</v>
      </c>
      <c r="M173" t="n">
        <v>0</v>
      </c>
      <c r="N173" t="n">
        <v>0</v>
      </c>
      <c r="O173" t="n">
        <v>0</v>
      </c>
      <c r="P173" t="n">
        <v>0</v>
      </c>
      <c r="Q173" t="n">
        <v>3</v>
      </c>
      <c r="R173" t="n">
        <v>0</v>
      </c>
      <c r="S173" t="n">
        <v>3</v>
      </c>
      <c r="T173" t="n">
        <v>4</v>
      </c>
      <c r="U173" t="n">
        <v>0</v>
      </c>
      <c r="V173" s="2" t="inlineStr">
        <is>
          <t>Lunglav
Rosenticka
Skrovellav</t>
        </is>
      </c>
      <c r="W173">
        <f>HYPERLINK("https://klasma.github.io/Logging_2303/artfynd/A 49047-2023 artfynd.xlsx", "A 49047-2023")</f>
        <v/>
      </c>
      <c r="X173">
        <f>HYPERLINK("https://klasma.github.io/Logging_2303/kartor/A 49047-2023 karta.png", "A 49047-2023")</f>
        <v/>
      </c>
      <c r="Y173">
        <f>HYPERLINK("https://klasma.github.io/Logging_2303/kartor_geotiff/A 49047-2023 georefererad karta.tif", "A 49047-2023")</f>
        <v/>
      </c>
      <c r="AA173">
        <f>HYPERLINK("https://klasma.github.io/Logging_2303/klagomål/A 49047-2023 FSC-klagomål.docx", "A 49047-2023")</f>
        <v/>
      </c>
      <c r="AB173">
        <f>HYPERLINK("https://klasma.github.io/Logging_2303/klagomålsmail/A 49047-2023 FSC-klagomål mail.docx", "A 49047-2023")</f>
        <v/>
      </c>
      <c r="AC173">
        <f>HYPERLINK("https://klasma.github.io/Logging_2303/tillsyn/A 49047-2023 tillsynsbegäran.docx", "A 49047-2023")</f>
        <v/>
      </c>
      <c r="AD173">
        <f>HYPERLINK("https://klasma.github.io/Logging_2303/tillsynsmail/A 49047-2023 tillsynsbegäran mail.docx", "A 49047-2023")</f>
        <v/>
      </c>
    </row>
    <row r="174" ht="15" customHeight="1">
      <c r="A174" t="inlineStr">
        <is>
          <t>A 33278-2022</t>
        </is>
      </c>
      <c r="B174" t="inlineStr">
        <is>
          <t>avverkningsanmälan</t>
        </is>
      </c>
      <c r="C174" t="inlineStr">
        <is>
          <t>Föryngringsavverkning</t>
        </is>
      </c>
      <c r="D174" s="1" t="n">
        <v>44788</v>
      </c>
      <c r="E174" s="1" t="n">
        <v>46319</v>
      </c>
      <c r="F174" t="inlineStr">
        <is>
          <t>JÄMTLANDS LÄN</t>
        </is>
      </c>
      <c r="G174" t="inlineStr">
        <is>
          <t>RAGUNDA</t>
        </is>
      </c>
      <c r="I174" t="n">
        <v>3.2</v>
      </c>
      <c r="J174" t="n">
        <v>2</v>
      </c>
      <c r="K174" t="n">
        <v>0</v>
      </c>
      <c r="L174" t="n">
        <v>2</v>
      </c>
      <c r="M174" t="n">
        <v>1</v>
      </c>
      <c r="N174" t="n">
        <v>0</v>
      </c>
      <c r="O174" t="n">
        <v>0</v>
      </c>
      <c r="P174" t="n">
        <v>0</v>
      </c>
      <c r="Q174" t="n">
        <v>3</v>
      </c>
      <c r="R174" t="n">
        <v>1</v>
      </c>
      <c r="S174" t="n">
        <v>3</v>
      </c>
      <c r="T174" t="n">
        <v>6</v>
      </c>
      <c r="U174" t="n">
        <v>6</v>
      </c>
      <c r="V174" s="2" t="inlineStr">
        <is>
          <t>Knärot
Tretåig hackspett
Ullticka</t>
        </is>
      </c>
      <c r="W174">
        <f>HYPERLINK("https://klasma.github.io/Logging_2303/artfynd/A 33278-2022 artfynd.xlsx", "A 33278-2022")</f>
        <v/>
      </c>
      <c r="X174">
        <f>HYPERLINK("https://klasma.github.io/Logging_2303/kartor/A 33278-2022 karta.png", "A 33278-2022")</f>
        <v/>
      </c>
      <c r="Y174">
        <f>HYPERLINK("https://klasma.github.io/Logging_2303/kartor_geotiff/A 33278-2022 georefererad karta.tif", "A 33278-2022")</f>
        <v/>
      </c>
      <c r="Z174">
        <f>HYPERLINK("https://klasma.github.io/Logging_2303/knärot/A 33278-2022 karta knärot.png", "A 33278-2022")</f>
        <v/>
      </c>
      <c r="AA174">
        <f>HYPERLINK("https://klasma.github.io/Logging_2303/klagomål/A 33278-2022 FSC-klagomål.docx", "A 33278-2022")</f>
        <v/>
      </c>
      <c r="AB174">
        <f>HYPERLINK("https://klasma.github.io/Logging_2303/klagomålsmail/A 33278-2022 FSC-klagomål mail.docx", "A 33278-2022")</f>
        <v/>
      </c>
      <c r="AC174">
        <f>HYPERLINK("https://klasma.github.io/Logging_2303/tillsyn/A 33278-2022 tillsynsbegäran.docx", "A 33278-2022")</f>
        <v/>
      </c>
      <c r="AD174">
        <f>HYPERLINK("https://klasma.github.io/Logging_2303/tillsynsmail/A 33278-2022 tillsynsbegäran mail.docx", "A 33278-2022")</f>
        <v/>
      </c>
      <c r="AE174">
        <f>HYPERLINK("https://klasma.github.io/Logging_2303/fåglar/A 33278-2022 prioriterade fågelarter.docx", "A 33278-2022")</f>
        <v/>
      </c>
    </row>
    <row r="175" ht="15" customHeight="1">
      <c r="A175" t="inlineStr">
        <is>
          <t>A 53022-2022</t>
        </is>
      </c>
      <c r="B175" t="inlineStr">
        <is>
          <t>avverkningsanmälan</t>
        </is>
      </c>
      <c r="C175" t="inlineStr">
        <is>
          <t>Avverkning för att bevara och utveckla /försöksver</t>
        </is>
      </c>
      <c r="D175" s="1" t="n">
        <v>44875</v>
      </c>
      <c r="E175" s="1" t="n">
        <v>46319</v>
      </c>
      <c r="F175" t="inlineStr">
        <is>
          <t>JÄMTLANDS LÄN</t>
        </is>
      </c>
      <c r="G175" t="inlineStr">
        <is>
          <t>RAGUNDA</t>
        </is>
      </c>
      <c r="H175" t="inlineStr">
        <is>
          <t>SCA</t>
        </is>
      </c>
      <c r="I175" t="n">
        <v>2.7</v>
      </c>
      <c r="J175" t="n">
        <v>0</v>
      </c>
      <c r="K175" t="n">
        <v>0</v>
      </c>
      <c r="L175" t="n">
        <v>2</v>
      </c>
      <c r="M175" t="n">
        <v>1</v>
      </c>
      <c r="N175" t="n">
        <v>0</v>
      </c>
      <c r="O175" t="n">
        <v>0</v>
      </c>
      <c r="P175" t="n">
        <v>0</v>
      </c>
      <c r="Q175" t="n">
        <v>3</v>
      </c>
      <c r="R175" t="n">
        <v>1</v>
      </c>
      <c r="S175" t="n">
        <v>3</v>
      </c>
      <c r="T175" t="n">
        <v>3</v>
      </c>
      <c r="U175" t="n">
        <v>0</v>
      </c>
      <c r="V175" s="2" t="inlineStr">
        <is>
          <t>Garnlav
Dropptaggsvamp
Lunglav</t>
        </is>
      </c>
      <c r="W175">
        <f>HYPERLINK("https://klasma.github.io/Logging_2303/artfynd/A 53022-2022 artfynd.xlsx", "A 53022-2022")</f>
        <v/>
      </c>
      <c r="X175">
        <f>HYPERLINK("https://klasma.github.io/Logging_2303/kartor/A 53022-2022 karta.png", "A 53022-2022")</f>
        <v/>
      </c>
      <c r="Y175">
        <f>HYPERLINK("https://klasma.github.io/Logging_2303/kartor_geotiff/A 53022-2022 georefererad karta.tif", "A 53022-2022")</f>
        <v/>
      </c>
      <c r="AA175">
        <f>HYPERLINK("https://klasma.github.io/Logging_2303/klagomål/A 53022-2022 FSC-klagomål.docx", "A 53022-2022")</f>
        <v/>
      </c>
      <c r="AB175">
        <f>HYPERLINK("https://klasma.github.io/Logging_2303/klagomålsmail/A 53022-2022 FSC-klagomål mail.docx", "A 53022-2022")</f>
        <v/>
      </c>
      <c r="AC175">
        <f>HYPERLINK("https://klasma.github.io/Logging_2303/tillsyn/A 53022-2022 tillsynsbegäran.docx", "A 53022-2022")</f>
        <v/>
      </c>
      <c r="AD175">
        <f>HYPERLINK("https://klasma.github.io/Logging_2303/tillsynsmail/A 53022-2022 tillsynsbegäran mail.docx", "A 53022-2022")</f>
        <v/>
      </c>
    </row>
    <row r="176" ht="15" customHeight="1">
      <c r="A176" t="inlineStr">
        <is>
          <t>A 18616-2024</t>
        </is>
      </c>
      <c r="B176" t="inlineStr">
        <is>
          <t>avverkningsanmälan</t>
        </is>
      </c>
      <c r="C176" t="inlineStr">
        <is>
          <t>Avverkning för att bevara och utveckla /försöksver</t>
        </is>
      </c>
      <c r="D176" s="1" t="n">
        <v>45425</v>
      </c>
      <c r="E176" s="1" t="n">
        <v>46319</v>
      </c>
      <c r="F176" t="inlineStr">
        <is>
          <t>JÄMTLANDS LÄN</t>
        </is>
      </c>
      <c r="G176" t="inlineStr">
        <is>
          <t>RAGUNDA</t>
        </is>
      </c>
      <c r="H176" t="inlineStr">
        <is>
          <t>SCA</t>
        </is>
      </c>
      <c r="I176" t="n">
        <v>3.4</v>
      </c>
      <c r="J176" t="n">
        <v>1</v>
      </c>
      <c r="K176" t="n">
        <v>0</v>
      </c>
      <c r="L176" t="n">
        <v>2</v>
      </c>
      <c r="M176" t="n">
        <v>1</v>
      </c>
      <c r="N176" t="n">
        <v>0</v>
      </c>
      <c r="O176" t="n">
        <v>0</v>
      </c>
      <c r="P176" t="n">
        <v>0</v>
      </c>
      <c r="Q176" t="n">
        <v>3</v>
      </c>
      <c r="R176" t="n">
        <v>1</v>
      </c>
      <c r="S176" t="n">
        <v>3</v>
      </c>
      <c r="T176" t="n">
        <v>3</v>
      </c>
      <c r="U176" t="n">
        <v>1</v>
      </c>
      <c r="V176" s="2" t="inlineStr">
        <is>
          <t>Knärot
Orange taggsvamp
Ullticka</t>
        </is>
      </c>
      <c r="W176">
        <f>HYPERLINK("https://klasma.github.io/Logging_2303/artfynd/A 18616-2024 artfynd.xlsx", "A 18616-2024")</f>
        <v/>
      </c>
      <c r="X176">
        <f>HYPERLINK("https://klasma.github.io/Logging_2303/kartor/A 18616-2024 karta.png", "A 18616-2024")</f>
        <v/>
      </c>
      <c r="Y176">
        <f>HYPERLINK("https://klasma.github.io/Logging_2303/kartor_geotiff/A 18616-2024 georefererad karta.tif", "A 18616-2024")</f>
        <v/>
      </c>
      <c r="Z176">
        <f>HYPERLINK("https://klasma.github.io/Logging_2303/knärot/A 18616-2024 karta knärot.png", "A 18616-2024")</f>
        <v/>
      </c>
      <c r="AA176">
        <f>HYPERLINK("https://klasma.github.io/Logging_2303/klagomål/A 18616-2024 FSC-klagomål.docx", "A 18616-2024")</f>
        <v/>
      </c>
      <c r="AB176">
        <f>HYPERLINK("https://klasma.github.io/Logging_2303/klagomålsmail/A 18616-2024 FSC-klagomål mail.docx", "A 18616-2024")</f>
        <v/>
      </c>
      <c r="AC176">
        <f>HYPERLINK("https://klasma.github.io/Logging_2303/tillsyn/A 18616-2024 tillsynsbegäran.docx", "A 18616-2024")</f>
        <v/>
      </c>
      <c r="AD176">
        <f>HYPERLINK("https://klasma.github.io/Logging_2303/tillsynsmail/A 18616-2024 tillsynsbegäran mail.docx", "A 18616-2024")</f>
        <v/>
      </c>
    </row>
    <row r="177" ht="15" customHeight="1">
      <c r="A177" t="inlineStr">
        <is>
          <t>A 11843-2023</t>
        </is>
      </c>
      <c r="B177" t="inlineStr">
        <is>
          <t>avverkningsanmälan</t>
        </is>
      </c>
      <c r="C177" t="inlineStr">
        <is>
          <t>Föryngringsavverkning</t>
        </is>
      </c>
      <c r="D177" s="1" t="n">
        <v>44993</v>
      </c>
      <c r="E177" s="1" t="n">
        <v>46319</v>
      </c>
      <c r="F177" t="inlineStr">
        <is>
          <t>JÄMTLANDS LÄN</t>
        </is>
      </c>
      <c r="G177" t="inlineStr">
        <is>
          <t>RAGUNDA</t>
        </is>
      </c>
      <c r="I177" t="n">
        <v>6.4</v>
      </c>
      <c r="J177" t="n">
        <v>3</v>
      </c>
      <c r="K177" t="n">
        <v>0</v>
      </c>
      <c r="L177" t="n">
        <v>1</v>
      </c>
      <c r="M177" t="n">
        <v>0</v>
      </c>
      <c r="N177" t="n">
        <v>0</v>
      </c>
      <c r="O177" t="n">
        <v>0</v>
      </c>
      <c r="P177" t="n">
        <v>0</v>
      </c>
      <c r="Q177" t="n">
        <v>1</v>
      </c>
      <c r="R177" t="n">
        <v>0</v>
      </c>
      <c r="S177" t="n">
        <v>3</v>
      </c>
      <c r="T177" t="n">
        <v>3</v>
      </c>
      <c r="U177" t="n">
        <v>3</v>
      </c>
      <c r="V177" s="2" t="inlineStr">
        <is>
          <t>Rödvingetrast
Spillkråka
Revlummer</t>
        </is>
      </c>
      <c r="W177">
        <f>HYPERLINK("https://klasma.github.io/Logging_2303/artfynd/A 11843-2023 artfynd.xlsx", "A 11843-2023")</f>
        <v/>
      </c>
      <c r="X177">
        <f>HYPERLINK("https://klasma.github.io/Logging_2303/kartor/A 11843-2023 karta.png", "A 11843-2023")</f>
        <v/>
      </c>
      <c r="Y177">
        <f>HYPERLINK("https://klasma.github.io/Logging_2303/kartor_geotiff/A 11843-2023 georefererad karta.tif", "A 11843-2023")</f>
        <v/>
      </c>
      <c r="AA177">
        <f>HYPERLINK("https://klasma.github.io/Logging_2303/klagomål/A 11843-2023 FSC-klagomål.docx", "A 11843-2023")</f>
        <v/>
      </c>
      <c r="AB177">
        <f>HYPERLINK("https://klasma.github.io/Logging_2303/klagomålsmail/A 11843-2023 FSC-klagomål mail.docx", "A 11843-2023")</f>
        <v/>
      </c>
      <c r="AC177">
        <f>HYPERLINK("https://klasma.github.io/Logging_2303/tillsyn/A 11843-2023 tillsynsbegäran.docx", "A 11843-2023")</f>
        <v/>
      </c>
      <c r="AD177">
        <f>HYPERLINK("https://klasma.github.io/Logging_2303/tillsynsmail/A 11843-2023 tillsynsbegäran mail.docx", "A 11843-2023")</f>
        <v/>
      </c>
      <c r="AE177">
        <f>HYPERLINK("https://klasma.github.io/Logging_2303/fåglar/A 11843-2023 prioriterade fågelarter.docx", "A 11843-2023")</f>
        <v/>
      </c>
    </row>
    <row r="178" ht="15" customHeight="1">
      <c r="A178" t="inlineStr">
        <is>
          <t>S 1618-2026</t>
        </is>
      </c>
      <c r="B178" t="inlineStr">
        <is>
          <t>samrådsanmälan</t>
        </is>
      </c>
      <c r="C178" t="inlineStr">
        <is>
          <t>Annan skogsbruksåtgärd</t>
        </is>
      </c>
      <c r="D178" s="1" t="n">
        <v>46173</v>
      </c>
      <c r="E178" s="1" t="n">
        <v>46319</v>
      </c>
      <c r="F178" t="inlineStr">
        <is>
          <t>JÄMTLANDS LÄN</t>
        </is>
      </c>
      <c r="G178" t="inlineStr">
        <is>
          <t>RAGUNDA</t>
        </is>
      </c>
      <c r="H178" t="inlineStr">
        <is>
          <t>SCA</t>
        </is>
      </c>
      <c r="I178" t="n">
        <v>2.9</v>
      </c>
      <c r="J178" t="n">
        <v>1</v>
      </c>
      <c r="K178" t="n">
        <v>0</v>
      </c>
      <c r="L178" t="n">
        <v>2</v>
      </c>
      <c r="M178" t="n">
        <v>1</v>
      </c>
      <c r="N178" t="n">
        <v>0</v>
      </c>
      <c r="O178" t="n">
        <v>0</v>
      </c>
      <c r="P178" t="n">
        <v>0</v>
      </c>
      <c r="Q178" t="n">
        <v>3</v>
      </c>
      <c r="R178" t="n">
        <v>1</v>
      </c>
      <c r="S178" t="n">
        <v>3</v>
      </c>
      <c r="T178" t="n">
        <v>3</v>
      </c>
      <c r="U178" t="n">
        <v>0</v>
      </c>
      <c r="V178" s="2" t="inlineStr">
        <is>
          <t>Doftticka
Lunglav
Skrovellav</t>
        </is>
      </c>
      <c r="W178">
        <f>HYPERLINK("https://klasma.github.io/Logging_2303/artfynd/S 1618-2026 artfynd.xlsx", "S 1618-2026")</f>
        <v/>
      </c>
      <c r="X178">
        <f>HYPERLINK("https://klasma.github.io/Logging_2303/kartor/S 1618-2026 karta.png", "S 1618-2026")</f>
        <v/>
      </c>
      <c r="Y178">
        <f>HYPERLINK("https://klasma.github.io/Logging_2303/kartor_geotiff/S 1618-2026 georefererad karta.tif", "S 1618-2026")</f>
        <v/>
      </c>
      <c r="AA178">
        <f>HYPERLINK("https://klasma.github.io/Logging_2303/klagomål/S 1618-2026 FSC-klagomål.docx", "S 1618-2026")</f>
        <v/>
      </c>
      <c r="AB178">
        <f>HYPERLINK("https://klasma.github.io/Logging_2303/klagomålsmail/S 1618-2026 FSC-klagomål mail.docx", "S 1618-2026")</f>
        <v/>
      </c>
      <c r="AC178">
        <f>HYPERLINK("https://klasma.github.io/Logging_2303/tillsyn/S 1618-2026 tillsynsbegäran.docx", "S 1618-2026")</f>
        <v/>
      </c>
      <c r="AD178">
        <f>HYPERLINK("https://klasma.github.io/Logging_2303/tillsynsmail/S 1618-2026 tillsynsbegäran mail.docx", "S 1618-2026")</f>
        <v/>
      </c>
    </row>
    <row r="179" ht="15" customHeight="1">
      <c r="A179" t="inlineStr">
        <is>
          <t>A 48059-2022</t>
        </is>
      </c>
      <c r="B179" t="inlineStr">
        <is>
          <t>avverkningsanmälan</t>
        </is>
      </c>
      <c r="C179" t="inlineStr">
        <is>
          <t>Avverkning för att bevara och utveckla /försöksver</t>
        </is>
      </c>
      <c r="D179" s="1" t="n">
        <v>44855</v>
      </c>
      <c r="E179" s="1" t="n">
        <v>46319</v>
      </c>
      <c r="F179" t="inlineStr">
        <is>
          <t>JÄMTLANDS LÄN</t>
        </is>
      </c>
      <c r="G179" t="inlineStr">
        <is>
          <t>RAGUNDA</t>
        </is>
      </c>
      <c r="H179" t="inlineStr">
        <is>
          <t>SCA</t>
        </is>
      </c>
      <c r="I179" t="n">
        <v>3.2</v>
      </c>
      <c r="J179" t="n">
        <v>0</v>
      </c>
      <c r="K179" t="n">
        <v>0</v>
      </c>
      <c r="L179" t="n">
        <v>1</v>
      </c>
      <c r="M179" t="n">
        <v>1</v>
      </c>
      <c r="N179" t="n">
        <v>0</v>
      </c>
      <c r="O179" t="n">
        <v>0</v>
      </c>
      <c r="P179" t="n">
        <v>0</v>
      </c>
      <c r="Q179" t="n">
        <v>2</v>
      </c>
      <c r="R179" t="n">
        <v>1</v>
      </c>
      <c r="S179" t="n">
        <v>2</v>
      </c>
      <c r="T179" t="n">
        <v>2</v>
      </c>
      <c r="U179" t="n">
        <v>0</v>
      </c>
      <c r="V179" s="2" t="inlineStr">
        <is>
          <t>Garnlav
Lunglav</t>
        </is>
      </c>
      <c r="W179">
        <f>HYPERLINK("https://klasma.github.io/Logging_2303/artfynd/A 48059-2022 artfynd.xlsx", "A 48059-2022")</f>
        <v/>
      </c>
      <c r="X179">
        <f>HYPERLINK("https://klasma.github.io/Logging_2303/kartor/A 48059-2022 karta.png", "A 48059-2022")</f>
        <v/>
      </c>
      <c r="Y179">
        <f>HYPERLINK("https://klasma.github.io/Logging_2303/kartor_geotiff/A 48059-2022 georefererad karta.tif", "A 48059-2022")</f>
        <v/>
      </c>
      <c r="AA179">
        <f>HYPERLINK("https://klasma.github.io/Logging_2303/klagomål/A 48059-2022 FSC-klagomål.docx", "A 48059-2022")</f>
        <v/>
      </c>
      <c r="AB179">
        <f>HYPERLINK("https://klasma.github.io/Logging_2303/klagomålsmail/A 48059-2022 FSC-klagomål mail.docx", "A 48059-2022")</f>
        <v/>
      </c>
      <c r="AC179">
        <f>HYPERLINK("https://klasma.github.io/Logging_2303/tillsyn/A 48059-2022 tillsynsbegäran.docx", "A 48059-2022")</f>
        <v/>
      </c>
      <c r="AD179">
        <f>HYPERLINK("https://klasma.github.io/Logging_2303/tillsynsmail/A 48059-2022 tillsynsbegäran mail.docx", "A 48059-2022")</f>
        <v/>
      </c>
    </row>
    <row r="180" ht="15" customHeight="1">
      <c r="A180" t="inlineStr">
        <is>
          <t>A 38733-2022</t>
        </is>
      </c>
      <c r="B180" t="inlineStr">
        <is>
          <t>avverkningsanmälan</t>
        </is>
      </c>
      <c r="C180" t="inlineStr">
        <is>
          <t>Föryngringsavverkning</t>
        </is>
      </c>
      <c r="D180" s="1" t="n">
        <v>44815</v>
      </c>
      <c r="E180" s="1" t="n">
        <v>46319</v>
      </c>
      <c r="F180" t="inlineStr">
        <is>
          <t>JÄMTLANDS LÄN</t>
        </is>
      </c>
      <c r="G180" t="inlineStr">
        <is>
          <t>RAGUNDA</t>
        </is>
      </c>
      <c r="H180" t="inlineStr">
        <is>
          <t>SCA</t>
        </is>
      </c>
      <c r="I180" t="n">
        <v>1.4</v>
      </c>
      <c r="J180" t="n">
        <v>1</v>
      </c>
      <c r="K180" t="n">
        <v>0</v>
      </c>
      <c r="L180" t="n">
        <v>1</v>
      </c>
      <c r="M180" t="n">
        <v>0</v>
      </c>
      <c r="N180" t="n">
        <v>0</v>
      </c>
      <c r="O180" t="n">
        <v>0</v>
      </c>
      <c r="P180" t="n">
        <v>0</v>
      </c>
      <c r="Q180" t="n">
        <v>1</v>
      </c>
      <c r="R180" t="n">
        <v>0</v>
      </c>
      <c r="S180" t="n">
        <v>2</v>
      </c>
      <c r="T180" t="n">
        <v>3</v>
      </c>
      <c r="U180" t="n">
        <v>2</v>
      </c>
      <c r="V180" s="2" t="inlineStr">
        <is>
          <t>Brunklöver
Fläcknycklar</t>
        </is>
      </c>
      <c r="W180">
        <f>HYPERLINK("https://klasma.github.io/Logging_2303/artfynd/A 38733-2022 artfynd.xlsx", "A 38733-2022")</f>
        <v/>
      </c>
      <c r="X180">
        <f>HYPERLINK("https://klasma.github.io/Logging_2303/kartor/A 38733-2022 karta.png", "A 38733-2022")</f>
        <v/>
      </c>
      <c r="Y180">
        <f>HYPERLINK("https://klasma.github.io/Logging_2303/kartor_geotiff/A 38733-2022 georefererad karta.tif", "A 38733-2022")</f>
        <v/>
      </c>
      <c r="AA180">
        <f>HYPERLINK("https://klasma.github.io/Logging_2303/klagomål/A 38733-2022 FSC-klagomål.docx", "A 38733-2022")</f>
        <v/>
      </c>
      <c r="AB180">
        <f>HYPERLINK("https://klasma.github.io/Logging_2303/klagomålsmail/A 38733-2022 FSC-klagomål mail.docx", "A 38733-2022")</f>
        <v/>
      </c>
      <c r="AC180">
        <f>HYPERLINK("https://klasma.github.io/Logging_2303/tillsyn/A 38733-2022 tillsynsbegäran.docx", "A 38733-2022")</f>
        <v/>
      </c>
      <c r="AD180">
        <f>HYPERLINK("https://klasma.github.io/Logging_2303/tillsynsmail/A 38733-2022 tillsynsbegäran mail.docx", "A 38733-2022")</f>
        <v/>
      </c>
    </row>
    <row r="181" ht="15" customHeight="1">
      <c r="A181" t="inlineStr">
        <is>
          <t>A 39946-2025</t>
        </is>
      </c>
      <c r="B181" t="inlineStr">
        <is>
          <t>avverkningsanmälan</t>
        </is>
      </c>
      <c r="C181" t="inlineStr">
        <is>
          <t>Föryngringsavverkning</t>
        </is>
      </c>
      <c r="D181" s="1" t="n">
        <v>45892</v>
      </c>
      <c r="E181" s="1" t="n">
        <v>46319</v>
      </c>
      <c r="F181" t="inlineStr">
        <is>
          <t>JÄMTLANDS LÄN</t>
        </is>
      </c>
      <c r="G181" t="inlineStr">
        <is>
          <t>RAGUNDA</t>
        </is>
      </c>
      <c r="I181" t="n">
        <v>4.7</v>
      </c>
      <c r="J181" t="n">
        <v>1</v>
      </c>
      <c r="K181" t="n">
        <v>1</v>
      </c>
      <c r="L181" t="n">
        <v>0</v>
      </c>
      <c r="M181" t="n">
        <v>0</v>
      </c>
      <c r="N181" t="n">
        <v>0</v>
      </c>
      <c r="O181" t="n">
        <v>0</v>
      </c>
      <c r="P181" t="n">
        <v>0</v>
      </c>
      <c r="Q181" t="n">
        <v>0</v>
      </c>
      <c r="R181" t="n">
        <v>0</v>
      </c>
      <c r="S181" t="n">
        <v>2</v>
      </c>
      <c r="T181" t="n">
        <v>2</v>
      </c>
      <c r="U181" t="n">
        <v>2</v>
      </c>
      <c r="V181" s="2" t="inlineStr">
        <is>
          <t>Tvåblad
Skogsstjärna</t>
        </is>
      </c>
      <c r="W181">
        <f>HYPERLINK("https://klasma.github.io/Logging_2303/artfynd/A 39946-2025 artfynd.xlsx", "A 39946-2025")</f>
        <v/>
      </c>
      <c r="X181">
        <f>HYPERLINK("https://klasma.github.io/Logging_2303/kartor/A 39946-2025 karta.png", "A 39946-2025")</f>
        <v/>
      </c>
      <c r="Y181">
        <f>HYPERLINK("https://klasma.github.io/Logging_2303/kartor_geotiff/A 39946-2025 georefererad karta.tif", "A 39946-2025")</f>
        <v/>
      </c>
      <c r="AA181">
        <f>HYPERLINK("https://klasma.github.io/Logging_2303/klagomål/A 39946-2025 FSC-klagomål.docx", "A 39946-2025")</f>
        <v/>
      </c>
      <c r="AB181">
        <f>HYPERLINK("https://klasma.github.io/Logging_2303/klagomålsmail/A 39946-2025 FSC-klagomål mail.docx", "A 39946-2025")</f>
        <v/>
      </c>
      <c r="AC181">
        <f>HYPERLINK("https://klasma.github.io/Logging_2303/tillsyn/A 39946-2025 tillsynsbegäran.docx", "A 39946-2025")</f>
        <v/>
      </c>
      <c r="AD181">
        <f>HYPERLINK("https://klasma.github.io/Logging_2303/tillsynsmail/A 39946-2025 tillsynsbegäran mail.docx", "A 39946-2025")</f>
        <v/>
      </c>
    </row>
    <row r="182" ht="15" customHeight="1">
      <c r="A182" t="inlineStr">
        <is>
          <t>A 40841-2025</t>
        </is>
      </c>
      <c r="B182" t="inlineStr">
        <is>
          <t>avverkningsanmälan</t>
        </is>
      </c>
      <c r="C182" t="inlineStr">
        <is>
          <t>Föryngringsavverkning</t>
        </is>
      </c>
      <c r="D182" s="1" t="n">
        <v>45897</v>
      </c>
      <c r="E182" s="1" t="n">
        <v>46319</v>
      </c>
      <c r="F182" t="inlineStr">
        <is>
          <t>JÄMTLANDS LÄN</t>
        </is>
      </c>
      <c r="G182" t="inlineStr">
        <is>
          <t>RAGUNDA</t>
        </is>
      </c>
      <c r="H182" t="inlineStr">
        <is>
          <t>SCA</t>
        </is>
      </c>
      <c r="I182" t="n">
        <v>1.1</v>
      </c>
      <c r="J182" t="n">
        <v>0</v>
      </c>
      <c r="K182" t="n">
        <v>1</v>
      </c>
      <c r="L182" t="n">
        <v>0</v>
      </c>
      <c r="M182" t="n">
        <v>1</v>
      </c>
      <c r="N182" t="n">
        <v>0</v>
      </c>
      <c r="O182" t="n">
        <v>0</v>
      </c>
      <c r="P182" t="n">
        <v>0</v>
      </c>
      <c r="Q182" t="n">
        <v>1</v>
      </c>
      <c r="R182" t="n">
        <v>1</v>
      </c>
      <c r="S182" t="n">
        <v>2</v>
      </c>
      <c r="T182" t="n">
        <v>2</v>
      </c>
      <c r="U182" t="n">
        <v>0</v>
      </c>
      <c r="V182" s="2" t="inlineStr">
        <is>
          <t>Garnlav
Källmossor</t>
        </is>
      </c>
      <c r="W182">
        <f>HYPERLINK("https://klasma.github.io/Logging_2303/artfynd/A 40841-2025 artfynd.xlsx", "A 40841-2025")</f>
        <v/>
      </c>
      <c r="X182">
        <f>HYPERLINK("https://klasma.github.io/Logging_2303/kartor/A 40841-2025 karta.png", "A 40841-2025")</f>
        <v/>
      </c>
      <c r="Y182">
        <f>HYPERLINK("https://klasma.github.io/Logging_2303/kartor_geotiff/A 40841-2025 georefererad karta.tif", "A 40841-2025")</f>
        <v/>
      </c>
      <c r="AA182">
        <f>HYPERLINK("https://klasma.github.io/Logging_2303/klagomål/A 40841-2025 FSC-klagomål.docx", "A 40841-2025")</f>
        <v/>
      </c>
      <c r="AB182">
        <f>HYPERLINK("https://klasma.github.io/Logging_2303/klagomålsmail/A 40841-2025 FSC-klagomål mail.docx", "A 40841-2025")</f>
        <v/>
      </c>
      <c r="AC182">
        <f>HYPERLINK("https://klasma.github.io/Logging_2303/tillsyn/A 40841-2025 tillsynsbegäran.docx", "A 40841-2025")</f>
        <v/>
      </c>
      <c r="AD182">
        <f>HYPERLINK("https://klasma.github.io/Logging_2303/tillsynsmail/A 40841-2025 tillsynsbegäran mail.docx", "A 40841-2025")</f>
        <v/>
      </c>
    </row>
    <row r="183" ht="15" customHeight="1">
      <c r="A183" t="inlineStr">
        <is>
          <t>A 46710-2025</t>
        </is>
      </c>
      <c r="B183" t="inlineStr">
        <is>
          <t>avverkningsanmälan</t>
        </is>
      </c>
      <c r="C183" t="inlineStr">
        <is>
          <t>Föryngringsavverkning</t>
        </is>
      </c>
      <c r="D183" s="1" t="n">
        <v>45926</v>
      </c>
      <c r="E183" s="1" t="n">
        <v>46319</v>
      </c>
      <c r="F183" t="inlineStr">
        <is>
          <t>JÄMTLANDS LÄN</t>
        </is>
      </c>
      <c r="G183" t="inlineStr">
        <is>
          <t>RAGUNDA</t>
        </is>
      </c>
      <c r="H183" t="inlineStr">
        <is>
          <t>SCA</t>
        </is>
      </c>
      <c r="I183" t="n">
        <v>6</v>
      </c>
      <c r="J183" t="n">
        <v>0</v>
      </c>
      <c r="K183" t="n">
        <v>1</v>
      </c>
      <c r="L183" t="n">
        <v>1</v>
      </c>
      <c r="M183" t="n">
        <v>0</v>
      </c>
      <c r="N183" t="n">
        <v>0</v>
      </c>
      <c r="O183" t="n">
        <v>0</v>
      </c>
      <c r="P183" t="n">
        <v>0</v>
      </c>
      <c r="Q183" t="n">
        <v>1</v>
      </c>
      <c r="R183" t="n">
        <v>0</v>
      </c>
      <c r="S183" t="n">
        <v>2</v>
      </c>
      <c r="T183" t="n">
        <v>2</v>
      </c>
      <c r="U183" t="n">
        <v>0</v>
      </c>
      <c r="V183" s="2" t="inlineStr">
        <is>
          <t>Lunglav
Stuplav</t>
        </is>
      </c>
      <c r="W183">
        <f>HYPERLINK("https://klasma.github.io/Logging_2303/artfynd/A 46710-2025 artfynd.xlsx", "A 46710-2025")</f>
        <v/>
      </c>
      <c r="X183">
        <f>HYPERLINK("https://klasma.github.io/Logging_2303/kartor/A 46710-2025 karta.png", "A 46710-2025")</f>
        <v/>
      </c>
      <c r="Y183">
        <f>HYPERLINK("https://klasma.github.io/Logging_2303/kartor_geotiff/A 46710-2025 georefererad karta.tif", "A 46710-2025")</f>
        <v/>
      </c>
      <c r="AA183">
        <f>HYPERLINK("https://klasma.github.io/Logging_2303/klagomål/A 46710-2025 FSC-klagomål.docx", "A 46710-2025")</f>
        <v/>
      </c>
      <c r="AB183">
        <f>HYPERLINK("https://klasma.github.io/Logging_2303/klagomålsmail/A 46710-2025 FSC-klagomål mail.docx", "A 46710-2025")</f>
        <v/>
      </c>
      <c r="AC183">
        <f>HYPERLINK("https://klasma.github.io/Logging_2303/tillsyn/A 46710-2025 tillsynsbegäran.docx", "A 46710-2025")</f>
        <v/>
      </c>
      <c r="AD183">
        <f>HYPERLINK("https://klasma.github.io/Logging_2303/tillsynsmail/A 46710-2025 tillsynsbegäran mail.docx", "A 46710-2025")</f>
        <v/>
      </c>
    </row>
    <row r="184" ht="15" customHeight="1">
      <c r="A184" t="inlineStr">
        <is>
          <t>A 56634-2025</t>
        </is>
      </c>
      <c r="B184" t="inlineStr">
        <is>
          <t>avverkningsanmälan</t>
        </is>
      </c>
      <c r="C184" t="inlineStr">
        <is>
          <t>Föryngringsavverkning</t>
        </is>
      </c>
      <c r="D184" s="1" t="n">
        <v>45975</v>
      </c>
      <c r="E184" s="1" t="n">
        <v>46319</v>
      </c>
      <c r="F184" t="inlineStr">
        <is>
          <t>JÄMTLANDS LÄN</t>
        </is>
      </c>
      <c r="G184" t="inlineStr">
        <is>
          <t>RAGUNDA</t>
        </is>
      </c>
      <c r="H184" t="inlineStr">
        <is>
          <t>SCA</t>
        </is>
      </c>
      <c r="I184" t="n">
        <v>86.59999999999999</v>
      </c>
      <c r="J184" t="n">
        <v>0</v>
      </c>
      <c r="K184" t="n">
        <v>0</v>
      </c>
      <c r="L184" t="n">
        <v>1</v>
      </c>
      <c r="M184" t="n">
        <v>1</v>
      </c>
      <c r="N184" t="n">
        <v>0</v>
      </c>
      <c r="O184" t="n">
        <v>0</v>
      </c>
      <c r="P184" t="n">
        <v>0</v>
      </c>
      <c r="Q184" t="n">
        <v>2</v>
      </c>
      <c r="R184" t="n">
        <v>1</v>
      </c>
      <c r="S184" t="n">
        <v>2</v>
      </c>
      <c r="T184" t="n">
        <v>2</v>
      </c>
      <c r="U184" t="n">
        <v>0</v>
      </c>
      <c r="V184" s="2" t="inlineStr">
        <is>
          <t>Garnlav
Skuggblåslav</t>
        </is>
      </c>
      <c r="W184">
        <f>HYPERLINK("https://klasma.github.io/Logging_2303/artfynd/A 56634-2025 artfynd.xlsx", "A 56634-2025")</f>
        <v/>
      </c>
      <c r="X184">
        <f>HYPERLINK("https://klasma.github.io/Logging_2303/kartor/A 56634-2025 karta.png", "A 56634-2025")</f>
        <v/>
      </c>
      <c r="Y184">
        <f>HYPERLINK("https://klasma.github.io/Logging_2303/kartor_geotiff/A 56634-2025 georefererad karta.tif", "A 56634-2025")</f>
        <v/>
      </c>
      <c r="AA184">
        <f>HYPERLINK("https://klasma.github.io/Logging_2303/klagomål/A 56634-2025 FSC-klagomål.docx", "A 56634-2025")</f>
        <v/>
      </c>
      <c r="AB184">
        <f>HYPERLINK("https://klasma.github.io/Logging_2303/klagomålsmail/A 56634-2025 FSC-klagomål mail.docx", "A 56634-2025")</f>
        <v/>
      </c>
      <c r="AC184">
        <f>HYPERLINK("https://klasma.github.io/Logging_2303/tillsyn/A 56634-2025 tillsynsbegäran.docx", "A 56634-2025")</f>
        <v/>
      </c>
      <c r="AD184">
        <f>HYPERLINK("https://klasma.github.io/Logging_2303/tillsynsmail/A 56634-2025 tillsynsbegäran mail.docx", "A 56634-2025")</f>
        <v/>
      </c>
    </row>
    <row r="185" ht="15" customHeight="1">
      <c r="A185" t="inlineStr">
        <is>
          <t>A 18614-2024</t>
        </is>
      </c>
      <c r="B185" t="inlineStr">
        <is>
          <t>avverkningsanmälan</t>
        </is>
      </c>
      <c r="C185" t="inlineStr">
        <is>
          <t>Avverkning för att bevara och utveckla /försöksver</t>
        </is>
      </c>
      <c r="D185" s="1" t="n">
        <v>45425</v>
      </c>
      <c r="E185" s="1" t="n">
        <v>46319</v>
      </c>
      <c r="F185" t="inlineStr">
        <is>
          <t>JÄMTLANDS LÄN</t>
        </is>
      </c>
      <c r="G185" t="inlineStr">
        <is>
          <t>RAGUNDA</t>
        </is>
      </c>
      <c r="H185" t="inlineStr">
        <is>
          <t>SCA</t>
        </is>
      </c>
      <c r="I185" t="n">
        <v>2.1</v>
      </c>
      <c r="J185" t="n">
        <v>0</v>
      </c>
      <c r="K185" t="n">
        <v>1</v>
      </c>
      <c r="L185" t="n">
        <v>1</v>
      </c>
      <c r="M185" t="n">
        <v>0</v>
      </c>
      <c r="N185" t="n">
        <v>0</v>
      </c>
      <c r="O185" t="n">
        <v>0</v>
      </c>
      <c r="P185" t="n">
        <v>0</v>
      </c>
      <c r="Q185" t="n">
        <v>1</v>
      </c>
      <c r="R185" t="n">
        <v>0</v>
      </c>
      <c r="S185" t="n">
        <v>2</v>
      </c>
      <c r="T185" t="n">
        <v>2</v>
      </c>
      <c r="U185" t="n">
        <v>1</v>
      </c>
      <c r="V185" s="2" t="inlineStr">
        <is>
          <t>Vedskivlav
Stor aspticka</t>
        </is>
      </c>
      <c r="W185">
        <f>HYPERLINK("https://klasma.github.io/Logging_2303/artfynd/A 18614-2024 artfynd.xlsx", "A 18614-2024")</f>
        <v/>
      </c>
      <c r="X185">
        <f>HYPERLINK("https://klasma.github.io/Logging_2303/kartor/A 18614-2024 karta.png", "A 18614-2024")</f>
        <v/>
      </c>
      <c r="Y185">
        <f>HYPERLINK("https://klasma.github.io/Logging_2303/kartor_geotiff/A 18614-2024 georefererad karta.tif", "A 18614-2024")</f>
        <v/>
      </c>
      <c r="AA185">
        <f>HYPERLINK("https://klasma.github.io/Logging_2303/klagomål/A 18614-2024 FSC-klagomål.docx", "A 18614-2024")</f>
        <v/>
      </c>
      <c r="AB185">
        <f>HYPERLINK("https://klasma.github.io/Logging_2303/klagomålsmail/A 18614-2024 FSC-klagomål mail.docx", "A 18614-2024")</f>
        <v/>
      </c>
      <c r="AC185">
        <f>HYPERLINK("https://klasma.github.io/Logging_2303/tillsyn/A 18614-2024 tillsynsbegäran.docx", "A 18614-2024")</f>
        <v/>
      </c>
      <c r="AD185">
        <f>HYPERLINK("https://klasma.github.io/Logging_2303/tillsynsmail/A 18614-2024 tillsynsbegäran mail.docx", "A 18614-2024")</f>
        <v/>
      </c>
    </row>
    <row r="186" ht="15" customHeight="1">
      <c r="A186" t="inlineStr">
        <is>
          <t>A 25702-2026</t>
        </is>
      </c>
      <c r="B186" t="inlineStr">
        <is>
          <t>avverkningsanmälan</t>
        </is>
      </c>
      <c r="C186" t="inlineStr">
        <is>
          <t>Föryngringsavverkning</t>
        </is>
      </c>
      <c r="D186" s="1" t="n">
        <v>46178</v>
      </c>
      <c r="E186" s="1" t="n">
        <v>46319</v>
      </c>
      <c r="F186" t="inlineStr">
        <is>
          <t>JÄMTLANDS LÄN</t>
        </is>
      </c>
      <c r="G186" t="inlineStr">
        <is>
          <t>RAGUNDA</t>
        </is>
      </c>
      <c r="H186" t="inlineStr">
        <is>
          <t>SCA</t>
        </is>
      </c>
      <c r="I186" t="n">
        <v>3.5</v>
      </c>
      <c r="J186" t="n">
        <v>0</v>
      </c>
      <c r="K186" t="n">
        <v>2</v>
      </c>
      <c r="L186" t="n">
        <v>0</v>
      </c>
      <c r="M186" t="n">
        <v>0</v>
      </c>
      <c r="N186" t="n">
        <v>0</v>
      </c>
      <c r="O186" t="n">
        <v>0</v>
      </c>
      <c r="P186" t="n">
        <v>0</v>
      </c>
      <c r="Q186" t="n">
        <v>0</v>
      </c>
      <c r="R186" t="n">
        <v>0</v>
      </c>
      <c r="S186" t="n">
        <v>2</v>
      </c>
      <c r="T186" t="n">
        <v>2</v>
      </c>
      <c r="U186" t="n">
        <v>0</v>
      </c>
      <c r="V186" s="2" t="inlineStr">
        <is>
          <t>Kransrams
Källmossor</t>
        </is>
      </c>
      <c r="W186">
        <f>HYPERLINK("https://klasma.github.io/Logging_2303/artfynd/A 25702-2026 artfynd.xlsx", "A 25702-2026")</f>
        <v/>
      </c>
      <c r="X186">
        <f>HYPERLINK("https://klasma.github.io/Logging_2303/kartor/A 25702-2026 karta.png", "A 25702-2026")</f>
        <v/>
      </c>
      <c r="Y186">
        <f>HYPERLINK("https://klasma.github.io/Logging_2303/kartor_geotiff/A 25702-2026 georefererad karta.tif", "A 25702-2026")</f>
        <v/>
      </c>
      <c r="AA186">
        <f>HYPERLINK("https://klasma.github.io/Logging_2303/klagomål/A 25702-2026 FSC-klagomål.docx", "A 25702-2026")</f>
        <v/>
      </c>
      <c r="AB186">
        <f>HYPERLINK("https://klasma.github.io/Logging_2303/klagomålsmail/A 25702-2026 FSC-klagomål mail.docx", "A 25702-2026")</f>
        <v/>
      </c>
      <c r="AC186">
        <f>HYPERLINK("https://klasma.github.io/Logging_2303/tillsyn/A 25702-2026 tillsynsbegäran.docx", "A 25702-2026")</f>
        <v/>
      </c>
      <c r="AD186">
        <f>HYPERLINK("https://klasma.github.io/Logging_2303/tillsynsmail/A 25702-2026 tillsynsbegäran mail.docx", "A 25702-2026")</f>
        <v/>
      </c>
    </row>
    <row r="187" ht="15" customHeight="1">
      <c r="A187" t="inlineStr">
        <is>
          <t>A 52395-2025</t>
        </is>
      </c>
      <c r="B187" t="inlineStr">
        <is>
          <t>avverkningsanmälan</t>
        </is>
      </c>
      <c r="C187" t="inlineStr">
        <is>
          <t>Föryngringsavverkning</t>
        </is>
      </c>
      <c r="D187" s="1" t="n">
        <v>45954</v>
      </c>
      <c r="E187" s="1" t="n">
        <v>46319</v>
      </c>
      <c r="F187" t="inlineStr">
        <is>
          <t>JÄMTLANDS LÄN</t>
        </is>
      </c>
      <c r="G187" t="inlineStr">
        <is>
          <t>RAGUNDA</t>
        </is>
      </c>
      <c r="H187" t="inlineStr">
        <is>
          <t>SCA</t>
        </is>
      </c>
      <c r="I187" t="n">
        <v>14.2</v>
      </c>
      <c r="J187" t="n">
        <v>0</v>
      </c>
      <c r="K187" t="n">
        <v>0</v>
      </c>
      <c r="L187" t="n">
        <v>1</v>
      </c>
      <c r="M187" t="n">
        <v>1</v>
      </c>
      <c r="N187" t="n">
        <v>0</v>
      </c>
      <c r="O187" t="n">
        <v>0</v>
      </c>
      <c r="P187" t="n">
        <v>0</v>
      </c>
      <c r="Q187" t="n">
        <v>2</v>
      </c>
      <c r="R187" t="n">
        <v>1</v>
      </c>
      <c r="S187" t="n">
        <v>2</v>
      </c>
      <c r="T187" t="n">
        <v>2</v>
      </c>
      <c r="U187" t="n">
        <v>0</v>
      </c>
      <c r="V187" s="2" t="inlineStr">
        <is>
          <t>Garnlav
Lunglav</t>
        </is>
      </c>
      <c r="W187">
        <f>HYPERLINK("https://klasma.github.io/Logging_2303/artfynd/A 52395-2025 artfynd.xlsx", "A 52395-2025")</f>
        <v/>
      </c>
      <c r="X187">
        <f>HYPERLINK("https://klasma.github.io/Logging_2303/kartor/A 52395-2025 karta.png", "A 52395-2025")</f>
        <v/>
      </c>
      <c r="Y187">
        <f>HYPERLINK("https://klasma.github.io/Logging_2303/kartor_geotiff/A 52395-2025 georefererad karta.tif", "A 52395-2025")</f>
        <v/>
      </c>
      <c r="AA187">
        <f>HYPERLINK("https://klasma.github.io/Logging_2303/klagomål/A 52395-2025 FSC-klagomål.docx", "A 52395-2025")</f>
        <v/>
      </c>
      <c r="AB187">
        <f>HYPERLINK("https://klasma.github.io/Logging_2303/klagomålsmail/A 52395-2025 FSC-klagomål mail.docx", "A 52395-2025")</f>
        <v/>
      </c>
      <c r="AC187">
        <f>HYPERLINK("https://klasma.github.io/Logging_2303/tillsyn/A 52395-2025 tillsynsbegäran.docx", "A 52395-2025")</f>
        <v/>
      </c>
      <c r="AD187">
        <f>HYPERLINK("https://klasma.github.io/Logging_2303/tillsynsmail/A 52395-2025 tillsynsbegäran mail.docx", "A 52395-2025")</f>
        <v/>
      </c>
    </row>
    <row r="188" ht="15" customHeight="1">
      <c r="A188" t="inlineStr">
        <is>
          <t>A 53975-2025</t>
        </is>
      </c>
      <c r="B188" t="inlineStr">
        <is>
          <t>avverkningsanmälan</t>
        </is>
      </c>
      <c r="C188" t="inlineStr">
        <is>
          <t>Föryngringsavverkning</t>
        </is>
      </c>
      <c r="D188" s="1" t="n">
        <v>45961</v>
      </c>
      <c r="E188" s="1" t="n">
        <v>46319</v>
      </c>
      <c r="F188" t="inlineStr">
        <is>
          <t>JÄMTLANDS LÄN</t>
        </is>
      </c>
      <c r="G188" t="inlineStr">
        <is>
          <t>RAGUNDA</t>
        </is>
      </c>
      <c r="H188" t="inlineStr">
        <is>
          <t>SCA</t>
        </is>
      </c>
      <c r="I188" t="n">
        <v>21.9</v>
      </c>
      <c r="J188" t="n">
        <v>2</v>
      </c>
      <c r="K188" t="n">
        <v>2</v>
      </c>
      <c r="L188" t="n">
        <v>0</v>
      </c>
      <c r="M188" t="n">
        <v>0</v>
      </c>
      <c r="N188" t="n">
        <v>0</v>
      </c>
      <c r="O188" t="n">
        <v>0</v>
      </c>
      <c r="P188" t="n">
        <v>0</v>
      </c>
      <c r="Q188" t="n">
        <v>0</v>
      </c>
      <c r="R188" t="n">
        <v>0</v>
      </c>
      <c r="S188" t="n">
        <v>2</v>
      </c>
      <c r="T188" t="n">
        <v>2</v>
      </c>
      <c r="U188" t="n">
        <v>0</v>
      </c>
      <c r="V188" s="2" t="inlineStr">
        <is>
          <t>Guckusko
Tvåblad</t>
        </is>
      </c>
      <c r="W188">
        <f>HYPERLINK("https://klasma.github.io/Logging_2303/artfynd/A 53975-2025 artfynd.xlsx", "A 53975-2025")</f>
        <v/>
      </c>
      <c r="X188">
        <f>HYPERLINK("https://klasma.github.io/Logging_2303/kartor/A 53975-2025 karta.png", "A 53975-2025")</f>
        <v/>
      </c>
      <c r="Y188">
        <f>HYPERLINK("https://klasma.github.io/Logging_2303/kartor_geotiff/A 53975-2025 georefererad karta.tif", "A 53975-2025")</f>
        <v/>
      </c>
      <c r="AA188">
        <f>HYPERLINK("https://klasma.github.io/Logging_2303/klagomål/A 53975-2025 FSC-klagomål.docx", "A 53975-2025")</f>
        <v/>
      </c>
      <c r="AB188">
        <f>HYPERLINK("https://klasma.github.io/Logging_2303/klagomålsmail/A 53975-2025 FSC-klagomål mail.docx", "A 53975-2025")</f>
        <v/>
      </c>
      <c r="AC188">
        <f>HYPERLINK("https://klasma.github.io/Logging_2303/tillsyn/A 53975-2025 tillsynsbegäran.docx", "A 53975-2025")</f>
        <v/>
      </c>
      <c r="AD188">
        <f>HYPERLINK("https://klasma.github.io/Logging_2303/tillsynsmail/A 53975-2025 tillsynsbegäran mail.docx", "A 53975-2025")</f>
        <v/>
      </c>
    </row>
    <row r="189" ht="15" customHeight="1">
      <c r="A189" t="inlineStr">
        <is>
          <t>A 28424-2026</t>
        </is>
      </c>
      <c r="B189" t="inlineStr">
        <is>
          <t>avverkningsanmälan</t>
        </is>
      </c>
      <c r="C189" t="inlineStr">
        <is>
          <t>Föryngringsavverkning</t>
        </is>
      </c>
      <c r="D189" s="1" t="n">
        <v>46197</v>
      </c>
      <c r="E189" s="1" t="n">
        <v>46319</v>
      </c>
      <c r="F189" t="inlineStr">
        <is>
          <t>JÄMTLANDS LÄN</t>
        </is>
      </c>
      <c r="G189" t="inlineStr">
        <is>
          <t>RAGUNDA</t>
        </is>
      </c>
      <c r="I189" t="n">
        <v>2</v>
      </c>
      <c r="J189" t="n">
        <v>2</v>
      </c>
      <c r="K189" t="n">
        <v>1</v>
      </c>
      <c r="L189" t="n">
        <v>0</v>
      </c>
      <c r="M189" t="n">
        <v>0</v>
      </c>
      <c r="N189" t="n">
        <v>0</v>
      </c>
      <c r="O189" t="n">
        <v>0</v>
      </c>
      <c r="P189" t="n">
        <v>0</v>
      </c>
      <c r="Q189" t="n">
        <v>0</v>
      </c>
      <c r="R189" t="n">
        <v>0</v>
      </c>
      <c r="S189" t="n">
        <v>2</v>
      </c>
      <c r="T189" t="n">
        <v>2</v>
      </c>
      <c r="U189" t="n">
        <v>2</v>
      </c>
      <c r="V189" s="2" t="inlineStr">
        <is>
          <t>Tvåblad
Nattviol</t>
        </is>
      </c>
      <c r="W189">
        <f>HYPERLINK("https://klasma.github.io/Logging_2303/artfynd/A 28424-2026 artfynd.xlsx", "A 28424-2026")</f>
        <v/>
      </c>
      <c r="X189">
        <f>HYPERLINK("https://klasma.github.io/Logging_2303/kartor/A 28424-2026 karta.png", "A 28424-2026")</f>
        <v/>
      </c>
      <c r="Y189">
        <f>HYPERLINK("https://klasma.github.io/Logging_2303/kartor_geotiff/A 28424-2026 georefererad karta.tif", "A 28424-2026")</f>
        <v/>
      </c>
      <c r="AA189">
        <f>HYPERLINK("https://klasma.github.io/Logging_2303/klagomål/A 28424-2026 FSC-klagomål.docx", "A 28424-2026")</f>
        <v/>
      </c>
      <c r="AB189">
        <f>HYPERLINK("https://klasma.github.io/Logging_2303/klagomålsmail/A 28424-2026 FSC-klagomål mail.docx", "A 28424-2026")</f>
        <v/>
      </c>
      <c r="AC189">
        <f>HYPERLINK("https://klasma.github.io/Logging_2303/tillsyn/A 28424-2026 tillsynsbegäran.docx", "A 28424-2026")</f>
        <v/>
      </c>
      <c r="AD189">
        <f>HYPERLINK("https://klasma.github.io/Logging_2303/tillsynsmail/A 28424-2026 tillsynsbegäran mail.docx", "A 28424-2026")</f>
        <v/>
      </c>
    </row>
    <row r="190" ht="15" customHeight="1">
      <c r="A190" t="inlineStr">
        <is>
          <t>A 25234-2026</t>
        </is>
      </c>
      <c r="B190" t="inlineStr">
        <is>
          <t>avverkningsanmälan</t>
        </is>
      </c>
      <c r="C190" t="inlineStr">
        <is>
          <t>Föryngringsavverkning</t>
        </is>
      </c>
      <c r="D190" s="1" t="n">
        <v>46175</v>
      </c>
      <c r="E190" s="1" t="n">
        <v>46319</v>
      </c>
      <c r="F190" t="inlineStr">
        <is>
          <t>JÄMTLANDS LÄN</t>
        </is>
      </c>
      <c r="G190" t="inlineStr">
        <is>
          <t>RAGUNDA</t>
        </is>
      </c>
      <c r="I190" t="n">
        <v>15.5</v>
      </c>
      <c r="J190" t="n">
        <v>1</v>
      </c>
      <c r="K190" t="n">
        <v>2</v>
      </c>
      <c r="L190" t="n">
        <v>0</v>
      </c>
      <c r="M190" t="n">
        <v>0</v>
      </c>
      <c r="N190" t="n">
        <v>0</v>
      </c>
      <c r="O190" t="n">
        <v>0</v>
      </c>
      <c r="P190" t="n">
        <v>0</v>
      </c>
      <c r="Q190" t="n">
        <v>0</v>
      </c>
      <c r="R190" t="n">
        <v>0</v>
      </c>
      <c r="S190" t="n">
        <v>2</v>
      </c>
      <c r="T190" t="n">
        <v>2</v>
      </c>
      <c r="U190" t="n">
        <v>0</v>
      </c>
      <c r="V190" s="2" t="inlineStr">
        <is>
          <t>Grönkulla
Kransrams</t>
        </is>
      </c>
      <c r="W190">
        <f>HYPERLINK("https://klasma.github.io/Logging_2303/artfynd/A 25234-2026 artfynd.xlsx", "A 25234-2026")</f>
        <v/>
      </c>
      <c r="X190">
        <f>HYPERLINK("https://klasma.github.io/Logging_2303/kartor/A 25234-2026 karta.png", "A 25234-2026")</f>
        <v/>
      </c>
      <c r="Y190">
        <f>HYPERLINK("https://klasma.github.io/Logging_2303/kartor_geotiff/A 25234-2026 georefererad karta.tif", "A 25234-2026")</f>
        <v/>
      </c>
      <c r="AA190">
        <f>HYPERLINK("https://klasma.github.io/Logging_2303/klagomål/A 25234-2026 FSC-klagomål.docx", "A 25234-2026")</f>
        <v/>
      </c>
      <c r="AB190">
        <f>HYPERLINK("https://klasma.github.io/Logging_2303/klagomålsmail/A 25234-2026 FSC-klagomål mail.docx", "A 25234-2026")</f>
        <v/>
      </c>
      <c r="AC190">
        <f>HYPERLINK("https://klasma.github.io/Logging_2303/tillsyn/A 25234-2026 tillsynsbegäran.docx", "A 25234-2026")</f>
        <v/>
      </c>
      <c r="AD190">
        <f>HYPERLINK("https://klasma.github.io/Logging_2303/tillsynsmail/A 25234-2026 tillsynsbegäran mail.docx", "A 25234-2026")</f>
        <v/>
      </c>
    </row>
    <row r="191" ht="15" customHeight="1">
      <c r="A191" t="inlineStr">
        <is>
          <t>A 41490-2022</t>
        </is>
      </c>
      <c r="B191" t="inlineStr">
        <is>
          <t>avverkningsanmälan</t>
        </is>
      </c>
      <c r="C191" t="inlineStr">
        <is>
          <t>Föryngringsavverkning</t>
        </is>
      </c>
      <c r="D191" s="1" t="n">
        <v>44826</v>
      </c>
      <c r="E191" s="1" t="n">
        <v>46319</v>
      </c>
      <c r="F191" t="inlineStr">
        <is>
          <t>JÄMTLANDS LÄN</t>
        </is>
      </c>
      <c r="G191" t="inlineStr">
        <is>
          <t>RAGUNDA</t>
        </is>
      </c>
      <c r="H191" t="inlineStr">
        <is>
          <t>SCA</t>
        </is>
      </c>
      <c r="I191" t="n">
        <v>2.7</v>
      </c>
      <c r="J191" t="n">
        <v>0</v>
      </c>
      <c r="K191" t="n">
        <v>1</v>
      </c>
      <c r="L191" t="n">
        <v>1</v>
      </c>
      <c r="M191" t="n">
        <v>0</v>
      </c>
      <c r="N191" t="n">
        <v>0</v>
      </c>
      <c r="O191" t="n">
        <v>0</v>
      </c>
      <c r="P191" t="n">
        <v>0</v>
      </c>
      <c r="Q191" t="n">
        <v>1</v>
      </c>
      <c r="R191" t="n">
        <v>0</v>
      </c>
      <c r="S191" t="n">
        <v>2</v>
      </c>
      <c r="T191" t="n">
        <v>2</v>
      </c>
      <c r="U191" t="n">
        <v>2</v>
      </c>
      <c r="V191" s="2" t="inlineStr">
        <is>
          <t>Lunglav
Skinnlav</t>
        </is>
      </c>
      <c r="W191">
        <f>HYPERLINK("https://klasma.github.io/Logging_2303/artfynd/A 41490-2022 artfynd.xlsx", "A 41490-2022")</f>
        <v/>
      </c>
      <c r="X191">
        <f>HYPERLINK("https://klasma.github.io/Logging_2303/kartor/A 41490-2022 karta.png", "A 41490-2022")</f>
        <v/>
      </c>
      <c r="Y191">
        <f>HYPERLINK("https://klasma.github.io/Logging_2303/kartor_geotiff/A 41490-2022 georefererad karta.tif", "A 41490-2022")</f>
        <v/>
      </c>
      <c r="AA191">
        <f>HYPERLINK("https://klasma.github.io/Logging_2303/klagomål/A 41490-2022 FSC-klagomål.docx", "A 41490-2022")</f>
        <v/>
      </c>
      <c r="AB191">
        <f>HYPERLINK("https://klasma.github.io/Logging_2303/klagomålsmail/A 41490-2022 FSC-klagomål mail.docx", "A 41490-2022")</f>
        <v/>
      </c>
      <c r="AC191">
        <f>HYPERLINK("https://klasma.github.io/Logging_2303/tillsyn/A 41490-2022 tillsynsbegäran.docx", "A 41490-2022")</f>
        <v/>
      </c>
      <c r="AD191">
        <f>HYPERLINK("https://klasma.github.io/Logging_2303/tillsynsmail/A 41490-2022 tillsynsbegäran mail.docx", "A 41490-2022")</f>
        <v/>
      </c>
    </row>
    <row r="192" ht="15" customHeight="1">
      <c r="A192" t="inlineStr">
        <is>
          <t>A 28897-2026</t>
        </is>
      </c>
      <c r="B192" t="inlineStr">
        <is>
          <t>avverkningsanmälan</t>
        </is>
      </c>
      <c r="C192" t="inlineStr">
        <is>
          <t>Föryngringsavverkning</t>
        </is>
      </c>
      <c r="D192" s="1" t="n">
        <v>46199</v>
      </c>
      <c r="E192" s="1" t="n">
        <v>46319</v>
      </c>
      <c r="F192" t="inlineStr">
        <is>
          <t>JÄMTLANDS LÄN</t>
        </is>
      </c>
      <c r="G192" t="inlineStr">
        <is>
          <t>RAGUNDA</t>
        </is>
      </c>
      <c r="I192" t="n">
        <v>7.6</v>
      </c>
      <c r="J192" t="n">
        <v>0</v>
      </c>
      <c r="K192" t="n">
        <v>0</v>
      </c>
      <c r="L192" t="n">
        <v>2</v>
      </c>
      <c r="M192" t="n">
        <v>0</v>
      </c>
      <c r="N192" t="n">
        <v>0</v>
      </c>
      <c r="O192" t="n">
        <v>0</v>
      </c>
      <c r="P192" t="n">
        <v>0</v>
      </c>
      <c r="Q192" t="n">
        <v>2</v>
      </c>
      <c r="R192" t="n">
        <v>0</v>
      </c>
      <c r="S192" t="n">
        <v>2</v>
      </c>
      <c r="T192" t="n">
        <v>3</v>
      </c>
      <c r="U192" t="n">
        <v>0</v>
      </c>
      <c r="V192" s="2" t="inlineStr">
        <is>
          <t>Blå taggsvamp
Lunglav</t>
        </is>
      </c>
      <c r="W192">
        <f>HYPERLINK("https://klasma.github.io/Logging_2303/artfynd/A 28897-2026 artfynd.xlsx", "A 28897-2026")</f>
        <v/>
      </c>
      <c r="X192">
        <f>HYPERLINK("https://klasma.github.io/Logging_2303/kartor/A 28897-2026 karta.png", "A 28897-2026")</f>
        <v/>
      </c>
      <c r="Y192">
        <f>HYPERLINK("https://klasma.github.io/Logging_2303/kartor_geotiff/A 28897-2026 georefererad karta.tif", "A 28897-2026")</f>
        <v/>
      </c>
      <c r="AA192">
        <f>HYPERLINK("https://klasma.github.io/Logging_2303/klagomål/A 28897-2026 FSC-klagomål.docx", "A 28897-2026")</f>
        <v/>
      </c>
      <c r="AB192">
        <f>HYPERLINK("https://klasma.github.io/Logging_2303/klagomålsmail/A 28897-2026 FSC-klagomål mail.docx", "A 28897-2026")</f>
        <v/>
      </c>
      <c r="AC192">
        <f>HYPERLINK("https://klasma.github.io/Logging_2303/tillsyn/A 28897-2026 tillsynsbegäran.docx", "A 28897-2026")</f>
        <v/>
      </c>
      <c r="AD192">
        <f>HYPERLINK("https://klasma.github.io/Logging_2303/tillsynsmail/A 28897-2026 tillsynsbegäran mail.docx", "A 28897-2026")</f>
        <v/>
      </c>
    </row>
    <row r="193" ht="15" customHeight="1">
      <c r="A193" t="inlineStr">
        <is>
          <t>A 57940-2024</t>
        </is>
      </c>
      <c r="B193" t="inlineStr">
        <is>
          <t>avverkningsanmälan</t>
        </is>
      </c>
      <c r="C193" t="inlineStr">
        <is>
          <t>Avverkning för att bevara och utveckla /försöksver</t>
        </is>
      </c>
      <c r="D193" s="1" t="n">
        <v>45631</v>
      </c>
      <c r="E193" s="1" t="n">
        <v>46319</v>
      </c>
      <c r="F193" t="inlineStr">
        <is>
          <t>JÄMTLANDS LÄN</t>
        </is>
      </c>
      <c r="G193" t="inlineStr">
        <is>
          <t>RAGUNDA</t>
        </is>
      </c>
      <c r="H193" t="inlineStr">
        <is>
          <t>SCA</t>
        </is>
      </c>
      <c r="I193" t="n">
        <v>1.9</v>
      </c>
      <c r="J193" t="n">
        <v>1</v>
      </c>
      <c r="K193" t="n">
        <v>0</v>
      </c>
      <c r="L193" t="n">
        <v>2</v>
      </c>
      <c r="M193" t="n">
        <v>0</v>
      </c>
      <c r="N193" t="n">
        <v>0</v>
      </c>
      <c r="O193" t="n">
        <v>0</v>
      </c>
      <c r="P193" t="n">
        <v>0</v>
      </c>
      <c r="Q193" t="n">
        <v>2</v>
      </c>
      <c r="R193" t="n">
        <v>0</v>
      </c>
      <c r="S193" t="n">
        <v>2</v>
      </c>
      <c r="T193" t="n">
        <v>9</v>
      </c>
      <c r="U193" t="n">
        <v>9</v>
      </c>
      <c r="V193" s="2" t="inlineStr">
        <is>
          <t>Lunglav
Tretåig hackspett</t>
        </is>
      </c>
      <c r="W193">
        <f>HYPERLINK("https://klasma.github.io/Logging_2303/artfynd/A 57940-2024 artfynd.xlsx", "A 57940-2024")</f>
        <v/>
      </c>
      <c r="X193">
        <f>HYPERLINK("https://klasma.github.io/Logging_2303/kartor/A 57940-2024 karta.png", "A 57940-2024")</f>
        <v/>
      </c>
      <c r="Y193">
        <f>HYPERLINK("https://klasma.github.io/Logging_2303/kartor_geotiff/A 57940-2024 georefererad karta.tif", "A 57940-2024")</f>
        <v/>
      </c>
      <c r="AA193">
        <f>HYPERLINK("https://klasma.github.io/Logging_2303/klagomål/A 57940-2024 FSC-klagomål.docx", "A 57940-2024")</f>
        <v/>
      </c>
      <c r="AB193">
        <f>HYPERLINK("https://klasma.github.io/Logging_2303/klagomålsmail/A 57940-2024 FSC-klagomål mail.docx", "A 57940-2024")</f>
        <v/>
      </c>
      <c r="AC193">
        <f>HYPERLINK("https://klasma.github.io/Logging_2303/tillsyn/A 57940-2024 tillsynsbegäran.docx", "A 57940-2024")</f>
        <v/>
      </c>
      <c r="AD193">
        <f>HYPERLINK("https://klasma.github.io/Logging_2303/tillsynsmail/A 57940-2024 tillsynsbegäran mail.docx", "A 57940-2024")</f>
        <v/>
      </c>
      <c r="AE193">
        <f>HYPERLINK("https://klasma.github.io/Logging_2303/fåglar/A 57940-2024 prioriterade fågelarter.docx", "A 57940-2024")</f>
        <v/>
      </c>
    </row>
    <row r="194" ht="15" customHeight="1">
      <c r="A194" t="inlineStr">
        <is>
          <t>A 30485-2024</t>
        </is>
      </c>
      <c r="B194" t="inlineStr">
        <is>
          <t>avverkningsanmälan</t>
        </is>
      </c>
      <c r="C194" t="inlineStr">
        <is>
          <t>Avverkning för att bevara och utveckla /försöksver</t>
        </is>
      </c>
      <c r="D194" s="1" t="n">
        <v>45491</v>
      </c>
      <c r="E194" s="1" t="n">
        <v>46319</v>
      </c>
      <c r="F194" t="inlineStr">
        <is>
          <t>JÄMTLANDS LÄN</t>
        </is>
      </c>
      <c r="G194" t="inlineStr">
        <is>
          <t>RAGUNDA</t>
        </is>
      </c>
      <c r="H194" t="inlineStr">
        <is>
          <t>SCA</t>
        </is>
      </c>
      <c r="I194" t="n">
        <v>2</v>
      </c>
      <c r="J194" t="n">
        <v>0</v>
      </c>
      <c r="K194" t="n">
        <v>0</v>
      </c>
      <c r="L194" t="n">
        <v>1</v>
      </c>
      <c r="M194" t="n">
        <v>1</v>
      </c>
      <c r="N194" t="n">
        <v>0</v>
      </c>
      <c r="O194" t="n">
        <v>0</v>
      </c>
      <c r="P194" t="n">
        <v>0</v>
      </c>
      <c r="Q194" t="n">
        <v>2</v>
      </c>
      <c r="R194" t="n">
        <v>1</v>
      </c>
      <c r="S194" t="n">
        <v>2</v>
      </c>
      <c r="T194" t="n">
        <v>2</v>
      </c>
      <c r="U194" t="n">
        <v>0</v>
      </c>
      <c r="V194" s="2" t="inlineStr">
        <is>
          <t>Garnlav
Vitgrynig nållav</t>
        </is>
      </c>
      <c r="W194">
        <f>HYPERLINK("https://klasma.github.io/Logging_2303/artfynd/A 30485-2024 artfynd.xlsx", "A 30485-2024")</f>
        <v/>
      </c>
      <c r="X194">
        <f>HYPERLINK("https://klasma.github.io/Logging_2303/kartor/A 30485-2024 karta.png", "A 30485-2024")</f>
        <v/>
      </c>
      <c r="Y194">
        <f>HYPERLINK("https://klasma.github.io/Logging_2303/kartor_geotiff/A 30485-2024 georefererad karta.tif", "A 30485-2024")</f>
        <v/>
      </c>
      <c r="AA194">
        <f>HYPERLINK("https://klasma.github.io/Logging_2303/klagomål/A 30485-2024 FSC-klagomål.docx", "A 30485-2024")</f>
        <v/>
      </c>
      <c r="AB194">
        <f>HYPERLINK("https://klasma.github.io/Logging_2303/klagomålsmail/A 30485-2024 FSC-klagomål mail.docx", "A 30485-2024")</f>
        <v/>
      </c>
      <c r="AC194">
        <f>HYPERLINK("https://klasma.github.io/Logging_2303/tillsyn/A 30485-2024 tillsynsbegäran.docx", "A 30485-2024")</f>
        <v/>
      </c>
      <c r="AD194">
        <f>HYPERLINK("https://klasma.github.io/Logging_2303/tillsynsmail/A 30485-2024 tillsynsbegäran mail.docx", "A 30485-2024")</f>
        <v/>
      </c>
    </row>
    <row r="195" ht="15" customHeight="1">
      <c r="A195" t="inlineStr">
        <is>
          <t>A 39495-2024</t>
        </is>
      </c>
      <c r="B195" t="inlineStr">
        <is>
          <t>avverkningsanmälan</t>
        </is>
      </c>
      <c r="C195" t="inlineStr">
        <is>
          <t>Avverkning för att bevara och utveckla /försöksver</t>
        </is>
      </c>
      <c r="D195" s="1" t="n">
        <v>45551</v>
      </c>
      <c r="E195" s="1" t="n">
        <v>46319</v>
      </c>
      <c r="F195" t="inlineStr">
        <is>
          <t>JÄMTLANDS LÄN</t>
        </is>
      </c>
      <c r="G195" t="inlineStr">
        <is>
          <t>RAGUNDA</t>
        </is>
      </c>
      <c r="H195" t="inlineStr">
        <is>
          <t>SCA</t>
        </is>
      </c>
      <c r="I195" t="n">
        <v>6.6</v>
      </c>
      <c r="J195" t="n">
        <v>0</v>
      </c>
      <c r="K195" t="n">
        <v>0</v>
      </c>
      <c r="L195" t="n">
        <v>1</v>
      </c>
      <c r="M195" t="n">
        <v>1</v>
      </c>
      <c r="N195" t="n">
        <v>0</v>
      </c>
      <c r="O195" t="n">
        <v>0</v>
      </c>
      <c r="P195" t="n">
        <v>0</v>
      </c>
      <c r="Q195" t="n">
        <v>2</v>
      </c>
      <c r="R195" t="n">
        <v>1</v>
      </c>
      <c r="S195" t="n">
        <v>2</v>
      </c>
      <c r="T195" t="n">
        <v>3</v>
      </c>
      <c r="U195" t="n">
        <v>0</v>
      </c>
      <c r="V195" s="2" t="inlineStr">
        <is>
          <t>Garnlav
Ullticka</t>
        </is>
      </c>
      <c r="W195">
        <f>HYPERLINK("https://klasma.github.io/Logging_2303/artfynd/A 39495-2024 artfynd.xlsx", "A 39495-2024")</f>
        <v/>
      </c>
      <c r="X195">
        <f>HYPERLINK("https://klasma.github.io/Logging_2303/kartor/A 39495-2024 karta.png", "A 39495-2024")</f>
        <v/>
      </c>
      <c r="Y195">
        <f>HYPERLINK("https://klasma.github.io/Logging_2303/kartor_geotiff/A 39495-2024 georefererad karta.tif", "A 39495-2024")</f>
        <v/>
      </c>
      <c r="AA195">
        <f>HYPERLINK("https://klasma.github.io/Logging_2303/klagomål/A 39495-2024 FSC-klagomål.docx", "A 39495-2024")</f>
        <v/>
      </c>
      <c r="AB195">
        <f>HYPERLINK("https://klasma.github.io/Logging_2303/klagomålsmail/A 39495-2024 FSC-klagomål mail.docx", "A 39495-2024")</f>
        <v/>
      </c>
      <c r="AC195">
        <f>HYPERLINK("https://klasma.github.io/Logging_2303/tillsyn/A 39495-2024 tillsynsbegäran.docx", "A 39495-2024")</f>
        <v/>
      </c>
      <c r="AD195">
        <f>HYPERLINK("https://klasma.github.io/Logging_2303/tillsynsmail/A 39495-2024 tillsynsbegäran mail.docx", "A 39495-2024")</f>
        <v/>
      </c>
    </row>
    <row r="196" ht="15" customHeight="1">
      <c r="A196" t="inlineStr">
        <is>
          <t>A 21245-2025</t>
        </is>
      </c>
      <c r="B196" t="inlineStr">
        <is>
          <t>avverkningsanmälan</t>
        </is>
      </c>
      <c r="C196" t="inlineStr">
        <is>
          <t>Föryngringsavverkning</t>
        </is>
      </c>
      <c r="D196" s="1" t="n">
        <v>45779</v>
      </c>
      <c r="E196" s="1" t="n">
        <v>46319</v>
      </c>
      <c r="F196" t="inlineStr">
        <is>
          <t>JÄMTLANDS LÄN</t>
        </is>
      </c>
      <c r="G196" t="inlineStr">
        <is>
          <t>RAGUNDA</t>
        </is>
      </c>
      <c r="H196" t="inlineStr">
        <is>
          <t>SCA</t>
        </is>
      </c>
      <c r="I196" t="n">
        <v>3.7</v>
      </c>
      <c r="J196" t="n">
        <v>1</v>
      </c>
      <c r="K196" t="n">
        <v>0</v>
      </c>
      <c r="L196" t="n">
        <v>0</v>
      </c>
      <c r="M196" t="n">
        <v>1</v>
      </c>
      <c r="N196" t="n">
        <v>0</v>
      </c>
      <c r="O196" t="n">
        <v>0</v>
      </c>
      <c r="P196" t="n">
        <v>0</v>
      </c>
      <c r="Q196" t="n">
        <v>1</v>
      </c>
      <c r="R196" t="n">
        <v>1</v>
      </c>
      <c r="S196" t="n">
        <v>2</v>
      </c>
      <c r="T196" t="n">
        <v>2</v>
      </c>
      <c r="U196" t="n">
        <v>2</v>
      </c>
      <c r="V196" s="2" t="inlineStr">
        <is>
          <t>Garnlav
Tjäder</t>
        </is>
      </c>
      <c r="W196">
        <f>HYPERLINK("https://klasma.github.io/Logging_2303/artfynd/A 21245-2025 artfynd.xlsx", "A 21245-2025")</f>
        <v/>
      </c>
      <c r="X196">
        <f>HYPERLINK("https://klasma.github.io/Logging_2303/kartor/A 21245-2025 karta.png", "A 21245-2025")</f>
        <v/>
      </c>
      <c r="Y196">
        <f>HYPERLINK("https://klasma.github.io/Logging_2303/kartor_geotiff/A 21245-2025 georefererad karta.tif", "A 21245-2025")</f>
        <v/>
      </c>
      <c r="AA196">
        <f>HYPERLINK("https://klasma.github.io/Logging_2303/klagomål/A 21245-2025 FSC-klagomål.docx", "A 21245-2025")</f>
        <v/>
      </c>
      <c r="AB196">
        <f>HYPERLINK("https://klasma.github.io/Logging_2303/klagomålsmail/A 21245-2025 FSC-klagomål mail.docx", "A 21245-2025")</f>
        <v/>
      </c>
      <c r="AC196">
        <f>HYPERLINK("https://klasma.github.io/Logging_2303/tillsyn/A 21245-2025 tillsynsbegäran.docx", "A 21245-2025")</f>
        <v/>
      </c>
      <c r="AD196">
        <f>HYPERLINK("https://klasma.github.io/Logging_2303/tillsynsmail/A 21245-2025 tillsynsbegäran mail.docx", "A 21245-2025")</f>
        <v/>
      </c>
      <c r="AE196">
        <f>HYPERLINK("https://klasma.github.io/Logging_2303/fåglar/A 21245-2025 prioriterade fågelarter.docx", "A 21245-2025")</f>
        <v/>
      </c>
    </row>
    <row r="197" ht="15" customHeight="1">
      <c r="A197" t="inlineStr">
        <is>
          <t>A 22941-2024</t>
        </is>
      </c>
      <c r="B197" t="inlineStr">
        <is>
          <t>avverkningsanmälan</t>
        </is>
      </c>
      <c r="C197" t="inlineStr">
        <is>
          <t>Föryngringsavverkning</t>
        </is>
      </c>
      <c r="D197" s="1" t="n">
        <v>45448</v>
      </c>
      <c r="E197" s="1" t="n">
        <v>46319</v>
      </c>
      <c r="F197" t="inlineStr">
        <is>
          <t>JÄMTLANDS LÄN</t>
        </is>
      </c>
      <c r="G197" t="inlineStr">
        <is>
          <t>RAGUNDA</t>
        </is>
      </c>
      <c r="H197" t="inlineStr">
        <is>
          <t>SCA</t>
        </is>
      </c>
      <c r="I197" t="n">
        <v>2</v>
      </c>
      <c r="J197" t="n">
        <v>1</v>
      </c>
      <c r="K197" t="n">
        <v>0</v>
      </c>
      <c r="L197" t="n">
        <v>0</v>
      </c>
      <c r="M197" t="n">
        <v>0</v>
      </c>
      <c r="N197" t="n">
        <v>0</v>
      </c>
      <c r="O197" t="n">
        <v>0</v>
      </c>
      <c r="P197" t="n">
        <v>0</v>
      </c>
      <c r="Q197" t="n">
        <v>0</v>
      </c>
      <c r="R197" t="n">
        <v>0</v>
      </c>
      <c r="S197" t="n">
        <v>2</v>
      </c>
      <c r="T197" t="n">
        <v>2</v>
      </c>
      <c r="U197" t="n">
        <v>2</v>
      </c>
      <c r="V197" s="2" t="inlineStr">
        <is>
          <t>Kattfot
Nattviol</t>
        </is>
      </c>
      <c r="W197">
        <f>HYPERLINK("https://klasma.github.io/Logging_2303/artfynd/A 22941-2024 artfynd.xlsx", "A 22941-2024")</f>
        <v/>
      </c>
      <c r="X197">
        <f>HYPERLINK("https://klasma.github.io/Logging_2303/kartor/A 22941-2024 karta.png", "A 22941-2024")</f>
        <v/>
      </c>
      <c r="Y197">
        <f>HYPERLINK("https://klasma.github.io/Logging_2303/kartor_geotiff/A 22941-2024 georefererad karta.tif", "A 22941-2024")</f>
        <v/>
      </c>
      <c r="AA197">
        <f>HYPERLINK("https://klasma.github.io/Logging_2303/klagomål/A 22941-2024 FSC-klagomål.docx", "A 22941-2024")</f>
        <v/>
      </c>
      <c r="AB197">
        <f>HYPERLINK("https://klasma.github.io/Logging_2303/klagomålsmail/A 22941-2024 FSC-klagomål mail.docx", "A 22941-2024")</f>
        <v/>
      </c>
      <c r="AC197">
        <f>HYPERLINK("https://klasma.github.io/Logging_2303/tillsyn/A 22941-2024 tillsynsbegäran.docx", "A 22941-2024")</f>
        <v/>
      </c>
      <c r="AD197">
        <f>HYPERLINK("https://klasma.github.io/Logging_2303/tillsynsmail/A 22941-2024 tillsynsbegäran mail.docx", "A 22941-2024")</f>
        <v/>
      </c>
    </row>
    <row r="198" ht="15" customHeight="1">
      <c r="A198" t="inlineStr">
        <is>
          <t>A 62927-2025</t>
        </is>
      </c>
      <c r="B198" t="inlineStr">
        <is>
          <t>avverkningsanmälan</t>
        </is>
      </c>
      <c r="C198" t="inlineStr">
        <is>
          <t>Föryngringsavverkning</t>
        </is>
      </c>
      <c r="D198" s="1" t="n">
        <v>46009</v>
      </c>
      <c r="E198" s="1" t="n">
        <v>46319</v>
      </c>
      <c r="F198" t="inlineStr">
        <is>
          <t>JÄMTLANDS LÄN</t>
        </is>
      </c>
      <c r="G198" t="inlineStr">
        <is>
          <t>RAGUNDA</t>
        </is>
      </c>
      <c r="I198" t="n">
        <v>6.3</v>
      </c>
      <c r="J198" t="n">
        <v>1</v>
      </c>
      <c r="K198" t="n">
        <v>0</v>
      </c>
      <c r="L198" t="n">
        <v>1</v>
      </c>
      <c r="M198" t="n">
        <v>1</v>
      </c>
      <c r="N198" t="n">
        <v>0</v>
      </c>
      <c r="O198" t="n">
        <v>0</v>
      </c>
      <c r="P198" t="n">
        <v>0</v>
      </c>
      <c r="Q198" t="n">
        <v>2</v>
      </c>
      <c r="R198" t="n">
        <v>1</v>
      </c>
      <c r="S198" t="n">
        <v>2</v>
      </c>
      <c r="T198" t="n">
        <v>2</v>
      </c>
      <c r="U198" t="n">
        <v>0</v>
      </c>
      <c r="V198" s="2" t="inlineStr">
        <is>
          <t>Knärot
Orange taggsvamp</t>
        </is>
      </c>
      <c r="W198">
        <f>HYPERLINK("https://klasma.github.io/Logging_2303/artfynd/A 62927-2025 artfynd.xlsx", "A 62927-2025")</f>
        <v/>
      </c>
      <c r="X198">
        <f>HYPERLINK("https://klasma.github.io/Logging_2303/kartor/A 62927-2025 karta.png", "A 62927-2025")</f>
        <v/>
      </c>
      <c r="Y198">
        <f>HYPERLINK("https://klasma.github.io/Logging_2303/kartor_geotiff/A 62927-2025 georefererad karta.tif", "A 62927-2025")</f>
        <v/>
      </c>
      <c r="Z198">
        <f>HYPERLINK("https://klasma.github.io/Logging_2303/knärot/A 62927-2025 karta knärot.png", "A 62927-2025")</f>
        <v/>
      </c>
      <c r="AA198">
        <f>HYPERLINK("https://klasma.github.io/Logging_2303/klagomål/A 62927-2025 FSC-klagomål.docx", "A 62927-2025")</f>
        <v/>
      </c>
      <c r="AB198">
        <f>HYPERLINK("https://klasma.github.io/Logging_2303/klagomålsmail/A 62927-2025 FSC-klagomål mail.docx", "A 62927-2025")</f>
        <v/>
      </c>
      <c r="AC198">
        <f>HYPERLINK("https://klasma.github.io/Logging_2303/tillsyn/A 62927-2025 tillsynsbegäran.docx", "A 62927-2025")</f>
        <v/>
      </c>
      <c r="AD198">
        <f>HYPERLINK("https://klasma.github.io/Logging_2303/tillsynsmail/A 62927-2025 tillsynsbegäran mail.docx", "A 62927-2025")</f>
        <v/>
      </c>
    </row>
    <row r="199" ht="15" customHeight="1">
      <c r="A199" t="inlineStr">
        <is>
          <t>A 38407-2026</t>
        </is>
      </c>
      <c r="B199" t="inlineStr">
        <is>
          <t>avverkningsanmälan</t>
        </is>
      </c>
      <c r="C199" t="inlineStr">
        <is>
          <t>Föryngringsavverkning</t>
        </is>
      </c>
      <c r="D199" s="1" t="n">
        <v>46282</v>
      </c>
      <c r="E199" s="1" t="n">
        <v>46319</v>
      </c>
      <c r="F199" t="inlineStr">
        <is>
          <t>JÄMTLANDS LÄN</t>
        </is>
      </c>
      <c r="G199" t="inlineStr">
        <is>
          <t>RAGUNDA</t>
        </is>
      </c>
      <c r="H199" t="inlineStr">
        <is>
          <t>SCA</t>
        </is>
      </c>
      <c r="I199" t="n">
        <v>3</v>
      </c>
      <c r="J199" t="n">
        <v>0</v>
      </c>
      <c r="K199" t="n">
        <v>0</v>
      </c>
      <c r="L199" t="n">
        <v>2</v>
      </c>
      <c r="M199" t="n">
        <v>0</v>
      </c>
      <c r="N199" t="n">
        <v>0</v>
      </c>
      <c r="O199" t="n">
        <v>0</v>
      </c>
      <c r="P199" t="n">
        <v>0</v>
      </c>
      <c r="Q199" t="n">
        <v>2</v>
      </c>
      <c r="R199" t="n">
        <v>0</v>
      </c>
      <c r="S199" t="n">
        <v>2</v>
      </c>
      <c r="T199" t="n">
        <v>3</v>
      </c>
      <c r="U199" t="n">
        <v>0</v>
      </c>
      <c r="V199" s="2" t="inlineStr">
        <is>
          <t>Dropptaggsvamp
Kolflarnlav</t>
        </is>
      </c>
      <c r="W199">
        <f>HYPERLINK("https://klasma.github.io/Logging_2303/artfynd/A 38407-2026 artfynd.xlsx", "A 38407-2026")</f>
        <v/>
      </c>
      <c r="X199">
        <f>HYPERLINK("https://klasma.github.io/Logging_2303/kartor/A 38407-2026 karta.png", "A 38407-2026")</f>
        <v/>
      </c>
      <c r="Y199">
        <f>HYPERLINK("https://klasma.github.io/Logging_2303/kartor_geotiff/A 38407-2026 georefererad karta.tif", "A 38407-2026")</f>
        <v/>
      </c>
      <c r="AA199">
        <f>HYPERLINK("https://klasma.github.io/Logging_2303/klagomål/A 38407-2026 FSC-klagomål.docx", "A 38407-2026")</f>
        <v/>
      </c>
      <c r="AB199">
        <f>HYPERLINK("https://klasma.github.io/Logging_2303/klagomålsmail/A 38407-2026 FSC-klagomål mail.docx", "A 38407-2026")</f>
        <v/>
      </c>
      <c r="AC199">
        <f>HYPERLINK("https://klasma.github.io/Logging_2303/tillsyn/A 38407-2026 tillsynsbegäran.docx", "A 38407-2026")</f>
        <v/>
      </c>
      <c r="AD199">
        <f>HYPERLINK("https://klasma.github.io/Logging_2303/tillsynsmail/A 38407-2026 tillsynsbegäran mail.docx", "A 38407-2026")</f>
        <v/>
      </c>
    </row>
    <row r="200" ht="15" customHeight="1">
      <c r="A200" t="inlineStr">
        <is>
          <t>A 18284-2025</t>
        </is>
      </c>
      <c r="B200" t="inlineStr">
        <is>
          <t>avverkningsanmälan</t>
        </is>
      </c>
      <c r="C200" t="inlineStr">
        <is>
          <t>Avverkning för annat ändamål</t>
        </is>
      </c>
      <c r="D200" s="1" t="n">
        <v>45762</v>
      </c>
      <c r="E200" s="1" t="n">
        <v>46319</v>
      </c>
      <c r="F200" t="inlineStr">
        <is>
          <t>JÄMTLANDS LÄN</t>
        </is>
      </c>
      <c r="G200" t="inlineStr">
        <is>
          <t>RAGUNDA</t>
        </is>
      </c>
      <c r="I200" t="n">
        <v>0.2</v>
      </c>
      <c r="J200" t="n">
        <v>1</v>
      </c>
      <c r="K200" t="n">
        <v>0</v>
      </c>
      <c r="L200" t="n">
        <v>1</v>
      </c>
      <c r="M200" t="n">
        <v>1</v>
      </c>
      <c r="N200" t="n">
        <v>0</v>
      </c>
      <c r="O200" t="n">
        <v>0</v>
      </c>
      <c r="P200" t="n">
        <v>0</v>
      </c>
      <c r="Q200" t="n">
        <v>2</v>
      </c>
      <c r="R200" t="n">
        <v>1</v>
      </c>
      <c r="S200" t="n">
        <v>2</v>
      </c>
      <c r="T200" t="n">
        <v>2</v>
      </c>
      <c r="U200" t="n">
        <v>2</v>
      </c>
      <c r="V200" s="2" t="inlineStr">
        <is>
          <t>Knärot
Ullticka</t>
        </is>
      </c>
      <c r="W200">
        <f>HYPERLINK("https://klasma.github.io/Logging_2303/artfynd/A 18284-2025 artfynd.xlsx", "A 18284-2025")</f>
        <v/>
      </c>
      <c r="X200">
        <f>HYPERLINK("https://klasma.github.io/Logging_2303/kartor/A 18284-2025 karta.png", "A 18284-2025")</f>
        <v/>
      </c>
      <c r="Y200">
        <f>HYPERLINK("https://klasma.github.io/Logging_2303/kartor_geotiff/A 18284-2025 georefererad karta.tif", "A 18284-2025")</f>
        <v/>
      </c>
      <c r="Z200">
        <f>HYPERLINK("https://klasma.github.io/Logging_2303/knärot/A 18284-2025 karta knärot.png", "A 18284-2025")</f>
        <v/>
      </c>
      <c r="AA200">
        <f>HYPERLINK("https://klasma.github.io/Logging_2303/klagomål/A 18284-2025 FSC-klagomål.docx", "A 18284-2025")</f>
        <v/>
      </c>
      <c r="AB200">
        <f>HYPERLINK("https://klasma.github.io/Logging_2303/klagomålsmail/A 18284-2025 FSC-klagomål mail.docx", "A 18284-2025")</f>
        <v/>
      </c>
      <c r="AC200">
        <f>HYPERLINK("https://klasma.github.io/Logging_2303/tillsyn/A 18284-2025 tillsynsbegäran.docx", "A 18284-2025")</f>
        <v/>
      </c>
      <c r="AD200">
        <f>HYPERLINK("https://klasma.github.io/Logging_2303/tillsynsmail/A 18284-2025 tillsynsbegäran mail.docx", "A 18284-2025")</f>
        <v/>
      </c>
    </row>
    <row r="201" ht="15" customHeight="1">
      <c r="A201" t="inlineStr">
        <is>
          <t>A 19263-2025</t>
        </is>
      </c>
      <c r="B201" t="inlineStr">
        <is>
          <t>avverkningsanmälan</t>
        </is>
      </c>
      <c r="C201" t="inlineStr">
        <is>
          <t>Föryngringsavverkning</t>
        </is>
      </c>
      <c r="D201" s="1" t="n">
        <v>45769</v>
      </c>
      <c r="E201" s="1" t="n">
        <v>46319</v>
      </c>
      <c r="F201" t="inlineStr">
        <is>
          <t>JÄMTLANDS LÄN</t>
        </is>
      </c>
      <c r="G201" t="inlineStr">
        <is>
          <t>RAGUNDA</t>
        </is>
      </c>
      <c r="H201" t="inlineStr">
        <is>
          <t>SCA</t>
        </is>
      </c>
      <c r="I201" t="n">
        <v>1</v>
      </c>
      <c r="J201" t="n">
        <v>0</v>
      </c>
      <c r="K201" t="n">
        <v>0</v>
      </c>
      <c r="L201" t="n">
        <v>2</v>
      </c>
      <c r="M201" t="n">
        <v>0</v>
      </c>
      <c r="N201" t="n">
        <v>0</v>
      </c>
      <c r="O201" t="n">
        <v>0</v>
      </c>
      <c r="P201" t="n">
        <v>0</v>
      </c>
      <c r="Q201" t="n">
        <v>2</v>
      </c>
      <c r="R201" t="n">
        <v>0</v>
      </c>
      <c r="S201" t="n">
        <v>2</v>
      </c>
      <c r="T201" t="n">
        <v>2</v>
      </c>
      <c r="U201" t="n">
        <v>1</v>
      </c>
      <c r="V201" s="2" t="inlineStr">
        <is>
          <t>Skrovellav
Vitgrynig nållav</t>
        </is>
      </c>
      <c r="W201">
        <f>HYPERLINK("https://klasma.github.io/Logging_2303/artfynd/A 19263-2025 artfynd.xlsx", "A 19263-2025")</f>
        <v/>
      </c>
      <c r="X201">
        <f>HYPERLINK("https://klasma.github.io/Logging_2303/kartor/A 19263-2025 karta.png", "A 19263-2025")</f>
        <v/>
      </c>
      <c r="Y201">
        <f>HYPERLINK("https://klasma.github.io/Logging_2303/kartor_geotiff/A 19263-2025 georefererad karta.tif", "A 19263-2025")</f>
        <v/>
      </c>
      <c r="AA201">
        <f>HYPERLINK("https://klasma.github.io/Logging_2303/klagomål/A 19263-2025 FSC-klagomål.docx", "A 19263-2025")</f>
        <v/>
      </c>
      <c r="AB201">
        <f>HYPERLINK("https://klasma.github.io/Logging_2303/klagomålsmail/A 19263-2025 FSC-klagomål mail.docx", "A 19263-2025")</f>
        <v/>
      </c>
      <c r="AC201">
        <f>HYPERLINK("https://klasma.github.io/Logging_2303/tillsyn/A 19263-2025 tillsynsbegäran.docx", "A 19263-2025")</f>
        <v/>
      </c>
      <c r="AD201">
        <f>HYPERLINK("https://klasma.github.io/Logging_2303/tillsynsmail/A 19263-2025 tillsynsbegäran mail.docx", "A 19263-2025")</f>
        <v/>
      </c>
    </row>
    <row r="202" ht="15" customHeight="1">
      <c r="A202" t="inlineStr">
        <is>
          <t>A 25155-2025</t>
        </is>
      </c>
      <c r="B202" t="inlineStr">
        <is>
          <t>avverkningsanmälan</t>
        </is>
      </c>
      <c r="C202" t="inlineStr">
        <is>
          <t>Föryngringsavverkning</t>
        </is>
      </c>
      <c r="D202" s="1" t="n">
        <v>45800</v>
      </c>
      <c r="E202" s="1" t="n">
        <v>46319</v>
      </c>
      <c r="F202" t="inlineStr">
        <is>
          <t>JÄMTLANDS LÄN</t>
        </is>
      </c>
      <c r="G202" t="inlineStr">
        <is>
          <t>RAGUNDA</t>
        </is>
      </c>
      <c r="H202" t="inlineStr">
        <is>
          <t>SCA</t>
        </is>
      </c>
      <c r="I202" t="n">
        <v>1.7</v>
      </c>
      <c r="J202" t="n">
        <v>1</v>
      </c>
      <c r="K202" t="n">
        <v>0</v>
      </c>
      <c r="L202" t="n">
        <v>1</v>
      </c>
      <c r="M202" t="n">
        <v>0</v>
      </c>
      <c r="N202" t="n">
        <v>0</v>
      </c>
      <c r="O202" t="n">
        <v>0</v>
      </c>
      <c r="P202" t="n">
        <v>0</v>
      </c>
      <c r="Q202" t="n">
        <v>1</v>
      </c>
      <c r="R202" t="n">
        <v>0</v>
      </c>
      <c r="S202" t="n">
        <v>2</v>
      </c>
      <c r="T202" t="n">
        <v>2</v>
      </c>
      <c r="U202" t="n">
        <v>2</v>
      </c>
      <c r="V202" s="2" t="inlineStr">
        <is>
          <t>Kötticka
Fläcknycklar</t>
        </is>
      </c>
      <c r="W202">
        <f>HYPERLINK("https://klasma.github.io/Logging_2303/artfynd/A 25155-2025 artfynd.xlsx", "A 25155-2025")</f>
        <v/>
      </c>
      <c r="X202">
        <f>HYPERLINK("https://klasma.github.io/Logging_2303/kartor/A 25155-2025 karta.png", "A 25155-2025")</f>
        <v/>
      </c>
      <c r="Y202">
        <f>HYPERLINK("https://klasma.github.io/Logging_2303/kartor_geotiff/A 25155-2025 georefererad karta.tif", "A 25155-2025")</f>
        <v/>
      </c>
      <c r="AA202">
        <f>HYPERLINK("https://klasma.github.io/Logging_2303/klagomål/A 25155-2025 FSC-klagomål.docx", "A 25155-2025")</f>
        <v/>
      </c>
      <c r="AB202">
        <f>HYPERLINK("https://klasma.github.io/Logging_2303/klagomålsmail/A 25155-2025 FSC-klagomål mail.docx", "A 25155-2025")</f>
        <v/>
      </c>
      <c r="AC202">
        <f>HYPERLINK("https://klasma.github.io/Logging_2303/tillsyn/A 25155-2025 tillsynsbegäran.docx", "A 25155-2025")</f>
        <v/>
      </c>
      <c r="AD202">
        <f>HYPERLINK("https://klasma.github.io/Logging_2303/tillsynsmail/A 25155-2025 tillsynsbegäran mail.docx", "A 25155-2025")</f>
        <v/>
      </c>
    </row>
    <row r="203" ht="15" customHeight="1">
      <c r="A203" t="inlineStr">
        <is>
          <t>A 19404-2025</t>
        </is>
      </c>
      <c r="B203" t="inlineStr">
        <is>
          <t>avverkningsanmälan</t>
        </is>
      </c>
      <c r="C203" t="inlineStr">
        <is>
          <t>Föryngringsavverkning</t>
        </is>
      </c>
      <c r="D203" s="1" t="n">
        <v>45769</v>
      </c>
      <c r="E203" s="1" t="n">
        <v>46319</v>
      </c>
      <c r="F203" t="inlineStr">
        <is>
          <t>JÄMTLANDS LÄN</t>
        </is>
      </c>
      <c r="G203" t="inlineStr">
        <is>
          <t>RAGUNDA</t>
        </is>
      </c>
      <c r="H203" t="inlineStr">
        <is>
          <t>SCA</t>
        </is>
      </c>
      <c r="I203" t="n">
        <v>3</v>
      </c>
      <c r="J203" t="n">
        <v>1</v>
      </c>
      <c r="K203" t="n">
        <v>0</v>
      </c>
      <c r="L203" t="n">
        <v>1</v>
      </c>
      <c r="M203" t="n">
        <v>1</v>
      </c>
      <c r="N203" t="n">
        <v>0</v>
      </c>
      <c r="O203" t="n">
        <v>0</v>
      </c>
      <c r="P203" t="n">
        <v>0</v>
      </c>
      <c r="Q203" t="n">
        <v>2</v>
      </c>
      <c r="R203" t="n">
        <v>1</v>
      </c>
      <c r="S203" t="n">
        <v>2</v>
      </c>
      <c r="T203" t="n">
        <v>3</v>
      </c>
      <c r="U203" t="n">
        <v>3</v>
      </c>
      <c r="V203" s="2" t="inlineStr">
        <is>
          <t>Knärot
Rosenticka</t>
        </is>
      </c>
      <c r="W203">
        <f>HYPERLINK("https://klasma.github.io/Logging_2303/artfynd/A 19404-2025 artfynd.xlsx", "A 19404-2025")</f>
        <v/>
      </c>
      <c r="X203">
        <f>HYPERLINK("https://klasma.github.io/Logging_2303/kartor/A 19404-2025 karta.png", "A 19404-2025")</f>
        <v/>
      </c>
      <c r="Y203">
        <f>HYPERLINK("https://klasma.github.io/Logging_2303/kartor_geotiff/A 19404-2025 georefererad karta.tif", "A 19404-2025")</f>
        <v/>
      </c>
      <c r="Z203">
        <f>HYPERLINK("https://klasma.github.io/Logging_2303/knärot/A 19404-2025 karta knärot.png", "A 19404-2025")</f>
        <v/>
      </c>
      <c r="AA203">
        <f>HYPERLINK("https://klasma.github.io/Logging_2303/klagomål/A 19404-2025 FSC-klagomål.docx", "A 19404-2025")</f>
        <v/>
      </c>
      <c r="AB203">
        <f>HYPERLINK("https://klasma.github.io/Logging_2303/klagomålsmail/A 19404-2025 FSC-klagomål mail.docx", "A 19404-2025")</f>
        <v/>
      </c>
      <c r="AC203">
        <f>HYPERLINK("https://klasma.github.io/Logging_2303/tillsyn/A 19404-2025 tillsynsbegäran.docx", "A 19404-2025")</f>
        <v/>
      </c>
      <c r="AD203">
        <f>HYPERLINK("https://klasma.github.io/Logging_2303/tillsynsmail/A 19404-2025 tillsynsbegäran mail.docx", "A 19404-2025")</f>
        <v/>
      </c>
    </row>
    <row r="204" ht="15" customHeight="1">
      <c r="A204" t="inlineStr">
        <is>
          <t>A 9749-2026</t>
        </is>
      </c>
      <c r="B204" t="inlineStr">
        <is>
          <t>avverkningsanmälan</t>
        </is>
      </c>
      <c r="C204" t="inlineStr">
        <is>
          <t>Föryngringsavverkning</t>
        </is>
      </c>
      <c r="D204" s="1" t="n">
        <v>46072</v>
      </c>
      <c r="E204" s="1" t="n">
        <v>46319</v>
      </c>
      <c r="F204" t="inlineStr">
        <is>
          <t>JÄMTLANDS LÄN</t>
        </is>
      </c>
      <c r="G204" t="inlineStr">
        <is>
          <t>RAGUNDA</t>
        </is>
      </c>
      <c r="H204" t="inlineStr">
        <is>
          <t>SCA</t>
        </is>
      </c>
      <c r="I204" t="n">
        <v>2.7</v>
      </c>
      <c r="J204" t="n">
        <v>1</v>
      </c>
      <c r="K204" t="n">
        <v>0</v>
      </c>
      <c r="L204" t="n">
        <v>1</v>
      </c>
      <c r="M204" t="n">
        <v>0</v>
      </c>
      <c r="N204" t="n">
        <v>0</v>
      </c>
      <c r="O204" t="n">
        <v>0</v>
      </c>
      <c r="P204" t="n">
        <v>0</v>
      </c>
      <c r="Q204" t="n">
        <v>1</v>
      </c>
      <c r="R204" t="n">
        <v>0</v>
      </c>
      <c r="S204" t="n">
        <v>2</v>
      </c>
      <c r="T204" t="n">
        <v>2</v>
      </c>
      <c r="U204" t="n">
        <v>0</v>
      </c>
      <c r="V204" s="2" t="inlineStr">
        <is>
          <t>Ullticka
Järpe</t>
        </is>
      </c>
      <c r="W204">
        <f>HYPERLINK("https://klasma.github.io/Logging_2303/artfynd/A 9749-2026 artfynd.xlsx", "A 9749-2026")</f>
        <v/>
      </c>
      <c r="X204">
        <f>HYPERLINK("https://klasma.github.io/Logging_2303/kartor/A 9749-2026 karta.png", "A 9749-2026")</f>
        <v/>
      </c>
      <c r="Y204">
        <f>HYPERLINK("https://klasma.github.io/Logging_2303/kartor_geotiff/A 9749-2026 georefererad karta.tif", "A 9749-2026")</f>
        <v/>
      </c>
      <c r="AA204">
        <f>HYPERLINK("https://klasma.github.io/Logging_2303/klagomål/A 9749-2026 FSC-klagomål.docx", "A 9749-2026")</f>
        <v/>
      </c>
      <c r="AB204">
        <f>HYPERLINK("https://klasma.github.io/Logging_2303/klagomålsmail/A 9749-2026 FSC-klagomål mail.docx", "A 9749-2026")</f>
        <v/>
      </c>
      <c r="AC204">
        <f>HYPERLINK("https://klasma.github.io/Logging_2303/tillsyn/A 9749-2026 tillsynsbegäran.docx", "A 9749-2026")</f>
        <v/>
      </c>
      <c r="AD204">
        <f>HYPERLINK("https://klasma.github.io/Logging_2303/tillsynsmail/A 9749-2026 tillsynsbegäran mail.docx", "A 9749-2026")</f>
        <v/>
      </c>
      <c r="AE204">
        <f>HYPERLINK("https://klasma.github.io/Logging_2303/fåglar/A 9749-2026 prioriterade fågelarter.docx", "A 9749-2026")</f>
        <v/>
      </c>
    </row>
    <row r="205" ht="15" customHeight="1">
      <c r="A205" t="inlineStr">
        <is>
          <t>A 40656-2026</t>
        </is>
      </c>
      <c r="B205" t="inlineStr">
        <is>
          <t>avverkningsanmälan</t>
        </is>
      </c>
      <c r="C205" t="inlineStr">
        <is>
          <t>Avverkning för att bevara och utveckla /försöksver</t>
        </is>
      </c>
      <c r="D205" s="1" t="n">
        <v>46296</v>
      </c>
      <c r="E205" s="1" t="n">
        <v>46319</v>
      </c>
      <c r="F205" t="inlineStr">
        <is>
          <t>JÄMTLANDS LÄN</t>
        </is>
      </c>
      <c r="G205" t="inlineStr">
        <is>
          <t>RAGUNDA</t>
        </is>
      </c>
      <c r="H205" t="inlineStr">
        <is>
          <t>SCA</t>
        </is>
      </c>
      <c r="I205" t="n">
        <v>5.3</v>
      </c>
      <c r="J205" t="n">
        <v>0</v>
      </c>
      <c r="K205" t="n">
        <v>1</v>
      </c>
      <c r="L205" t="n">
        <v>1</v>
      </c>
      <c r="M205" t="n">
        <v>0</v>
      </c>
      <c r="N205" t="n">
        <v>0</v>
      </c>
      <c r="O205" t="n">
        <v>0</v>
      </c>
      <c r="P205" t="n">
        <v>0</v>
      </c>
      <c r="Q205" t="n">
        <v>1</v>
      </c>
      <c r="R205" t="n">
        <v>0</v>
      </c>
      <c r="S205" t="n">
        <v>2</v>
      </c>
      <c r="T205" t="n">
        <v>2</v>
      </c>
      <c r="U205" t="n">
        <v>0</v>
      </c>
      <c r="V205" s="2" t="inlineStr">
        <is>
          <t>Lunglav
Stor aspticka</t>
        </is>
      </c>
      <c r="W205">
        <f>HYPERLINK("https://klasma.github.io/Logging_2303/artfynd/A 40656-2026 artfynd.xlsx", "A 40656-2026")</f>
        <v/>
      </c>
      <c r="X205">
        <f>HYPERLINK("https://klasma.github.io/Logging_2303/kartor/A 40656-2026 karta.png", "A 40656-2026")</f>
        <v/>
      </c>
      <c r="Y205">
        <f>HYPERLINK("https://klasma.github.io/Logging_2303/kartor_geotiff/A 40656-2026 georefererad karta.tif", "A 40656-2026")</f>
        <v/>
      </c>
      <c r="AA205">
        <f>HYPERLINK("https://klasma.github.io/Logging_2303/klagomål/A 40656-2026 FSC-klagomål.docx", "A 40656-2026")</f>
        <v/>
      </c>
      <c r="AB205">
        <f>HYPERLINK("https://klasma.github.io/Logging_2303/klagomålsmail/A 40656-2026 FSC-klagomål mail.docx", "A 40656-2026")</f>
        <v/>
      </c>
      <c r="AC205">
        <f>HYPERLINK("https://klasma.github.io/Logging_2303/tillsyn/A 40656-2026 tillsynsbegäran.docx", "A 40656-2026")</f>
        <v/>
      </c>
      <c r="AD205">
        <f>HYPERLINK("https://klasma.github.io/Logging_2303/tillsynsmail/A 40656-2026 tillsynsbegäran mail.docx", "A 40656-2026")</f>
        <v/>
      </c>
    </row>
    <row r="206" ht="15" customHeight="1">
      <c r="A206" t="inlineStr">
        <is>
          <t>A 35131-2025</t>
        </is>
      </c>
      <c r="B206" t="inlineStr">
        <is>
          <t>avverkningsanmälan</t>
        </is>
      </c>
      <c r="C206" t="inlineStr">
        <is>
          <t>Föryngringsavverkning</t>
        </is>
      </c>
      <c r="D206" s="1" t="n">
        <v>45852</v>
      </c>
      <c r="E206" s="1" t="n">
        <v>46319</v>
      </c>
      <c r="F206" t="inlineStr">
        <is>
          <t>JÄMTLANDS LÄN</t>
        </is>
      </c>
      <c r="G206" t="inlineStr">
        <is>
          <t>RAGUNDA</t>
        </is>
      </c>
      <c r="H206" t="inlineStr">
        <is>
          <t>SCA</t>
        </is>
      </c>
      <c r="I206" t="n">
        <v>6.9</v>
      </c>
      <c r="J206" t="n">
        <v>1</v>
      </c>
      <c r="K206" t="n">
        <v>1</v>
      </c>
      <c r="L206" t="n">
        <v>0</v>
      </c>
      <c r="M206" t="n">
        <v>0</v>
      </c>
      <c r="N206" t="n">
        <v>0</v>
      </c>
      <c r="O206" t="n">
        <v>0</v>
      </c>
      <c r="P206" t="n">
        <v>0</v>
      </c>
      <c r="Q206" t="n">
        <v>0</v>
      </c>
      <c r="R206" t="n">
        <v>0</v>
      </c>
      <c r="S206" t="n">
        <v>2</v>
      </c>
      <c r="T206" t="n">
        <v>2</v>
      </c>
      <c r="U206" t="n">
        <v>0</v>
      </c>
      <c r="V206" s="2" t="inlineStr">
        <is>
          <t>Ögonpyrola
Nattviol</t>
        </is>
      </c>
      <c r="W206">
        <f>HYPERLINK("https://klasma.github.io/Logging_2303/artfynd/A 35131-2025 artfynd.xlsx", "A 35131-2025")</f>
        <v/>
      </c>
      <c r="X206">
        <f>HYPERLINK("https://klasma.github.io/Logging_2303/kartor/A 35131-2025 karta.png", "A 35131-2025")</f>
        <v/>
      </c>
      <c r="Y206">
        <f>HYPERLINK("https://klasma.github.io/Logging_2303/kartor_geotiff/A 35131-2025 georefererad karta.tif", "A 35131-2025")</f>
        <v/>
      </c>
      <c r="AA206">
        <f>HYPERLINK("https://klasma.github.io/Logging_2303/klagomål/A 35131-2025 FSC-klagomål.docx", "A 35131-2025")</f>
        <v/>
      </c>
      <c r="AB206">
        <f>HYPERLINK("https://klasma.github.io/Logging_2303/klagomålsmail/A 35131-2025 FSC-klagomål mail.docx", "A 35131-2025")</f>
        <v/>
      </c>
      <c r="AC206">
        <f>HYPERLINK("https://klasma.github.io/Logging_2303/tillsyn/A 35131-2025 tillsynsbegäran.docx", "A 35131-2025")</f>
        <v/>
      </c>
      <c r="AD206">
        <f>HYPERLINK("https://klasma.github.io/Logging_2303/tillsynsmail/A 35131-2025 tillsynsbegäran mail.docx", "A 35131-2025")</f>
        <v/>
      </c>
    </row>
    <row r="207" ht="15" customHeight="1">
      <c r="A207" t="inlineStr">
        <is>
          <t>A 34998-2025</t>
        </is>
      </c>
      <c r="B207" t="inlineStr">
        <is>
          <t>avverkningsanmälan</t>
        </is>
      </c>
      <c r="C207" t="inlineStr">
        <is>
          <t>Föryngringsavverkning</t>
        </is>
      </c>
      <c r="D207" s="1" t="n">
        <v>45850</v>
      </c>
      <c r="E207" s="1" t="n">
        <v>46319</v>
      </c>
      <c r="F207" t="inlineStr">
        <is>
          <t>JÄMTLANDS LÄN</t>
        </is>
      </c>
      <c r="G207" t="inlineStr">
        <is>
          <t>RAGUNDA</t>
        </is>
      </c>
      <c r="I207" t="n">
        <v>1.4</v>
      </c>
      <c r="J207" t="n">
        <v>1</v>
      </c>
      <c r="K207" t="n">
        <v>0</v>
      </c>
      <c r="L207" t="n">
        <v>0</v>
      </c>
      <c r="M207" t="n">
        <v>0</v>
      </c>
      <c r="N207" t="n">
        <v>0</v>
      </c>
      <c r="O207" t="n">
        <v>0</v>
      </c>
      <c r="P207" t="n">
        <v>0</v>
      </c>
      <c r="Q207" t="n">
        <v>0</v>
      </c>
      <c r="R207" t="n">
        <v>0</v>
      </c>
      <c r="S207" t="n">
        <v>2</v>
      </c>
      <c r="T207" t="n">
        <v>4</v>
      </c>
      <c r="U207" t="n">
        <v>4</v>
      </c>
      <c r="V207" s="2" t="inlineStr">
        <is>
          <t>Brudborste
Fläcknycklar</t>
        </is>
      </c>
      <c r="W207">
        <f>HYPERLINK("https://klasma.github.io/Logging_2303/artfynd/A 34998-2025 artfynd.xlsx", "A 34998-2025")</f>
        <v/>
      </c>
      <c r="X207">
        <f>HYPERLINK("https://klasma.github.io/Logging_2303/kartor/A 34998-2025 karta.png", "A 34998-2025")</f>
        <v/>
      </c>
      <c r="Y207">
        <f>HYPERLINK("https://klasma.github.io/Logging_2303/kartor_geotiff/A 34998-2025 georefererad karta.tif", "A 34998-2025")</f>
        <v/>
      </c>
      <c r="AA207">
        <f>HYPERLINK("https://klasma.github.io/Logging_2303/klagomål/A 34998-2025 FSC-klagomål.docx", "A 34998-2025")</f>
        <v/>
      </c>
      <c r="AB207">
        <f>HYPERLINK("https://klasma.github.io/Logging_2303/klagomålsmail/A 34998-2025 FSC-klagomål mail.docx", "A 34998-2025")</f>
        <v/>
      </c>
      <c r="AC207">
        <f>HYPERLINK("https://klasma.github.io/Logging_2303/tillsyn/A 34998-2025 tillsynsbegäran.docx", "A 34998-2025")</f>
        <v/>
      </c>
      <c r="AD207">
        <f>HYPERLINK("https://klasma.github.io/Logging_2303/tillsynsmail/A 34998-2025 tillsynsbegäran mail.docx", "A 34998-2025")</f>
        <v/>
      </c>
    </row>
    <row r="208" ht="15" customHeight="1">
      <c r="A208" t="inlineStr">
        <is>
          <t>A 24443-2024</t>
        </is>
      </c>
      <c r="B208" t="inlineStr">
        <is>
          <t>avverkningsanmälan</t>
        </is>
      </c>
      <c r="C208" t="inlineStr">
        <is>
          <t>Föryngringsavverkning</t>
        </is>
      </c>
      <c r="D208" s="1" t="n">
        <v>45457</v>
      </c>
      <c r="E208" s="1" t="n">
        <v>46319</v>
      </c>
      <c r="F208" t="inlineStr">
        <is>
          <t>JÄMTLANDS LÄN</t>
        </is>
      </c>
      <c r="G208" t="inlineStr">
        <is>
          <t>RAGUNDA</t>
        </is>
      </c>
      <c r="H208" t="inlineStr">
        <is>
          <t>SCA</t>
        </is>
      </c>
      <c r="I208" t="n">
        <v>2.1</v>
      </c>
      <c r="J208" t="n">
        <v>1</v>
      </c>
      <c r="K208" t="n">
        <v>0</v>
      </c>
      <c r="L208" t="n">
        <v>1</v>
      </c>
      <c r="M208" t="n">
        <v>1</v>
      </c>
      <c r="N208" t="n">
        <v>0</v>
      </c>
      <c r="O208" t="n">
        <v>0</v>
      </c>
      <c r="P208" t="n">
        <v>0</v>
      </c>
      <c r="Q208" t="n">
        <v>2</v>
      </c>
      <c r="R208" t="n">
        <v>1</v>
      </c>
      <c r="S208" t="n">
        <v>2</v>
      </c>
      <c r="T208" t="n">
        <v>2</v>
      </c>
      <c r="U208" t="n">
        <v>2</v>
      </c>
      <c r="V208" s="2" t="inlineStr">
        <is>
          <t>Knärot
Lunglav</t>
        </is>
      </c>
      <c r="W208">
        <f>HYPERLINK("https://klasma.github.io/Logging_2303/artfynd/A 24443-2024 artfynd.xlsx", "A 24443-2024")</f>
        <v/>
      </c>
      <c r="X208">
        <f>HYPERLINK("https://klasma.github.io/Logging_2303/kartor/A 24443-2024 karta.png", "A 24443-2024")</f>
        <v/>
      </c>
      <c r="Y208">
        <f>HYPERLINK("https://klasma.github.io/Logging_2303/kartor_geotiff/A 24443-2024 georefererad karta.tif", "A 24443-2024")</f>
        <v/>
      </c>
      <c r="Z208">
        <f>HYPERLINK("https://klasma.github.io/Logging_2303/knärot/A 24443-2024 karta knärot.png", "A 24443-2024")</f>
        <v/>
      </c>
      <c r="AA208">
        <f>HYPERLINK("https://klasma.github.io/Logging_2303/klagomål/A 24443-2024 FSC-klagomål.docx", "A 24443-2024")</f>
        <v/>
      </c>
      <c r="AB208">
        <f>HYPERLINK("https://klasma.github.io/Logging_2303/klagomålsmail/A 24443-2024 FSC-klagomål mail.docx", "A 24443-2024")</f>
        <v/>
      </c>
      <c r="AC208">
        <f>HYPERLINK("https://klasma.github.io/Logging_2303/tillsyn/A 24443-2024 tillsynsbegäran.docx", "A 24443-2024")</f>
        <v/>
      </c>
      <c r="AD208">
        <f>HYPERLINK("https://klasma.github.io/Logging_2303/tillsynsmail/A 24443-2024 tillsynsbegäran mail.docx", "A 24443-2024")</f>
        <v/>
      </c>
    </row>
    <row r="209" ht="15" customHeight="1">
      <c r="A209" t="inlineStr">
        <is>
          <t>A 61934-2022</t>
        </is>
      </c>
      <c r="B209" t="inlineStr">
        <is>
          <t>avverkningsanmälan</t>
        </is>
      </c>
      <c r="C209" t="inlineStr">
        <is>
          <t>Föryngringsavverkning</t>
        </is>
      </c>
      <c r="D209" s="1" t="n">
        <v>44917</v>
      </c>
      <c r="E209" s="1" t="n">
        <v>46319</v>
      </c>
      <c r="F209" t="inlineStr">
        <is>
          <t>JÄMTLANDS LÄN</t>
        </is>
      </c>
      <c r="G209" t="inlineStr">
        <is>
          <t>RAGUNDA</t>
        </is>
      </c>
      <c r="H209" t="inlineStr">
        <is>
          <t>SCA</t>
        </is>
      </c>
      <c r="I209" t="n">
        <v>2.5</v>
      </c>
      <c r="J209" t="n">
        <v>0</v>
      </c>
      <c r="K209" t="n">
        <v>1</v>
      </c>
      <c r="L209" t="n">
        <v>1</v>
      </c>
      <c r="M209" t="n">
        <v>0</v>
      </c>
      <c r="N209" t="n">
        <v>0</v>
      </c>
      <c r="O209" t="n">
        <v>0</v>
      </c>
      <c r="P209" t="n">
        <v>0</v>
      </c>
      <c r="Q209" t="n">
        <v>1</v>
      </c>
      <c r="R209" t="n">
        <v>0</v>
      </c>
      <c r="S209" t="n">
        <v>2</v>
      </c>
      <c r="T209" t="n">
        <v>2</v>
      </c>
      <c r="U209" t="n">
        <v>0</v>
      </c>
      <c r="V209" s="2" t="inlineStr">
        <is>
          <t>Lunglav
Stuplav</t>
        </is>
      </c>
      <c r="W209">
        <f>HYPERLINK("https://klasma.github.io/Logging_2303/artfynd/A 61934-2022 artfynd.xlsx", "A 61934-2022")</f>
        <v/>
      </c>
      <c r="X209">
        <f>HYPERLINK("https://klasma.github.io/Logging_2303/kartor/A 61934-2022 karta.png", "A 61934-2022")</f>
        <v/>
      </c>
      <c r="Y209">
        <f>HYPERLINK("https://klasma.github.io/Logging_2303/kartor_geotiff/A 61934-2022 georefererad karta.tif", "A 61934-2022")</f>
        <v/>
      </c>
      <c r="AA209">
        <f>HYPERLINK("https://klasma.github.io/Logging_2303/klagomål/A 61934-2022 FSC-klagomål.docx", "A 61934-2022")</f>
        <v/>
      </c>
      <c r="AB209">
        <f>HYPERLINK("https://klasma.github.io/Logging_2303/klagomålsmail/A 61934-2022 FSC-klagomål mail.docx", "A 61934-2022")</f>
        <v/>
      </c>
      <c r="AC209">
        <f>HYPERLINK("https://klasma.github.io/Logging_2303/tillsyn/A 61934-2022 tillsynsbegäran.docx", "A 61934-2022")</f>
        <v/>
      </c>
      <c r="AD209">
        <f>HYPERLINK("https://klasma.github.io/Logging_2303/tillsynsmail/A 61934-2022 tillsynsbegäran mail.docx", "A 61934-2022")</f>
        <v/>
      </c>
    </row>
    <row r="210" ht="15" customHeight="1">
      <c r="A210" t="inlineStr">
        <is>
          <t>A 6905-2024</t>
        </is>
      </c>
      <c r="B210" t="inlineStr">
        <is>
          <t>avverkningsanmälan</t>
        </is>
      </c>
      <c r="C210" t="inlineStr">
        <is>
          <t>Föryngringsavverkning</t>
        </is>
      </c>
      <c r="D210" s="1" t="n">
        <v>45342</v>
      </c>
      <c r="E210" s="1" t="n">
        <v>46319</v>
      </c>
      <c r="F210" t="inlineStr">
        <is>
          <t>JÄMTLANDS LÄN</t>
        </is>
      </c>
      <c r="G210" t="inlineStr">
        <is>
          <t>RAGUNDA</t>
        </is>
      </c>
      <c r="H210" t="inlineStr">
        <is>
          <t>SCA</t>
        </is>
      </c>
      <c r="I210" t="n">
        <v>3.3</v>
      </c>
      <c r="J210" t="n">
        <v>2</v>
      </c>
      <c r="K210" t="n">
        <v>1</v>
      </c>
      <c r="L210" t="n">
        <v>0</v>
      </c>
      <c r="M210" t="n">
        <v>0</v>
      </c>
      <c r="N210" t="n">
        <v>0</v>
      </c>
      <c r="O210" t="n">
        <v>0</v>
      </c>
      <c r="P210" t="n">
        <v>0</v>
      </c>
      <c r="Q210" t="n">
        <v>0</v>
      </c>
      <c r="R210" t="n">
        <v>0</v>
      </c>
      <c r="S210" t="n">
        <v>2</v>
      </c>
      <c r="T210" t="n">
        <v>2</v>
      </c>
      <c r="U210" t="n">
        <v>2</v>
      </c>
      <c r="V210" s="2" t="inlineStr">
        <is>
          <t>Plattlummer
Mattlummer</t>
        </is>
      </c>
      <c r="W210">
        <f>HYPERLINK("https://klasma.github.io/Logging_2303/artfynd/A 6905-2024 artfynd.xlsx", "A 6905-2024")</f>
        <v/>
      </c>
      <c r="X210">
        <f>HYPERLINK("https://klasma.github.io/Logging_2303/kartor/A 6905-2024 karta.png", "A 6905-2024")</f>
        <v/>
      </c>
      <c r="Y210">
        <f>HYPERLINK("https://klasma.github.io/Logging_2303/kartor_geotiff/A 6905-2024 georefererad karta.tif", "A 6905-2024")</f>
        <v/>
      </c>
      <c r="AA210">
        <f>HYPERLINK("https://klasma.github.io/Logging_2303/klagomål/A 6905-2024 FSC-klagomål.docx", "A 6905-2024")</f>
        <v/>
      </c>
      <c r="AB210">
        <f>HYPERLINK("https://klasma.github.io/Logging_2303/klagomålsmail/A 6905-2024 FSC-klagomål mail.docx", "A 6905-2024")</f>
        <v/>
      </c>
      <c r="AC210">
        <f>HYPERLINK("https://klasma.github.io/Logging_2303/tillsyn/A 6905-2024 tillsynsbegäran.docx", "A 6905-2024")</f>
        <v/>
      </c>
      <c r="AD210">
        <f>HYPERLINK("https://klasma.github.io/Logging_2303/tillsynsmail/A 6905-2024 tillsynsbegäran mail.docx", "A 6905-2024")</f>
        <v/>
      </c>
    </row>
    <row r="211" ht="15" customHeight="1">
      <c r="A211" t="inlineStr">
        <is>
          <t>A 7519-2023</t>
        </is>
      </c>
      <c r="B211" t="inlineStr">
        <is>
          <t>avverkningsanmälan</t>
        </is>
      </c>
      <c r="C211" t="inlineStr">
        <is>
          <t>Föryngringsavverkning</t>
        </is>
      </c>
      <c r="D211" s="1" t="n">
        <v>44971</v>
      </c>
      <c r="E211" s="1" t="n">
        <v>46319</v>
      </c>
      <c r="F211" t="inlineStr">
        <is>
          <t>JÄMTLANDS LÄN</t>
        </is>
      </c>
      <c r="G211" t="inlineStr">
        <is>
          <t>RAGUNDA</t>
        </is>
      </c>
      <c r="H211" t="inlineStr">
        <is>
          <t>SCA</t>
        </is>
      </c>
      <c r="I211" t="n">
        <v>3.2</v>
      </c>
      <c r="J211" t="n">
        <v>0</v>
      </c>
      <c r="K211" t="n">
        <v>1</v>
      </c>
      <c r="L211" t="n">
        <v>1</v>
      </c>
      <c r="M211" t="n">
        <v>0</v>
      </c>
      <c r="N211" t="n">
        <v>0</v>
      </c>
      <c r="O211" t="n">
        <v>0</v>
      </c>
      <c r="P211" t="n">
        <v>0</v>
      </c>
      <c r="Q211" t="n">
        <v>1</v>
      </c>
      <c r="R211" t="n">
        <v>0</v>
      </c>
      <c r="S211" t="n">
        <v>2</v>
      </c>
      <c r="T211" t="n">
        <v>2</v>
      </c>
      <c r="U211" t="n">
        <v>0</v>
      </c>
      <c r="V211" s="2" t="inlineStr">
        <is>
          <t>Lunglav
Stor aspticka</t>
        </is>
      </c>
      <c r="W211">
        <f>HYPERLINK("https://klasma.github.io/Logging_2303/artfynd/A 7519-2023 artfynd.xlsx", "A 7519-2023")</f>
        <v/>
      </c>
      <c r="X211">
        <f>HYPERLINK("https://klasma.github.io/Logging_2303/kartor/A 7519-2023 karta.png", "A 7519-2023")</f>
        <v/>
      </c>
      <c r="Y211">
        <f>HYPERLINK("https://klasma.github.io/Logging_2303/kartor_geotiff/A 7519-2023 georefererad karta.tif", "A 7519-2023")</f>
        <v/>
      </c>
      <c r="AA211">
        <f>HYPERLINK("https://klasma.github.io/Logging_2303/klagomål/A 7519-2023 FSC-klagomål.docx", "A 7519-2023")</f>
        <v/>
      </c>
      <c r="AB211">
        <f>HYPERLINK("https://klasma.github.io/Logging_2303/klagomålsmail/A 7519-2023 FSC-klagomål mail.docx", "A 7519-2023")</f>
        <v/>
      </c>
      <c r="AC211">
        <f>HYPERLINK("https://klasma.github.io/Logging_2303/tillsyn/A 7519-2023 tillsynsbegäran.docx", "A 7519-2023")</f>
        <v/>
      </c>
      <c r="AD211">
        <f>HYPERLINK("https://klasma.github.io/Logging_2303/tillsynsmail/A 7519-2023 tillsynsbegäran mail.docx", "A 7519-2023")</f>
        <v/>
      </c>
    </row>
    <row r="212" ht="15" customHeight="1">
      <c r="A212" t="inlineStr">
        <is>
          <t>A 43991-2026</t>
        </is>
      </c>
      <c r="B212" t="inlineStr">
        <is>
          <t>avverkningsanmälan</t>
        </is>
      </c>
      <c r="C212" t="inlineStr">
        <is>
          <t>Föryngringsavverkning</t>
        </is>
      </c>
      <c r="D212" s="1" t="n">
        <v>46317</v>
      </c>
      <c r="E212" s="1" t="n">
        <v>46319</v>
      </c>
      <c r="F212" t="inlineStr">
        <is>
          <t>JÄMTLANDS LÄN</t>
        </is>
      </c>
      <c r="G212" t="inlineStr">
        <is>
          <t>RAGUNDA</t>
        </is>
      </c>
      <c r="H212" t="inlineStr">
        <is>
          <t>SCA</t>
        </is>
      </c>
      <c r="I212" t="n">
        <v>5.9</v>
      </c>
      <c r="J212" t="n">
        <v>0</v>
      </c>
      <c r="K212" t="n">
        <v>1</v>
      </c>
      <c r="L212" t="n">
        <v>0</v>
      </c>
      <c r="M212" t="n">
        <v>1</v>
      </c>
      <c r="N212" t="n">
        <v>0</v>
      </c>
      <c r="O212" t="n">
        <v>0</v>
      </c>
      <c r="P212" t="n">
        <v>0</v>
      </c>
      <c r="Q212" t="n">
        <v>1</v>
      </c>
      <c r="R212" t="n">
        <v>1</v>
      </c>
      <c r="S212" t="n">
        <v>2</v>
      </c>
      <c r="T212" t="n">
        <v>2</v>
      </c>
      <c r="U212" t="n">
        <v>0</v>
      </c>
      <c r="V212" s="2" t="inlineStr">
        <is>
          <t>Garnlav
Kornig nållav</t>
        </is>
      </c>
      <c r="W212">
        <f>HYPERLINK("https://klasma.github.io/Logging_2303/artfynd/A 43991-2026 artfynd.xlsx", "A 43991-2026")</f>
        <v/>
      </c>
      <c r="X212">
        <f>HYPERLINK("https://klasma.github.io/Logging_2303/kartor/A 43991-2026 karta.png", "A 43991-2026")</f>
        <v/>
      </c>
      <c r="Y212">
        <f>HYPERLINK("https://klasma.github.io/Logging_2303/kartor_geotiff/A 43991-2026 georefererad karta.tif", "A 43991-2026")</f>
        <v/>
      </c>
      <c r="AA212">
        <f>HYPERLINK("https://klasma.github.io/Logging_2303/klagomål/A 43991-2026 FSC-klagomål.docx", "A 43991-2026")</f>
        <v/>
      </c>
      <c r="AB212">
        <f>HYPERLINK("https://klasma.github.io/Logging_2303/klagomålsmail/A 43991-2026 FSC-klagomål mail.docx", "A 43991-2026")</f>
        <v/>
      </c>
      <c r="AC212">
        <f>HYPERLINK("https://klasma.github.io/Logging_2303/tillsyn/A 43991-2026 tillsynsbegäran.docx", "A 43991-2026")</f>
        <v/>
      </c>
      <c r="AD212">
        <f>HYPERLINK("https://klasma.github.io/Logging_2303/tillsynsmail/A 43991-2026 tillsynsbegäran mail.docx", "A 43991-2026")</f>
        <v/>
      </c>
    </row>
    <row r="213" ht="15" customHeight="1">
      <c r="A213" t="inlineStr">
        <is>
          <t>A 14502-2024</t>
        </is>
      </c>
      <c r="B213" t="inlineStr">
        <is>
          <t>avverkningsanmälan</t>
        </is>
      </c>
      <c r="C213" t="inlineStr">
        <is>
          <t>Föryngringsavverkning</t>
        </is>
      </c>
      <c r="D213" s="1" t="n">
        <v>45394</v>
      </c>
      <c r="E213" s="1" t="n">
        <v>46319</v>
      </c>
      <c r="F213" t="inlineStr">
        <is>
          <t>JÄMTLANDS LÄN</t>
        </is>
      </c>
      <c r="G213" t="inlineStr">
        <is>
          <t>RAGUNDA</t>
        </is>
      </c>
      <c r="I213" t="n">
        <v>11.6</v>
      </c>
      <c r="J213" t="n">
        <v>0</v>
      </c>
      <c r="K213" t="n">
        <v>0</v>
      </c>
      <c r="L213" t="n">
        <v>1</v>
      </c>
      <c r="M213" t="n">
        <v>1</v>
      </c>
      <c r="N213" t="n">
        <v>0</v>
      </c>
      <c r="O213" t="n">
        <v>0</v>
      </c>
      <c r="P213" t="n">
        <v>0</v>
      </c>
      <c r="Q213" t="n">
        <v>2</v>
      </c>
      <c r="R213" t="n">
        <v>1</v>
      </c>
      <c r="S213" t="n">
        <v>2</v>
      </c>
      <c r="T213" t="n">
        <v>4</v>
      </c>
      <c r="U213" t="n">
        <v>0</v>
      </c>
      <c r="V213" s="2" t="inlineStr">
        <is>
          <t>Garnlav
Stjärntagging</t>
        </is>
      </c>
      <c r="W213">
        <f>HYPERLINK("https://klasma.github.io/Logging_2303/artfynd/A 14502-2024 artfynd.xlsx", "A 14502-2024")</f>
        <v/>
      </c>
      <c r="X213">
        <f>HYPERLINK("https://klasma.github.io/Logging_2303/kartor/A 14502-2024 karta.png", "A 14502-2024")</f>
        <v/>
      </c>
      <c r="Y213">
        <f>HYPERLINK("https://klasma.github.io/Logging_2303/kartor_geotiff/A 14502-2024 georefererad karta.tif", "A 14502-2024")</f>
        <v/>
      </c>
      <c r="AA213">
        <f>HYPERLINK("https://klasma.github.io/Logging_2303/klagomål/A 14502-2024 FSC-klagomål.docx", "A 14502-2024")</f>
        <v/>
      </c>
      <c r="AB213">
        <f>HYPERLINK("https://klasma.github.io/Logging_2303/klagomålsmail/A 14502-2024 FSC-klagomål mail.docx", "A 14502-2024")</f>
        <v/>
      </c>
      <c r="AC213">
        <f>HYPERLINK("https://klasma.github.io/Logging_2303/tillsyn/A 14502-2024 tillsynsbegäran.docx", "A 14502-2024")</f>
        <v/>
      </c>
      <c r="AD213">
        <f>HYPERLINK("https://klasma.github.io/Logging_2303/tillsynsmail/A 14502-2024 tillsynsbegäran mail.docx", "A 14502-2024")</f>
        <v/>
      </c>
    </row>
    <row r="214" ht="15" customHeight="1">
      <c r="A214" t="inlineStr">
        <is>
          <t>A 2248-2024</t>
        </is>
      </c>
      <c r="B214" t="inlineStr">
        <is>
          <t>avverkningsanmälan</t>
        </is>
      </c>
      <c r="C214" t="inlineStr">
        <is>
          <t>Föryngringsavverkning</t>
        </is>
      </c>
      <c r="D214" s="1" t="n">
        <v>45309</v>
      </c>
      <c r="E214" s="1" t="n">
        <v>46319</v>
      </c>
      <c r="F214" t="inlineStr">
        <is>
          <t>JÄMTLANDS LÄN</t>
        </is>
      </c>
      <c r="G214" t="inlineStr">
        <is>
          <t>RAGUNDA</t>
        </is>
      </c>
      <c r="I214" t="n">
        <v>4.2</v>
      </c>
      <c r="J214" t="n">
        <v>0</v>
      </c>
      <c r="K214" t="n">
        <v>0</v>
      </c>
      <c r="L214" t="n">
        <v>2</v>
      </c>
      <c r="M214" t="n">
        <v>0</v>
      </c>
      <c r="N214" t="n">
        <v>0</v>
      </c>
      <c r="O214" t="n">
        <v>0</v>
      </c>
      <c r="P214" t="n">
        <v>0</v>
      </c>
      <c r="Q214" t="n">
        <v>2</v>
      </c>
      <c r="R214" t="n">
        <v>0</v>
      </c>
      <c r="S214" t="n">
        <v>2</v>
      </c>
      <c r="T214" t="n">
        <v>2</v>
      </c>
      <c r="U214" t="n">
        <v>0</v>
      </c>
      <c r="V214" s="2" t="inlineStr">
        <is>
          <t>Dropptaggsvamp
Vitgrynig nållav</t>
        </is>
      </c>
      <c r="W214">
        <f>HYPERLINK("https://klasma.github.io/Logging_2303/artfynd/A 2248-2024 artfynd.xlsx", "A 2248-2024")</f>
        <v/>
      </c>
      <c r="X214">
        <f>HYPERLINK("https://klasma.github.io/Logging_2303/kartor/A 2248-2024 karta.png", "A 2248-2024")</f>
        <v/>
      </c>
      <c r="Y214">
        <f>HYPERLINK("https://klasma.github.io/Logging_2303/kartor_geotiff/A 2248-2024 georefererad karta.tif", "A 2248-2024")</f>
        <v/>
      </c>
      <c r="AA214">
        <f>HYPERLINK("https://klasma.github.io/Logging_2303/klagomål/A 2248-2024 FSC-klagomål.docx", "A 2248-2024")</f>
        <v/>
      </c>
      <c r="AB214">
        <f>HYPERLINK("https://klasma.github.io/Logging_2303/klagomålsmail/A 2248-2024 FSC-klagomål mail.docx", "A 2248-2024")</f>
        <v/>
      </c>
      <c r="AC214">
        <f>HYPERLINK("https://klasma.github.io/Logging_2303/tillsyn/A 2248-2024 tillsynsbegäran.docx", "A 2248-2024")</f>
        <v/>
      </c>
      <c r="AD214">
        <f>HYPERLINK("https://klasma.github.io/Logging_2303/tillsynsmail/A 2248-2024 tillsynsbegäran mail.docx", "A 2248-2024")</f>
        <v/>
      </c>
    </row>
    <row r="215" ht="15" customHeight="1">
      <c r="A215" t="inlineStr">
        <is>
          <t>A 46771-2024</t>
        </is>
      </c>
      <c r="B215" t="inlineStr">
        <is>
          <t>avverkningsanmälan</t>
        </is>
      </c>
      <c r="C215" t="inlineStr">
        <is>
          <t>Föryngringsavverkning</t>
        </is>
      </c>
      <c r="D215" s="1" t="n">
        <v>45583</v>
      </c>
      <c r="E215" s="1" t="n">
        <v>46319</v>
      </c>
      <c r="F215" t="inlineStr">
        <is>
          <t>JÄMTLANDS LÄN</t>
        </is>
      </c>
      <c r="G215" t="inlineStr">
        <is>
          <t>RAGUNDA</t>
        </is>
      </c>
      <c r="H215" t="inlineStr">
        <is>
          <t>SCA</t>
        </is>
      </c>
      <c r="I215" t="n">
        <v>3.1</v>
      </c>
      <c r="J215" t="n">
        <v>0</v>
      </c>
      <c r="K215" t="n">
        <v>0</v>
      </c>
      <c r="L215" t="n">
        <v>2</v>
      </c>
      <c r="M215" t="n">
        <v>0</v>
      </c>
      <c r="N215" t="n">
        <v>0</v>
      </c>
      <c r="O215" t="n">
        <v>0</v>
      </c>
      <c r="P215" t="n">
        <v>0</v>
      </c>
      <c r="Q215" t="n">
        <v>2</v>
      </c>
      <c r="R215" t="n">
        <v>0</v>
      </c>
      <c r="S215" t="n">
        <v>2</v>
      </c>
      <c r="T215" t="n">
        <v>2</v>
      </c>
      <c r="U215" t="n">
        <v>0</v>
      </c>
      <c r="V215" s="2" t="inlineStr">
        <is>
          <t>Doftskinn
Gammelgransskål</t>
        </is>
      </c>
      <c r="W215">
        <f>HYPERLINK("https://klasma.github.io/Logging_2303/artfynd/A 46771-2024 artfynd.xlsx", "A 46771-2024")</f>
        <v/>
      </c>
      <c r="X215">
        <f>HYPERLINK("https://klasma.github.io/Logging_2303/kartor/A 46771-2024 karta.png", "A 46771-2024")</f>
        <v/>
      </c>
      <c r="Y215">
        <f>HYPERLINK("https://klasma.github.io/Logging_2303/kartor_geotiff/A 46771-2024 georefererad karta.tif", "A 46771-2024")</f>
        <v/>
      </c>
      <c r="AA215">
        <f>HYPERLINK("https://klasma.github.io/Logging_2303/klagomål/A 46771-2024 FSC-klagomål.docx", "A 46771-2024")</f>
        <v/>
      </c>
      <c r="AB215">
        <f>HYPERLINK("https://klasma.github.io/Logging_2303/klagomålsmail/A 46771-2024 FSC-klagomål mail.docx", "A 46771-2024")</f>
        <v/>
      </c>
      <c r="AC215">
        <f>HYPERLINK("https://klasma.github.io/Logging_2303/tillsyn/A 46771-2024 tillsynsbegäran.docx", "A 46771-2024")</f>
        <v/>
      </c>
      <c r="AD215">
        <f>HYPERLINK("https://klasma.github.io/Logging_2303/tillsynsmail/A 46771-2024 tillsynsbegäran mail.docx", "A 46771-2024")</f>
        <v/>
      </c>
    </row>
    <row r="216" ht="15" customHeight="1">
      <c r="A216" t="inlineStr">
        <is>
          <t>A 48084-2022</t>
        </is>
      </c>
      <c r="B216" t="inlineStr">
        <is>
          <t>avverkningsanmälan</t>
        </is>
      </c>
      <c r="C216" t="inlineStr">
        <is>
          <t>Avverkning för att bevara och utveckla /försöksver</t>
        </is>
      </c>
      <c r="D216" s="1" t="n">
        <v>44855</v>
      </c>
      <c r="E216" s="1" t="n">
        <v>46319</v>
      </c>
      <c r="F216" t="inlineStr">
        <is>
          <t>JÄMTLANDS LÄN</t>
        </is>
      </c>
      <c r="G216" t="inlineStr">
        <is>
          <t>RAGUNDA</t>
        </is>
      </c>
      <c r="H216" t="inlineStr">
        <is>
          <t>SCA</t>
        </is>
      </c>
      <c r="I216" t="n">
        <v>4.7</v>
      </c>
      <c r="J216" t="n">
        <v>1</v>
      </c>
      <c r="K216" t="n">
        <v>0</v>
      </c>
      <c r="L216" t="n">
        <v>2</v>
      </c>
      <c r="M216" t="n">
        <v>0</v>
      </c>
      <c r="N216" t="n">
        <v>0</v>
      </c>
      <c r="O216" t="n">
        <v>0</v>
      </c>
      <c r="P216" t="n">
        <v>0</v>
      </c>
      <c r="Q216" t="n">
        <v>2</v>
      </c>
      <c r="R216" t="n">
        <v>0</v>
      </c>
      <c r="S216" t="n">
        <v>2</v>
      </c>
      <c r="T216" t="n">
        <v>2</v>
      </c>
      <c r="U216" t="n">
        <v>0</v>
      </c>
      <c r="V216" s="2" t="inlineStr">
        <is>
          <t>Rosenticka
Tretåig hackspett</t>
        </is>
      </c>
      <c r="W216">
        <f>HYPERLINK("https://klasma.github.io/Logging_2303/artfynd/A 48084-2022 artfynd.xlsx", "A 48084-2022")</f>
        <v/>
      </c>
      <c r="X216">
        <f>HYPERLINK("https://klasma.github.io/Logging_2303/kartor/A 48084-2022 karta.png", "A 48084-2022")</f>
        <v/>
      </c>
      <c r="Y216">
        <f>HYPERLINK("https://klasma.github.io/Logging_2303/kartor_geotiff/A 48084-2022 georefererad karta.tif", "A 48084-2022")</f>
        <v/>
      </c>
      <c r="AA216">
        <f>HYPERLINK("https://klasma.github.io/Logging_2303/klagomål/A 48084-2022 FSC-klagomål.docx", "A 48084-2022")</f>
        <v/>
      </c>
      <c r="AB216">
        <f>HYPERLINK("https://klasma.github.io/Logging_2303/klagomålsmail/A 48084-2022 FSC-klagomål mail.docx", "A 48084-2022")</f>
        <v/>
      </c>
      <c r="AC216">
        <f>HYPERLINK("https://klasma.github.io/Logging_2303/tillsyn/A 48084-2022 tillsynsbegäran.docx", "A 48084-2022")</f>
        <v/>
      </c>
      <c r="AD216">
        <f>HYPERLINK("https://klasma.github.io/Logging_2303/tillsynsmail/A 48084-2022 tillsynsbegäran mail.docx", "A 48084-2022")</f>
        <v/>
      </c>
      <c r="AE216">
        <f>HYPERLINK("https://klasma.github.io/Logging_2303/fåglar/A 48084-2022 prioriterade fågelarter.docx", "A 48084-2022")</f>
        <v/>
      </c>
    </row>
    <row r="217" ht="15" customHeight="1">
      <c r="A217" t="inlineStr">
        <is>
          <t>A 19384-2025</t>
        </is>
      </c>
      <c r="B217" t="inlineStr">
        <is>
          <t>avverkningsanmälan</t>
        </is>
      </c>
      <c r="C217" t="inlineStr">
        <is>
          <t>Föryngringsavverkning</t>
        </is>
      </c>
      <c r="D217" s="1" t="n">
        <v>45769</v>
      </c>
      <c r="E217" s="1" t="n">
        <v>46319</v>
      </c>
      <c r="F217" t="inlineStr">
        <is>
          <t>JÄMTLANDS LÄN</t>
        </is>
      </c>
      <c r="G217" t="inlineStr">
        <is>
          <t>RAGUNDA</t>
        </is>
      </c>
      <c r="H217" t="inlineStr">
        <is>
          <t>SCA</t>
        </is>
      </c>
      <c r="I217" t="n">
        <v>2.8</v>
      </c>
      <c r="J217" t="n">
        <v>1</v>
      </c>
      <c r="K217" t="n">
        <v>0</v>
      </c>
      <c r="L217" t="n">
        <v>2</v>
      </c>
      <c r="M217" t="n">
        <v>0</v>
      </c>
      <c r="N217" t="n">
        <v>0</v>
      </c>
      <c r="O217" t="n">
        <v>0</v>
      </c>
      <c r="P217" t="n">
        <v>0</v>
      </c>
      <c r="Q217" t="n">
        <v>2</v>
      </c>
      <c r="R217" t="n">
        <v>0</v>
      </c>
      <c r="S217" t="n">
        <v>2</v>
      </c>
      <c r="T217" t="n">
        <v>2</v>
      </c>
      <c r="U217" t="n">
        <v>2</v>
      </c>
      <c r="V217" s="2" t="inlineStr">
        <is>
          <t>Tretåig hackspett
Ullticka</t>
        </is>
      </c>
      <c r="W217">
        <f>HYPERLINK("https://klasma.github.io/Logging_2303/artfynd/A 19384-2025 artfynd.xlsx", "A 19384-2025")</f>
        <v/>
      </c>
      <c r="X217">
        <f>HYPERLINK("https://klasma.github.io/Logging_2303/kartor/A 19384-2025 karta.png", "A 19384-2025")</f>
        <v/>
      </c>
      <c r="Y217">
        <f>HYPERLINK("https://klasma.github.io/Logging_2303/kartor_geotiff/A 19384-2025 georefererad karta.tif", "A 19384-2025")</f>
        <v/>
      </c>
      <c r="AA217">
        <f>HYPERLINK("https://klasma.github.io/Logging_2303/klagomål/A 19384-2025 FSC-klagomål.docx", "A 19384-2025")</f>
        <v/>
      </c>
      <c r="AB217">
        <f>HYPERLINK("https://klasma.github.io/Logging_2303/klagomålsmail/A 19384-2025 FSC-klagomål mail.docx", "A 19384-2025")</f>
        <v/>
      </c>
      <c r="AC217">
        <f>HYPERLINK("https://klasma.github.io/Logging_2303/tillsyn/A 19384-2025 tillsynsbegäran.docx", "A 19384-2025")</f>
        <v/>
      </c>
      <c r="AD217">
        <f>HYPERLINK("https://klasma.github.io/Logging_2303/tillsynsmail/A 19384-2025 tillsynsbegäran mail.docx", "A 19384-2025")</f>
        <v/>
      </c>
      <c r="AE217">
        <f>HYPERLINK("https://klasma.github.io/Logging_2303/fåglar/A 19384-2025 prioriterade fågelarter.docx", "A 19384-2025")</f>
        <v/>
      </c>
    </row>
    <row r="218" ht="15" customHeight="1">
      <c r="A218" t="inlineStr">
        <is>
          <t>A 13264-2025</t>
        </is>
      </c>
      <c r="B218" t="inlineStr">
        <is>
          <t>avverkningsanmälan</t>
        </is>
      </c>
      <c r="C218" t="inlineStr">
        <is>
          <t>Föryngringsavverkning</t>
        </is>
      </c>
      <c r="D218" s="1" t="n">
        <v>45735</v>
      </c>
      <c r="E218" s="1" t="n">
        <v>46319</v>
      </c>
      <c r="F218" t="inlineStr">
        <is>
          <t>JÄMTLANDS LÄN</t>
        </is>
      </c>
      <c r="G218" t="inlineStr">
        <is>
          <t>RAGUNDA</t>
        </is>
      </c>
      <c r="H218" t="inlineStr">
        <is>
          <t>SCA</t>
        </is>
      </c>
      <c r="I218" t="n">
        <v>1.2</v>
      </c>
      <c r="J218" t="n">
        <v>1</v>
      </c>
      <c r="K218" t="n">
        <v>0</v>
      </c>
      <c r="L218" t="n">
        <v>2</v>
      </c>
      <c r="M218" t="n">
        <v>0</v>
      </c>
      <c r="N218" t="n">
        <v>0</v>
      </c>
      <c r="O218" t="n">
        <v>0</v>
      </c>
      <c r="P218" t="n">
        <v>0</v>
      </c>
      <c r="Q218" t="n">
        <v>2</v>
      </c>
      <c r="R218" t="n">
        <v>0</v>
      </c>
      <c r="S218" t="n">
        <v>2</v>
      </c>
      <c r="T218" t="n">
        <v>2</v>
      </c>
      <c r="U218" t="n">
        <v>0</v>
      </c>
      <c r="V218" s="2" t="inlineStr">
        <is>
          <t>Gammelgransskål
Lavskrika</t>
        </is>
      </c>
      <c r="W218">
        <f>HYPERLINK("https://klasma.github.io/Logging_2303/artfynd/A 13264-2025 artfynd.xlsx", "A 13264-2025")</f>
        <v/>
      </c>
      <c r="X218">
        <f>HYPERLINK("https://klasma.github.io/Logging_2303/kartor/A 13264-2025 karta.png", "A 13264-2025")</f>
        <v/>
      </c>
      <c r="Y218">
        <f>HYPERLINK("https://klasma.github.io/Logging_2303/kartor_geotiff/A 13264-2025 georefererad karta.tif", "A 13264-2025")</f>
        <v/>
      </c>
      <c r="AA218">
        <f>HYPERLINK("https://klasma.github.io/Logging_2303/klagomål/A 13264-2025 FSC-klagomål.docx", "A 13264-2025")</f>
        <v/>
      </c>
      <c r="AB218">
        <f>HYPERLINK("https://klasma.github.io/Logging_2303/klagomålsmail/A 13264-2025 FSC-klagomål mail.docx", "A 13264-2025")</f>
        <v/>
      </c>
      <c r="AC218">
        <f>HYPERLINK("https://klasma.github.io/Logging_2303/tillsyn/A 13264-2025 tillsynsbegäran.docx", "A 13264-2025")</f>
        <v/>
      </c>
      <c r="AD218">
        <f>HYPERLINK("https://klasma.github.io/Logging_2303/tillsynsmail/A 13264-2025 tillsynsbegäran mail.docx", "A 13264-2025")</f>
        <v/>
      </c>
      <c r="AE218">
        <f>HYPERLINK("https://klasma.github.io/Logging_2303/fåglar/A 13264-2025 prioriterade fågelarter.docx", "A 13264-2025")</f>
        <v/>
      </c>
    </row>
    <row r="219" ht="15" customHeight="1">
      <c r="A219" t="inlineStr">
        <is>
          <t>A 50089-2022</t>
        </is>
      </c>
      <c r="B219" t="inlineStr">
        <is>
          <t>avverkningsanmälan</t>
        </is>
      </c>
      <c r="C219" t="inlineStr">
        <is>
          <t>Föryngringsavverkning</t>
        </is>
      </c>
      <c r="D219" s="1" t="n">
        <v>44865</v>
      </c>
      <c r="E219" s="1" t="n">
        <v>46319</v>
      </c>
      <c r="F219" t="inlineStr">
        <is>
          <t>JÄMTLANDS LÄN</t>
        </is>
      </c>
      <c r="G219" t="inlineStr">
        <is>
          <t>RAGUNDA</t>
        </is>
      </c>
      <c r="I219" t="n">
        <v>5.7</v>
      </c>
      <c r="J219" t="n">
        <v>2</v>
      </c>
      <c r="K219" t="n">
        <v>0</v>
      </c>
      <c r="L219" t="n">
        <v>2</v>
      </c>
      <c r="M219" t="n">
        <v>0</v>
      </c>
      <c r="N219" t="n">
        <v>0</v>
      </c>
      <c r="O219" t="n">
        <v>0</v>
      </c>
      <c r="P219" t="n">
        <v>0</v>
      </c>
      <c r="Q219" t="n">
        <v>2</v>
      </c>
      <c r="R219" t="n">
        <v>0</v>
      </c>
      <c r="S219" t="n">
        <v>2</v>
      </c>
      <c r="T219" t="n">
        <v>2</v>
      </c>
      <c r="U219" t="n">
        <v>2</v>
      </c>
      <c r="V219" s="2" t="inlineStr">
        <is>
          <t>Björktrast
Drillsnäppa</t>
        </is>
      </c>
      <c r="W219">
        <f>HYPERLINK("https://klasma.github.io/Logging_2303/artfynd/A 50089-2022 artfynd.xlsx", "A 50089-2022")</f>
        <v/>
      </c>
      <c r="X219">
        <f>HYPERLINK("https://klasma.github.io/Logging_2303/kartor/A 50089-2022 karta.png", "A 50089-2022")</f>
        <v/>
      </c>
      <c r="Y219">
        <f>HYPERLINK("https://klasma.github.io/Logging_2303/kartor_geotiff/A 50089-2022 georefererad karta.tif", "A 50089-2022")</f>
        <v/>
      </c>
      <c r="AA219">
        <f>HYPERLINK("https://klasma.github.io/Logging_2303/klagomål/A 50089-2022 FSC-klagomål.docx", "A 50089-2022")</f>
        <v/>
      </c>
      <c r="AB219">
        <f>HYPERLINK("https://klasma.github.io/Logging_2303/klagomålsmail/A 50089-2022 FSC-klagomål mail.docx", "A 50089-2022")</f>
        <v/>
      </c>
      <c r="AC219">
        <f>HYPERLINK("https://klasma.github.io/Logging_2303/tillsyn/A 50089-2022 tillsynsbegäran.docx", "A 50089-2022")</f>
        <v/>
      </c>
      <c r="AD219">
        <f>HYPERLINK("https://klasma.github.io/Logging_2303/tillsynsmail/A 50089-2022 tillsynsbegäran mail.docx", "A 50089-2022")</f>
        <v/>
      </c>
      <c r="AE219">
        <f>HYPERLINK("https://klasma.github.io/Logging_2303/fåglar/A 50089-2022 prioriterade fågelarter.docx", "A 50089-2022")</f>
        <v/>
      </c>
    </row>
    <row r="220" ht="15" customHeight="1">
      <c r="A220" t="inlineStr">
        <is>
          <t>A 45021-2023</t>
        </is>
      </c>
      <c r="B220" t="inlineStr">
        <is>
          <t>avverkningsanmälan</t>
        </is>
      </c>
      <c r="C220" t="inlineStr">
        <is>
          <t>Avverkning för att bevara och utveckla /försöksver</t>
        </is>
      </c>
      <c r="D220" s="1" t="n">
        <v>45190</v>
      </c>
      <c r="E220" s="1" t="n">
        <v>46319</v>
      </c>
      <c r="F220" t="inlineStr">
        <is>
          <t>JÄMTLANDS LÄN</t>
        </is>
      </c>
      <c r="G220" t="inlineStr">
        <is>
          <t>RAGUNDA</t>
        </is>
      </c>
      <c r="H220" t="inlineStr">
        <is>
          <t>SCA</t>
        </is>
      </c>
      <c r="I220" t="n">
        <v>1.6</v>
      </c>
      <c r="J220" t="n">
        <v>1</v>
      </c>
      <c r="K220" t="n">
        <v>0</v>
      </c>
      <c r="L220" t="n">
        <v>1</v>
      </c>
      <c r="M220" t="n">
        <v>0</v>
      </c>
      <c r="N220" t="n">
        <v>0</v>
      </c>
      <c r="O220" t="n">
        <v>0</v>
      </c>
      <c r="P220" t="n">
        <v>0</v>
      </c>
      <c r="Q220" t="n">
        <v>1</v>
      </c>
      <c r="R220" t="n">
        <v>0</v>
      </c>
      <c r="S220" t="n">
        <v>2</v>
      </c>
      <c r="T220" t="n">
        <v>2</v>
      </c>
      <c r="U220" t="n">
        <v>0</v>
      </c>
      <c r="V220" s="2" t="inlineStr">
        <is>
          <t>Lunglav
Fläcknycklar</t>
        </is>
      </c>
      <c r="W220">
        <f>HYPERLINK("https://klasma.github.io/Logging_2303/artfynd/A 45021-2023 artfynd.xlsx", "A 45021-2023")</f>
        <v/>
      </c>
      <c r="X220">
        <f>HYPERLINK("https://klasma.github.io/Logging_2303/kartor/A 45021-2023 karta.png", "A 45021-2023")</f>
        <v/>
      </c>
      <c r="Y220">
        <f>HYPERLINK("https://klasma.github.io/Logging_2303/kartor_geotiff/A 45021-2023 georefererad karta.tif", "A 45021-2023")</f>
        <v/>
      </c>
      <c r="AA220">
        <f>HYPERLINK("https://klasma.github.io/Logging_2303/klagomål/A 45021-2023 FSC-klagomål.docx", "A 45021-2023")</f>
        <v/>
      </c>
      <c r="AB220">
        <f>HYPERLINK("https://klasma.github.io/Logging_2303/klagomålsmail/A 45021-2023 FSC-klagomål mail.docx", "A 45021-2023")</f>
        <v/>
      </c>
      <c r="AC220">
        <f>HYPERLINK("https://klasma.github.io/Logging_2303/tillsyn/A 45021-2023 tillsynsbegäran.docx", "A 45021-2023")</f>
        <v/>
      </c>
      <c r="AD220">
        <f>HYPERLINK("https://klasma.github.io/Logging_2303/tillsynsmail/A 45021-2023 tillsynsbegäran mail.docx", "A 45021-2023")</f>
        <v/>
      </c>
    </row>
    <row r="221" ht="15" customHeight="1">
      <c r="A221" t="inlineStr">
        <is>
          <t>A 44409-2023</t>
        </is>
      </c>
      <c r="B221" t="inlineStr">
        <is>
          <t>avverkningsanmälan</t>
        </is>
      </c>
      <c r="C221" t="inlineStr">
        <is>
          <t>Föryngringsavverkning</t>
        </is>
      </c>
      <c r="D221" s="1" t="n">
        <v>45188</v>
      </c>
      <c r="E221" s="1" t="n">
        <v>46319</v>
      </c>
      <c r="F221" t="inlineStr">
        <is>
          <t>JÄMTLANDS LÄN</t>
        </is>
      </c>
      <c r="G221" t="inlineStr">
        <is>
          <t>RAGUNDA</t>
        </is>
      </c>
      <c r="H221" t="inlineStr">
        <is>
          <t>SCA</t>
        </is>
      </c>
      <c r="I221" t="n">
        <v>2.5</v>
      </c>
      <c r="J221" t="n">
        <v>0</v>
      </c>
      <c r="K221" t="n">
        <v>1</v>
      </c>
      <c r="L221" t="n">
        <v>0</v>
      </c>
      <c r="M221" t="n">
        <v>1</v>
      </c>
      <c r="N221" t="n">
        <v>0</v>
      </c>
      <c r="O221" t="n">
        <v>0</v>
      </c>
      <c r="P221" t="n">
        <v>0</v>
      </c>
      <c r="Q221" t="n">
        <v>1</v>
      </c>
      <c r="R221" t="n">
        <v>1</v>
      </c>
      <c r="S221" t="n">
        <v>2</v>
      </c>
      <c r="T221" t="n">
        <v>2</v>
      </c>
      <c r="U221" t="n">
        <v>0</v>
      </c>
      <c r="V221" s="2" t="inlineStr">
        <is>
          <t>Garnlav
Norrlandslav</t>
        </is>
      </c>
      <c r="W221">
        <f>HYPERLINK("https://klasma.github.io/Logging_2303/artfynd/A 44409-2023 artfynd.xlsx", "A 44409-2023")</f>
        <v/>
      </c>
      <c r="X221">
        <f>HYPERLINK("https://klasma.github.io/Logging_2303/kartor/A 44409-2023 karta.png", "A 44409-2023")</f>
        <v/>
      </c>
      <c r="Y221">
        <f>HYPERLINK("https://klasma.github.io/Logging_2303/kartor_geotiff/A 44409-2023 georefererad karta.tif", "A 44409-2023")</f>
        <v/>
      </c>
      <c r="AA221">
        <f>HYPERLINK("https://klasma.github.io/Logging_2303/klagomål/A 44409-2023 FSC-klagomål.docx", "A 44409-2023")</f>
        <v/>
      </c>
      <c r="AB221">
        <f>HYPERLINK("https://klasma.github.io/Logging_2303/klagomålsmail/A 44409-2023 FSC-klagomål mail.docx", "A 44409-2023")</f>
        <v/>
      </c>
      <c r="AC221">
        <f>HYPERLINK("https://klasma.github.io/Logging_2303/tillsyn/A 44409-2023 tillsynsbegäran.docx", "A 44409-2023")</f>
        <v/>
      </c>
      <c r="AD221">
        <f>HYPERLINK("https://klasma.github.io/Logging_2303/tillsynsmail/A 44409-2023 tillsynsbegäran mail.docx", "A 44409-2023")</f>
        <v/>
      </c>
    </row>
    <row r="222" ht="15" customHeight="1">
      <c r="A222" t="inlineStr">
        <is>
          <t>A 40826-2023</t>
        </is>
      </c>
      <c r="B222" t="inlineStr">
        <is>
          <t>avverkningsanmälan</t>
        </is>
      </c>
      <c r="C222" t="inlineStr">
        <is>
          <t>Föryngringsavverkning</t>
        </is>
      </c>
      <c r="D222" s="1" t="n">
        <v>45171</v>
      </c>
      <c r="E222" s="1" t="n">
        <v>46319</v>
      </c>
      <c r="F222" t="inlineStr">
        <is>
          <t>JÄMTLANDS LÄN</t>
        </is>
      </c>
      <c r="G222" t="inlineStr">
        <is>
          <t>RAGUNDA</t>
        </is>
      </c>
      <c r="H222" t="inlineStr">
        <is>
          <t>SCA</t>
        </is>
      </c>
      <c r="I222" t="n">
        <v>4.5</v>
      </c>
      <c r="J222" t="n">
        <v>0</v>
      </c>
      <c r="K222" t="n">
        <v>1</v>
      </c>
      <c r="L222" t="n">
        <v>1</v>
      </c>
      <c r="M222" t="n">
        <v>0</v>
      </c>
      <c r="N222" t="n">
        <v>0</v>
      </c>
      <c r="O222" t="n">
        <v>0</v>
      </c>
      <c r="P222" t="n">
        <v>0</v>
      </c>
      <c r="Q222" t="n">
        <v>1</v>
      </c>
      <c r="R222" t="n">
        <v>0</v>
      </c>
      <c r="S222" t="n">
        <v>2</v>
      </c>
      <c r="T222" t="n">
        <v>2</v>
      </c>
      <c r="U222" t="n">
        <v>0</v>
      </c>
      <c r="V222" s="2" t="inlineStr">
        <is>
          <t>Lunglav
Stuplav</t>
        </is>
      </c>
      <c r="W222">
        <f>HYPERLINK("https://klasma.github.io/Logging_2303/artfynd/A 40826-2023 artfynd.xlsx", "A 40826-2023")</f>
        <v/>
      </c>
      <c r="X222">
        <f>HYPERLINK("https://klasma.github.io/Logging_2303/kartor/A 40826-2023 karta.png", "A 40826-2023")</f>
        <v/>
      </c>
      <c r="Y222">
        <f>HYPERLINK("https://klasma.github.io/Logging_2303/kartor_geotiff/A 40826-2023 georefererad karta.tif", "A 40826-2023")</f>
        <v/>
      </c>
      <c r="AA222">
        <f>HYPERLINK("https://klasma.github.io/Logging_2303/klagomål/A 40826-2023 FSC-klagomål.docx", "A 40826-2023")</f>
        <v/>
      </c>
      <c r="AB222">
        <f>HYPERLINK("https://klasma.github.io/Logging_2303/klagomålsmail/A 40826-2023 FSC-klagomål mail.docx", "A 40826-2023")</f>
        <v/>
      </c>
      <c r="AC222">
        <f>HYPERLINK("https://klasma.github.io/Logging_2303/tillsyn/A 40826-2023 tillsynsbegäran.docx", "A 40826-2023")</f>
        <v/>
      </c>
      <c r="AD222">
        <f>HYPERLINK("https://klasma.github.io/Logging_2303/tillsynsmail/A 40826-2023 tillsynsbegäran mail.docx", "A 40826-2023")</f>
        <v/>
      </c>
    </row>
    <row r="223" ht="15" customHeight="1">
      <c r="A223" t="inlineStr">
        <is>
          <t>A 36504-2023</t>
        </is>
      </c>
      <c r="B223" t="inlineStr">
        <is>
          <t>avverkningsanmälan</t>
        </is>
      </c>
      <c r="C223" t="inlineStr">
        <is>
          <t>Avverkning för att bevara och utveckla /försöksver</t>
        </is>
      </c>
      <c r="D223" s="1" t="n">
        <v>45152</v>
      </c>
      <c r="E223" s="1" t="n">
        <v>46319</v>
      </c>
      <c r="F223" t="inlineStr">
        <is>
          <t>JÄMTLANDS LÄN</t>
        </is>
      </c>
      <c r="G223" t="inlineStr">
        <is>
          <t>RAGUNDA</t>
        </is>
      </c>
      <c r="H223" t="inlineStr">
        <is>
          <t>SCA</t>
        </is>
      </c>
      <c r="I223" t="n">
        <v>2</v>
      </c>
      <c r="J223" t="n">
        <v>0</v>
      </c>
      <c r="K223" t="n">
        <v>0</v>
      </c>
      <c r="L223" t="n">
        <v>1</v>
      </c>
      <c r="M223" t="n">
        <v>1</v>
      </c>
      <c r="N223" t="n">
        <v>0</v>
      </c>
      <c r="O223" t="n">
        <v>0</v>
      </c>
      <c r="P223" t="n">
        <v>0</v>
      </c>
      <c r="Q223" t="n">
        <v>2</v>
      </c>
      <c r="R223" t="n">
        <v>1</v>
      </c>
      <c r="S223" t="n">
        <v>2</v>
      </c>
      <c r="T223" t="n">
        <v>2</v>
      </c>
      <c r="U223" t="n">
        <v>0</v>
      </c>
      <c r="V223" s="2" t="inlineStr">
        <is>
          <t>Garnlav
Gammelgransskål</t>
        </is>
      </c>
      <c r="W223">
        <f>HYPERLINK("https://klasma.github.io/Logging_2303/artfynd/A 36504-2023 artfynd.xlsx", "A 36504-2023")</f>
        <v/>
      </c>
      <c r="X223">
        <f>HYPERLINK("https://klasma.github.io/Logging_2303/kartor/A 36504-2023 karta.png", "A 36504-2023")</f>
        <v/>
      </c>
      <c r="Y223">
        <f>HYPERLINK("https://klasma.github.io/Logging_2303/kartor_geotiff/A 36504-2023 georefererad karta.tif", "A 36504-2023")</f>
        <v/>
      </c>
      <c r="AA223">
        <f>HYPERLINK("https://klasma.github.io/Logging_2303/klagomål/A 36504-2023 FSC-klagomål.docx", "A 36504-2023")</f>
        <v/>
      </c>
      <c r="AB223">
        <f>HYPERLINK("https://klasma.github.io/Logging_2303/klagomålsmail/A 36504-2023 FSC-klagomål mail.docx", "A 36504-2023")</f>
        <v/>
      </c>
      <c r="AC223">
        <f>HYPERLINK("https://klasma.github.io/Logging_2303/tillsyn/A 36504-2023 tillsynsbegäran.docx", "A 36504-2023")</f>
        <v/>
      </c>
      <c r="AD223">
        <f>HYPERLINK("https://klasma.github.io/Logging_2303/tillsynsmail/A 36504-2023 tillsynsbegäran mail.docx", "A 36504-2023")</f>
        <v/>
      </c>
    </row>
    <row r="224" ht="15" customHeight="1">
      <c r="A224" t="inlineStr">
        <is>
          <t>A 16676-2022</t>
        </is>
      </c>
      <c r="B224" t="inlineStr">
        <is>
          <t>avverkningsanmälan</t>
        </is>
      </c>
      <c r="C224" t="inlineStr">
        <is>
          <t>Föryngringsavverkning</t>
        </is>
      </c>
      <c r="D224" s="1" t="n">
        <v>44672</v>
      </c>
      <c r="E224" s="1" t="n">
        <v>46319</v>
      </c>
      <c r="F224" t="inlineStr">
        <is>
          <t>JÄMTLANDS LÄN</t>
        </is>
      </c>
      <c r="G224" t="inlineStr">
        <is>
          <t>RAGUNDA</t>
        </is>
      </c>
      <c r="H224" t="inlineStr">
        <is>
          <t>SCA</t>
        </is>
      </c>
      <c r="I224" t="n">
        <v>1.6</v>
      </c>
      <c r="J224" t="n">
        <v>2</v>
      </c>
      <c r="K224" t="n">
        <v>1</v>
      </c>
      <c r="L224" t="n">
        <v>0</v>
      </c>
      <c r="M224" t="n">
        <v>0</v>
      </c>
      <c r="N224" t="n">
        <v>0</v>
      </c>
      <c r="O224" t="n">
        <v>0</v>
      </c>
      <c r="P224" t="n">
        <v>0</v>
      </c>
      <c r="Q224" t="n">
        <v>0</v>
      </c>
      <c r="R224" t="n">
        <v>0</v>
      </c>
      <c r="S224" t="n">
        <v>2</v>
      </c>
      <c r="T224" t="n">
        <v>2</v>
      </c>
      <c r="U224" t="n">
        <v>2</v>
      </c>
      <c r="V224" s="2" t="inlineStr">
        <is>
          <t>Guckusko
Fläcknycklar</t>
        </is>
      </c>
      <c r="W224">
        <f>HYPERLINK("https://klasma.github.io/Logging_2303/artfynd/A 16676-2022 artfynd.xlsx", "A 16676-2022")</f>
        <v/>
      </c>
      <c r="X224">
        <f>HYPERLINK("https://klasma.github.io/Logging_2303/kartor/A 16676-2022 karta.png", "A 16676-2022")</f>
        <v/>
      </c>
      <c r="Y224">
        <f>HYPERLINK("https://klasma.github.io/Logging_2303/kartor_geotiff/A 16676-2022 georefererad karta.tif", "A 16676-2022")</f>
        <v/>
      </c>
      <c r="AA224">
        <f>HYPERLINK("https://klasma.github.io/Logging_2303/klagomål/A 16676-2022 FSC-klagomål.docx", "A 16676-2022")</f>
        <v/>
      </c>
      <c r="AB224">
        <f>HYPERLINK("https://klasma.github.io/Logging_2303/klagomålsmail/A 16676-2022 FSC-klagomål mail.docx", "A 16676-2022")</f>
        <v/>
      </c>
      <c r="AC224">
        <f>HYPERLINK("https://klasma.github.io/Logging_2303/tillsyn/A 16676-2022 tillsynsbegäran.docx", "A 16676-2022")</f>
        <v/>
      </c>
      <c r="AD224">
        <f>HYPERLINK("https://klasma.github.io/Logging_2303/tillsynsmail/A 16676-2022 tillsynsbegäran mail.docx", "A 16676-2022")</f>
        <v/>
      </c>
    </row>
    <row r="225" ht="15" customHeight="1">
      <c r="A225" t="inlineStr">
        <is>
          <t>A 45035-2023</t>
        </is>
      </c>
      <c r="B225" t="inlineStr">
        <is>
          <t>avverkningsanmälan</t>
        </is>
      </c>
      <c r="C225" t="inlineStr">
        <is>
          <t>Föryngringsavverkning</t>
        </is>
      </c>
      <c r="D225" s="1" t="n">
        <v>45191</v>
      </c>
      <c r="E225" s="1" t="n">
        <v>46319</v>
      </c>
      <c r="F225" t="inlineStr">
        <is>
          <t>JÄMTLANDS LÄN</t>
        </is>
      </c>
      <c r="G225" t="inlineStr">
        <is>
          <t>RAGUNDA</t>
        </is>
      </c>
      <c r="I225" t="n">
        <v>2.9</v>
      </c>
      <c r="J225" t="n">
        <v>0</v>
      </c>
      <c r="K225" t="n">
        <v>1</v>
      </c>
      <c r="L225" t="n">
        <v>1</v>
      </c>
      <c r="M225" t="n">
        <v>0</v>
      </c>
      <c r="N225" t="n">
        <v>0</v>
      </c>
      <c r="O225" t="n">
        <v>0</v>
      </c>
      <c r="P225" t="n">
        <v>0</v>
      </c>
      <c r="Q225" t="n">
        <v>1</v>
      </c>
      <c r="R225" t="n">
        <v>0</v>
      </c>
      <c r="S225" t="n">
        <v>2</v>
      </c>
      <c r="T225" t="n">
        <v>2</v>
      </c>
      <c r="U225" t="n">
        <v>0</v>
      </c>
      <c r="V225" s="2" t="inlineStr">
        <is>
          <t>Lunglav
Korallblylav</t>
        </is>
      </c>
      <c r="W225">
        <f>HYPERLINK("https://klasma.github.io/Logging_2303/artfynd/A 45035-2023 artfynd.xlsx", "A 45035-2023")</f>
        <v/>
      </c>
      <c r="X225">
        <f>HYPERLINK("https://klasma.github.io/Logging_2303/kartor/A 45035-2023 karta.png", "A 45035-2023")</f>
        <v/>
      </c>
      <c r="Y225">
        <f>HYPERLINK("https://klasma.github.io/Logging_2303/kartor_geotiff/A 45035-2023 georefererad karta.tif", "A 45035-2023")</f>
        <v/>
      </c>
      <c r="AA225">
        <f>HYPERLINK("https://klasma.github.io/Logging_2303/klagomål/A 45035-2023 FSC-klagomål.docx", "A 45035-2023")</f>
        <v/>
      </c>
      <c r="AB225">
        <f>HYPERLINK("https://klasma.github.io/Logging_2303/klagomålsmail/A 45035-2023 FSC-klagomål mail.docx", "A 45035-2023")</f>
        <v/>
      </c>
      <c r="AC225">
        <f>HYPERLINK("https://klasma.github.io/Logging_2303/tillsyn/A 45035-2023 tillsynsbegäran.docx", "A 45035-2023")</f>
        <v/>
      </c>
      <c r="AD225">
        <f>HYPERLINK("https://klasma.github.io/Logging_2303/tillsynsmail/A 45035-2023 tillsynsbegäran mail.docx", "A 45035-2023")</f>
        <v/>
      </c>
    </row>
    <row r="226" ht="15" customHeight="1">
      <c r="A226" t="inlineStr">
        <is>
          <t>A 56285-2023</t>
        </is>
      </c>
      <c r="B226" t="inlineStr">
        <is>
          <t>avverkningsanmälan</t>
        </is>
      </c>
      <c r="C226" t="inlineStr">
        <is>
          <t>Avverkning för att bevara och utveckla /försöksver</t>
        </is>
      </c>
      <c r="D226" s="1" t="n">
        <v>45241</v>
      </c>
      <c r="E226" s="1" t="n">
        <v>46319</v>
      </c>
      <c r="F226" t="inlineStr">
        <is>
          <t>JÄMTLANDS LÄN</t>
        </is>
      </c>
      <c r="G226" t="inlineStr">
        <is>
          <t>RAGUNDA</t>
        </is>
      </c>
      <c r="H226" t="inlineStr">
        <is>
          <t>SCA</t>
        </is>
      </c>
      <c r="I226" t="n">
        <v>5.5</v>
      </c>
      <c r="J226" t="n">
        <v>0</v>
      </c>
      <c r="K226" t="n">
        <v>0</v>
      </c>
      <c r="L226" t="n">
        <v>2</v>
      </c>
      <c r="M226" t="n">
        <v>0</v>
      </c>
      <c r="N226" t="n">
        <v>0</v>
      </c>
      <c r="O226" t="n">
        <v>0</v>
      </c>
      <c r="P226" t="n">
        <v>0</v>
      </c>
      <c r="Q226" t="n">
        <v>2</v>
      </c>
      <c r="R226" t="n">
        <v>0</v>
      </c>
      <c r="S226" t="n">
        <v>2</v>
      </c>
      <c r="T226" t="n">
        <v>2</v>
      </c>
      <c r="U226" t="n">
        <v>0</v>
      </c>
      <c r="V226" s="2" t="inlineStr">
        <is>
          <t>Lunglav
Skrovellav</t>
        </is>
      </c>
      <c r="W226">
        <f>HYPERLINK("https://klasma.github.io/Logging_2303/artfynd/A 56285-2023 artfynd.xlsx", "A 56285-2023")</f>
        <v/>
      </c>
      <c r="X226">
        <f>HYPERLINK("https://klasma.github.io/Logging_2303/kartor/A 56285-2023 karta.png", "A 56285-2023")</f>
        <v/>
      </c>
      <c r="Y226">
        <f>HYPERLINK("https://klasma.github.io/Logging_2303/kartor_geotiff/A 56285-2023 georefererad karta.tif", "A 56285-2023")</f>
        <v/>
      </c>
      <c r="AA226">
        <f>HYPERLINK("https://klasma.github.io/Logging_2303/klagomål/A 56285-2023 FSC-klagomål.docx", "A 56285-2023")</f>
        <v/>
      </c>
      <c r="AB226">
        <f>HYPERLINK("https://klasma.github.io/Logging_2303/klagomålsmail/A 56285-2023 FSC-klagomål mail.docx", "A 56285-2023")</f>
        <v/>
      </c>
      <c r="AC226">
        <f>HYPERLINK("https://klasma.github.io/Logging_2303/tillsyn/A 56285-2023 tillsynsbegäran.docx", "A 56285-2023")</f>
        <v/>
      </c>
      <c r="AD226">
        <f>HYPERLINK("https://klasma.github.io/Logging_2303/tillsynsmail/A 56285-2023 tillsynsbegäran mail.docx", "A 56285-2023")</f>
        <v/>
      </c>
    </row>
    <row r="227" ht="15" customHeight="1">
      <c r="A227" t="inlineStr">
        <is>
          <t>A 56286-2023</t>
        </is>
      </c>
      <c r="B227" t="inlineStr">
        <is>
          <t>avverkningsanmälan</t>
        </is>
      </c>
      <c r="C227" t="inlineStr">
        <is>
          <t>Avverkning för att bevara och utveckla /försöksver</t>
        </is>
      </c>
      <c r="D227" s="1" t="n">
        <v>45241</v>
      </c>
      <c r="E227" s="1" t="n">
        <v>46319</v>
      </c>
      <c r="F227" t="inlineStr">
        <is>
          <t>JÄMTLANDS LÄN</t>
        </is>
      </c>
      <c r="G227" t="inlineStr">
        <is>
          <t>RAGUNDA</t>
        </is>
      </c>
      <c r="H227" t="inlineStr">
        <is>
          <t>SCA</t>
        </is>
      </c>
      <c r="I227" t="n">
        <v>4.5</v>
      </c>
      <c r="J227" t="n">
        <v>0</v>
      </c>
      <c r="K227" t="n">
        <v>0</v>
      </c>
      <c r="L227" t="n">
        <v>2</v>
      </c>
      <c r="M227" t="n">
        <v>0</v>
      </c>
      <c r="N227" t="n">
        <v>0</v>
      </c>
      <c r="O227" t="n">
        <v>0</v>
      </c>
      <c r="P227" t="n">
        <v>0</v>
      </c>
      <c r="Q227" t="n">
        <v>2</v>
      </c>
      <c r="R227" t="n">
        <v>0</v>
      </c>
      <c r="S227" t="n">
        <v>2</v>
      </c>
      <c r="T227" t="n">
        <v>3</v>
      </c>
      <c r="U227" t="n">
        <v>0</v>
      </c>
      <c r="V227" s="2" t="inlineStr">
        <is>
          <t>Rynkskinn
Ullticka</t>
        </is>
      </c>
      <c r="W227">
        <f>HYPERLINK("https://klasma.github.io/Logging_2303/artfynd/A 56286-2023 artfynd.xlsx", "A 56286-2023")</f>
        <v/>
      </c>
      <c r="X227">
        <f>HYPERLINK("https://klasma.github.io/Logging_2303/kartor/A 56286-2023 karta.png", "A 56286-2023")</f>
        <v/>
      </c>
      <c r="Y227">
        <f>HYPERLINK("https://klasma.github.io/Logging_2303/kartor_geotiff/A 56286-2023 georefererad karta.tif", "A 56286-2023")</f>
        <v/>
      </c>
      <c r="AA227">
        <f>HYPERLINK("https://klasma.github.io/Logging_2303/klagomål/A 56286-2023 FSC-klagomål.docx", "A 56286-2023")</f>
        <v/>
      </c>
      <c r="AB227">
        <f>HYPERLINK("https://klasma.github.io/Logging_2303/klagomålsmail/A 56286-2023 FSC-klagomål mail.docx", "A 56286-2023")</f>
        <v/>
      </c>
      <c r="AC227">
        <f>HYPERLINK("https://klasma.github.io/Logging_2303/tillsyn/A 56286-2023 tillsynsbegäran.docx", "A 56286-2023")</f>
        <v/>
      </c>
      <c r="AD227">
        <f>HYPERLINK("https://klasma.github.io/Logging_2303/tillsynsmail/A 56286-2023 tillsynsbegäran mail.docx", "A 56286-2023")</f>
        <v/>
      </c>
    </row>
    <row r="228" ht="15" customHeight="1">
      <c r="A228" t="inlineStr">
        <is>
          <t>A 19728-2025</t>
        </is>
      </c>
      <c r="B228" t="inlineStr">
        <is>
          <t>avverkningsanmälan</t>
        </is>
      </c>
      <c r="C228" t="inlineStr">
        <is>
          <t>Föryngringsavverkning</t>
        </is>
      </c>
      <c r="D228" s="1" t="n">
        <v>45771</v>
      </c>
      <c r="E228" s="1" t="n">
        <v>46319</v>
      </c>
      <c r="F228" t="inlineStr">
        <is>
          <t>JÄMTLANDS LÄN</t>
        </is>
      </c>
      <c r="G228" t="inlineStr">
        <is>
          <t>RAGUNDA</t>
        </is>
      </c>
      <c r="H228" t="inlineStr">
        <is>
          <t>SCA</t>
        </is>
      </c>
      <c r="I228" t="n">
        <v>6.2</v>
      </c>
      <c r="J228" t="n">
        <v>1</v>
      </c>
      <c r="K228" t="n">
        <v>0</v>
      </c>
      <c r="L228" t="n">
        <v>2</v>
      </c>
      <c r="M228" t="n">
        <v>0</v>
      </c>
      <c r="N228" t="n">
        <v>0</v>
      </c>
      <c r="O228" t="n">
        <v>0</v>
      </c>
      <c r="P228" t="n">
        <v>0</v>
      </c>
      <c r="Q228" t="n">
        <v>2</v>
      </c>
      <c r="R228" t="n">
        <v>0</v>
      </c>
      <c r="S228" t="n">
        <v>2</v>
      </c>
      <c r="T228" t="n">
        <v>2</v>
      </c>
      <c r="U228" t="n">
        <v>2</v>
      </c>
      <c r="V228" s="2" t="inlineStr">
        <is>
          <t>Stjärntagging
Tretåig hackspett</t>
        </is>
      </c>
      <c r="W228">
        <f>HYPERLINK("https://klasma.github.io/Logging_2303/artfynd/A 19728-2025 artfynd.xlsx", "A 19728-2025")</f>
        <v/>
      </c>
      <c r="X228">
        <f>HYPERLINK("https://klasma.github.io/Logging_2303/kartor/A 19728-2025 karta.png", "A 19728-2025")</f>
        <v/>
      </c>
      <c r="Y228">
        <f>HYPERLINK("https://klasma.github.io/Logging_2303/kartor_geotiff/A 19728-2025 georefererad karta.tif", "A 19728-2025")</f>
        <v/>
      </c>
      <c r="AA228">
        <f>HYPERLINK("https://klasma.github.io/Logging_2303/klagomål/A 19728-2025 FSC-klagomål.docx", "A 19728-2025")</f>
        <v/>
      </c>
      <c r="AB228">
        <f>HYPERLINK("https://klasma.github.io/Logging_2303/klagomålsmail/A 19728-2025 FSC-klagomål mail.docx", "A 19728-2025")</f>
        <v/>
      </c>
      <c r="AC228">
        <f>HYPERLINK("https://klasma.github.io/Logging_2303/tillsyn/A 19728-2025 tillsynsbegäran.docx", "A 19728-2025")</f>
        <v/>
      </c>
      <c r="AD228">
        <f>HYPERLINK("https://klasma.github.io/Logging_2303/tillsynsmail/A 19728-2025 tillsynsbegäran mail.docx", "A 19728-2025")</f>
        <v/>
      </c>
      <c r="AE228">
        <f>HYPERLINK("https://klasma.github.io/Logging_2303/fåglar/A 19728-2025 prioriterade fågelarter.docx", "A 19728-2025")</f>
        <v/>
      </c>
    </row>
    <row r="229" ht="15" customHeight="1">
      <c r="A229" t="inlineStr">
        <is>
          <t>A 20774-2024</t>
        </is>
      </c>
      <c r="B229" t="inlineStr">
        <is>
          <t>avverkningsanmälan</t>
        </is>
      </c>
      <c r="C229" t="inlineStr">
        <is>
          <t>Avverkning för att bevara och utveckla /försöksver</t>
        </is>
      </c>
      <c r="D229" s="1" t="n">
        <v>45436</v>
      </c>
      <c r="E229" s="1" t="n">
        <v>46319</v>
      </c>
      <c r="F229" t="inlineStr">
        <is>
          <t>JÄMTLANDS LÄN</t>
        </is>
      </c>
      <c r="G229" t="inlineStr">
        <is>
          <t>RAGUNDA</t>
        </is>
      </c>
      <c r="H229" t="inlineStr">
        <is>
          <t>SCA</t>
        </is>
      </c>
      <c r="I229" t="n">
        <v>2.3</v>
      </c>
      <c r="J229" t="n">
        <v>0</v>
      </c>
      <c r="K229" t="n">
        <v>0</v>
      </c>
      <c r="L229" t="n">
        <v>2</v>
      </c>
      <c r="M229" t="n">
        <v>0</v>
      </c>
      <c r="N229" t="n">
        <v>0</v>
      </c>
      <c r="O229" t="n">
        <v>0</v>
      </c>
      <c r="P229" t="n">
        <v>0</v>
      </c>
      <c r="Q229" t="n">
        <v>2</v>
      </c>
      <c r="R229" t="n">
        <v>0</v>
      </c>
      <c r="S229" t="n">
        <v>2</v>
      </c>
      <c r="T229" t="n">
        <v>2</v>
      </c>
      <c r="U229" t="n">
        <v>2</v>
      </c>
      <c r="V229" s="2" t="inlineStr">
        <is>
          <t>Fjällig taggsvamp s.str.
Skarp dropptaggsvamp</t>
        </is>
      </c>
      <c r="W229">
        <f>HYPERLINK("https://klasma.github.io/Logging_2303/artfynd/A 20774-2024 artfynd.xlsx", "A 20774-2024")</f>
        <v/>
      </c>
      <c r="X229">
        <f>HYPERLINK("https://klasma.github.io/Logging_2303/kartor/A 20774-2024 karta.png", "A 20774-2024")</f>
        <v/>
      </c>
      <c r="Y229">
        <f>HYPERLINK("https://klasma.github.io/Logging_2303/kartor_geotiff/A 20774-2024 georefererad karta.tif", "A 20774-2024")</f>
        <v/>
      </c>
      <c r="AA229">
        <f>HYPERLINK("https://klasma.github.io/Logging_2303/klagomål/A 20774-2024 FSC-klagomål.docx", "A 20774-2024")</f>
        <v/>
      </c>
      <c r="AB229">
        <f>HYPERLINK("https://klasma.github.io/Logging_2303/klagomålsmail/A 20774-2024 FSC-klagomål mail.docx", "A 20774-2024")</f>
        <v/>
      </c>
      <c r="AC229">
        <f>HYPERLINK("https://klasma.github.io/Logging_2303/tillsyn/A 20774-2024 tillsynsbegäran.docx", "A 20774-2024")</f>
        <v/>
      </c>
      <c r="AD229">
        <f>HYPERLINK("https://klasma.github.io/Logging_2303/tillsynsmail/A 20774-2024 tillsynsbegäran mail.docx", "A 20774-2024")</f>
        <v/>
      </c>
    </row>
    <row r="230" ht="15" customHeight="1">
      <c r="A230" t="inlineStr">
        <is>
          <t>A 34715-2024</t>
        </is>
      </c>
      <c r="B230" t="inlineStr">
        <is>
          <t>avverkningsanmälan</t>
        </is>
      </c>
      <c r="C230" t="inlineStr">
        <is>
          <t>Föryngringsavverkning</t>
        </is>
      </c>
      <c r="D230" s="1" t="n">
        <v>45526</v>
      </c>
      <c r="E230" s="1" t="n">
        <v>46319</v>
      </c>
      <c r="F230" t="inlineStr">
        <is>
          <t>JÄMTLANDS LÄN</t>
        </is>
      </c>
      <c r="G230" t="inlineStr">
        <is>
          <t>RAGUNDA</t>
        </is>
      </c>
      <c r="H230" t="inlineStr">
        <is>
          <t>SCA</t>
        </is>
      </c>
      <c r="I230" t="n">
        <v>3</v>
      </c>
      <c r="J230" t="n">
        <v>0</v>
      </c>
      <c r="K230" t="n">
        <v>1</v>
      </c>
      <c r="L230" t="n">
        <v>0</v>
      </c>
      <c r="M230" t="n">
        <v>1</v>
      </c>
      <c r="N230" t="n">
        <v>0</v>
      </c>
      <c r="O230" t="n">
        <v>0</v>
      </c>
      <c r="P230" t="n">
        <v>0</v>
      </c>
      <c r="Q230" t="n">
        <v>1</v>
      </c>
      <c r="R230" t="n">
        <v>1</v>
      </c>
      <c r="S230" t="n">
        <v>2</v>
      </c>
      <c r="T230" t="n">
        <v>2</v>
      </c>
      <c r="U230" t="n">
        <v>0</v>
      </c>
      <c r="V230" s="2" t="inlineStr">
        <is>
          <t>Garnlav
Vedticka</t>
        </is>
      </c>
      <c r="W230">
        <f>HYPERLINK("https://klasma.github.io/Logging_2303/artfynd/A 34715-2024 artfynd.xlsx", "A 34715-2024")</f>
        <v/>
      </c>
      <c r="X230">
        <f>HYPERLINK("https://klasma.github.io/Logging_2303/kartor/A 34715-2024 karta.png", "A 34715-2024")</f>
        <v/>
      </c>
      <c r="Y230">
        <f>HYPERLINK("https://klasma.github.io/Logging_2303/kartor_geotiff/A 34715-2024 georefererad karta.tif", "A 34715-2024")</f>
        <v/>
      </c>
      <c r="AA230">
        <f>HYPERLINK("https://klasma.github.io/Logging_2303/klagomål/A 34715-2024 FSC-klagomål.docx", "A 34715-2024")</f>
        <v/>
      </c>
      <c r="AB230">
        <f>HYPERLINK("https://klasma.github.io/Logging_2303/klagomålsmail/A 34715-2024 FSC-klagomål mail.docx", "A 34715-2024")</f>
        <v/>
      </c>
      <c r="AC230">
        <f>HYPERLINK("https://klasma.github.io/Logging_2303/tillsyn/A 34715-2024 tillsynsbegäran.docx", "A 34715-2024")</f>
        <v/>
      </c>
      <c r="AD230">
        <f>HYPERLINK("https://klasma.github.io/Logging_2303/tillsynsmail/A 34715-2024 tillsynsbegäran mail.docx", "A 34715-2024")</f>
        <v/>
      </c>
    </row>
    <row r="231" ht="15" customHeight="1">
      <c r="A231" t="inlineStr">
        <is>
          <t>A 13767-2022</t>
        </is>
      </c>
      <c r="B231" t="inlineStr">
        <is>
          <t>avverkningsanmälan</t>
        </is>
      </c>
      <c r="C231" t="inlineStr">
        <is>
          <t>Föryngringsavverkning</t>
        </is>
      </c>
      <c r="D231" s="1" t="n">
        <v>44649</v>
      </c>
      <c r="E231" s="1" t="n">
        <v>46319</v>
      </c>
      <c r="F231" t="inlineStr">
        <is>
          <t>JÄMTLANDS LÄN</t>
        </is>
      </c>
      <c r="G231" t="inlineStr">
        <is>
          <t>RAGUNDA</t>
        </is>
      </c>
      <c r="H231" t="inlineStr">
        <is>
          <t>Kommuner</t>
        </is>
      </c>
      <c r="I231" t="n">
        <v>3.1</v>
      </c>
      <c r="J231" t="n">
        <v>1</v>
      </c>
      <c r="K231" t="n">
        <v>0</v>
      </c>
      <c r="L231" t="n">
        <v>1</v>
      </c>
      <c r="M231" t="n">
        <v>0</v>
      </c>
      <c r="N231" t="n">
        <v>0</v>
      </c>
      <c r="O231" t="n">
        <v>0</v>
      </c>
      <c r="P231" t="n">
        <v>0</v>
      </c>
      <c r="Q231" t="n">
        <v>1</v>
      </c>
      <c r="R231" t="n">
        <v>0</v>
      </c>
      <c r="S231" t="n">
        <v>2</v>
      </c>
      <c r="T231" t="n">
        <v>2</v>
      </c>
      <c r="U231" t="n">
        <v>2</v>
      </c>
      <c r="V231" s="2" t="inlineStr">
        <is>
          <t>Reliktbock
Fläcknycklar</t>
        </is>
      </c>
      <c r="W231">
        <f>HYPERLINK("https://klasma.github.io/Logging_2303/artfynd/A 13767-2022 artfynd.xlsx", "A 13767-2022")</f>
        <v/>
      </c>
      <c r="X231">
        <f>HYPERLINK("https://klasma.github.io/Logging_2303/kartor/A 13767-2022 karta.png", "A 13767-2022")</f>
        <v/>
      </c>
      <c r="Y231">
        <f>HYPERLINK("https://klasma.github.io/Logging_2303/kartor_geotiff/A 13767-2022 georefererad karta.tif", "A 13767-2022")</f>
        <v/>
      </c>
      <c r="AA231">
        <f>HYPERLINK("https://klasma.github.io/Logging_2303/klagomål/A 13767-2022 FSC-klagomål.docx", "A 13767-2022")</f>
        <v/>
      </c>
      <c r="AB231">
        <f>HYPERLINK("https://klasma.github.io/Logging_2303/klagomålsmail/A 13767-2022 FSC-klagomål mail.docx", "A 13767-2022")</f>
        <v/>
      </c>
      <c r="AC231">
        <f>HYPERLINK("https://klasma.github.io/Logging_2303/tillsyn/A 13767-2022 tillsynsbegäran.docx", "A 13767-2022")</f>
        <v/>
      </c>
      <c r="AD231">
        <f>HYPERLINK("https://klasma.github.io/Logging_2303/tillsynsmail/A 13767-2022 tillsynsbegäran mail.docx", "A 13767-2022")</f>
        <v/>
      </c>
    </row>
    <row r="232" ht="15" customHeight="1">
      <c r="A232" t="inlineStr">
        <is>
          <t>A 26324-2024</t>
        </is>
      </c>
      <c r="B232" t="inlineStr">
        <is>
          <t>avverkningsanmälan</t>
        </is>
      </c>
      <c r="C232" t="inlineStr">
        <is>
          <t>Föryngringsavverkning</t>
        </is>
      </c>
      <c r="D232" s="1" t="n">
        <v>45468</v>
      </c>
      <c r="E232" s="1" t="n">
        <v>46319</v>
      </c>
      <c r="F232" t="inlineStr">
        <is>
          <t>JÄMTLANDS LÄN</t>
        </is>
      </c>
      <c r="G232" t="inlineStr">
        <is>
          <t>RAGUNDA</t>
        </is>
      </c>
      <c r="H232" t="inlineStr">
        <is>
          <t>SCA</t>
        </is>
      </c>
      <c r="I232" t="n">
        <v>2</v>
      </c>
      <c r="J232" t="n">
        <v>1</v>
      </c>
      <c r="K232" t="n">
        <v>0</v>
      </c>
      <c r="L232" t="n">
        <v>1</v>
      </c>
      <c r="M232" t="n">
        <v>1</v>
      </c>
      <c r="N232" t="n">
        <v>0</v>
      </c>
      <c r="O232" t="n">
        <v>0</v>
      </c>
      <c r="P232" t="n">
        <v>0</v>
      </c>
      <c r="Q232" t="n">
        <v>2</v>
      </c>
      <c r="R232" t="n">
        <v>1</v>
      </c>
      <c r="S232" t="n">
        <v>2</v>
      </c>
      <c r="T232" t="n">
        <v>4</v>
      </c>
      <c r="U232" t="n">
        <v>0</v>
      </c>
      <c r="V232" s="2" t="inlineStr">
        <is>
          <t>Knärot
Vedtrappmossa</t>
        </is>
      </c>
      <c r="W232">
        <f>HYPERLINK("https://klasma.github.io/Logging_2303/artfynd/A 26324-2024 artfynd.xlsx", "A 26324-2024")</f>
        <v/>
      </c>
      <c r="X232">
        <f>HYPERLINK("https://klasma.github.io/Logging_2303/kartor/A 26324-2024 karta.png", "A 26324-2024")</f>
        <v/>
      </c>
      <c r="Y232">
        <f>HYPERLINK("https://klasma.github.io/Logging_2303/kartor_geotiff/A 26324-2024 georefererad karta.tif", "A 26324-2024")</f>
        <v/>
      </c>
      <c r="Z232">
        <f>HYPERLINK("https://klasma.github.io/Logging_2303/knärot/A 26324-2024 karta knärot.png", "A 26324-2024")</f>
        <v/>
      </c>
      <c r="AA232">
        <f>HYPERLINK("https://klasma.github.io/Logging_2303/klagomål/A 26324-2024 FSC-klagomål.docx", "A 26324-2024")</f>
        <v/>
      </c>
      <c r="AB232">
        <f>HYPERLINK("https://klasma.github.io/Logging_2303/klagomålsmail/A 26324-2024 FSC-klagomål mail.docx", "A 26324-2024")</f>
        <v/>
      </c>
      <c r="AC232">
        <f>HYPERLINK("https://klasma.github.io/Logging_2303/tillsyn/A 26324-2024 tillsynsbegäran.docx", "A 26324-2024")</f>
        <v/>
      </c>
      <c r="AD232">
        <f>HYPERLINK("https://klasma.github.io/Logging_2303/tillsynsmail/A 26324-2024 tillsynsbegäran mail.docx", "A 26324-2024")</f>
        <v/>
      </c>
    </row>
    <row r="233" ht="15" customHeight="1">
      <c r="A233" t="inlineStr">
        <is>
          <t>S 207-2025</t>
        </is>
      </c>
      <c r="B233" t="inlineStr">
        <is>
          <t>samrådsanmälan</t>
        </is>
      </c>
      <c r="C233" t="inlineStr">
        <is>
          <t>Skogsgödsling</t>
        </is>
      </c>
      <c r="D233" s="1" t="n">
        <v>45679</v>
      </c>
      <c r="E233" s="1" t="n">
        <v>46319</v>
      </c>
      <c r="F233" t="inlineStr">
        <is>
          <t>JÄMTLANDS LÄN</t>
        </is>
      </c>
      <c r="G233" t="inlineStr">
        <is>
          <t>RAGUNDA</t>
        </is>
      </c>
      <c r="I233" t="n">
        <v>14.9</v>
      </c>
      <c r="J233" t="n">
        <v>1</v>
      </c>
      <c r="K233" t="n">
        <v>0</v>
      </c>
      <c r="L233" t="n">
        <v>1</v>
      </c>
      <c r="M233" t="n">
        <v>0</v>
      </c>
      <c r="N233" t="n">
        <v>0</v>
      </c>
      <c r="O233" t="n">
        <v>0</v>
      </c>
      <c r="P233" t="n">
        <v>0</v>
      </c>
      <c r="Q233" t="n">
        <v>1</v>
      </c>
      <c r="R233" t="n">
        <v>0</v>
      </c>
      <c r="S233" t="n">
        <v>2</v>
      </c>
      <c r="T233" t="n">
        <v>3</v>
      </c>
      <c r="U233" t="n">
        <v>0</v>
      </c>
      <c r="V233" s="2" t="inlineStr">
        <is>
          <t>Lunglav
Fläcknycklar</t>
        </is>
      </c>
      <c r="W233">
        <f>HYPERLINK("https://klasma.github.io/Logging_2303/artfynd/S 207-2025 artfynd.xlsx", "S 207-2025")</f>
        <v/>
      </c>
      <c r="X233">
        <f>HYPERLINK("https://klasma.github.io/Logging_2303/kartor/S 207-2025 karta.png", "S 207-2025")</f>
        <v/>
      </c>
      <c r="Y233">
        <f>HYPERLINK("https://klasma.github.io/Logging_2303/kartor_geotiff/S 207-2025 georefererad karta.tif", "S 207-2025")</f>
        <v/>
      </c>
      <c r="AA233">
        <f>HYPERLINK("https://klasma.github.io/Logging_2303/klagomål/S 207-2025 FSC-klagomål.docx", "S 207-2025")</f>
        <v/>
      </c>
      <c r="AB233">
        <f>HYPERLINK("https://klasma.github.io/Logging_2303/klagomålsmail/S 207-2025 FSC-klagomål mail.docx", "S 207-2025")</f>
        <v/>
      </c>
      <c r="AC233">
        <f>HYPERLINK("https://klasma.github.io/Logging_2303/tillsyn/S 207-2025 tillsynsbegäran.docx", "S 207-2025")</f>
        <v/>
      </c>
      <c r="AD233">
        <f>HYPERLINK("https://klasma.github.io/Logging_2303/tillsynsmail/S 207-2025 tillsynsbegäran mail.docx", "S 207-2025")</f>
        <v/>
      </c>
    </row>
    <row r="234" ht="15" customHeight="1">
      <c r="A234" t="inlineStr">
        <is>
          <t>S 1830-2026</t>
        </is>
      </c>
      <c r="B234" t="inlineStr">
        <is>
          <t>samrådsanmälan</t>
        </is>
      </c>
      <c r="C234" t="inlineStr">
        <is>
          <t>Annan skogsbruksåtgärd</t>
        </is>
      </c>
      <c r="D234" s="1" t="n">
        <v>46191</v>
      </c>
      <c r="E234" s="1" t="n">
        <v>46319</v>
      </c>
      <c r="F234" t="inlineStr">
        <is>
          <t>JÄMTLANDS LÄN</t>
        </is>
      </c>
      <c r="G234" t="inlineStr">
        <is>
          <t>RAGUNDA</t>
        </is>
      </c>
      <c r="H234" t="inlineStr">
        <is>
          <t>SCA</t>
        </is>
      </c>
      <c r="I234" t="n">
        <v>3</v>
      </c>
      <c r="J234" t="n">
        <v>0</v>
      </c>
      <c r="K234" t="n">
        <v>1</v>
      </c>
      <c r="L234" t="n">
        <v>1</v>
      </c>
      <c r="M234" t="n">
        <v>0</v>
      </c>
      <c r="N234" t="n">
        <v>0</v>
      </c>
      <c r="O234" t="n">
        <v>0</v>
      </c>
      <c r="P234" t="n">
        <v>0</v>
      </c>
      <c r="Q234" t="n">
        <v>1</v>
      </c>
      <c r="R234" t="n">
        <v>0</v>
      </c>
      <c r="S234" t="n">
        <v>2</v>
      </c>
      <c r="T234" t="n">
        <v>2</v>
      </c>
      <c r="U234" t="n">
        <v>0</v>
      </c>
      <c r="V234" s="2" t="inlineStr">
        <is>
          <t>Rosenticka
Bollvitmossa</t>
        </is>
      </c>
      <c r="W234">
        <f>HYPERLINK("https://klasma.github.io/Logging_2303/artfynd/S 1830-2026 artfynd.xlsx", "S 1830-2026")</f>
        <v/>
      </c>
      <c r="X234">
        <f>HYPERLINK("https://klasma.github.io/Logging_2303/kartor/S 1830-2026 karta.png", "S 1830-2026")</f>
        <v/>
      </c>
      <c r="Y234">
        <f>HYPERLINK("https://klasma.github.io/Logging_2303/kartor_geotiff/S 1830-2026 georefererad karta.tif", "S 1830-2026")</f>
        <v/>
      </c>
      <c r="AA234">
        <f>HYPERLINK("https://klasma.github.io/Logging_2303/klagomål/S 1830-2026 FSC-klagomål.docx", "S 1830-2026")</f>
        <v/>
      </c>
      <c r="AB234">
        <f>HYPERLINK("https://klasma.github.io/Logging_2303/klagomålsmail/S 1830-2026 FSC-klagomål mail.docx", "S 1830-2026")</f>
        <v/>
      </c>
      <c r="AC234">
        <f>HYPERLINK("https://klasma.github.io/Logging_2303/tillsyn/S 1830-2026 tillsynsbegäran.docx", "S 1830-2026")</f>
        <v/>
      </c>
      <c r="AD234">
        <f>HYPERLINK("https://klasma.github.io/Logging_2303/tillsynsmail/S 1830-2026 tillsynsbegäran mail.docx", "S 1830-2026")</f>
        <v/>
      </c>
    </row>
    <row r="235" ht="15" customHeight="1">
      <c r="A235" t="inlineStr">
        <is>
          <t>A 21275-2022</t>
        </is>
      </c>
      <c r="B235" t="inlineStr">
        <is>
          <t>avverkningsanmälan</t>
        </is>
      </c>
      <c r="C235" t="inlineStr">
        <is>
          <t>Föryngringsavverkning</t>
        </is>
      </c>
      <c r="D235" s="1" t="n">
        <v>44705</v>
      </c>
      <c r="E235" s="1" t="n">
        <v>46319</v>
      </c>
      <c r="F235" t="inlineStr">
        <is>
          <t>JÄMTLANDS LÄN</t>
        </is>
      </c>
      <c r="G235" t="inlineStr">
        <is>
          <t>RAGUNDA</t>
        </is>
      </c>
      <c r="I235" t="n">
        <v>2.2</v>
      </c>
      <c r="J235" t="n">
        <v>0</v>
      </c>
      <c r="K235" t="n">
        <v>1</v>
      </c>
      <c r="L235" t="n">
        <v>0</v>
      </c>
      <c r="M235" t="n">
        <v>0</v>
      </c>
      <c r="N235" t="n">
        <v>0</v>
      </c>
      <c r="O235" t="n">
        <v>0</v>
      </c>
      <c r="P235" t="n">
        <v>0</v>
      </c>
      <c r="Q235" t="n">
        <v>0</v>
      </c>
      <c r="R235" t="n">
        <v>0</v>
      </c>
      <c r="S235" t="n">
        <v>1</v>
      </c>
      <c r="T235" t="n">
        <v>1</v>
      </c>
      <c r="U235" t="n">
        <v>0</v>
      </c>
      <c r="V235" s="2" t="inlineStr">
        <is>
          <t>Kransrams</t>
        </is>
      </c>
      <c r="W235">
        <f>HYPERLINK("https://klasma.github.io/Logging_2303/artfynd/A 21275-2022 artfynd.xlsx", "A 21275-2022")</f>
        <v/>
      </c>
      <c r="X235">
        <f>HYPERLINK("https://klasma.github.io/Logging_2303/kartor/A 21275-2022 karta.png", "A 21275-2022")</f>
        <v/>
      </c>
      <c r="Y235">
        <f>HYPERLINK("https://klasma.github.io/Logging_2303/kartor_geotiff/A 21275-2022 georefererad karta.tif", "A 21275-2022")</f>
        <v/>
      </c>
      <c r="AA235">
        <f>HYPERLINK("https://klasma.github.io/Logging_2303/klagomål/A 21275-2022 FSC-klagomål.docx", "A 21275-2022")</f>
        <v/>
      </c>
      <c r="AB235">
        <f>HYPERLINK("https://klasma.github.io/Logging_2303/klagomålsmail/A 21275-2022 FSC-klagomål mail.docx", "A 21275-2022")</f>
        <v/>
      </c>
      <c r="AC235">
        <f>HYPERLINK("https://klasma.github.io/Logging_2303/tillsyn/A 21275-2022 tillsynsbegäran.docx", "A 21275-2022")</f>
        <v/>
      </c>
      <c r="AD235">
        <f>HYPERLINK("https://klasma.github.io/Logging_2303/tillsynsmail/A 21275-2022 tillsynsbegäran mail.docx", "A 21275-2022")</f>
        <v/>
      </c>
    </row>
    <row r="236" ht="15" customHeight="1">
      <c r="A236" t="inlineStr">
        <is>
          <t>A 27273-2022</t>
        </is>
      </c>
      <c r="B236" t="inlineStr">
        <is>
          <t>avverkningsanmälan</t>
        </is>
      </c>
      <c r="C236" t="inlineStr">
        <is>
          <t>Avverkning för annat ändamål</t>
        </is>
      </c>
      <c r="D236" s="1" t="n">
        <v>44741</v>
      </c>
      <c r="E236" s="1" t="n">
        <v>46319</v>
      </c>
      <c r="F236" t="inlineStr">
        <is>
          <t>JÄMTLANDS LÄN</t>
        </is>
      </c>
      <c r="G236" t="inlineStr">
        <is>
          <t>RAGUNDA</t>
        </is>
      </c>
      <c r="I236" t="n">
        <v>1.2</v>
      </c>
      <c r="J236" t="n">
        <v>0</v>
      </c>
      <c r="K236" t="n">
        <v>1</v>
      </c>
      <c r="L236" t="n">
        <v>0</v>
      </c>
      <c r="M236" t="n">
        <v>0</v>
      </c>
      <c r="N236" t="n">
        <v>0</v>
      </c>
      <c r="O236" t="n">
        <v>0</v>
      </c>
      <c r="P236" t="n">
        <v>0</v>
      </c>
      <c r="Q236" t="n">
        <v>0</v>
      </c>
      <c r="R236" t="n">
        <v>0</v>
      </c>
      <c r="S236" t="n">
        <v>1</v>
      </c>
      <c r="T236" t="n">
        <v>1</v>
      </c>
      <c r="U236" t="n">
        <v>1</v>
      </c>
      <c r="V236" s="2" t="inlineStr">
        <is>
          <t>Svart trolldruva</t>
        </is>
      </c>
      <c r="W236">
        <f>HYPERLINK("https://klasma.github.io/Logging_2303/artfynd/A 27273-2022 artfynd.xlsx", "A 27273-2022")</f>
        <v/>
      </c>
      <c r="X236">
        <f>HYPERLINK("https://klasma.github.io/Logging_2303/kartor/A 27273-2022 karta.png", "A 27273-2022")</f>
        <v/>
      </c>
      <c r="Y236">
        <f>HYPERLINK("https://klasma.github.io/Logging_2303/kartor_geotiff/A 27273-2022 georefererad karta.tif", "A 27273-2022")</f>
        <v/>
      </c>
      <c r="AA236">
        <f>HYPERLINK("https://klasma.github.io/Logging_2303/klagomål/A 27273-2022 FSC-klagomål.docx", "A 27273-2022")</f>
        <v/>
      </c>
      <c r="AB236">
        <f>HYPERLINK("https://klasma.github.io/Logging_2303/klagomålsmail/A 27273-2022 FSC-klagomål mail.docx", "A 27273-2022")</f>
        <v/>
      </c>
      <c r="AC236">
        <f>HYPERLINK("https://klasma.github.io/Logging_2303/tillsyn/A 27273-2022 tillsynsbegäran.docx", "A 27273-2022")</f>
        <v/>
      </c>
      <c r="AD236">
        <f>HYPERLINK("https://klasma.github.io/Logging_2303/tillsynsmail/A 27273-2022 tillsynsbegäran mail.docx", "A 27273-2022")</f>
        <v/>
      </c>
    </row>
    <row r="237" ht="15" customHeight="1">
      <c r="A237" t="inlineStr">
        <is>
          <t>A 31477-2022</t>
        </is>
      </c>
      <c r="B237" t="inlineStr">
        <is>
          <t>avverkningsanmälan</t>
        </is>
      </c>
      <c r="C237" t="inlineStr">
        <is>
          <t>Föryngringsavverkning</t>
        </is>
      </c>
      <c r="D237" s="1" t="n">
        <v>44774</v>
      </c>
      <c r="E237" s="1" t="n">
        <v>46319</v>
      </c>
      <c r="F237" t="inlineStr">
        <is>
          <t>JÄMTLANDS LÄN</t>
        </is>
      </c>
      <c r="G237" t="inlineStr">
        <is>
          <t>RAGUNDA</t>
        </is>
      </c>
      <c r="H237" t="inlineStr">
        <is>
          <t>SCA</t>
        </is>
      </c>
      <c r="I237" t="n">
        <v>1.8</v>
      </c>
      <c r="J237" t="n">
        <v>0</v>
      </c>
      <c r="K237" t="n">
        <v>0</v>
      </c>
      <c r="L237" t="n">
        <v>0</v>
      </c>
      <c r="M237" t="n">
        <v>1</v>
      </c>
      <c r="N237" t="n">
        <v>0</v>
      </c>
      <c r="O237" t="n">
        <v>0</v>
      </c>
      <c r="P237" t="n">
        <v>0</v>
      </c>
      <c r="Q237" t="n">
        <v>1</v>
      </c>
      <c r="R237" t="n">
        <v>1</v>
      </c>
      <c r="S237" t="n">
        <v>1</v>
      </c>
      <c r="T237" t="n">
        <v>1</v>
      </c>
      <c r="U237" t="n">
        <v>1</v>
      </c>
      <c r="V237" s="2" t="inlineStr">
        <is>
          <t>Garnlav</t>
        </is>
      </c>
      <c r="W237">
        <f>HYPERLINK("https://klasma.github.io/Logging_2303/artfynd/A 31477-2022 artfynd.xlsx", "A 31477-2022")</f>
        <v/>
      </c>
      <c r="X237">
        <f>HYPERLINK("https://klasma.github.io/Logging_2303/kartor/A 31477-2022 karta.png", "A 31477-2022")</f>
        <v/>
      </c>
      <c r="Y237">
        <f>HYPERLINK("https://klasma.github.io/Logging_2303/kartor_geotiff/A 31477-2022 georefererad karta.tif", "A 31477-2022")</f>
        <v/>
      </c>
      <c r="AA237">
        <f>HYPERLINK("https://klasma.github.io/Logging_2303/klagomål/A 31477-2022 FSC-klagomål.docx", "A 31477-2022")</f>
        <v/>
      </c>
      <c r="AB237">
        <f>HYPERLINK("https://klasma.github.io/Logging_2303/klagomålsmail/A 31477-2022 FSC-klagomål mail.docx", "A 31477-2022")</f>
        <v/>
      </c>
      <c r="AC237">
        <f>HYPERLINK("https://klasma.github.io/Logging_2303/tillsyn/A 31477-2022 tillsynsbegäran.docx", "A 31477-2022")</f>
        <v/>
      </c>
      <c r="AD237">
        <f>HYPERLINK("https://klasma.github.io/Logging_2303/tillsynsmail/A 31477-2022 tillsynsbegäran mail.docx", "A 31477-2022")</f>
        <v/>
      </c>
    </row>
    <row r="238" ht="15" customHeight="1">
      <c r="A238" t="inlineStr">
        <is>
          <t>A 18341-2022</t>
        </is>
      </c>
      <c r="B238" t="inlineStr">
        <is>
          <t>avverkningsanmälan</t>
        </is>
      </c>
      <c r="C238" t="inlineStr">
        <is>
          <t>Avverkning för annat ändamål</t>
        </is>
      </c>
      <c r="D238" s="1" t="n">
        <v>44685</v>
      </c>
      <c r="E238" s="1" t="n">
        <v>46319</v>
      </c>
      <c r="F238" t="inlineStr">
        <is>
          <t>JÄMTLANDS LÄN</t>
        </is>
      </c>
      <c r="G238" t="inlineStr">
        <is>
          <t>RAGUNDA</t>
        </is>
      </c>
      <c r="I238" t="n">
        <v>0.2</v>
      </c>
      <c r="J238" t="n">
        <v>1</v>
      </c>
      <c r="K238" t="n">
        <v>0</v>
      </c>
      <c r="L238" t="n">
        <v>0</v>
      </c>
      <c r="M238" t="n">
        <v>1</v>
      </c>
      <c r="N238" t="n">
        <v>0</v>
      </c>
      <c r="O238" t="n">
        <v>0</v>
      </c>
      <c r="P238" t="n">
        <v>0</v>
      </c>
      <c r="Q238" t="n">
        <v>1</v>
      </c>
      <c r="R238" t="n">
        <v>1</v>
      </c>
      <c r="S238" t="n">
        <v>1</v>
      </c>
      <c r="T238" t="n">
        <v>2</v>
      </c>
      <c r="U238" t="n">
        <v>0</v>
      </c>
      <c r="V238" s="2" t="inlineStr">
        <is>
          <t>Smällvedel</t>
        </is>
      </c>
      <c r="W238">
        <f>HYPERLINK("https://klasma.github.io/Logging_2303/artfynd/A 18341-2022 artfynd.xlsx", "A 18341-2022")</f>
        <v/>
      </c>
      <c r="X238">
        <f>HYPERLINK("https://klasma.github.io/Logging_2303/kartor/A 18341-2022 karta.png", "A 18341-2022")</f>
        <v/>
      </c>
      <c r="Y238">
        <f>HYPERLINK("https://klasma.github.io/Logging_2303/kartor_geotiff/A 18341-2022 georefererad karta.tif", "A 18341-2022")</f>
        <v/>
      </c>
      <c r="AA238">
        <f>HYPERLINK("https://klasma.github.io/Logging_2303/klagomål/A 18341-2022 FSC-klagomål.docx", "A 18341-2022")</f>
        <v/>
      </c>
      <c r="AB238">
        <f>HYPERLINK("https://klasma.github.io/Logging_2303/klagomålsmail/A 18341-2022 FSC-klagomål mail.docx", "A 18341-2022")</f>
        <v/>
      </c>
      <c r="AC238">
        <f>HYPERLINK("https://klasma.github.io/Logging_2303/tillsyn/A 18341-2022 tillsynsbegäran.docx", "A 18341-2022")</f>
        <v/>
      </c>
      <c r="AD238">
        <f>HYPERLINK("https://klasma.github.io/Logging_2303/tillsynsmail/A 18341-2022 tillsynsbegäran mail.docx", "A 18341-2022")</f>
        <v/>
      </c>
    </row>
    <row r="239" ht="15" customHeight="1">
      <c r="A239" t="inlineStr">
        <is>
          <t>A 27286-2022</t>
        </is>
      </c>
      <c r="B239" t="inlineStr">
        <is>
          <t>avverkningsanmälan</t>
        </is>
      </c>
      <c r="C239" t="inlineStr">
        <is>
          <t>Avverkning för att bevara och utveckla /försöksver</t>
        </is>
      </c>
      <c r="D239" s="1" t="n">
        <v>44741</v>
      </c>
      <c r="E239" s="1" t="n">
        <v>46319</v>
      </c>
      <c r="F239" t="inlineStr">
        <is>
          <t>JÄMTLANDS LÄN</t>
        </is>
      </c>
      <c r="G239" t="inlineStr">
        <is>
          <t>RAGUNDA</t>
        </is>
      </c>
      <c r="H239" t="inlineStr">
        <is>
          <t>SCA</t>
        </is>
      </c>
      <c r="I239" t="n">
        <v>3.1</v>
      </c>
      <c r="J239" t="n">
        <v>0</v>
      </c>
      <c r="K239" t="n">
        <v>0</v>
      </c>
      <c r="L239" t="n">
        <v>1</v>
      </c>
      <c r="M239" t="n">
        <v>0</v>
      </c>
      <c r="N239" t="n">
        <v>0</v>
      </c>
      <c r="O239" t="n">
        <v>0</v>
      </c>
      <c r="P239" t="n">
        <v>0</v>
      </c>
      <c r="Q239" t="n">
        <v>1</v>
      </c>
      <c r="R239" t="n">
        <v>0</v>
      </c>
      <c r="S239" t="n">
        <v>1</v>
      </c>
      <c r="T239" t="n">
        <v>1</v>
      </c>
      <c r="U239" t="n">
        <v>0</v>
      </c>
      <c r="V239" s="2" t="inlineStr">
        <is>
          <t>Harticka</t>
        </is>
      </c>
      <c r="W239">
        <f>HYPERLINK("https://klasma.github.io/Logging_2303/artfynd/A 27286-2022 artfynd.xlsx", "A 27286-2022")</f>
        <v/>
      </c>
      <c r="X239">
        <f>HYPERLINK("https://klasma.github.io/Logging_2303/kartor/A 27286-2022 karta.png", "A 27286-2022")</f>
        <v/>
      </c>
      <c r="Y239">
        <f>HYPERLINK("https://klasma.github.io/Logging_2303/kartor_geotiff/A 27286-2022 georefererad karta.tif", "A 27286-2022")</f>
        <v/>
      </c>
      <c r="AA239">
        <f>HYPERLINK("https://klasma.github.io/Logging_2303/klagomål/A 27286-2022 FSC-klagomål.docx", "A 27286-2022")</f>
        <v/>
      </c>
      <c r="AB239">
        <f>HYPERLINK("https://klasma.github.io/Logging_2303/klagomålsmail/A 27286-2022 FSC-klagomål mail.docx", "A 27286-2022")</f>
        <v/>
      </c>
      <c r="AC239">
        <f>HYPERLINK("https://klasma.github.io/Logging_2303/tillsyn/A 27286-2022 tillsynsbegäran.docx", "A 27286-2022")</f>
        <v/>
      </c>
      <c r="AD239">
        <f>HYPERLINK("https://klasma.github.io/Logging_2303/tillsynsmail/A 27286-2022 tillsynsbegäran mail.docx", "A 27286-2022")</f>
        <v/>
      </c>
    </row>
    <row r="240" ht="15" customHeight="1">
      <c r="A240" t="inlineStr">
        <is>
          <t>A 42899-2022</t>
        </is>
      </c>
      <c r="B240" t="inlineStr">
        <is>
          <t>avverkningsanmälan</t>
        </is>
      </c>
      <c r="C240" t="inlineStr">
        <is>
          <t>Föryngringsavverkning</t>
        </is>
      </c>
      <c r="D240" s="1" t="n">
        <v>44832</v>
      </c>
      <c r="E240" s="1" t="n">
        <v>46319</v>
      </c>
      <c r="F240" t="inlineStr">
        <is>
          <t>JÄMTLANDS LÄN</t>
        </is>
      </c>
      <c r="G240" t="inlineStr">
        <is>
          <t>RAGUNDA</t>
        </is>
      </c>
      <c r="H240" t="inlineStr">
        <is>
          <t>SCA</t>
        </is>
      </c>
      <c r="I240" t="n">
        <v>2.3</v>
      </c>
      <c r="J240" t="n">
        <v>0</v>
      </c>
      <c r="K240" t="n">
        <v>0</v>
      </c>
      <c r="L240" t="n">
        <v>1</v>
      </c>
      <c r="M240" t="n">
        <v>0</v>
      </c>
      <c r="N240" t="n">
        <v>0</v>
      </c>
      <c r="O240" t="n">
        <v>0</v>
      </c>
      <c r="P240" t="n">
        <v>0</v>
      </c>
      <c r="Q240" t="n">
        <v>1</v>
      </c>
      <c r="R240" t="n">
        <v>0</v>
      </c>
      <c r="S240" t="n">
        <v>1</v>
      </c>
      <c r="T240" t="n">
        <v>1</v>
      </c>
      <c r="U240" t="n">
        <v>0</v>
      </c>
      <c r="V240" s="2" t="inlineStr">
        <is>
          <t>Ullticka</t>
        </is>
      </c>
      <c r="W240">
        <f>HYPERLINK("https://klasma.github.io/Logging_2303/artfynd/A 42899-2022 artfynd.xlsx", "A 42899-2022")</f>
        <v/>
      </c>
      <c r="X240">
        <f>HYPERLINK("https://klasma.github.io/Logging_2303/kartor/A 42899-2022 karta.png", "A 42899-2022")</f>
        <v/>
      </c>
      <c r="Y240">
        <f>HYPERLINK("https://klasma.github.io/Logging_2303/kartor_geotiff/A 42899-2022 georefererad karta.tif", "A 42899-2022")</f>
        <v/>
      </c>
      <c r="AA240">
        <f>HYPERLINK("https://klasma.github.io/Logging_2303/klagomål/A 42899-2022 FSC-klagomål.docx", "A 42899-2022")</f>
        <v/>
      </c>
      <c r="AB240">
        <f>HYPERLINK("https://klasma.github.io/Logging_2303/klagomålsmail/A 42899-2022 FSC-klagomål mail.docx", "A 42899-2022")</f>
        <v/>
      </c>
      <c r="AC240">
        <f>HYPERLINK("https://klasma.github.io/Logging_2303/tillsyn/A 42899-2022 tillsynsbegäran.docx", "A 42899-2022")</f>
        <v/>
      </c>
      <c r="AD240">
        <f>HYPERLINK("https://klasma.github.io/Logging_2303/tillsynsmail/A 42899-2022 tillsynsbegäran mail.docx", "A 42899-2022")</f>
        <v/>
      </c>
    </row>
    <row r="241" ht="15" customHeight="1">
      <c r="A241" t="inlineStr">
        <is>
          <t>A 60313-2021</t>
        </is>
      </c>
      <c r="B241" t="inlineStr">
        <is>
          <t>avverkningsanmälan</t>
        </is>
      </c>
      <c r="C241" t="inlineStr">
        <is>
          <t>Föryngringsavverkning</t>
        </is>
      </c>
      <c r="D241" s="1" t="n">
        <v>44495</v>
      </c>
      <c r="E241" s="1" t="n">
        <v>46319</v>
      </c>
      <c r="F241" t="inlineStr">
        <is>
          <t>JÄMTLANDS LÄN</t>
        </is>
      </c>
      <c r="G241" t="inlineStr">
        <is>
          <t>RAGUNDA</t>
        </is>
      </c>
      <c r="H241" t="inlineStr">
        <is>
          <t>SCA</t>
        </is>
      </c>
      <c r="I241" t="n">
        <v>1.5</v>
      </c>
      <c r="J241" t="n">
        <v>0</v>
      </c>
      <c r="K241" t="n">
        <v>0</v>
      </c>
      <c r="L241" t="n">
        <v>0</v>
      </c>
      <c r="M241" t="n">
        <v>1</v>
      </c>
      <c r="N241" t="n">
        <v>0</v>
      </c>
      <c r="O241" t="n">
        <v>0</v>
      </c>
      <c r="P241" t="n">
        <v>0</v>
      </c>
      <c r="Q241" t="n">
        <v>1</v>
      </c>
      <c r="R241" t="n">
        <v>1</v>
      </c>
      <c r="S241" t="n">
        <v>1</v>
      </c>
      <c r="T241" t="n">
        <v>1</v>
      </c>
      <c r="U241" t="n">
        <v>1</v>
      </c>
      <c r="V241" s="2" t="inlineStr">
        <is>
          <t>Garnlav</t>
        </is>
      </c>
      <c r="W241">
        <f>HYPERLINK("https://klasma.github.io/Logging_2303/artfynd/A 60313-2021 artfynd.xlsx", "A 60313-2021")</f>
        <v/>
      </c>
      <c r="X241">
        <f>HYPERLINK("https://klasma.github.io/Logging_2303/kartor/A 60313-2021 karta.png", "A 60313-2021")</f>
        <v/>
      </c>
      <c r="Y241">
        <f>HYPERLINK("https://klasma.github.io/Logging_2303/kartor_geotiff/A 60313-2021 georefererad karta.tif", "A 60313-2021")</f>
        <v/>
      </c>
      <c r="AA241">
        <f>HYPERLINK("https://klasma.github.io/Logging_2303/klagomål/A 60313-2021 FSC-klagomål.docx", "A 60313-2021")</f>
        <v/>
      </c>
      <c r="AB241">
        <f>HYPERLINK("https://klasma.github.io/Logging_2303/klagomålsmail/A 60313-2021 FSC-klagomål mail.docx", "A 60313-2021")</f>
        <v/>
      </c>
      <c r="AC241">
        <f>HYPERLINK("https://klasma.github.io/Logging_2303/tillsyn/A 60313-2021 tillsynsbegäran.docx", "A 60313-2021")</f>
        <v/>
      </c>
      <c r="AD241">
        <f>HYPERLINK("https://klasma.github.io/Logging_2303/tillsynsmail/A 60313-2021 tillsynsbegäran mail.docx", "A 60313-2021")</f>
        <v/>
      </c>
    </row>
    <row r="242" ht="15" customHeight="1">
      <c r="A242" t="inlineStr">
        <is>
          <t>A 41656-2025</t>
        </is>
      </c>
      <c r="B242" t="inlineStr">
        <is>
          <t>avverkningsanmälan</t>
        </is>
      </c>
      <c r="C242" t="inlineStr">
        <is>
          <t>Föryngringsavverkning</t>
        </is>
      </c>
      <c r="D242" s="1" t="n">
        <v>45902</v>
      </c>
      <c r="E242" s="1" t="n">
        <v>46319</v>
      </c>
      <c r="F242" t="inlineStr">
        <is>
          <t>JÄMTLANDS LÄN</t>
        </is>
      </c>
      <c r="G242" t="inlineStr">
        <is>
          <t>RAGUNDA</t>
        </is>
      </c>
      <c r="H242" t="inlineStr">
        <is>
          <t>SCA</t>
        </is>
      </c>
      <c r="I242" t="n">
        <v>1.1</v>
      </c>
      <c r="J242" t="n">
        <v>0</v>
      </c>
      <c r="K242" t="n">
        <v>0</v>
      </c>
      <c r="L242" t="n">
        <v>0</v>
      </c>
      <c r="M242" t="n">
        <v>1</v>
      </c>
      <c r="N242" t="n">
        <v>0</v>
      </c>
      <c r="O242" t="n">
        <v>0</v>
      </c>
      <c r="P242" t="n">
        <v>0</v>
      </c>
      <c r="Q242" t="n">
        <v>1</v>
      </c>
      <c r="R242" t="n">
        <v>1</v>
      </c>
      <c r="S242" t="n">
        <v>1</v>
      </c>
      <c r="T242" t="n">
        <v>1</v>
      </c>
      <c r="U242" t="n">
        <v>1</v>
      </c>
      <c r="V242" s="2" t="inlineStr">
        <is>
          <t>Garnlav</t>
        </is>
      </c>
      <c r="W242">
        <f>HYPERLINK("https://klasma.github.io/Logging_2303/artfynd/A 41656-2025 artfynd.xlsx", "A 41656-2025")</f>
        <v/>
      </c>
      <c r="X242">
        <f>HYPERLINK("https://klasma.github.io/Logging_2303/kartor/A 41656-2025 karta.png", "A 41656-2025")</f>
        <v/>
      </c>
      <c r="Y242">
        <f>HYPERLINK("https://klasma.github.io/Logging_2303/kartor_geotiff/A 41656-2025 georefererad karta.tif", "A 41656-2025")</f>
        <v/>
      </c>
      <c r="AA242">
        <f>HYPERLINK("https://klasma.github.io/Logging_2303/klagomål/A 41656-2025 FSC-klagomål.docx", "A 41656-2025")</f>
        <v/>
      </c>
      <c r="AB242">
        <f>HYPERLINK("https://klasma.github.io/Logging_2303/klagomålsmail/A 41656-2025 FSC-klagomål mail.docx", "A 41656-2025")</f>
        <v/>
      </c>
      <c r="AC242">
        <f>HYPERLINK("https://klasma.github.io/Logging_2303/tillsyn/A 41656-2025 tillsynsbegäran.docx", "A 41656-2025")</f>
        <v/>
      </c>
      <c r="AD242">
        <f>HYPERLINK("https://klasma.github.io/Logging_2303/tillsynsmail/A 41656-2025 tillsynsbegäran mail.docx", "A 41656-2025")</f>
        <v/>
      </c>
    </row>
    <row r="243" ht="15" customHeight="1">
      <c r="A243" t="inlineStr">
        <is>
          <t>A 55669-2023</t>
        </is>
      </c>
      <c r="B243" t="inlineStr">
        <is>
          <t>avverkningsanmälan</t>
        </is>
      </c>
      <c r="C243" t="inlineStr">
        <is>
          <t>Föryngringsavverkning</t>
        </is>
      </c>
      <c r="D243" s="1" t="n">
        <v>45238</v>
      </c>
      <c r="E243" s="1" t="n">
        <v>46319</v>
      </c>
      <c r="F243" t="inlineStr">
        <is>
          <t>JÄMTLANDS LÄN</t>
        </is>
      </c>
      <c r="G243" t="inlineStr">
        <is>
          <t>RAGUNDA</t>
        </is>
      </c>
      <c r="H243" t="inlineStr">
        <is>
          <t>SCA</t>
        </is>
      </c>
      <c r="I243" t="n">
        <v>1</v>
      </c>
      <c r="J243" t="n">
        <v>1</v>
      </c>
      <c r="K243" t="n">
        <v>0</v>
      </c>
      <c r="L243" t="n">
        <v>0</v>
      </c>
      <c r="M243" t="n">
        <v>0</v>
      </c>
      <c r="N243" t="n">
        <v>0</v>
      </c>
      <c r="O243" t="n">
        <v>0</v>
      </c>
      <c r="P243" t="n">
        <v>0</v>
      </c>
      <c r="Q243" t="n">
        <v>0</v>
      </c>
      <c r="R243" t="n">
        <v>0</v>
      </c>
      <c r="S243" t="n">
        <v>1</v>
      </c>
      <c r="T243" t="n">
        <v>1</v>
      </c>
      <c r="U243" t="n">
        <v>1</v>
      </c>
      <c r="V243" s="2" t="inlineStr">
        <is>
          <t>Fläcknycklar</t>
        </is>
      </c>
      <c r="W243">
        <f>HYPERLINK("https://klasma.github.io/Logging_2303/artfynd/A 55669-2023 artfynd.xlsx", "A 55669-2023")</f>
        <v/>
      </c>
      <c r="X243">
        <f>HYPERLINK("https://klasma.github.io/Logging_2303/kartor/A 55669-2023 karta.png", "A 55669-2023")</f>
        <v/>
      </c>
      <c r="Y243">
        <f>HYPERLINK("https://klasma.github.io/Logging_2303/kartor_geotiff/A 55669-2023 georefererad karta.tif", "A 55669-2023")</f>
        <v/>
      </c>
      <c r="AA243">
        <f>HYPERLINK("https://klasma.github.io/Logging_2303/klagomål/A 55669-2023 FSC-klagomål.docx", "A 55669-2023")</f>
        <v/>
      </c>
      <c r="AB243">
        <f>HYPERLINK("https://klasma.github.io/Logging_2303/klagomålsmail/A 55669-2023 FSC-klagomål mail.docx", "A 55669-2023")</f>
        <v/>
      </c>
      <c r="AC243">
        <f>HYPERLINK("https://klasma.github.io/Logging_2303/tillsyn/A 55669-2023 tillsynsbegäran.docx", "A 55669-2023")</f>
        <v/>
      </c>
      <c r="AD243">
        <f>HYPERLINK("https://klasma.github.io/Logging_2303/tillsynsmail/A 55669-2023 tillsynsbegäran mail.docx", "A 55669-2023")</f>
        <v/>
      </c>
    </row>
    <row r="244" ht="15" customHeight="1">
      <c r="A244" t="inlineStr">
        <is>
          <t>A 46753-2025</t>
        </is>
      </c>
      <c r="B244" t="inlineStr">
        <is>
          <t>avverkningsanmälan</t>
        </is>
      </c>
      <c r="C244" t="inlineStr">
        <is>
          <t>Föryngringsavverkning</t>
        </is>
      </c>
      <c r="D244" s="1" t="n">
        <v>45926</v>
      </c>
      <c r="E244" s="1" t="n">
        <v>46319</v>
      </c>
      <c r="F244" t="inlineStr">
        <is>
          <t>JÄMTLANDS LÄN</t>
        </is>
      </c>
      <c r="G244" t="inlineStr">
        <is>
          <t>RAGUNDA</t>
        </is>
      </c>
      <c r="H244" t="inlineStr">
        <is>
          <t>SCA</t>
        </is>
      </c>
      <c r="I244" t="n">
        <v>2.8</v>
      </c>
      <c r="J244" t="n">
        <v>1</v>
      </c>
      <c r="K244" t="n">
        <v>0</v>
      </c>
      <c r="L244" t="n">
        <v>0</v>
      </c>
      <c r="M244" t="n">
        <v>1</v>
      </c>
      <c r="N244" t="n">
        <v>0</v>
      </c>
      <c r="O244" t="n">
        <v>0</v>
      </c>
      <c r="P244" t="n">
        <v>0</v>
      </c>
      <c r="Q244" t="n">
        <v>1</v>
      </c>
      <c r="R244" t="n">
        <v>1</v>
      </c>
      <c r="S244" t="n">
        <v>1</v>
      </c>
      <c r="T244" t="n">
        <v>1</v>
      </c>
      <c r="U244" t="n">
        <v>0</v>
      </c>
      <c r="V244" s="2" t="inlineStr">
        <is>
          <t>Doftticka</t>
        </is>
      </c>
      <c r="W244">
        <f>HYPERLINK("https://klasma.github.io/Logging_2303/artfynd/A 46753-2025 artfynd.xlsx", "A 46753-2025")</f>
        <v/>
      </c>
      <c r="X244">
        <f>HYPERLINK("https://klasma.github.io/Logging_2303/kartor/A 46753-2025 karta.png", "A 46753-2025")</f>
        <v/>
      </c>
      <c r="Y244">
        <f>HYPERLINK("https://klasma.github.io/Logging_2303/kartor_geotiff/A 46753-2025 georefererad karta.tif", "A 46753-2025")</f>
        <v/>
      </c>
      <c r="AA244">
        <f>HYPERLINK("https://klasma.github.io/Logging_2303/klagomål/A 46753-2025 FSC-klagomål.docx", "A 46753-2025")</f>
        <v/>
      </c>
      <c r="AB244">
        <f>HYPERLINK("https://klasma.github.io/Logging_2303/klagomålsmail/A 46753-2025 FSC-klagomål mail.docx", "A 46753-2025")</f>
        <v/>
      </c>
      <c r="AC244">
        <f>HYPERLINK("https://klasma.github.io/Logging_2303/tillsyn/A 46753-2025 tillsynsbegäran.docx", "A 46753-2025")</f>
        <v/>
      </c>
      <c r="AD244">
        <f>HYPERLINK("https://klasma.github.io/Logging_2303/tillsynsmail/A 46753-2025 tillsynsbegäran mail.docx", "A 46753-2025")</f>
        <v/>
      </c>
    </row>
    <row r="245" ht="15" customHeight="1">
      <c r="A245" t="inlineStr">
        <is>
          <t>A 18985-2023</t>
        </is>
      </c>
      <c r="B245" t="inlineStr">
        <is>
          <t>avverkningsanmälan</t>
        </is>
      </c>
      <c r="C245" t="inlineStr">
        <is>
          <t>Avverkning för att bevara och utveckla /försöksver</t>
        </is>
      </c>
      <c r="D245" s="1" t="n">
        <v>45044</v>
      </c>
      <c r="E245" s="1" t="n">
        <v>46319</v>
      </c>
      <c r="F245" t="inlineStr">
        <is>
          <t>JÄMTLANDS LÄN</t>
        </is>
      </c>
      <c r="G245" t="inlineStr">
        <is>
          <t>RAGUNDA</t>
        </is>
      </c>
      <c r="H245" t="inlineStr">
        <is>
          <t>SCA</t>
        </is>
      </c>
      <c r="I245" t="n">
        <v>2.6</v>
      </c>
      <c r="J245" t="n">
        <v>0</v>
      </c>
      <c r="K245" t="n">
        <v>0</v>
      </c>
      <c r="L245" t="n">
        <v>1</v>
      </c>
      <c r="M245" t="n">
        <v>0</v>
      </c>
      <c r="N245" t="n">
        <v>0</v>
      </c>
      <c r="O245" t="n">
        <v>0</v>
      </c>
      <c r="P245" t="n">
        <v>0</v>
      </c>
      <c r="Q245" t="n">
        <v>1</v>
      </c>
      <c r="R245" t="n">
        <v>0</v>
      </c>
      <c r="S245" t="n">
        <v>1</v>
      </c>
      <c r="T245" t="n">
        <v>1</v>
      </c>
      <c r="U245" t="n">
        <v>0</v>
      </c>
      <c r="V245" s="2" t="inlineStr">
        <is>
          <t>Doftskinn</t>
        </is>
      </c>
      <c r="W245">
        <f>HYPERLINK("https://klasma.github.io/Logging_2303/artfynd/A 18985-2023 artfynd.xlsx", "A 18985-2023")</f>
        <v/>
      </c>
      <c r="X245">
        <f>HYPERLINK("https://klasma.github.io/Logging_2303/kartor/A 18985-2023 karta.png", "A 18985-2023")</f>
        <v/>
      </c>
      <c r="Y245">
        <f>HYPERLINK("https://klasma.github.io/Logging_2303/kartor_geotiff/A 18985-2023 georefererad karta.tif", "A 18985-2023")</f>
        <v/>
      </c>
      <c r="AA245">
        <f>HYPERLINK("https://klasma.github.io/Logging_2303/klagomål/A 18985-2023 FSC-klagomål.docx", "A 18985-2023")</f>
        <v/>
      </c>
      <c r="AB245">
        <f>HYPERLINK("https://klasma.github.io/Logging_2303/klagomålsmail/A 18985-2023 FSC-klagomål mail.docx", "A 18985-2023")</f>
        <v/>
      </c>
      <c r="AC245">
        <f>HYPERLINK("https://klasma.github.io/Logging_2303/tillsyn/A 18985-2023 tillsynsbegäran.docx", "A 18985-2023")</f>
        <v/>
      </c>
      <c r="AD245">
        <f>HYPERLINK("https://klasma.github.io/Logging_2303/tillsynsmail/A 18985-2023 tillsynsbegäran mail.docx", "A 18985-2023")</f>
        <v/>
      </c>
    </row>
    <row r="246" ht="15" customHeight="1">
      <c r="A246" t="inlineStr">
        <is>
          <t>A 23303-2024</t>
        </is>
      </c>
      <c r="B246" t="inlineStr">
        <is>
          <t>avverkningsanmälan</t>
        </is>
      </c>
      <c r="C246" t="inlineStr">
        <is>
          <t>Föryngringsavverkning</t>
        </is>
      </c>
      <c r="D246" s="1" t="n">
        <v>45453</v>
      </c>
      <c r="E246" s="1" t="n">
        <v>46319</v>
      </c>
      <c r="F246" t="inlineStr">
        <is>
          <t>JÄMTLANDS LÄN</t>
        </is>
      </c>
      <c r="G246" t="inlineStr">
        <is>
          <t>RAGUNDA</t>
        </is>
      </c>
      <c r="I246" t="n">
        <v>0.7</v>
      </c>
      <c r="J246" t="n">
        <v>1</v>
      </c>
      <c r="K246" t="n">
        <v>0</v>
      </c>
      <c r="L246" t="n">
        <v>0</v>
      </c>
      <c r="M246" t="n">
        <v>0</v>
      </c>
      <c r="N246" t="n">
        <v>0</v>
      </c>
      <c r="O246" t="n">
        <v>0</v>
      </c>
      <c r="P246" t="n">
        <v>0</v>
      </c>
      <c r="Q246" t="n">
        <v>0</v>
      </c>
      <c r="R246" t="n">
        <v>0</v>
      </c>
      <c r="S246" t="n">
        <v>1</v>
      </c>
      <c r="T246" t="n">
        <v>1</v>
      </c>
      <c r="U246" t="n">
        <v>1</v>
      </c>
      <c r="V246" s="2" t="inlineStr">
        <is>
          <t>Spillkråka</t>
        </is>
      </c>
      <c r="W246">
        <f>HYPERLINK("https://klasma.github.io/Logging_2303/artfynd/A 23303-2024 artfynd.xlsx", "A 23303-2024")</f>
        <v/>
      </c>
      <c r="X246">
        <f>HYPERLINK("https://klasma.github.io/Logging_2303/kartor/A 23303-2024 karta.png", "A 23303-2024")</f>
        <v/>
      </c>
      <c r="Y246">
        <f>HYPERLINK("https://klasma.github.io/Logging_2303/kartor_geotiff/A 23303-2024 georefererad karta.tif", "A 23303-2024")</f>
        <v/>
      </c>
      <c r="AA246">
        <f>HYPERLINK("https://klasma.github.io/Logging_2303/klagomål/A 23303-2024 FSC-klagomål.docx", "A 23303-2024")</f>
        <v/>
      </c>
      <c r="AB246">
        <f>HYPERLINK("https://klasma.github.io/Logging_2303/klagomålsmail/A 23303-2024 FSC-klagomål mail.docx", "A 23303-2024")</f>
        <v/>
      </c>
      <c r="AC246">
        <f>HYPERLINK("https://klasma.github.io/Logging_2303/tillsyn/A 23303-2024 tillsynsbegäran.docx", "A 23303-2024")</f>
        <v/>
      </c>
      <c r="AD246">
        <f>HYPERLINK("https://klasma.github.io/Logging_2303/tillsynsmail/A 23303-2024 tillsynsbegäran mail.docx", "A 23303-2024")</f>
        <v/>
      </c>
      <c r="AE246">
        <f>HYPERLINK("https://klasma.github.io/Logging_2303/fåglar/A 23303-2024 prioriterade fågelarter.docx", "A 23303-2024")</f>
        <v/>
      </c>
    </row>
    <row r="247" ht="15" customHeight="1">
      <c r="A247" t="inlineStr">
        <is>
          <t>A 7281-2025</t>
        </is>
      </c>
      <c r="B247" t="inlineStr">
        <is>
          <t>avverkningsanmälan</t>
        </is>
      </c>
      <c r="C247" t="inlineStr">
        <is>
          <t>Föryngringsavverkning</t>
        </is>
      </c>
      <c r="D247" s="1" t="n">
        <v>45702</v>
      </c>
      <c r="E247" s="1" t="n">
        <v>46319</v>
      </c>
      <c r="F247" t="inlineStr">
        <is>
          <t>JÄMTLANDS LÄN</t>
        </is>
      </c>
      <c r="G247" t="inlineStr">
        <is>
          <t>RAGUNDA</t>
        </is>
      </c>
      <c r="H247" t="inlineStr">
        <is>
          <t>SCA</t>
        </is>
      </c>
      <c r="I247" t="n">
        <v>1.4</v>
      </c>
      <c r="J247" t="n">
        <v>1</v>
      </c>
      <c r="K247" t="n">
        <v>1</v>
      </c>
      <c r="L247" t="n">
        <v>0</v>
      </c>
      <c r="M247" t="n">
        <v>0</v>
      </c>
      <c r="N247" t="n">
        <v>0</v>
      </c>
      <c r="O247" t="n">
        <v>0</v>
      </c>
      <c r="P247" t="n">
        <v>0</v>
      </c>
      <c r="Q247" t="n">
        <v>0</v>
      </c>
      <c r="R247" t="n">
        <v>0</v>
      </c>
      <c r="S247" t="n">
        <v>1</v>
      </c>
      <c r="T247" t="n">
        <v>1</v>
      </c>
      <c r="U247" t="n">
        <v>0</v>
      </c>
      <c r="V247" s="2" t="inlineStr">
        <is>
          <t>Lappranunkel</t>
        </is>
      </c>
      <c r="W247">
        <f>HYPERLINK("https://klasma.github.io/Logging_2303/artfynd/A 7281-2025 artfynd.xlsx", "A 7281-2025")</f>
        <v/>
      </c>
      <c r="X247">
        <f>HYPERLINK("https://klasma.github.io/Logging_2303/kartor/A 7281-2025 karta.png", "A 7281-2025")</f>
        <v/>
      </c>
      <c r="Y247">
        <f>HYPERLINK("https://klasma.github.io/Logging_2303/kartor_geotiff/A 7281-2025 georefererad karta.tif", "A 7281-2025")</f>
        <v/>
      </c>
      <c r="AA247">
        <f>HYPERLINK("https://klasma.github.io/Logging_2303/klagomål/A 7281-2025 FSC-klagomål.docx", "A 7281-2025")</f>
        <v/>
      </c>
      <c r="AB247">
        <f>HYPERLINK("https://klasma.github.io/Logging_2303/klagomålsmail/A 7281-2025 FSC-klagomål mail.docx", "A 7281-2025")</f>
        <v/>
      </c>
      <c r="AC247">
        <f>HYPERLINK("https://klasma.github.io/Logging_2303/tillsyn/A 7281-2025 tillsynsbegäran.docx", "A 7281-2025")</f>
        <v/>
      </c>
      <c r="AD247">
        <f>HYPERLINK("https://klasma.github.io/Logging_2303/tillsynsmail/A 7281-2025 tillsynsbegäran mail.docx", "A 7281-2025")</f>
        <v/>
      </c>
    </row>
    <row r="248" ht="15" customHeight="1">
      <c r="A248" t="inlineStr">
        <is>
          <t>A 36756-2023</t>
        </is>
      </c>
      <c r="B248" t="inlineStr">
        <is>
          <t>avverkningsanmälan</t>
        </is>
      </c>
      <c r="C248" t="inlineStr">
        <is>
          <t>Föryngringsavverkning</t>
        </is>
      </c>
      <c r="D248" s="1" t="n">
        <v>45153</v>
      </c>
      <c r="E248" s="1" t="n">
        <v>46319</v>
      </c>
      <c r="F248" t="inlineStr">
        <is>
          <t>JÄMTLANDS LÄN</t>
        </is>
      </c>
      <c r="G248" t="inlineStr">
        <is>
          <t>RAGUNDA</t>
        </is>
      </c>
      <c r="I248" t="n">
        <v>3.5</v>
      </c>
      <c r="J248" t="n">
        <v>1</v>
      </c>
      <c r="K248" t="n">
        <v>0</v>
      </c>
      <c r="L248" t="n">
        <v>1</v>
      </c>
      <c r="M248" t="n">
        <v>0</v>
      </c>
      <c r="N248" t="n">
        <v>0</v>
      </c>
      <c r="O248" t="n">
        <v>0</v>
      </c>
      <c r="P248" t="n">
        <v>0</v>
      </c>
      <c r="Q248" t="n">
        <v>1</v>
      </c>
      <c r="R248" t="n">
        <v>0</v>
      </c>
      <c r="S248" t="n">
        <v>1</v>
      </c>
      <c r="T248" t="n">
        <v>14</v>
      </c>
      <c r="U248" t="n">
        <v>14</v>
      </c>
      <c r="V248" s="2" t="inlineStr">
        <is>
          <t>Tretåig hackspett</t>
        </is>
      </c>
      <c r="W248">
        <f>HYPERLINK("https://klasma.github.io/Logging_2303/artfynd/A 36756-2023 artfynd.xlsx", "A 36756-2023")</f>
        <v/>
      </c>
      <c r="X248">
        <f>HYPERLINK("https://klasma.github.io/Logging_2303/kartor/A 36756-2023 karta.png", "A 36756-2023")</f>
        <v/>
      </c>
      <c r="Y248">
        <f>HYPERLINK("https://klasma.github.io/Logging_2303/kartor_geotiff/A 36756-2023 georefererad karta.tif", "A 36756-2023")</f>
        <v/>
      </c>
      <c r="AA248">
        <f>HYPERLINK("https://klasma.github.io/Logging_2303/klagomål/A 36756-2023 FSC-klagomål.docx", "A 36756-2023")</f>
        <v/>
      </c>
      <c r="AB248">
        <f>HYPERLINK("https://klasma.github.io/Logging_2303/klagomålsmail/A 36756-2023 FSC-klagomål mail.docx", "A 36756-2023")</f>
        <v/>
      </c>
      <c r="AC248">
        <f>HYPERLINK("https://klasma.github.io/Logging_2303/tillsyn/A 36756-2023 tillsynsbegäran.docx", "A 36756-2023")</f>
        <v/>
      </c>
      <c r="AD248">
        <f>HYPERLINK("https://klasma.github.io/Logging_2303/tillsynsmail/A 36756-2023 tillsynsbegäran mail.docx", "A 36756-2023")</f>
        <v/>
      </c>
      <c r="AE248">
        <f>HYPERLINK("https://klasma.github.io/Logging_2303/fåglar/A 36756-2023 prioriterade fågelarter.docx", "A 36756-2023")</f>
        <v/>
      </c>
    </row>
    <row r="249" ht="15" customHeight="1">
      <c r="A249" t="inlineStr">
        <is>
          <t>A 1057-2024</t>
        </is>
      </c>
      <c r="B249" t="inlineStr">
        <is>
          <t>avverkningsanmälan</t>
        </is>
      </c>
      <c r="C249" t="inlineStr">
        <is>
          <t>Avverkning för att bevara och utveckla /försöksver</t>
        </is>
      </c>
      <c r="D249" s="1" t="n">
        <v>45301</v>
      </c>
      <c r="E249" s="1" t="n">
        <v>46319</v>
      </c>
      <c r="F249" t="inlineStr">
        <is>
          <t>JÄMTLANDS LÄN</t>
        </is>
      </c>
      <c r="G249" t="inlineStr">
        <is>
          <t>RAGUNDA</t>
        </is>
      </c>
      <c r="H249" t="inlineStr">
        <is>
          <t>SCA</t>
        </is>
      </c>
      <c r="I249" t="n">
        <v>6.8</v>
      </c>
      <c r="J249" t="n">
        <v>0</v>
      </c>
      <c r="K249" t="n">
        <v>1</v>
      </c>
      <c r="L249" t="n">
        <v>0</v>
      </c>
      <c r="M249" t="n">
        <v>0</v>
      </c>
      <c r="N249" t="n">
        <v>0</v>
      </c>
      <c r="O249" t="n">
        <v>0</v>
      </c>
      <c r="P249" t="n">
        <v>0</v>
      </c>
      <c r="Q249" t="n">
        <v>0</v>
      </c>
      <c r="R249" t="n">
        <v>0</v>
      </c>
      <c r="S249" t="n">
        <v>1</v>
      </c>
      <c r="T249" t="n">
        <v>1</v>
      </c>
      <c r="U249" t="n">
        <v>0</v>
      </c>
      <c r="V249" s="2" t="inlineStr">
        <is>
          <t>Stor aspticka</t>
        </is>
      </c>
      <c r="W249">
        <f>HYPERLINK("https://klasma.github.io/Logging_2303/artfynd/A 1057-2024 artfynd.xlsx", "A 1057-2024")</f>
        <v/>
      </c>
      <c r="X249">
        <f>HYPERLINK("https://klasma.github.io/Logging_2303/kartor/A 1057-2024 karta.png", "A 1057-2024")</f>
        <v/>
      </c>
      <c r="Y249">
        <f>HYPERLINK("https://klasma.github.io/Logging_2303/kartor_geotiff/A 1057-2024 georefererad karta.tif", "A 1057-2024")</f>
        <v/>
      </c>
      <c r="AA249">
        <f>HYPERLINK("https://klasma.github.io/Logging_2303/klagomål/A 1057-2024 FSC-klagomål.docx", "A 1057-2024")</f>
        <v/>
      </c>
      <c r="AB249">
        <f>HYPERLINK("https://klasma.github.io/Logging_2303/klagomålsmail/A 1057-2024 FSC-klagomål mail.docx", "A 1057-2024")</f>
        <v/>
      </c>
      <c r="AC249">
        <f>HYPERLINK("https://klasma.github.io/Logging_2303/tillsyn/A 1057-2024 tillsynsbegäran.docx", "A 1057-2024")</f>
        <v/>
      </c>
      <c r="AD249">
        <f>HYPERLINK("https://klasma.github.io/Logging_2303/tillsynsmail/A 1057-2024 tillsynsbegäran mail.docx", "A 1057-2024")</f>
        <v/>
      </c>
    </row>
    <row r="250" ht="15" customHeight="1">
      <c r="A250" t="inlineStr">
        <is>
          <t>A 978-2024</t>
        </is>
      </c>
      <c r="B250" t="inlineStr">
        <is>
          <t>avverkningsanmälan</t>
        </is>
      </c>
      <c r="C250" t="inlineStr">
        <is>
          <t>Avverkning för annat ändamål</t>
        </is>
      </c>
      <c r="D250" s="1" t="n">
        <v>45301</v>
      </c>
      <c r="E250" s="1" t="n">
        <v>46319</v>
      </c>
      <c r="F250" t="inlineStr">
        <is>
          <t>JÄMTLANDS LÄN</t>
        </is>
      </c>
      <c r="G250" t="inlineStr">
        <is>
          <t>RAGUNDA</t>
        </is>
      </c>
      <c r="I250" t="n">
        <v>3.1</v>
      </c>
      <c r="J250" t="n">
        <v>1</v>
      </c>
      <c r="K250" t="n">
        <v>0</v>
      </c>
      <c r="L250" t="n">
        <v>1</v>
      </c>
      <c r="M250" t="n">
        <v>0</v>
      </c>
      <c r="N250" t="n">
        <v>0</v>
      </c>
      <c r="O250" t="n">
        <v>0</v>
      </c>
      <c r="P250" t="n">
        <v>0</v>
      </c>
      <c r="Q250" t="n">
        <v>1</v>
      </c>
      <c r="R250" t="n">
        <v>0</v>
      </c>
      <c r="S250" t="n">
        <v>1</v>
      </c>
      <c r="T250" t="n">
        <v>1</v>
      </c>
      <c r="U250" t="n">
        <v>0</v>
      </c>
      <c r="V250" s="2" t="inlineStr">
        <is>
          <t>Tretåig hackspett</t>
        </is>
      </c>
      <c r="W250">
        <f>HYPERLINK("https://klasma.github.io/Logging_2303/artfynd/A 978-2024 artfynd.xlsx", "A 978-2024")</f>
        <v/>
      </c>
      <c r="X250">
        <f>HYPERLINK("https://klasma.github.io/Logging_2303/kartor/A 978-2024 karta.png", "A 978-2024")</f>
        <v/>
      </c>
      <c r="Y250">
        <f>HYPERLINK("https://klasma.github.io/Logging_2303/kartor_geotiff/A 978-2024 georefererad karta.tif", "A 978-2024")</f>
        <v/>
      </c>
      <c r="AA250">
        <f>HYPERLINK("https://klasma.github.io/Logging_2303/klagomål/A 978-2024 FSC-klagomål.docx", "A 978-2024")</f>
        <v/>
      </c>
      <c r="AB250">
        <f>HYPERLINK("https://klasma.github.io/Logging_2303/klagomålsmail/A 978-2024 FSC-klagomål mail.docx", "A 978-2024")</f>
        <v/>
      </c>
      <c r="AC250">
        <f>HYPERLINK("https://klasma.github.io/Logging_2303/tillsyn/A 978-2024 tillsynsbegäran.docx", "A 978-2024")</f>
        <v/>
      </c>
      <c r="AD250">
        <f>HYPERLINK("https://klasma.github.io/Logging_2303/tillsynsmail/A 978-2024 tillsynsbegäran mail.docx", "A 978-2024")</f>
        <v/>
      </c>
      <c r="AE250">
        <f>HYPERLINK("https://klasma.github.io/Logging_2303/fåglar/A 978-2024 prioriterade fågelarter.docx", "A 978-2024")</f>
        <v/>
      </c>
    </row>
    <row r="251" ht="15" customHeight="1">
      <c r="A251" t="inlineStr">
        <is>
          <t>A 59104-2023</t>
        </is>
      </c>
      <c r="B251" t="inlineStr">
        <is>
          <t>avverkningsanmälan</t>
        </is>
      </c>
      <c r="C251" t="inlineStr">
        <is>
          <t>Avverkning för att bevara och utveckla /försöksver</t>
        </is>
      </c>
      <c r="D251" s="1" t="n">
        <v>45252</v>
      </c>
      <c r="E251" s="1" t="n">
        <v>46319</v>
      </c>
      <c r="F251" t="inlineStr">
        <is>
          <t>JÄMTLANDS LÄN</t>
        </is>
      </c>
      <c r="G251" t="inlineStr">
        <is>
          <t>RAGUNDA</t>
        </is>
      </c>
      <c r="H251" t="inlineStr">
        <is>
          <t>SCA</t>
        </is>
      </c>
      <c r="I251" t="n">
        <v>4.2</v>
      </c>
      <c r="J251" t="n">
        <v>0</v>
      </c>
      <c r="K251" t="n">
        <v>0</v>
      </c>
      <c r="L251" t="n">
        <v>1</v>
      </c>
      <c r="M251" t="n">
        <v>0</v>
      </c>
      <c r="N251" t="n">
        <v>0</v>
      </c>
      <c r="O251" t="n">
        <v>0</v>
      </c>
      <c r="P251" t="n">
        <v>0</v>
      </c>
      <c r="Q251" t="n">
        <v>1</v>
      </c>
      <c r="R251" t="n">
        <v>0</v>
      </c>
      <c r="S251" t="n">
        <v>1</v>
      </c>
      <c r="T251" t="n">
        <v>1</v>
      </c>
      <c r="U251" t="n">
        <v>0</v>
      </c>
      <c r="V251" s="2" t="inlineStr">
        <is>
          <t>Ullticka</t>
        </is>
      </c>
      <c r="W251">
        <f>HYPERLINK("https://klasma.github.io/Logging_2303/artfynd/A 59104-2023 artfynd.xlsx", "A 59104-2023")</f>
        <v/>
      </c>
      <c r="X251">
        <f>HYPERLINK("https://klasma.github.io/Logging_2303/kartor/A 59104-2023 karta.png", "A 59104-2023")</f>
        <v/>
      </c>
      <c r="Y251">
        <f>HYPERLINK("https://klasma.github.io/Logging_2303/kartor_geotiff/A 59104-2023 georefererad karta.tif", "A 59104-2023")</f>
        <v/>
      </c>
      <c r="AA251">
        <f>HYPERLINK("https://klasma.github.io/Logging_2303/klagomål/A 59104-2023 FSC-klagomål.docx", "A 59104-2023")</f>
        <v/>
      </c>
      <c r="AB251">
        <f>HYPERLINK("https://klasma.github.io/Logging_2303/klagomålsmail/A 59104-2023 FSC-klagomål mail.docx", "A 59104-2023")</f>
        <v/>
      </c>
      <c r="AC251">
        <f>HYPERLINK("https://klasma.github.io/Logging_2303/tillsyn/A 59104-2023 tillsynsbegäran.docx", "A 59104-2023")</f>
        <v/>
      </c>
      <c r="AD251">
        <f>HYPERLINK("https://klasma.github.io/Logging_2303/tillsynsmail/A 59104-2023 tillsynsbegäran mail.docx", "A 59104-2023")</f>
        <v/>
      </c>
    </row>
    <row r="252" ht="15" customHeight="1">
      <c r="A252" t="inlineStr">
        <is>
          <t>A 51882-2025</t>
        </is>
      </c>
      <c r="B252" t="inlineStr">
        <is>
          <t>avverkningsanmälan</t>
        </is>
      </c>
      <c r="C252" t="inlineStr">
        <is>
          <t>Föryngringsavverkning</t>
        </is>
      </c>
      <c r="D252" s="1" t="n">
        <v>45952</v>
      </c>
      <c r="E252" s="1" t="n">
        <v>46319</v>
      </c>
      <c r="F252" t="inlineStr">
        <is>
          <t>JÄMTLANDS LÄN</t>
        </is>
      </c>
      <c r="G252" t="inlineStr">
        <is>
          <t>RAGUNDA</t>
        </is>
      </c>
      <c r="H252" t="inlineStr">
        <is>
          <t>SCA</t>
        </is>
      </c>
      <c r="I252" t="n">
        <v>11.9</v>
      </c>
      <c r="J252" t="n">
        <v>0</v>
      </c>
      <c r="K252" t="n">
        <v>0</v>
      </c>
      <c r="L252" t="n">
        <v>1</v>
      </c>
      <c r="M252" t="n">
        <v>0</v>
      </c>
      <c r="N252" t="n">
        <v>0</v>
      </c>
      <c r="O252" t="n">
        <v>0</v>
      </c>
      <c r="P252" t="n">
        <v>0</v>
      </c>
      <c r="Q252" t="n">
        <v>1</v>
      </c>
      <c r="R252" t="n">
        <v>0</v>
      </c>
      <c r="S252" t="n">
        <v>1</v>
      </c>
      <c r="T252" t="n">
        <v>1</v>
      </c>
      <c r="U252" t="n">
        <v>0</v>
      </c>
      <c r="V252" s="2" t="inlineStr">
        <is>
          <t>Skrovellav</t>
        </is>
      </c>
      <c r="W252">
        <f>HYPERLINK("https://klasma.github.io/Logging_2303/artfynd/A 51882-2025 artfynd.xlsx", "A 51882-2025")</f>
        <v/>
      </c>
      <c r="X252">
        <f>HYPERLINK("https://klasma.github.io/Logging_2303/kartor/A 51882-2025 karta.png", "A 51882-2025")</f>
        <v/>
      </c>
      <c r="Y252">
        <f>HYPERLINK("https://klasma.github.io/Logging_2303/kartor_geotiff/A 51882-2025 georefererad karta.tif", "A 51882-2025")</f>
        <v/>
      </c>
      <c r="AA252">
        <f>HYPERLINK("https://klasma.github.io/Logging_2303/klagomål/A 51882-2025 FSC-klagomål.docx", "A 51882-2025")</f>
        <v/>
      </c>
      <c r="AB252">
        <f>HYPERLINK("https://klasma.github.io/Logging_2303/klagomålsmail/A 51882-2025 FSC-klagomål mail.docx", "A 51882-2025")</f>
        <v/>
      </c>
      <c r="AC252">
        <f>HYPERLINK("https://klasma.github.io/Logging_2303/tillsyn/A 51882-2025 tillsynsbegäran.docx", "A 51882-2025")</f>
        <v/>
      </c>
      <c r="AD252">
        <f>HYPERLINK("https://klasma.github.io/Logging_2303/tillsynsmail/A 51882-2025 tillsynsbegäran mail.docx", "A 51882-2025")</f>
        <v/>
      </c>
    </row>
    <row r="253" ht="15" customHeight="1">
      <c r="A253" t="inlineStr">
        <is>
          <t>A 27912-2026</t>
        </is>
      </c>
      <c r="B253" t="inlineStr">
        <is>
          <t>avverkningsanmälan</t>
        </is>
      </c>
      <c r="C253" t="inlineStr">
        <is>
          <t>Föryngringsavverkning</t>
        </is>
      </c>
      <c r="D253" s="1" t="n">
        <v>46191</v>
      </c>
      <c r="E253" s="1" t="n">
        <v>46319</v>
      </c>
      <c r="F253" t="inlineStr">
        <is>
          <t>JÄMTLANDS LÄN</t>
        </is>
      </c>
      <c r="G253" t="inlineStr">
        <is>
          <t>RAGUNDA</t>
        </is>
      </c>
      <c r="H253" t="inlineStr">
        <is>
          <t>SCA</t>
        </is>
      </c>
      <c r="I253" t="n">
        <v>1.4</v>
      </c>
      <c r="J253" t="n">
        <v>1</v>
      </c>
      <c r="K253" t="n">
        <v>0</v>
      </c>
      <c r="L253" t="n">
        <v>0</v>
      </c>
      <c r="M253" t="n">
        <v>1</v>
      </c>
      <c r="N253" t="n">
        <v>0</v>
      </c>
      <c r="O253" t="n">
        <v>0</v>
      </c>
      <c r="P253" t="n">
        <v>0</v>
      </c>
      <c r="Q253" t="n">
        <v>1</v>
      </c>
      <c r="R253" t="n">
        <v>1</v>
      </c>
      <c r="S253" t="n">
        <v>1</v>
      </c>
      <c r="T253" t="n">
        <v>1</v>
      </c>
      <c r="U253" t="n">
        <v>0</v>
      </c>
      <c r="V253" s="2" t="inlineStr">
        <is>
          <t>Knärot</t>
        </is>
      </c>
      <c r="W253">
        <f>HYPERLINK("https://klasma.github.io/Logging_2303/artfynd/A 27912-2026 artfynd.xlsx", "A 27912-2026")</f>
        <v/>
      </c>
      <c r="X253">
        <f>HYPERLINK("https://klasma.github.io/Logging_2303/kartor/A 27912-2026 karta.png", "A 27912-2026")</f>
        <v/>
      </c>
      <c r="Y253">
        <f>HYPERLINK("https://klasma.github.io/Logging_2303/kartor_geotiff/A 27912-2026 georefererad karta.tif", "A 27912-2026")</f>
        <v/>
      </c>
      <c r="Z253">
        <f>HYPERLINK("https://klasma.github.io/Logging_2303/knärot/A 27912-2026 karta knärot.png", "A 27912-2026")</f>
        <v/>
      </c>
      <c r="AA253">
        <f>HYPERLINK("https://klasma.github.io/Logging_2303/klagomål/A 27912-2026 FSC-klagomål.docx", "A 27912-2026")</f>
        <v/>
      </c>
      <c r="AB253">
        <f>HYPERLINK("https://klasma.github.io/Logging_2303/klagomålsmail/A 27912-2026 FSC-klagomål mail.docx", "A 27912-2026")</f>
        <v/>
      </c>
      <c r="AC253">
        <f>HYPERLINK("https://klasma.github.io/Logging_2303/tillsyn/A 27912-2026 tillsynsbegäran.docx", "A 27912-2026")</f>
        <v/>
      </c>
      <c r="AD253">
        <f>HYPERLINK("https://klasma.github.io/Logging_2303/tillsynsmail/A 27912-2026 tillsynsbegäran mail.docx", "A 27912-2026")</f>
        <v/>
      </c>
    </row>
    <row r="254" ht="15" customHeight="1">
      <c r="A254" t="inlineStr">
        <is>
          <t>A 57253-2025</t>
        </is>
      </c>
      <c r="B254" t="inlineStr">
        <is>
          <t>avverkningsanmälan</t>
        </is>
      </c>
      <c r="C254" t="inlineStr">
        <is>
          <t>Föryngringsavverkning</t>
        </is>
      </c>
      <c r="D254" s="1" t="n">
        <v>45979</v>
      </c>
      <c r="E254" s="1" t="n">
        <v>46319</v>
      </c>
      <c r="F254" t="inlineStr">
        <is>
          <t>JÄMTLANDS LÄN</t>
        </is>
      </c>
      <c r="G254" t="inlineStr">
        <is>
          <t>RAGUNDA</t>
        </is>
      </c>
      <c r="I254" t="n">
        <v>1.2</v>
      </c>
      <c r="J254" t="n">
        <v>0</v>
      </c>
      <c r="K254" t="n">
        <v>1</v>
      </c>
      <c r="L254" t="n">
        <v>0</v>
      </c>
      <c r="M254" t="n">
        <v>0</v>
      </c>
      <c r="N254" t="n">
        <v>0</v>
      </c>
      <c r="O254" t="n">
        <v>0</v>
      </c>
      <c r="P254" t="n">
        <v>0</v>
      </c>
      <c r="Q254" t="n">
        <v>0</v>
      </c>
      <c r="R254" t="n">
        <v>0</v>
      </c>
      <c r="S254" t="n">
        <v>1</v>
      </c>
      <c r="T254" t="n">
        <v>1</v>
      </c>
      <c r="U254" t="n">
        <v>0</v>
      </c>
      <c r="V254" s="2" t="inlineStr">
        <is>
          <t>Skinnlav</t>
        </is>
      </c>
      <c r="W254">
        <f>HYPERLINK("https://klasma.github.io/Logging_2303/artfynd/A 57253-2025 artfynd.xlsx", "A 57253-2025")</f>
        <v/>
      </c>
      <c r="X254">
        <f>HYPERLINK("https://klasma.github.io/Logging_2303/kartor/A 57253-2025 karta.png", "A 57253-2025")</f>
        <v/>
      </c>
      <c r="Y254">
        <f>HYPERLINK("https://klasma.github.io/Logging_2303/kartor_geotiff/A 57253-2025 georefererad karta.tif", "A 57253-2025")</f>
        <v/>
      </c>
      <c r="AA254">
        <f>HYPERLINK("https://klasma.github.io/Logging_2303/klagomål/A 57253-2025 FSC-klagomål.docx", "A 57253-2025")</f>
        <v/>
      </c>
      <c r="AB254">
        <f>HYPERLINK("https://klasma.github.io/Logging_2303/klagomålsmail/A 57253-2025 FSC-klagomål mail.docx", "A 57253-2025")</f>
        <v/>
      </c>
      <c r="AC254">
        <f>HYPERLINK("https://klasma.github.io/Logging_2303/tillsyn/A 57253-2025 tillsynsbegäran.docx", "A 57253-2025")</f>
        <v/>
      </c>
      <c r="AD254">
        <f>HYPERLINK("https://klasma.github.io/Logging_2303/tillsynsmail/A 57253-2025 tillsynsbegäran mail.docx", "A 57253-2025")</f>
        <v/>
      </c>
    </row>
    <row r="255" ht="15" customHeight="1">
      <c r="A255" t="inlineStr">
        <is>
          <t>A 6477-2024</t>
        </is>
      </c>
      <c r="B255" t="inlineStr">
        <is>
          <t>avverkningsanmälan</t>
        </is>
      </c>
      <c r="C255" t="inlineStr">
        <is>
          <t>Avverkning för att bevara och utveckla /försöksver</t>
        </is>
      </c>
      <c r="D255" s="1" t="n">
        <v>45338</v>
      </c>
      <c r="E255" s="1" t="n">
        <v>46319</v>
      </c>
      <c r="F255" t="inlineStr">
        <is>
          <t>JÄMTLANDS LÄN</t>
        </is>
      </c>
      <c r="G255" t="inlineStr">
        <is>
          <t>RAGUNDA</t>
        </is>
      </c>
      <c r="H255" t="inlineStr">
        <is>
          <t>SCA</t>
        </is>
      </c>
      <c r="I255" t="n">
        <v>1.6</v>
      </c>
      <c r="J255" t="n">
        <v>0</v>
      </c>
      <c r="K255" t="n">
        <v>0</v>
      </c>
      <c r="L255" t="n">
        <v>0</v>
      </c>
      <c r="M255" t="n">
        <v>0</v>
      </c>
      <c r="N255" t="n">
        <v>0</v>
      </c>
      <c r="O255" t="n">
        <v>0</v>
      </c>
      <c r="P255" t="n">
        <v>0</v>
      </c>
      <c r="Q255" t="n">
        <v>0</v>
      </c>
      <c r="R255" t="n">
        <v>0</v>
      </c>
      <c r="S255" t="n">
        <v>1</v>
      </c>
      <c r="T255" t="n">
        <v>1</v>
      </c>
      <c r="U255" t="n">
        <v>1</v>
      </c>
      <c r="V255" s="2" t="inlineStr">
        <is>
          <t>Fjällskära</t>
        </is>
      </c>
      <c r="W255">
        <f>HYPERLINK("https://klasma.github.io/Logging_2303/artfynd/A 6477-2024 artfynd.xlsx", "A 6477-2024")</f>
        <v/>
      </c>
      <c r="X255">
        <f>HYPERLINK("https://klasma.github.io/Logging_2303/kartor/A 6477-2024 karta.png", "A 6477-2024")</f>
        <v/>
      </c>
      <c r="Y255">
        <f>HYPERLINK("https://klasma.github.io/Logging_2303/kartor_geotiff/A 6477-2024 georefererad karta.tif", "A 6477-2024")</f>
        <v/>
      </c>
      <c r="AA255">
        <f>HYPERLINK("https://klasma.github.io/Logging_2303/klagomål/A 6477-2024 FSC-klagomål.docx", "A 6477-2024")</f>
        <v/>
      </c>
      <c r="AB255">
        <f>HYPERLINK("https://klasma.github.io/Logging_2303/klagomålsmail/A 6477-2024 FSC-klagomål mail.docx", "A 6477-2024")</f>
        <v/>
      </c>
      <c r="AC255">
        <f>HYPERLINK("https://klasma.github.io/Logging_2303/tillsyn/A 6477-2024 tillsynsbegäran.docx", "A 6477-2024")</f>
        <v/>
      </c>
      <c r="AD255">
        <f>HYPERLINK("https://klasma.github.io/Logging_2303/tillsynsmail/A 6477-2024 tillsynsbegäran mail.docx", "A 6477-2024")</f>
        <v/>
      </c>
    </row>
    <row r="256" ht="15" customHeight="1">
      <c r="A256" t="inlineStr">
        <is>
          <t>A 58990-2025</t>
        </is>
      </c>
      <c r="B256" t="inlineStr">
        <is>
          <t>avverkningsanmälan</t>
        </is>
      </c>
      <c r="C256" t="inlineStr">
        <is>
          <t>Föryngringsavverkning</t>
        </is>
      </c>
      <c r="D256" s="1" t="n">
        <v>45987</v>
      </c>
      <c r="E256" s="1" t="n">
        <v>46319</v>
      </c>
      <c r="F256" t="inlineStr">
        <is>
          <t>JÄMTLANDS LÄN</t>
        </is>
      </c>
      <c r="G256" t="inlineStr">
        <is>
          <t>RAGUNDA</t>
        </is>
      </c>
      <c r="H256" t="inlineStr">
        <is>
          <t>SCA</t>
        </is>
      </c>
      <c r="I256" t="n">
        <v>4.6</v>
      </c>
      <c r="J256" t="n">
        <v>1</v>
      </c>
      <c r="K256" t="n">
        <v>0</v>
      </c>
      <c r="L256" t="n">
        <v>1</v>
      </c>
      <c r="M256" t="n">
        <v>0</v>
      </c>
      <c r="N256" t="n">
        <v>0</v>
      </c>
      <c r="O256" t="n">
        <v>0</v>
      </c>
      <c r="P256" t="n">
        <v>0</v>
      </c>
      <c r="Q256" t="n">
        <v>1</v>
      </c>
      <c r="R256" t="n">
        <v>0</v>
      </c>
      <c r="S256" t="n">
        <v>1</v>
      </c>
      <c r="T256" t="n">
        <v>2</v>
      </c>
      <c r="U256" t="n">
        <v>2</v>
      </c>
      <c r="V256" s="2" t="inlineStr">
        <is>
          <t>Tretåig hackspett</t>
        </is>
      </c>
      <c r="W256">
        <f>HYPERLINK("https://klasma.github.io/Logging_2303/artfynd/A 58990-2025 artfynd.xlsx", "A 58990-2025")</f>
        <v/>
      </c>
      <c r="X256">
        <f>HYPERLINK("https://klasma.github.io/Logging_2303/kartor/A 58990-2025 karta.png", "A 58990-2025")</f>
        <v/>
      </c>
      <c r="Y256">
        <f>HYPERLINK("https://klasma.github.io/Logging_2303/kartor_geotiff/A 58990-2025 georefererad karta.tif", "A 58990-2025")</f>
        <v/>
      </c>
      <c r="AA256">
        <f>HYPERLINK("https://klasma.github.io/Logging_2303/klagomål/A 58990-2025 FSC-klagomål.docx", "A 58990-2025")</f>
        <v/>
      </c>
      <c r="AB256">
        <f>HYPERLINK("https://klasma.github.io/Logging_2303/klagomålsmail/A 58990-2025 FSC-klagomål mail.docx", "A 58990-2025")</f>
        <v/>
      </c>
      <c r="AC256">
        <f>HYPERLINK("https://klasma.github.io/Logging_2303/tillsyn/A 58990-2025 tillsynsbegäran.docx", "A 58990-2025")</f>
        <v/>
      </c>
      <c r="AD256">
        <f>HYPERLINK("https://klasma.github.io/Logging_2303/tillsynsmail/A 58990-2025 tillsynsbegäran mail.docx", "A 58990-2025")</f>
        <v/>
      </c>
      <c r="AE256">
        <f>HYPERLINK("https://klasma.github.io/Logging_2303/fåglar/A 58990-2025 prioriterade fågelarter.docx", "A 58990-2025")</f>
        <v/>
      </c>
    </row>
    <row r="257" ht="15" customHeight="1">
      <c r="A257" t="inlineStr">
        <is>
          <t>A 59214-2025</t>
        </is>
      </c>
      <c r="B257" t="inlineStr">
        <is>
          <t>avverkningsanmälan</t>
        </is>
      </c>
      <c r="C257" t="inlineStr">
        <is>
          <t>Föryngringsavverkning</t>
        </is>
      </c>
      <c r="D257" s="1" t="n">
        <v>45988</v>
      </c>
      <c r="E257" s="1" t="n">
        <v>46319</v>
      </c>
      <c r="F257" t="inlineStr">
        <is>
          <t>JÄMTLANDS LÄN</t>
        </is>
      </c>
      <c r="G257" t="inlineStr">
        <is>
          <t>RAGUNDA</t>
        </is>
      </c>
      <c r="H257" t="inlineStr">
        <is>
          <t>SCA</t>
        </is>
      </c>
      <c r="I257" t="n">
        <v>1.2</v>
      </c>
      <c r="J257" t="n">
        <v>1</v>
      </c>
      <c r="K257" t="n">
        <v>0</v>
      </c>
      <c r="L257" t="n">
        <v>0</v>
      </c>
      <c r="M257" t="n">
        <v>0</v>
      </c>
      <c r="N257" t="n">
        <v>0</v>
      </c>
      <c r="O257" t="n">
        <v>0</v>
      </c>
      <c r="P257" t="n">
        <v>0</v>
      </c>
      <c r="Q257" t="n">
        <v>0</v>
      </c>
      <c r="R257" t="n">
        <v>0</v>
      </c>
      <c r="S257" t="n">
        <v>1</v>
      </c>
      <c r="T257" t="n">
        <v>1</v>
      </c>
      <c r="U257" t="n">
        <v>0</v>
      </c>
      <c r="V257" s="2" t="inlineStr">
        <is>
          <t>Blåsippa</t>
        </is>
      </c>
      <c r="W257">
        <f>HYPERLINK("https://klasma.github.io/Logging_2303/artfynd/A 59214-2025 artfynd.xlsx", "A 59214-2025")</f>
        <v/>
      </c>
      <c r="X257">
        <f>HYPERLINK("https://klasma.github.io/Logging_2303/kartor/A 59214-2025 karta.png", "A 59214-2025")</f>
        <v/>
      </c>
      <c r="Y257">
        <f>HYPERLINK("https://klasma.github.io/Logging_2303/kartor_geotiff/A 59214-2025 georefererad karta.tif", "A 59214-2025")</f>
        <v/>
      </c>
      <c r="AA257">
        <f>HYPERLINK("https://klasma.github.io/Logging_2303/klagomål/A 59214-2025 FSC-klagomål.docx", "A 59214-2025")</f>
        <v/>
      </c>
      <c r="AB257">
        <f>HYPERLINK("https://klasma.github.io/Logging_2303/klagomålsmail/A 59214-2025 FSC-klagomål mail.docx", "A 59214-2025")</f>
        <v/>
      </c>
      <c r="AC257">
        <f>HYPERLINK("https://klasma.github.io/Logging_2303/tillsyn/A 59214-2025 tillsynsbegäran.docx", "A 59214-2025")</f>
        <v/>
      </c>
      <c r="AD257">
        <f>HYPERLINK("https://klasma.github.io/Logging_2303/tillsynsmail/A 59214-2025 tillsynsbegäran mail.docx", "A 59214-2025")</f>
        <v/>
      </c>
    </row>
    <row r="258" ht="15" customHeight="1">
      <c r="A258" t="inlineStr">
        <is>
          <t>A 29921-2024</t>
        </is>
      </c>
      <c r="B258" t="inlineStr">
        <is>
          <t>avverkningsanmälan</t>
        </is>
      </c>
      <c r="C258" t="inlineStr">
        <is>
          <t>Föryngringsavverkning</t>
        </is>
      </c>
      <c r="D258" s="1" t="n">
        <v>45487</v>
      </c>
      <c r="E258" s="1" t="n">
        <v>46319</v>
      </c>
      <c r="F258" t="inlineStr">
        <is>
          <t>JÄMTLANDS LÄN</t>
        </is>
      </c>
      <c r="G258" t="inlineStr">
        <is>
          <t>RAGUNDA</t>
        </is>
      </c>
      <c r="I258" t="n">
        <v>1.6</v>
      </c>
      <c r="J258" t="n">
        <v>1</v>
      </c>
      <c r="K258" t="n">
        <v>0</v>
      </c>
      <c r="L258" t="n">
        <v>0</v>
      </c>
      <c r="M258" t="n">
        <v>1</v>
      </c>
      <c r="N258" t="n">
        <v>0</v>
      </c>
      <c r="O258" t="n">
        <v>0</v>
      </c>
      <c r="P258" t="n">
        <v>0</v>
      </c>
      <c r="Q258" t="n">
        <v>1</v>
      </c>
      <c r="R258" t="n">
        <v>1</v>
      </c>
      <c r="S258" t="n">
        <v>1</v>
      </c>
      <c r="T258" t="n">
        <v>1</v>
      </c>
      <c r="U258" t="n">
        <v>0</v>
      </c>
      <c r="V258" s="2" t="inlineStr">
        <is>
          <t>Knärot</t>
        </is>
      </c>
      <c r="W258">
        <f>HYPERLINK("https://klasma.github.io/Logging_2303/artfynd/A 29921-2024 artfynd.xlsx", "A 29921-2024")</f>
        <v/>
      </c>
      <c r="X258">
        <f>HYPERLINK("https://klasma.github.io/Logging_2303/kartor/A 29921-2024 karta.png", "A 29921-2024")</f>
        <v/>
      </c>
      <c r="Y258">
        <f>HYPERLINK("https://klasma.github.io/Logging_2303/kartor_geotiff/A 29921-2024 georefererad karta.tif", "A 29921-2024")</f>
        <v/>
      </c>
      <c r="Z258">
        <f>HYPERLINK("https://klasma.github.io/Logging_2303/knärot/A 29921-2024 karta knärot.png", "A 29921-2024")</f>
        <v/>
      </c>
      <c r="AA258">
        <f>HYPERLINK("https://klasma.github.io/Logging_2303/klagomål/A 29921-2024 FSC-klagomål.docx", "A 29921-2024")</f>
        <v/>
      </c>
      <c r="AB258">
        <f>HYPERLINK("https://klasma.github.io/Logging_2303/klagomålsmail/A 29921-2024 FSC-klagomål mail.docx", "A 29921-2024")</f>
        <v/>
      </c>
      <c r="AC258">
        <f>HYPERLINK("https://klasma.github.io/Logging_2303/tillsyn/A 29921-2024 tillsynsbegäran.docx", "A 29921-2024")</f>
        <v/>
      </c>
      <c r="AD258">
        <f>HYPERLINK("https://klasma.github.io/Logging_2303/tillsynsmail/A 29921-2024 tillsynsbegäran mail.docx", "A 29921-2024")</f>
        <v/>
      </c>
    </row>
    <row r="259" ht="15" customHeight="1">
      <c r="A259" t="inlineStr">
        <is>
          <t>A 30832-2026</t>
        </is>
      </c>
      <c r="B259" t="inlineStr">
        <is>
          <t>avverkningsanmälan</t>
        </is>
      </c>
      <c r="C259" t="inlineStr">
        <is>
          <t>Föryngringsavverkning</t>
        </is>
      </c>
      <c r="D259" s="1" t="n">
        <v>46212</v>
      </c>
      <c r="E259" s="1" t="n">
        <v>46319</v>
      </c>
      <c r="F259" t="inlineStr">
        <is>
          <t>JÄMTLANDS LÄN</t>
        </is>
      </c>
      <c r="G259" t="inlineStr">
        <is>
          <t>RAGUNDA</t>
        </is>
      </c>
      <c r="I259" t="n">
        <v>7.2</v>
      </c>
      <c r="J259" t="n">
        <v>1</v>
      </c>
      <c r="K259" t="n">
        <v>0</v>
      </c>
      <c r="L259" t="n">
        <v>0</v>
      </c>
      <c r="M259" t="n">
        <v>1</v>
      </c>
      <c r="N259" t="n">
        <v>0</v>
      </c>
      <c r="O259" t="n">
        <v>0</v>
      </c>
      <c r="P259" t="n">
        <v>0</v>
      </c>
      <c r="Q259" t="n">
        <v>1</v>
      </c>
      <c r="R259" t="n">
        <v>1</v>
      </c>
      <c r="S259" t="n">
        <v>1</v>
      </c>
      <c r="T259" t="n">
        <v>2</v>
      </c>
      <c r="U259" t="n">
        <v>0</v>
      </c>
      <c r="V259" s="2" t="inlineStr">
        <is>
          <t>Knärot</t>
        </is>
      </c>
      <c r="W259">
        <f>HYPERLINK("https://klasma.github.io/Logging_2303/artfynd/A 30832-2026 artfynd.xlsx", "A 30832-2026")</f>
        <v/>
      </c>
      <c r="X259">
        <f>HYPERLINK("https://klasma.github.io/Logging_2303/kartor/A 30832-2026 karta.png", "A 30832-2026")</f>
        <v/>
      </c>
      <c r="Y259">
        <f>HYPERLINK("https://klasma.github.io/Logging_2303/kartor_geotiff/A 30832-2026 georefererad karta.tif", "A 30832-2026")</f>
        <v/>
      </c>
      <c r="Z259">
        <f>HYPERLINK("https://klasma.github.io/Logging_2303/knärot/A 30832-2026 karta knärot.png", "A 30832-2026")</f>
        <v/>
      </c>
      <c r="AA259">
        <f>HYPERLINK("https://klasma.github.io/Logging_2303/klagomål/A 30832-2026 FSC-klagomål.docx", "A 30832-2026")</f>
        <v/>
      </c>
      <c r="AB259">
        <f>HYPERLINK("https://klasma.github.io/Logging_2303/klagomålsmail/A 30832-2026 FSC-klagomål mail.docx", "A 30832-2026")</f>
        <v/>
      </c>
      <c r="AC259">
        <f>HYPERLINK("https://klasma.github.io/Logging_2303/tillsyn/A 30832-2026 tillsynsbegäran.docx", "A 30832-2026")</f>
        <v/>
      </c>
      <c r="AD259">
        <f>HYPERLINK("https://klasma.github.io/Logging_2303/tillsynsmail/A 30832-2026 tillsynsbegäran mail.docx", "A 30832-2026")</f>
        <v/>
      </c>
    </row>
    <row r="260" ht="15" customHeight="1">
      <c r="A260" t="inlineStr">
        <is>
          <t>A 58846-2024</t>
        </is>
      </c>
      <c r="B260" t="inlineStr">
        <is>
          <t>avverkningsanmälan</t>
        </is>
      </c>
      <c r="C260" t="inlineStr">
        <is>
          <t>Föryngringsavverkning</t>
        </is>
      </c>
      <c r="D260" s="1" t="n">
        <v>45636</v>
      </c>
      <c r="E260" s="1" t="n">
        <v>46319</v>
      </c>
      <c r="F260" t="inlineStr">
        <is>
          <t>JÄMTLANDS LÄN</t>
        </is>
      </c>
      <c r="G260" t="inlineStr">
        <is>
          <t>RAGUNDA</t>
        </is>
      </c>
      <c r="H260" t="inlineStr">
        <is>
          <t>SCA</t>
        </is>
      </c>
      <c r="I260" t="n">
        <v>1.5</v>
      </c>
      <c r="J260" t="n">
        <v>0</v>
      </c>
      <c r="K260" t="n">
        <v>0</v>
      </c>
      <c r="L260" t="n">
        <v>1</v>
      </c>
      <c r="M260" t="n">
        <v>0</v>
      </c>
      <c r="N260" t="n">
        <v>0</v>
      </c>
      <c r="O260" t="n">
        <v>0</v>
      </c>
      <c r="P260" t="n">
        <v>0</v>
      </c>
      <c r="Q260" t="n">
        <v>1</v>
      </c>
      <c r="R260" t="n">
        <v>0</v>
      </c>
      <c r="S260" t="n">
        <v>1</v>
      </c>
      <c r="T260" t="n">
        <v>1</v>
      </c>
      <c r="U260" t="n">
        <v>0</v>
      </c>
      <c r="V260" s="2" t="inlineStr">
        <is>
          <t>Rynkskinn</t>
        </is>
      </c>
      <c r="W260">
        <f>HYPERLINK("https://klasma.github.io/Logging_2303/artfynd/A 58846-2024 artfynd.xlsx", "A 58846-2024")</f>
        <v/>
      </c>
      <c r="X260">
        <f>HYPERLINK("https://klasma.github.io/Logging_2303/kartor/A 58846-2024 karta.png", "A 58846-2024")</f>
        <v/>
      </c>
      <c r="Y260">
        <f>HYPERLINK("https://klasma.github.io/Logging_2303/kartor_geotiff/A 58846-2024 georefererad karta.tif", "A 58846-2024")</f>
        <v/>
      </c>
      <c r="AA260">
        <f>HYPERLINK("https://klasma.github.io/Logging_2303/klagomål/A 58846-2024 FSC-klagomål.docx", "A 58846-2024")</f>
        <v/>
      </c>
      <c r="AB260">
        <f>HYPERLINK("https://klasma.github.io/Logging_2303/klagomålsmail/A 58846-2024 FSC-klagomål mail.docx", "A 58846-2024")</f>
        <v/>
      </c>
      <c r="AC260">
        <f>HYPERLINK("https://klasma.github.io/Logging_2303/tillsyn/A 58846-2024 tillsynsbegäran.docx", "A 58846-2024")</f>
        <v/>
      </c>
      <c r="AD260">
        <f>HYPERLINK("https://klasma.github.io/Logging_2303/tillsynsmail/A 58846-2024 tillsynsbegäran mail.docx", "A 58846-2024")</f>
        <v/>
      </c>
    </row>
    <row r="261" ht="15" customHeight="1">
      <c r="A261" t="inlineStr">
        <is>
          <t>A 21331-2025</t>
        </is>
      </c>
      <c r="B261" t="inlineStr">
        <is>
          <t>avverkningsanmälan</t>
        </is>
      </c>
      <c r="C261" t="inlineStr">
        <is>
          <t>Föryngringsavverkning</t>
        </is>
      </c>
      <c r="D261" s="1" t="n">
        <v>45782</v>
      </c>
      <c r="E261" s="1" t="n">
        <v>46319</v>
      </c>
      <c r="F261" t="inlineStr">
        <is>
          <t>JÄMTLANDS LÄN</t>
        </is>
      </c>
      <c r="G261" t="inlineStr">
        <is>
          <t>RAGUNDA</t>
        </is>
      </c>
      <c r="H261" t="inlineStr">
        <is>
          <t>SCA</t>
        </is>
      </c>
      <c r="I261" t="n">
        <v>23.1</v>
      </c>
      <c r="J261" t="n">
        <v>0</v>
      </c>
      <c r="K261" t="n">
        <v>0</v>
      </c>
      <c r="L261" t="n">
        <v>0</v>
      </c>
      <c r="M261" t="n">
        <v>1</v>
      </c>
      <c r="N261" t="n">
        <v>0</v>
      </c>
      <c r="O261" t="n">
        <v>0</v>
      </c>
      <c r="P261" t="n">
        <v>0</v>
      </c>
      <c r="Q261" t="n">
        <v>1</v>
      </c>
      <c r="R261" t="n">
        <v>1</v>
      </c>
      <c r="S261" t="n">
        <v>1</v>
      </c>
      <c r="T261" t="n">
        <v>1</v>
      </c>
      <c r="U261" t="n">
        <v>1</v>
      </c>
      <c r="V261" s="2" t="inlineStr">
        <is>
          <t>Garnlav</t>
        </is>
      </c>
      <c r="W261">
        <f>HYPERLINK("https://klasma.github.io/Logging_2303/artfynd/A 21331-2025 artfynd.xlsx", "A 21331-2025")</f>
        <v/>
      </c>
      <c r="X261">
        <f>HYPERLINK("https://klasma.github.io/Logging_2303/kartor/A 21331-2025 karta.png", "A 21331-2025")</f>
        <v/>
      </c>
      <c r="Y261">
        <f>HYPERLINK("https://klasma.github.io/Logging_2303/kartor_geotiff/A 21331-2025 georefererad karta.tif", "A 21331-2025")</f>
        <v/>
      </c>
      <c r="Z261">
        <f>HYPERLINK("https://klasma.github.io/Logging_2303/knärot/A 21331-2025 karta knärot.png", "A 21331-2025")</f>
        <v/>
      </c>
      <c r="AA261">
        <f>HYPERLINK("https://klasma.github.io/Logging_2303/klagomål/A 21331-2025 FSC-klagomål.docx", "A 21331-2025")</f>
        <v/>
      </c>
      <c r="AB261">
        <f>HYPERLINK("https://klasma.github.io/Logging_2303/klagomålsmail/A 21331-2025 FSC-klagomål mail.docx", "A 21331-2025")</f>
        <v/>
      </c>
      <c r="AC261">
        <f>HYPERLINK("https://klasma.github.io/Logging_2303/tillsyn/A 21331-2025 tillsynsbegäran.docx", "A 21331-2025")</f>
        <v/>
      </c>
      <c r="AD261">
        <f>HYPERLINK("https://klasma.github.io/Logging_2303/tillsynsmail/A 21331-2025 tillsynsbegäran mail.docx", "A 21331-2025")</f>
        <v/>
      </c>
    </row>
    <row r="262" ht="15" customHeight="1">
      <c r="A262" t="inlineStr">
        <is>
          <t>A 21212-2025</t>
        </is>
      </c>
      <c r="B262" t="inlineStr">
        <is>
          <t>avverkningsanmälan</t>
        </is>
      </c>
      <c r="C262" t="inlineStr">
        <is>
          <t>Föryngringsavverkning</t>
        </is>
      </c>
      <c r="D262" s="1" t="n">
        <v>45779</v>
      </c>
      <c r="E262" s="1" t="n">
        <v>46319</v>
      </c>
      <c r="F262" t="inlineStr">
        <is>
          <t>JÄMTLANDS LÄN</t>
        </is>
      </c>
      <c r="G262" t="inlineStr">
        <is>
          <t>RAGUNDA</t>
        </is>
      </c>
      <c r="H262" t="inlineStr">
        <is>
          <t>SCA</t>
        </is>
      </c>
      <c r="I262" t="n">
        <v>2.6</v>
      </c>
      <c r="J262" t="n">
        <v>0</v>
      </c>
      <c r="K262" t="n">
        <v>0</v>
      </c>
      <c r="L262" t="n">
        <v>0</v>
      </c>
      <c r="M262" t="n">
        <v>1</v>
      </c>
      <c r="N262" t="n">
        <v>0</v>
      </c>
      <c r="O262" t="n">
        <v>0</v>
      </c>
      <c r="P262" t="n">
        <v>0</v>
      </c>
      <c r="Q262" t="n">
        <v>1</v>
      </c>
      <c r="R262" t="n">
        <v>1</v>
      </c>
      <c r="S262" t="n">
        <v>1</v>
      </c>
      <c r="T262" t="n">
        <v>1</v>
      </c>
      <c r="U262" t="n">
        <v>0</v>
      </c>
      <c r="V262" s="2" t="inlineStr">
        <is>
          <t>Garnlav</t>
        </is>
      </c>
      <c r="W262">
        <f>HYPERLINK("https://klasma.github.io/Logging_2303/artfynd/A 21212-2025 artfynd.xlsx", "A 21212-2025")</f>
        <v/>
      </c>
      <c r="X262">
        <f>HYPERLINK("https://klasma.github.io/Logging_2303/kartor/A 21212-2025 karta.png", "A 21212-2025")</f>
        <v/>
      </c>
      <c r="Y262">
        <f>HYPERLINK("https://klasma.github.io/Logging_2303/kartor_geotiff/A 21212-2025 georefererad karta.tif", "A 21212-2025")</f>
        <v/>
      </c>
      <c r="AA262">
        <f>HYPERLINK("https://klasma.github.io/Logging_2303/klagomål/A 21212-2025 FSC-klagomål.docx", "A 21212-2025")</f>
        <v/>
      </c>
      <c r="AB262">
        <f>HYPERLINK("https://klasma.github.io/Logging_2303/klagomålsmail/A 21212-2025 FSC-klagomål mail.docx", "A 21212-2025")</f>
        <v/>
      </c>
      <c r="AC262">
        <f>HYPERLINK("https://klasma.github.io/Logging_2303/tillsyn/A 21212-2025 tillsynsbegäran.docx", "A 21212-2025")</f>
        <v/>
      </c>
      <c r="AD262">
        <f>HYPERLINK("https://klasma.github.io/Logging_2303/tillsynsmail/A 21212-2025 tillsynsbegäran mail.docx", "A 21212-2025")</f>
        <v/>
      </c>
    </row>
    <row r="263" ht="15" customHeight="1">
      <c r="A263" t="inlineStr">
        <is>
          <t>A 31750-2026</t>
        </is>
      </c>
      <c r="B263" t="inlineStr">
        <is>
          <t>avverkningsanmälan</t>
        </is>
      </c>
      <c r="C263" t="inlineStr">
        <is>
          <t>Föryngringsavverkning</t>
        </is>
      </c>
      <c r="D263" s="1" t="n">
        <v>46227</v>
      </c>
      <c r="E263" s="1" t="n">
        <v>46319</v>
      </c>
      <c r="F263" t="inlineStr">
        <is>
          <t>JÄMTLANDS LÄN</t>
        </is>
      </c>
      <c r="G263" t="inlineStr">
        <is>
          <t>RAGUNDA</t>
        </is>
      </c>
      <c r="I263" t="n">
        <v>4.5</v>
      </c>
      <c r="J263" t="n">
        <v>0</v>
      </c>
      <c r="K263" t="n">
        <v>0</v>
      </c>
      <c r="L263" t="n">
        <v>0</v>
      </c>
      <c r="M263" t="n">
        <v>1</v>
      </c>
      <c r="N263" t="n">
        <v>0</v>
      </c>
      <c r="O263" t="n">
        <v>0</v>
      </c>
      <c r="P263" t="n">
        <v>0</v>
      </c>
      <c r="Q263" t="n">
        <v>1</v>
      </c>
      <c r="R263" t="n">
        <v>1</v>
      </c>
      <c r="S263" t="n">
        <v>1</v>
      </c>
      <c r="T263" t="n">
        <v>1</v>
      </c>
      <c r="U263" t="n">
        <v>0</v>
      </c>
      <c r="V263" s="2" t="inlineStr">
        <is>
          <t>Garnlav</t>
        </is>
      </c>
      <c r="W263">
        <f>HYPERLINK("https://klasma.github.io/Logging_2303/artfynd/A 31750-2026 artfynd.xlsx", "A 31750-2026")</f>
        <v/>
      </c>
      <c r="X263">
        <f>HYPERLINK("https://klasma.github.io/Logging_2303/kartor/A 31750-2026 karta.png", "A 31750-2026")</f>
        <v/>
      </c>
      <c r="Y263">
        <f>HYPERLINK("https://klasma.github.io/Logging_2303/kartor_geotiff/A 31750-2026 georefererad karta.tif", "A 31750-2026")</f>
        <v/>
      </c>
      <c r="AA263">
        <f>HYPERLINK("https://klasma.github.io/Logging_2303/klagomål/A 31750-2026 FSC-klagomål.docx", "A 31750-2026")</f>
        <v/>
      </c>
      <c r="AB263">
        <f>HYPERLINK("https://klasma.github.io/Logging_2303/klagomålsmail/A 31750-2026 FSC-klagomål mail.docx", "A 31750-2026")</f>
        <v/>
      </c>
      <c r="AC263">
        <f>HYPERLINK("https://klasma.github.io/Logging_2303/tillsyn/A 31750-2026 tillsynsbegäran.docx", "A 31750-2026")</f>
        <v/>
      </c>
      <c r="AD263">
        <f>HYPERLINK("https://klasma.github.io/Logging_2303/tillsynsmail/A 31750-2026 tillsynsbegäran mail.docx", "A 31750-2026")</f>
        <v/>
      </c>
    </row>
    <row r="264" ht="15" customHeight="1">
      <c r="A264" t="inlineStr">
        <is>
          <t>A 31744-2026</t>
        </is>
      </c>
      <c r="B264" t="inlineStr">
        <is>
          <t>avverkningsanmälan</t>
        </is>
      </c>
      <c r="C264" t="inlineStr">
        <is>
          <t>Föryngringsavverkning</t>
        </is>
      </c>
      <c r="D264" s="1" t="n">
        <v>46227</v>
      </c>
      <c r="E264" s="1" t="n">
        <v>46319</v>
      </c>
      <c r="F264" t="inlineStr">
        <is>
          <t>JÄMTLANDS LÄN</t>
        </is>
      </c>
      <c r="G264" t="inlineStr">
        <is>
          <t>RAGUNDA</t>
        </is>
      </c>
      <c r="I264" t="n">
        <v>2.4</v>
      </c>
      <c r="J264" t="n">
        <v>0</v>
      </c>
      <c r="K264" t="n">
        <v>0</v>
      </c>
      <c r="L264" t="n">
        <v>1</v>
      </c>
      <c r="M264" t="n">
        <v>0</v>
      </c>
      <c r="N264" t="n">
        <v>0</v>
      </c>
      <c r="O264" t="n">
        <v>0</v>
      </c>
      <c r="P264" t="n">
        <v>0</v>
      </c>
      <c r="Q264" t="n">
        <v>1</v>
      </c>
      <c r="R264" t="n">
        <v>0</v>
      </c>
      <c r="S264" t="n">
        <v>1</v>
      </c>
      <c r="T264" t="n">
        <v>1</v>
      </c>
      <c r="U264" t="n">
        <v>0</v>
      </c>
      <c r="V264" s="2" t="inlineStr">
        <is>
          <t>Vedtrappmossa</t>
        </is>
      </c>
      <c r="W264">
        <f>HYPERLINK("https://klasma.github.io/Logging_2303/artfynd/A 31744-2026 artfynd.xlsx", "A 31744-2026")</f>
        <v/>
      </c>
      <c r="X264">
        <f>HYPERLINK("https://klasma.github.io/Logging_2303/kartor/A 31744-2026 karta.png", "A 31744-2026")</f>
        <v/>
      </c>
      <c r="Y264">
        <f>HYPERLINK("https://klasma.github.io/Logging_2303/kartor_geotiff/A 31744-2026 georefererad karta.tif", "A 31744-2026")</f>
        <v/>
      </c>
      <c r="AA264">
        <f>HYPERLINK("https://klasma.github.io/Logging_2303/klagomål/A 31744-2026 FSC-klagomål.docx", "A 31744-2026")</f>
        <v/>
      </c>
      <c r="AB264">
        <f>HYPERLINK("https://klasma.github.io/Logging_2303/klagomålsmail/A 31744-2026 FSC-klagomål mail.docx", "A 31744-2026")</f>
        <v/>
      </c>
      <c r="AC264">
        <f>HYPERLINK("https://klasma.github.io/Logging_2303/tillsyn/A 31744-2026 tillsynsbegäran.docx", "A 31744-2026")</f>
        <v/>
      </c>
      <c r="AD264">
        <f>HYPERLINK("https://klasma.github.io/Logging_2303/tillsynsmail/A 31744-2026 tillsynsbegäran mail.docx", "A 31744-2026")</f>
        <v/>
      </c>
    </row>
    <row r="265" ht="15" customHeight="1">
      <c r="A265" t="inlineStr">
        <is>
          <t>A 32060-2026</t>
        </is>
      </c>
      <c r="B265" t="inlineStr">
        <is>
          <t>avverkningsanmälan</t>
        </is>
      </c>
      <c r="C265" t="inlineStr">
        <is>
          <t>Föryngringsavverkning</t>
        </is>
      </c>
      <c r="D265" s="1" t="n">
        <v>46233</v>
      </c>
      <c r="E265" s="1" t="n">
        <v>46319</v>
      </c>
      <c r="F265" t="inlineStr">
        <is>
          <t>JÄMTLANDS LÄN</t>
        </is>
      </c>
      <c r="G265" t="inlineStr">
        <is>
          <t>RAGUNDA</t>
        </is>
      </c>
      <c r="H265" t="inlineStr">
        <is>
          <t>SCA</t>
        </is>
      </c>
      <c r="I265" t="n">
        <v>1.7</v>
      </c>
      <c r="J265" t="n">
        <v>1</v>
      </c>
      <c r="K265" t="n">
        <v>0</v>
      </c>
      <c r="L265" t="n">
        <v>1</v>
      </c>
      <c r="M265" t="n">
        <v>0</v>
      </c>
      <c r="N265" t="n">
        <v>0</v>
      </c>
      <c r="O265" t="n">
        <v>0</v>
      </c>
      <c r="P265" t="n">
        <v>0</v>
      </c>
      <c r="Q265" t="n">
        <v>1</v>
      </c>
      <c r="R265" t="n">
        <v>0</v>
      </c>
      <c r="S265" t="n">
        <v>1</v>
      </c>
      <c r="T265" t="n">
        <v>1</v>
      </c>
      <c r="U265" t="n">
        <v>0</v>
      </c>
      <c r="V265" s="2" t="inlineStr">
        <is>
          <t>Skogsfru</t>
        </is>
      </c>
      <c r="W265">
        <f>HYPERLINK("https://klasma.github.io/Logging_2303/artfynd/A 32060-2026 artfynd.xlsx", "A 32060-2026")</f>
        <v/>
      </c>
      <c r="X265">
        <f>HYPERLINK("https://klasma.github.io/Logging_2303/kartor/A 32060-2026 karta.png", "A 32060-2026")</f>
        <v/>
      </c>
      <c r="Y265">
        <f>HYPERLINK("https://klasma.github.io/Logging_2303/kartor_geotiff/A 32060-2026 georefererad karta.tif", "A 32060-2026")</f>
        <v/>
      </c>
      <c r="AA265">
        <f>HYPERLINK("https://klasma.github.io/Logging_2303/klagomål/A 32060-2026 FSC-klagomål.docx", "A 32060-2026")</f>
        <v/>
      </c>
      <c r="AB265">
        <f>HYPERLINK("https://klasma.github.io/Logging_2303/klagomålsmail/A 32060-2026 FSC-klagomål mail.docx", "A 32060-2026")</f>
        <v/>
      </c>
      <c r="AC265">
        <f>HYPERLINK("https://klasma.github.io/Logging_2303/tillsyn/A 32060-2026 tillsynsbegäran.docx", "A 32060-2026")</f>
        <v/>
      </c>
      <c r="AD265">
        <f>HYPERLINK("https://klasma.github.io/Logging_2303/tillsynsmail/A 32060-2026 tillsynsbegäran mail.docx", "A 32060-2026")</f>
        <v/>
      </c>
    </row>
    <row r="266" ht="15" customHeight="1">
      <c r="A266" t="inlineStr">
        <is>
          <t>A 44066-2024</t>
        </is>
      </c>
      <c r="B266" t="inlineStr">
        <is>
          <t>avverkningsanmälan</t>
        </is>
      </c>
      <c r="C266" t="inlineStr">
        <is>
          <t>Föryngringsavverkning</t>
        </is>
      </c>
      <c r="D266" s="1" t="n">
        <v>45572</v>
      </c>
      <c r="E266" s="1" t="n">
        <v>46319</v>
      </c>
      <c r="F266" t="inlineStr">
        <is>
          <t>JÄMTLANDS LÄN</t>
        </is>
      </c>
      <c r="G266" t="inlineStr">
        <is>
          <t>RAGUNDA</t>
        </is>
      </c>
      <c r="I266" t="n">
        <v>6.4</v>
      </c>
      <c r="J266" t="n">
        <v>1</v>
      </c>
      <c r="K266" t="n">
        <v>0</v>
      </c>
      <c r="L266" t="n">
        <v>1</v>
      </c>
      <c r="M266" t="n">
        <v>0</v>
      </c>
      <c r="N266" t="n">
        <v>0</v>
      </c>
      <c r="O266" t="n">
        <v>0</v>
      </c>
      <c r="P266" t="n">
        <v>0</v>
      </c>
      <c r="Q266" t="n">
        <v>1</v>
      </c>
      <c r="R266" t="n">
        <v>0</v>
      </c>
      <c r="S266" t="n">
        <v>1</v>
      </c>
      <c r="T266" t="n">
        <v>1</v>
      </c>
      <c r="U266" t="n">
        <v>1</v>
      </c>
      <c r="V266" s="2" t="inlineStr">
        <is>
          <t>Tretåig hackspett</t>
        </is>
      </c>
      <c r="W266">
        <f>HYPERLINK("https://klasma.github.io/Logging_2303/artfynd/A 44066-2024 artfynd.xlsx", "A 44066-2024")</f>
        <v/>
      </c>
      <c r="X266">
        <f>HYPERLINK("https://klasma.github.io/Logging_2303/kartor/A 44066-2024 karta.png", "A 44066-2024")</f>
        <v/>
      </c>
      <c r="Y266">
        <f>HYPERLINK("https://klasma.github.io/Logging_2303/kartor_geotiff/A 44066-2024 georefererad karta.tif", "A 44066-2024")</f>
        <v/>
      </c>
      <c r="AA266">
        <f>HYPERLINK("https://klasma.github.io/Logging_2303/klagomål/A 44066-2024 FSC-klagomål.docx", "A 44066-2024")</f>
        <v/>
      </c>
      <c r="AB266">
        <f>HYPERLINK("https://klasma.github.io/Logging_2303/klagomålsmail/A 44066-2024 FSC-klagomål mail.docx", "A 44066-2024")</f>
        <v/>
      </c>
      <c r="AC266">
        <f>HYPERLINK("https://klasma.github.io/Logging_2303/tillsyn/A 44066-2024 tillsynsbegäran.docx", "A 44066-2024")</f>
        <v/>
      </c>
      <c r="AD266">
        <f>HYPERLINK("https://klasma.github.io/Logging_2303/tillsynsmail/A 44066-2024 tillsynsbegäran mail.docx", "A 44066-2024")</f>
        <v/>
      </c>
      <c r="AE266">
        <f>HYPERLINK("https://klasma.github.io/Logging_2303/fåglar/A 44066-2024 prioriterade fågelarter.docx", "A 44066-2024")</f>
        <v/>
      </c>
    </row>
    <row r="267" ht="15" customHeight="1">
      <c r="A267" t="inlineStr">
        <is>
          <t>A 38931-2026</t>
        </is>
      </c>
      <c r="B267" t="inlineStr">
        <is>
          <t>avverkningsanmälan</t>
        </is>
      </c>
      <c r="C267" t="inlineStr">
        <is>
          <t>Föryngringsavverkning</t>
        </is>
      </c>
      <c r="D267" s="1" t="n">
        <v>46286</v>
      </c>
      <c r="E267" s="1" t="n">
        <v>46319</v>
      </c>
      <c r="F267" t="inlineStr">
        <is>
          <t>JÄMTLANDS LÄN</t>
        </is>
      </c>
      <c r="G267" t="inlineStr">
        <is>
          <t>RAGUNDA</t>
        </is>
      </c>
      <c r="I267" t="n">
        <v>6.7</v>
      </c>
      <c r="J267" t="n">
        <v>0</v>
      </c>
      <c r="K267" t="n">
        <v>0</v>
      </c>
      <c r="L267" t="n">
        <v>1</v>
      </c>
      <c r="M267" t="n">
        <v>0</v>
      </c>
      <c r="N267" t="n">
        <v>0</v>
      </c>
      <c r="O267" t="n">
        <v>0</v>
      </c>
      <c r="P267" t="n">
        <v>0</v>
      </c>
      <c r="Q267" t="n">
        <v>1</v>
      </c>
      <c r="R267" t="n">
        <v>0</v>
      </c>
      <c r="S267" t="n">
        <v>1</v>
      </c>
      <c r="T267" t="n">
        <v>1</v>
      </c>
      <c r="U267" t="n">
        <v>0</v>
      </c>
      <c r="V267" s="2" t="inlineStr">
        <is>
          <t>Ullticka</t>
        </is>
      </c>
      <c r="W267">
        <f>HYPERLINK("https://klasma.github.io/Logging_2303/artfynd/A 38931-2026 artfynd.xlsx", "A 38931-2026")</f>
        <v/>
      </c>
      <c r="X267">
        <f>HYPERLINK("https://klasma.github.io/Logging_2303/kartor/A 38931-2026 karta.png", "A 38931-2026")</f>
        <v/>
      </c>
      <c r="Y267">
        <f>HYPERLINK("https://klasma.github.io/Logging_2303/kartor_geotiff/A 38931-2026 georefererad karta.tif", "A 38931-2026")</f>
        <v/>
      </c>
      <c r="AA267">
        <f>HYPERLINK("https://klasma.github.io/Logging_2303/klagomål/A 38931-2026 FSC-klagomål.docx", "A 38931-2026")</f>
        <v/>
      </c>
      <c r="AB267">
        <f>HYPERLINK("https://klasma.github.io/Logging_2303/klagomålsmail/A 38931-2026 FSC-klagomål mail.docx", "A 38931-2026")</f>
        <v/>
      </c>
      <c r="AC267">
        <f>HYPERLINK("https://klasma.github.io/Logging_2303/tillsyn/A 38931-2026 tillsynsbegäran.docx", "A 38931-2026")</f>
        <v/>
      </c>
      <c r="AD267">
        <f>HYPERLINK("https://klasma.github.io/Logging_2303/tillsynsmail/A 38931-2026 tillsynsbegäran mail.docx", "A 38931-2026")</f>
        <v/>
      </c>
    </row>
    <row r="268" ht="15" customHeight="1">
      <c r="A268" t="inlineStr">
        <is>
          <t>A 23253-2025</t>
        </is>
      </c>
      <c r="B268" t="inlineStr">
        <is>
          <t>avverkningsanmälan</t>
        </is>
      </c>
      <c r="C268" t="inlineStr">
        <is>
          <t>Föryngringsavverkning</t>
        </is>
      </c>
      <c r="D268" s="1" t="n">
        <v>45791</v>
      </c>
      <c r="E268" s="1" t="n">
        <v>46319</v>
      </c>
      <c r="F268" t="inlineStr">
        <is>
          <t>JÄMTLANDS LÄN</t>
        </is>
      </c>
      <c r="G268" t="inlineStr">
        <is>
          <t>RAGUNDA</t>
        </is>
      </c>
      <c r="I268" t="n">
        <v>0.7</v>
      </c>
      <c r="J268" t="n">
        <v>1</v>
      </c>
      <c r="K268" t="n">
        <v>0</v>
      </c>
      <c r="L268" t="n">
        <v>0</v>
      </c>
      <c r="M268" t="n">
        <v>0</v>
      </c>
      <c r="N268" t="n">
        <v>0</v>
      </c>
      <c r="O268" t="n">
        <v>0</v>
      </c>
      <c r="P268" t="n">
        <v>0</v>
      </c>
      <c r="Q268" t="n">
        <v>0</v>
      </c>
      <c r="R268" t="n">
        <v>0</v>
      </c>
      <c r="S268" t="n">
        <v>1</v>
      </c>
      <c r="T268" t="n">
        <v>1</v>
      </c>
      <c r="U268" t="n">
        <v>1</v>
      </c>
      <c r="V268" s="2" t="inlineStr">
        <is>
          <t>Brudsporre</t>
        </is>
      </c>
      <c r="W268">
        <f>HYPERLINK("https://klasma.github.io/Logging_2303/artfynd/A 23253-2025 artfynd.xlsx", "A 23253-2025")</f>
        <v/>
      </c>
      <c r="X268">
        <f>HYPERLINK("https://klasma.github.io/Logging_2303/kartor/A 23253-2025 karta.png", "A 23253-2025")</f>
        <v/>
      </c>
      <c r="Y268">
        <f>HYPERLINK("https://klasma.github.io/Logging_2303/kartor_geotiff/A 23253-2025 georefererad karta.tif", "A 23253-2025")</f>
        <v/>
      </c>
      <c r="AA268">
        <f>HYPERLINK("https://klasma.github.io/Logging_2303/klagomål/A 23253-2025 FSC-klagomål.docx", "A 23253-2025")</f>
        <v/>
      </c>
      <c r="AB268">
        <f>HYPERLINK("https://klasma.github.io/Logging_2303/klagomålsmail/A 23253-2025 FSC-klagomål mail.docx", "A 23253-2025")</f>
        <v/>
      </c>
      <c r="AC268">
        <f>HYPERLINK("https://klasma.github.io/Logging_2303/tillsyn/A 23253-2025 tillsynsbegäran.docx", "A 23253-2025")</f>
        <v/>
      </c>
      <c r="AD268">
        <f>HYPERLINK("https://klasma.github.io/Logging_2303/tillsynsmail/A 23253-2025 tillsynsbegäran mail.docx", "A 23253-2025")</f>
        <v/>
      </c>
    </row>
    <row r="269" ht="15" customHeight="1">
      <c r="A269" t="inlineStr">
        <is>
          <t>A 2097-2026</t>
        </is>
      </c>
      <c r="B269" t="inlineStr">
        <is>
          <t>avverkningsanmälan</t>
        </is>
      </c>
      <c r="C269" t="inlineStr">
        <is>
          <t>Föryngringsavverkning</t>
        </is>
      </c>
      <c r="D269" s="1" t="n">
        <v>46036</v>
      </c>
      <c r="E269" s="1" t="n">
        <v>46319</v>
      </c>
      <c r="F269" t="inlineStr">
        <is>
          <t>JÄMTLANDS LÄN</t>
        </is>
      </c>
      <c r="G269" t="inlineStr">
        <is>
          <t>RAGUNDA</t>
        </is>
      </c>
      <c r="H269" t="inlineStr">
        <is>
          <t>SCA</t>
        </is>
      </c>
      <c r="I269" t="n">
        <v>0.9</v>
      </c>
      <c r="J269" t="n">
        <v>0</v>
      </c>
      <c r="K269" t="n">
        <v>0</v>
      </c>
      <c r="L269" t="n">
        <v>0</v>
      </c>
      <c r="M269" t="n">
        <v>0</v>
      </c>
      <c r="N269" t="n">
        <v>1</v>
      </c>
      <c r="O269" t="n">
        <v>0</v>
      </c>
      <c r="P269" t="n">
        <v>0</v>
      </c>
      <c r="Q269" t="n">
        <v>1</v>
      </c>
      <c r="R269" t="n">
        <v>1</v>
      </c>
      <c r="S269" t="n">
        <v>1</v>
      </c>
      <c r="T269" t="n">
        <v>1</v>
      </c>
      <c r="U269" t="n">
        <v>0</v>
      </c>
      <c r="V269" s="2" t="inlineStr">
        <is>
          <t>Trolldruvemätare</t>
        </is>
      </c>
      <c r="W269">
        <f>HYPERLINK("https://klasma.github.io/Logging_2303/artfynd/A 2097-2026 artfynd.xlsx", "A 2097-2026")</f>
        <v/>
      </c>
      <c r="X269">
        <f>HYPERLINK("https://klasma.github.io/Logging_2303/kartor/A 2097-2026 karta.png", "A 2097-2026")</f>
        <v/>
      </c>
      <c r="Y269">
        <f>HYPERLINK("https://klasma.github.io/Logging_2303/kartor_geotiff/A 2097-2026 georefererad karta.tif", "A 2097-2026")</f>
        <v/>
      </c>
      <c r="AA269">
        <f>HYPERLINK("https://klasma.github.io/Logging_2303/klagomål/A 2097-2026 FSC-klagomål.docx", "A 2097-2026")</f>
        <v/>
      </c>
      <c r="AB269">
        <f>HYPERLINK("https://klasma.github.io/Logging_2303/klagomålsmail/A 2097-2026 FSC-klagomål mail.docx", "A 2097-2026")</f>
        <v/>
      </c>
      <c r="AC269">
        <f>HYPERLINK("https://klasma.github.io/Logging_2303/tillsyn/A 2097-2026 tillsynsbegäran.docx", "A 2097-2026")</f>
        <v/>
      </c>
      <c r="AD269">
        <f>HYPERLINK("https://klasma.github.io/Logging_2303/tillsynsmail/A 2097-2026 tillsynsbegäran mail.docx", "A 2097-2026")</f>
        <v/>
      </c>
    </row>
    <row r="270" ht="15" customHeight="1">
      <c r="A270" t="inlineStr">
        <is>
          <t>A 22054-2025</t>
        </is>
      </c>
      <c r="B270" t="inlineStr">
        <is>
          <t>avverkningsanmälan</t>
        </is>
      </c>
      <c r="C270" t="inlineStr">
        <is>
          <t>Föryngringsavverkning</t>
        </is>
      </c>
      <c r="D270" s="1" t="n">
        <v>45785</v>
      </c>
      <c r="E270" s="1" t="n">
        <v>46319</v>
      </c>
      <c r="F270" t="inlineStr">
        <is>
          <t>JÄMTLANDS LÄN</t>
        </is>
      </c>
      <c r="G270" t="inlineStr">
        <is>
          <t>RAGUNDA</t>
        </is>
      </c>
      <c r="H270" t="inlineStr">
        <is>
          <t>SCA</t>
        </is>
      </c>
      <c r="I270" t="n">
        <v>4</v>
      </c>
      <c r="J270" t="n">
        <v>1</v>
      </c>
      <c r="K270" t="n">
        <v>0</v>
      </c>
      <c r="L270" t="n">
        <v>1</v>
      </c>
      <c r="M270" t="n">
        <v>0</v>
      </c>
      <c r="N270" t="n">
        <v>0</v>
      </c>
      <c r="O270" t="n">
        <v>0</v>
      </c>
      <c r="P270" t="n">
        <v>0</v>
      </c>
      <c r="Q270" t="n">
        <v>1</v>
      </c>
      <c r="R270" t="n">
        <v>0</v>
      </c>
      <c r="S270" t="n">
        <v>1</v>
      </c>
      <c r="T270" t="n">
        <v>10</v>
      </c>
      <c r="U270" t="n">
        <v>10</v>
      </c>
      <c r="V270" s="2" t="inlineStr">
        <is>
          <t>Tretåig hackspett</t>
        </is>
      </c>
      <c r="W270">
        <f>HYPERLINK("https://klasma.github.io/Logging_2303/artfynd/A 22054-2025 artfynd.xlsx", "A 22054-2025")</f>
        <v/>
      </c>
      <c r="X270">
        <f>HYPERLINK("https://klasma.github.io/Logging_2303/kartor/A 22054-2025 karta.png", "A 22054-2025")</f>
        <v/>
      </c>
      <c r="Y270">
        <f>HYPERLINK("https://klasma.github.io/Logging_2303/kartor_geotiff/A 22054-2025 georefererad karta.tif", "A 22054-2025")</f>
        <v/>
      </c>
      <c r="AA270">
        <f>HYPERLINK("https://klasma.github.io/Logging_2303/klagomål/A 22054-2025 FSC-klagomål.docx", "A 22054-2025")</f>
        <v/>
      </c>
      <c r="AB270">
        <f>HYPERLINK("https://klasma.github.io/Logging_2303/klagomålsmail/A 22054-2025 FSC-klagomål mail.docx", "A 22054-2025")</f>
        <v/>
      </c>
      <c r="AC270">
        <f>HYPERLINK("https://klasma.github.io/Logging_2303/tillsyn/A 22054-2025 tillsynsbegäran.docx", "A 22054-2025")</f>
        <v/>
      </c>
      <c r="AD270">
        <f>HYPERLINK("https://klasma.github.io/Logging_2303/tillsynsmail/A 22054-2025 tillsynsbegäran mail.docx", "A 22054-2025")</f>
        <v/>
      </c>
      <c r="AE270">
        <f>HYPERLINK("https://klasma.github.io/Logging_2303/fåglar/A 22054-2025 prioriterade fågelarter.docx", "A 22054-2025")</f>
        <v/>
      </c>
    </row>
    <row r="271" ht="15" customHeight="1">
      <c r="A271" t="inlineStr">
        <is>
          <t>A 24159-2025</t>
        </is>
      </c>
      <c r="B271" t="inlineStr">
        <is>
          <t>avverkningsanmälan</t>
        </is>
      </c>
      <c r="C271" t="inlineStr">
        <is>
          <t>Föryngringsavverkning</t>
        </is>
      </c>
      <c r="D271" s="1" t="n">
        <v>45796</v>
      </c>
      <c r="E271" s="1" t="n">
        <v>46319</v>
      </c>
      <c r="F271" t="inlineStr">
        <is>
          <t>JÄMTLANDS LÄN</t>
        </is>
      </c>
      <c r="G271" t="inlineStr">
        <is>
          <t>RAGUNDA</t>
        </is>
      </c>
      <c r="I271" t="n">
        <v>0.8</v>
      </c>
      <c r="J271" t="n">
        <v>0</v>
      </c>
      <c r="K271" t="n">
        <v>0</v>
      </c>
      <c r="L271" t="n">
        <v>1</v>
      </c>
      <c r="M271" t="n">
        <v>0</v>
      </c>
      <c r="N271" t="n">
        <v>0</v>
      </c>
      <c r="O271" t="n">
        <v>0</v>
      </c>
      <c r="P271" t="n">
        <v>0</v>
      </c>
      <c r="Q271" t="n">
        <v>1</v>
      </c>
      <c r="R271" t="n">
        <v>0</v>
      </c>
      <c r="S271" t="n">
        <v>1</v>
      </c>
      <c r="T271" t="n">
        <v>4</v>
      </c>
      <c r="U271" t="n">
        <v>4</v>
      </c>
      <c r="V271" s="2" t="inlineStr">
        <is>
          <t>Brunklöver</t>
        </is>
      </c>
      <c r="W271">
        <f>HYPERLINK("https://klasma.github.io/Logging_2303/artfynd/A 24159-2025 artfynd.xlsx", "A 24159-2025")</f>
        <v/>
      </c>
      <c r="X271">
        <f>HYPERLINK("https://klasma.github.io/Logging_2303/kartor/A 24159-2025 karta.png", "A 24159-2025")</f>
        <v/>
      </c>
      <c r="Y271">
        <f>HYPERLINK("https://klasma.github.io/Logging_2303/kartor_geotiff/A 24159-2025 georefererad karta.tif", "A 24159-2025")</f>
        <v/>
      </c>
      <c r="AA271">
        <f>HYPERLINK("https://klasma.github.io/Logging_2303/klagomål/A 24159-2025 FSC-klagomål.docx", "A 24159-2025")</f>
        <v/>
      </c>
      <c r="AB271">
        <f>HYPERLINK("https://klasma.github.io/Logging_2303/klagomålsmail/A 24159-2025 FSC-klagomål mail.docx", "A 24159-2025")</f>
        <v/>
      </c>
      <c r="AC271">
        <f>HYPERLINK("https://klasma.github.io/Logging_2303/tillsyn/A 24159-2025 tillsynsbegäran.docx", "A 24159-2025")</f>
        <v/>
      </c>
      <c r="AD271">
        <f>HYPERLINK("https://klasma.github.io/Logging_2303/tillsynsmail/A 24159-2025 tillsynsbegäran mail.docx", "A 24159-2025")</f>
        <v/>
      </c>
    </row>
    <row r="272" ht="15" customHeight="1">
      <c r="A272" t="inlineStr">
        <is>
          <t>A 4157-2026</t>
        </is>
      </c>
      <c r="B272" t="inlineStr">
        <is>
          <t>avverkningsanmälan</t>
        </is>
      </c>
      <c r="C272" t="inlineStr">
        <is>
          <t>Avverkning för att bevara och utveckla /försöksver</t>
        </is>
      </c>
      <c r="D272" s="1" t="n">
        <v>46044</v>
      </c>
      <c r="E272" s="1" t="n">
        <v>46319</v>
      </c>
      <c r="F272" t="inlineStr">
        <is>
          <t>JÄMTLANDS LÄN</t>
        </is>
      </c>
      <c r="G272" t="inlineStr">
        <is>
          <t>RAGUNDA</t>
        </is>
      </c>
      <c r="H272" t="inlineStr">
        <is>
          <t>SCA</t>
        </is>
      </c>
      <c r="I272" t="n">
        <v>2.6</v>
      </c>
      <c r="J272" t="n">
        <v>1</v>
      </c>
      <c r="K272" t="n">
        <v>1</v>
      </c>
      <c r="L272" t="n">
        <v>0</v>
      </c>
      <c r="M272" t="n">
        <v>0</v>
      </c>
      <c r="N272" t="n">
        <v>0</v>
      </c>
      <c r="O272" t="n">
        <v>0</v>
      </c>
      <c r="P272" t="n">
        <v>0</v>
      </c>
      <c r="Q272" t="n">
        <v>0</v>
      </c>
      <c r="R272" t="n">
        <v>0</v>
      </c>
      <c r="S272" t="n">
        <v>1</v>
      </c>
      <c r="T272" t="n">
        <v>1</v>
      </c>
      <c r="U272" t="n">
        <v>0</v>
      </c>
      <c r="V272" s="2" t="inlineStr">
        <is>
          <t>Tvåblad</t>
        </is>
      </c>
      <c r="W272">
        <f>HYPERLINK("https://klasma.github.io/Logging_2303/artfynd/A 4157-2026 artfynd.xlsx", "A 4157-2026")</f>
        <v/>
      </c>
      <c r="X272">
        <f>HYPERLINK("https://klasma.github.io/Logging_2303/kartor/A 4157-2026 karta.png", "A 4157-2026")</f>
        <v/>
      </c>
      <c r="Y272">
        <f>HYPERLINK("https://klasma.github.io/Logging_2303/kartor_geotiff/A 4157-2026 georefererad karta.tif", "A 4157-2026")</f>
        <v/>
      </c>
      <c r="AA272">
        <f>HYPERLINK("https://klasma.github.io/Logging_2303/klagomål/A 4157-2026 FSC-klagomål.docx", "A 4157-2026")</f>
        <v/>
      </c>
      <c r="AB272">
        <f>HYPERLINK("https://klasma.github.io/Logging_2303/klagomålsmail/A 4157-2026 FSC-klagomål mail.docx", "A 4157-2026")</f>
        <v/>
      </c>
      <c r="AC272">
        <f>HYPERLINK("https://klasma.github.io/Logging_2303/tillsyn/A 4157-2026 tillsynsbegäran.docx", "A 4157-2026")</f>
        <v/>
      </c>
      <c r="AD272">
        <f>HYPERLINK("https://klasma.github.io/Logging_2303/tillsynsmail/A 4157-2026 tillsynsbegäran mail.docx", "A 4157-2026")</f>
        <v/>
      </c>
    </row>
    <row r="273" ht="15" customHeight="1">
      <c r="A273" t="inlineStr">
        <is>
          <t>A 4839-2026</t>
        </is>
      </c>
      <c r="B273" t="inlineStr">
        <is>
          <t>avverkningsanmälan</t>
        </is>
      </c>
      <c r="C273" t="inlineStr">
        <is>
          <t>Föryngringsavverkning</t>
        </is>
      </c>
      <c r="D273" s="1" t="n">
        <v>46048</v>
      </c>
      <c r="E273" s="1" t="n">
        <v>46319</v>
      </c>
      <c r="F273" t="inlineStr">
        <is>
          <t>JÄMTLANDS LÄN</t>
        </is>
      </c>
      <c r="G273" t="inlineStr">
        <is>
          <t>RAGUNDA</t>
        </is>
      </c>
      <c r="H273" t="inlineStr">
        <is>
          <t>SCA</t>
        </is>
      </c>
      <c r="I273" t="n">
        <v>51</v>
      </c>
      <c r="J273" t="n">
        <v>0</v>
      </c>
      <c r="K273" t="n">
        <v>0</v>
      </c>
      <c r="L273" t="n">
        <v>1</v>
      </c>
      <c r="M273" t="n">
        <v>0</v>
      </c>
      <c r="N273" t="n">
        <v>0</v>
      </c>
      <c r="O273" t="n">
        <v>0</v>
      </c>
      <c r="P273" t="n">
        <v>0</v>
      </c>
      <c r="Q273" t="n">
        <v>1</v>
      </c>
      <c r="R273" t="n">
        <v>0</v>
      </c>
      <c r="S273" t="n">
        <v>1</v>
      </c>
      <c r="T273" t="n">
        <v>1</v>
      </c>
      <c r="U273" t="n">
        <v>0</v>
      </c>
      <c r="V273" s="2" t="inlineStr">
        <is>
          <t>Harticka</t>
        </is>
      </c>
      <c r="W273">
        <f>HYPERLINK("https://klasma.github.io/Logging_2303/artfynd/A 4839-2026 artfynd.xlsx", "A 4839-2026")</f>
        <v/>
      </c>
      <c r="X273">
        <f>HYPERLINK("https://klasma.github.io/Logging_2303/kartor/A 4839-2026 karta.png", "A 4839-2026")</f>
        <v/>
      </c>
      <c r="Y273">
        <f>HYPERLINK("https://klasma.github.io/Logging_2303/kartor_geotiff/A 4839-2026 georefererad karta.tif", "A 4839-2026")</f>
        <v/>
      </c>
      <c r="AA273">
        <f>HYPERLINK("https://klasma.github.io/Logging_2303/klagomål/A 4839-2026 FSC-klagomål.docx", "A 4839-2026")</f>
        <v/>
      </c>
      <c r="AB273">
        <f>HYPERLINK("https://klasma.github.io/Logging_2303/klagomålsmail/A 4839-2026 FSC-klagomål mail.docx", "A 4839-2026")</f>
        <v/>
      </c>
      <c r="AC273">
        <f>HYPERLINK("https://klasma.github.io/Logging_2303/tillsyn/A 4839-2026 tillsynsbegäran.docx", "A 4839-2026")</f>
        <v/>
      </c>
      <c r="AD273">
        <f>HYPERLINK("https://klasma.github.io/Logging_2303/tillsynsmail/A 4839-2026 tillsynsbegäran mail.docx", "A 4839-2026")</f>
        <v/>
      </c>
    </row>
    <row r="274" ht="15" customHeight="1">
      <c r="A274" t="inlineStr">
        <is>
          <t>A 25152-2025</t>
        </is>
      </c>
      <c r="B274" t="inlineStr">
        <is>
          <t>avverkningsanmälan</t>
        </is>
      </c>
      <c r="C274" t="inlineStr">
        <is>
          <t>Föryngringsavverkning</t>
        </is>
      </c>
      <c r="D274" s="1" t="n">
        <v>45800</v>
      </c>
      <c r="E274" s="1" t="n">
        <v>46319</v>
      </c>
      <c r="F274" t="inlineStr">
        <is>
          <t>JÄMTLANDS LÄN</t>
        </is>
      </c>
      <c r="G274" t="inlineStr">
        <is>
          <t>RAGUNDA</t>
        </is>
      </c>
      <c r="H274" t="inlineStr">
        <is>
          <t>SCA</t>
        </is>
      </c>
      <c r="I274" t="n">
        <v>1.1</v>
      </c>
      <c r="J274" t="n">
        <v>0</v>
      </c>
      <c r="K274" t="n">
        <v>0</v>
      </c>
      <c r="L274" t="n">
        <v>1</v>
      </c>
      <c r="M274" t="n">
        <v>0</v>
      </c>
      <c r="N274" t="n">
        <v>0</v>
      </c>
      <c r="O274" t="n">
        <v>0</v>
      </c>
      <c r="P274" t="n">
        <v>0</v>
      </c>
      <c r="Q274" t="n">
        <v>1</v>
      </c>
      <c r="R274" t="n">
        <v>0</v>
      </c>
      <c r="S274" t="n">
        <v>1</v>
      </c>
      <c r="T274" t="n">
        <v>1</v>
      </c>
      <c r="U274" t="n">
        <v>1</v>
      </c>
      <c r="V274" s="2" t="inlineStr">
        <is>
          <t>Kötticka</t>
        </is>
      </c>
      <c r="W274">
        <f>HYPERLINK("https://klasma.github.io/Logging_2303/artfynd/A 25152-2025 artfynd.xlsx", "A 25152-2025")</f>
        <v/>
      </c>
      <c r="X274">
        <f>HYPERLINK("https://klasma.github.io/Logging_2303/kartor/A 25152-2025 karta.png", "A 25152-2025")</f>
        <v/>
      </c>
      <c r="Y274">
        <f>HYPERLINK("https://klasma.github.io/Logging_2303/kartor_geotiff/A 25152-2025 georefererad karta.tif", "A 25152-2025")</f>
        <v/>
      </c>
      <c r="AA274">
        <f>HYPERLINK("https://klasma.github.io/Logging_2303/klagomål/A 25152-2025 FSC-klagomål.docx", "A 25152-2025")</f>
        <v/>
      </c>
      <c r="AB274">
        <f>HYPERLINK("https://klasma.github.io/Logging_2303/klagomålsmail/A 25152-2025 FSC-klagomål mail.docx", "A 25152-2025")</f>
        <v/>
      </c>
      <c r="AC274">
        <f>HYPERLINK("https://klasma.github.io/Logging_2303/tillsyn/A 25152-2025 tillsynsbegäran.docx", "A 25152-2025")</f>
        <v/>
      </c>
      <c r="AD274">
        <f>HYPERLINK("https://klasma.github.io/Logging_2303/tillsynsmail/A 25152-2025 tillsynsbegäran mail.docx", "A 25152-2025")</f>
        <v/>
      </c>
    </row>
    <row r="275" ht="15" customHeight="1">
      <c r="A275" t="inlineStr">
        <is>
          <t>A 25631-2025</t>
        </is>
      </c>
      <c r="B275" t="inlineStr">
        <is>
          <t>avverkningsanmälan</t>
        </is>
      </c>
      <c r="C275" t="inlineStr">
        <is>
          <t>Föryngringsavverkning</t>
        </is>
      </c>
      <c r="D275" s="1" t="n">
        <v>45803</v>
      </c>
      <c r="E275" s="1" t="n">
        <v>46319</v>
      </c>
      <c r="F275" t="inlineStr">
        <is>
          <t>JÄMTLANDS LÄN</t>
        </is>
      </c>
      <c r="G275" t="inlineStr">
        <is>
          <t>RAGUNDA</t>
        </is>
      </c>
      <c r="I275" t="n">
        <v>1.1</v>
      </c>
      <c r="J275" t="n">
        <v>1</v>
      </c>
      <c r="K275" t="n">
        <v>0</v>
      </c>
      <c r="L275" t="n">
        <v>0</v>
      </c>
      <c r="M275" t="n">
        <v>0</v>
      </c>
      <c r="N275" t="n">
        <v>0</v>
      </c>
      <c r="O275" t="n">
        <v>0</v>
      </c>
      <c r="P275" t="n">
        <v>0</v>
      </c>
      <c r="Q275" t="n">
        <v>0</v>
      </c>
      <c r="R275" t="n">
        <v>0</v>
      </c>
      <c r="S275" t="n">
        <v>1</v>
      </c>
      <c r="T275" t="n">
        <v>1</v>
      </c>
      <c r="U275" t="n">
        <v>0</v>
      </c>
      <c r="V275" s="2" t="inlineStr">
        <is>
          <t>Kungsfågel</t>
        </is>
      </c>
      <c r="W275">
        <f>HYPERLINK("https://klasma.github.io/Logging_2303/artfynd/A 25631-2025 artfynd.xlsx", "A 25631-2025")</f>
        <v/>
      </c>
      <c r="X275">
        <f>HYPERLINK("https://klasma.github.io/Logging_2303/kartor/A 25631-2025 karta.png", "A 25631-2025")</f>
        <v/>
      </c>
      <c r="Y275">
        <f>HYPERLINK("https://klasma.github.io/Logging_2303/kartor_geotiff/A 25631-2025 georefererad karta.tif", "A 25631-2025")</f>
        <v/>
      </c>
      <c r="AA275">
        <f>HYPERLINK("https://klasma.github.io/Logging_2303/klagomål/A 25631-2025 FSC-klagomål.docx", "A 25631-2025")</f>
        <v/>
      </c>
      <c r="AB275">
        <f>HYPERLINK("https://klasma.github.io/Logging_2303/klagomålsmail/A 25631-2025 FSC-klagomål mail.docx", "A 25631-2025")</f>
        <v/>
      </c>
      <c r="AC275">
        <f>HYPERLINK("https://klasma.github.io/Logging_2303/tillsyn/A 25631-2025 tillsynsbegäran.docx", "A 25631-2025")</f>
        <v/>
      </c>
      <c r="AD275">
        <f>HYPERLINK("https://klasma.github.io/Logging_2303/tillsynsmail/A 25631-2025 tillsynsbegäran mail.docx", "A 25631-2025")</f>
        <v/>
      </c>
    </row>
    <row r="276" ht="15" customHeight="1">
      <c r="A276" t="inlineStr">
        <is>
          <t>A 25994-2025</t>
        </is>
      </c>
      <c r="B276" t="inlineStr">
        <is>
          <t>avverkningsanmälan</t>
        </is>
      </c>
      <c r="C276" t="inlineStr">
        <is>
          <t>Föryngringsavverkning</t>
        </is>
      </c>
      <c r="D276" s="1" t="n">
        <v>45804</v>
      </c>
      <c r="E276" s="1" t="n">
        <v>46319</v>
      </c>
      <c r="F276" t="inlineStr">
        <is>
          <t>JÄMTLANDS LÄN</t>
        </is>
      </c>
      <c r="G276" t="inlineStr">
        <is>
          <t>RAGUNDA</t>
        </is>
      </c>
      <c r="H276" t="inlineStr">
        <is>
          <t>SCA</t>
        </is>
      </c>
      <c r="I276" t="n">
        <v>1.5</v>
      </c>
      <c r="J276" t="n">
        <v>0</v>
      </c>
      <c r="K276" t="n">
        <v>0</v>
      </c>
      <c r="L276" t="n">
        <v>1</v>
      </c>
      <c r="M276" t="n">
        <v>0</v>
      </c>
      <c r="N276" t="n">
        <v>0</v>
      </c>
      <c r="O276" t="n">
        <v>0</v>
      </c>
      <c r="P276" t="n">
        <v>0</v>
      </c>
      <c r="Q276" t="n">
        <v>1</v>
      </c>
      <c r="R276" t="n">
        <v>0</v>
      </c>
      <c r="S276" t="n">
        <v>1</v>
      </c>
      <c r="T276" t="n">
        <v>1</v>
      </c>
      <c r="U276" t="n">
        <v>1</v>
      </c>
      <c r="V276" s="2" t="inlineStr">
        <is>
          <t>Ullticka</t>
        </is>
      </c>
      <c r="W276">
        <f>HYPERLINK("https://klasma.github.io/Logging_2303/artfynd/A 25994-2025 artfynd.xlsx", "A 25994-2025")</f>
        <v/>
      </c>
      <c r="X276">
        <f>HYPERLINK("https://klasma.github.io/Logging_2303/kartor/A 25994-2025 karta.png", "A 25994-2025")</f>
        <v/>
      </c>
      <c r="Y276">
        <f>HYPERLINK("https://klasma.github.io/Logging_2303/kartor_geotiff/A 25994-2025 georefererad karta.tif", "A 25994-2025")</f>
        <v/>
      </c>
      <c r="AA276">
        <f>HYPERLINK("https://klasma.github.io/Logging_2303/klagomål/A 25994-2025 FSC-klagomål.docx", "A 25994-2025")</f>
        <v/>
      </c>
      <c r="AB276">
        <f>HYPERLINK("https://klasma.github.io/Logging_2303/klagomålsmail/A 25994-2025 FSC-klagomål mail.docx", "A 25994-2025")</f>
        <v/>
      </c>
      <c r="AC276">
        <f>HYPERLINK("https://klasma.github.io/Logging_2303/tillsyn/A 25994-2025 tillsynsbegäran.docx", "A 25994-2025")</f>
        <v/>
      </c>
      <c r="AD276">
        <f>HYPERLINK("https://klasma.github.io/Logging_2303/tillsynsmail/A 25994-2025 tillsynsbegäran mail.docx", "A 25994-2025")</f>
        <v/>
      </c>
    </row>
    <row r="277" ht="15" customHeight="1">
      <c r="A277" t="inlineStr">
        <is>
          <t>A 63708-2023</t>
        </is>
      </c>
      <c r="B277" t="inlineStr">
        <is>
          <t>avverkningsanmälan</t>
        </is>
      </c>
      <c r="C277" t="inlineStr">
        <is>
          <t>Avverkning för att bevara och utveckla /försöksver</t>
        </is>
      </c>
      <c r="D277" s="1" t="n">
        <v>45275</v>
      </c>
      <c r="E277" s="1" t="n">
        <v>46319</v>
      </c>
      <c r="F277" t="inlineStr">
        <is>
          <t>JÄMTLANDS LÄN</t>
        </is>
      </c>
      <c r="G277" t="inlineStr">
        <is>
          <t>RAGUNDA</t>
        </is>
      </c>
      <c r="H277" t="inlineStr">
        <is>
          <t>SCA</t>
        </is>
      </c>
      <c r="I277" t="n">
        <v>23</v>
      </c>
      <c r="J277" t="n">
        <v>0</v>
      </c>
      <c r="K277" t="n">
        <v>0</v>
      </c>
      <c r="L277" t="n">
        <v>1</v>
      </c>
      <c r="M277" t="n">
        <v>0</v>
      </c>
      <c r="N277" t="n">
        <v>0</v>
      </c>
      <c r="O277" t="n">
        <v>0</v>
      </c>
      <c r="P277" t="n">
        <v>0</v>
      </c>
      <c r="Q277" t="n">
        <v>1</v>
      </c>
      <c r="R277" t="n">
        <v>0</v>
      </c>
      <c r="S277" t="n">
        <v>1</v>
      </c>
      <c r="T277" t="n">
        <v>1</v>
      </c>
      <c r="U277" t="n">
        <v>1</v>
      </c>
      <c r="V277" s="2" t="inlineStr">
        <is>
          <t>Gammelgransskål</t>
        </is>
      </c>
      <c r="W277">
        <f>HYPERLINK("https://klasma.github.io/Logging_2303/artfynd/A 63708-2023 artfynd.xlsx", "A 63708-2023")</f>
        <v/>
      </c>
      <c r="X277">
        <f>HYPERLINK("https://klasma.github.io/Logging_2303/kartor/A 63708-2023 karta.png", "A 63708-2023")</f>
        <v/>
      </c>
      <c r="Y277">
        <f>HYPERLINK("https://klasma.github.io/Logging_2303/kartor_geotiff/A 63708-2023 georefererad karta.tif", "A 63708-2023")</f>
        <v/>
      </c>
      <c r="AA277">
        <f>HYPERLINK("https://klasma.github.io/Logging_2303/klagomål/A 63708-2023 FSC-klagomål.docx", "A 63708-2023")</f>
        <v/>
      </c>
      <c r="AB277">
        <f>HYPERLINK("https://klasma.github.io/Logging_2303/klagomålsmail/A 63708-2023 FSC-klagomål mail.docx", "A 63708-2023")</f>
        <v/>
      </c>
      <c r="AC277">
        <f>HYPERLINK("https://klasma.github.io/Logging_2303/tillsyn/A 63708-2023 tillsynsbegäran.docx", "A 63708-2023")</f>
        <v/>
      </c>
      <c r="AD277">
        <f>HYPERLINK("https://klasma.github.io/Logging_2303/tillsynsmail/A 63708-2023 tillsynsbegäran mail.docx", "A 63708-2023")</f>
        <v/>
      </c>
    </row>
    <row r="278" ht="15" customHeight="1">
      <c r="A278" t="inlineStr">
        <is>
          <t>A 10344-2026</t>
        </is>
      </c>
      <c r="B278" t="inlineStr">
        <is>
          <t>avverkningsanmälan</t>
        </is>
      </c>
      <c r="C278" t="inlineStr">
        <is>
          <t>Föryngringsavverkning</t>
        </is>
      </c>
      <c r="D278" s="1" t="n">
        <v>46076</v>
      </c>
      <c r="E278" s="1" t="n">
        <v>46319</v>
      </c>
      <c r="F278" t="inlineStr">
        <is>
          <t>JÄMTLANDS LÄN</t>
        </is>
      </c>
      <c r="G278" t="inlineStr">
        <is>
          <t>RAGUNDA</t>
        </is>
      </c>
      <c r="I278" t="n">
        <v>2.6</v>
      </c>
      <c r="J278" t="n">
        <v>1</v>
      </c>
      <c r="K278" t="n">
        <v>0</v>
      </c>
      <c r="L278" t="n">
        <v>0</v>
      </c>
      <c r="M278" t="n">
        <v>0</v>
      </c>
      <c r="N278" t="n">
        <v>0</v>
      </c>
      <c r="O278" t="n">
        <v>0</v>
      </c>
      <c r="P278" t="n">
        <v>0</v>
      </c>
      <c r="Q278" t="n">
        <v>0</v>
      </c>
      <c r="R278" t="n">
        <v>0</v>
      </c>
      <c r="S278" t="n">
        <v>1</v>
      </c>
      <c r="T278" t="n">
        <v>1</v>
      </c>
      <c r="U278" t="n">
        <v>0</v>
      </c>
      <c r="V278" s="2" t="inlineStr">
        <is>
          <t>Fläcknycklar</t>
        </is>
      </c>
      <c r="W278">
        <f>HYPERLINK("https://klasma.github.io/Logging_2303/artfynd/A 10344-2026 artfynd.xlsx", "A 10344-2026")</f>
        <v/>
      </c>
      <c r="X278">
        <f>HYPERLINK("https://klasma.github.io/Logging_2303/kartor/A 10344-2026 karta.png", "A 10344-2026")</f>
        <v/>
      </c>
      <c r="Y278">
        <f>HYPERLINK("https://klasma.github.io/Logging_2303/kartor_geotiff/A 10344-2026 georefererad karta.tif", "A 10344-2026")</f>
        <v/>
      </c>
      <c r="AA278">
        <f>HYPERLINK("https://klasma.github.io/Logging_2303/klagomål/A 10344-2026 FSC-klagomål.docx", "A 10344-2026")</f>
        <v/>
      </c>
      <c r="AB278">
        <f>HYPERLINK("https://klasma.github.io/Logging_2303/klagomålsmail/A 10344-2026 FSC-klagomål mail.docx", "A 10344-2026")</f>
        <v/>
      </c>
      <c r="AC278">
        <f>HYPERLINK("https://klasma.github.io/Logging_2303/tillsyn/A 10344-2026 tillsynsbegäran.docx", "A 10344-2026")</f>
        <v/>
      </c>
      <c r="AD278">
        <f>HYPERLINK("https://klasma.github.io/Logging_2303/tillsynsmail/A 10344-2026 tillsynsbegäran mail.docx", "A 10344-2026")</f>
        <v/>
      </c>
    </row>
    <row r="279" ht="15" customHeight="1">
      <c r="A279" t="inlineStr">
        <is>
          <t>A 34240-2026</t>
        </is>
      </c>
      <c r="B279" t="inlineStr">
        <is>
          <t>avverkningsanmälan</t>
        </is>
      </c>
      <c r="C279" t="inlineStr">
        <is>
          <t>Föryngringsavverkning</t>
        </is>
      </c>
      <c r="D279" s="1" t="n">
        <v>46253</v>
      </c>
      <c r="E279" s="1" t="n">
        <v>46319</v>
      </c>
      <c r="F279" t="inlineStr">
        <is>
          <t>JÄMTLANDS LÄN</t>
        </is>
      </c>
      <c r="G279" t="inlineStr">
        <is>
          <t>RAGUNDA</t>
        </is>
      </c>
      <c r="H279" t="inlineStr">
        <is>
          <t>SCA</t>
        </is>
      </c>
      <c r="I279" t="n">
        <v>1.2</v>
      </c>
      <c r="J279" t="n">
        <v>1</v>
      </c>
      <c r="K279" t="n">
        <v>0</v>
      </c>
      <c r="L279" t="n">
        <v>0</v>
      </c>
      <c r="M279" t="n">
        <v>0</v>
      </c>
      <c r="N279" t="n">
        <v>0</v>
      </c>
      <c r="O279" t="n">
        <v>0</v>
      </c>
      <c r="P279" t="n">
        <v>0</v>
      </c>
      <c r="Q279" t="n">
        <v>0</v>
      </c>
      <c r="R279" t="n">
        <v>0</v>
      </c>
      <c r="S279" t="n">
        <v>1</v>
      </c>
      <c r="T279" t="n">
        <v>1</v>
      </c>
      <c r="U279" t="n">
        <v>0</v>
      </c>
      <c r="V279" s="2" t="inlineStr">
        <is>
          <t>Vanlig padda</t>
        </is>
      </c>
      <c r="W279">
        <f>HYPERLINK("https://klasma.github.io/Logging_2303/artfynd/A 34240-2026 artfynd.xlsx", "A 34240-2026")</f>
        <v/>
      </c>
      <c r="X279">
        <f>HYPERLINK("https://klasma.github.io/Logging_2303/kartor/A 34240-2026 karta.png", "A 34240-2026")</f>
        <v/>
      </c>
      <c r="Y279">
        <f>HYPERLINK("https://klasma.github.io/Logging_2303/kartor_geotiff/A 34240-2026 georefererad karta.tif", "A 34240-2026")</f>
        <v/>
      </c>
      <c r="AA279">
        <f>HYPERLINK("https://klasma.github.io/Logging_2303/klagomål/A 34240-2026 FSC-klagomål.docx", "A 34240-2026")</f>
        <v/>
      </c>
      <c r="AB279">
        <f>HYPERLINK("https://klasma.github.io/Logging_2303/klagomålsmail/A 34240-2026 FSC-klagomål mail.docx", "A 34240-2026")</f>
        <v/>
      </c>
      <c r="AC279">
        <f>HYPERLINK("https://klasma.github.io/Logging_2303/tillsyn/A 34240-2026 tillsynsbegäran.docx", "A 34240-2026")</f>
        <v/>
      </c>
      <c r="AD279">
        <f>HYPERLINK("https://klasma.github.io/Logging_2303/tillsynsmail/A 34240-2026 tillsynsbegäran mail.docx", "A 34240-2026")</f>
        <v/>
      </c>
    </row>
    <row r="280" ht="15" customHeight="1">
      <c r="A280" t="inlineStr">
        <is>
          <t>A 10740-2026</t>
        </is>
      </c>
      <c r="B280" t="inlineStr">
        <is>
          <t>avverkningsanmälan</t>
        </is>
      </c>
      <c r="C280" t="inlineStr">
        <is>
          <t>Föryngringsavverkning</t>
        </is>
      </c>
      <c r="D280" s="1" t="n">
        <v>46078</v>
      </c>
      <c r="E280" s="1" t="n">
        <v>46319</v>
      </c>
      <c r="F280" t="inlineStr">
        <is>
          <t>JÄMTLANDS LÄN</t>
        </is>
      </c>
      <c r="G280" t="inlineStr">
        <is>
          <t>RAGUNDA</t>
        </is>
      </c>
      <c r="H280" t="inlineStr">
        <is>
          <t>SCA</t>
        </is>
      </c>
      <c r="I280" t="n">
        <v>1.6</v>
      </c>
      <c r="J280" t="n">
        <v>0</v>
      </c>
      <c r="K280" t="n">
        <v>0</v>
      </c>
      <c r="L280" t="n">
        <v>0</v>
      </c>
      <c r="M280" t="n">
        <v>1</v>
      </c>
      <c r="N280" t="n">
        <v>0</v>
      </c>
      <c r="O280" t="n">
        <v>0</v>
      </c>
      <c r="P280" t="n">
        <v>0</v>
      </c>
      <c r="Q280" t="n">
        <v>1</v>
      </c>
      <c r="R280" t="n">
        <v>1</v>
      </c>
      <c r="S280" t="n">
        <v>1</v>
      </c>
      <c r="T280" t="n">
        <v>1</v>
      </c>
      <c r="U280" t="n">
        <v>0</v>
      </c>
      <c r="V280" s="2" t="inlineStr">
        <is>
          <t>Garnlav</t>
        </is>
      </c>
      <c r="W280">
        <f>HYPERLINK("https://klasma.github.io/Logging_2303/artfynd/A 10740-2026 artfynd.xlsx", "A 10740-2026")</f>
        <v/>
      </c>
      <c r="X280">
        <f>HYPERLINK("https://klasma.github.io/Logging_2303/kartor/A 10740-2026 karta.png", "A 10740-2026")</f>
        <v/>
      </c>
      <c r="Y280">
        <f>HYPERLINK("https://klasma.github.io/Logging_2303/kartor_geotiff/A 10740-2026 georefererad karta.tif", "A 10740-2026")</f>
        <v/>
      </c>
      <c r="AA280">
        <f>HYPERLINK("https://klasma.github.io/Logging_2303/klagomål/A 10740-2026 FSC-klagomål.docx", "A 10740-2026")</f>
        <v/>
      </c>
      <c r="AB280">
        <f>HYPERLINK("https://klasma.github.io/Logging_2303/klagomålsmail/A 10740-2026 FSC-klagomål mail.docx", "A 10740-2026")</f>
        <v/>
      </c>
      <c r="AC280">
        <f>HYPERLINK("https://klasma.github.io/Logging_2303/tillsyn/A 10740-2026 tillsynsbegäran.docx", "A 10740-2026")</f>
        <v/>
      </c>
      <c r="AD280">
        <f>HYPERLINK("https://klasma.github.io/Logging_2303/tillsynsmail/A 10740-2026 tillsynsbegäran mail.docx", "A 10740-2026")</f>
        <v/>
      </c>
    </row>
    <row r="281" ht="15" customHeight="1">
      <c r="A281" t="inlineStr">
        <is>
          <t>A 10649-2026</t>
        </is>
      </c>
      <c r="B281" t="inlineStr">
        <is>
          <t>avverkningsanmälan</t>
        </is>
      </c>
      <c r="C281" t="inlineStr">
        <is>
          <t>Föryngringsavverkning</t>
        </is>
      </c>
      <c r="D281" s="1" t="n">
        <v>46078</v>
      </c>
      <c r="E281" s="1" t="n">
        <v>46319</v>
      </c>
      <c r="F281" t="inlineStr">
        <is>
          <t>JÄMTLANDS LÄN</t>
        </is>
      </c>
      <c r="G281" t="inlineStr">
        <is>
          <t>RAGUNDA</t>
        </is>
      </c>
      <c r="H281" t="inlineStr">
        <is>
          <t>SCA</t>
        </is>
      </c>
      <c r="I281" t="n">
        <v>45.5</v>
      </c>
      <c r="J281" t="n">
        <v>0</v>
      </c>
      <c r="K281" t="n">
        <v>0</v>
      </c>
      <c r="L281" t="n">
        <v>1</v>
      </c>
      <c r="M281" t="n">
        <v>0</v>
      </c>
      <c r="N281" t="n">
        <v>0</v>
      </c>
      <c r="O281" t="n">
        <v>0</v>
      </c>
      <c r="P281" t="n">
        <v>0</v>
      </c>
      <c r="Q281" t="n">
        <v>1</v>
      </c>
      <c r="R281" t="n">
        <v>0</v>
      </c>
      <c r="S281" t="n">
        <v>1</v>
      </c>
      <c r="T281" t="n">
        <v>2</v>
      </c>
      <c r="U281" t="n">
        <v>0</v>
      </c>
      <c r="V281" s="2" t="inlineStr">
        <is>
          <t>Gammelgransskål</t>
        </is>
      </c>
      <c r="W281">
        <f>HYPERLINK("https://klasma.github.io/Logging_2303/artfynd/A 10649-2026 artfynd.xlsx", "A 10649-2026")</f>
        <v/>
      </c>
      <c r="X281">
        <f>HYPERLINK("https://klasma.github.io/Logging_2303/kartor/A 10649-2026 karta.png", "A 10649-2026")</f>
        <v/>
      </c>
      <c r="Y281">
        <f>HYPERLINK("https://klasma.github.io/Logging_2303/kartor_geotiff/A 10649-2026 georefererad karta.tif", "A 10649-2026")</f>
        <v/>
      </c>
      <c r="AA281">
        <f>HYPERLINK("https://klasma.github.io/Logging_2303/klagomål/A 10649-2026 FSC-klagomål.docx", "A 10649-2026")</f>
        <v/>
      </c>
      <c r="AB281">
        <f>HYPERLINK("https://klasma.github.io/Logging_2303/klagomålsmail/A 10649-2026 FSC-klagomål mail.docx", "A 10649-2026")</f>
        <v/>
      </c>
      <c r="AC281">
        <f>HYPERLINK("https://klasma.github.io/Logging_2303/tillsyn/A 10649-2026 tillsynsbegäran.docx", "A 10649-2026")</f>
        <v/>
      </c>
      <c r="AD281">
        <f>HYPERLINK("https://klasma.github.io/Logging_2303/tillsynsmail/A 10649-2026 tillsynsbegäran mail.docx", "A 10649-2026")</f>
        <v/>
      </c>
    </row>
    <row r="282" ht="15" customHeight="1">
      <c r="A282" t="inlineStr">
        <is>
          <t>A 11882-2026</t>
        </is>
      </c>
      <c r="B282" t="inlineStr">
        <is>
          <t>avverkningsanmälan</t>
        </is>
      </c>
      <c r="C282" t="inlineStr">
        <is>
          <t>Föryngringsavverkning</t>
        </is>
      </c>
      <c r="D282" s="1" t="n">
        <v>46085</v>
      </c>
      <c r="E282" s="1" t="n">
        <v>46319</v>
      </c>
      <c r="F282" t="inlineStr">
        <is>
          <t>JÄMTLANDS LÄN</t>
        </is>
      </c>
      <c r="G282" t="inlineStr">
        <is>
          <t>RAGUNDA</t>
        </is>
      </c>
      <c r="I282" t="n">
        <v>7</v>
      </c>
      <c r="J282" t="n">
        <v>1</v>
      </c>
      <c r="K282" t="n">
        <v>0</v>
      </c>
      <c r="L282" t="n">
        <v>0</v>
      </c>
      <c r="M282" t="n">
        <v>0</v>
      </c>
      <c r="N282" t="n">
        <v>0</v>
      </c>
      <c r="O282" t="n">
        <v>0</v>
      </c>
      <c r="P282" t="n">
        <v>0</v>
      </c>
      <c r="Q282" t="n">
        <v>0</v>
      </c>
      <c r="R282" t="n">
        <v>0</v>
      </c>
      <c r="S282" t="n">
        <v>1</v>
      </c>
      <c r="T282" t="n">
        <v>1</v>
      </c>
      <c r="U282" t="n">
        <v>1</v>
      </c>
      <c r="V282" s="2" t="inlineStr">
        <is>
          <t>Blåsippa</t>
        </is>
      </c>
      <c r="W282">
        <f>HYPERLINK("https://klasma.github.io/Logging_2303/artfynd/A 11882-2026 artfynd.xlsx", "A 11882-2026")</f>
        <v/>
      </c>
      <c r="X282">
        <f>HYPERLINK("https://klasma.github.io/Logging_2303/kartor/A 11882-2026 karta.png", "A 11882-2026")</f>
        <v/>
      </c>
      <c r="Y282">
        <f>HYPERLINK("https://klasma.github.io/Logging_2303/kartor_geotiff/A 11882-2026 georefererad karta.tif", "A 11882-2026")</f>
        <v/>
      </c>
      <c r="AA282">
        <f>HYPERLINK("https://klasma.github.io/Logging_2303/klagomål/A 11882-2026 FSC-klagomål.docx", "A 11882-2026")</f>
        <v/>
      </c>
      <c r="AB282">
        <f>HYPERLINK("https://klasma.github.io/Logging_2303/klagomålsmail/A 11882-2026 FSC-klagomål mail.docx", "A 11882-2026")</f>
        <v/>
      </c>
      <c r="AC282">
        <f>HYPERLINK("https://klasma.github.io/Logging_2303/tillsyn/A 11882-2026 tillsynsbegäran.docx", "A 11882-2026")</f>
        <v/>
      </c>
      <c r="AD282">
        <f>HYPERLINK("https://klasma.github.io/Logging_2303/tillsynsmail/A 11882-2026 tillsynsbegäran mail.docx", "A 11882-2026")</f>
        <v/>
      </c>
    </row>
    <row r="283" ht="15" customHeight="1">
      <c r="A283" t="inlineStr">
        <is>
          <t>A 23930-2024</t>
        </is>
      </c>
      <c r="B283" t="inlineStr">
        <is>
          <t>avverkningsanmälan</t>
        </is>
      </c>
      <c r="C283" t="inlineStr">
        <is>
          <t>Avverkning för att bevara och utveckla /försöksver</t>
        </is>
      </c>
      <c r="D283" s="1" t="n">
        <v>45455</v>
      </c>
      <c r="E283" s="1" t="n">
        <v>46319</v>
      </c>
      <c r="F283" t="inlineStr">
        <is>
          <t>JÄMTLANDS LÄN</t>
        </is>
      </c>
      <c r="G283" t="inlineStr">
        <is>
          <t>RAGUNDA</t>
        </is>
      </c>
      <c r="H283" t="inlineStr">
        <is>
          <t>SCA</t>
        </is>
      </c>
      <c r="I283" t="n">
        <v>4.2</v>
      </c>
      <c r="J283" t="n">
        <v>1</v>
      </c>
      <c r="K283" t="n">
        <v>1</v>
      </c>
      <c r="L283" t="n">
        <v>0</v>
      </c>
      <c r="M283" t="n">
        <v>0</v>
      </c>
      <c r="N283" t="n">
        <v>0</v>
      </c>
      <c r="O283" t="n">
        <v>0</v>
      </c>
      <c r="P283" t="n">
        <v>0</v>
      </c>
      <c r="Q283" t="n">
        <v>0</v>
      </c>
      <c r="R283" t="n">
        <v>0</v>
      </c>
      <c r="S283" t="n">
        <v>1</v>
      </c>
      <c r="T283" t="n">
        <v>12</v>
      </c>
      <c r="U283" t="n">
        <v>10</v>
      </c>
      <c r="V283" s="2" t="inlineStr">
        <is>
          <t>Guckusko</t>
        </is>
      </c>
      <c r="W283">
        <f>HYPERLINK("https://klasma.github.io/Logging_2303/artfynd/A 23930-2024 artfynd.xlsx", "A 23930-2024")</f>
        <v/>
      </c>
      <c r="X283">
        <f>HYPERLINK("https://klasma.github.io/Logging_2303/kartor/A 23930-2024 karta.png", "A 23930-2024")</f>
        <v/>
      </c>
      <c r="Y283">
        <f>HYPERLINK("https://klasma.github.io/Logging_2303/kartor_geotiff/A 23930-2024 georefererad karta.tif", "A 23930-2024")</f>
        <v/>
      </c>
      <c r="AA283">
        <f>HYPERLINK("https://klasma.github.io/Logging_2303/klagomål/A 23930-2024 FSC-klagomål.docx", "A 23930-2024")</f>
        <v/>
      </c>
      <c r="AB283">
        <f>HYPERLINK("https://klasma.github.io/Logging_2303/klagomålsmail/A 23930-2024 FSC-klagomål mail.docx", "A 23930-2024")</f>
        <v/>
      </c>
      <c r="AC283">
        <f>HYPERLINK("https://klasma.github.io/Logging_2303/tillsyn/A 23930-2024 tillsynsbegäran.docx", "A 23930-2024")</f>
        <v/>
      </c>
      <c r="AD283">
        <f>HYPERLINK("https://klasma.github.io/Logging_2303/tillsynsmail/A 23930-2024 tillsynsbegäran mail.docx", "A 23930-2024")</f>
        <v/>
      </c>
    </row>
    <row r="284" ht="15" customHeight="1">
      <c r="A284" t="inlineStr">
        <is>
          <t>A 32445-2025</t>
        </is>
      </c>
      <c r="B284" t="inlineStr">
        <is>
          <t>avverkningsanmälan</t>
        </is>
      </c>
      <c r="C284" t="inlineStr">
        <is>
          <t>Föryngringsavverkning</t>
        </is>
      </c>
      <c r="D284" s="1" t="n">
        <v>45838</v>
      </c>
      <c r="E284" s="1" t="n">
        <v>46319</v>
      </c>
      <c r="F284" t="inlineStr">
        <is>
          <t>JÄMTLANDS LÄN</t>
        </is>
      </c>
      <c r="G284" t="inlineStr">
        <is>
          <t>RAGUNDA</t>
        </is>
      </c>
      <c r="H284" t="inlineStr">
        <is>
          <t>SCA</t>
        </is>
      </c>
      <c r="I284" t="n">
        <v>1.6</v>
      </c>
      <c r="J284" t="n">
        <v>1</v>
      </c>
      <c r="K284" t="n">
        <v>0</v>
      </c>
      <c r="L284" t="n">
        <v>1</v>
      </c>
      <c r="M284" t="n">
        <v>0</v>
      </c>
      <c r="N284" t="n">
        <v>0</v>
      </c>
      <c r="O284" t="n">
        <v>0</v>
      </c>
      <c r="P284" t="n">
        <v>0</v>
      </c>
      <c r="Q284" t="n">
        <v>1</v>
      </c>
      <c r="R284" t="n">
        <v>0</v>
      </c>
      <c r="S284" t="n">
        <v>1</v>
      </c>
      <c r="T284" t="n">
        <v>2</v>
      </c>
      <c r="U284" t="n">
        <v>2</v>
      </c>
      <c r="V284" s="2" t="inlineStr">
        <is>
          <t>Tretåig hackspett</t>
        </is>
      </c>
      <c r="W284">
        <f>HYPERLINK("https://klasma.github.io/Logging_2303/artfynd/A 32445-2025 artfynd.xlsx", "A 32445-2025")</f>
        <v/>
      </c>
      <c r="X284">
        <f>HYPERLINK("https://klasma.github.io/Logging_2303/kartor/A 32445-2025 karta.png", "A 32445-2025")</f>
        <v/>
      </c>
      <c r="Y284">
        <f>HYPERLINK("https://klasma.github.io/Logging_2303/kartor_geotiff/A 32445-2025 georefererad karta.tif", "A 32445-2025")</f>
        <v/>
      </c>
      <c r="AA284">
        <f>HYPERLINK("https://klasma.github.io/Logging_2303/klagomål/A 32445-2025 FSC-klagomål.docx", "A 32445-2025")</f>
        <v/>
      </c>
      <c r="AB284">
        <f>HYPERLINK("https://klasma.github.io/Logging_2303/klagomålsmail/A 32445-2025 FSC-klagomål mail.docx", "A 32445-2025")</f>
        <v/>
      </c>
      <c r="AC284">
        <f>HYPERLINK("https://klasma.github.io/Logging_2303/tillsyn/A 32445-2025 tillsynsbegäran.docx", "A 32445-2025")</f>
        <v/>
      </c>
      <c r="AD284">
        <f>HYPERLINK("https://klasma.github.io/Logging_2303/tillsynsmail/A 32445-2025 tillsynsbegäran mail.docx", "A 32445-2025")</f>
        <v/>
      </c>
      <c r="AE284">
        <f>HYPERLINK("https://klasma.github.io/Logging_2303/fåglar/A 32445-2025 prioriterade fågelarter.docx", "A 32445-2025")</f>
        <v/>
      </c>
    </row>
    <row r="285" ht="15" customHeight="1">
      <c r="A285" t="inlineStr">
        <is>
          <t>A 32655-2025</t>
        </is>
      </c>
      <c r="B285" t="inlineStr">
        <is>
          <t>avverkningsanmälan</t>
        </is>
      </c>
      <c r="C285" t="inlineStr">
        <is>
          <t>Föryngringsavverkning</t>
        </is>
      </c>
      <c r="D285" s="1" t="n">
        <v>45838</v>
      </c>
      <c r="E285" s="1" t="n">
        <v>46319</v>
      </c>
      <c r="F285" t="inlineStr">
        <is>
          <t>JÄMTLANDS LÄN</t>
        </is>
      </c>
      <c r="G285" t="inlineStr">
        <is>
          <t>RAGUNDA</t>
        </is>
      </c>
      <c r="I285" t="n">
        <v>2.8</v>
      </c>
      <c r="J285" t="n">
        <v>1</v>
      </c>
      <c r="K285" t="n">
        <v>1</v>
      </c>
      <c r="L285" t="n">
        <v>0</v>
      </c>
      <c r="M285" t="n">
        <v>0</v>
      </c>
      <c r="N285" t="n">
        <v>0</v>
      </c>
      <c r="O285" t="n">
        <v>0</v>
      </c>
      <c r="P285" t="n">
        <v>0</v>
      </c>
      <c r="Q285" t="n">
        <v>0</v>
      </c>
      <c r="R285" t="n">
        <v>0</v>
      </c>
      <c r="S285" t="n">
        <v>1</v>
      </c>
      <c r="T285" t="n">
        <v>1</v>
      </c>
      <c r="U285" t="n">
        <v>1</v>
      </c>
      <c r="V285" s="2" t="inlineStr">
        <is>
          <t>Korallrot</t>
        </is>
      </c>
      <c r="W285">
        <f>HYPERLINK("https://klasma.github.io/Logging_2303/artfynd/A 32655-2025 artfynd.xlsx", "A 32655-2025")</f>
        <v/>
      </c>
      <c r="X285">
        <f>HYPERLINK("https://klasma.github.io/Logging_2303/kartor/A 32655-2025 karta.png", "A 32655-2025")</f>
        <v/>
      </c>
      <c r="Y285">
        <f>HYPERLINK("https://klasma.github.io/Logging_2303/kartor_geotiff/A 32655-2025 georefererad karta.tif", "A 32655-2025")</f>
        <v/>
      </c>
      <c r="AA285">
        <f>HYPERLINK("https://klasma.github.io/Logging_2303/klagomål/A 32655-2025 FSC-klagomål.docx", "A 32655-2025")</f>
        <v/>
      </c>
      <c r="AB285">
        <f>HYPERLINK("https://klasma.github.io/Logging_2303/klagomålsmail/A 32655-2025 FSC-klagomål mail.docx", "A 32655-2025")</f>
        <v/>
      </c>
      <c r="AC285">
        <f>HYPERLINK("https://klasma.github.io/Logging_2303/tillsyn/A 32655-2025 tillsynsbegäran.docx", "A 32655-2025")</f>
        <v/>
      </c>
      <c r="AD285">
        <f>HYPERLINK("https://klasma.github.io/Logging_2303/tillsynsmail/A 32655-2025 tillsynsbegäran mail.docx", "A 32655-2025")</f>
        <v/>
      </c>
    </row>
    <row r="286" ht="15" customHeight="1">
      <c r="A286" t="inlineStr">
        <is>
          <t>A 6703-2024</t>
        </is>
      </c>
      <c r="B286" t="inlineStr">
        <is>
          <t>avverkningsanmälan</t>
        </is>
      </c>
      <c r="C286" t="inlineStr">
        <is>
          <t>Avverkning för att bevara och utveckla /försöksver</t>
        </is>
      </c>
      <c r="D286" s="1" t="n">
        <v>45341</v>
      </c>
      <c r="E286" s="1" t="n">
        <v>46319</v>
      </c>
      <c r="F286" t="inlineStr">
        <is>
          <t>JÄMTLANDS LÄN</t>
        </is>
      </c>
      <c r="G286" t="inlineStr">
        <is>
          <t>RAGUNDA</t>
        </is>
      </c>
      <c r="H286" t="inlineStr">
        <is>
          <t>SCA</t>
        </is>
      </c>
      <c r="I286" t="n">
        <v>2.4</v>
      </c>
      <c r="J286" t="n">
        <v>0</v>
      </c>
      <c r="K286" t="n">
        <v>0</v>
      </c>
      <c r="L286" t="n">
        <v>1</v>
      </c>
      <c r="M286" t="n">
        <v>0</v>
      </c>
      <c r="N286" t="n">
        <v>0</v>
      </c>
      <c r="O286" t="n">
        <v>0</v>
      </c>
      <c r="P286" t="n">
        <v>0</v>
      </c>
      <c r="Q286" t="n">
        <v>1</v>
      </c>
      <c r="R286" t="n">
        <v>0</v>
      </c>
      <c r="S286" t="n">
        <v>1</v>
      </c>
      <c r="T286" t="n">
        <v>1</v>
      </c>
      <c r="U286" t="n">
        <v>0</v>
      </c>
      <c r="V286" s="2" t="inlineStr">
        <is>
          <t>Vitgrynig nållav</t>
        </is>
      </c>
      <c r="W286">
        <f>HYPERLINK("https://klasma.github.io/Logging_2303/artfynd/A 6703-2024 artfynd.xlsx", "A 6703-2024")</f>
        <v/>
      </c>
      <c r="X286">
        <f>HYPERLINK("https://klasma.github.io/Logging_2303/kartor/A 6703-2024 karta.png", "A 6703-2024")</f>
        <v/>
      </c>
      <c r="Y286">
        <f>HYPERLINK("https://klasma.github.io/Logging_2303/kartor_geotiff/A 6703-2024 georefererad karta.tif", "A 6703-2024")</f>
        <v/>
      </c>
      <c r="AA286">
        <f>HYPERLINK("https://klasma.github.io/Logging_2303/klagomål/A 6703-2024 FSC-klagomål.docx", "A 6703-2024")</f>
        <v/>
      </c>
      <c r="AB286">
        <f>HYPERLINK("https://klasma.github.io/Logging_2303/klagomålsmail/A 6703-2024 FSC-klagomål mail.docx", "A 6703-2024")</f>
        <v/>
      </c>
      <c r="AC286">
        <f>HYPERLINK("https://klasma.github.io/Logging_2303/tillsyn/A 6703-2024 tillsynsbegäran.docx", "A 6703-2024")</f>
        <v/>
      </c>
      <c r="AD286">
        <f>HYPERLINK("https://klasma.github.io/Logging_2303/tillsynsmail/A 6703-2024 tillsynsbegäran mail.docx", "A 6703-2024")</f>
        <v/>
      </c>
    </row>
    <row r="287" ht="15" customHeight="1">
      <c r="A287" t="inlineStr">
        <is>
          <t>A 16850-2026</t>
        </is>
      </c>
      <c r="B287" t="inlineStr">
        <is>
          <t>avverkningsanmälan</t>
        </is>
      </c>
      <c r="C287" t="inlineStr">
        <is>
          <t>Föryngringsavverkning</t>
        </is>
      </c>
      <c r="D287" s="1" t="n">
        <v>46113</v>
      </c>
      <c r="E287" s="1" t="n">
        <v>46319</v>
      </c>
      <c r="F287" t="inlineStr">
        <is>
          <t>JÄMTLANDS LÄN</t>
        </is>
      </c>
      <c r="G287" t="inlineStr">
        <is>
          <t>RAGUNDA</t>
        </is>
      </c>
      <c r="H287" t="inlineStr">
        <is>
          <t>SCA</t>
        </is>
      </c>
      <c r="I287" t="n">
        <v>12.8</v>
      </c>
      <c r="J287" t="n">
        <v>0</v>
      </c>
      <c r="K287" t="n">
        <v>0</v>
      </c>
      <c r="L287" t="n">
        <v>0</v>
      </c>
      <c r="M287" t="n">
        <v>1</v>
      </c>
      <c r="N287" t="n">
        <v>0</v>
      </c>
      <c r="O287" t="n">
        <v>0</v>
      </c>
      <c r="P287" t="n">
        <v>0</v>
      </c>
      <c r="Q287" t="n">
        <v>1</v>
      </c>
      <c r="R287" t="n">
        <v>1</v>
      </c>
      <c r="S287" t="n">
        <v>1</v>
      </c>
      <c r="T287" t="n">
        <v>1</v>
      </c>
      <c r="U287" t="n">
        <v>0</v>
      </c>
      <c r="V287" s="2" t="inlineStr">
        <is>
          <t>Garnlav</t>
        </is>
      </c>
      <c r="W287">
        <f>HYPERLINK("https://klasma.github.io/Logging_2303/artfynd/A 16850-2026 artfynd.xlsx", "A 16850-2026")</f>
        <v/>
      </c>
      <c r="X287">
        <f>HYPERLINK("https://klasma.github.io/Logging_2303/kartor/A 16850-2026 karta.png", "A 16850-2026")</f>
        <v/>
      </c>
      <c r="Y287">
        <f>HYPERLINK("https://klasma.github.io/Logging_2303/kartor_geotiff/A 16850-2026 georefererad karta.tif", "A 16850-2026")</f>
        <v/>
      </c>
      <c r="AA287">
        <f>HYPERLINK("https://klasma.github.io/Logging_2303/klagomål/A 16850-2026 FSC-klagomål.docx", "A 16850-2026")</f>
        <v/>
      </c>
      <c r="AB287">
        <f>HYPERLINK("https://klasma.github.io/Logging_2303/klagomålsmail/A 16850-2026 FSC-klagomål mail.docx", "A 16850-2026")</f>
        <v/>
      </c>
      <c r="AC287">
        <f>HYPERLINK("https://klasma.github.io/Logging_2303/tillsyn/A 16850-2026 tillsynsbegäran.docx", "A 16850-2026")</f>
        <v/>
      </c>
      <c r="AD287">
        <f>HYPERLINK("https://klasma.github.io/Logging_2303/tillsynsmail/A 16850-2026 tillsynsbegäran mail.docx", "A 16850-2026")</f>
        <v/>
      </c>
    </row>
    <row r="288" ht="15" customHeight="1">
      <c r="A288" t="inlineStr">
        <is>
          <t>A 14896-2022</t>
        </is>
      </c>
      <c r="B288" t="inlineStr">
        <is>
          <t>avverkningsanmälan</t>
        </is>
      </c>
      <c r="C288" t="inlineStr">
        <is>
          <t>Föryngringsavverkning</t>
        </is>
      </c>
      <c r="D288" s="1" t="n">
        <v>44656</v>
      </c>
      <c r="E288" s="1" t="n">
        <v>46319</v>
      </c>
      <c r="F288" t="inlineStr">
        <is>
          <t>JÄMTLANDS LÄN</t>
        </is>
      </c>
      <c r="G288" t="inlineStr">
        <is>
          <t>RAGUNDA</t>
        </is>
      </c>
      <c r="H288" t="inlineStr">
        <is>
          <t>SCA</t>
        </is>
      </c>
      <c r="I288" t="n">
        <v>8.300000000000001</v>
      </c>
      <c r="J288" t="n">
        <v>0</v>
      </c>
      <c r="K288" t="n">
        <v>0</v>
      </c>
      <c r="L288" t="n">
        <v>0</v>
      </c>
      <c r="M288" t="n">
        <v>1</v>
      </c>
      <c r="N288" t="n">
        <v>0</v>
      </c>
      <c r="O288" t="n">
        <v>0</v>
      </c>
      <c r="P288" t="n">
        <v>0</v>
      </c>
      <c r="Q288" t="n">
        <v>1</v>
      </c>
      <c r="R288" t="n">
        <v>1</v>
      </c>
      <c r="S288" t="n">
        <v>1</v>
      </c>
      <c r="T288" t="n">
        <v>1</v>
      </c>
      <c r="U288" t="n">
        <v>1</v>
      </c>
      <c r="V288" s="2" t="inlineStr">
        <is>
          <t>Garnlav</t>
        </is>
      </c>
      <c r="W288">
        <f>HYPERLINK("https://klasma.github.io/Logging_2303/artfynd/A 14896-2022 artfynd.xlsx", "A 14896-2022")</f>
        <v/>
      </c>
      <c r="X288">
        <f>HYPERLINK("https://klasma.github.io/Logging_2303/kartor/A 14896-2022 karta.png", "A 14896-2022")</f>
        <v/>
      </c>
      <c r="Y288">
        <f>HYPERLINK("https://klasma.github.io/Logging_2303/kartor_geotiff/A 14896-2022 georefererad karta.tif", "A 14896-2022")</f>
        <v/>
      </c>
      <c r="AA288">
        <f>HYPERLINK("https://klasma.github.io/Logging_2303/klagomål/A 14896-2022 FSC-klagomål.docx", "A 14896-2022")</f>
        <v/>
      </c>
      <c r="AB288">
        <f>HYPERLINK("https://klasma.github.io/Logging_2303/klagomålsmail/A 14896-2022 FSC-klagomål mail.docx", "A 14896-2022")</f>
        <v/>
      </c>
      <c r="AC288">
        <f>HYPERLINK("https://klasma.github.io/Logging_2303/tillsyn/A 14896-2022 tillsynsbegäran.docx", "A 14896-2022")</f>
        <v/>
      </c>
      <c r="AD288">
        <f>HYPERLINK("https://klasma.github.io/Logging_2303/tillsynsmail/A 14896-2022 tillsynsbegäran mail.docx", "A 14896-2022")</f>
        <v/>
      </c>
    </row>
    <row r="289" ht="15" customHeight="1">
      <c r="A289" t="inlineStr">
        <is>
          <t>A 57839-2022</t>
        </is>
      </c>
      <c r="B289" t="inlineStr">
        <is>
          <t>avverkningsanmälan</t>
        </is>
      </c>
      <c r="C289" t="inlineStr">
        <is>
          <t>Föryngringsavverkning</t>
        </is>
      </c>
      <c r="D289" s="1" t="n">
        <v>44897</v>
      </c>
      <c r="E289" s="1" t="n">
        <v>46319</v>
      </c>
      <c r="F289" t="inlineStr">
        <is>
          <t>JÄMTLANDS LÄN</t>
        </is>
      </c>
      <c r="G289" t="inlineStr">
        <is>
          <t>RAGUNDA</t>
        </is>
      </c>
      <c r="H289" t="inlineStr">
        <is>
          <t>SCA</t>
        </is>
      </c>
      <c r="I289" t="n">
        <v>8.5</v>
      </c>
      <c r="J289" t="n">
        <v>0</v>
      </c>
      <c r="K289" t="n">
        <v>1</v>
      </c>
      <c r="L289" t="n">
        <v>0</v>
      </c>
      <c r="M289" t="n">
        <v>0</v>
      </c>
      <c r="N289" t="n">
        <v>0</v>
      </c>
      <c r="O289" t="n">
        <v>0</v>
      </c>
      <c r="P289" t="n">
        <v>0</v>
      </c>
      <c r="Q289" t="n">
        <v>0</v>
      </c>
      <c r="R289" t="n">
        <v>0</v>
      </c>
      <c r="S289" t="n">
        <v>1</v>
      </c>
      <c r="T289" t="n">
        <v>1</v>
      </c>
      <c r="U289" t="n">
        <v>0</v>
      </c>
      <c r="V289" s="2" t="inlineStr">
        <is>
          <t>Barkticka</t>
        </is>
      </c>
      <c r="W289">
        <f>HYPERLINK("https://klasma.github.io/Logging_2303/artfynd/A 57839-2022 artfynd.xlsx", "A 57839-2022")</f>
        <v/>
      </c>
      <c r="X289">
        <f>HYPERLINK("https://klasma.github.io/Logging_2303/kartor/A 57839-2022 karta.png", "A 57839-2022")</f>
        <v/>
      </c>
      <c r="Y289">
        <f>HYPERLINK("https://klasma.github.io/Logging_2303/kartor_geotiff/A 57839-2022 georefererad karta.tif", "A 57839-2022")</f>
        <v/>
      </c>
      <c r="AA289">
        <f>HYPERLINK("https://klasma.github.io/Logging_2303/klagomål/A 57839-2022 FSC-klagomål.docx", "A 57839-2022")</f>
        <v/>
      </c>
      <c r="AB289">
        <f>HYPERLINK("https://klasma.github.io/Logging_2303/klagomålsmail/A 57839-2022 FSC-klagomål mail.docx", "A 57839-2022")</f>
        <v/>
      </c>
      <c r="AC289">
        <f>HYPERLINK("https://klasma.github.io/Logging_2303/tillsyn/A 57839-2022 tillsynsbegäran.docx", "A 57839-2022")</f>
        <v/>
      </c>
      <c r="AD289">
        <f>HYPERLINK("https://klasma.github.io/Logging_2303/tillsynsmail/A 57839-2022 tillsynsbegäran mail.docx", "A 57839-2022")</f>
        <v/>
      </c>
    </row>
    <row r="290" ht="15" customHeight="1">
      <c r="A290" t="inlineStr">
        <is>
          <t>A 19589-2026</t>
        </is>
      </c>
      <c r="B290" t="inlineStr">
        <is>
          <t>avverkningsanmälan</t>
        </is>
      </c>
      <c r="C290" t="inlineStr">
        <is>
          <t>Föryngringsavverkning</t>
        </is>
      </c>
      <c r="D290" s="1" t="n">
        <v>46134</v>
      </c>
      <c r="E290" s="1" t="n">
        <v>46319</v>
      </c>
      <c r="F290" t="inlineStr">
        <is>
          <t>JÄMTLANDS LÄN</t>
        </is>
      </c>
      <c r="G290" t="inlineStr">
        <is>
          <t>RAGUNDA</t>
        </is>
      </c>
      <c r="H290" t="inlineStr">
        <is>
          <t>SCA</t>
        </is>
      </c>
      <c r="I290" t="n">
        <v>16</v>
      </c>
      <c r="J290" t="n">
        <v>0</v>
      </c>
      <c r="K290" t="n">
        <v>0</v>
      </c>
      <c r="L290" t="n">
        <v>1</v>
      </c>
      <c r="M290" t="n">
        <v>0</v>
      </c>
      <c r="N290" t="n">
        <v>0</v>
      </c>
      <c r="O290" t="n">
        <v>0</v>
      </c>
      <c r="P290" t="n">
        <v>0</v>
      </c>
      <c r="Q290" t="n">
        <v>1</v>
      </c>
      <c r="R290" t="n">
        <v>0</v>
      </c>
      <c r="S290" t="n">
        <v>1</v>
      </c>
      <c r="T290" t="n">
        <v>1</v>
      </c>
      <c r="U290" t="n">
        <v>0</v>
      </c>
      <c r="V290" s="2" t="inlineStr">
        <is>
          <t>Gammelgransskål</t>
        </is>
      </c>
      <c r="W290">
        <f>HYPERLINK("https://klasma.github.io/Logging_2303/artfynd/A 19589-2026 artfynd.xlsx", "A 19589-2026")</f>
        <v/>
      </c>
      <c r="X290">
        <f>HYPERLINK("https://klasma.github.io/Logging_2303/kartor/A 19589-2026 karta.png", "A 19589-2026")</f>
        <v/>
      </c>
      <c r="Y290">
        <f>HYPERLINK("https://klasma.github.io/Logging_2303/kartor_geotiff/A 19589-2026 georefererad karta.tif", "A 19589-2026")</f>
        <v/>
      </c>
      <c r="AA290">
        <f>HYPERLINK("https://klasma.github.io/Logging_2303/klagomål/A 19589-2026 FSC-klagomål.docx", "A 19589-2026")</f>
        <v/>
      </c>
      <c r="AB290">
        <f>HYPERLINK("https://klasma.github.io/Logging_2303/klagomålsmail/A 19589-2026 FSC-klagomål mail.docx", "A 19589-2026")</f>
        <v/>
      </c>
      <c r="AC290">
        <f>HYPERLINK("https://klasma.github.io/Logging_2303/tillsyn/A 19589-2026 tillsynsbegäran.docx", "A 19589-2026")</f>
        <v/>
      </c>
      <c r="AD290">
        <f>HYPERLINK("https://klasma.github.io/Logging_2303/tillsynsmail/A 19589-2026 tillsynsbegäran mail.docx", "A 19589-2026")</f>
        <v/>
      </c>
    </row>
    <row r="291" ht="15" customHeight="1">
      <c r="A291" t="inlineStr">
        <is>
          <t>A 11040-2023</t>
        </is>
      </c>
      <c r="B291" t="inlineStr">
        <is>
          <t>avverkningsanmälan</t>
        </is>
      </c>
      <c r="C291" t="inlineStr">
        <is>
          <t>Föryngringsavverkning</t>
        </is>
      </c>
      <c r="D291" s="1" t="n">
        <v>44991</v>
      </c>
      <c r="E291" s="1" t="n">
        <v>46319</v>
      </c>
      <c r="F291" t="inlineStr">
        <is>
          <t>JÄMTLANDS LÄN</t>
        </is>
      </c>
      <c r="G291" t="inlineStr">
        <is>
          <t>RAGUNDA</t>
        </is>
      </c>
      <c r="H291" t="inlineStr">
        <is>
          <t>SCA</t>
        </is>
      </c>
      <c r="I291" t="n">
        <v>10.2</v>
      </c>
      <c r="J291" t="n">
        <v>0</v>
      </c>
      <c r="K291" t="n">
        <v>0</v>
      </c>
      <c r="L291" t="n">
        <v>1</v>
      </c>
      <c r="M291" t="n">
        <v>0</v>
      </c>
      <c r="N291" t="n">
        <v>0</v>
      </c>
      <c r="O291" t="n">
        <v>0</v>
      </c>
      <c r="P291" t="n">
        <v>0</v>
      </c>
      <c r="Q291" t="n">
        <v>1</v>
      </c>
      <c r="R291" t="n">
        <v>0</v>
      </c>
      <c r="S291" t="n">
        <v>1</v>
      </c>
      <c r="T291" t="n">
        <v>1</v>
      </c>
      <c r="U291" t="n">
        <v>1</v>
      </c>
      <c r="V291" s="2" t="inlineStr">
        <is>
          <t>Lunglav</t>
        </is>
      </c>
      <c r="W291">
        <f>HYPERLINK("https://klasma.github.io/Logging_2303/artfynd/A 11040-2023 artfynd.xlsx", "A 11040-2023")</f>
        <v/>
      </c>
      <c r="X291">
        <f>HYPERLINK("https://klasma.github.io/Logging_2303/kartor/A 11040-2023 karta.png", "A 11040-2023")</f>
        <v/>
      </c>
      <c r="Y291">
        <f>HYPERLINK("https://klasma.github.io/Logging_2303/kartor_geotiff/A 11040-2023 georefererad karta.tif", "A 11040-2023")</f>
        <v/>
      </c>
      <c r="AA291">
        <f>HYPERLINK("https://klasma.github.io/Logging_2303/klagomål/A 11040-2023 FSC-klagomål.docx", "A 11040-2023")</f>
        <v/>
      </c>
      <c r="AB291">
        <f>HYPERLINK("https://klasma.github.io/Logging_2303/klagomålsmail/A 11040-2023 FSC-klagomål mail.docx", "A 11040-2023")</f>
        <v/>
      </c>
      <c r="AC291">
        <f>HYPERLINK("https://klasma.github.io/Logging_2303/tillsyn/A 11040-2023 tillsynsbegäran.docx", "A 11040-2023")</f>
        <v/>
      </c>
      <c r="AD291">
        <f>HYPERLINK("https://klasma.github.io/Logging_2303/tillsynsmail/A 11040-2023 tillsynsbegäran mail.docx", "A 11040-2023")</f>
        <v/>
      </c>
    </row>
    <row r="292" ht="15" customHeight="1">
      <c r="A292" t="inlineStr">
        <is>
          <t>A 43349-2026</t>
        </is>
      </c>
      <c r="B292" t="inlineStr">
        <is>
          <t>avverkningsanmälan</t>
        </is>
      </c>
      <c r="C292" t="inlineStr">
        <is>
          <t>Föryngringsavverkning</t>
        </is>
      </c>
      <c r="D292" s="1" t="n">
        <v>46314</v>
      </c>
      <c r="E292" s="1" t="n">
        <v>46319</v>
      </c>
      <c r="F292" t="inlineStr">
        <is>
          <t>JÄMTLANDS LÄN</t>
        </is>
      </c>
      <c r="G292" t="inlineStr">
        <is>
          <t>RAGUNDA</t>
        </is>
      </c>
      <c r="I292" t="n">
        <v>5.6</v>
      </c>
      <c r="J292" t="n">
        <v>1</v>
      </c>
      <c r="K292" t="n">
        <v>0</v>
      </c>
      <c r="L292" t="n">
        <v>0</v>
      </c>
      <c r="M292" t="n">
        <v>0</v>
      </c>
      <c r="N292" t="n">
        <v>0</v>
      </c>
      <c r="O292" t="n">
        <v>0</v>
      </c>
      <c r="P292" t="n">
        <v>0</v>
      </c>
      <c r="Q292" t="n">
        <v>0</v>
      </c>
      <c r="R292" t="n">
        <v>0</v>
      </c>
      <c r="S292" t="n">
        <v>1</v>
      </c>
      <c r="T292" t="n">
        <v>1</v>
      </c>
      <c r="U292" t="n">
        <v>0</v>
      </c>
      <c r="V292" s="2" t="inlineStr">
        <is>
          <t>Järpe</t>
        </is>
      </c>
      <c r="W292">
        <f>HYPERLINK("https://klasma.github.io/Logging_2303/artfynd/A 43349-2026 artfynd.xlsx", "A 43349-2026")</f>
        <v/>
      </c>
      <c r="X292">
        <f>HYPERLINK("https://klasma.github.io/Logging_2303/kartor/A 43349-2026 karta.png", "A 43349-2026")</f>
        <v/>
      </c>
      <c r="Y292">
        <f>HYPERLINK("https://klasma.github.io/Logging_2303/kartor_geotiff/A 43349-2026 georefererad karta.tif", "A 43349-2026")</f>
        <v/>
      </c>
      <c r="AA292">
        <f>HYPERLINK("https://klasma.github.io/Logging_2303/klagomål/A 43349-2026 FSC-klagomål.docx", "A 43349-2026")</f>
        <v/>
      </c>
      <c r="AB292">
        <f>HYPERLINK("https://klasma.github.io/Logging_2303/klagomålsmail/A 43349-2026 FSC-klagomål mail.docx", "A 43349-2026")</f>
        <v/>
      </c>
      <c r="AC292">
        <f>HYPERLINK("https://klasma.github.io/Logging_2303/tillsyn/A 43349-2026 tillsynsbegäran.docx", "A 43349-2026")</f>
        <v/>
      </c>
      <c r="AD292">
        <f>HYPERLINK("https://klasma.github.io/Logging_2303/tillsynsmail/A 43349-2026 tillsynsbegäran mail.docx", "A 43349-2026")</f>
        <v/>
      </c>
      <c r="AE292">
        <f>HYPERLINK("https://klasma.github.io/Logging_2303/fåglar/A 43349-2026 prioriterade fågelarter.docx", "A 43349-2026")</f>
        <v/>
      </c>
    </row>
    <row r="293" ht="15" customHeight="1">
      <c r="A293" t="inlineStr">
        <is>
          <t>A 49091-2022</t>
        </is>
      </c>
      <c r="B293" t="inlineStr">
        <is>
          <t>avverkningsanmälan</t>
        </is>
      </c>
      <c r="C293" t="inlineStr">
        <is>
          <t>Föryngringsavverkning</t>
        </is>
      </c>
      <c r="D293" s="1" t="n">
        <v>44860</v>
      </c>
      <c r="E293" s="1" t="n">
        <v>46319</v>
      </c>
      <c r="F293" t="inlineStr">
        <is>
          <t>JÄMTLANDS LÄN</t>
        </is>
      </c>
      <c r="G293" t="inlineStr">
        <is>
          <t>RAGUNDA</t>
        </is>
      </c>
      <c r="I293" t="n">
        <v>3.5</v>
      </c>
      <c r="J293" t="n">
        <v>1</v>
      </c>
      <c r="K293" t="n">
        <v>0</v>
      </c>
      <c r="L293" t="n">
        <v>0</v>
      </c>
      <c r="M293" t="n">
        <v>1</v>
      </c>
      <c r="N293" t="n">
        <v>0</v>
      </c>
      <c r="O293" t="n">
        <v>0</v>
      </c>
      <c r="P293" t="n">
        <v>0</v>
      </c>
      <c r="Q293" t="n">
        <v>1</v>
      </c>
      <c r="R293" t="n">
        <v>1</v>
      </c>
      <c r="S293" t="n">
        <v>1</v>
      </c>
      <c r="T293" t="n">
        <v>2</v>
      </c>
      <c r="U293" t="n">
        <v>0</v>
      </c>
      <c r="V293" s="2" t="inlineStr">
        <is>
          <t>Doftticka</t>
        </is>
      </c>
      <c r="W293">
        <f>HYPERLINK("https://klasma.github.io/Logging_2303/artfynd/A 49091-2022 artfynd.xlsx", "A 49091-2022")</f>
        <v/>
      </c>
      <c r="X293">
        <f>HYPERLINK("https://klasma.github.io/Logging_2303/kartor/A 49091-2022 karta.png", "A 49091-2022")</f>
        <v/>
      </c>
      <c r="Y293">
        <f>HYPERLINK("https://klasma.github.io/Logging_2303/kartor_geotiff/A 49091-2022 georefererad karta.tif", "A 49091-2022")</f>
        <v/>
      </c>
      <c r="AA293">
        <f>HYPERLINK("https://klasma.github.io/Logging_2303/klagomål/A 49091-2022 FSC-klagomål.docx", "A 49091-2022")</f>
        <v/>
      </c>
      <c r="AB293">
        <f>HYPERLINK("https://klasma.github.io/Logging_2303/klagomålsmail/A 49091-2022 FSC-klagomål mail.docx", "A 49091-2022")</f>
        <v/>
      </c>
      <c r="AC293">
        <f>HYPERLINK("https://klasma.github.io/Logging_2303/tillsyn/A 49091-2022 tillsynsbegäran.docx", "A 49091-2022")</f>
        <v/>
      </c>
      <c r="AD293">
        <f>HYPERLINK("https://klasma.github.io/Logging_2303/tillsynsmail/A 49091-2022 tillsynsbegäran mail.docx", "A 49091-2022")</f>
        <v/>
      </c>
    </row>
    <row r="294" ht="15" customHeight="1">
      <c r="A294" t="inlineStr">
        <is>
          <t>A 60456-2023</t>
        </is>
      </c>
      <c r="B294" t="inlineStr">
        <is>
          <t>avverkningsanmälan</t>
        </is>
      </c>
      <c r="C294" t="inlineStr">
        <is>
          <t>Föryngringsavverkning</t>
        </is>
      </c>
      <c r="D294" s="1" t="n">
        <v>45258</v>
      </c>
      <c r="E294" s="1" t="n">
        <v>46319</v>
      </c>
      <c r="F294" t="inlineStr">
        <is>
          <t>JÄMTLANDS LÄN</t>
        </is>
      </c>
      <c r="G294" t="inlineStr">
        <is>
          <t>RAGUNDA</t>
        </is>
      </c>
      <c r="I294" t="n">
        <v>1.8</v>
      </c>
      <c r="J294" t="n">
        <v>0</v>
      </c>
      <c r="K294" t="n">
        <v>0</v>
      </c>
      <c r="L294" t="n">
        <v>1</v>
      </c>
      <c r="M294" t="n">
        <v>0</v>
      </c>
      <c r="N294" t="n">
        <v>0</v>
      </c>
      <c r="O294" t="n">
        <v>0</v>
      </c>
      <c r="P294" t="n">
        <v>0</v>
      </c>
      <c r="Q294" t="n">
        <v>1</v>
      </c>
      <c r="R294" t="n">
        <v>0</v>
      </c>
      <c r="S294" t="n">
        <v>1</v>
      </c>
      <c r="T294" t="n">
        <v>1</v>
      </c>
      <c r="U294" t="n">
        <v>1</v>
      </c>
      <c r="V294" s="2" t="inlineStr">
        <is>
          <t>Vedskivlav</t>
        </is>
      </c>
      <c r="W294">
        <f>HYPERLINK("https://klasma.github.io/Logging_2303/artfynd/A 60456-2023 artfynd.xlsx", "A 60456-2023")</f>
        <v/>
      </c>
      <c r="X294">
        <f>HYPERLINK("https://klasma.github.io/Logging_2303/kartor/A 60456-2023 karta.png", "A 60456-2023")</f>
        <v/>
      </c>
      <c r="Y294">
        <f>HYPERLINK("https://klasma.github.io/Logging_2303/kartor_geotiff/A 60456-2023 georefererad karta.tif", "A 60456-2023")</f>
        <v/>
      </c>
      <c r="AA294">
        <f>HYPERLINK("https://klasma.github.io/Logging_2303/klagomål/A 60456-2023 FSC-klagomål.docx", "A 60456-2023")</f>
        <v/>
      </c>
      <c r="AB294">
        <f>HYPERLINK("https://klasma.github.io/Logging_2303/klagomålsmail/A 60456-2023 FSC-klagomål mail.docx", "A 60456-2023")</f>
        <v/>
      </c>
      <c r="AC294">
        <f>HYPERLINK("https://klasma.github.io/Logging_2303/tillsyn/A 60456-2023 tillsynsbegäran.docx", "A 60456-2023")</f>
        <v/>
      </c>
      <c r="AD294">
        <f>HYPERLINK("https://klasma.github.io/Logging_2303/tillsynsmail/A 60456-2023 tillsynsbegäran mail.docx", "A 60456-2023")</f>
        <v/>
      </c>
    </row>
    <row r="295" ht="15" customHeight="1">
      <c r="A295" t="inlineStr">
        <is>
          <t>A 21860-2026</t>
        </is>
      </c>
      <c r="B295" t="inlineStr">
        <is>
          <t>avverkningsanmälan</t>
        </is>
      </c>
      <c r="C295" t="inlineStr">
        <is>
          <t>Föryngringsavverkning</t>
        </is>
      </c>
      <c r="D295" s="1" t="n">
        <v>46150</v>
      </c>
      <c r="E295" s="1" t="n">
        <v>46319</v>
      </c>
      <c r="F295" t="inlineStr">
        <is>
          <t>JÄMTLANDS LÄN</t>
        </is>
      </c>
      <c r="G295" t="inlineStr">
        <is>
          <t>RAGUNDA</t>
        </is>
      </c>
      <c r="H295" t="inlineStr">
        <is>
          <t>SCA</t>
        </is>
      </c>
      <c r="I295" t="n">
        <v>0.5</v>
      </c>
      <c r="J295" t="n">
        <v>0</v>
      </c>
      <c r="K295" t="n">
        <v>1</v>
      </c>
      <c r="L295" t="n">
        <v>0</v>
      </c>
      <c r="M295" t="n">
        <v>0</v>
      </c>
      <c r="N295" t="n">
        <v>0</v>
      </c>
      <c r="O295" t="n">
        <v>0</v>
      </c>
      <c r="P295" t="n">
        <v>0</v>
      </c>
      <c r="Q295" t="n">
        <v>0</v>
      </c>
      <c r="R295" t="n">
        <v>0</v>
      </c>
      <c r="S295" t="n">
        <v>1</v>
      </c>
      <c r="T295" t="n">
        <v>1</v>
      </c>
      <c r="U295" t="n">
        <v>1</v>
      </c>
      <c r="V295" s="2" t="inlineStr">
        <is>
          <t>Bollvitmossa</t>
        </is>
      </c>
      <c r="W295">
        <f>HYPERLINK("https://klasma.github.io/Logging_2303/artfynd/A 21860-2026 artfynd.xlsx", "A 21860-2026")</f>
        <v/>
      </c>
      <c r="X295">
        <f>HYPERLINK("https://klasma.github.io/Logging_2303/kartor/A 21860-2026 karta.png", "A 21860-2026")</f>
        <v/>
      </c>
      <c r="Y295">
        <f>HYPERLINK("https://klasma.github.io/Logging_2303/kartor_geotiff/A 21860-2026 georefererad karta.tif", "A 21860-2026")</f>
        <v/>
      </c>
      <c r="AA295">
        <f>HYPERLINK("https://klasma.github.io/Logging_2303/klagomål/A 21860-2026 FSC-klagomål.docx", "A 21860-2026")</f>
        <v/>
      </c>
      <c r="AB295">
        <f>HYPERLINK("https://klasma.github.io/Logging_2303/klagomålsmail/A 21860-2026 FSC-klagomål mail.docx", "A 21860-2026")</f>
        <v/>
      </c>
      <c r="AC295">
        <f>HYPERLINK("https://klasma.github.io/Logging_2303/tillsyn/A 21860-2026 tillsynsbegäran.docx", "A 21860-2026")</f>
        <v/>
      </c>
      <c r="AD295">
        <f>HYPERLINK("https://klasma.github.io/Logging_2303/tillsynsmail/A 21860-2026 tillsynsbegäran mail.docx", "A 21860-2026")</f>
        <v/>
      </c>
    </row>
    <row r="296" ht="15" customHeight="1">
      <c r="A296" t="inlineStr">
        <is>
          <t>A 50431-2024</t>
        </is>
      </c>
      <c r="B296" t="inlineStr">
        <is>
          <t>avverkningsanmälan</t>
        </is>
      </c>
      <c r="C296" t="inlineStr">
        <is>
          <t>Avverkning för att bevara och utveckla /försöksver</t>
        </is>
      </c>
      <c r="D296" s="1" t="n">
        <v>45601</v>
      </c>
      <c r="E296" s="1" t="n">
        <v>46319</v>
      </c>
      <c r="F296" t="inlineStr">
        <is>
          <t>JÄMTLANDS LÄN</t>
        </is>
      </c>
      <c r="G296" t="inlineStr">
        <is>
          <t>RAGUNDA</t>
        </is>
      </c>
      <c r="H296" t="inlineStr">
        <is>
          <t>SCA</t>
        </is>
      </c>
      <c r="I296" t="n">
        <v>8.5</v>
      </c>
      <c r="J296" t="n">
        <v>0</v>
      </c>
      <c r="K296" t="n">
        <v>0</v>
      </c>
      <c r="L296" t="n">
        <v>1</v>
      </c>
      <c r="M296" t="n">
        <v>0</v>
      </c>
      <c r="N296" t="n">
        <v>0</v>
      </c>
      <c r="O296" t="n">
        <v>0</v>
      </c>
      <c r="P296" t="n">
        <v>0</v>
      </c>
      <c r="Q296" t="n">
        <v>1</v>
      </c>
      <c r="R296" t="n">
        <v>0</v>
      </c>
      <c r="S296" t="n">
        <v>1</v>
      </c>
      <c r="T296" t="n">
        <v>2</v>
      </c>
      <c r="U296" t="n">
        <v>2</v>
      </c>
      <c r="V296" s="2" t="inlineStr">
        <is>
          <t>Brunklöver</t>
        </is>
      </c>
      <c r="W296">
        <f>HYPERLINK("https://klasma.github.io/Logging_2303/artfynd/A 50431-2024 artfynd.xlsx", "A 50431-2024")</f>
        <v/>
      </c>
      <c r="X296">
        <f>HYPERLINK("https://klasma.github.io/Logging_2303/kartor/A 50431-2024 karta.png", "A 50431-2024")</f>
        <v/>
      </c>
      <c r="Y296">
        <f>HYPERLINK("https://klasma.github.io/Logging_2303/kartor_geotiff/A 50431-2024 georefererad karta.tif", "A 50431-2024")</f>
        <v/>
      </c>
      <c r="AA296">
        <f>HYPERLINK("https://klasma.github.io/Logging_2303/klagomål/A 50431-2024 FSC-klagomål.docx", "A 50431-2024")</f>
        <v/>
      </c>
      <c r="AB296">
        <f>HYPERLINK("https://klasma.github.io/Logging_2303/klagomålsmail/A 50431-2024 FSC-klagomål mail.docx", "A 50431-2024")</f>
        <v/>
      </c>
      <c r="AC296">
        <f>HYPERLINK("https://klasma.github.io/Logging_2303/tillsyn/A 50431-2024 tillsynsbegäran.docx", "A 50431-2024")</f>
        <v/>
      </c>
      <c r="AD296">
        <f>HYPERLINK("https://klasma.github.io/Logging_2303/tillsynsmail/A 50431-2024 tillsynsbegäran mail.docx", "A 50431-2024")</f>
        <v/>
      </c>
    </row>
    <row r="297" ht="15" customHeight="1">
      <c r="A297" t="inlineStr">
        <is>
          <t>A 5148-2023</t>
        </is>
      </c>
      <c r="B297" t="inlineStr">
        <is>
          <t>avverkningsanmälan</t>
        </is>
      </c>
      <c r="C297" t="inlineStr">
        <is>
          <t>Föryngringsavverkning</t>
        </is>
      </c>
      <c r="D297" s="1" t="n">
        <v>44958</v>
      </c>
      <c r="E297" s="1" t="n">
        <v>46319</v>
      </c>
      <c r="F297" t="inlineStr">
        <is>
          <t>JÄMTLANDS LÄN</t>
        </is>
      </c>
      <c r="G297" t="inlineStr">
        <is>
          <t>RAGUNDA</t>
        </is>
      </c>
      <c r="I297" t="n">
        <v>2.9</v>
      </c>
      <c r="J297" t="n">
        <v>1</v>
      </c>
      <c r="K297" t="n">
        <v>0</v>
      </c>
      <c r="L297" t="n">
        <v>1</v>
      </c>
      <c r="M297" t="n">
        <v>0</v>
      </c>
      <c r="N297" t="n">
        <v>0</v>
      </c>
      <c r="O297" t="n">
        <v>0</v>
      </c>
      <c r="P297" t="n">
        <v>0</v>
      </c>
      <c r="Q297" t="n">
        <v>1</v>
      </c>
      <c r="R297" t="n">
        <v>0</v>
      </c>
      <c r="S297" t="n">
        <v>1</v>
      </c>
      <c r="T297" t="n">
        <v>1</v>
      </c>
      <c r="U297" t="n">
        <v>1</v>
      </c>
      <c r="V297" s="2" t="inlineStr">
        <is>
          <t>Rödvingetrast</t>
        </is>
      </c>
      <c r="W297">
        <f>HYPERLINK("https://klasma.github.io/Logging_2303/artfynd/A 5148-2023 artfynd.xlsx", "A 5148-2023")</f>
        <v/>
      </c>
      <c r="X297">
        <f>HYPERLINK("https://klasma.github.io/Logging_2303/kartor/A 5148-2023 karta.png", "A 5148-2023")</f>
        <v/>
      </c>
      <c r="Y297">
        <f>HYPERLINK("https://klasma.github.io/Logging_2303/kartor_geotiff/A 5148-2023 georefererad karta.tif", "A 5148-2023")</f>
        <v/>
      </c>
      <c r="AA297">
        <f>HYPERLINK("https://klasma.github.io/Logging_2303/klagomål/A 5148-2023 FSC-klagomål.docx", "A 5148-2023")</f>
        <v/>
      </c>
      <c r="AB297">
        <f>HYPERLINK("https://klasma.github.io/Logging_2303/klagomålsmail/A 5148-2023 FSC-klagomål mail.docx", "A 5148-2023")</f>
        <v/>
      </c>
      <c r="AC297">
        <f>HYPERLINK("https://klasma.github.io/Logging_2303/tillsyn/A 5148-2023 tillsynsbegäran.docx", "A 5148-2023")</f>
        <v/>
      </c>
      <c r="AD297">
        <f>HYPERLINK("https://klasma.github.io/Logging_2303/tillsynsmail/A 5148-2023 tillsynsbegäran mail.docx", "A 5148-2023")</f>
        <v/>
      </c>
      <c r="AE297">
        <f>HYPERLINK("https://klasma.github.io/Logging_2303/fåglar/A 5148-2023 prioriterade fågelarter.docx", "A 5148-2023")</f>
        <v/>
      </c>
    </row>
    <row r="298" ht="15" customHeight="1">
      <c r="A298" t="inlineStr">
        <is>
          <t>A 3186-2025</t>
        </is>
      </c>
      <c r="B298" t="inlineStr">
        <is>
          <t>avverkningsanmälan</t>
        </is>
      </c>
      <c r="C298" t="inlineStr">
        <is>
          <t>Föryngringsavverkning</t>
        </is>
      </c>
      <c r="D298" s="1" t="n">
        <v>45679</v>
      </c>
      <c r="E298" s="1" t="n">
        <v>46319</v>
      </c>
      <c r="F298" t="inlineStr">
        <is>
          <t>JÄMTLANDS LÄN</t>
        </is>
      </c>
      <c r="G298" t="inlineStr">
        <is>
          <t>RAGUNDA</t>
        </is>
      </c>
      <c r="I298" t="n">
        <v>5.2</v>
      </c>
      <c r="J298" t="n">
        <v>0</v>
      </c>
      <c r="K298" t="n">
        <v>0</v>
      </c>
      <c r="L298" t="n">
        <v>1</v>
      </c>
      <c r="M298" t="n">
        <v>0</v>
      </c>
      <c r="N298" t="n">
        <v>0</v>
      </c>
      <c r="O298" t="n">
        <v>0</v>
      </c>
      <c r="P298" t="n">
        <v>0</v>
      </c>
      <c r="Q298" t="n">
        <v>1</v>
      </c>
      <c r="R298" t="n">
        <v>0</v>
      </c>
      <c r="S298" t="n">
        <v>1</v>
      </c>
      <c r="T298" t="n">
        <v>1</v>
      </c>
      <c r="U298" t="n">
        <v>1</v>
      </c>
      <c r="V298" s="2" t="inlineStr">
        <is>
          <t>Slåtterfibbla</t>
        </is>
      </c>
      <c r="W298">
        <f>HYPERLINK("https://klasma.github.io/Logging_2303/artfynd/A 3186-2025 artfynd.xlsx", "A 3186-2025")</f>
        <v/>
      </c>
      <c r="X298">
        <f>HYPERLINK("https://klasma.github.io/Logging_2303/kartor/A 3186-2025 karta.png", "A 3186-2025")</f>
        <v/>
      </c>
      <c r="Y298">
        <f>HYPERLINK("https://klasma.github.io/Logging_2303/kartor_geotiff/A 3186-2025 georefererad karta.tif", "A 3186-2025")</f>
        <v/>
      </c>
      <c r="AA298">
        <f>HYPERLINK("https://klasma.github.io/Logging_2303/klagomål/A 3186-2025 FSC-klagomål.docx", "A 3186-2025")</f>
        <v/>
      </c>
      <c r="AB298">
        <f>HYPERLINK("https://klasma.github.io/Logging_2303/klagomålsmail/A 3186-2025 FSC-klagomål mail.docx", "A 3186-2025")</f>
        <v/>
      </c>
      <c r="AC298">
        <f>HYPERLINK("https://klasma.github.io/Logging_2303/tillsyn/A 3186-2025 tillsynsbegäran.docx", "A 3186-2025")</f>
        <v/>
      </c>
      <c r="AD298">
        <f>HYPERLINK("https://klasma.github.io/Logging_2303/tillsynsmail/A 3186-2025 tillsynsbegäran mail.docx", "A 3186-2025")</f>
        <v/>
      </c>
    </row>
    <row r="299" ht="15" customHeight="1">
      <c r="A299" t="inlineStr">
        <is>
          <t>A 36854-2023</t>
        </is>
      </c>
      <c r="B299" t="inlineStr">
        <is>
          <t>avverkningsanmälan</t>
        </is>
      </c>
      <c r="C299" t="inlineStr">
        <is>
          <t>Föryngringsavverkning</t>
        </is>
      </c>
      <c r="D299" s="1" t="n">
        <v>45153</v>
      </c>
      <c r="E299" s="1" t="n">
        <v>46319</v>
      </c>
      <c r="F299" t="inlineStr">
        <is>
          <t>JÄMTLANDS LÄN</t>
        </is>
      </c>
      <c r="G299" t="inlineStr">
        <is>
          <t>RAGUNDA</t>
        </is>
      </c>
      <c r="I299" t="n">
        <v>4</v>
      </c>
      <c r="J299" t="n">
        <v>1</v>
      </c>
      <c r="K299" t="n">
        <v>0</v>
      </c>
      <c r="L299" t="n">
        <v>1</v>
      </c>
      <c r="M299" t="n">
        <v>0</v>
      </c>
      <c r="N299" t="n">
        <v>0</v>
      </c>
      <c r="O299" t="n">
        <v>0</v>
      </c>
      <c r="P299" t="n">
        <v>0</v>
      </c>
      <c r="Q299" t="n">
        <v>1</v>
      </c>
      <c r="R299" t="n">
        <v>0</v>
      </c>
      <c r="S299" t="n">
        <v>1</v>
      </c>
      <c r="T299" t="n">
        <v>1</v>
      </c>
      <c r="U299" t="n">
        <v>0</v>
      </c>
      <c r="V299" s="2" t="inlineStr">
        <is>
          <t>Talltita</t>
        </is>
      </c>
      <c r="W299">
        <f>HYPERLINK("https://klasma.github.io/Logging_2303/artfynd/A 36854-2023 artfynd.xlsx", "A 36854-2023")</f>
        <v/>
      </c>
      <c r="X299">
        <f>HYPERLINK("https://klasma.github.io/Logging_2303/kartor/A 36854-2023 karta.png", "A 36854-2023")</f>
        <v/>
      </c>
      <c r="Y299">
        <f>HYPERLINK("https://klasma.github.io/Logging_2303/kartor_geotiff/A 36854-2023 georefererad karta.tif", "A 36854-2023")</f>
        <v/>
      </c>
      <c r="AA299">
        <f>HYPERLINK("https://klasma.github.io/Logging_2303/klagomål/A 36854-2023 FSC-klagomål.docx", "A 36854-2023")</f>
        <v/>
      </c>
      <c r="AB299">
        <f>HYPERLINK("https://klasma.github.io/Logging_2303/klagomålsmail/A 36854-2023 FSC-klagomål mail.docx", "A 36854-2023")</f>
        <v/>
      </c>
      <c r="AC299">
        <f>HYPERLINK("https://klasma.github.io/Logging_2303/tillsyn/A 36854-2023 tillsynsbegäran.docx", "A 36854-2023")</f>
        <v/>
      </c>
      <c r="AD299">
        <f>HYPERLINK("https://klasma.github.io/Logging_2303/tillsynsmail/A 36854-2023 tillsynsbegäran mail.docx", "A 36854-2023")</f>
        <v/>
      </c>
      <c r="AE299">
        <f>HYPERLINK("https://klasma.github.io/Logging_2303/fåglar/A 36854-2023 prioriterade fågelarter.docx", "A 36854-2023")</f>
        <v/>
      </c>
    </row>
    <row r="300" ht="15" customHeight="1">
      <c r="A300" t="inlineStr">
        <is>
          <t>A 36975-2023</t>
        </is>
      </c>
      <c r="B300" t="inlineStr">
        <is>
          <t>avverkningsanmälan</t>
        </is>
      </c>
      <c r="C300" t="inlineStr">
        <is>
          <t>Avverkning för att bevara och utveckla /försöksver</t>
        </is>
      </c>
      <c r="D300" s="1" t="n">
        <v>45154</v>
      </c>
      <c r="E300" s="1" t="n">
        <v>46319</v>
      </c>
      <c r="F300" t="inlineStr">
        <is>
          <t>JÄMTLANDS LÄN</t>
        </is>
      </c>
      <c r="G300" t="inlineStr">
        <is>
          <t>RAGUNDA</t>
        </is>
      </c>
      <c r="H300" t="inlineStr">
        <is>
          <t>SCA</t>
        </is>
      </c>
      <c r="I300" t="n">
        <v>3.8</v>
      </c>
      <c r="J300" t="n">
        <v>0</v>
      </c>
      <c r="K300" t="n">
        <v>0</v>
      </c>
      <c r="L300" t="n">
        <v>0</v>
      </c>
      <c r="M300" t="n">
        <v>1</v>
      </c>
      <c r="N300" t="n">
        <v>0</v>
      </c>
      <c r="O300" t="n">
        <v>0</v>
      </c>
      <c r="P300" t="n">
        <v>0</v>
      </c>
      <c r="Q300" t="n">
        <v>1</v>
      </c>
      <c r="R300" t="n">
        <v>1</v>
      </c>
      <c r="S300" t="n">
        <v>1</v>
      </c>
      <c r="T300" t="n">
        <v>1</v>
      </c>
      <c r="U300" t="n">
        <v>0</v>
      </c>
      <c r="V300" s="2" t="inlineStr">
        <is>
          <t>Gräddporing</t>
        </is>
      </c>
      <c r="W300">
        <f>HYPERLINK("https://klasma.github.io/Logging_2303/artfynd/A 36975-2023 artfynd.xlsx", "A 36975-2023")</f>
        <v/>
      </c>
      <c r="X300">
        <f>HYPERLINK("https://klasma.github.io/Logging_2303/kartor/A 36975-2023 karta.png", "A 36975-2023")</f>
        <v/>
      </c>
      <c r="Y300">
        <f>HYPERLINK("https://klasma.github.io/Logging_2303/kartor_geotiff/A 36975-2023 georefererad karta.tif", "A 36975-2023")</f>
        <v/>
      </c>
      <c r="AA300">
        <f>HYPERLINK("https://klasma.github.io/Logging_2303/klagomål/A 36975-2023 FSC-klagomål.docx", "A 36975-2023")</f>
        <v/>
      </c>
      <c r="AB300">
        <f>HYPERLINK("https://klasma.github.io/Logging_2303/klagomålsmail/A 36975-2023 FSC-klagomål mail.docx", "A 36975-2023")</f>
        <v/>
      </c>
      <c r="AC300">
        <f>HYPERLINK("https://klasma.github.io/Logging_2303/tillsyn/A 36975-2023 tillsynsbegäran.docx", "A 36975-2023")</f>
        <v/>
      </c>
      <c r="AD300">
        <f>HYPERLINK("https://klasma.github.io/Logging_2303/tillsynsmail/A 36975-2023 tillsynsbegäran mail.docx", "A 36975-2023")</f>
        <v/>
      </c>
    </row>
    <row r="301" ht="15" customHeight="1">
      <c r="A301" t="inlineStr">
        <is>
          <t>A 35750-2023</t>
        </is>
      </c>
      <c r="B301" t="inlineStr">
        <is>
          <t>avverkningsanmälan</t>
        </is>
      </c>
      <c r="C301" t="inlineStr">
        <is>
          <t>Avverkning för att bevara och utveckla /försöksver</t>
        </is>
      </c>
      <c r="D301" s="1" t="n">
        <v>45147</v>
      </c>
      <c r="E301" s="1" t="n">
        <v>46319</v>
      </c>
      <c r="F301" t="inlineStr">
        <is>
          <t>JÄMTLANDS LÄN</t>
        </is>
      </c>
      <c r="G301" t="inlineStr">
        <is>
          <t>RAGUNDA</t>
        </is>
      </c>
      <c r="H301" t="inlineStr">
        <is>
          <t>SCA</t>
        </is>
      </c>
      <c r="I301" t="n">
        <v>4.8</v>
      </c>
      <c r="J301" t="n">
        <v>0</v>
      </c>
      <c r="K301" t="n">
        <v>0</v>
      </c>
      <c r="L301" t="n">
        <v>1</v>
      </c>
      <c r="M301" t="n">
        <v>0</v>
      </c>
      <c r="N301" t="n">
        <v>0</v>
      </c>
      <c r="O301" t="n">
        <v>0</v>
      </c>
      <c r="P301" t="n">
        <v>0</v>
      </c>
      <c r="Q301" t="n">
        <v>1</v>
      </c>
      <c r="R301" t="n">
        <v>0</v>
      </c>
      <c r="S301" t="n">
        <v>1</v>
      </c>
      <c r="T301" t="n">
        <v>1</v>
      </c>
      <c r="U301" t="n">
        <v>0</v>
      </c>
      <c r="V301" s="2" t="inlineStr">
        <is>
          <t>Grantaggsvamp</t>
        </is>
      </c>
      <c r="W301">
        <f>HYPERLINK("https://klasma.github.io/Logging_2303/artfynd/A 35750-2023 artfynd.xlsx", "A 35750-2023")</f>
        <v/>
      </c>
      <c r="X301">
        <f>HYPERLINK("https://klasma.github.io/Logging_2303/kartor/A 35750-2023 karta.png", "A 35750-2023")</f>
        <v/>
      </c>
      <c r="Y301">
        <f>HYPERLINK("https://klasma.github.io/Logging_2303/kartor_geotiff/A 35750-2023 georefererad karta.tif", "A 35750-2023")</f>
        <v/>
      </c>
      <c r="AA301">
        <f>HYPERLINK("https://klasma.github.io/Logging_2303/klagomål/A 35750-2023 FSC-klagomål.docx", "A 35750-2023")</f>
        <v/>
      </c>
      <c r="AB301">
        <f>HYPERLINK("https://klasma.github.io/Logging_2303/klagomålsmail/A 35750-2023 FSC-klagomål mail.docx", "A 35750-2023")</f>
        <v/>
      </c>
      <c r="AC301">
        <f>HYPERLINK("https://klasma.github.io/Logging_2303/tillsyn/A 35750-2023 tillsynsbegäran.docx", "A 35750-2023")</f>
        <v/>
      </c>
      <c r="AD301">
        <f>HYPERLINK("https://klasma.github.io/Logging_2303/tillsynsmail/A 35750-2023 tillsynsbegäran mail.docx", "A 35750-2023")</f>
        <v/>
      </c>
    </row>
    <row r="302" ht="15" customHeight="1">
      <c r="A302" t="inlineStr">
        <is>
          <t>A 4866-2025</t>
        </is>
      </c>
      <c r="B302" t="inlineStr">
        <is>
          <t>avverkningsanmälan</t>
        </is>
      </c>
      <c r="C302" t="inlineStr">
        <is>
          <t>Föryngringsavverkning</t>
        </is>
      </c>
      <c r="D302" s="1" t="n">
        <v>45688</v>
      </c>
      <c r="E302" s="1" t="n">
        <v>46319</v>
      </c>
      <c r="F302" t="inlineStr">
        <is>
          <t>JÄMTLANDS LÄN</t>
        </is>
      </c>
      <c r="G302" t="inlineStr">
        <is>
          <t>RAGUNDA</t>
        </is>
      </c>
      <c r="H302" t="inlineStr">
        <is>
          <t>SCA</t>
        </is>
      </c>
      <c r="I302" t="n">
        <v>2.1</v>
      </c>
      <c r="J302" t="n">
        <v>0</v>
      </c>
      <c r="K302" t="n">
        <v>0</v>
      </c>
      <c r="L302" t="n">
        <v>1</v>
      </c>
      <c r="M302" t="n">
        <v>0</v>
      </c>
      <c r="N302" t="n">
        <v>0</v>
      </c>
      <c r="O302" t="n">
        <v>0</v>
      </c>
      <c r="P302" t="n">
        <v>0</v>
      </c>
      <c r="Q302" t="n">
        <v>1</v>
      </c>
      <c r="R302" t="n">
        <v>0</v>
      </c>
      <c r="S302" t="n">
        <v>1</v>
      </c>
      <c r="T302" t="n">
        <v>1</v>
      </c>
      <c r="U302" t="n">
        <v>0</v>
      </c>
      <c r="V302" s="2" t="inlineStr">
        <is>
          <t>Brunpudrad nållav</t>
        </is>
      </c>
      <c r="W302">
        <f>HYPERLINK("https://klasma.github.io/Logging_2303/artfynd/A 4866-2025 artfynd.xlsx", "A 4866-2025")</f>
        <v/>
      </c>
      <c r="X302">
        <f>HYPERLINK("https://klasma.github.io/Logging_2303/kartor/A 4866-2025 karta.png", "A 4866-2025")</f>
        <v/>
      </c>
      <c r="Y302">
        <f>HYPERLINK("https://klasma.github.io/Logging_2303/kartor_geotiff/A 4866-2025 georefererad karta.tif", "A 4866-2025")</f>
        <v/>
      </c>
      <c r="AA302">
        <f>HYPERLINK("https://klasma.github.io/Logging_2303/klagomål/A 4866-2025 FSC-klagomål.docx", "A 4866-2025")</f>
        <v/>
      </c>
      <c r="AB302">
        <f>HYPERLINK("https://klasma.github.io/Logging_2303/klagomålsmail/A 4866-2025 FSC-klagomål mail.docx", "A 4866-2025")</f>
        <v/>
      </c>
      <c r="AC302">
        <f>HYPERLINK("https://klasma.github.io/Logging_2303/tillsyn/A 4866-2025 tillsynsbegäran.docx", "A 4866-2025")</f>
        <v/>
      </c>
      <c r="AD302">
        <f>HYPERLINK("https://klasma.github.io/Logging_2303/tillsynsmail/A 4866-2025 tillsynsbegäran mail.docx", "A 4866-2025")</f>
        <v/>
      </c>
    </row>
    <row r="303" ht="15" customHeight="1">
      <c r="A303" t="inlineStr">
        <is>
          <t>A 2929-2024</t>
        </is>
      </c>
      <c r="B303" t="inlineStr">
        <is>
          <t>avverkningsanmälan</t>
        </is>
      </c>
      <c r="C303" t="inlineStr">
        <is>
          <t>Föryngringsavverkning</t>
        </is>
      </c>
      <c r="D303" s="1" t="n">
        <v>45315</v>
      </c>
      <c r="E303" s="1" t="n">
        <v>46319</v>
      </c>
      <c r="F303" t="inlineStr">
        <is>
          <t>JÄMTLANDS LÄN</t>
        </is>
      </c>
      <c r="G303" t="inlineStr">
        <is>
          <t>RAGUNDA</t>
        </is>
      </c>
      <c r="I303" t="n">
        <v>1</v>
      </c>
      <c r="J303" t="n">
        <v>0</v>
      </c>
      <c r="K303" t="n">
        <v>0</v>
      </c>
      <c r="L303" t="n">
        <v>1</v>
      </c>
      <c r="M303" t="n">
        <v>0</v>
      </c>
      <c r="N303" t="n">
        <v>0</v>
      </c>
      <c r="O303" t="n">
        <v>0</v>
      </c>
      <c r="P303" t="n">
        <v>0</v>
      </c>
      <c r="Q303" t="n">
        <v>1</v>
      </c>
      <c r="R303" t="n">
        <v>0</v>
      </c>
      <c r="S303" t="n">
        <v>1</v>
      </c>
      <c r="T303" t="n">
        <v>1</v>
      </c>
      <c r="U303" t="n">
        <v>0</v>
      </c>
      <c r="V303" s="2" t="inlineStr">
        <is>
          <t>Klådris</t>
        </is>
      </c>
      <c r="W303">
        <f>HYPERLINK("https://klasma.github.io/Logging_2303/artfynd/A 2929-2024 artfynd.xlsx", "A 2929-2024")</f>
        <v/>
      </c>
      <c r="X303">
        <f>HYPERLINK("https://klasma.github.io/Logging_2303/kartor/A 2929-2024 karta.png", "A 2929-2024")</f>
        <v/>
      </c>
      <c r="Y303">
        <f>HYPERLINK("https://klasma.github.io/Logging_2303/kartor_geotiff/A 2929-2024 georefererad karta.tif", "A 2929-2024")</f>
        <v/>
      </c>
      <c r="AA303">
        <f>HYPERLINK("https://klasma.github.io/Logging_2303/klagomål/A 2929-2024 FSC-klagomål.docx", "A 2929-2024")</f>
        <v/>
      </c>
      <c r="AB303">
        <f>HYPERLINK("https://klasma.github.io/Logging_2303/klagomålsmail/A 2929-2024 FSC-klagomål mail.docx", "A 2929-2024")</f>
        <v/>
      </c>
      <c r="AC303">
        <f>HYPERLINK("https://klasma.github.io/Logging_2303/tillsyn/A 2929-2024 tillsynsbegäran.docx", "A 2929-2024")</f>
        <v/>
      </c>
      <c r="AD303">
        <f>HYPERLINK("https://klasma.github.io/Logging_2303/tillsynsmail/A 2929-2024 tillsynsbegäran mail.docx", "A 2929-2024")</f>
        <v/>
      </c>
    </row>
    <row r="304" ht="15" customHeight="1">
      <c r="A304" t="inlineStr">
        <is>
          <t>A 4348-2023</t>
        </is>
      </c>
      <c r="B304" t="inlineStr">
        <is>
          <t>avverkningsanmälan</t>
        </is>
      </c>
      <c r="C304" t="inlineStr">
        <is>
          <t>Föryngringsavverkning</t>
        </is>
      </c>
      <c r="D304" s="1" t="n">
        <v>44953</v>
      </c>
      <c r="E304" s="1" t="n">
        <v>46319</v>
      </c>
      <c r="F304" t="inlineStr">
        <is>
          <t>JÄMTLANDS LÄN</t>
        </is>
      </c>
      <c r="G304" t="inlineStr">
        <is>
          <t>RAGUNDA</t>
        </is>
      </c>
      <c r="H304" t="inlineStr">
        <is>
          <t>SCA</t>
        </is>
      </c>
      <c r="I304" t="n">
        <v>1.4</v>
      </c>
      <c r="J304" t="n">
        <v>1</v>
      </c>
      <c r="K304" t="n">
        <v>0</v>
      </c>
      <c r="L304" t="n">
        <v>0</v>
      </c>
      <c r="M304" t="n">
        <v>0</v>
      </c>
      <c r="N304" t="n">
        <v>0</v>
      </c>
      <c r="O304" t="n">
        <v>0</v>
      </c>
      <c r="P304" t="n">
        <v>0</v>
      </c>
      <c r="Q304" t="n">
        <v>0</v>
      </c>
      <c r="R304" t="n">
        <v>0</v>
      </c>
      <c r="S304" t="n">
        <v>1</v>
      </c>
      <c r="T304" t="n">
        <v>1</v>
      </c>
      <c r="U304" t="n">
        <v>1</v>
      </c>
      <c r="V304" s="2" t="inlineStr">
        <is>
          <t>Revlummer</t>
        </is>
      </c>
      <c r="W304">
        <f>HYPERLINK("https://klasma.github.io/Logging_2303/artfynd/A 4348-2023 artfynd.xlsx", "A 4348-2023")</f>
        <v/>
      </c>
      <c r="X304">
        <f>HYPERLINK("https://klasma.github.io/Logging_2303/kartor/A 4348-2023 karta.png", "A 4348-2023")</f>
        <v/>
      </c>
      <c r="Y304">
        <f>HYPERLINK("https://klasma.github.io/Logging_2303/kartor_geotiff/A 4348-2023 georefererad karta.tif", "A 4348-2023")</f>
        <v/>
      </c>
      <c r="AA304">
        <f>HYPERLINK("https://klasma.github.io/Logging_2303/klagomål/A 4348-2023 FSC-klagomål.docx", "A 4348-2023")</f>
        <v/>
      </c>
      <c r="AB304">
        <f>HYPERLINK("https://klasma.github.io/Logging_2303/klagomålsmail/A 4348-2023 FSC-klagomål mail.docx", "A 4348-2023")</f>
        <v/>
      </c>
      <c r="AC304">
        <f>HYPERLINK("https://klasma.github.io/Logging_2303/tillsyn/A 4348-2023 tillsynsbegäran.docx", "A 4348-2023")</f>
        <v/>
      </c>
      <c r="AD304">
        <f>HYPERLINK("https://klasma.github.io/Logging_2303/tillsynsmail/A 4348-2023 tillsynsbegäran mail.docx", "A 4348-2023")</f>
        <v/>
      </c>
    </row>
    <row r="305" ht="15" customHeight="1">
      <c r="A305" t="inlineStr">
        <is>
          <t>A 19751-2025</t>
        </is>
      </c>
      <c r="B305" t="inlineStr">
        <is>
          <t>avverkningsanmälan</t>
        </is>
      </c>
      <c r="C305" t="inlineStr">
        <is>
          <t>Föryngringsavverkning</t>
        </is>
      </c>
      <c r="D305" s="1" t="n">
        <v>45771</v>
      </c>
      <c r="E305" s="1" t="n">
        <v>46319</v>
      </c>
      <c r="F305" t="inlineStr">
        <is>
          <t>JÄMTLANDS LÄN</t>
        </is>
      </c>
      <c r="G305" t="inlineStr">
        <is>
          <t>RAGUNDA</t>
        </is>
      </c>
      <c r="H305" t="inlineStr">
        <is>
          <t>SCA</t>
        </is>
      </c>
      <c r="I305" t="n">
        <v>1.1</v>
      </c>
      <c r="J305" t="n">
        <v>1</v>
      </c>
      <c r="K305" t="n">
        <v>0</v>
      </c>
      <c r="L305" t="n">
        <v>1</v>
      </c>
      <c r="M305" t="n">
        <v>0</v>
      </c>
      <c r="N305" t="n">
        <v>0</v>
      </c>
      <c r="O305" t="n">
        <v>0</v>
      </c>
      <c r="P305" t="n">
        <v>0</v>
      </c>
      <c r="Q305" t="n">
        <v>1</v>
      </c>
      <c r="R305" t="n">
        <v>0</v>
      </c>
      <c r="S305" t="n">
        <v>1</v>
      </c>
      <c r="T305" t="n">
        <v>1</v>
      </c>
      <c r="U305" t="n">
        <v>1</v>
      </c>
      <c r="V305" s="2" t="inlineStr">
        <is>
          <t>Tretåig hackspett</t>
        </is>
      </c>
      <c r="W305">
        <f>HYPERLINK("https://klasma.github.io/Logging_2303/artfynd/A 19751-2025 artfynd.xlsx", "A 19751-2025")</f>
        <v/>
      </c>
      <c r="X305">
        <f>HYPERLINK("https://klasma.github.io/Logging_2303/kartor/A 19751-2025 karta.png", "A 19751-2025")</f>
        <v/>
      </c>
      <c r="Y305">
        <f>HYPERLINK("https://klasma.github.io/Logging_2303/kartor_geotiff/A 19751-2025 georefererad karta.tif", "A 19751-2025")</f>
        <v/>
      </c>
      <c r="AA305">
        <f>HYPERLINK("https://klasma.github.io/Logging_2303/klagomål/A 19751-2025 FSC-klagomål.docx", "A 19751-2025")</f>
        <v/>
      </c>
      <c r="AB305">
        <f>HYPERLINK("https://klasma.github.io/Logging_2303/klagomålsmail/A 19751-2025 FSC-klagomål mail.docx", "A 19751-2025")</f>
        <v/>
      </c>
      <c r="AC305">
        <f>HYPERLINK("https://klasma.github.io/Logging_2303/tillsyn/A 19751-2025 tillsynsbegäran.docx", "A 19751-2025")</f>
        <v/>
      </c>
      <c r="AD305">
        <f>HYPERLINK("https://klasma.github.io/Logging_2303/tillsynsmail/A 19751-2025 tillsynsbegäran mail.docx", "A 19751-2025")</f>
        <v/>
      </c>
      <c r="AE305">
        <f>HYPERLINK("https://klasma.github.io/Logging_2303/fåglar/A 19751-2025 prioriterade fågelarter.docx", "A 19751-2025")</f>
        <v/>
      </c>
    </row>
    <row r="306" ht="15" customHeight="1">
      <c r="A306" t="inlineStr">
        <is>
          <t>A 36224-2023</t>
        </is>
      </c>
      <c r="B306" t="inlineStr">
        <is>
          <t>avverkningsanmälan</t>
        </is>
      </c>
      <c r="C306" t="inlineStr">
        <is>
          <t>Avverkning för att bevara och utveckla /försöksver</t>
        </is>
      </c>
      <c r="D306" s="1" t="n">
        <v>45149</v>
      </c>
      <c r="E306" s="1" t="n">
        <v>46319</v>
      </c>
      <c r="F306" t="inlineStr">
        <is>
          <t>JÄMTLANDS LÄN</t>
        </is>
      </c>
      <c r="G306" t="inlineStr">
        <is>
          <t>RAGUNDA</t>
        </is>
      </c>
      <c r="H306" t="inlineStr">
        <is>
          <t>SCA</t>
        </is>
      </c>
      <c r="I306" t="n">
        <v>8.1</v>
      </c>
      <c r="J306" t="n">
        <v>0</v>
      </c>
      <c r="K306" t="n">
        <v>0</v>
      </c>
      <c r="L306" t="n">
        <v>0</v>
      </c>
      <c r="M306" t="n">
        <v>1</v>
      </c>
      <c r="N306" t="n">
        <v>0</v>
      </c>
      <c r="O306" t="n">
        <v>0</v>
      </c>
      <c r="P306" t="n">
        <v>0</v>
      </c>
      <c r="Q306" t="n">
        <v>1</v>
      </c>
      <c r="R306" t="n">
        <v>1</v>
      </c>
      <c r="S306" t="n">
        <v>1</v>
      </c>
      <c r="T306" t="n">
        <v>2</v>
      </c>
      <c r="U306" t="n">
        <v>0</v>
      </c>
      <c r="V306" s="2" t="inlineStr">
        <is>
          <t>Garnlav</t>
        </is>
      </c>
      <c r="W306">
        <f>HYPERLINK("https://klasma.github.io/Logging_2303/artfynd/A 36224-2023 artfynd.xlsx", "A 36224-2023")</f>
        <v/>
      </c>
      <c r="X306">
        <f>HYPERLINK("https://klasma.github.io/Logging_2303/kartor/A 36224-2023 karta.png", "A 36224-2023")</f>
        <v/>
      </c>
      <c r="Y306">
        <f>HYPERLINK("https://klasma.github.io/Logging_2303/kartor_geotiff/A 36224-2023 georefererad karta.tif", "A 36224-2023")</f>
        <v/>
      </c>
      <c r="AA306">
        <f>HYPERLINK("https://klasma.github.io/Logging_2303/klagomål/A 36224-2023 FSC-klagomål.docx", "A 36224-2023")</f>
        <v/>
      </c>
      <c r="AB306">
        <f>HYPERLINK("https://klasma.github.io/Logging_2303/klagomålsmail/A 36224-2023 FSC-klagomål mail.docx", "A 36224-2023")</f>
        <v/>
      </c>
      <c r="AC306">
        <f>HYPERLINK("https://klasma.github.io/Logging_2303/tillsyn/A 36224-2023 tillsynsbegäran.docx", "A 36224-2023")</f>
        <v/>
      </c>
      <c r="AD306">
        <f>HYPERLINK("https://klasma.github.io/Logging_2303/tillsynsmail/A 36224-2023 tillsynsbegäran mail.docx", "A 36224-2023")</f>
        <v/>
      </c>
    </row>
    <row r="307" ht="15" customHeight="1">
      <c r="A307" t="inlineStr">
        <is>
          <t>A 16724-2025</t>
        </is>
      </c>
      <c r="B307" t="inlineStr">
        <is>
          <t>avverkningsanmälan</t>
        </is>
      </c>
      <c r="C307" t="inlineStr">
        <is>
          <t>Föryngringsavverkning</t>
        </is>
      </c>
      <c r="D307" s="1" t="n">
        <v>45754</v>
      </c>
      <c r="E307" s="1" t="n">
        <v>46319</v>
      </c>
      <c r="F307" t="inlineStr">
        <is>
          <t>JÄMTLANDS LÄN</t>
        </is>
      </c>
      <c r="G307" t="inlineStr">
        <is>
          <t>RAGUNDA</t>
        </is>
      </c>
      <c r="I307" t="n">
        <v>3.5</v>
      </c>
      <c r="J307" t="n">
        <v>0</v>
      </c>
      <c r="K307" t="n">
        <v>0</v>
      </c>
      <c r="L307" t="n">
        <v>1</v>
      </c>
      <c r="M307" t="n">
        <v>0</v>
      </c>
      <c r="N307" t="n">
        <v>0</v>
      </c>
      <c r="O307" t="n">
        <v>0</v>
      </c>
      <c r="P307" t="n">
        <v>0</v>
      </c>
      <c r="Q307" t="n">
        <v>1</v>
      </c>
      <c r="R307" t="n">
        <v>0</v>
      </c>
      <c r="S307" t="n">
        <v>1</v>
      </c>
      <c r="T307" t="n">
        <v>1</v>
      </c>
      <c r="U307" t="n">
        <v>0</v>
      </c>
      <c r="V307" s="2" t="inlineStr">
        <is>
          <t>Kolflarnlav</t>
        </is>
      </c>
      <c r="W307">
        <f>HYPERLINK("https://klasma.github.io/Logging_2303/artfynd/A 16724-2025 artfynd.xlsx", "A 16724-2025")</f>
        <v/>
      </c>
      <c r="X307">
        <f>HYPERLINK("https://klasma.github.io/Logging_2303/kartor/A 16724-2025 karta.png", "A 16724-2025")</f>
        <v/>
      </c>
      <c r="Y307">
        <f>HYPERLINK("https://klasma.github.io/Logging_2303/kartor_geotiff/A 16724-2025 georefererad karta.tif", "A 16724-2025")</f>
        <v/>
      </c>
      <c r="AA307">
        <f>HYPERLINK("https://klasma.github.io/Logging_2303/klagomål/A 16724-2025 FSC-klagomål.docx", "A 16724-2025")</f>
        <v/>
      </c>
      <c r="AB307">
        <f>HYPERLINK("https://klasma.github.io/Logging_2303/klagomålsmail/A 16724-2025 FSC-klagomål mail.docx", "A 16724-2025")</f>
        <v/>
      </c>
      <c r="AC307">
        <f>HYPERLINK("https://klasma.github.io/Logging_2303/tillsyn/A 16724-2025 tillsynsbegäran.docx", "A 16724-2025")</f>
        <v/>
      </c>
      <c r="AD307">
        <f>HYPERLINK("https://klasma.github.io/Logging_2303/tillsynsmail/A 16724-2025 tillsynsbegäran mail.docx", "A 16724-2025")</f>
        <v/>
      </c>
    </row>
    <row r="308" ht="15" customHeight="1">
      <c r="A308" t="inlineStr">
        <is>
          <t>A 62072-2023</t>
        </is>
      </c>
      <c r="B308" t="inlineStr">
        <is>
          <t>avverkningsanmälan</t>
        </is>
      </c>
      <c r="C308" t="inlineStr">
        <is>
          <t>Föryngringsavverkning</t>
        </is>
      </c>
      <c r="D308" s="1" t="n">
        <v>45266</v>
      </c>
      <c r="E308" s="1" t="n">
        <v>46319</v>
      </c>
      <c r="F308" t="inlineStr">
        <is>
          <t>JÄMTLANDS LÄN</t>
        </is>
      </c>
      <c r="G308" t="inlineStr">
        <is>
          <t>RAGUNDA</t>
        </is>
      </c>
      <c r="I308" t="n">
        <v>4.5</v>
      </c>
      <c r="J308" t="n">
        <v>1</v>
      </c>
      <c r="K308" t="n">
        <v>0</v>
      </c>
      <c r="L308" t="n">
        <v>0</v>
      </c>
      <c r="M308" t="n">
        <v>1</v>
      </c>
      <c r="N308" t="n">
        <v>0</v>
      </c>
      <c r="O308" t="n">
        <v>0</v>
      </c>
      <c r="P308" t="n">
        <v>0</v>
      </c>
      <c r="Q308" t="n">
        <v>1</v>
      </c>
      <c r="R308" t="n">
        <v>1</v>
      </c>
      <c r="S308" t="n">
        <v>1</v>
      </c>
      <c r="T308" t="n">
        <v>1</v>
      </c>
      <c r="U308" t="n">
        <v>0</v>
      </c>
      <c r="V308" s="2" t="inlineStr">
        <is>
          <t>Lappuggla</t>
        </is>
      </c>
      <c r="W308">
        <f>HYPERLINK("https://klasma.github.io/Logging_2303/artfynd/A 62072-2023 artfynd.xlsx", "A 62072-2023")</f>
        <v/>
      </c>
      <c r="X308">
        <f>HYPERLINK("https://klasma.github.io/Logging_2303/kartor/A 62072-2023 karta.png", "A 62072-2023")</f>
        <v/>
      </c>
      <c r="Y308">
        <f>HYPERLINK("https://klasma.github.io/Logging_2303/kartor_geotiff/A 62072-2023 georefererad karta.tif", "A 62072-2023")</f>
        <v/>
      </c>
      <c r="AA308">
        <f>HYPERLINK("https://klasma.github.io/Logging_2303/klagomål/A 62072-2023 FSC-klagomål.docx", "A 62072-2023")</f>
        <v/>
      </c>
      <c r="AB308">
        <f>HYPERLINK("https://klasma.github.io/Logging_2303/klagomålsmail/A 62072-2023 FSC-klagomål mail.docx", "A 62072-2023")</f>
        <v/>
      </c>
      <c r="AC308">
        <f>HYPERLINK("https://klasma.github.io/Logging_2303/tillsyn/A 62072-2023 tillsynsbegäran.docx", "A 62072-2023")</f>
        <v/>
      </c>
      <c r="AD308">
        <f>HYPERLINK("https://klasma.github.io/Logging_2303/tillsynsmail/A 62072-2023 tillsynsbegäran mail.docx", "A 62072-2023")</f>
        <v/>
      </c>
      <c r="AE308">
        <f>HYPERLINK("https://klasma.github.io/Logging_2303/fåglar/A 62072-2023 prioriterade fågelarter.docx", "A 62072-2023")</f>
        <v/>
      </c>
    </row>
    <row r="309" ht="15" customHeight="1">
      <c r="A309" t="inlineStr">
        <is>
          <t>A 49770-2024</t>
        </is>
      </c>
      <c r="B309" t="inlineStr">
        <is>
          <t>avverkningsanmälan</t>
        </is>
      </c>
      <c r="C309" t="inlineStr">
        <is>
          <t>Avverkning för att bevara och utveckla /försöksver</t>
        </is>
      </c>
      <c r="D309" s="1" t="n">
        <v>45597</v>
      </c>
      <c r="E309" s="1" t="n">
        <v>46319</v>
      </c>
      <c r="F309" t="inlineStr">
        <is>
          <t>JÄMTLANDS LÄN</t>
        </is>
      </c>
      <c r="G309" t="inlineStr">
        <is>
          <t>RAGUNDA</t>
        </is>
      </c>
      <c r="H309" t="inlineStr">
        <is>
          <t>Naturvårdsverket</t>
        </is>
      </c>
      <c r="I309" t="n">
        <v>8.9</v>
      </c>
      <c r="J309" t="n">
        <v>1</v>
      </c>
      <c r="K309" t="n">
        <v>0</v>
      </c>
      <c r="L309" t="n">
        <v>0</v>
      </c>
      <c r="M309" t="n">
        <v>1</v>
      </c>
      <c r="N309" t="n">
        <v>0</v>
      </c>
      <c r="O309" t="n">
        <v>0</v>
      </c>
      <c r="P309" t="n">
        <v>0</v>
      </c>
      <c r="Q309" t="n">
        <v>1</v>
      </c>
      <c r="R309" t="n">
        <v>1</v>
      </c>
      <c r="S309" t="n">
        <v>1</v>
      </c>
      <c r="T309" t="n">
        <v>2</v>
      </c>
      <c r="U309" t="n">
        <v>0</v>
      </c>
      <c r="V309" s="2" t="inlineStr">
        <is>
          <t>Doftticka</t>
        </is>
      </c>
      <c r="W309">
        <f>HYPERLINK("https://klasma.github.io/Logging_2303/artfynd/A 49770-2024 artfynd.xlsx", "A 49770-2024")</f>
        <v/>
      </c>
      <c r="X309">
        <f>HYPERLINK("https://klasma.github.io/Logging_2303/kartor/A 49770-2024 karta.png", "A 49770-2024")</f>
        <v/>
      </c>
      <c r="Y309">
        <f>HYPERLINK("https://klasma.github.io/Logging_2303/kartor_geotiff/A 49770-2024 georefererad karta.tif", "A 49770-2024")</f>
        <v/>
      </c>
      <c r="AA309">
        <f>HYPERLINK("https://klasma.github.io/Logging_2303/klagomål/A 49770-2024 FSC-klagomål.docx", "A 49770-2024")</f>
        <v/>
      </c>
      <c r="AB309">
        <f>HYPERLINK("https://klasma.github.io/Logging_2303/klagomålsmail/A 49770-2024 FSC-klagomål mail.docx", "A 49770-2024")</f>
        <v/>
      </c>
      <c r="AC309">
        <f>HYPERLINK("https://klasma.github.io/Logging_2303/tillsyn/A 49770-2024 tillsynsbegäran.docx", "A 49770-2024")</f>
        <v/>
      </c>
      <c r="AD309">
        <f>HYPERLINK("https://klasma.github.io/Logging_2303/tillsynsmail/A 49770-2024 tillsynsbegäran mail.docx", "A 49770-2024")</f>
        <v/>
      </c>
    </row>
    <row r="310" ht="15" customHeight="1">
      <c r="A310" t="inlineStr">
        <is>
          <t>A 4125-2024</t>
        </is>
      </c>
      <c r="B310" t="inlineStr">
        <is>
          <t>avverkningsanmälan</t>
        </is>
      </c>
      <c r="C310" t="inlineStr">
        <is>
          <t>Föryngringsavverkning</t>
        </is>
      </c>
      <c r="D310" s="1" t="n">
        <v>45323</v>
      </c>
      <c r="E310" s="1" t="n">
        <v>46319</v>
      </c>
      <c r="F310" t="inlineStr">
        <is>
          <t>JÄMTLANDS LÄN</t>
        </is>
      </c>
      <c r="G310" t="inlineStr">
        <is>
          <t>RAGUNDA</t>
        </is>
      </c>
      <c r="I310" t="n">
        <v>1</v>
      </c>
      <c r="J310" t="n">
        <v>0</v>
      </c>
      <c r="K310" t="n">
        <v>0</v>
      </c>
      <c r="L310" t="n">
        <v>1</v>
      </c>
      <c r="M310" t="n">
        <v>0</v>
      </c>
      <c r="N310" t="n">
        <v>0</v>
      </c>
      <c r="O310" t="n">
        <v>0</v>
      </c>
      <c r="P310" t="n">
        <v>0</v>
      </c>
      <c r="Q310" t="n">
        <v>1</v>
      </c>
      <c r="R310" t="n">
        <v>0</v>
      </c>
      <c r="S310" t="n">
        <v>1</v>
      </c>
      <c r="T310" t="n">
        <v>1</v>
      </c>
      <c r="U310" t="n">
        <v>0</v>
      </c>
      <c r="V310" s="2" t="inlineStr">
        <is>
          <t>Klådris</t>
        </is>
      </c>
      <c r="W310">
        <f>HYPERLINK("https://klasma.github.io/Logging_2303/artfynd/A 4125-2024 artfynd.xlsx", "A 4125-2024")</f>
        <v/>
      </c>
      <c r="X310">
        <f>HYPERLINK("https://klasma.github.io/Logging_2303/kartor/A 4125-2024 karta.png", "A 4125-2024")</f>
        <v/>
      </c>
      <c r="Y310">
        <f>HYPERLINK("https://klasma.github.io/Logging_2303/kartor_geotiff/A 4125-2024 georefererad karta.tif", "A 4125-2024")</f>
        <v/>
      </c>
      <c r="AA310">
        <f>HYPERLINK("https://klasma.github.io/Logging_2303/klagomål/A 4125-2024 FSC-klagomål.docx", "A 4125-2024")</f>
        <v/>
      </c>
      <c r="AB310">
        <f>HYPERLINK("https://klasma.github.io/Logging_2303/klagomålsmail/A 4125-2024 FSC-klagomål mail.docx", "A 4125-2024")</f>
        <v/>
      </c>
      <c r="AC310">
        <f>HYPERLINK("https://klasma.github.io/Logging_2303/tillsyn/A 4125-2024 tillsynsbegäran.docx", "A 4125-2024")</f>
        <v/>
      </c>
      <c r="AD310">
        <f>HYPERLINK("https://klasma.github.io/Logging_2303/tillsynsmail/A 4125-2024 tillsynsbegäran mail.docx", "A 4125-2024")</f>
        <v/>
      </c>
    </row>
    <row r="311" ht="15" customHeight="1">
      <c r="A311" t="inlineStr">
        <is>
          <t>A 36757-2023</t>
        </is>
      </c>
      <c r="B311" t="inlineStr">
        <is>
          <t>avverkningsanmälan</t>
        </is>
      </c>
      <c r="C311" t="inlineStr">
        <is>
          <t>Föryngringsavverkning</t>
        </is>
      </c>
      <c r="D311" s="1" t="n">
        <v>45153</v>
      </c>
      <c r="E311" s="1" t="n">
        <v>46319</v>
      </c>
      <c r="F311" t="inlineStr">
        <is>
          <t>JÄMTLANDS LÄN</t>
        </is>
      </c>
      <c r="G311" t="inlineStr">
        <is>
          <t>RAGUNDA</t>
        </is>
      </c>
      <c r="I311" t="n">
        <v>0.7</v>
      </c>
      <c r="J311" t="n">
        <v>1</v>
      </c>
      <c r="K311" t="n">
        <v>0</v>
      </c>
      <c r="L311" t="n">
        <v>1</v>
      </c>
      <c r="M311" t="n">
        <v>0</v>
      </c>
      <c r="N311" t="n">
        <v>0</v>
      </c>
      <c r="O311" t="n">
        <v>0</v>
      </c>
      <c r="P311" t="n">
        <v>0</v>
      </c>
      <c r="Q311" t="n">
        <v>1</v>
      </c>
      <c r="R311" t="n">
        <v>0</v>
      </c>
      <c r="S311" t="n">
        <v>1</v>
      </c>
      <c r="T311" t="n">
        <v>1</v>
      </c>
      <c r="U311" t="n">
        <v>1</v>
      </c>
      <c r="V311" s="2" t="inlineStr">
        <is>
          <t>Tretåig hackspett</t>
        </is>
      </c>
      <c r="W311">
        <f>HYPERLINK("https://klasma.github.io/Logging_2303/artfynd/A 36757-2023 artfynd.xlsx", "A 36757-2023")</f>
        <v/>
      </c>
      <c r="X311">
        <f>HYPERLINK("https://klasma.github.io/Logging_2303/kartor/A 36757-2023 karta.png", "A 36757-2023")</f>
        <v/>
      </c>
      <c r="Y311">
        <f>HYPERLINK("https://klasma.github.io/Logging_2303/kartor_geotiff/A 36757-2023 georefererad karta.tif", "A 36757-2023")</f>
        <v/>
      </c>
      <c r="AA311">
        <f>HYPERLINK("https://klasma.github.io/Logging_2303/klagomål/A 36757-2023 FSC-klagomål.docx", "A 36757-2023")</f>
        <v/>
      </c>
      <c r="AB311">
        <f>HYPERLINK("https://klasma.github.io/Logging_2303/klagomålsmail/A 36757-2023 FSC-klagomål mail.docx", "A 36757-2023")</f>
        <v/>
      </c>
      <c r="AC311">
        <f>HYPERLINK("https://klasma.github.io/Logging_2303/tillsyn/A 36757-2023 tillsynsbegäran.docx", "A 36757-2023")</f>
        <v/>
      </c>
      <c r="AD311">
        <f>HYPERLINK("https://klasma.github.io/Logging_2303/tillsynsmail/A 36757-2023 tillsynsbegäran mail.docx", "A 36757-2023")</f>
        <v/>
      </c>
      <c r="AE311">
        <f>HYPERLINK("https://klasma.github.io/Logging_2303/fåglar/A 36757-2023 prioriterade fågelarter.docx", "A 36757-2023")</f>
        <v/>
      </c>
    </row>
    <row r="312" ht="15" customHeight="1">
      <c r="A312" t="inlineStr">
        <is>
          <t>A 43404-2023</t>
        </is>
      </c>
      <c r="B312" t="inlineStr">
        <is>
          <t>avverkningsanmälan</t>
        </is>
      </c>
      <c r="C312" t="inlineStr">
        <is>
          <t>Föryngringsavverkning</t>
        </is>
      </c>
      <c r="D312" s="1" t="n">
        <v>45183</v>
      </c>
      <c r="E312" s="1" t="n">
        <v>46319</v>
      </c>
      <c r="F312" t="inlineStr">
        <is>
          <t>JÄMTLANDS LÄN</t>
        </is>
      </c>
      <c r="G312" t="inlineStr">
        <is>
          <t>RAGUNDA</t>
        </is>
      </c>
      <c r="H312" t="inlineStr">
        <is>
          <t>SCA</t>
        </is>
      </c>
      <c r="I312" t="n">
        <v>0.9</v>
      </c>
      <c r="J312" t="n">
        <v>0</v>
      </c>
      <c r="K312" t="n">
        <v>0</v>
      </c>
      <c r="L312" t="n">
        <v>1</v>
      </c>
      <c r="M312" t="n">
        <v>0</v>
      </c>
      <c r="N312" t="n">
        <v>0</v>
      </c>
      <c r="O312" t="n">
        <v>0</v>
      </c>
      <c r="P312" t="n">
        <v>0</v>
      </c>
      <c r="Q312" t="n">
        <v>1</v>
      </c>
      <c r="R312" t="n">
        <v>0</v>
      </c>
      <c r="S312" t="n">
        <v>1</v>
      </c>
      <c r="T312" t="n">
        <v>1</v>
      </c>
      <c r="U312" t="n">
        <v>0</v>
      </c>
      <c r="V312" s="2" t="inlineStr">
        <is>
          <t>Kryddspindling</t>
        </is>
      </c>
      <c r="W312">
        <f>HYPERLINK("https://klasma.github.io/Logging_2303/artfynd/A 43404-2023 artfynd.xlsx", "A 43404-2023")</f>
        <v/>
      </c>
      <c r="X312">
        <f>HYPERLINK("https://klasma.github.io/Logging_2303/kartor/A 43404-2023 karta.png", "A 43404-2023")</f>
        <v/>
      </c>
      <c r="Y312">
        <f>HYPERLINK("https://klasma.github.io/Logging_2303/kartor_geotiff/A 43404-2023 georefererad karta.tif", "A 43404-2023")</f>
        <v/>
      </c>
      <c r="AA312">
        <f>HYPERLINK("https://klasma.github.io/Logging_2303/klagomål/A 43404-2023 FSC-klagomål.docx", "A 43404-2023")</f>
        <v/>
      </c>
      <c r="AB312">
        <f>HYPERLINK("https://klasma.github.io/Logging_2303/klagomålsmail/A 43404-2023 FSC-klagomål mail.docx", "A 43404-2023")</f>
        <v/>
      </c>
      <c r="AC312">
        <f>HYPERLINK("https://klasma.github.io/Logging_2303/tillsyn/A 43404-2023 tillsynsbegäran.docx", "A 43404-2023")</f>
        <v/>
      </c>
      <c r="AD312">
        <f>HYPERLINK("https://klasma.github.io/Logging_2303/tillsynsmail/A 43404-2023 tillsynsbegäran mail.docx", "A 43404-2023")</f>
        <v/>
      </c>
    </row>
    <row r="313" ht="15" customHeight="1">
      <c r="A313" t="inlineStr">
        <is>
          <t>A 61324-2024</t>
        </is>
      </c>
      <c r="B313" t="inlineStr">
        <is>
          <t>avverkningsanmälan</t>
        </is>
      </c>
      <c r="C313" t="inlineStr">
        <is>
          <t>Föryngringsavverkning</t>
        </is>
      </c>
      <c r="D313" s="1" t="n">
        <v>45646</v>
      </c>
      <c r="E313" s="1" t="n">
        <v>46319</v>
      </c>
      <c r="F313" t="inlineStr">
        <is>
          <t>JÄMTLANDS LÄN</t>
        </is>
      </c>
      <c r="G313" t="inlineStr">
        <is>
          <t>RAGUNDA</t>
        </is>
      </c>
      <c r="H313" t="inlineStr">
        <is>
          <t>SCA</t>
        </is>
      </c>
      <c r="I313" t="n">
        <v>11.2</v>
      </c>
      <c r="J313" t="n">
        <v>1</v>
      </c>
      <c r="K313" t="n">
        <v>0</v>
      </c>
      <c r="L313" t="n">
        <v>0</v>
      </c>
      <c r="M313" t="n">
        <v>0</v>
      </c>
      <c r="N313" t="n">
        <v>0</v>
      </c>
      <c r="O313" t="n">
        <v>0</v>
      </c>
      <c r="P313" t="n">
        <v>0</v>
      </c>
      <c r="Q313" t="n">
        <v>0</v>
      </c>
      <c r="R313" t="n">
        <v>0</v>
      </c>
      <c r="S313" t="n">
        <v>1</v>
      </c>
      <c r="T313" t="n">
        <v>1</v>
      </c>
      <c r="U313" t="n">
        <v>1</v>
      </c>
      <c r="V313" s="2" t="inlineStr">
        <is>
          <t>Trana</t>
        </is>
      </c>
      <c r="W313">
        <f>HYPERLINK("https://klasma.github.io/Logging_2303/artfynd/A 61324-2024 artfynd.xlsx", "A 61324-2024")</f>
        <v/>
      </c>
      <c r="X313">
        <f>HYPERLINK("https://klasma.github.io/Logging_2303/kartor/A 61324-2024 karta.png", "A 61324-2024")</f>
        <v/>
      </c>
      <c r="Y313">
        <f>HYPERLINK("https://klasma.github.io/Logging_2303/kartor_geotiff/A 61324-2024 georefererad karta.tif", "A 61324-2024")</f>
        <v/>
      </c>
      <c r="AA313">
        <f>HYPERLINK("https://klasma.github.io/Logging_2303/klagomål/A 61324-2024 FSC-klagomål.docx", "A 61324-2024")</f>
        <v/>
      </c>
      <c r="AB313">
        <f>HYPERLINK("https://klasma.github.io/Logging_2303/klagomålsmail/A 61324-2024 FSC-klagomål mail.docx", "A 61324-2024")</f>
        <v/>
      </c>
      <c r="AC313">
        <f>HYPERLINK("https://klasma.github.io/Logging_2303/tillsyn/A 61324-2024 tillsynsbegäran.docx", "A 61324-2024")</f>
        <v/>
      </c>
      <c r="AD313">
        <f>HYPERLINK("https://klasma.github.io/Logging_2303/tillsynsmail/A 61324-2024 tillsynsbegäran mail.docx", "A 61324-2024")</f>
        <v/>
      </c>
      <c r="AE313">
        <f>HYPERLINK("https://klasma.github.io/Logging_2303/fåglar/A 61324-2024 prioriterade fågelarter.docx", "A 61324-2024")</f>
        <v/>
      </c>
    </row>
    <row r="314" ht="15" customHeight="1">
      <c r="A314" t="inlineStr">
        <is>
          <t>A 19387-2025</t>
        </is>
      </c>
      <c r="B314" t="inlineStr">
        <is>
          <t>avverkningsanmälan</t>
        </is>
      </c>
      <c r="C314" t="inlineStr">
        <is>
          <t>Föryngringsavverkning</t>
        </is>
      </c>
      <c r="D314" s="1" t="n">
        <v>45769</v>
      </c>
      <c r="E314" s="1" t="n">
        <v>46319</v>
      </c>
      <c r="F314" t="inlineStr">
        <is>
          <t>JÄMTLANDS LÄN</t>
        </is>
      </c>
      <c r="G314" t="inlineStr">
        <is>
          <t>RAGUNDA</t>
        </is>
      </c>
      <c r="H314" t="inlineStr">
        <is>
          <t>SCA</t>
        </is>
      </c>
      <c r="I314" t="n">
        <v>16.4</v>
      </c>
      <c r="J314" t="n">
        <v>1</v>
      </c>
      <c r="K314" t="n">
        <v>0</v>
      </c>
      <c r="L314" t="n">
        <v>1</v>
      </c>
      <c r="M314" t="n">
        <v>0</v>
      </c>
      <c r="N314" t="n">
        <v>0</v>
      </c>
      <c r="O314" t="n">
        <v>0</v>
      </c>
      <c r="P314" t="n">
        <v>0</v>
      </c>
      <c r="Q314" t="n">
        <v>1</v>
      </c>
      <c r="R314" t="n">
        <v>0</v>
      </c>
      <c r="S314" t="n">
        <v>1</v>
      </c>
      <c r="T314" t="n">
        <v>1</v>
      </c>
      <c r="U314" t="n">
        <v>1</v>
      </c>
      <c r="V314" s="2" t="inlineStr">
        <is>
          <t>Tretåig hackspett</t>
        </is>
      </c>
      <c r="W314">
        <f>HYPERLINK("https://klasma.github.io/Logging_2303/artfynd/A 19387-2025 artfynd.xlsx", "A 19387-2025")</f>
        <v/>
      </c>
      <c r="X314">
        <f>HYPERLINK("https://klasma.github.io/Logging_2303/kartor/A 19387-2025 karta.png", "A 19387-2025")</f>
        <v/>
      </c>
      <c r="Y314">
        <f>HYPERLINK("https://klasma.github.io/Logging_2303/kartor_geotiff/A 19387-2025 georefererad karta.tif", "A 19387-2025")</f>
        <v/>
      </c>
      <c r="AA314">
        <f>HYPERLINK("https://klasma.github.io/Logging_2303/klagomål/A 19387-2025 FSC-klagomål.docx", "A 19387-2025")</f>
        <v/>
      </c>
      <c r="AB314">
        <f>HYPERLINK("https://klasma.github.io/Logging_2303/klagomålsmail/A 19387-2025 FSC-klagomål mail.docx", "A 19387-2025")</f>
        <v/>
      </c>
      <c r="AC314">
        <f>HYPERLINK("https://klasma.github.io/Logging_2303/tillsyn/A 19387-2025 tillsynsbegäran.docx", "A 19387-2025")</f>
        <v/>
      </c>
      <c r="AD314">
        <f>HYPERLINK("https://klasma.github.io/Logging_2303/tillsynsmail/A 19387-2025 tillsynsbegäran mail.docx", "A 19387-2025")</f>
        <v/>
      </c>
      <c r="AE314">
        <f>HYPERLINK("https://klasma.github.io/Logging_2303/fåglar/A 19387-2025 prioriterade fågelarter.docx", "A 19387-2025")</f>
        <v/>
      </c>
    </row>
    <row r="315" ht="15" customHeight="1">
      <c r="A315" t="inlineStr">
        <is>
          <t>A 62106-2023</t>
        </is>
      </c>
      <c r="B315" t="inlineStr">
        <is>
          <t>avverkningsanmälan</t>
        </is>
      </c>
      <c r="C315" t="inlineStr">
        <is>
          <t>Föryngringsavverkning</t>
        </is>
      </c>
      <c r="D315" s="1" t="n">
        <v>45266</v>
      </c>
      <c r="E315" s="1" t="n">
        <v>46319</v>
      </c>
      <c r="F315" t="inlineStr">
        <is>
          <t>JÄMTLANDS LÄN</t>
        </is>
      </c>
      <c r="G315" t="inlineStr">
        <is>
          <t>RAGUNDA</t>
        </is>
      </c>
      <c r="H315" t="inlineStr">
        <is>
          <t>SCA</t>
        </is>
      </c>
      <c r="I315" t="n">
        <v>6.6</v>
      </c>
      <c r="J315" t="n">
        <v>0</v>
      </c>
      <c r="K315" t="n">
        <v>1</v>
      </c>
      <c r="L315" t="n">
        <v>0</v>
      </c>
      <c r="M315" t="n">
        <v>0</v>
      </c>
      <c r="N315" t="n">
        <v>0</v>
      </c>
      <c r="O315" t="n">
        <v>0</v>
      </c>
      <c r="P315" t="n">
        <v>0</v>
      </c>
      <c r="Q315" t="n">
        <v>0</v>
      </c>
      <c r="R315" t="n">
        <v>0</v>
      </c>
      <c r="S315" t="n">
        <v>1</v>
      </c>
      <c r="T315" t="n">
        <v>1</v>
      </c>
      <c r="U315" t="n">
        <v>0</v>
      </c>
      <c r="V315" s="2" t="inlineStr">
        <is>
          <t>Kransrams</t>
        </is>
      </c>
      <c r="W315">
        <f>HYPERLINK("https://klasma.github.io/Logging_2303/artfynd/A 62106-2023 artfynd.xlsx", "A 62106-2023")</f>
        <v/>
      </c>
      <c r="X315">
        <f>HYPERLINK("https://klasma.github.io/Logging_2303/kartor/A 62106-2023 karta.png", "A 62106-2023")</f>
        <v/>
      </c>
      <c r="Y315">
        <f>HYPERLINK("https://klasma.github.io/Logging_2303/kartor_geotiff/A 62106-2023 georefererad karta.tif", "A 62106-2023")</f>
        <v/>
      </c>
      <c r="AA315">
        <f>HYPERLINK("https://klasma.github.io/Logging_2303/klagomål/A 62106-2023 FSC-klagomål.docx", "A 62106-2023")</f>
        <v/>
      </c>
      <c r="AB315">
        <f>HYPERLINK("https://klasma.github.io/Logging_2303/klagomålsmail/A 62106-2023 FSC-klagomål mail.docx", "A 62106-2023")</f>
        <v/>
      </c>
      <c r="AC315">
        <f>HYPERLINK("https://klasma.github.io/Logging_2303/tillsyn/A 62106-2023 tillsynsbegäran.docx", "A 62106-2023")</f>
        <v/>
      </c>
      <c r="AD315">
        <f>HYPERLINK("https://klasma.github.io/Logging_2303/tillsynsmail/A 62106-2023 tillsynsbegäran mail.docx", "A 62106-2023")</f>
        <v/>
      </c>
    </row>
    <row r="316" ht="15" customHeight="1">
      <c r="A316" t="inlineStr">
        <is>
          <t>A 26317-2024</t>
        </is>
      </c>
      <c r="B316" t="inlineStr">
        <is>
          <t>avverkningsanmälan</t>
        </is>
      </c>
      <c r="C316" t="inlineStr">
        <is>
          <t>Föryngringsavverkning</t>
        </is>
      </c>
      <c r="D316" s="1" t="n">
        <v>45468</v>
      </c>
      <c r="E316" s="1" t="n">
        <v>46319</v>
      </c>
      <c r="F316" t="inlineStr">
        <is>
          <t>JÄMTLANDS LÄN</t>
        </is>
      </c>
      <c r="G316" t="inlineStr">
        <is>
          <t>RAGUNDA</t>
        </is>
      </c>
      <c r="H316" t="inlineStr">
        <is>
          <t>SCA</t>
        </is>
      </c>
      <c r="I316" t="n">
        <v>3.8</v>
      </c>
      <c r="J316" t="n">
        <v>0</v>
      </c>
      <c r="K316" t="n">
        <v>0</v>
      </c>
      <c r="L316" t="n">
        <v>1</v>
      </c>
      <c r="M316" t="n">
        <v>0</v>
      </c>
      <c r="N316" t="n">
        <v>0</v>
      </c>
      <c r="O316" t="n">
        <v>0</v>
      </c>
      <c r="P316" t="n">
        <v>0</v>
      </c>
      <c r="Q316" t="n">
        <v>1</v>
      </c>
      <c r="R316" t="n">
        <v>0</v>
      </c>
      <c r="S316" t="n">
        <v>1</v>
      </c>
      <c r="T316" t="n">
        <v>1</v>
      </c>
      <c r="U316" t="n">
        <v>0</v>
      </c>
      <c r="V316" s="2" t="inlineStr">
        <is>
          <t>Kortskaftad ärgspik</t>
        </is>
      </c>
      <c r="W316">
        <f>HYPERLINK("https://klasma.github.io/Logging_2303/artfynd/A 26317-2024 artfynd.xlsx", "A 26317-2024")</f>
        <v/>
      </c>
      <c r="X316">
        <f>HYPERLINK("https://klasma.github.io/Logging_2303/kartor/A 26317-2024 karta.png", "A 26317-2024")</f>
        <v/>
      </c>
      <c r="Y316">
        <f>HYPERLINK("https://klasma.github.io/Logging_2303/kartor_geotiff/A 26317-2024 georefererad karta.tif", "A 26317-2024")</f>
        <v/>
      </c>
      <c r="AA316">
        <f>HYPERLINK("https://klasma.github.io/Logging_2303/klagomål/A 26317-2024 FSC-klagomål.docx", "A 26317-2024")</f>
        <v/>
      </c>
      <c r="AB316">
        <f>HYPERLINK("https://klasma.github.io/Logging_2303/klagomålsmail/A 26317-2024 FSC-klagomål mail.docx", "A 26317-2024")</f>
        <v/>
      </c>
      <c r="AC316">
        <f>HYPERLINK("https://klasma.github.io/Logging_2303/tillsyn/A 26317-2024 tillsynsbegäran.docx", "A 26317-2024")</f>
        <v/>
      </c>
      <c r="AD316">
        <f>HYPERLINK("https://klasma.github.io/Logging_2303/tillsynsmail/A 26317-2024 tillsynsbegäran mail.docx", "A 26317-2024")</f>
        <v/>
      </c>
    </row>
    <row r="317" ht="15" customHeight="1">
      <c r="A317" t="inlineStr">
        <is>
          <t>A 46050-2022</t>
        </is>
      </c>
      <c r="B317" t="inlineStr">
        <is>
          <t>avverkningsanmälan</t>
        </is>
      </c>
      <c r="C317" t="inlineStr">
        <is>
          <t>Avverkning för att bevara och utveckla /försöksver</t>
        </is>
      </c>
      <c r="D317" s="1" t="n">
        <v>44846</v>
      </c>
      <c r="E317" s="1" t="n">
        <v>46319</v>
      </c>
      <c r="F317" t="inlineStr">
        <is>
          <t>JÄMTLANDS LÄN</t>
        </is>
      </c>
      <c r="G317" t="inlineStr">
        <is>
          <t>RAGUNDA</t>
        </is>
      </c>
      <c r="H317" t="inlineStr">
        <is>
          <t>SCA</t>
        </is>
      </c>
      <c r="I317" t="n">
        <v>3.4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39408-2022</t>
        </is>
      </c>
      <c r="B318" t="inlineStr">
        <is>
          <t>avverkningsanmälan</t>
        </is>
      </c>
      <c r="C318" t="inlineStr">
        <is>
          <t>Avverkning för att bevara och utveckla /försöksver</t>
        </is>
      </c>
      <c r="D318" s="1" t="n">
        <v>44817</v>
      </c>
      <c r="E318" s="1" t="n">
        <v>46319</v>
      </c>
      <c r="F318" t="inlineStr">
        <is>
          <t>JÄMTLANDS LÄN</t>
        </is>
      </c>
      <c r="G318" t="inlineStr">
        <is>
          <t>RAGUNDA</t>
        </is>
      </c>
      <c r="H318" t="inlineStr">
        <is>
          <t>SCA</t>
        </is>
      </c>
      <c r="I318" t="n">
        <v>9.800000000000001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53951-2022</t>
        </is>
      </c>
      <c r="B319" t="inlineStr">
        <is>
          <t>avverkningsanmälan</t>
        </is>
      </c>
      <c r="C319" t="inlineStr">
        <is>
          <t>Avverkning för att bevara och utveckla /försöksver</t>
        </is>
      </c>
      <c r="D319" s="1" t="n">
        <v>44880</v>
      </c>
      <c r="E319" s="1" t="n">
        <v>46319</v>
      </c>
      <c r="F319" t="inlineStr">
        <is>
          <t>JÄMTLANDS LÄN</t>
        </is>
      </c>
      <c r="G319" t="inlineStr">
        <is>
          <t>RAGUNDA</t>
        </is>
      </c>
      <c r="H319" t="inlineStr">
        <is>
          <t>SCA</t>
        </is>
      </c>
      <c r="I319" t="n">
        <v>0.7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53952-2022</t>
        </is>
      </c>
      <c r="B320" t="inlineStr">
        <is>
          <t>avverkningsanmälan</t>
        </is>
      </c>
      <c r="C320" t="inlineStr">
        <is>
          <t>Avverkning för att bevara och utveckla /försöksver</t>
        </is>
      </c>
      <c r="D320" s="1" t="n">
        <v>44880</v>
      </c>
      <c r="E320" s="1" t="n">
        <v>46319</v>
      </c>
      <c r="F320" t="inlineStr">
        <is>
          <t>JÄMTLANDS LÄN</t>
        </is>
      </c>
      <c r="G320" t="inlineStr">
        <is>
          <t>RAGUNDA</t>
        </is>
      </c>
      <c r="H320" t="inlineStr">
        <is>
          <t>SCA</t>
        </is>
      </c>
      <c r="I320" t="n">
        <v>1.8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66715-2021</t>
        </is>
      </c>
      <c r="B321" t="inlineStr">
        <is>
          <t>avverkningsanmälan</t>
        </is>
      </c>
      <c r="C321" t="inlineStr">
        <is>
          <t>Föryngringsavverkning</t>
        </is>
      </c>
      <c r="D321" s="1" t="n">
        <v>44519</v>
      </c>
      <c r="E321" s="1" t="n">
        <v>46319</v>
      </c>
      <c r="F321" t="inlineStr">
        <is>
          <t>JÄMTLANDS LÄN</t>
        </is>
      </c>
      <c r="G321" t="inlineStr">
        <is>
          <t>RAGUNDA</t>
        </is>
      </c>
      <c r="H321" t="inlineStr">
        <is>
          <t>SCA</t>
        </is>
      </c>
      <c r="I321" t="n">
        <v>0.9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21413-2022</t>
        </is>
      </c>
      <c r="B322" t="inlineStr">
        <is>
          <t>avverkningsanmälan</t>
        </is>
      </c>
      <c r="C322" t="inlineStr">
        <is>
          <t>Avverkning för att bevara och utveckla /försöksver</t>
        </is>
      </c>
      <c r="D322" s="1" t="n">
        <v>44705</v>
      </c>
      <c r="E322" s="1" t="n">
        <v>46319</v>
      </c>
      <c r="F322" t="inlineStr">
        <is>
          <t>JÄMTLANDS LÄN</t>
        </is>
      </c>
      <c r="G322" t="inlineStr">
        <is>
          <t>RAGUNDA</t>
        </is>
      </c>
      <c r="I322" t="n">
        <v>2.4</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66472-2021</t>
        </is>
      </c>
      <c r="B323" t="inlineStr">
        <is>
          <t>avverkningsanmälan</t>
        </is>
      </c>
      <c r="C323" t="inlineStr">
        <is>
          <t>Föryngringsavverkning</t>
        </is>
      </c>
      <c r="D323" s="1" t="n">
        <v>44518</v>
      </c>
      <c r="E323" s="1" t="n">
        <v>46319</v>
      </c>
      <c r="F323" t="inlineStr">
        <is>
          <t>JÄMTLANDS LÄN</t>
        </is>
      </c>
      <c r="G323" t="inlineStr">
        <is>
          <t>RAGUNDA</t>
        </is>
      </c>
      <c r="I323" t="n">
        <v>1.7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46047-2022</t>
        </is>
      </c>
      <c r="B324" t="inlineStr">
        <is>
          <t>avverkningsanmälan</t>
        </is>
      </c>
      <c r="C324" t="inlineStr">
        <is>
          <t>Avverkning för att bevara och utveckla /försöksver</t>
        </is>
      </c>
      <c r="D324" s="1" t="n">
        <v>44846</v>
      </c>
      <c r="E324" s="1" t="n">
        <v>46319</v>
      </c>
      <c r="F324" t="inlineStr">
        <is>
          <t>JÄMTLANDS LÄN</t>
        </is>
      </c>
      <c r="G324" t="inlineStr">
        <is>
          <t>RAGUNDA</t>
        </is>
      </c>
      <c r="H324" t="inlineStr">
        <is>
          <t>SCA</t>
        </is>
      </c>
      <c r="I324" t="n">
        <v>6.7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39693-2022</t>
        </is>
      </c>
      <c r="B325" t="inlineStr">
        <is>
          <t>avverkningsanmälan</t>
        </is>
      </c>
      <c r="C325" t="inlineStr">
        <is>
          <t>Föryngringsavverkning</t>
        </is>
      </c>
      <c r="D325" s="1" t="n">
        <v>44818</v>
      </c>
      <c r="E325" s="1" t="n">
        <v>46319</v>
      </c>
      <c r="F325" t="inlineStr">
        <is>
          <t>JÄMTLANDS LÄN</t>
        </is>
      </c>
      <c r="G325" t="inlineStr">
        <is>
          <t>RAGUNDA</t>
        </is>
      </c>
      <c r="H325" t="inlineStr">
        <is>
          <t>SCA</t>
        </is>
      </c>
      <c r="I325" t="n">
        <v>0.3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31484-2022</t>
        </is>
      </c>
      <c r="B326" t="inlineStr">
        <is>
          <t>avverkningsanmälan</t>
        </is>
      </c>
      <c r="C326" t="inlineStr">
        <is>
          <t>Föryngringsavverkning</t>
        </is>
      </c>
      <c r="D326" s="1" t="n">
        <v>44774</v>
      </c>
      <c r="E326" s="1" t="n">
        <v>46319</v>
      </c>
      <c r="F326" t="inlineStr">
        <is>
          <t>JÄMTLANDS LÄN</t>
        </is>
      </c>
      <c r="G326" t="inlineStr">
        <is>
          <t>RAGUNDA</t>
        </is>
      </c>
      <c r="H326" t="inlineStr">
        <is>
          <t>SCA</t>
        </is>
      </c>
      <c r="I326" t="n">
        <v>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49197-2022</t>
        </is>
      </c>
      <c r="B327" t="inlineStr">
        <is>
          <t>avverkningsanmälan</t>
        </is>
      </c>
      <c r="C327" t="inlineStr">
        <is>
          <t>Avverkning för att bevara och utveckla /försöksver</t>
        </is>
      </c>
      <c r="D327" s="1" t="n">
        <v>44860</v>
      </c>
      <c r="E327" s="1" t="n">
        <v>46319</v>
      </c>
      <c r="F327" t="inlineStr">
        <is>
          <t>JÄMTLANDS LÄN</t>
        </is>
      </c>
      <c r="G327" t="inlineStr">
        <is>
          <t>RAGUNDA</t>
        </is>
      </c>
      <c r="H327" t="inlineStr">
        <is>
          <t>SCA</t>
        </is>
      </c>
      <c r="I327" t="n">
        <v>2.9</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15808-2022</t>
        </is>
      </c>
      <c r="B328" t="inlineStr">
        <is>
          <t>avverkningsanmälan</t>
        </is>
      </c>
      <c r="C328" t="inlineStr">
        <is>
          <t>Föryngringsavverkning</t>
        </is>
      </c>
      <c r="D328" s="1" t="n">
        <v>44663</v>
      </c>
      <c r="E328" s="1" t="n">
        <v>46319</v>
      </c>
      <c r="F328" t="inlineStr">
        <is>
          <t>JÄMTLANDS LÄN</t>
        </is>
      </c>
      <c r="G328" t="inlineStr">
        <is>
          <t>RAGUNDA</t>
        </is>
      </c>
      <c r="H328" t="inlineStr">
        <is>
          <t>SCA</t>
        </is>
      </c>
      <c r="I328" t="n">
        <v>1.6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40436-2022</t>
        </is>
      </c>
      <c r="B329" t="inlineStr">
        <is>
          <t>avverkningsanmälan</t>
        </is>
      </c>
      <c r="C329" t="inlineStr">
        <is>
          <t>Föryngringsavverkning</t>
        </is>
      </c>
      <c r="D329" s="1" t="n">
        <v>44823</v>
      </c>
      <c r="E329" s="1" t="n">
        <v>46319</v>
      </c>
      <c r="F329" t="inlineStr">
        <is>
          <t>JÄMTLANDS LÄN</t>
        </is>
      </c>
      <c r="G329" t="inlineStr">
        <is>
          <t>RAGUNDA</t>
        </is>
      </c>
      <c r="I329" t="n">
        <v>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52720-2022</t>
        </is>
      </c>
      <c r="B330" t="inlineStr">
        <is>
          <t>avverkningsanmälan</t>
        </is>
      </c>
      <c r="C330" t="inlineStr">
        <is>
          <t>Avverkning för att bevara och utveckla /försöksver</t>
        </is>
      </c>
      <c r="D330" s="1" t="n">
        <v>44874</v>
      </c>
      <c r="E330" s="1" t="n">
        <v>46319</v>
      </c>
      <c r="F330" t="inlineStr">
        <is>
          <t>JÄMTLANDS LÄN</t>
        </is>
      </c>
      <c r="G330" t="inlineStr">
        <is>
          <t>RAGUNDA</t>
        </is>
      </c>
      <c r="H330" t="inlineStr">
        <is>
          <t>SCA</t>
        </is>
      </c>
      <c r="I330" t="n">
        <v>9.800000000000001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32979-2022</t>
        </is>
      </c>
      <c r="B331" t="inlineStr">
        <is>
          <t>avverkningsanmälan</t>
        </is>
      </c>
      <c r="C331" t="inlineStr">
        <is>
          <t>Avverkning för att bevara och utveckla /försöksver</t>
        </is>
      </c>
      <c r="D331" s="1" t="n">
        <v>44784</v>
      </c>
      <c r="E331" s="1" t="n">
        <v>46319</v>
      </c>
      <c r="F331" t="inlineStr">
        <is>
          <t>JÄMTLANDS LÄN</t>
        </is>
      </c>
      <c r="G331" t="inlineStr">
        <is>
          <t>RAGUNDA</t>
        </is>
      </c>
      <c r="H331" t="inlineStr">
        <is>
          <t>SCA</t>
        </is>
      </c>
      <c r="I331" t="n">
        <v>4.3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22695-2022</t>
        </is>
      </c>
      <c r="B332" t="inlineStr">
        <is>
          <t>avverkningsanmälan</t>
        </is>
      </c>
      <c r="C332" t="inlineStr">
        <is>
          <t>Föryngringsavverkning</t>
        </is>
      </c>
      <c r="D332" s="1" t="n">
        <v>44714</v>
      </c>
      <c r="E332" s="1" t="n">
        <v>46319</v>
      </c>
      <c r="F332" t="inlineStr">
        <is>
          <t>JÄMTLANDS LÄN</t>
        </is>
      </c>
      <c r="G332" t="inlineStr">
        <is>
          <t>RAGUNDA</t>
        </is>
      </c>
      <c r="I332" t="n">
        <v>1.8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16246-2022</t>
        </is>
      </c>
      <c r="B333" t="inlineStr">
        <is>
          <t>avverkningsanmälan</t>
        </is>
      </c>
      <c r="C333" t="inlineStr">
        <is>
          <t>Föryngringsavverkning</t>
        </is>
      </c>
      <c r="D333" s="1" t="n">
        <v>44670</v>
      </c>
      <c r="E333" s="1" t="n">
        <v>46319</v>
      </c>
      <c r="F333" t="inlineStr">
        <is>
          <t>JÄMTLANDS LÄN</t>
        </is>
      </c>
      <c r="G333" t="inlineStr">
        <is>
          <t>RAGUNDA</t>
        </is>
      </c>
      <c r="I333" t="n">
        <v>4.1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43794-2022</t>
        </is>
      </c>
      <c r="B334" t="inlineStr">
        <is>
          <t>avverkningsanmälan</t>
        </is>
      </c>
      <c r="C334" t="inlineStr">
        <is>
          <t>Föryngringsavverkning</t>
        </is>
      </c>
      <c r="D334" s="1" t="n">
        <v>44837</v>
      </c>
      <c r="E334" s="1" t="n">
        <v>46319</v>
      </c>
      <c r="F334" t="inlineStr">
        <is>
          <t>JÄMTLANDS LÄN</t>
        </is>
      </c>
      <c r="G334" t="inlineStr">
        <is>
          <t>RAGUNDA</t>
        </is>
      </c>
      <c r="H334" t="inlineStr">
        <is>
          <t>SCA</t>
        </is>
      </c>
      <c r="I334" t="n">
        <v>1.8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48075-2022</t>
        </is>
      </c>
      <c r="B335" t="inlineStr">
        <is>
          <t>avverkningsanmälan</t>
        </is>
      </c>
      <c r="C335" t="inlineStr">
        <is>
          <t>Avverkning för att bevara och utveckla /försöksver</t>
        </is>
      </c>
      <c r="D335" s="1" t="n">
        <v>44855</v>
      </c>
      <c r="E335" s="1" t="n">
        <v>46319</v>
      </c>
      <c r="F335" t="inlineStr">
        <is>
          <t>JÄMTLANDS LÄN</t>
        </is>
      </c>
      <c r="G335" t="inlineStr">
        <is>
          <t>RAGUNDA</t>
        </is>
      </c>
      <c r="H335" t="inlineStr">
        <is>
          <t>SCA</t>
        </is>
      </c>
      <c r="I335" t="n">
        <v>7.5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21196-2022</t>
        </is>
      </c>
      <c r="B336" t="inlineStr">
        <is>
          <t>avverkningsanmälan</t>
        </is>
      </c>
      <c r="C336" t="inlineStr">
        <is>
          <t>Avverkning för att bevara och utveckla /försöksver</t>
        </is>
      </c>
      <c r="D336" s="1" t="n">
        <v>44704</v>
      </c>
      <c r="E336" s="1" t="n">
        <v>46319</v>
      </c>
      <c r="F336" t="inlineStr">
        <is>
          <t>JÄMTLANDS LÄN</t>
        </is>
      </c>
      <c r="G336" t="inlineStr">
        <is>
          <t>RAGUNDA</t>
        </is>
      </c>
      <c r="H336" t="inlineStr">
        <is>
          <t>SCA</t>
        </is>
      </c>
      <c r="I336" t="n">
        <v>0.7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27302-2022</t>
        </is>
      </c>
      <c r="B337" t="inlineStr">
        <is>
          <t>avverkningsanmälan</t>
        </is>
      </c>
      <c r="C337" t="inlineStr">
        <is>
          <t>Föryngringsavverkning</t>
        </is>
      </c>
      <c r="D337" s="1" t="n">
        <v>44741</v>
      </c>
      <c r="E337" s="1" t="n">
        <v>46319</v>
      </c>
      <c r="F337" t="inlineStr">
        <is>
          <t>JÄMTLANDS LÄN</t>
        </is>
      </c>
      <c r="G337" t="inlineStr">
        <is>
          <t>RAGUNDA</t>
        </is>
      </c>
      <c r="I337" t="n">
        <v>1.6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60312-2021</t>
        </is>
      </c>
      <c r="B338" t="inlineStr">
        <is>
          <t>avverkningsanmälan</t>
        </is>
      </c>
      <c r="C338" t="inlineStr">
        <is>
          <t>Avverkning för att bevara och utveckla /försöksver</t>
        </is>
      </c>
      <c r="D338" s="1" t="n">
        <v>44495</v>
      </c>
      <c r="E338" s="1" t="n">
        <v>46319</v>
      </c>
      <c r="F338" t="inlineStr">
        <is>
          <t>JÄMTLANDS LÄN</t>
        </is>
      </c>
      <c r="G338" t="inlineStr">
        <is>
          <t>RAGUNDA</t>
        </is>
      </c>
      <c r="H338" t="inlineStr">
        <is>
          <t>SCA</t>
        </is>
      </c>
      <c r="I338" t="n">
        <v>1.6</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47801-2022</t>
        </is>
      </c>
      <c r="B339" t="inlineStr">
        <is>
          <t>avverkningsanmälan</t>
        </is>
      </c>
      <c r="C339" t="inlineStr">
        <is>
          <t>Avverkning för att bevara och utveckla /försöksver</t>
        </is>
      </c>
      <c r="D339" s="1" t="n">
        <v>44854</v>
      </c>
      <c r="E339" s="1" t="n">
        <v>46319</v>
      </c>
      <c r="F339" t="inlineStr">
        <is>
          <t>JÄMTLANDS LÄN</t>
        </is>
      </c>
      <c r="G339" t="inlineStr">
        <is>
          <t>RAGUNDA</t>
        </is>
      </c>
      <c r="H339" t="inlineStr">
        <is>
          <t>SCA</t>
        </is>
      </c>
      <c r="I339" t="n">
        <v>3.9</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48938-2022</t>
        </is>
      </c>
      <c r="B340" t="inlineStr">
        <is>
          <t>avverkningsanmälan</t>
        </is>
      </c>
      <c r="C340" t="inlineStr">
        <is>
          <t>Avverkning för att bevara och utveckla /försöksver</t>
        </is>
      </c>
      <c r="D340" s="1" t="n">
        <v>44859</v>
      </c>
      <c r="E340" s="1" t="n">
        <v>46319</v>
      </c>
      <c r="F340" t="inlineStr">
        <is>
          <t>JÄMTLANDS LÄN</t>
        </is>
      </c>
      <c r="G340" t="inlineStr">
        <is>
          <t>RAGUNDA</t>
        </is>
      </c>
      <c r="H340" t="inlineStr">
        <is>
          <t>SCA</t>
        </is>
      </c>
      <c r="I340" t="n">
        <v>3.1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69316-2021</t>
        </is>
      </c>
      <c r="B341" t="inlineStr">
        <is>
          <t>avverkningsanmälan</t>
        </is>
      </c>
      <c r="C341" t="inlineStr">
        <is>
          <t>Föryngringsavverkning</t>
        </is>
      </c>
      <c r="D341" s="1" t="n">
        <v>44530</v>
      </c>
      <c r="E341" s="1" t="n">
        <v>46319</v>
      </c>
      <c r="F341" t="inlineStr">
        <is>
          <t>JÄMTLANDS LÄN</t>
        </is>
      </c>
      <c r="G341" t="inlineStr">
        <is>
          <t>RAGUNDA</t>
        </is>
      </c>
      <c r="I341" t="n">
        <v>2.3</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43478-2022</t>
        </is>
      </c>
      <c r="B342" t="inlineStr">
        <is>
          <t>avverkningsanmälan</t>
        </is>
      </c>
      <c r="C342" t="inlineStr">
        <is>
          <t>Föryngringsavverkning</t>
        </is>
      </c>
      <c r="D342" s="1" t="n">
        <v>44836</v>
      </c>
      <c r="E342" s="1" t="n">
        <v>46319</v>
      </c>
      <c r="F342" t="inlineStr">
        <is>
          <t>JÄMTLANDS LÄN</t>
        </is>
      </c>
      <c r="G342" t="inlineStr">
        <is>
          <t>RAGUNDA</t>
        </is>
      </c>
      <c r="H342" t="inlineStr">
        <is>
          <t>SCA</t>
        </is>
      </c>
      <c r="I342" t="n">
        <v>1.1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40612-2022</t>
        </is>
      </c>
      <c r="B343" t="inlineStr">
        <is>
          <t>avverkningsanmälan</t>
        </is>
      </c>
      <c r="C343" t="inlineStr">
        <is>
          <t>Föryngringsavverkning</t>
        </is>
      </c>
      <c r="D343" s="1" t="n">
        <v>44823</v>
      </c>
      <c r="E343" s="1" t="n">
        <v>46319</v>
      </c>
      <c r="F343" t="inlineStr">
        <is>
          <t>JÄMTLANDS LÄN</t>
        </is>
      </c>
      <c r="G343" t="inlineStr">
        <is>
          <t>RAGUNDA</t>
        </is>
      </c>
      <c r="H343" t="inlineStr">
        <is>
          <t>SCA</t>
        </is>
      </c>
      <c r="I343" t="n">
        <v>0.7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43163-2022</t>
        </is>
      </c>
      <c r="B344" t="inlineStr">
        <is>
          <t>avverkningsanmälan</t>
        </is>
      </c>
      <c r="C344" t="inlineStr">
        <is>
          <t>Avverkning för att bevara och utveckla /försöksver</t>
        </is>
      </c>
      <c r="D344" s="1" t="n">
        <v>44833</v>
      </c>
      <c r="E344" s="1" t="n">
        <v>46319</v>
      </c>
      <c r="F344" t="inlineStr">
        <is>
          <t>JÄMTLANDS LÄN</t>
        </is>
      </c>
      <c r="G344" t="inlineStr">
        <is>
          <t>RAGUNDA</t>
        </is>
      </c>
      <c r="H344" t="inlineStr">
        <is>
          <t>SCA</t>
        </is>
      </c>
      <c r="I344" t="n">
        <v>1.2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2494-2022</t>
        </is>
      </c>
      <c r="B345" t="inlineStr">
        <is>
          <t>avverkningsanmälan</t>
        </is>
      </c>
      <c r="C345" t="inlineStr">
        <is>
          <t>Föryngringsavverkning</t>
        </is>
      </c>
      <c r="D345" s="1" t="n">
        <v>44579</v>
      </c>
      <c r="E345" s="1" t="n">
        <v>46319</v>
      </c>
      <c r="F345" t="inlineStr">
        <is>
          <t>JÄMTLANDS LÄN</t>
        </is>
      </c>
      <c r="G345" t="inlineStr">
        <is>
          <t>RAGUNDA</t>
        </is>
      </c>
      <c r="I345" t="n">
        <v>0.6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25028-2022</t>
        </is>
      </c>
      <c r="B346" t="inlineStr">
        <is>
          <t>avverkningsanmälan</t>
        </is>
      </c>
      <c r="C346" t="inlineStr">
        <is>
          <t>Föryngringsavverkning</t>
        </is>
      </c>
      <c r="D346" s="1" t="n">
        <v>44728</v>
      </c>
      <c r="E346" s="1" t="n">
        <v>46319</v>
      </c>
      <c r="F346" t="inlineStr">
        <is>
          <t>JÄMTLANDS LÄN</t>
        </is>
      </c>
      <c r="G346" t="inlineStr">
        <is>
          <t>RAGUNDA</t>
        </is>
      </c>
      <c r="H346" t="inlineStr">
        <is>
          <t>SCA</t>
        </is>
      </c>
      <c r="I346" t="n">
        <v>1.1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11217-2022</t>
        </is>
      </c>
      <c r="B347" t="inlineStr">
        <is>
          <t>avverkningsanmälan</t>
        </is>
      </c>
      <c r="C347" t="inlineStr">
        <is>
          <t>Föryngringsavverkning</t>
        </is>
      </c>
      <c r="D347" s="1" t="n">
        <v>44629</v>
      </c>
      <c r="E347" s="1" t="n">
        <v>46319</v>
      </c>
      <c r="F347" t="inlineStr">
        <is>
          <t>JÄMTLANDS LÄN</t>
        </is>
      </c>
      <c r="G347" t="inlineStr">
        <is>
          <t>RAGUNDA</t>
        </is>
      </c>
      <c r="I347" t="n">
        <v>10.2</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42900-2022</t>
        </is>
      </c>
      <c r="B348" t="inlineStr">
        <is>
          <t>avverkningsanmälan</t>
        </is>
      </c>
      <c r="C348" t="inlineStr">
        <is>
          <t>Föryngringsavverkning</t>
        </is>
      </c>
      <c r="D348" s="1" t="n">
        <v>44832</v>
      </c>
      <c r="E348" s="1" t="n">
        <v>46319</v>
      </c>
      <c r="F348" t="inlineStr">
        <is>
          <t>JÄMTLANDS LÄN</t>
        </is>
      </c>
      <c r="G348" t="inlineStr">
        <is>
          <t>RAGUNDA</t>
        </is>
      </c>
      <c r="H348" t="inlineStr">
        <is>
          <t>SCA</t>
        </is>
      </c>
      <c r="I348" t="n">
        <v>3.1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3796-2022</t>
        </is>
      </c>
      <c r="B349" t="inlineStr">
        <is>
          <t>avverkningsanmälan</t>
        </is>
      </c>
      <c r="C349" t="inlineStr">
        <is>
          <t>Avverkning för annat ändamål</t>
        </is>
      </c>
      <c r="D349" s="1" t="n">
        <v>44586</v>
      </c>
      <c r="E349" s="1" t="n">
        <v>46319</v>
      </c>
      <c r="F349" t="inlineStr">
        <is>
          <t>JÄMTLANDS LÄN</t>
        </is>
      </c>
      <c r="G349" t="inlineStr">
        <is>
          <t>RAGUNDA</t>
        </is>
      </c>
      <c r="I349" t="n">
        <v>1.2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53288-2022</t>
        </is>
      </c>
      <c r="B350" t="inlineStr">
        <is>
          <t>avverkningsanmälan</t>
        </is>
      </c>
      <c r="C350" t="inlineStr">
        <is>
          <t>Avverkning för att bevara och utveckla /försöksver</t>
        </is>
      </c>
      <c r="D350" s="1" t="n">
        <v>44876</v>
      </c>
      <c r="E350" s="1" t="n">
        <v>46319</v>
      </c>
      <c r="F350" t="inlineStr">
        <is>
          <t>JÄMTLANDS LÄN</t>
        </is>
      </c>
      <c r="G350" t="inlineStr">
        <is>
          <t>RAGUNDA</t>
        </is>
      </c>
      <c r="H350" t="inlineStr">
        <is>
          <t>SCA</t>
        </is>
      </c>
      <c r="I350" t="n">
        <v>3.7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61442-2021</t>
        </is>
      </c>
      <c r="B351" t="inlineStr">
        <is>
          <t>avverkningsanmälan</t>
        </is>
      </c>
      <c r="C351" t="inlineStr">
        <is>
          <t>Föryngringsavverkning</t>
        </is>
      </c>
      <c r="D351" s="1" t="n">
        <v>44500</v>
      </c>
      <c r="E351" s="1" t="n">
        <v>46319</v>
      </c>
      <c r="F351" t="inlineStr">
        <is>
          <t>JÄMTLANDS LÄN</t>
        </is>
      </c>
      <c r="G351" t="inlineStr">
        <is>
          <t>RAGUNDA</t>
        </is>
      </c>
      <c r="H351" t="inlineStr">
        <is>
          <t>SCA</t>
        </is>
      </c>
      <c r="I351" t="n">
        <v>0.9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6492-2022</t>
        </is>
      </c>
      <c r="B352" t="inlineStr">
        <is>
          <t>avverkningsanmälan</t>
        </is>
      </c>
      <c r="C352" t="inlineStr">
        <is>
          <t>Föryngringsavverkning</t>
        </is>
      </c>
      <c r="D352" s="1" t="n">
        <v>44601</v>
      </c>
      <c r="E352" s="1" t="n">
        <v>46319</v>
      </c>
      <c r="F352" t="inlineStr">
        <is>
          <t>JÄMTLANDS LÄN</t>
        </is>
      </c>
      <c r="G352" t="inlineStr">
        <is>
          <t>RAGUNDA</t>
        </is>
      </c>
      <c r="I352" t="n">
        <v>0.8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65424-2021</t>
        </is>
      </c>
      <c r="B353" t="inlineStr">
        <is>
          <t>avverkningsanmälan</t>
        </is>
      </c>
      <c r="C353" t="inlineStr">
        <is>
          <t>Avverkning för att bevara och utveckla /försöksver</t>
        </is>
      </c>
      <c r="D353" s="1" t="n">
        <v>44515</v>
      </c>
      <c r="E353" s="1" t="n">
        <v>46319</v>
      </c>
      <c r="F353" t="inlineStr">
        <is>
          <t>JÄMTLANDS LÄN</t>
        </is>
      </c>
      <c r="G353" t="inlineStr">
        <is>
          <t>RAGUNDA</t>
        </is>
      </c>
      <c r="H353" t="inlineStr">
        <is>
          <t>SCA</t>
        </is>
      </c>
      <c r="I353" t="n">
        <v>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36084-2022</t>
        </is>
      </c>
      <c r="B354" t="inlineStr">
        <is>
          <t>avverkningsanmälan</t>
        </is>
      </c>
      <c r="C354" t="inlineStr">
        <is>
          <t>Avverkning för annat ändamål</t>
        </is>
      </c>
      <c r="D354" s="1" t="n">
        <v>44802</v>
      </c>
      <c r="E354" s="1" t="n">
        <v>46319</v>
      </c>
      <c r="F354" t="inlineStr">
        <is>
          <t>JÄMTLANDS LÄN</t>
        </is>
      </c>
      <c r="G354" t="inlineStr">
        <is>
          <t>RAGUNDA</t>
        </is>
      </c>
      <c r="H354" t="inlineStr">
        <is>
          <t>SCA</t>
        </is>
      </c>
      <c r="I354" t="n">
        <v>5.7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49904-2022</t>
        </is>
      </c>
      <c r="B355" t="inlineStr">
        <is>
          <t>avverkningsanmälan</t>
        </is>
      </c>
      <c r="C355" t="inlineStr">
        <is>
          <t>Avverkning för att bevara och utveckla /försöksver</t>
        </is>
      </c>
      <c r="D355" s="1" t="n">
        <v>44864</v>
      </c>
      <c r="E355" s="1" t="n">
        <v>46319</v>
      </c>
      <c r="F355" t="inlineStr">
        <is>
          <t>JÄMTLANDS LÄN</t>
        </is>
      </c>
      <c r="G355" t="inlineStr">
        <is>
          <t>RAGUNDA</t>
        </is>
      </c>
      <c r="H355" t="inlineStr">
        <is>
          <t>SCA</t>
        </is>
      </c>
      <c r="I355" t="n">
        <v>1.1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40829-2022</t>
        </is>
      </c>
      <c r="B356" t="inlineStr">
        <is>
          <t>avverkningsanmälan</t>
        </is>
      </c>
      <c r="C356" t="inlineStr">
        <is>
          <t>Avverkning för att bevara och utveckla /försöksver</t>
        </is>
      </c>
      <c r="D356" s="1" t="n">
        <v>44824</v>
      </c>
      <c r="E356" s="1" t="n">
        <v>46319</v>
      </c>
      <c r="F356" t="inlineStr">
        <is>
          <t>JÄMTLANDS LÄN</t>
        </is>
      </c>
      <c r="G356" t="inlineStr">
        <is>
          <t>RAGUNDA</t>
        </is>
      </c>
      <c r="H356" t="inlineStr">
        <is>
          <t>SCA</t>
        </is>
      </c>
      <c r="I356" t="n">
        <v>1.7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46992-2022</t>
        </is>
      </c>
      <c r="B357" t="inlineStr">
        <is>
          <t>avverkningsanmälan</t>
        </is>
      </c>
      <c r="C357" t="inlineStr">
        <is>
          <t>Föryngringsavverkning</t>
        </is>
      </c>
      <c r="D357" s="1" t="n">
        <v>44851</v>
      </c>
      <c r="E357" s="1" t="n">
        <v>46319</v>
      </c>
      <c r="F357" t="inlineStr">
        <is>
          <t>JÄMTLANDS LÄN</t>
        </is>
      </c>
      <c r="G357" t="inlineStr">
        <is>
          <t>RAGUNDA</t>
        </is>
      </c>
      <c r="H357" t="inlineStr">
        <is>
          <t>SCA</t>
        </is>
      </c>
      <c r="I357" t="n">
        <v>26.4</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25253-2022</t>
        </is>
      </c>
      <c r="B358" t="inlineStr">
        <is>
          <t>avverkningsanmälan</t>
        </is>
      </c>
      <c r="C358" t="inlineStr">
        <is>
          <t>Föryngringsavverkning</t>
        </is>
      </c>
      <c r="D358" s="1" t="n">
        <v>44729</v>
      </c>
      <c r="E358" s="1" t="n">
        <v>46319</v>
      </c>
      <c r="F358" t="inlineStr">
        <is>
          <t>JÄMTLANDS LÄN</t>
        </is>
      </c>
      <c r="G358" t="inlineStr">
        <is>
          <t>RAGUNDA</t>
        </is>
      </c>
      <c r="H358" t="inlineStr">
        <is>
          <t>SCA</t>
        </is>
      </c>
      <c r="I358" t="n">
        <v>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1858-2022</t>
        </is>
      </c>
      <c r="B359" t="inlineStr">
        <is>
          <t>avverkningsanmälan</t>
        </is>
      </c>
      <c r="C359" t="inlineStr">
        <is>
          <t>Föryngringsavverkning</t>
        </is>
      </c>
      <c r="D359" s="1" t="n">
        <v>44574</v>
      </c>
      <c r="E359" s="1" t="n">
        <v>46319</v>
      </c>
      <c r="F359" t="inlineStr">
        <is>
          <t>JÄMTLANDS LÄN</t>
        </is>
      </c>
      <c r="G359" t="inlineStr">
        <is>
          <t>RAGUNDA</t>
        </is>
      </c>
      <c r="I359" t="n">
        <v>5.7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54836-2022</t>
        </is>
      </c>
      <c r="B360" t="inlineStr">
        <is>
          <t>avverkningsanmälan</t>
        </is>
      </c>
      <c r="C360" t="inlineStr">
        <is>
          <t>Föryngringsavverkning</t>
        </is>
      </c>
      <c r="D360" s="1" t="n">
        <v>44883</v>
      </c>
      <c r="E360" s="1" t="n">
        <v>46319</v>
      </c>
      <c r="F360" t="inlineStr">
        <is>
          <t>JÄMTLANDS LÄN</t>
        </is>
      </c>
      <c r="G360" t="inlineStr">
        <is>
          <t>RAGUNDA</t>
        </is>
      </c>
      <c r="H360" t="inlineStr">
        <is>
          <t>SCA</t>
        </is>
      </c>
      <c r="I360" t="n">
        <v>1.6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40978-2022</t>
        </is>
      </c>
      <c r="B361" t="inlineStr">
        <is>
          <t>avverkningsanmälan</t>
        </is>
      </c>
      <c r="C361" t="inlineStr">
        <is>
          <t>Föryngringsavverkning</t>
        </is>
      </c>
      <c r="D361" s="1" t="n">
        <v>44823</v>
      </c>
      <c r="E361" s="1" t="n">
        <v>46319</v>
      </c>
      <c r="F361" t="inlineStr">
        <is>
          <t>JÄMTLANDS LÄN</t>
        </is>
      </c>
      <c r="G361" t="inlineStr">
        <is>
          <t>RAGUNDA</t>
        </is>
      </c>
      <c r="I361" t="n">
        <v>1.5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24741-2022</t>
        </is>
      </c>
      <c r="B362" t="inlineStr">
        <is>
          <t>avverkningsanmälan</t>
        </is>
      </c>
      <c r="C362" t="inlineStr">
        <is>
          <t>Föryngringsavverkning</t>
        </is>
      </c>
      <c r="D362" s="1" t="n">
        <v>44727</v>
      </c>
      <c r="E362" s="1" t="n">
        <v>46319</v>
      </c>
      <c r="F362" t="inlineStr">
        <is>
          <t>JÄMTLANDS LÄN</t>
        </is>
      </c>
      <c r="G362" t="inlineStr">
        <is>
          <t>RAGUNDA</t>
        </is>
      </c>
      <c r="H362" t="inlineStr">
        <is>
          <t>SCA</t>
        </is>
      </c>
      <c r="I362" t="n">
        <v>2.2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48536-2022</t>
        </is>
      </c>
      <c r="B363" t="inlineStr">
        <is>
          <t>avverkningsanmälan</t>
        </is>
      </c>
      <c r="C363" t="inlineStr">
        <is>
          <t>Föryngringsavverkning</t>
        </is>
      </c>
      <c r="D363" s="1" t="n">
        <v>44858</v>
      </c>
      <c r="E363" s="1" t="n">
        <v>46319</v>
      </c>
      <c r="F363" t="inlineStr">
        <is>
          <t>JÄMTLANDS LÄN</t>
        </is>
      </c>
      <c r="G363" t="inlineStr">
        <is>
          <t>RAGUNDA</t>
        </is>
      </c>
      <c r="H363" t="inlineStr">
        <is>
          <t>SCA</t>
        </is>
      </c>
      <c r="I363" t="n">
        <v>9.5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25027-2022</t>
        </is>
      </c>
      <c r="B364" t="inlineStr">
        <is>
          <t>avverkningsanmälan</t>
        </is>
      </c>
      <c r="C364" t="inlineStr">
        <is>
          <t>Föryngringsavverkning</t>
        </is>
      </c>
      <c r="D364" s="1" t="n">
        <v>44728</v>
      </c>
      <c r="E364" s="1" t="n">
        <v>46319</v>
      </c>
      <c r="F364" t="inlineStr">
        <is>
          <t>JÄMTLANDS LÄN</t>
        </is>
      </c>
      <c r="G364" t="inlineStr">
        <is>
          <t>RAGUNDA</t>
        </is>
      </c>
      <c r="H364" t="inlineStr">
        <is>
          <t>SCA</t>
        </is>
      </c>
      <c r="I364" t="n">
        <v>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49530-2022</t>
        </is>
      </c>
      <c r="B365" t="inlineStr">
        <is>
          <t>avverkningsanmälan</t>
        </is>
      </c>
      <c r="C365" t="inlineStr">
        <is>
          <t>Avverkning för att bevara och utveckla /försöksver</t>
        </is>
      </c>
      <c r="D365" s="1" t="n">
        <v>44861</v>
      </c>
      <c r="E365" s="1" t="n">
        <v>46319</v>
      </c>
      <c r="F365" t="inlineStr">
        <is>
          <t>JÄMTLANDS LÄN</t>
        </is>
      </c>
      <c r="G365" t="inlineStr">
        <is>
          <t>RAGUNDA</t>
        </is>
      </c>
      <c r="H365" t="inlineStr">
        <is>
          <t>SCA</t>
        </is>
      </c>
      <c r="I365" t="n">
        <v>13.4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36941-2022</t>
        </is>
      </c>
      <c r="B366" t="inlineStr">
        <is>
          <t>avverkningsanmälan</t>
        </is>
      </c>
      <c r="C366" t="inlineStr">
        <is>
          <t>Föryngringsavverkning</t>
        </is>
      </c>
      <c r="D366" s="1" t="n">
        <v>44805</v>
      </c>
      <c r="E366" s="1" t="n">
        <v>46319</v>
      </c>
      <c r="F366" t="inlineStr">
        <is>
          <t>JÄMTLANDS LÄN</t>
        </is>
      </c>
      <c r="G366" t="inlineStr">
        <is>
          <t>RAGUNDA</t>
        </is>
      </c>
      <c r="H366" t="inlineStr">
        <is>
          <t>SCA</t>
        </is>
      </c>
      <c r="I366" t="n">
        <v>3.7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47568-2022</t>
        </is>
      </c>
      <c r="B367" t="inlineStr">
        <is>
          <t>avverkningsanmälan</t>
        </is>
      </c>
      <c r="C367" t="inlineStr">
        <is>
          <t>Föryngringsavverkning</t>
        </is>
      </c>
      <c r="D367" s="1" t="n">
        <v>44853</v>
      </c>
      <c r="E367" s="1" t="n">
        <v>46319</v>
      </c>
      <c r="F367" t="inlineStr">
        <is>
          <t>JÄMTLANDS LÄN</t>
        </is>
      </c>
      <c r="G367" t="inlineStr">
        <is>
          <t>RAGUNDA</t>
        </is>
      </c>
      <c r="H367" t="inlineStr">
        <is>
          <t>SCA</t>
        </is>
      </c>
      <c r="I367" t="n">
        <v>1.9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15664-2022</t>
        </is>
      </c>
      <c r="B368" t="inlineStr">
        <is>
          <t>avverkningsanmälan</t>
        </is>
      </c>
      <c r="C368" t="inlineStr">
        <is>
          <t>Avverkning för att bevara och utveckla /försöksver</t>
        </is>
      </c>
      <c r="D368" s="1" t="n">
        <v>44662</v>
      </c>
      <c r="E368" s="1" t="n">
        <v>46319</v>
      </c>
      <c r="F368" t="inlineStr">
        <is>
          <t>JÄMTLANDS LÄN</t>
        </is>
      </c>
      <c r="G368" t="inlineStr">
        <is>
          <t>RAGUNDA</t>
        </is>
      </c>
      <c r="H368" t="inlineStr">
        <is>
          <t>SCA</t>
        </is>
      </c>
      <c r="I368" t="n">
        <v>2.2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21984-2022</t>
        </is>
      </c>
      <c r="B369" t="inlineStr">
        <is>
          <t>avverkningsanmälan</t>
        </is>
      </c>
      <c r="C369" t="inlineStr">
        <is>
          <t>Avverkning för annat ändamål</t>
        </is>
      </c>
      <c r="D369" s="1" t="n">
        <v>44704</v>
      </c>
      <c r="E369" s="1" t="n">
        <v>46319</v>
      </c>
      <c r="F369" t="inlineStr">
        <is>
          <t>JÄMTLANDS LÄN</t>
        </is>
      </c>
      <c r="G369" t="inlineStr">
        <is>
          <t>RAGUNDA</t>
        </is>
      </c>
      <c r="I369" t="n">
        <v>0.5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31972-2022</t>
        </is>
      </c>
      <c r="B370" t="inlineStr">
        <is>
          <t>avverkningsanmälan</t>
        </is>
      </c>
      <c r="C370" t="inlineStr">
        <is>
          <t>Föryngringsavverkning</t>
        </is>
      </c>
      <c r="D370" s="1" t="n">
        <v>44777</v>
      </c>
      <c r="E370" s="1" t="n">
        <v>46319</v>
      </c>
      <c r="F370" t="inlineStr">
        <is>
          <t>JÄMTLANDS LÄN</t>
        </is>
      </c>
      <c r="G370" t="inlineStr">
        <is>
          <t>RAGUNDA</t>
        </is>
      </c>
      <c r="H370" t="inlineStr">
        <is>
          <t>Naturvårdsverket</t>
        </is>
      </c>
      <c r="I370" t="n">
        <v>0.8</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48086-2022</t>
        </is>
      </c>
      <c r="B371" t="inlineStr">
        <is>
          <t>avverkningsanmälan</t>
        </is>
      </c>
      <c r="C371" t="inlineStr">
        <is>
          <t>Avverkning för att bevara och utveckla /försöksver</t>
        </is>
      </c>
      <c r="D371" s="1" t="n">
        <v>44855</v>
      </c>
      <c r="E371" s="1" t="n">
        <v>46319</v>
      </c>
      <c r="F371" t="inlineStr">
        <is>
          <t>JÄMTLANDS LÄN</t>
        </is>
      </c>
      <c r="G371" t="inlineStr">
        <is>
          <t>RAGUNDA</t>
        </is>
      </c>
      <c r="H371" t="inlineStr">
        <is>
          <t>SCA</t>
        </is>
      </c>
      <c r="I371" t="n">
        <v>2.7</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33279-2022</t>
        </is>
      </c>
      <c r="B372" t="inlineStr">
        <is>
          <t>avverkningsanmälan</t>
        </is>
      </c>
      <c r="C372" t="inlineStr">
        <is>
          <t>Föryngringsavverkning</t>
        </is>
      </c>
      <c r="D372" s="1" t="n">
        <v>44788</v>
      </c>
      <c r="E372" s="1" t="n">
        <v>46319</v>
      </c>
      <c r="F372" t="inlineStr">
        <is>
          <t>JÄMTLANDS LÄN</t>
        </is>
      </c>
      <c r="G372" t="inlineStr">
        <is>
          <t>RAGUNDA</t>
        </is>
      </c>
      <c r="I372" t="n">
        <v>17</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47567-2022</t>
        </is>
      </c>
      <c r="B373" t="inlineStr">
        <is>
          <t>avverkningsanmälan</t>
        </is>
      </c>
      <c r="C373" t="inlineStr">
        <is>
          <t>Föryngringsavverkning</t>
        </is>
      </c>
      <c r="D373" s="1" t="n">
        <v>44853</v>
      </c>
      <c r="E373" s="1" t="n">
        <v>46319</v>
      </c>
      <c r="F373" t="inlineStr">
        <is>
          <t>JÄMTLANDS LÄN</t>
        </is>
      </c>
      <c r="G373" t="inlineStr">
        <is>
          <t>RAGUNDA</t>
        </is>
      </c>
      <c r="H373" t="inlineStr">
        <is>
          <t>SCA</t>
        </is>
      </c>
      <c r="I373" t="n">
        <v>2.1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2336-2022</t>
        </is>
      </c>
      <c r="B374" t="inlineStr">
        <is>
          <t>avverkningsanmälan</t>
        </is>
      </c>
      <c r="C374" t="inlineStr">
        <is>
          <t>Föryngringsavverkning</t>
        </is>
      </c>
      <c r="D374" s="1" t="n">
        <v>44578</v>
      </c>
      <c r="E374" s="1" t="n">
        <v>46319</v>
      </c>
      <c r="F374" t="inlineStr">
        <is>
          <t>JÄMTLANDS LÄN</t>
        </is>
      </c>
      <c r="G374" t="inlineStr">
        <is>
          <t>RAGUNDA</t>
        </is>
      </c>
      <c r="I374" t="n">
        <v>0.5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46048-2022</t>
        </is>
      </c>
      <c r="B375" t="inlineStr">
        <is>
          <t>avverkningsanmälan</t>
        </is>
      </c>
      <c r="C375" t="inlineStr">
        <is>
          <t>Avverkning för att bevara och utveckla /försöksver</t>
        </is>
      </c>
      <c r="D375" s="1" t="n">
        <v>44846</v>
      </c>
      <c r="E375" s="1" t="n">
        <v>46319</v>
      </c>
      <c r="F375" t="inlineStr">
        <is>
          <t>JÄMTLANDS LÄN</t>
        </is>
      </c>
      <c r="G375" t="inlineStr">
        <is>
          <t>RAGUNDA</t>
        </is>
      </c>
      <c r="H375" t="inlineStr">
        <is>
          <t>SCA</t>
        </is>
      </c>
      <c r="I375" t="n">
        <v>2.6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42652-2022</t>
        </is>
      </c>
      <c r="B376" t="inlineStr">
        <is>
          <t>avverkningsanmälan</t>
        </is>
      </c>
      <c r="C376" t="inlineStr">
        <is>
          <t>Avverkning för att bevara och utveckla /försöksver</t>
        </is>
      </c>
      <c r="D376" s="1" t="n">
        <v>44831</v>
      </c>
      <c r="E376" s="1" t="n">
        <v>46319</v>
      </c>
      <c r="F376" t="inlineStr">
        <is>
          <t>JÄMTLANDS LÄN</t>
        </is>
      </c>
      <c r="G376" t="inlineStr">
        <is>
          <t>RAGUNDA</t>
        </is>
      </c>
      <c r="H376" t="inlineStr">
        <is>
          <t>SCA</t>
        </is>
      </c>
      <c r="I376" t="n">
        <v>5.6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42653-2022</t>
        </is>
      </c>
      <c r="B377" t="inlineStr">
        <is>
          <t>avverkningsanmälan</t>
        </is>
      </c>
      <c r="C377" t="inlineStr">
        <is>
          <t>Avverkning för att bevara och utveckla /försöksver</t>
        </is>
      </c>
      <c r="D377" s="1" t="n">
        <v>44831</v>
      </c>
      <c r="E377" s="1" t="n">
        <v>46319</v>
      </c>
      <c r="F377" t="inlineStr">
        <is>
          <t>JÄMTLANDS LÄN</t>
        </is>
      </c>
      <c r="G377" t="inlineStr">
        <is>
          <t>RAGUNDA</t>
        </is>
      </c>
      <c r="H377" t="inlineStr">
        <is>
          <t>SCA</t>
        </is>
      </c>
      <c r="I377" t="n">
        <v>1.7</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32986-2022</t>
        </is>
      </c>
      <c r="B378" t="inlineStr">
        <is>
          <t>avverkningsanmälan</t>
        </is>
      </c>
      <c r="C378" t="inlineStr">
        <is>
          <t>Föryngringsavverkning</t>
        </is>
      </c>
      <c r="D378" s="1" t="n">
        <v>44784</v>
      </c>
      <c r="E378" s="1" t="n">
        <v>46319</v>
      </c>
      <c r="F378" t="inlineStr">
        <is>
          <t>JÄMTLANDS LÄN</t>
        </is>
      </c>
      <c r="G378" t="inlineStr">
        <is>
          <t>RAGUNDA</t>
        </is>
      </c>
      <c r="H378" t="inlineStr">
        <is>
          <t>SCA</t>
        </is>
      </c>
      <c r="I378" t="n">
        <v>6.7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42882-2022</t>
        </is>
      </c>
      <c r="B379" t="inlineStr">
        <is>
          <t>avverkningsanmälan</t>
        </is>
      </c>
      <c r="C379" t="inlineStr">
        <is>
          <t>Avverkning för att bevara och utveckla /försöksver</t>
        </is>
      </c>
      <c r="D379" s="1" t="n">
        <v>44832</v>
      </c>
      <c r="E379" s="1" t="n">
        <v>46319</v>
      </c>
      <c r="F379" t="inlineStr">
        <is>
          <t>JÄMTLANDS LÄN</t>
        </is>
      </c>
      <c r="G379" t="inlineStr">
        <is>
          <t>RAGUNDA</t>
        </is>
      </c>
      <c r="H379" t="inlineStr">
        <is>
          <t>SCA</t>
        </is>
      </c>
      <c r="I379" t="n">
        <v>3.7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42267-2022</t>
        </is>
      </c>
      <c r="B380" t="inlineStr">
        <is>
          <t>avverkningsanmälan</t>
        </is>
      </c>
      <c r="C380" t="inlineStr">
        <is>
          <t>Föryngringsavverkning</t>
        </is>
      </c>
      <c r="D380" s="1" t="n">
        <v>44830</v>
      </c>
      <c r="E380" s="1" t="n">
        <v>46319</v>
      </c>
      <c r="F380" t="inlineStr">
        <is>
          <t>JÄMTLANDS LÄN</t>
        </is>
      </c>
      <c r="G380" t="inlineStr">
        <is>
          <t>RAGUNDA</t>
        </is>
      </c>
      <c r="H380" t="inlineStr">
        <is>
          <t>SCA</t>
        </is>
      </c>
      <c r="I380" t="n">
        <v>2</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39698-2022</t>
        </is>
      </c>
      <c r="B381" t="inlineStr">
        <is>
          <t>avverkningsanmälan</t>
        </is>
      </c>
      <c r="C381" t="inlineStr">
        <is>
          <t>Föryngringsavverkning</t>
        </is>
      </c>
      <c r="D381" s="1" t="n">
        <v>44818</v>
      </c>
      <c r="E381" s="1" t="n">
        <v>46319</v>
      </c>
      <c r="F381" t="inlineStr">
        <is>
          <t>JÄMTLANDS LÄN</t>
        </is>
      </c>
      <c r="G381" t="inlineStr">
        <is>
          <t>RAGUNDA</t>
        </is>
      </c>
      <c r="H381" t="inlineStr">
        <is>
          <t>SCA</t>
        </is>
      </c>
      <c r="I381" t="n">
        <v>2.2</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43147-2022</t>
        </is>
      </c>
      <c r="B382" t="inlineStr">
        <is>
          <t>avverkningsanmälan</t>
        </is>
      </c>
      <c r="C382" t="inlineStr">
        <is>
          <t>Avverkning för att bevara och utveckla /försöksver</t>
        </is>
      </c>
      <c r="D382" s="1" t="n">
        <v>44833</v>
      </c>
      <c r="E382" s="1" t="n">
        <v>46319</v>
      </c>
      <c r="F382" t="inlineStr">
        <is>
          <t>JÄMTLANDS LÄN</t>
        </is>
      </c>
      <c r="G382" t="inlineStr">
        <is>
          <t>RAGUNDA</t>
        </is>
      </c>
      <c r="H382" t="inlineStr">
        <is>
          <t>SCA</t>
        </is>
      </c>
      <c r="I382" t="n">
        <v>1.7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59996-2021</t>
        </is>
      </c>
      <c r="B383" t="inlineStr">
        <is>
          <t>avverkningsanmälan</t>
        </is>
      </c>
      <c r="C383" t="inlineStr">
        <is>
          <t>Föryngringsavverkning</t>
        </is>
      </c>
      <c r="D383" s="1" t="n">
        <v>44494</v>
      </c>
      <c r="E383" s="1" t="n">
        <v>46319</v>
      </c>
      <c r="F383" t="inlineStr">
        <is>
          <t>JÄMTLANDS LÄN</t>
        </is>
      </c>
      <c r="G383" t="inlineStr">
        <is>
          <t>RAGUNDA</t>
        </is>
      </c>
      <c r="H383" t="inlineStr">
        <is>
          <t>SCA</t>
        </is>
      </c>
      <c r="I383" t="n">
        <v>1.6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31854-2022</t>
        </is>
      </c>
      <c r="B384" t="inlineStr">
        <is>
          <t>avverkningsanmälan</t>
        </is>
      </c>
      <c r="C384" t="inlineStr">
        <is>
          <t>Föryngringsavverkning</t>
        </is>
      </c>
      <c r="D384" s="1" t="n">
        <v>44776</v>
      </c>
      <c r="E384" s="1" t="n">
        <v>46319</v>
      </c>
      <c r="F384" t="inlineStr">
        <is>
          <t>JÄMTLANDS LÄN</t>
        </is>
      </c>
      <c r="G384" t="inlineStr">
        <is>
          <t>RAGUNDA</t>
        </is>
      </c>
      <c r="H384" t="inlineStr">
        <is>
          <t>SCA</t>
        </is>
      </c>
      <c r="I384" t="n">
        <v>2.7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65017-2021</t>
        </is>
      </c>
      <c r="B385" t="inlineStr">
        <is>
          <t>avverkningsanmälan</t>
        </is>
      </c>
      <c r="C385" t="inlineStr">
        <is>
          <t>Föryngringsavverkning</t>
        </is>
      </c>
      <c r="D385" s="1" t="n">
        <v>44512</v>
      </c>
      <c r="E385" s="1" t="n">
        <v>46319</v>
      </c>
      <c r="F385" t="inlineStr">
        <is>
          <t>JÄMTLANDS LÄN</t>
        </is>
      </c>
      <c r="G385" t="inlineStr">
        <is>
          <t>RAGUNDA</t>
        </is>
      </c>
      <c r="I385" t="n">
        <v>2.3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16460-2022</t>
        </is>
      </c>
      <c r="B386" t="inlineStr">
        <is>
          <t>avverkningsanmälan</t>
        </is>
      </c>
      <c r="C386" t="inlineStr">
        <is>
          <t>Avverkning för annat ändamål</t>
        </is>
      </c>
      <c r="D386" s="1" t="n">
        <v>44671</v>
      </c>
      <c r="E386" s="1" t="n">
        <v>46319</v>
      </c>
      <c r="F386" t="inlineStr">
        <is>
          <t>JÄMTLANDS LÄN</t>
        </is>
      </c>
      <c r="G386" t="inlineStr">
        <is>
          <t>RAGUNDA</t>
        </is>
      </c>
      <c r="I386" t="n">
        <v>1.7</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21195-2022</t>
        </is>
      </c>
      <c r="B387" t="inlineStr">
        <is>
          <t>avverkningsanmälan</t>
        </is>
      </c>
      <c r="C387" t="inlineStr">
        <is>
          <t>Avverkning för att bevara och utveckla /försöksver</t>
        </is>
      </c>
      <c r="D387" s="1" t="n">
        <v>44704</v>
      </c>
      <c r="E387" s="1" t="n">
        <v>46319</v>
      </c>
      <c r="F387" t="inlineStr">
        <is>
          <t>JÄMTLANDS LÄN</t>
        </is>
      </c>
      <c r="G387" t="inlineStr">
        <is>
          <t>RAGUNDA</t>
        </is>
      </c>
      <c r="H387" t="inlineStr">
        <is>
          <t>SCA</t>
        </is>
      </c>
      <c r="I387" t="n">
        <v>1.8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49531-2022</t>
        </is>
      </c>
      <c r="B388" t="inlineStr">
        <is>
          <t>avverkningsanmälan</t>
        </is>
      </c>
      <c r="C388" t="inlineStr">
        <is>
          <t>Avverkning för att bevara och utveckla /försöksver</t>
        </is>
      </c>
      <c r="D388" s="1" t="n">
        <v>44861</v>
      </c>
      <c r="E388" s="1" t="n">
        <v>46319</v>
      </c>
      <c r="F388" t="inlineStr">
        <is>
          <t>JÄMTLANDS LÄN</t>
        </is>
      </c>
      <c r="G388" t="inlineStr">
        <is>
          <t>RAGUNDA</t>
        </is>
      </c>
      <c r="H388" t="inlineStr">
        <is>
          <t>SCA</t>
        </is>
      </c>
      <c r="I388" t="n">
        <v>0.9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10120-2022</t>
        </is>
      </c>
      <c r="B389" t="inlineStr">
        <is>
          <t>avverkningsanmälan</t>
        </is>
      </c>
      <c r="C389" t="inlineStr">
        <is>
          <t>Föryngringsavverkning</t>
        </is>
      </c>
      <c r="D389" s="1" t="n">
        <v>44621</v>
      </c>
      <c r="E389" s="1" t="n">
        <v>46319</v>
      </c>
      <c r="F389" t="inlineStr">
        <is>
          <t>JÄMTLANDS LÄN</t>
        </is>
      </c>
      <c r="G389" t="inlineStr">
        <is>
          <t>RAGUNDA</t>
        </is>
      </c>
      <c r="I389" t="n">
        <v>0.4</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13964-2022</t>
        </is>
      </c>
      <c r="B390" t="inlineStr">
        <is>
          <t>avverkningsanmälan</t>
        </is>
      </c>
      <c r="C390" t="inlineStr">
        <is>
          <t>Föryngringsavverkning</t>
        </is>
      </c>
      <c r="D390" s="1" t="n">
        <v>44650</v>
      </c>
      <c r="E390" s="1" t="n">
        <v>46319</v>
      </c>
      <c r="F390" t="inlineStr">
        <is>
          <t>JÄMTLANDS LÄN</t>
        </is>
      </c>
      <c r="G390" t="inlineStr">
        <is>
          <t>RAGUNDA</t>
        </is>
      </c>
      <c r="I390" t="n">
        <v>2.6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6177-2022</t>
        </is>
      </c>
      <c r="B391" t="inlineStr">
        <is>
          <t>avverkningsanmälan</t>
        </is>
      </c>
      <c r="C391" t="inlineStr">
        <is>
          <t>Avverkning för annat ändamål</t>
        </is>
      </c>
      <c r="D391" s="1" t="n">
        <v>44599</v>
      </c>
      <c r="E391" s="1" t="n">
        <v>46319</v>
      </c>
      <c r="F391" t="inlineStr">
        <is>
          <t>JÄMTLANDS LÄN</t>
        </is>
      </c>
      <c r="G391" t="inlineStr">
        <is>
          <t>RAGUNDA</t>
        </is>
      </c>
      <c r="H391" t="inlineStr">
        <is>
          <t>SCA</t>
        </is>
      </c>
      <c r="I391" t="n">
        <v>2.2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21194-2022</t>
        </is>
      </c>
      <c r="B392" t="inlineStr">
        <is>
          <t>avverkningsanmälan</t>
        </is>
      </c>
      <c r="C392" t="inlineStr">
        <is>
          <t>Avverkning för att bevara och utveckla /försöksver</t>
        </is>
      </c>
      <c r="D392" s="1" t="n">
        <v>44704</v>
      </c>
      <c r="E392" s="1" t="n">
        <v>46319</v>
      </c>
      <c r="F392" t="inlineStr">
        <is>
          <t>JÄMTLANDS LÄN</t>
        </is>
      </c>
      <c r="G392" t="inlineStr">
        <is>
          <t>RAGUNDA</t>
        </is>
      </c>
      <c r="H392" t="inlineStr">
        <is>
          <t>SCA</t>
        </is>
      </c>
      <c r="I392" t="n">
        <v>10.6</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17559-2023</t>
        </is>
      </c>
      <c r="B393" t="inlineStr">
        <is>
          <t>avverkningsanmälan</t>
        </is>
      </c>
      <c r="C393" t="inlineStr">
        <is>
          <t>Föryngringsavverkning</t>
        </is>
      </c>
      <c r="D393" s="1" t="n">
        <v>45034</v>
      </c>
      <c r="E393" s="1" t="n">
        <v>46319</v>
      </c>
      <c r="F393" t="inlineStr">
        <is>
          <t>JÄMTLANDS LÄN</t>
        </is>
      </c>
      <c r="G393" t="inlineStr">
        <is>
          <t>RAGUNDA</t>
        </is>
      </c>
      <c r="I393" t="n">
        <v>7.5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56193-2022</t>
        </is>
      </c>
      <c r="B394" t="inlineStr">
        <is>
          <t>avverkningsanmälan</t>
        </is>
      </c>
      <c r="C394" t="inlineStr">
        <is>
          <t>Föryngringsavverkning</t>
        </is>
      </c>
      <c r="D394" s="1" t="n">
        <v>44889</v>
      </c>
      <c r="E394" s="1" t="n">
        <v>46319</v>
      </c>
      <c r="F394" t="inlineStr">
        <is>
          <t>JÄMTLANDS LÄN</t>
        </is>
      </c>
      <c r="G394" t="inlineStr">
        <is>
          <t>RAGUNDA</t>
        </is>
      </c>
      <c r="H394" t="inlineStr">
        <is>
          <t>Sveaskog</t>
        </is>
      </c>
      <c r="I394" t="n">
        <v>4.2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5515-2022</t>
        </is>
      </c>
      <c r="B395" t="inlineStr">
        <is>
          <t>avverkningsanmälan</t>
        </is>
      </c>
      <c r="C395" t="inlineStr">
        <is>
          <t>Föryngringsavverkning</t>
        </is>
      </c>
      <c r="D395" s="1" t="n">
        <v>44595</v>
      </c>
      <c r="E395" s="1" t="n">
        <v>46319</v>
      </c>
      <c r="F395" t="inlineStr">
        <is>
          <t>JÄMTLANDS LÄN</t>
        </is>
      </c>
      <c r="G395" t="inlineStr">
        <is>
          <t>RAGUNDA</t>
        </is>
      </c>
      <c r="I395" t="n">
        <v>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39192-2025</t>
        </is>
      </c>
      <c r="B396" t="inlineStr">
        <is>
          <t>avverkningsanmälan</t>
        </is>
      </c>
      <c r="C396" t="inlineStr">
        <is>
          <t>Föryngringsavverkning</t>
        </is>
      </c>
      <c r="D396" s="1" t="n">
        <v>45888</v>
      </c>
      <c r="E396" s="1" t="n">
        <v>46319</v>
      </c>
      <c r="F396" t="inlineStr">
        <is>
          <t>JÄMTLANDS LÄN</t>
        </is>
      </c>
      <c r="G396" t="inlineStr">
        <is>
          <t>RAGUNDA</t>
        </is>
      </c>
      <c r="H396" t="inlineStr">
        <is>
          <t>Naturvårdsverket</t>
        </is>
      </c>
      <c r="I396" t="n">
        <v>2.3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60957-2021</t>
        </is>
      </c>
      <c r="B397" t="inlineStr">
        <is>
          <t>avverkningsanmälan</t>
        </is>
      </c>
      <c r="C397" t="inlineStr">
        <is>
          <t>Föryngringsavverkning</t>
        </is>
      </c>
      <c r="D397" s="1" t="n">
        <v>44496</v>
      </c>
      <c r="E397" s="1" t="n">
        <v>46319</v>
      </c>
      <c r="F397" t="inlineStr">
        <is>
          <t>JÄMTLANDS LÄN</t>
        </is>
      </c>
      <c r="G397" t="inlineStr">
        <is>
          <t>RAGUNDA</t>
        </is>
      </c>
      <c r="I397" t="n">
        <v>1.6</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26122-2022</t>
        </is>
      </c>
      <c r="B398" t="inlineStr">
        <is>
          <t>avverkningsanmälan</t>
        </is>
      </c>
      <c r="C398" t="inlineStr">
        <is>
          <t>Föryngringsavverkning</t>
        </is>
      </c>
      <c r="D398" s="1" t="n">
        <v>44734</v>
      </c>
      <c r="E398" s="1" t="n">
        <v>46319</v>
      </c>
      <c r="F398" t="inlineStr">
        <is>
          <t>JÄMTLANDS LÄN</t>
        </is>
      </c>
      <c r="G398" t="inlineStr">
        <is>
          <t>RAGUNDA</t>
        </is>
      </c>
      <c r="H398" t="inlineStr">
        <is>
          <t>SCA</t>
        </is>
      </c>
      <c r="I398" t="n">
        <v>1.3</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30826-2023</t>
        </is>
      </c>
      <c r="B399" t="inlineStr">
        <is>
          <t>avverkningsanmälan</t>
        </is>
      </c>
      <c r="C399" t="inlineStr">
        <is>
          <t>Avverkning för att bevara och utveckla /försöksver</t>
        </is>
      </c>
      <c r="D399" s="1" t="n">
        <v>45112</v>
      </c>
      <c r="E399" s="1" t="n">
        <v>46319</v>
      </c>
      <c r="F399" t="inlineStr">
        <is>
          <t>JÄMTLANDS LÄN</t>
        </is>
      </c>
      <c r="G399" t="inlineStr">
        <is>
          <t>RAGUNDA</t>
        </is>
      </c>
      <c r="H399" t="inlineStr">
        <is>
          <t>SCA</t>
        </is>
      </c>
      <c r="I399" t="n">
        <v>3.1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21193-2022</t>
        </is>
      </c>
      <c r="B400" t="inlineStr">
        <is>
          <t>avverkningsanmälan</t>
        </is>
      </c>
      <c r="C400" t="inlineStr">
        <is>
          <t>Avverkning för att bevara och utveckla /försöksver</t>
        </is>
      </c>
      <c r="D400" s="1" t="n">
        <v>44704</v>
      </c>
      <c r="E400" s="1" t="n">
        <v>46319</v>
      </c>
      <c r="F400" t="inlineStr">
        <is>
          <t>JÄMTLANDS LÄN</t>
        </is>
      </c>
      <c r="G400" t="inlineStr">
        <is>
          <t>RAGUNDA</t>
        </is>
      </c>
      <c r="H400" t="inlineStr">
        <is>
          <t>SCA</t>
        </is>
      </c>
      <c r="I400" t="n">
        <v>1.5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56191-2022</t>
        </is>
      </c>
      <c r="B401" t="inlineStr">
        <is>
          <t>avverkningsanmälan</t>
        </is>
      </c>
      <c r="C401" t="inlineStr">
        <is>
          <t>Föryngringsavverkning</t>
        </is>
      </c>
      <c r="D401" s="1" t="n">
        <v>44889</v>
      </c>
      <c r="E401" s="1" t="n">
        <v>46319</v>
      </c>
      <c r="F401" t="inlineStr">
        <is>
          <t>JÄMTLANDS LÄN</t>
        </is>
      </c>
      <c r="G401" t="inlineStr">
        <is>
          <t>RAGUNDA</t>
        </is>
      </c>
      <c r="H401" t="inlineStr">
        <is>
          <t>Sveaskog</t>
        </is>
      </c>
      <c r="I401" t="n">
        <v>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33621-2023</t>
        </is>
      </c>
      <c r="B402" t="inlineStr">
        <is>
          <t>avverkningsanmälan</t>
        </is>
      </c>
      <c r="C402" t="inlineStr">
        <is>
          <t>Avverkning för annat ändamål</t>
        </is>
      </c>
      <c r="D402" s="1" t="n">
        <v>45119</v>
      </c>
      <c r="E402" s="1" t="n">
        <v>46319</v>
      </c>
      <c r="F402" t="inlineStr">
        <is>
          <t>JÄMTLANDS LÄN</t>
        </is>
      </c>
      <c r="G402" t="inlineStr">
        <is>
          <t>RAGUNDA</t>
        </is>
      </c>
      <c r="I402" t="n">
        <v>0.5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65216-2023</t>
        </is>
      </c>
      <c r="B403" t="inlineStr">
        <is>
          <t>avverkningsanmälan</t>
        </is>
      </c>
      <c r="C403" t="inlineStr">
        <is>
          <t>Föryngringsavverkning</t>
        </is>
      </c>
      <c r="D403" s="1" t="n">
        <v>45289</v>
      </c>
      <c r="E403" s="1" t="n">
        <v>46319</v>
      </c>
      <c r="F403" t="inlineStr">
        <is>
          <t>JÄMTLANDS LÄN</t>
        </is>
      </c>
      <c r="G403" t="inlineStr">
        <is>
          <t>RAGUNDA</t>
        </is>
      </c>
      <c r="I403" t="n">
        <v>2.9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13917-2023</t>
        </is>
      </c>
      <c r="B404" t="inlineStr">
        <is>
          <t>avverkningsanmälan</t>
        </is>
      </c>
      <c r="C404" t="inlineStr">
        <is>
          <t>Avverkning för annat ändamål</t>
        </is>
      </c>
      <c r="D404" s="1" t="n">
        <v>45007</v>
      </c>
      <c r="E404" s="1" t="n">
        <v>46319</v>
      </c>
      <c r="F404" t="inlineStr">
        <is>
          <t>JÄMTLANDS LÄN</t>
        </is>
      </c>
      <c r="G404" t="inlineStr">
        <is>
          <t>RAGUNDA</t>
        </is>
      </c>
      <c r="I404" t="n">
        <v>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18820-2023</t>
        </is>
      </c>
      <c r="B405" t="inlineStr">
        <is>
          <t>avverkningsanmälan</t>
        </is>
      </c>
      <c r="C405" t="inlineStr">
        <is>
          <t>Föryngringsavverkning</t>
        </is>
      </c>
      <c r="D405" s="1" t="n">
        <v>45042</v>
      </c>
      <c r="E405" s="1" t="n">
        <v>46319</v>
      </c>
      <c r="F405" t="inlineStr">
        <is>
          <t>JÄMTLANDS LÄN</t>
        </is>
      </c>
      <c r="G405" t="inlineStr">
        <is>
          <t>RAGUNDA</t>
        </is>
      </c>
      <c r="I405" t="n">
        <v>18.8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60838-2023</t>
        </is>
      </c>
      <c r="B406" t="inlineStr">
        <is>
          <t>avverkningsanmälan</t>
        </is>
      </c>
      <c r="C406" t="inlineStr">
        <is>
          <t>Föryngringsavverkning</t>
        </is>
      </c>
      <c r="D406" s="1" t="n">
        <v>45260</v>
      </c>
      <c r="E406" s="1" t="n">
        <v>46319</v>
      </c>
      <c r="F406" t="inlineStr">
        <is>
          <t>JÄMTLANDS LÄN</t>
        </is>
      </c>
      <c r="G406" t="inlineStr">
        <is>
          <t>RAGUNDA</t>
        </is>
      </c>
      <c r="I406" t="n">
        <v>2.7</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2133-2023</t>
        </is>
      </c>
      <c r="B407" t="inlineStr">
        <is>
          <t>avverkningsanmälan</t>
        </is>
      </c>
      <c r="C407" t="inlineStr">
        <is>
          <t>Avverkning för att bevara och utveckla /försöksver</t>
        </is>
      </c>
      <c r="D407" s="1" t="n">
        <v>44939</v>
      </c>
      <c r="E407" s="1" t="n">
        <v>46319</v>
      </c>
      <c r="F407" t="inlineStr">
        <is>
          <t>JÄMTLANDS LÄN</t>
        </is>
      </c>
      <c r="G407" t="inlineStr">
        <is>
          <t>RAGUNDA</t>
        </is>
      </c>
      <c r="H407" t="inlineStr">
        <is>
          <t>SCA</t>
        </is>
      </c>
      <c r="I407" t="n">
        <v>3.6</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39384-2025</t>
        </is>
      </c>
      <c r="B408" t="inlineStr">
        <is>
          <t>avverkningsanmälan</t>
        </is>
      </c>
      <c r="C408" t="inlineStr">
        <is>
          <t>Föryngringsavverkning</t>
        </is>
      </c>
      <c r="D408" s="1" t="n">
        <v>45889</v>
      </c>
      <c r="E408" s="1" t="n">
        <v>46319</v>
      </c>
      <c r="F408" t="inlineStr">
        <is>
          <t>JÄMTLANDS LÄN</t>
        </is>
      </c>
      <c r="G408" t="inlineStr">
        <is>
          <t>RAGUNDA</t>
        </is>
      </c>
      <c r="H408" t="inlineStr">
        <is>
          <t>SCA</t>
        </is>
      </c>
      <c r="I408" t="n">
        <v>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62358-2023</t>
        </is>
      </c>
      <c r="B409" t="inlineStr">
        <is>
          <t>avverkningsanmälan</t>
        </is>
      </c>
      <c r="C409" t="inlineStr">
        <is>
          <t>Föryngringsavverkning</t>
        </is>
      </c>
      <c r="D409" s="1" t="n">
        <v>45267</v>
      </c>
      <c r="E409" s="1" t="n">
        <v>46319</v>
      </c>
      <c r="F409" t="inlineStr">
        <is>
          <t>JÄMTLANDS LÄN</t>
        </is>
      </c>
      <c r="G409" t="inlineStr">
        <is>
          <t>RAGUNDA</t>
        </is>
      </c>
      <c r="H409" t="inlineStr">
        <is>
          <t>SCA</t>
        </is>
      </c>
      <c r="I409" t="n">
        <v>37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19264-2025</t>
        </is>
      </c>
      <c r="B410" t="inlineStr">
        <is>
          <t>avverkningsanmälan</t>
        </is>
      </c>
      <c r="C410" t="inlineStr">
        <is>
          <t>Föryngringsavverkning</t>
        </is>
      </c>
      <c r="D410" s="1" t="n">
        <v>45769</v>
      </c>
      <c r="E410" s="1" t="n">
        <v>46319</v>
      </c>
      <c r="F410" t="inlineStr">
        <is>
          <t>JÄMTLANDS LÄN</t>
        </is>
      </c>
      <c r="G410" t="inlineStr">
        <is>
          <t>RAGUNDA</t>
        </is>
      </c>
      <c r="H410" t="inlineStr">
        <is>
          <t>SCA</t>
        </is>
      </c>
      <c r="I410" t="n">
        <v>1.3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64492-2023</t>
        </is>
      </c>
      <c r="B411" t="inlineStr">
        <is>
          <t>avverkningsanmälan</t>
        </is>
      </c>
      <c r="C411" t="inlineStr">
        <is>
          <t>Föryngringsavverkning</t>
        </is>
      </c>
      <c r="D411" s="1" t="n">
        <v>45280</v>
      </c>
      <c r="E411" s="1" t="n">
        <v>46319</v>
      </c>
      <c r="F411" t="inlineStr">
        <is>
          <t>JÄMTLANDS LÄN</t>
        </is>
      </c>
      <c r="G411" t="inlineStr">
        <is>
          <t>RAGUNDA</t>
        </is>
      </c>
      <c r="I411" t="n">
        <v>0.6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39949-2025</t>
        </is>
      </c>
      <c r="B412" t="inlineStr">
        <is>
          <t>avverkningsanmälan</t>
        </is>
      </c>
      <c r="C412" t="inlineStr">
        <is>
          <t>Föryngringsavverkning</t>
        </is>
      </c>
      <c r="D412" s="1" t="n">
        <v>45892</v>
      </c>
      <c r="E412" s="1" t="n">
        <v>46319</v>
      </c>
      <c r="F412" t="inlineStr">
        <is>
          <t>JÄMTLANDS LÄN</t>
        </is>
      </c>
      <c r="G412" t="inlineStr">
        <is>
          <t>RAGUNDA</t>
        </is>
      </c>
      <c r="I412" t="n">
        <v>1.4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39948-2025</t>
        </is>
      </c>
      <c r="B413" t="inlineStr">
        <is>
          <t>avverkningsanmälan</t>
        </is>
      </c>
      <c r="C413" t="inlineStr">
        <is>
          <t>Föryngringsavverkning</t>
        </is>
      </c>
      <c r="D413" s="1" t="n">
        <v>45892</v>
      </c>
      <c r="E413" s="1" t="n">
        <v>46319</v>
      </c>
      <c r="F413" t="inlineStr">
        <is>
          <t>JÄMTLANDS LÄN</t>
        </is>
      </c>
      <c r="G413" t="inlineStr">
        <is>
          <t>RAGUNDA</t>
        </is>
      </c>
      <c r="I413" t="n">
        <v>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39947-2025</t>
        </is>
      </c>
      <c r="B414" t="inlineStr">
        <is>
          <t>avverkningsanmälan</t>
        </is>
      </c>
      <c r="C414" t="inlineStr">
        <is>
          <t>Föryngringsavverkning</t>
        </is>
      </c>
      <c r="D414" s="1" t="n">
        <v>45892</v>
      </c>
      <c r="E414" s="1" t="n">
        <v>46319</v>
      </c>
      <c r="F414" t="inlineStr">
        <is>
          <t>JÄMTLANDS LÄN</t>
        </is>
      </c>
      <c r="G414" t="inlineStr">
        <is>
          <t>RAGUNDA</t>
        </is>
      </c>
      <c r="I414" t="n">
        <v>6.6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39951-2025</t>
        </is>
      </c>
      <c r="B415" t="inlineStr">
        <is>
          <t>avverkningsanmälan</t>
        </is>
      </c>
      <c r="C415" t="inlineStr">
        <is>
          <t>Föryngringsavverkning</t>
        </is>
      </c>
      <c r="D415" s="1" t="n">
        <v>45892</v>
      </c>
      <c r="E415" s="1" t="n">
        <v>46319</v>
      </c>
      <c r="F415" t="inlineStr">
        <is>
          <t>JÄMTLANDS LÄN</t>
        </is>
      </c>
      <c r="G415" t="inlineStr">
        <is>
          <t>RAGUNDA</t>
        </is>
      </c>
      <c r="I415" t="n">
        <v>2.3</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39950-2025</t>
        </is>
      </c>
      <c r="B416" t="inlineStr">
        <is>
          <t>avverkningsanmälan</t>
        </is>
      </c>
      <c r="C416" t="inlineStr">
        <is>
          <t>Föryngringsavverkning</t>
        </is>
      </c>
      <c r="D416" s="1" t="n">
        <v>45892</v>
      </c>
      <c r="E416" s="1" t="n">
        <v>46319</v>
      </c>
      <c r="F416" t="inlineStr">
        <is>
          <t>JÄMTLANDS LÄN</t>
        </is>
      </c>
      <c r="G416" t="inlineStr">
        <is>
          <t>RAGUNDA</t>
        </is>
      </c>
      <c r="I416" t="n">
        <v>1.1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39955-2025</t>
        </is>
      </c>
      <c r="B417" t="inlineStr">
        <is>
          <t>avverkningsanmälan</t>
        </is>
      </c>
      <c r="C417" t="inlineStr">
        <is>
          <t>Föryngringsavverkning</t>
        </is>
      </c>
      <c r="D417" s="1" t="n">
        <v>45892</v>
      </c>
      <c r="E417" s="1" t="n">
        <v>46319</v>
      </c>
      <c r="F417" t="inlineStr">
        <is>
          <t>JÄMTLANDS LÄN</t>
        </is>
      </c>
      <c r="G417" t="inlineStr">
        <is>
          <t>RAGUNDA</t>
        </is>
      </c>
      <c r="I417" t="n">
        <v>1.4</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39956-2025</t>
        </is>
      </c>
      <c r="B418" t="inlineStr">
        <is>
          <t>avverkningsanmälan</t>
        </is>
      </c>
      <c r="C418" t="inlineStr">
        <is>
          <t>Föryngringsavverkning</t>
        </is>
      </c>
      <c r="D418" s="1" t="n">
        <v>45892</v>
      </c>
      <c r="E418" s="1" t="n">
        <v>46319</v>
      </c>
      <c r="F418" t="inlineStr">
        <is>
          <t>JÄMTLANDS LÄN</t>
        </is>
      </c>
      <c r="G418" t="inlineStr">
        <is>
          <t>RAGUNDA</t>
        </is>
      </c>
      <c r="I418" t="n">
        <v>3.6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36106-2022</t>
        </is>
      </c>
      <c r="B419" t="inlineStr">
        <is>
          <t>avverkningsanmälan</t>
        </is>
      </c>
      <c r="C419" t="inlineStr">
        <is>
          <t>Föryngringsavverkning</t>
        </is>
      </c>
      <c r="D419" s="1" t="n">
        <v>44802</v>
      </c>
      <c r="E419" s="1" t="n">
        <v>46319</v>
      </c>
      <c r="F419" t="inlineStr">
        <is>
          <t>JÄMTLANDS LÄN</t>
        </is>
      </c>
      <c r="G419" t="inlineStr">
        <is>
          <t>RAGUNDA</t>
        </is>
      </c>
      <c r="H419" t="inlineStr">
        <is>
          <t>SCA</t>
        </is>
      </c>
      <c r="I419" t="n">
        <v>7.3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41161-2025</t>
        </is>
      </c>
      <c r="B420" t="inlineStr">
        <is>
          <t>avverkningsanmälan</t>
        </is>
      </c>
      <c r="C420" t="inlineStr">
        <is>
          <t>Föryngringsavverkning</t>
        </is>
      </c>
      <c r="D420" s="1" t="n">
        <v>45898</v>
      </c>
      <c r="E420" s="1" t="n">
        <v>46319</v>
      </c>
      <c r="F420" t="inlineStr">
        <is>
          <t>JÄMTLANDS LÄN</t>
        </is>
      </c>
      <c r="G420" t="inlineStr">
        <is>
          <t>RAGUNDA</t>
        </is>
      </c>
      <c r="H420" t="inlineStr">
        <is>
          <t>SCA</t>
        </is>
      </c>
      <c r="I420" t="n">
        <v>4.4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64415-2023</t>
        </is>
      </c>
      <c r="B421" t="inlineStr">
        <is>
          <t>avverkningsanmälan</t>
        </is>
      </c>
      <c r="C421" t="inlineStr">
        <is>
          <t>Föryngringsavverkning</t>
        </is>
      </c>
      <c r="D421" s="1" t="n">
        <v>45280</v>
      </c>
      <c r="E421" s="1" t="n">
        <v>46319</v>
      </c>
      <c r="F421" t="inlineStr">
        <is>
          <t>JÄMTLANDS LÄN</t>
        </is>
      </c>
      <c r="G421" t="inlineStr">
        <is>
          <t>RAGUNDA</t>
        </is>
      </c>
      <c r="I421" t="n">
        <v>5.1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41140-2025</t>
        </is>
      </c>
      <c r="B422" t="inlineStr">
        <is>
          <t>avverkningsanmälan</t>
        </is>
      </c>
      <c r="C422" t="inlineStr">
        <is>
          <t>Föryngringsavverkning</t>
        </is>
      </c>
      <c r="D422" s="1" t="n">
        <v>45898</v>
      </c>
      <c r="E422" s="1" t="n">
        <v>46319</v>
      </c>
      <c r="F422" t="inlineStr">
        <is>
          <t>JÄMTLANDS LÄN</t>
        </is>
      </c>
      <c r="G422" t="inlineStr">
        <is>
          <t>RAGUNDA</t>
        </is>
      </c>
      <c r="H422" t="inlineStr">
        <is>
          <t>SCA</t>
        </is>
      </c>
      <c r="I422" t="n">
        <v>3.7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16250-2022</t>
        </is>
      </c>
      <c r="B423" t="inlineStr">
        <is>
          <t>avverkningsanmälan</t>
        </is>
      </c>
      <c r="C423" t="inlineStr">
        <is>
          <t>Föryngringsavverkning</t>
        </is>
      </c>
      <c r="D423" s="1" t="n">
        <v>44670</v>
      </c>
      <c r="E423" s="1" t="n">
        <v>46319</v>
      </c>
      <c r="F423" t="inlineStr">
        <is>
          <t>JÄMTLANDS LÄN</t>
        </is>
      </c>
      <c r="G423" t="inlineStr">
        <is>
          <t>RAGUNDA</t>
        </is>
      </c>
      <c r="I423" t="n">
        <v>1</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41262-2025</t>
        </is>
      </c>
      <c r="B424" t="inlineStr">
        <is>
          <t>avverkningsanmälan</t>
        </is>
      </c>
      <c r="C424" t="inlineStr">
        <is>
          <t>Föryngringsavverkning</t>
        </is>
      </c>
      <c r="D424" s="1" t="n">
        <v>45898</v>
      </c>
      <c r="E424" s="1" t="n">
        <v>46319</v>
      </c>
      <c r="F424" t="inlineStr">
        <is>
          <t>JÄMTLANDS LÄN</t>
        </is>
      </c>
      <c r="G424" t="inlineStr">
        <is>
          <t>RAGUNDA</t>
        </is>
      </c>
      <c r="H424" t="inlineStr">
        <is>
          <t>SCA</t>
        </is>
      </c>
      <c r="I424" t="n">
        <v>1.3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12585-2024</t>
        </is>
      </c>
      <c r="B425" t="inlineStr">
        <is>
          <t>avverkningsanmälan</t>
        </is>
      </c>
      <c r="C425" t="inlineStr">
        <is>
          <t>Föryngringsavverkning</t>
        </is>
      </c>
      <c r="D425" s="1" t="n">
        <v>45379</v>
      </c>
      <c r="E425" s="1" t="n">
        <v>46319</v>
      </c>
      <c r="F425" t="inlineStr">
        <is>
          <t>JÄMTLANDS LÄN</t>
        </is>
      </c>
      <c r="G425" t="inlineStr">
        <is>
          <t>RAGUNDA</t>
        </is>
      </c>
      <c r="H425" t="inlineStr">
        <is>
          <t>SCA</t>
        </is>
      </c>
      <c r="I425" t="n">
        <v>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15581-2024</t>
        </is>
      </c>
      <c r="B426" t="inlineStr">
        <is>
          <t>avverkningsanmälan</t>
        </is>
      </c>
      <c r="C426" t="inlineStr">
        <is>
          <t>Avverkning för annat ändamål</t>
        </is>
      </c>
      <c r="D426" s="1" t="n">
        <v>45401</v>
      </c>
      <c r="E426" s="1" t="n">
        <v>46319</v>
      </c>
      <c r="F426" t="inlineStr">
        <is>
          <t>JÄMTLANDS LÄN</t>
        </is>
      </c>
      <c r="G426" t="inlineStr">
        <is>
          <t>RAGUNDA</t>
        </is>
      </c>
      <c r="H426" t="inlineStr">
        <is>
          <t>Kommuner</t>
        </is>
      </c>
      <c r="I426" t="n">
        <v>2.2</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41423-2025</t>
        </is>
      </c>
      <c r="B427" t="inlineStr">
        <is>
          <t>avverkningsanmälan</t>
        </is>
      </c>
      <c r="C427" t="inlineStr">
        <is>
          <t>Föryngringsavverkning</t>
        </is>
      </c>
      <c r="D427" s="1" t="n">
        <v>45901</v>
      </c>
      <c r="E427" s="1" t="n">
        <v>46319</v>
      </c>
      <c r="F427" t="inlineStr">
        <is>
          <t>JÄMTLANDS LÄN</t>
        </is>
      </c>
      <c r="G427" t="inlineStr">
        <is>
          <t>RAGUNDA</t>
        </is>
      </c>
      <c r="I427" t="n">
        <v>0.7</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13334-2024</t>
        </is>
      </c>
      <c r="B428" t="inlineStr">
        <is>
          <t>avverkningsanmälan</t>
        </is>
      </c>
      <c r="C428" t="inlineStr">
        <is>
          <t>Föryngringsavverkning</t>
        </is>
      </c>
      <c r="D428" s="1" t="n">
        <v>45386</v>
      </c>
      <c r="E428" s="1" t="n">
        <v>46319</v>
      </c>
      <c r="F428" t="inlineStr">
        <is>
          <t>JÄMTLANDS LÄN</t>
        </is>
      </c>
      <c r="G428" t="inlineStr">
        <is>
          <t>RAGUNDA</t>
        </is>
      </c>
      <c r="I428" t="n">
        <v>8.6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11780-2024</t>
        </is>
      </c>
      <c r="B429" t="inlineStr">
        <is>
          <t>avverkningsanmälan</t>
        </is>
      </c>
      <c r="C429" t="inlineStr">
        <is>
          <t>Föryngringsavverkning</t>
        </is>
      </c>
      <c r="D429" s="1" t="n">
        <v>45374</v>
      </c>
      <c r="E429" s="1" t="n">
        <v>46319</v>
      </c>
      <c r="F429" t="inlineStr">
        <is>
          <t>JÄMTLANDS LÄN</t>
        </is>
      </c>
      <c r="G429" t="inlineStr">
        <is>
          <t>RAGUNDA</t>
        </is>
      </c>
      <c r="I429" t="n">
        <v>14.6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59557-2023</t>
        </is>
      </c>
      <c r="B430" t="inlineStr">
        <is>
          <t>avverkningsanmälan</t>
        </is>
      </c>
      <c r="C430" t="inlineStr">
        <is>
          <t>Föryngringsavverkning</t>
        </is>
      </c>
      <c r="D430" s="1" t="n">
        <v>45253</v>
      </c>
      <c r="E430" s="1" t="n">
        <v>46319</v>
      </c>
      <c r="F430" t="inlineStr">
        <is>
          <t>JÄMTLANDS LÄN</t>
        </is>
      </c>
      <c r="G430" t="inlineStr">
        <is>
          <t>RAGUNDA</t>
        </is>
      </c>
      <c r="I430" t="n">
        <v>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51389-2024</t>
        </is>
      </c>
      <c r="B431" t="inlineStr">
        <is>
          <t>avverkningsanmälan</t>
        </is>
      </c>
      <c r="C431" t="inlineStr">
        <is>
          <t>Föryngringsavverkning</t>
        </is>
      </c>
      <c r="D431" s="1" t="n">
        <v>45604</v>
      </c>
      <c r="E431" s="1" t="n">
        <v>46319</v>
      </c>
      <c r="F431" t="inlineStr">
        <is>
          <t>JÄMTLANDS LÄN</t>
        </is>
      </c>
      <c r="G431" t="inlineStr">
        <is>
          <t>RAGUNDA</t>
        </is>
      </c>
      <c r="I431" t="n">
        <v>1.7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51393-2024</t>
        </is>
      </c>
      <c r="B432" t="inlineStr">
        <is>
          <t>avverkningsanmälan</t>
        </is>
      </c>
      <c r="C432" t="inlineStr">
        <is>
          <t>Föryngringsavverkning</t>
        </is>
      </c>
      <c r="D432" s="1" t="n">
        <v>45604</v>
      </c>
      <c r="E432" s="1" t="n">
        <v>46319</v>
      </c>
      <c r="F432" t="inlineStr">
        <is>
          <t>JÄMTLANDS LÄN</t>
        </is>
      </c>
      <c r="G432" t="inlineStr">
        <is>
          <t>RAGUNDA</t>
        </is>
      </c>
      <c r="I432" t="n">
        <v>9.300000000000001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43339-2024</t>
        </is>
      </c>
      <c r="B433" t="inlineStr">
        <is>
          <t>avverkningsanmälan</t>
        </is>
      </c>
      <c r="C433" t="inlineStr">
        <is>
          <t>Föryngringsavverkning</t>
        </is>
      </c>
      <c r="D433" s="1" t="n">
        <v>45568</v>
      </c>
      <c r="E433" s="1" t="n">
        <v>46319</v>
      </c>
      <c r="F433" t="inlineStr">
        <is>
          <t>JÄMTLANDS LÄN</t>
        </is>
      </c>
      <c r="G433" t="inlineStr">
        <is>
          <t>RAGUNDA</t>
        </is>
      </c>
      <c r="H433" t="inlineStr">
        <is>
          <t>SCA</t>
        </is>
      </c>
      <c r="I433" t="n">
        <v>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38548-2024</t>
        </is>
      </c>
      <c r="B434" t="inlineStr">
        <is>
          <t>avverkningsanmälan</t>
        </is>
      </c>
      <c r="C434" t="inlineStr">
        <is>
          <t>Föryngringsavverkning</t>
        </is>
      </c>
      <c r="D434" s="1" t="n">
        <v>45546</v>
      </c>
      <c r="E434" s="1" t="n">
        <v>46319</v>
      </c>
      <c r="F434" t="inlineStr">
        <is>
          <t>JÄMTLANDS LÄN</t>
        </is>
      </c>
      <c r="G434" t="inlineStr">
        <is>
          <t>RAGUNDA</t>
        </is>
      </c>
      <c r="I434" t="n">
        <v>1.4</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26026-2024</t>
        </is>
      </c>
      <c r="B435" t="inlineStr">
        <is>
          <t>avverkningsanmälan</t>
        </is>
      </c>
      <c r="C435" t="inlineStr">
        <is>
          <t>Föryngringsavverkning</t>
        </is>
      </c>
      <c r="D435" s="1" t="n">
        <v>45467</v>
      </c>
      <c r="E435" s="1" t="n">
        <v>46319</v>
      </c>
      <c r="F435" t="inlineStr">
        <is>
          <t>JÄMTLANDS LÄN</t>
        </is>
      </c>
      <c r="G435" t="inlineStr">
        <is>
          <t>RAGUNDA</t>
        </is>
      </c>
      <c r="H435" t="inlineStr">
        <is>
          <t>SCA</t>
        </is>
      </c>
      <c r="I435" t="n">
        <v>0.5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43330-2025</t>
        </is>
      </c>
      <c r="B436" t="inlineStr">
        <is>
          <t>avverkningsanmälan</t>
        </is>
      </c>
      <c r="C436" t="inlineStr">
        <is>
          <t>Föryngringsavverkning</t>
        </is>
      </c>
      <c r="D436" s="1" t="n">
        <v>45910</v>
      </c>
      <c r="E436" s="1" t="n">
        <v>46319</v>
      </c>
      <c r="F436" t="inlineStr">
        <is>
          <t>JÄMTLANDS LÄN</t>
        </is>
      </c>
      <c r="G436" t="inlineStr">
        <is>
          <t>RAGUNDA</t>
        </is>
      </c>
      <c r="H436" t="inlineStr">
        <is>
          <t>SCA</t>
        </is>
      </c>
      <c r="I436" t="n">
        <v>3.1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43181-2025</t>
        </is>
      </c>
      <c r="B437" t="inlineStr">
        <is>
          <t>avverkningsanmälan</t>
        </is>
      </c>
      <c r="C437" t="inlineStr">
        <is>
          <t>Föryngringsavverkning</t>
        </is>
      </c>
      <c r="D437" s="1" t="n">
        <v>45910</v>
      </c>
      <c r="E437" s="1" t="n">
        <v>46319</v>
      </c>
      <c r="F437" t="inlineStr">
        <is>
          <t>JÄMTLANDS LÄN</t>
        </is>
      </c>
      <c r="G437" t="inlineStr">
        <is>
          <t>RAGUNDA</t>
        </is>
      </c>
      <c r="H437" t="inlineStr">
        <is>
          <t>SCA</t>
        </is>
      </c>
      <c r="I437" t="n">
        <v>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43177-2025</t>
        </is>
      </c>
      <c r="B438" t="inlineStr">
        <is>
          <t>avverkningsanmälan</t>
        </is>
      </c>
      <c r="C438" t="inlineStr">
        <is>
          <t>Föryngringsavverkning</t>
        </is>
      </c>
      <c r="D438" s="1" t="n">
        <v>45910</v>
      </c>
      <c r="E438" s="1" t="n">
        <v>46319</v>
      </c>
      <c r="F438" t="inlineStr">
        <is>
          <t>JÄMTLANDS LÄN</t>
        </is>
      </c>
      <c r="G438" t="inlineStr">
        <is>
          <t>RAGUNDA</t>
        </is>
      </c>
      <c r="H438" t="inlineStr">
        <is>
          <t>SCA</t>
        </is>
      </c>
      <c r="I438" t="n">
        <v>4.9</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23107-2026</t>
        </is>
      </c>
      <c r="B439" t="inlineStr">
        <is>
          <t>avverkningsanmälan</t>
        </is>
      </c>
      <c r="C439" t="inlineStr">
        <is>
          <t>Föryngringsavverkning</t>
        </is>
      </c>
      <c r="D439" s="1" t="n">
        <v>46161</v>
      </c>
      <c r="E439" s="1" t="n">
        <v>46319</v>
      </c>
      <c r="F439" t="inlineStr">
        <is>
          <t>JÄMTLANDS LÄN</t>
        </is>
      </c>
      <c r="G439" t="inlineStr">
        <is>
          <t>RAGUNDA</t>
        </is>
      </c>
      <c r="H439" t="inlineStr">
        <is>
          <t>SCA</t>
        </is>
      </c>
      <c r="I439" t="n">
        <v>1.3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51537-2022</t>
        </is>
      </c>
      <c r="B440" t="inlineStr">
        <is>
          <t>avverkningsanmälan</t>
        </is>
      </c>
      <c r="C440" t="inlineStr">
        <is>
          <t>Föryngringsavverkning</t>
        </is>
      </c>
      <c r="D440" s="1" t="n">
        <v>44869</v>
      </c>
      <c r="E440" s="1" t="n">
        <v>46319</v>
      </c>
      <c r="F440" t="inlineStr">
        <is>
          <t>JÄMTLANDS LÄN</t>
        </is>
      </c>
      <c r="G440" t="inlineStr">
        <is>
          <t>RAGUNDA</t>
        </is>
      </c>
      <c r="I440" t="n">
        <v>1.8</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43776-2025</t>
        </is>
      </c>
      <c r="B441" t="inlineStr">
        <is>
          <t>avverkningsanmälan</t>
        </is>
      </c>
      <c r="C441" t="inlineStr">
        <is>
          <t>Föryngringsavverkning</t>
        </is>
      </c>
      <c r="D441" s="1" t="n">
        <v>45912</v>
      </c>
      <c r="E441" s="1" t="n">
        <v>46319</v>
      </c>
      <c r="F441" t="inlineStr">
        <is>
          <t>JÄMTLANDS LÄN</t>
        </is>
      </c>
      <c r="G441" t="inlineStr">
        <is>
          <t>RAGUNDA</t>
        </is>
      </c>
      <c r="H441" t="inlineStr">
        <is>
          <t>SCA</t>
        </is>
      </c>
      <c r="I441" t="n">
        <v>25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43804-2025</t>
        </is>
      </c>
      <c r="B442" t="inlineStr">
        <is>
          <t>avverkningsanmälan</t>
        </is>
      </c>
      <c r="C442" t="inlineStr">
        <is>
          <t>Föryngringsavverkning</t>
        </is>
      </c>
      <c r="D442" s="1" t="n">
        <v>45912</v>
      </c>
      <c r="E442" s="1" t="n">
        <v>46319</v>
      </c>
      <c r="F442" t="inlineStr">
        <is>
          <t>JÄMTLANDS LÄN</t>
        </is>
      </c>
      <c r="G442" t="inlineStr">
        <is>
          <t>RAGUNDA</t>
        </is>
      </c>
      <c r="H442" t="inlineStr">
        <is>
          <t>SCA</t>
        </is>
      </c>
      <c r="I442" t="n">
        <v>1.8</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6693-2026</t>
        </is>
      </c>
      <c r="B443" t="inlineStr">
        <is>
          <t>avverkningsanmälan</t>
        </is>
      </c>
      <c r="C443" t="inlineStr">
        <is>
          <t>Föryngringsavverkning</t>
        </is>
      </c>
      <c r="D443" s="1" t="n">
        <v>46056</v>
      </c>
      <c r="E443" s="1" t="n">
        <v>46319</v>
      </c>
      <c r="F443" t="inlineStr">
        <is>
          <t>JÄMTLANDS LÄN</t>
        </is>
      </c>
      <c r="G443" t="inlineStr">
        <is>
          <t>RAGUNDA</t>
        </is>
      </c>
      <c r="I443" t="n">
        <v>4.3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42893-2022</t>
        </is>
      </c>
      <c r="B444" t="inlineStr">
        <is>
          <t>avverkningsanmälan</t>
        </is>
      </c>
      <c r="C444" t="inlineStr">
        <is>
          <t>Föryngringsavverkning</t>
        </is>
      </c>
      <c r="D444" s="1" t="n">
        <v>44832</v>
      </c>
      <c r="E444" s="1" t="n">
        <v>46319</v>
      </c>
      <c r="F444" t="inlineStr">
        <is>
          <t>JÄMTLANDS LÄN</t>
        </is>
      </c>
      <c r="G444" t="inlineStr">
        <is>
          <t>RAGUNDA</t>
        </is>
      </c>
      <c r="H444" t="inlineStr">
        <is>
          <t>SCA</t>
        </is>
      </c>
      <c r="I444" t="n">
        <v>28.4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43971-2025</t>
        </is>
      </c>
      <c r="B445" t="inlineStr">
        <is>
          <t>avverkningsanmälan</t>
        </is>
      </c>
      <c r="C445" t="inlineStr">
        <is>
          <t>Föryngringsavverkning</t>
        </is>
      </c>
      <c r="D445" s="1" t="n">
        <v>45915</v>
      </c>
      <c r="E445" s="1" t="n">
        <v>46319</v>
      </c>
      <c r="F445" t="inlineStr">
        <is>
          <t>JÄMTLANDS LÄN</t>
        </is>
      </c>
      <c r="G445" t="inlineStr">
        <is>
          <t>RAGUNDA</t>
        </is>
      </c>
      <c r="H445" t="inlineStr">
        <is>
          <t>SCA</t>
        </is>
      </c>
      <c r="I445" t="n">
        <v>2</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12995-2023</t>
        </is>
      </c>
      <c r="B446" t="inlineStr">
        <is>
          <t>avverkningsanmälan</t>
        </is>
      </c>
      <c r="C446" t="inlineStr">
        <is>
          <t>Föryngringsavverkning</t>
        </is>
      </c>
      <c r="D446" s="1" t="n">
        <v>45002</v>
      </c>
      <c r="E446" s="1" t="n">
        <v>46319</v>
      </c>
      <c r="F446" t="inlineStr">
        <is>
          <t>JÄMTLANDS LÄN</t>
        </is>
      </c>
      <c r="G446" t="inlineStr">
        <is>
          <t>RAGUNDA</t>
        </is>
      </c>
      <c r="H446" t="inlineStr">
        <is>
          <t>SCA</t>
        </is>
      </c>
      <c r="I446" t="n">
        <v>4.1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56284-2023</t>
        </is>
      </c>
      <c r="B447" t="inlineStr">
        <is>
          <t>avverkningsanmälan</t>
        </is>
      </c>
      <c r="C447" t="inlineStr">
        <is>
          <t>Föryngringsavverkning</t>
        </is>
      </c>
      <c r="D447" s="1" t="n">
        <v>45241</v>
      </c>
      <c r="E447" s="1" t="n">
        <v>46319</v>
      </c>
      <c r="F447" t="inlineStr">
        <is>
          <t>JÄMTLANDS LÄN</t>
        </is>
      </c>
      <c r="G447" t="inlineStr">
        <is>
          <t>RAGUNDA</t>
        </is>
      </c>
      <c r="H447" t="inlineStr">
        <is>
          <t>SCA</t>
        </is>
      </c>
      <c r="I447" t="n">
        <v>2.6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45894-2025</t>
        </is>
      </c>
      <c r="B448" t="inlineStr">
        <is>
          <t>avverkningsanmälan</t>
        </is>
      </c>
      <c r="C448" t="inlineStr">
        <is>
          <t>Föryngringsavverkning</t>
        </is>
      </c>
      <c r="D448" s="1" t="n">
        <v>45923</v>
      </c>
      <c r="E448" s="1" t="n">
        <v>46319</v>
      </c>
      <c r="F448" t="inlineStr">
        <is>
          <t>JÄMTLANDS LÄN</t>
        </is>
      </c>
      <c r="G448" t="inlineStr">
        <is>
          <t>RAGUNDA</t>
        </is>
      </c>
      <c r="H448" t="inlineStr">
        <is>
          <t>SCA</t>
        </is>
      </c>
      <c r="I448" t="n">
        <v>35</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30563-2023</t>
        </is>
      </c>
      <c r="B449" t="inlineStr">
        <is>
          <t>avverkningsanmälan</t>
        </is>
      </c>
      <c r="C449" t="inlineStr">
        <is>
          <t>Föryngringsavverkning</t>
        </is>
      </c>
      <c r="D449" s="1" t="n">
        <v>45111</v>
      </c>
      <c r="E449" s="1" t="n">
        <v>46319</v>
      </c>
      <c r="F449" t="inlineStr">
        <is>
          <t>JÄMTLANDS LÄN</t>
        </is>
      </c>
      <c r="G449" t="inlineStr">
        <is>
          <t>RAGUNDA</t>
        </is>
      </c>
      <c r="H449" t="inlineStr">
        <is>
          <t>Övriga Aktiebolag</t>
        </is>
      </c>
      <c r="I449" t="n">
        <v>2.3</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46192-2025</t>
        </is>
      </c>
      <c r="B450" t="inlineStr">
        <is>
          <t>avverkningsanmälan</t>
        </is>
      </c>
      <c r="C450" t="inlineStr">
        <is>
          <t>Föryngringsavverkning</t>
        </is>
      </c>
      <c r="D450" s="1" t="n">
        <v>45924</v>
      </c>
      <c r="E450" s="1" t="n">
        <v>46319</v>
      </c>
      <c r="F450" t="inlineStr">
        <is>
          <t>JÄMTLANDS LÄN</t>
        </is>
      </c>
      <c r="G450" t="inlineStr">
        <is>
          <t>RAGUNDA</t>
        </is>
      </c>
      <c r="H450" t="inlineStr">
        <is>
          <t>SCA</t>
        </is>
      </c>
      <c r="I450" t="n">
        <v>2.8</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38425-2022</t>
        </is>
      </c>
      <c r="B451" t="inlineStr">
        <is>
          <t>avverkningsanmälan</t>
        </is>
      </c>
      <c r="C451" t="inlineStr">
        <is>
          <t>Föryngringsavverkning</t>
        </is>
      </c>
      <c r="D451" s="1" t="n">
        <v>44812</v>
      </c>
      <c r="E451" s="1" t="n">
        <v>46319</v>
      </c>
      <c r="F451" t="inlineStr">
        <is>
          <t>JÄMTLANDS LÄN</t>
        </is>
      </c>
      <c r="G451" t="inlineStr">
        <is>
          <t>RAGUNDA</t>
        </is>
      </c>
      <c r="H451" t="inlineStr">
        <is>
          <t>SCA</t>
        </is>
      </c>
      <c r="I451" t="n">
        <v>6.1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23926-2026</t>
        </is>
      </c>
      <c r="B452" t="inlineStr">
        <is>
          <t>avverkningsanmälan</t>
        </is>
      </c>
      <c r="C452" t="inlineStr">
        <is>
          <t>Föryngringsavverkning</t>
        </is>
      </c>
      <c r="D452" s="1" t="n">
        <v>46167</v>
      </c>
      <c r="E452" s="1" t="n">
        <v>46319</v>
      </c>
      <c r="F452" t="inlineStr">
        <is>
          <t>JÄMTLANDS LÄN</t>
        </is>
      </c>
      <c r="G452" t="inlineStr">
        <is>
          <t>RAGUNDA</t>
        </is>
      </c>
      <c r="H452" t="inlineStr">
        <is>
          <t>SCA</t>
        </is>
      </c>
      <c r="I452" t="n">
        <v>1.4</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36922-2022</t>
        </is>
      </c>
      <c r="B453" t="inlineStr">
        <is>
          <t>avverkningsanmälan</t>
        </is>
      </c>
      <c r="C453" t="inlineStr">
        <is>
          <t>Avverkning för att bevara och utveckla /försöksver</t>
        </is>
      </c>
      <c r="D453" s="1" t="n">
        <v>44805</v>
      </c>
      <c r="E453" s="1" t="n">
        <v>46319</v>
      </c>
      <c r="F453" t="inlineStr">
        <is>
          <t>JÄMTLANDS LÄN</t>
        </is>
      </c>
      <c r="G453" t="inlineStr">
        <is>
          <t>RAGUNDA</t>
        </is>
      </c>
      <c r="H453" t="inlineStr">
        <is>
          <t>SCA</t>
        </is>
      </c>
      <c r="I453" t="n">
        <v>4</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46689-2025</t>
        </is>
      </c>
      <c r="B454" t="inlineStr">
        <is>
          <t>avverkningsanmälan</t>
        </is>
      </c>
      <c r="C454" t="inlineStr">
        <is>
          <t>Föryngringsavverkning</t>
        </is>
      </c>
      <c r="D454" s="1" t="n">
        <v>45926</v>
      </c>
      <c r="E454" s="1" t="n">
        <v>46319</v>
      </c>
      <c r="F454" t="inlineStr">
        <is>
          <t>JÄMTLANDS LÄN</t>
        </is>
      </c>
      <c r="G454" t="inlineStr">
        <is>
          <t>RAGUNDA</t>
        </is>
      </c>
      <c r="H454" t="inlineStr">
        <is>
          <t>SCA</t>
        </is>
      </c>
      <c r="I454" t="n">
        <v>8</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46751-2025</t>
        </is>
      </c>
      <c r="B455" t="inlineStr">
        <is>
          <t>avverkningsanmälan</t>
        </is>
      </c>
      <c r="C455" t="inlineStr">
        <is>
          <t>Föryngringsavverkning</t>
        </is>
      </c>
      <c r="D455" s="1" t="n">
        <v>45926</v>
      </c>
      <c r="E455" s="1" t="n">
        <v>46319</v>
      </c>
      <c r="F455" t="inlineStr">
        <is>
          <t>JÄMTLANDS LÄN</t>
        </is>
      </c>
      <c r="G455" t="inlineStr">
        <is>
          <t>RAGUNDA</t>
        </is>
      </c>
      <c r="H455" t="inlineStr">
        <is>
          <t>SCA</t>
        </is>
      </c>
      <c r="I455" t="n">
        <v>7.8</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8886-2024</t>
        </is>
      </c>
      <c r="B456" t="inlineStr">
        <is>
          <t>avverkningsanmälan</t>
        </is>
      </c>
      <c r="C456" t="inlineStr">
        <is>
          <t>Avverkning för att bevara och utveckla /försöksver</t>
        </is>
      </c>
      <c r="D456" s="1" t="n">
        <v>45357</v>
      </c>
      <c r="E456" s="1" t="n">
        <v>46319</v>
      </c>
      <c r="F456" t="inlineStr">
        <is>
          <t>JÄMTLANDS LÄN</t>
        </is>
      </c>
      <c r="G456" t="inlineStr">
        <is>
          <t>RAGUNDA</t>
        </is>
      </c>
      <c r="H456" t="inlineStr">
        <is>
          <t>SCA</t>
        </is>
      </c>
      <c r="I456" t="n">
        <v>3.7</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18615-2024</t>
        </is>
      </c>
      <c r="B457" t="inlineStr">
        <is>
          <t>avverkningsanmälan</t>
        </is>
      </c>
      <c r="C457" t="inlineStr">
        <is>
          <t>Avverkning för att bevara och utveckla /försöksver</t>
        </is>
      </c>
      <c r="D457" s="1" t="n">
        <v>45425</v>
      </c>
      <c r="E457" s="1" t="n">
        <v>46319</v>
      </c>
      <c r="F457" t="inlineStr">
        <is>
          <t>JÄMTLANDS LÄN</t>
        </is>
      </c>
      <c r="G457" t="inlineStr">
        <is>
          <t>RAGUNDA</t>
        </is>
      </c>
      <c r="H457" t="inlineStr">
        <is>
          <t>SCA</t>
        </is>
      </c>
      <c r="I457" t="n">
        <v>3.4</v>
      </c>
      <c r="J457" t="n">
        <v>0</v>
      </c>
      <c r="K457" t="n">
        <v>0</v>
      </c>
      <c r="L457" t="n">
        <v>0</v>
      </c>
      <c r="M457" t="n">
        <v>0</v>
      </c>
      <c r="N457" t="n">
        <v>0</v>
      </c>
      <c r="O457" t="n">
        <v>0</v>
      </c>
      <c r="P457" t="n">
        <v>0</v>
      </c>
      <c r="Q457" t="n">
        <v>0</v>
      </c>
      <c r="R457" t="n">
        <v>0</v>
      </c>
      <c r="S457" t="n">
        <v>0</v>
      </c>
      <c r="T457" t="n">
        <v>0</v>
      </c>
      <c r="U457" t="n">
        <v>0</v>
      </c>
      <c r="V457" s="2" t="inlineStr"/>
      <c r="Z457">
        <f>HYPERLINK("https://klasma.github.io/Logging_2303/knärot/A 18615-2024 karta knärot.png", "A 18615-2024")</f>
        <v/>
      </c>
      <c r="AA457">
        <f>HYPERLINK("https://klasma.github.io/Logging_2303/klagomål/A 18615-2024 FSC-klagomål.docx", "A 18615-2024")</f>
        <v/>
      </c>
      <c r="AB457">
        <f>HYPERLINK("https://klasma.github.io/Logging_2303/klagomålsmail/A 18615-2024 FSC-klagomål mail.docx", "A 18615-2024")</f>
        <v/>
      </c>
      <c r="AC457">
        <f>HYPERLINK("https://klasma.github.io/Logging_2303/tillsyn/A 18615-2024 tillsynsbegäran.docx", "A 18615-2024")</f>
        <v/>
      </c>
      <c r="AD457">
        <f>HYPERLINK("https://klasma.github.io/Logging_2303/tillsynsmail/A 18615-2024 tillsynsbegäran mail.docx", "A 18615-2024")</f>
        <v/>
      </c>
    </row>
    <row r="458" ht="15" customHeight="1">
      <c r="A458" t="inlineStr">
        <is>
          <t>A 47037-2025</t>
        </is>
      </c>
      <c r="B458" t="inlineStr">
        <is>
          <t>avverkningsanmälan</t>
        </is>
      </c>
      <c r="C458" t="inlineStr">
        <is>
          <t>Föryngringsavverkning</t>
        </is>
      </c>
      <c r="D458" s="1" t="n">
        <v>45929</v>
      </c>
      <c r="E458" s="1" t="n">
        <v>46319</v>
      </c>
      <c r="F458" t="inlineStr">
        <is>
          <t>JÄMTLANDS LÄN</t>
        </is>
      </c>
      <c r="G458" t="inlineStr">
        <is>
          <t>RAGUNDA</t>
        </is>
      </c>
      <c r="H458" t="inlineStr">
        <is>
          <t>SCA</t>
        </is>
      </c>
      <c r="I458" t="n">
        <v>2.1</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47229-2025</t>
        </is>
      </c>
      <c r="B459" t="inlineStr">
        <is>
          <t>avverkningsanmälan</t>
        </is>
      </c>
      <c r="C459" t="inlineStr">
        <is>
          <t>Föryngringsavverkning</t>
        </is>
      </c>
      <c r="D459" s="1" t="n">
        <v>45930</v>
      </c>
      <c r="E459" s="1" t="n">
        <v>46319</v>
      </c>
      <c r="F459" t="inlineStr">
        <is>
          <t>JÄMTLANDS LÄN</t>
        </is>
      </c>
      <c r="G459" t="inlineStr">
        <is>
          <t>RAGUNDA</t>
        </is>
      </c>
      <c r="I459" t="n">
        <v>1.8</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24710-2026</t>
        </is>
      </c>
      <c r="B460" t="inlineStr">
        <is>
          <t>avverkningsanmälan</t>
        </is>
      </c>
      <c r="C460" t="inlineStr">
        <is>
          <t>Föryngringsavverkning</t>
        </is>
      </c>
      <c r="D460" s="1" t="n">
        <v>46171</v>
      </c>
      <c r="E460" s="1" t="n">
        <v>46319</v>
      </c>
      <c r="F460" t="inlineStr">
        <is>
          <t>JÄMTLANDS LÄN</t>
        </is>
      </c>
      <c r="G460" t="inlineStr">
        <is>
          <t>RAGUNDA</t>
        </is>
      </c>
      <c r="I460" t="n">
        <v>0.8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19438-2023</t>
        </is>
      </c>
      <c r="B461" t="inlineStr">
        <is>
          <t>avverkningsanmälan</t>
        </is>
      </c>
      <c r="C461" t="inlineStr">
        <is>
          <t>Föryngringsavverkning</t>
        </is>
      </c>
      <c r="D461" s="1" t="n">
        <v>45049</v>
      </c>
      <c r="E461" s="1" t="n">
        <v>46319</v>
      </c>
      <c r="F461" t="inlineStr">
        <is>
          <t>JÄMTLANDS LÄN</t>
        </is>
      </c>
      <c r="G461" t="inlineStr">
        <is>
          <t>RAGUNDA</t>
        </is>
      </c>
      <c r="H461" t="inlineStr">
        <is>
          <t>SCA</t>
        </is>
      </c>
      <c r="I461" t="n">
        <v>0.6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23999-2026</t>
        </is>
      </c>
      <c r="B462" t="inlineStr">
        <is>
          <t>avverkningsanmälan</t>
        </is>
      </c>
      <c r="C462" t="inlineStr">
        <is>
          <t>Föryngringsavverkning</t>
        </is>
      </c>
      <c r="D462" s="1" t="n">
        <v>46167</v>
      </c>
      <c r="E462" s="1" t="n">
        <v>46319</v>
      </c>
      <c r="F462" t="inlineStr">
        <is>
          <t>JÄMTLANDS LÄN</t>
        </is>
      </c>
      <c r="G462" t="inlineStr">
        <is>
          <t>RAGUNDA</t>
        </is>
      </c>
      <c r="I462" t="n">
        <v>1.1</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40586-2025</t>
        </is>
      </c>
      <c r="B463" t="inlineStr">
        <is>
          <t>avverkningsanmälan</t>
        </is>
      </c>
      <c r="C463" t="inlineStr">
        <is>
          <t>Avverkning för att bevara och utveckla /försöksver</t>
        </is>
      </c>
      <c r="D463" s="1" t="n">
        <v>45896</v>
      </c>
      <c r="E463" s="1" t="n">
        <v>46319</v>
      </c>
      <c r="F463" t="inlineStr">
        <is>
          <t>JÄMTLANDS LÄN</t>
        </is>
      </c>
      <c r="G463" t="inlineStr">
        <is>
          <t>RAGUNDA</t>
        </is>
      </c>
      <c r="I463" t="n">
        <v>1.2</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465-2023</t>
        </is>
      </c>
      <c r="B464" t="inlineStr">
        <is>
          <t>avverkningsanmälan</t>
        </is>
      </c>
      <c r="C464" t="inlineStr">
        <is>
          <t>Föryngringsavverkning</t>
        </is>
      </c>
      <c r="D464" s="1" t="n">
        <v>44929</v>
      </c>
      <c r="E464" s="1" t="n">
        <v>46319</v>
      </c>
      <c r="F464" t="inlineStr">
        <is>
          <t>JÄMTLANDS LÄN</t>
        </is>
      </c>
      <c r="G464" t="inlineStr">
        <is>
          <t>RAGUNDA</t>
        </is>
      </c>
      <c r="I464" t="n">
        <v>0.8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48528-2025</t>
        </is>
      </c>
      <c r="B465" t="inlineStr">
        <is>
          <t>avverkningsanmälan</t>
        </is>
      </c>
      <c r="C465" t="inlineStr">
        <is>
          <t>Föryngringsavverkning</t>
        </is>
      </c>
      <c r="D465" s="1" t="n">
        <v>45936</v>
      </c>
      <c r="E465" s="1" t="n">
        <v>46319</v>
      </c>
      <c r="F465" t="inlineStr">
        <is>
          <t>JÄMTLANDS LÄN</t>
        </is>
      </c>
      <c r="G465" t="inlineStr">
        <is>
          <t>RAGUNDA</t>
        </is>
      </c>
      <c r="H465" t="inlineStr">
        <is>
          <t>SCA</t>
        </is>
      </c>
      <c r="I465" t="n">
        <v>6.8</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29723-2025</t>
        </is>
      </c>
      <c r="B466" t="inlineStr">
        <is>
          <t>avverkningsanmälan</t>
        </is>
      </c>
      <c r="C466" t="inlineStr">
        <is>
          <t>Föryngringsavverkning</t>
        </is>
      </c>
      <c r="D466" s="1" t="n">
        <v>45825</v>
      </c>
      <c r="E466" s="1" t="n">
        <v>46319</v>
      </c>
      <c r="F466" t="inlineStr">
        <is>
          <t>JÄMTLANDS LÄN</t>
        </is>
      </c>
      <c r="G466" t="inlineStr">
        <is>
          <t>RAGUNDA</t>
        </is>
      </c>
      <c r="I466" t="n">
        <v>3.1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3938-2024</t>
        </is>
      </c>
      <c r="B467" t="inlineStr">
        <is>
          <t>avverkningsanmälan</t>
        </is>
      </c>
      <c r="C467" t="inlineStr">
        <is>
          <t>Föryngringsavverkning</t>
        </is>
      </c>
      <c r="D467" s="1" t="n">
        <v>45322</v>
      </c>
      <c r="E467" s="1" t="n">
        <v>46319</v>
      </c>
      <c r="F467" t="inlineStr">
        <is>
          <t>JÄMTLANDS LÄN</t>
        </is>
      </c>
      <c r="G467" t="inlineStr">
        <is>
          <t>RAGUNDA</t>
        </is>
      </c>
      <c r="I467" t="n">
        <v>3.2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48742-2025</t>
        </is>
      </c>
      <c r="B468" t="inlineStr">
        <is>
          <t>avverkningsanmälan</t>
        </is>
      </c>
      <c r="C468" t="inlineStr">
        <is>
          <t>Föryngringsavverkning</t>
        </is>
      </c>
      <c r="D468" s="1" t="n">
        <v>45936</v>
      </c>
      <c r="E468" s="1" t="n">
        <v>46319</v>
      </c>
      <c r="F468" t="inlineStr">
        <is>
          <t>JÄMTLANDS LÄN</t>
        </is>
      </c>
      <c r="G468" t="inlineStr">
        <is>
          <t>RAGUNDA</t>
        </is>
      </c>
      <c r="H468" t="inlineStr">
        <is>
          <t>SCA</t>
        </is>
      </c>
      <c r="I468" t="n">
        <v>8.9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24869-2026</t>
        </is>
      </c>
      <c r="B469" t="inlineStr">
        <is>
          <t>avverkningsanmälan</t>
        </is>
      </c>
      <c r="C469" t="inlineStr">
        <is>
          <t>Föryngringsavverkning</t>
        </is>
      </c>
      <c r="D469" s="1" t="n">
        <v>46174</v>
      </c>
      <c r="E469" s="1" t="n">
        <v>46319</v>
      </c>
      <c r="F469" t="inlineStr">
        <is>
          <t>JÄMTLANDS LÄN</t>
        </is>
      </c>
      <c r="G469" t="inlineStr">
        <is>
          <t>RAGUNDA</t>
        </is>
      </c>
      <c r="I469" t="n">
        <v>2.2</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12985-2026</t>
        </is>
      </c>
      <c r="B470" t="inlineStr">
        <is>
          <t>avverkningsanmälan</t>
        </is>
      </c>
      <c r="C470" t="inlineStr">
        <is>
          <t>Föryngringsavverkning</t>
        </is>
      </c>
      <c r="D470" s="1" t="n">
        <v>46092</v>
      </c>
      <c r="E470" s="1" t="n">
        <v>46319</v>
      </c>
      <c r="F470" t="inlineStr">
        <is>
          <t>JÄMTLANDS LÄN</t>
        </is>
      </c>
      <c r="G470" t="inlineStr">
        <is>
          <t>RAGUNDA</t>
        </is>
      </c>
      <c r="I470" t="n">
        <v>5.9</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48748-2025</t>
        </is>
      </c>
      <c r="B471" t="inlineStr">
        <is>
          <t>avverkningsanmälan</t>
        </is>
      </c>
      <c r="C471" t="inlineStr">
        <is>
          <t>Föryngringsavverkning</t>
        </is>
      </c>
      <c r="D471" s="1" t="n">
        <v>45936</v>
      </c>
      <c r="E471" s="1" t="n">
        <v>46319</v>
      </c>
      <c r="F471" t="inlineStr">
        <is>
          <t>JÄMTLANDS LÄN</t>
        </is>
      </c>
      <c r="G471" t="inlineStr">
        <is>
          <t>RAGUNDA</t>
        </is>
      </c>
      <c r="H471" t="inlineStr">
        <is>
          <t>SCA</t>
        </is>
      </c>
      <c r="I471" t="n">
        <v>11.1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9326-2024</t>
        </is>
      </c>
      <c r="B472" t="inlineStr">
        <is>
          <t>avverkningsanmälan</t>
        </is>
      </c>
      <c r="C472" t="inlineStr">
        <is>
          <t>Föryngringsavverkning</t>
        </is>
      </c>
      <c r="D472" s="1" t="n">
        <v>45358</v>
      </c>
      <c r="E472" s="1" t="n">
        <v>46319</v>
      </c>
      <c r="F472" t="inlineStr">
        <is>
          <t>JÄMTLANDS LÄN</t>
        </is>
      </c>
      <c r="G472" t="inlineStr">
        <is>
          <t>RAGUNDA</t>
        </is>
      </c>
      <c r="I472" t="n">
        <v>0.7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48746-2025</t>
        </is>
      </c>
      <c r="B473" t="inlineStr">
        <is>
          <t>avverkningsanmälan</t>
        </is>
      </c>
      <c r="C473" t="inlineStr">
        <is>
          <t>Föryngringsavverkning</t>
        </is>
      </c>
      <c r="D473" s="1" t="n">
        <v>45936</v>
      </c>
      <c r="E473" s="1" t="n">
        <v>46319</v>
      </c>
      <c r="F473" t="inlineStr">
        <is>
          <t>JÄMTLANDS LÄN</t>
        </is>
      </c>
      <c r="G473" t="inlineStr">
        <is>
          <t>RAGUNDA</t>
        </is>
      </c>
      <c r="H473" t="inlineStr">
        <is>
          <t>SCA</t>
        </is>
      </c>
      <c r="I473" t="n">
        <v>6.5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55508-2024</t>
        </is>
      </c>
      <c r="B474" t="inlineStr">
        <is>
          <t>avverkningsanmälan</t>
        </is>
      </c>
      <c r="C474" t="inlineStr">
        <is>
          <t>Föryngringsavverkning</t>
        </is>
      </c>
      <c r="D474" s="1" t="n">
        <v>45622</v>
      </c>
      <c r="E474" s="1" t="n">
        <v>46319</v>
      </c>
      <c r="F474" t="inlineStr">
        <is>
          <t>JÄMTLANDS LÄN</t>
        </is>
      </c>
      <c r="G474" t="inlineStr">
        <is>
          <t>RAGUNDA</t>
        </is>
      </c>
      <c r="I474" t="n">
        <v>1.8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49059-2025</t>
        </is>
      </c>
      <c r="B475" t="inlineStr">
        <is>
          <t>avverkningsanmälan</t>
        </is>
      </c>
      <c r="C475" t="inlineStr">
        <is>
          <t>Föryngringsavverkning</t>
        </is>
      </c>
      <c r="D475" s="1" t="n">
        <v>45937</v>
      </c>
      <c r="E475" s="1" t="n">
        <v>46319</v>
      </c>
      <c r="F475" t="inlineStr">
        <is>
          <t>JÄMTLANDS LÄN</t>
        </is>
      </c>
      <c r="G475" t="inlineStr">
        <is>
          <t>RAGUNDA</t>
        </is>
      </c>
      <c r="I475" t="n">
        <v>2.1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25058-2026</t>
        </is>
      </c>
      <c r="B476" t="inlineStr">
        <is>
          <t>avverkningsanmälan</t>
        </is>
      </c>
      <c r="C476" t="inlineStr">
        <is>
          <t>Föryngringsavverkning</t>
        </is>
      </c>
      <c r="D476" s="1" t="n">
        <v>46174</v>
      </c>
      <c r="E476" s="1" t="n">
        <v>46319</v>
      </c>
      <c r="F476" t="inlineStr">
        <is>
          <t>JÄMTLANDS LÄN</t>
        </is>
      </c>
      <c r="G476" t="inlineStr">
        <is>
          <t>RAGUNDA</t>
        </is>
      </c>
      <c r="H476" t="inlineStr">
        <is>
          <t>SCA</t>
        </is>
      </c>
      <c r="I476" t="n">
        <v>0.5</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3720-2025</t>
        </is>
      </c>
      <c r="B477" t="inlineStr">
        <is>
          <t>avverkningsanmälan</t>
        </is>
      </c>
      <c r="C477" t="inlineStr">
        <is>
          <t>Föryngringsavverkning</t>
        </is>
      </c>
      <c r="D477" s="1" t="n">
        <v>45681</v>
      </c>
      <c r="E477" s="1" t="n">
        <v>46319</v>
      </c>
      <c r="F477" t="inlineStr">
        <is>
          <t>JÄMTLANDS LÄN</t>
        </is>
      </c>
      <c r="G477" t="inlineStr">
        <is>
          <t>RAGUNDA</t>
        </is>
      </c>
      <c r="H477" t="inlineStr">
        <is>
          <t>SCA</t>
        </is>
      </c>
      <c r="I477" t="n">
        <v>2.8</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50098-2025</t>
        </is>
      </c>
      <c r="B478" t="inlineStr">
        <is>
          <t>avverkningsanmälan</t>
        </is>
      </c>
      <c r="C478" t="inlineStr">
        <is>
          <t>Föryngringsavverkning</t>
        </is>
      </c>
      <c r="D478" s="1" t="n">
        <v>45943</v>
      </c>
      <c r="E478" s="1" t="n">
        <v>46319</v>
      </c>
      <c r="F478" t="inlineStr">
        <is>
          <t>JÄMTLANDS LÄN</t>
        </is>
      </c>
      <c r="G478" t="inlineStr">
        <is>
          <t>RAGUNDA</t>
        </is>
      </c>
      <c r="H478" t="inlineStr">
        <is>
          <t>SCA</t>
        </is>
      </c>
      <c r="I478" t="n">
        <v>2.7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13935-2024</t>
        </is>
      </c>
      <c r="B479" t="inlineStr">
        <is>
          <t>avverkningsanmälan</t>
        </is>
      </c>
      <c r="C479" t="inlineStr">
        <is>
          <t>Avverkning för att bevara och utveckla /försöksver</t>
        </is>
      </c>
      <c r="D479" s="1" t="n">
        <v>45391</v>
      </c>
      <c r="E479" s="1" t="n">
        <v>46319</v>
      </c>
      <c r="F479" t="inlineStr">
        <is>
          <t>JÄMTLANDS LÄN</t>
        </is>
      </c>
      <c r="G479" t="inlineStr">
        <is>
          <t>RAGUNDA</t>
        </is>
      </c>
      <c r="H479" t="inlineStr">
        <is>
          <t>SCA</t>
        </is>
      </c>
      <c r="I479" t="n">
        <v>2.5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50260-2025</t>
        </is>
      </c>
      <c r="B480" t="inlineStr">
        <is>
          <t>avverkningsanmälan</t>
        </is>
      </c>
      <c r="C480" t="inlineStr">
        <is>
          <t>Föryngringsavverkning</t>
        </is>
      </c>
      <c r="D480" s="1" t="n">
        <v>45944</v>
      </c>
      <c r="E480" s="1" t="n">
        <v>46319</v>
      </c>
      <c r="F480" t="inlineStr">
        <is>
          <t>JÄMTLANDS LÄN</t>
        </is>
      </c>
      <c r="G480" t="inlineStr">
        <is>
          <t>RAGUNDA</t>
        </is>
      </c>
      <c r="H480" t="inlineStr">
        <is>
          <t>SCA</t>
        </is>
      </c>
      <c r="I480" t="n">
        <v>7.9</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50215-2025</t>
        </is>
      </c>
      <c r="B481" t="inlineStr">
        <is>
          <t>avverkningsanmälan</t>
        </is>
      </c>
      <c r="C481" t="inlineStr">
        <is>
          <t>Föryngringsavverkning</t>
        </is>
      </c>
      <c r="D481" s="1" t="n">
        <v>45943</v>
      </c>
      <c r="E481" s="1" t="n">
        <v>46319</v>
      </c>
      <c r="F481" t="inlineStr">
        <is>
          <t>JÄMTLANDS LÄN</t>
        </is>
      </c>
      <c r="G481" t="inlineStr">
        <is>
          <t>RAGUNDA</t>
        </is>
      </c>
      <c r="H481" t="inlineStr">
        <is>
          <t>SCA</t>
        </is>
      </c>
      <c r="I481" t="n">
        <v>1.8</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17742-2022</t>
        </is>
      </c>
      <c r="B482" t="inlineStr">
        <is>
          <t>avverkningsanmälan</t>
        </is>
      </c>
      <c r="C482" t="inlineStr">
        <is>
          <t>Föryngringsavverkning</t>
        </is>
      </c>
      <c r="D482" s="1" t="n">
        <v>44680</v>
      </c>
      <c r="E482" s="1" t="n">
        <v>46319</v>
      </c>
      <c r="F482" t="inlineStr">
        <is>
          <t>JÄMTLANDS LÄN</t>
        </is>
      </c>
      <c r="G482" t="inlineStr">
        <is>
          <t>RAGUNDA</t>
        </is>
      </c>
      <c r="H482" t="inlineStr">
        <is>
          <t>SCA</t>
        </is>
      </c>
      <c r="I482" t="n">
        <v>7.2</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18777-2024</t>
        </is>
      </c>
      <c r="B483" t="inlineStr">
        <is>
          <t>avverkningsanmälan</t>
        </is>
      </c>
      <c r="C483" t="inlineStr">
        <is>
          <t>Föryngringsavverkning</t>
        </is>
      </c>
      <c r="D483" s="1" t="n">
        <v>45426</v>
      </c>
      <c r="E483" s="1" t="n">
        <v>46319</v>
      </c>
      <c r="F483" t="inlineStr">
        <is>
          <t>JÄMTLANDS LÄN</t>
        </is>
      </c>
      <c r="G483" t="inlineStr">
        <is>
          <t>RAGUNDA</t>
        </is>
      </c>
      <c r="I483" t="n">
        <v>1.9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22711-2026</t>
        </is>
      </c>
      <c r="B484" t="inlineStr">
        <is>
          <t>avverkningsanmälan</t>
        </is>
      </c>
      <c r="C484" t="inlineStr">
        <is>
          <t>Föryngringsavverkning</t>
        </is>
      </c>
      <c r="D484" s="1" t="n">
        <v>46156</v>
      </c>
      <c r="E484" s="1" t="n">
        <v>46319</v>
      </c>
      <c r="F484" t="inlineStr">
        <is>
          <t>JÄMTLANDS LÄN</t>
        </is>
      </c>
      <c r="G484" t="inlineStr">
        <is>
          <t>RAGUNDA</t>
        </is>
      </c>
      <c r="I484" t="n">
        <v>0.8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22713-2026</t>
        </is>
      </c>
      <c r="B485" t="inlineStr">
        <is>
          <t>avverkningsanmälan</t>
        </is>
      </c>
      <c r="C485" t="inlineStr">
        <is>
          <t>Föryngringsavverkning</t>
        </is>
      </c>
      <c r="D485" s="1" t="n">
        <v>46156</v>
      </c>
      <c r="E485" s="1" t="n">
        <v>46319</v>
      </c>
      <c r="F485" t="inlineStr">
        <is>
          <t>JÄMTLANDS LÄN</t>
        </is>
      </c>
      <c r="G485" t="inlineStr">
        <is>
          <t>RAGUNDA</t>
        </is>
      </c>
      <c r="I485" t="n">
        <v>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50555-2024</t>
        </is>
      </c>
      <c r="B486" t="inlineStr">
        <is>
          <t>avverkningsanmälan</t>
        </is>
      </c>
      <c r="C486" t="inlineStr">
        <is>
          <t>Föryngringsavverkning</t>
        </is>
      </c>
      <c r="D486" s="1" t="n">
        <v>45601</v>
      </c>
      <c r="E486" s="1" t="n">
        <v>46319</v>
      </c>
      <c r="F486" t="inlineStr">
        <is>
          <t>JÄMTLANDS LÄN</t>
        </is>
      </c>
      <c r="G486" t="inlineStr">
        <is>
          <t>RAGUNDA</t>
        </is>
      </c>
      <c r="H486" t="inlineStr">
        <is>
          <t>SCA</t>
        </is>
      </c>
      <c r="I486" t="n">
        <v>0.8</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18194-2025</t>
        </is>
      </c>
      <c r="B487" t="inlineStr">
        <is>
          <t>avverkningsanmälan</t>
        </is>
      </c>
      <c r="C487" t="inlineStr">
        <is>
          <t>Föryngringsavverkning</t>
        </is>
      </c>
      <c r="D487" s="1" t="n">
        <v>45761</v>
      </c>
      <c r="E487" s="1" t="n">
        <v>46319</v>
      </c>
      <c r="F487" t="inlineStr">
        <is>
          <t>JÄMTLANDS LÄN</t>
        </is>
      </c>
      <c r="G487" t="inlineStr">
        <is>
          <t>RAGUNDA</t>
        </is>
      </c>
      <c r="H487" t="inlineStr">
        <is>
          <t>SCA</t>
        </is>
      </c>
      <c r="I487" t="n">
        <v>4.2</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26991-2023</t>
        </is>
      </c>
      <c r="B488" t="inlineStr">
        <is>
          <t>avverkningsanmälan</t>
        </is>
      </c>
      <c r="C488" t="inlineStr">
        <is>
          <t>Föryngringsavverkning</t>
        </is>
      </c>
      <c r="D488" s="1" t="n">
        <v>45093</v>
      </c>
      <c r="E488" s="1" t="n">
        <v>46319</v>
      </c>
      <c r="F488" t="inlineStr">
        <is>
          <t>JÄMTLANDS LÄN</t>
        </is>
      </c>
      <c r="G488" t="inlineStr">
        <is>
          <t>RAGUNDA</t>
        </is>
      </c>
      <c r="I488" t="n">
        <v>1.4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53676-2022</t>
        </is>
      </c>
      <c r="B489" t="inlineStr">
        <is>
          <t>avverkningsanmälan</t>
        </is>
      </c>
      <c r="C489" t="inlineStr">
        <is>
          <t>Föryngringsavverkning</t>
        </is>
      </c>
      <c r="D489" s="1" t="n">
        <v>44879</v>
      </c>
      <c r="E489" s="1" t="n">
        <v>46319</v>
      </c>
      <c r="F489" t="inlineStr">
        <is>
          <t>JÄMTLANDS LÄN</t>
        </is>
      </c>
      <c r="G489" t="inlineStr">
        <is>
          <t>RAGUNDA</t>
        </is>
      </c>
      <c r="H489" t="inlineStr">
        <is>
          <t>Sveaskog</t>
        </is>
      </c>
      <c r="I489" t="n">
        <v>2.5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13299-2024</t>
        </is>
      </c>
      <c r="B490" t="inlineStr">
        <is>
          <t>avverkningsanmälan</t>
        </is>
      </c>
      <c r="C490" t="inlineStr">
        <is>
          <t>Föryngringsavverkning</t>
        </is>
      </c>
      <c r="D490" s="1" t="n">
        <v>45386</v>
      </c>
      <c r="E490" s="1" t="n">
        <v>46319</v>
      </c>
      <c r="F490" t="inlineStr">
        <is>
          <t>JÄMTLANDS LÄN</t>
        </is>
      </c>
      <c r="G490" t="inlineStr">
        <is>
          <t>RAGUNDA</t>
        </is>
      </c>
      <c r="I490" t="n">
        <v>1.9</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58537-2022</t>
        </is>
      </c>
      <c r="B491" t="inlineStr">
        <is>
          <t>avverkningsanmälan</t>
        </is>
      </c>
      <c r="C491" t="inlineStr">
        <is>
          <t>Föryngringsavverkning</t>
        </is>
      </c>
      <c r="D491" s="1" t="n">
        <v>44894</v>
      </c>
      <c r="E491" s="1" t="n">
        <v>46319</v>
      </c>
      <c r="F491" t="inlineStr">
        <is>
          <t>JÄMTLANDS LÄN</t>
        </is>
      </c>
      <c r="G491" t="inlineStr">
        <is>
          <t>RAGUNDA</t>
        </is>
      </c>
      <c r="I491" t="n">
        <v>1.2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22948-2024</t>
        </is>
      </c>
      <c r="B492" t="inlineStr">
        <is>
          <t>avverkningsanmälan</t>
        </is>
      </c>
      <c r="C492" t="inlineStr">
        <is>
          <t>Föryngringsavverkning</t>
        </is>
      </c>
      <c r="D492" s="1" t="n">
        <v>45448</v>
      </c>
      <c r="E492" s="1" t="n">
        <v>46319</v>
      </c>
      <c r="F492" t="inlineStr">
        <is>
          <t>JÄMTLANDS LÄN</t>
        </is>
      </c>
      <c r="G492" t="inlineStr">
        <is>
          <t>RAGUNDA</t>
        </is>
      </c>
      <c r="H492" t="inlineStr">
        <is>
          <t>SCA</t>
        </is>
      </c>
      <c r="I492" t="n">
        <v>1.6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50503-2025</t>
        </is>
      </c>
      <c r="B493" t="inlineStr">
        <is>
          <t>avverkningsanmälan</t>
        </is>
      </c>
      <c r="C493" t="inlineStr">
        <is>
          <t>Föryngringsavverkning</t>
        </is>
      </c>
      <c r="D493" s="1" t="n">
        <v>45945</v>
      </c>
      <c r="E493" s="1" t="n">
        <v>46319</v>
      </c>
      <c r="F493" t="inlineStr">
        <is>
          <t>JÄMTLANDS LÄN</t>
        </is>
      </c>
      <c r="G493" t="inlineStr">
        <is>
          <t>RAGUNDA</t>
        </is>
      </c>
      <c r="H493" t="inlineStr">
        <is>
          <t>SCA</t>
        </is>
      </c>
      <c r="I493" t="n">
        <v>0.5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53678-2022</t>
        </is>
      </c>
      <c r="B494" t="inlineStr">
        <is>
          <t>avverkningsanmälan</t>
        </is>
      </c>
      <c r="C494" t="inlineStr">
        <is>
          <t>Föryngringsavverkning</t>
        </is>
      </c>
      <c r="D494" s="1" t="n">
        <v>44879</v>
      </c>
      <c r="E494" s="1" t="n">
        <v>46319</v>
      </c>
      <c r="F494" t="inlineStr">
        <is>
          <t>JÄMTLANDS LÄN</t>
        </is>
      </c>
      <c r="G494" t="inlineStr">
        <is>
          <t>RAGUNDA</t>
        </is>
      </c>
      <c r="H494" t="inlineStr">
        <is>
          <t>Sveaskog</t>
        </is>
      </c>
      <c r="I494" t="n">
        <v>2.3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14369-2024</t>
        </is>
      </c>
      <c r="B495" t="inlineStr">
        <is>
          <t>avverkningsanmälan</t>
        </is>
      </c>
      <c r="C495" t="inlineStr">
        <is>
          <t>Avverkning för att bevara och utveckla /försöksver</t>
        </is>
      </c>
      <c r="D495" s="1" t="n">
        <v>45393</v>
      </c>
      <c r="E495" s="1" t="n">
        <v>46319</v>
      </c>
      <c r="F495" t="inlineStr">
        <is>
          <t>JÄMTLANDS LÄN</t>
        </is>
      </c>
      <c r="G495" t="inlineStr">
        <is>
          <t>RAGUNDA</t>
        </is>
      </c>
      <c r="H495" t="inlineStr">
        <is>
          <t>Naturvårdsverket</t>
        </is>
      </c>
      <c r="I495" t="n">
        <v>1.8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10639-2024</t>
        </is>
      </c>
      <c r="B496" t="inlineStr">
        <is>
          <t>avverkningsanmälan</t>
        </is>
      </c>
      <c r="C496" t="inlineStr">
        <is>
          <t>Föryngringsavverkning</t>
        </is>
      </c>
      <c r="D496" s="1" t="n">
        <v>45367</v>
      </c>
      <c r="E496" s="1" t="n">
        <v>46319</v>
      </c>
      <c r="F496" t="inlineStr">
        <is>
          <t>JÄMTLANDS LÄN</t>
        </is>
      </c>
      <c r="G496" t="inlineStr">
        <is>
          <t>RAGUNDA</t>
        </is>
      </c>
      <c r="I496" t="n">
        <v>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50719-2025</t>
        </is>
      </c>
      <c r="B497" t="inlineStr">
        <is>
          <t>avverkningsanmälan</t>
        </is>
      </c>
      <c r="C497" t="inlineStr">
        <is>
          <t>Föryngringsavverkning</t>
        </is>
      </c>
      <c r="D497" s="1" t="n">
        <v>45946</v>
      </c>
      <c r="E497" s="1" t="n">
        <v>46319</v>
      </c>
      <c r="F497" t="inlineStr">
        <is>
          <t>JÄMTLANDS LÄN</t>
        </is>
      </c>
      <c r="G497" t="inlineStr">
        <is>
          <t>RAGUNDA</t>
        </is>
      </c>
      <c r="H497" t="inlineStr">
        <is>
          <t>SCA</t>
        </is>
      </c>
      <c r="I497" t="n">
        <v>2.9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14212-2023</t>
        </is>
      </c>
      <c r="B498" t="inlineStr">
        <is>
          <t>avverkningsanmälan</t>
        </is>
      </c>
      <c r="C498" t="inlineStr">
        <is>
          <t>Föryngringsavverkning</t>
        </is>
      </c>
      <c r="D498" s="1" t="n">
        <v>45009</v>
      </c>
      <c r="E498" s="1" t="n">
        <v>46319</v>
      </c>
      <c r="F498" t="inlineStr">
        <is>
          <t>JÄMTLANDS LÄN</t>
        </is>
      </c>
      <c r="G498" t="inlineStr">
        <is>
          <t>RAGUNDA</t>
        </is>
      </c>
      <c r="I498" t="n">
        <v>0.8</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25949-2026</t>
        </is>
      </c>
      <c r="B499" t="inlineStr">
        <is>
          <t>avverkningsanmälan</t>
        </is>
      </c>
      <c r="C499" t="inlineStr">
        <is>
          <t>Föryngringsavverkning</t>
        </is>
      </c>
      <c r="D499" s="1" t="n">
        <v>46181</v>
      </c>
      <c r="E499" s="1" t="n">
        <v>46319</v>
      </c>
      <c r="F499" t="inlineStr">
        <is>
          <t>JÄMTLANDS LÄN</t>
        </is>
      </c>
      <c r="G499" t="inlineStr">
        <is>
          <t>RAGUNDA</t>
        </is>
      </c>
      <c r="H499" t="inlineStr">
        <is>
          <t>SCA</t>
        </is>
      </c>
      <c r="I499" t="n">
        <v>2.3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50711-2025</t>
        </is>
      </c>
      <c r="B500" t="inlineStr">
        <is>
          <t>avverkningsanmälan</t>
        </is>
      </c>
      <c r="C500" t="inlineStr">
        <is>
          <t>Avverkning för att bevara och utveckla /försöksver</t>
        </is>
      </c>
      <c r="D500" s="1" t="n">
        <v>45946</v>
      </c>
      <c r="E500" s="1" t="n">
        <v>46319</v>
      </c>
      <c r="F500" t="inlineStr">
        <is>
          <t>JÄMTLANDS LÄN</t>
        </is>
      </c>
      <c r="G500" t="inlineStr">
        <is>
          <t>RAGUNDA</t>
        </is>
      </c>
      <c r="H500" t="inlineStr">
        <is>
          <t>SCA</t>
        </is>
      </c>
      <c r="I500" t="n">
        <v>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50716-2025</t>
        </is>
      </c>
      <c r="B501" t="inlineStr">
        <is>
          <t>avverkningsanmälan</t>
        </is>
      </c>
      <c r="C501" t="inlineStr">
        <is>
          <t>Föryngringsavverkning</t>
        </is>
      </c>
      <c r="D501" s="1" t="n">
        <v>45946</v>
      </c>
      <c r="E501" s="1" t="n">
        <v>46319</v>
      </c>
      <c r="F501" t="inlineStr">
        <is>
          <t>JÄMTLANDS LÄN</t>
        </is>
      </c>
      <c r="G501" t="inlineStr">
        <is>
          <t>RAGUNDA</t>
        </is>
      </c>
      <c r="H501" t="inlineStr">
        <is>
          <t>SCA</t>
        </is>
      </c>
      <c r="I501" t="n">
        <v>1.5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20772-2024</t>
        </is>
      </c>
      <c r="B502" t="inlineStr">
        <is>
          <t>avverkningsanmälan</t>
        </is>
      </c>
      <c r="C502" t="inlineStr">
        <is>
          <t>Avverkning för att bevara och utveckla /försöksver</t>
        </is>
      </c>
      <c r="D502" s="1" t="n">
        <v>45436</v>
      </c>
      <c r="E502" s="1" t="n">
        <v>46319</v>
      </c>
      <c r="F502" t="inlineStr">
        <is>
          <t>JÄMTLANDS LÄN</t>
        </is>
      </c>
      <c r="G502" t="inlineStr">
        <is>
          <t>RAGUNDA</t>
        </is>
      </c>
      <c r="H502" t="inlineStr">
        <is>
          <t>SCA</t>
        </is>
      </c>
      <c r="I502" t="n">
        <v>1.7</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50649-2022</t>
        </is>
      </c>
      <c r="B503" t="inlineStr">
        <is>
          <t>avverkningsanmälan</t>
        </is>
      </c>
      <c r="C503" t="inlineStr">
        <is>
          <t>Avverkning för att bevara och utveckla /försöksver</t>
        </is>
      </c>
      <c r="D503" s="1" t="n">
        <v>44866</v>
      </c>
      <c r="E503" s="1" t="n">
        <v>46319</v>
      </c>
      <c r="F503" t="inlineStr">
        <is>
          <t>JÄMTLANDS LÄN</t>
        </is>
      </c>
      <c r="G503" t="inlineStr">
        <is>
          <t>RAGUNDA</t>
        </is>
      </c>
      <c r="H503" t="inlineStr">
        <is>
          <t>SCA</t>
        </is>
      </c>
      <c r="I503" t="n">
        <v>2.1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51395-2025</t>
        </is>
      </c>
      <c r="B504" t="inlineStr">
        <is>
          <t>avverkningsanmälan</t>
        </is>
      </c>
      <c r="C504" t="inlineStr">
        <is>
          <t>Föryngringsavverkning</t>
        </is>
      </c>
      <c r="D504" s="1" t="n">
        <v>45950</v>
      </c>
      <c r="E504" s="1" t="n">
        <v>46319</v>
      </c>
      <c r="F504" t="inlineStr">
        <is>
          <t>JÄMTLANDS LÄN</t>
        </is>
      </c>
      <c r="G504" t="inlineStr">
        <is>
          <t>RAGUNDA</t>
        </is>
      </c>
      <c r="H504" t="inlineStr">
        <is>
          <t>SCA</t>
        </is>
      </c>
      <c r="I504" t="n">
        <v>30.7</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51034-2025</t>
        </is>
      </c>
      <c r="B505" t="inlineStr">
        <is>
          <t>avverkningsanmälan</t>
        </is>
      </c>
      <c r="C505" t="inlineStr">
        <is>
          <t>Föryngringsavverkning</t>
        </is>
      </c>
      <c r="D505" s="1" t="n">
        <v>45947</v>
      </c>
      <c r="E505" s="1" t="n">
        <v>46319</v>
      </c>
      <c r="F505" t="inlineStr">
        <is>
          <t>JÄMTLANDS LÄN</t>
        </is>
      </c>
      <c r="G505" t="inlineStr">
        <is>
          <t>RAGUNDA</t>
        </is>
      </c>
      <c r="H505" t="inlineStr">
        <is>
          <t>SCA</t>
        </is>
      </c>
      <c r="I505" t="n">
        <v>44.1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51019-2025</t>
        </is>
      </c>
      <c r="B506" t="inlineStr">
        <is>
          <t>avverkningsanmälan</t>
        </is>
      </c>
      <c r="C506" t="inlineStr">
        <is>
          <t>Föryngringsavverkning</t>
        </is>
      </c>
      <c r="D506" s="1" t="n">
        <v>45947</v>
      </c>
      <c r="E506" s="1" t="n">
        <v>46319</v>
      </c>
      <c r="F506" t="inlineStr">
        <is>
          <t>JÄMTLANDS LÄN</t>
        </is>
      </c>
      <c r="G506" t="inlineStr">
        <is>
          <t>RAGUNDA</t>
        </is>
      </c>
      <c r="H506" t="inlineStr">
        <is>
          <t>SCA</t>
        </is>
      </c>
      <c r="I506" t="n">
        <v>4</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19246-2023</t>
        </is>
      </c>
      <c r="B507" t="inlineStr">
        <is>
          <t>avverkningsanmälan</t>
        </is>
      </c>
      <c r="C507" t="inlineStr">
        <is>
          <t>Föryngringsavverkning</t>
        </is>
      </c>
      <c r="D507" s="1" t="n">
        <v>45048</v>
      </c>
      <c r="E507" s="1" t="n">
        <v>46319</v>
      </c>
      <c r="F507" t="inlineStr">
        <is>
          <t>JÄMTLANDS LÄN</t>
        </is>
      </c>
      <c r="G507" t="inlineStr">
        <is>
          <t>RAGUNDA</t>
        </is>
      </c>
      <c r="H507" t="inlineStr">
        <is>
          <t>SCA</t>
        </is>
      </c>
      <c r="I507" t="n">
        <v>1.4</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51394-2025</t>
        </is>
      </c>
      <c r="B508" t="inlineStr">
        <is>
          <t>avverkningsanmälan</t>
        </is>
      </c>
      <c r="C508" t="inlineStr">
        <is>
          <t>Föryngringsavverkning</t>
        </is>
      </c>
      <c r="D508" s="1" t="n">
        <v>45950</v>
      </c>
      <c r="E508" s="1" t="n">
        <v>46319</v>
      </c>
      <c r="F508" t="inlineStr">
        <is>
          <t>JÄMTLANDS LÄN</t>
        </is>
      </c>
      <c r="G508" t="inlineStr">
        <is>
          <t>RAGUNDA</t>
        </is>
      </c>
      <c r="H508" t="inlineStr">
        <is>
          <t>SCA</t>
        </is>
      </c>
      <c r="I508" t="n">
        <v>36.5</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464-2023</t>
        </is>
      </c>
      <c r="B509" t="inlineStr">
        <is>
          <t>avverkningsanmälan</t>
        </is>
      </c>
      <c r="C509" t="inlineStr">
        <is>
          <t>Föryngringsavverkning</t>
        </is>
      </c>
      <c r="D509" s="1" t="n">
        <v>44929</v>
      </c>
      <c r="E509" s="1" t="n">
        <v>46319</v>
      </c>
      <c r="F509" t="inlineStr">
        <is>
          <t>JÄMTLANDS LÄN</t>
        </is>
      </c>
      <c r="G509" t="inlineStr">
        <is>
          <t>RAGUNDA</t>
        </is>
      </c>
      <c r="I509" t="n">
        <v>1.4</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49649-2024</t>
        </is>
      </c>
      <c r="B510" t="inlineStr">
        <is>
          <t>avverkningsanmälan</t>
        </is>
      </c>
      <c r="C510" t="inlineStr">
        <is>
          <t>Föryngringsavverkning</t>
        </is>
      </c>
      <c r="D510" s="1" t="n">
        <v>45596</v>
      </c>
      <c r="E510" s="1" t="n">
        <v>46319</v>
      </c>
      <c r="F510" t="inlineStr">
        <is>
          <t>JÄMTLANDS LÄN</t>
        </is>
      </c>
      <c r="G510" t="inlineStr">
        <is>
          <t>RAGUNDA</t>
        </is>
      </c>
      <c r="H510" t="inlineStr">
        <is>
          <t>SCA</t>
        </is>
      </c>
      <c r="I510" t="n">
        <v>4</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51484-2025</t>
        </is>
      </c>
      <c r="B511" t="inlineStr">
        <is>
          <t>avverkningsanmälan</t>
        </is>
      </c>
      <c r="C511" t="inlineStr">
        <is>
          <t>Föryngringsavverkning</t>
        </is>
      </c>
      <c r="D511" s="1" t="n">
        <v>45950</v>
      </c>
      <c r="E511" s="1" t="n">
        <v>46319</v>
      </c>
      <c r="F511" t="inlineStr">
        <is>
          <t>JÄMTLANDS LÄN</t>
        </is>
      </c>
      <c r="G511" t="inlineStr">
        <is>
          <t>RAGUNDA</t>
        </is>
      </c>
      <c r="H511" t="inlineStr">
        <is>
          <t>SCA</t>
        </is>
      </c>
      <c r="I511" t="n">
        <v>23.1</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20426-2024</t>
        </is>
      </c>
      <c r="B512" t="inlineStr">
        <is>
          <t>avverkningsanmälan</t>
        </is>
      </c>
      <c r="C512" t="inlineStr">
        <is>
          <t>Föryngringsavverkning</t>
        </is>
      </c>
      <c r="D512" s="1" t="n">
        <v>45435</v>
      </c>
      <c r="E512" s="1" t="n">
        <v>46319</v>
      </c>
      <c r="F512" t="inlineStr">
        <is>
          <t>JÄMTLANDS LÄN</t>
        </is>
      </c>
      <c r="G512" t="inlineStr">
        <is>
          <t>RAGUNDA</t>
        </is>
      </c>
      <c r="I512" t="n">
        <v>2.1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51912-2025</t>
        </is>
      </c>
      <c r="B513" t="inlineStr">
        <is>
          <t>avverkningsanmälan</t>
        </is>
      </c>
      <c r="C513" t="inlineStr">
        <is>
          <t>Föryngringsavverkning</t>
        </is>
      </c>
      <c r="D513" s="1" t="n">
        <v>45952</v>
      </c>
      <c r="E513" s="1" t="n">
        <v>46319</v>
      </c>
      <c r="F513" t="inlineStr">
        <is>
          <t>JÄMTLANDS LÄN</t>
        </is>
      </c>
      <c r="G513" t="inlineStr">
        <is>
          <t>RAGUNDA</t>
        </is>
      </c>
      <c r="H513" t="inlineStr">
        <is>
          <t>SCA</t>
        </is>
      </c>
      <c r="I513" t="n">
        <v>24.2</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4878-2022</t>
        </is>
      </c>
      <c r="B514" t="inlineStr">
        <is>
          <t>avverkningsanmälan</t>
        </is>
      </c>
      <c r="C514" t="inlineStr">
        <is>
          <t>Föryngringsavverkning</t>
        </is>
      </c>
      <c r="D514" s="1" t="n">
        <v>44593</v>
      </c>
      <c r="E514" s="1" t="n">
        <v>46319</v>
      </c>
      <c r="F514" t="inlineStr">
        <is>
          <t>JÄMTLANDS LÄN</t>
        </is>
      </c>
      <c r="G514" t="inlineStr">
        <is>
          <t>RAGUNDA</t>
        </is>
      </c>
      <c r="I514" t="n">
        <v>21.7</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25731-2026</t>
        </is>
      </c>
      <c r="B515" t="inlineStr">
        <is>
          <t>avverkningsanmälan</t>
        </is>
      </c>
      <c r="C515" t="inlineStr">
        <is>
          <t>Föryngringsavverkning</t>
        </is>
      </c>
      <c r="D515" s="1" t="n">
        <v>46178</v>
      </c>
      <c r="E515" s="1" t="n">
        <v>46319</v>
      </c>
      <c r="F515" t="inlineStr">
        <is>
          <t>JÄMTLANDS LÄN</t>
        </is>
      </c>
      <c r="G515" t="inlineStr">
        <is>
          <t>RAGUNDA</t>
        </is>
      </c>
      <c r="H515" t="inlineStr">
        <is>
          <t>SCA</t>
        </is>
      </c>
      <c r="I515" t="n">
        <v>5.5</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51906-2025</t>
        </is>
      </c>
      <c r="B516" t="inlineStr">
        <is>
          <t>avverkningsanmälan</t>
        </is>
      </c>
      <c r="C516" t="inlineStr">
        <is>
          <t>Föryngringsavverkning</t>
        </is>
      </c>
      <c r="D516" s="1" t="n">
        <v>45952</v>
      </c>
      <c r="E516" s="1" t="n">
        <v>46319</v>
      </c>
      <c r="F516" t="inlineStr">
        <is>
          <t>JÄMTLANDS LÄN</t>
        </is>
      </c>
      <c r="G516" t="inlineStr">
        <is>
          <t>RAGUNDA</t>
        </is>
      </c>
      <c r="I516" t="n">
        <v>4.5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51791-2025</t>
        </is>
      </c>
      <c r="B517" t="inlineStr">
        <is>
          <t>avverkningsanmälan</t>
        </is>
      </c>
      <c r="C517" t="inlineStr">
        <is>
          <t>Föryngringsavverkning</t>
        </is>
      </c>
      <c r="D517" s="1" t="n">
        <v>45951</v>
      </c>
      <c r="E517" s="1" t="n">
        <v>46319</v>
      </c>
      <c r="F517" t="inlineStr">
        <is>
          <t>JÄMTLANDS LÄN</t>
        </is>
      </c>
      <c r="G517" t="inlineStr">
        <is>
          <t>RAGUNDA</t>
        </is>
      </c>
      <c r="H517" t="inlineStr">
        <is>
          <t>SCA</t>
        </is>
      </c>
      <c r="I517" t="n">
        <v>43.3</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51592-2025</t>
        </is>
      </c>
      <c r="B518" t="inlineStr">
        <is>
          <t>avverkningsanmälan</t>
        </is>
      </c>
      <c r="C518" t="inlineStr">
        <is>
          <t>Föryngringsavverkning</t>
        </is>
      </c>
      <c r="D518" s="1" t="n">
        <v>45951</v>
      </c>
      <c r="E518" s="1" t="n">
        <v>46319</v>
      </c>
      <c r="F518" t="inlineStr">
        <is>
          <t>JÄMTLANDS LÄN</t>
        </is>
      </c>
      <c r="G518" t="inlineStr">
        <is>
          <t>RAGUNDA</t>
        </is>
      </c>
      <c r="I518" t="n">
        <v>1.3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51593-2025</t>
        </is>
      </c>
      <c r="B519" t="inlineStr">
        <is>
          <t>avverkningsanmälan</t>
        </is>
      </c>
      <c r="C519" t="inlineStr">
        <is>
          <t>Föryngringsavverkning</t>
        </is>
      </c>
      <c r="D519" s="1" t="n">
        <v>45951</v>
      </c>
      <c r="E519" s="1" t="n">
        <v>46319</v>
      </c>
      <c r="F519" t="inlineStr">
        <is>
          <t>JÄMTLANDS LÄN</t>
        </is>
      </c>
      <c r="G519" t="inlineStr">
        <is>
          <t>RAGUNDA</t>
        </is>
      </c>
      <c r="I519" t="n">
        <v>1.5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52093-2025</t>
        </is>
      </c>
      <c r="B520" t="inlineStr">
        <is>
          <t>avverkningsanmälan</t>
        </is>
      </c>
      <c r="C520" t="inlineStr">
        <is>
          <t>Föryngringsavverkning</t>
        </is>
      </c>
      <c r="D520" s="1" t="n">
        <v>45952</v>
      </c>
      <c r="E520" s="1" t="n">
        <v>46319</v>
      </c>
      <c r="F520" t="inlineStr">
        <is>
          <t>JÄMTLANDS LÄN</t>
        </is>
      </c>
      <c r="G520" t="inlineStr">
        <is>
          <t>RAGUNDA</t>
        </is>
      </c>
      <c r="H520" t="inlineStr">
        <is>
          <t>SCA</t>
        </is>
      </c>
      <c r="I520" t="n">
        <v>22.7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26177-2026</t>
        </is>
      </c>
      <c r="B521" t="inlineStr">
        <is>
          <t>avverkningsanmälan</t>
        </is>
      </c>
      <c r="C521" t="inlineStr">
        <is>
          <t>Föryngringsavverkning</t>
        </is>
      </c>
      <c r="D521" s="1" t="n">
        <v>46182</v>
      </c>
      <c r="E521" s="1" t="n">
        <v>46319</v>
      </c>
      <c r="F521" t="inlineStr">
        <is>
          <t>JÄMTLANDS LÄN</t>
        </is>
      </c>
      <c r="G521" t="inlineStr">
        <is>
          <t>RAGUNDA</t>
        </is>
      </c>
      <c r="H521" t="inlineStr">
        <is>
          <t>SCA</t>
        </is>
      </c>
      <c r="I521" t="n">
        <v>2.6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52122-2025</t>
        </is>
      </c>
      <c r="B522" t="inlineStr">
        <is>
          <t>avverkningsanmälan</t>
        </is>
      </c>
      <c r="C522" t="inlineStr">
        <is>
          <t>Föryngringsavverkning</t>
        </is>
      </c>
      <c r="D522" s="1" t="n">
        <v>45952</v>
      </c>
      <c r="E522" s="1" t="n">
        <v>46319</v>
      </c>
      <c r="F522" t="inlineStr">
        <is>
          <t>JÄMTLANDS LÄN</t>
        </is>
      </c>
      <c r="G522" t="inlineStr">
        <is>
          <t>RAGUNDA</t>
        </is>
      </c>
      <c r="H522" t="inlineStr">
        <is>
          <t>SCA</t>
        </is>
      </c>
      <c r="I522" t="n">
        <v>8</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51903-2025</t>
        </is>
      </c>
      <c r="B523" t="inlineStr">
        <is>
          <t>avverkningsanmälan</t>
        </is>
      </c>
      <c r="C523" t="inlineStr">
        <is>
          <t>Föryngringsavverkning</t>
        </is>
      </c>
      <c r="D523" s="1" t="n">
        <v>45952</v>
      </c>
      <c r="E523" s="1" t="n">
        <v>46319</v>
      </c>
      <c r="F523" t="inlineStr">
        <is>
          <t>JÄMTLANDS LÄN</t>
        </is>
      </c>
      <c r="G523" t="inlineStr">
        <is>
          <t>RAGUNDA</t>
        </is>
      </c>
      <c r="H523" t="inlineStr">
        <is>
          <t>SCA</t>
        </is>
      </c>
      <c r="I523" t="n">
        <v>20.8</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51932-2025</t>
        </is>
      </c>
      <c r="B524" t="inlineStr">
        <is>
          <t>avverkningsanmälan</t>
        </is>
      </c>
      <c r="C524" t="inlineStr">
        <is>
          <t>Föryngringsavverkning</t>
        </is>
      </c>
      <c r="D524" s="1" t="n">
        <v>45952</v>
      </c>
      <c r="E524" s="1" t="n">
        <v>46319</v>
      </c>
      <c r="F524" t="inlineStr">
        <is>
          <t>JÄMTLANDS LÄN</t>
        </is>
      </c>
      <c r="G524" t="inlineStr">
        <is>
          <t>RAGUNDA</t>
        </is>
      </c>
      <c r="H524" t="inlineStr">
        <is>
          <t>SCA</t>
        </is>
      </c>
      <c r="I524" t="n">
        <v>39.2</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39489-2023</t>
        </is>
      </c>
      <c r="B525" t="inlineStr">
        <is>
          <t>avverkningsanmälan</t>
        </is>
      </c>
      <c r="C525" t="inlineStr">
        <is>
          <t>Föryngringsavverkning</t>
        </is>
      </c>
      <c r="D525" s="1" t="n">
        <v>45166</v>
      </c>
      <c r="E525" s="1" t="n">
        <v>46319</v>
      </c>
      <c r="F525" t="inlineStr">
        <is>
          <t>JÄMTLANDS LÄN</t>
        </is>
      </c>
      <c r="G525" t="inlineStr">
        <is>
          <t>RAGUNDA</t>
        </is>
      </c>
      <c r="I525" t="n">
        <v>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22311-2024</t>
        </is>
      </c>
      <c r="B526" t="inlineStr">
        <is>
          <t>avverkningsanmälan</t>
        </is>
      </c>
      <c r="C526" t="inlineStr">
        <is>
          <t>Föryngringsavverkning</t>
        </is>
      </c>
      <c r="D526" s="1" t="n">
        <v>45446</v>
      </c>
      <c r="E526" s="1" t="n">
        <v>46319</v>
      </c>
      <c r="F526" t="inlineStr">
        <is>
          <t>JÄMTLANDS LÄN</t>
        </is>
      </c>
      <c r="G526" t="inlineStr">
        <is>
          <t>RAGUNDA</t>
        </is>
      </c>
      <c r="I526" t="n">
        <v>1.3</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52317-2025</t>
        </is>
      </c>
      <c r="B527" t="inlineStr">
        <is>
          <t>avverkningsanmälan</t>
        </is>
      </c>
      <c r="C527" t="inlineStr">
        <is>
          <t>Föryngringsavverkning</t>
        </is>
      </c>
      <c r="D527" s="1" t="n">
        <v>45953</v>
      </c>
      <c r="E527" s="1" t="n">
        <v>46319</v>
      </c>
      <c r="F527" t="inlineStr">
        <is>
          <t>JÄMTLANDS LÄN</t>
        </is>
      </c>
      <c r="G527" t="inlineStr">
        <is>
          <t>RAGUNDA</t>
        </is>
      </c>
      <c r="H527" t="inlineStr">
        <is>
          <t>SCA</t>
        </is>
      </c>
      <c r="I527" t="n">
        <v>27.2</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52330-2025</t>
        </is>
      </c>
      <c r="B528" t="inlineStr">
        <is>
          <t>avverkningsanmälan</t>
        </is>
      </c>
      <c r="C528" t="inlineStr">
        <is>
          <t>Föryngringsavverkning</t>
        </is>
      </c>
      <c r="D528" s="1" t="n">
        <v>45953</v>
      </c>
      <c r="E528" s="1" t="n">
        <v>46319</v>
      </c>
      <c r="F528" t="inlineStr">
        <is>
          <t>JÄMTLANDS LÄN</t>
        </is>
      </c>
      <c r="G528" t="inlineStr">
        <is>
          <t>RAGUNDA</t>
        </is>
      </c>
      <c r="H528" t="inlineStr">
        <is>
          <t>SCA</t>
        </is>
      </c>
      <c r="I528" t="n">
        <v>10.1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53032-2025</t>
        </is>
      </c>
      <c r="B529" t="inlineStr">
        <is>
          <t>avverkningsanmälan</t>
        </is>
      </c>
      <c r="C529" t="inlineStr">
        <is>
          <t>Föryngringsavverkning</t>
        </is>
      </c>
      <c r="D529" s="1" t="n">
        <v>45958</v>
      </c>
      <c r="E529" s="1" t="n">
        <v>46319</v>
      </c>
      <c r="F529" t="inlineStr">
        <is>
          <t>JÄMTLANDS LÄN</t>
        </is>
      </c>
      <c r="G529" t="inlineStr">
        <is>
          <t>RAGUNDA</t>
        </is>
      </c>
      <c r="I529" t="n">
        <v>2.6</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11058-2025</t>
        </is>
      </c>
      <c r="B530" t="inlineStr">
        <is>
          <t>avverkningsanmälan</t>
        </is>
      </c>
      <c r="C530" t="inlineStr">
        <is>
          <t>Föryngringsavverkning</t>
        </is>
      </c>
      <c r="D530" s="1" t="n">
        <v>45723</v>
      </c>
      <c r="E530" s="1" t="n">
        <v>46319</v>
      </c>
      <c r="F530" t="inlineStr">
        <is>
          <t>JÄMTLANDS LÄN</t>
        </is>
      </c>
      <c r="G530" t="inlineStr">
        <is>
          <t>RAGUNDA</t>
        </is>
      </c>
      <c r="H530" t="inlineStr">
        <is>
          <t>SCA</t>
        </is>
      </c>
      <c r="I530" t="n">
        <v>1.5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52430-2025</t>
        </is>
      </c>
      <c r="B531" t="inlineStr">
        <is>
          <t>avverkningsanmälan</t>
        </is>
      </c>
      <c r="C531" t="inlineStr">
        <is>
          <t>Föryngringsavverkning</t>
        </is>
      </c>
      <c r="D531" s="1" t="n">
        <v>45954</v>
      </c>
      <c r="E531" s="1" t="n">
        <v>46319</v>
      </c>
      <c r="F531" t="inlineStr">
        <is>
          <t>JÄMTLANDS LÄN</t>
        </is>
      </c>
      <c r="G531" t="inlineStr">
        <is>
          <t>RAGUNDA</t>
        </is>
      </c>
      <c r="H531" t="inlineStr">
        <is>
          <t>SCA</t>
        </is>
      </c>
      <c r="I531" t="n">
        <v>18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52875-2025</t>
        </is>
      </c>
      <c r="B532" t="inlineStr">
        <is>
          <t>avverkningsanmälan</t>
        </is>
      </c>
      <c r="C532" t="inlineStr">
        <is>
          <t>Föryngringsavverkning</t>
        </is>
      </c>
      <c r="D532" s="1" t="n">
        <v>45957</v>
      </c>
      <c r="E532" s="1" t="n">
        <v>46319</v>
      </c>
      <c r="F532" t="inlineStr">
        <is>
          <t>JÄMTLANDS LÄN</t>
        </is>
      </c>
      <c r="G532" t="inlineStr">
        <is>
          <t>RAGUNDA</t>
        </is>
      </c>
      <c r="H532" t="inlineStr">
        <is>
          <t>SCA</t>
        </is>
      </c>
      <c r="I532" t="n">
        <v>34.3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53211-2025</t>
        </is>
      </c>
      <c r="B533" t="inlineStr">
        <is>
          <t>avverkningsanmälan</t>
        </is>
      </c>
      <c r="C533" t="inlineStr">
        <is>
          <t>Föryngringsavverkning</t>
        </is>
      </c>
      <c r="D533" s="1" t="n">
        <v>45958</v>
      </c>
      <c r="E533" s="1" t="n">
        <v>46319</v>
      </c>
      <c r="F533" t="inlineStr">
        <is>
          <t>JÄMTLANDS LÄN</t>
        </is>
      </c>
      <c r="G533" t="inlineStr">
        <is>
          <t>RAGUNDA</t>
        </is>
      </c>
      <c r="H533" t="inlineStr">
        <is>
          <t>SCA</t>
        </is>
      </c>
      <c r="I533" t="n">
        <v>7.4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52972-2025</t>
        </is>
      </c>
      <c r="B534" t="inlineStr">
        <is>
          <t>avverkningsanmälan</t>
        </is>
      </c>
      <c r="C534" t="inlineStr">
        <is>
          <t>Föryngringsavverkning</t>
        </is>
      </c>
      <c r="D534" s="1" t="n">
        <v>45957</v>
      </c>
      <c r="E534" s="1" t="n">
        <v>46319</v>
      </c>
      <c r="F534" t="inlineStr">
        <is>
          <t>JÄMTLANDS LÄN</t>
        </is>
      </c>
      <c r="G534" t="inlineStr">
        <is>
          <t>RAGUNDA</t>
        </is>
      </c>
      <c r="H534" t="inlineStr">
        <is>
          <t>SCA</t>
        </is>
      </c>
      <c r="I534" t="n">
        <v>53.4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53075-2025</t>
        </is>
      </c>
      <c r="B535" t="inlineStr">
        <is>
          <t>avverkningsanmälan</t>
        </is>
      </c>
      <c r="C535" t="inlineStr">
        <is>
          <t>Föryngringsavverkning</t>
        </is>
      </c>
      <c r="D535" s="1" t="n">
        <v>45958</v>
      </c>
      <c r="E535" s="1" t="n">
        <v>46319</v>
      </c>
      <c r="F535" t="inlineStr">
        <is>
          <t>JÄMTLANDS LÄN</t>
        </is>
      </c>
      <c r="G535" t="inlineStr">
        <is>
          <t>RAGUNDA</t>
        </is>
      </c>
      <c r="H535" t="inlineStr">
        <is>
          <t>SCA</t>
        </is>
      </c>
      <c r="I535" t="n">
        <v>28.9</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25304-2023</t>
        </is>
      </c>
      <c r="B536" t="inlineStr">
        <is>
          <t>avverkningsanmälan</t>
        </is>
      </c>
      <c r="C536" t="inlineStr">
        <is>
          <t>Avverkning för annat ändamål</t>
        </is>
      </c>
      <c r="D536" s="1" t="n">
        <v>45086</v>
      </c>
      <c r="E536" s="1" t="n">
        <v>46319</v>
      </c>
      <c r="F536" t="inlineStr">
        <is>
          <t>JÄMTLANDS LÄN</t>
        </is>
      </c>
      <c r="G536" t="inlineStr">
        <is>
          <t>RAGUNDA</t>
        </is>
      </c>
      <c r="H536" t="inlineStr">
        <is>
          <t>SCA</t>
        </is>
      </c>
      <c r="I536" t="n">
        <v>1.7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53748-2025</t>
        </is>
      </c>
      <c r="B537" t="inlineStr">
        <is>
          <t>avverkningsanmälan</t>
        </is>
      </c>
      <c r="C537" t="inlineStr">
        <is>
          <t>Föryngringsavverkning</t>
        </is>
      </c>
      <c r="D537" s="1" t="n">
        <v>45960</v>
      </c>
      <c r="E537" s="1" t="n">
        <v>46319</v>
      </c>
      <c r="F537" t="inlineStr">
        <is>
          <t>JÄMTLANDS LÄN</t>
        </is>
      </c>
      <c r="G537" t="inlineStr">
        <is>
          <t>RAGUNDA</t>
        </is>
      </c>
      <c r="H537" t="inlineStr">
        <is>
          <t>SCA</t>
        </is>
      </c>
      <c r="I537" t="n">
        <v>14.9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57170-2024</t>
        </is>
      </c>
      <c r="B538" t="inlineStr">
        <is>
          <t>avverkningsanmälan</t>
        </is>
      </c>
      <c r="C538" t="inlineStr">
        <is>
          <t>Föryngringsavverkning</t>
        </is>
      </c>
      <c r="D538" s="1" t="n">
        <v>45629</v>
      </c>
      <c r="E538" s="1" t="n">
        <v>46319</v>
      </c>
      <c r="F538" t="inlineStr">
        <is>
          <t>JÄMTLANDS LÄN</t>
        </is>
      </c>
      <c r="G538" t="inlineStr">
        <is>
          <t>RAGUNDA</t>
        </is>
      </c>
      <c r="H538" t="inlineStr">
        <is>
          <t>SCA</t>
        </is>
      </c>
      <c r="I538" t="n">
        <v>4.4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53549-2025</t>
        </is>
      </c>
      <c r="B539" t="inlineStr">
        <is>
          <t>avverkningsanmälan</t>
        </is>
      </c>
      <c r="C539" t="inlineStr">
        <is>
          <t>Föryngringsavverkning</t>
        </is>
      </c>
      <c r="D539" s="1" t="n">
        <v>45960</v>
      </c>
      <c r="E539" s="1" t="n">
        <v>46319</v>
      </c>
      <c r="F539" t="inlineStr">
        <is>
          <t>JÄMTLANDS LÄN</t>
        </is>
      </c>
      <c r="G539" t="inlineStr">
        <is>
          <t>RAGUNDA</t>
        </is>
      </c>
      <c r="I539" t="n">
        <v>5.4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53765-2025</t>
        </is>
      </c>
      <c r="B540" t="inlineStr">
        <is>
          <t>avverkningsanmälan</t>
        </is>
      </c>
      <c r="C540" t="inlineStr">
        <is>
          <t>Föryngringsavverkning</t>
        </is>
      </c>
      <c r="D540" s="1" t="n">
        <v>45960</v>
      </c>
      <c r="E540" s="1" t="n">
        <v>46319</v>
      </c>
      <c r="F540" t="inlineStr">
        <is>
          <t>JÄMTLANDS LÄN</t>
        </is>
      </c>
      <c r="G540" t="inlineStr">
        <is>
          <t>RAGUNDA</t>
        </is>
      </c>
      <c r="H540" t="inlineStr">
        <is>
          <t>SCA</t>
        </is>
      </c>
      <c r="I540" t="n">
        <v>1.6</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53986-2025</t>
        </is>
      </c>
      <c r="B541" t="inlineStr">
        <is>
          <t>avverkningsanmälan</t>
        </is>
      </c>
      <c r="C541" t="inlineStr">
        <is>
          <t>Föryngringsavverkning</t>
        </is>
      </c>
      <c r="D541" s="1" t="n">
        <v>45961</v>
      </c>
      <c r="E541" s="1" t="n">
        <v>46319</v>
      </c>
      <c r="F541" t="inlineStr">
        <is>
          <t>JÄMTLANDS LÄN</t>
        </is>
      </c>
      <c r="G541" t="inlineStr">
        <is>
          <t>RAGUNDA</t>
        </is>
      </c>
      <c r="H541" t="inlineStr">
        <is>
          <t>SCA</t>
        </is>
      </c>
      <c r="I541" t="n">
        <v>1.2</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53951-2025</t>
        </is>
      </c>
      <c r="B542" t="inlineStr">
        <is>
          <t>avverkningsanmälan</t>
        </is>
      </c>
      <c r="C542" t="inlineStr">
        <is>
          <t>Föryngringsavverkning</t>
        </is>
      </c>
      <c r="D542" s="1" t="n">
        <v>45961</v>
      </c>
      <c r="E542" s="1" t="n">
        <v>46319</v>
      </c>
      <c r="F542" t="inlineStr">
        <is>
          <t>JÄMTLANDS LÄN</t>
        </is>
      </c>
      <c r="G542" t="inlineStr">
        <is>
          <t>RAGUNDA</t>
        </is>
      </c>
      <c r="I542" t="n">
        <v>1.8</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54195-2025</t>
        </is>
      </c>
      <c r="B543" t="inlineStr">
        <is>
          <t>avverkningsanmälan</t>
        </is>
      </c>
      <c r="C543" t="inlineStr">
        <is>
          <t>Föryngringsavverkning</t>
        </is>
      </c>
      <c r="D543" s="1" t="n">
        <v>45964</v>
      </c>
      <c r="E543" s="1" t="n">
        <v>46319</v>
      </c>
      <c r="F543" t="inlineStr">
        <is>
          <t>JÄMTLANDS LÄN</t>
        </is>
      </c>
      <c r="G543" t="inlineStr">
        <is>
          <t>RAGUNDA</t>
        </is>
      </c>
      <c r="H543" t="inlineStr">
        <is>
          <t>SCA</t>
        </is>
      </c>
      <c r="I543" t="n">
        <v>5.3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29940-2023</t>
        </is>
      </c>
      <c r="B544" t="inlineStr">
        <is>
          <t>avverkningsanmälan</t>
        </is>
      </c>
      <c r="C544" t="inlineStr">
        <is>
          <t>Föryngringsavverkning</t>
        </is>
      </c>
      <c r="D544" s="1" t="n">
        <v>45107</v>
      </c>
      <c r="E544" s="1" t="n">
        <v>46319</v>
      </c>
      <c r="F544" t="inlineStr">
        <is>
          <t>JÄMTLANDS LÄN</t>
        </is>
      </c>
      <c r="G544" t="inlineStr">
        <is>
          <t>RAGUNDA</t>
        </is>
      </c>
      <c r="I544" t="n">
        <v>13.5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66471-2021</t>
        </is>
      </c>
      <c r="B545" t="inlineStr">
        <is>
          <t>avverkningsanmälan</t>
        </is>
      </c>
      <c r="C545" t="inlineStr">
        <is>
          <t>Föryngringsavverkning</t>
        </is>
      </c>
      <c r="D545" s="1" t="n">
        <v>44518</v>
      </c>
      <c r="E545" s="1" t="n">
        <v>46319</v>
      </c>
      <c r="F545" t="inlineStr">
        <is>
          <t>JÄMTLANDS LÄN</t>
        </is>
      </c>
      <c r="G545" t="inlineStr">
        <is>
          <t>RAGUNDA</t>
        </is>
      </c>
      <c r="I545" t="n">
        <v>13.4</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53948-2025</t>
        </is>
      </c>
      <c r="B546" t="inlineStr">
        <is>
          <t>avverkningsanmälan</t>
        </is>
      </c>
      <c r="C546" t="inlineStr">
        <is>
          <t>Föryngringsavverkning</t>
        </is>
      </c>
      <c r="D546" s="1" t="n">
        <v>45961</v>
      </c>
      <c r="E546" s="1" t="n">
        <v>46319</v>
      </c>
      <c r="F546" t="inlineStr">
        <is>
          <t>JÄMTLANDS LÄN</t>
        </is>
      </c>
      <c r="G546" t="inlineStr">
        <is>
          <t>RAGUNDA</t>
        </is>
      </c>
      <c r="I546" t="n">
        <v>7.9</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53973-2025</t>
        </is>
      </c>
      <c r="B547" t="inlineStr">
        <is>
          <t>avverkningsanmälan</t>
        </is>
      </c>
      <c r="C547" t="inlineStr">
        <is>
          <t>Föryngringsavverkning</t>
        </is>
      </c>
      <c r="D547" s="1" t="n">
        <v>45961</v>
      </c>
      <c r="E547" s="1" t="n">
        <v>46319</v>
      </c>
      <c r="F547" t="inlineStr">
        <is>
          <t>JÄMTLANDS LÄN</t>
        </is>
      </c>
      <c r="G547" t="inlineStr">
        <is>
          <t>RAGUNDA</t>
        </is>
      </c>
      <c r="I547" t="n">
        <v>2.4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27093-2026</t>
        </is>
      </c>
      <c r="B548" t="inlineStr">
        <is>
          <t>avverkningsanmälan</t>
        </is>
      </c>
      <c r="C548" t="inlineStr">
        <is>
          <t>Avverkning för annat ändamål</t>
        </is>
      </c>
      <c r="D548" s="1" t="n">
        <v>46188</v>
      </c>
      <c r="E548" s="1" t="n">
        <v>46319</v>
      </c>
      <c r="F548" t="inlineStr">
        <is>
          <t>JÄMTLANDS LÄN</t>
        </is>
      </c>
      <c r="G548" t="inlineStr">
        <is>
          <t>RAGUNDA</t>
        </is>
      </c>
      <c r="I548" t="n">
        <v>0.6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54396-2025</t>
        </is>
      </c>
      <c r="B549" t="inlineStr">
        <is>
          <t>avverkningsanmälan</t>
        </is>
      </c>
      <c r="C549" t="inlineStr">
        <is>
          <t>Föryngringsavverkning</t>
        </is>
      </c>
      <c r="D549" s="1" t="n">
        <v>45965</v>
      </c>
      <c r="E549" s="1" t="n">
        <v>46319</v>
      </c>
      <c r="F549" t="inlineStr">
        <is>
          <t>JÄMTLANDS LÄN</t>
        </is>
      </c>
      <c r="G549" t="inlineStr">
        <is>
          <t>RAGUNDA</t>
        </is>
      </c>
      <c r="H549" t="inlineStr">
        <is>
          <t>SCA</t>
        </is>
      </c>
      <c r="I549" t="n">
        <v>35.2</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60195-2023</t>
        </is>
      </c>
      <c r="B550" t="inlineStr">
        <is>
          <t>avverkningsanmälan</t>
        </is>
      </c>
      <c r="C550" t="inlineStr">
        <is>
          <t>Föryngringsavverkning</t>
        </is>
      </c>
      <c r="D550" s="1" t="n">
        <v>45257</v>
      </c>
      <c r="E550" s="1" t="n">
        <v>46319</v>
      </c>
      <c r="F550" t="inlineStr">
        <is>
          <t>JÄMTLANDS LÄN</t>
        </is>
      </c>
      <c r="G550" t="inlineStr">
        <is>
          <t>RAGUNDA</t>
        </is>
      </c>
      <c r="I550" t="n">
        <v>1.7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22731-2023</t>
        </is>
      </c>
      <c r="B551" t="inlineStr">
        <is>
          <t>avverkningsanmälan</t>
        </is>
      </c>
      <c r="C551" t="inlineStr">
        <is>
          <t>Föryngringsavverkning</t>
        </is>
      </c>
      <c r="D551" s="1" t="n">
        <v>45071</v>
      </c>
      <c r="E551" s="1" t="n">
        <v>46319</v>
      </c>
      <c r="F551" t="inlineStr">
        <is>
          <t>JÄMTLANDS LÄN</t>
        </is>
      </c>
      <c r="G551" t="inlineStr">
        <is>
          <t>RAGUNDA</t>
        </is>
      </c>
      <c r="I551" t="n">
        <v>1.5</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33877-2023</t>
        </is>
      </c>
      <c r="B552" t="inlineStr">
        <is>
          <t>avverkningsanmälan</t>
        </is>
      </c>
      <c r="C552" t="inlineStr">
        <is>
          <t>Avverkning för annat ändamål</t>
        </is>
      </c>
      <c r="D552" s="1" t="n">
        <v>45133</v>
      </c>
      <c r="E552" s="1" t="n">
        <v>46319</v>
      </c>
      <c r="F552" t="inlineStr">
        <is>
          <t>JÄMTLANDS LÄN</t>
        </is>
      </c>
      <c r="G552" t="inlineStr">
        <is>
          <t>RAGUNDA</t>
        </is>
      </c>
      <c r="H552" t="inlineStr">
        <is>
          <t>SCA</t>
        </is>
      </c>
      <c r="I552" t="n">
        <v>4.3</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54820-2025</t>
        </is>
      </c>
      <c r="B553" t="inlineStr">
        <is>
          <t>avverkningsanmälan</t>
        </is>
      </c>
      <c r="C553" t="inlineStr">
        <is>
          <t>Föryngringsavverkning</t>
        </is>
      </c>
      <c r="D553" s="1" t="n">
        <v>45966</v>
      </c>
      <c r="E553" s="1" t="n">
        <v>46319</v>
      </c>
      <c r="F553" t="inlineStr">
        <is>
          <t>JÄMTLANDS LÄN</t>
        </is>
      </c>
      <c r="G553" t="inlineStr">
        <is>
          <t>RAGUNDA</t>
        </is>
      </c>
      <c r="I553" t="n">
        <v>15.3</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8775-2025</t>
        </is>
      </c>
      <c r="B554" t="inlineStr">
        <is>
          <t>avverkningsanmälan</t>
        </is>
      </c>
      <c r="C554" t="inlineStr">
        <is>
          <t>Föryngringsavverkning</t>
        </is>
      </c>
      <c r="D554" s="1" t="n">
        <v>45712</v>
      </c>
      <c r="E554" s="1" t="n">
        <v>46319</v>
      </c>
      <c r="F554" t="inlineStr">
        <is>
          <t>JÄMTLANDS LÄN</t>
        </is>
      </c>
      <c r="G554" t="inlineStr">
        <is>
          <t>RAGUNDA</t>
        </is>
      </c>
      <c r="H554" t="inlineStr">
        <is>
          <t>SCA</t>
        </is>
      </c>
      <c r="I554" t="n">
        <v>1.9</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54794-2025</t>
        </is>
      </c>
      <c r="B555" t="inlineStr">
        <is>
          <t>avverkningsanmälan</t>
        </is>
      </c>
      <c r="C555" t="inlineStr">
        <is>
          <t>Föryngringsavverkning</t>
        </is>
      </c>
      <c r="D555" s="1" t="n">
        <v>45966</v>
      </c>
      <c r="E555" s="1" t="n">
        <v>46319</v>
      </c>
      <c r="F555" t="inlineStr">
        <is>
          <t>JÄMTLANDS LÄN</t>
        </is>
      </c>
      <c r="G555" t="inlineStr">
        <is>
          <t>RAGUNDA</t>
        </is>
      </c>
      <c r="I555" t="n">
        <v>4</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8776-2025</t>
        </is>
      </c>
      <c r="B556" t="inlineStr">
        <is>
          <t>avverkningsanmälan</t>
        </is>
      </c>
      <c r="C556" t="inlineStr">
        <is>
          <t>Föryngringsavverkning</t>
        </is>
      </c>
      <c r="D556" s="1" t="n">
        <v>45712</v>
      </c>
      <c r="E556" s="1" t="n">
        <v>46319</v>
      </c>
      <c r="F556" t="inlineStr">
        <is>
          <t>JÄMTLANDS LÄN</t>
        </is>
      </c>
      <c r="G556" t="inlineStr">
        <is>
          <t>RAGUNDA</t>
        </is>
      </c>
      <c r="H556" t="inlineStr">
        <is>
          <t>SCA</t>
        </is>
      </c>
      <c r="I556" t="n">
        <v>1.2</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57749-2024</t>
        </is>
      </c>
      <c r="B557" t="inlineStr">
        <is>
          <t>avverkningsanmälan</t>
        </is>
      </c>
      <c r="C557" t="inlineStr">
        <is>
          <t>Föryngringsavverkning</t>
        </is>
      </c>
      <c r="D557" s="1" t="n">
        <v>45630</v>
      </c>
      <c r="E557" s="1" t="n">
        <v>46319</v>
      </c>
      <c r="F557" t="inlineStr">
        <is>
          <t>JÄMTLANDS LÄN</t>
        </is>
      </c>
      <c r="G557" t="inlineStr">
        <is>
          <t>RAGUNDA</t>
        </is>
      </c>
      <c r="I557" t="n">
        <v>1.3</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5067-2024</t>
        </is>
      </c>
      <c r="B558" t="inlineStr">
        <is>
          <t>avverkningsanmälan</t>
        </is>
      </c>
      <c r="C558" t="inlineStr">
        <is>
          <t>Föryngringsavverkning</t>
        </is>
      </c>
      <c r="D558" s="1" t="n">
        <v>45329</v>
      </c>
      <c r="E558" s="1" t="n">
        <v>46319</v>
      </c>
      <c r="F558" t="inlineStr">
        <is>
          <t>JÄMTLANDS LÄN</t>
        </is>
      </c>
      <c r="G558" t="inlineStr">
        <is>
          <t>RAGUNDA</t>
        </is>
      </c>
      <c r="H558" t="inlineStr">
        <is>
          <t>SCA</t>
        </is>
      </c>
      <c r="I558" t="n">
        <v>2.8</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5429-2024</t>
        </is>
      </c>
      <c r="B559" t="inlineStr">
        <is>
          <t>avverkningsanmälan</t>
        </is>
      </c>
      <c r="C559" t="inlineStr">
        <is>
          <t>Föryngringsavverkning</t>
        </is>
      </c>
      <c r="D559" s="1" t="n">
        <v>45331</v>
      </c>
      <c r="E559" s="1" t="n">
        <v>46319</v>
      </c>
      <c r="F559" t="inlineStr">
        <is>
          <t>JÄMTLANDS LÄN</t>
        </is>
      </c>
      <c r="G559" t="inlineStr">
        <is>
          <t>RAGUNDA</t>
        </is>
      </c>
      <c r="I559" t="n">
        <v>1.1</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28164-2026</t>
        </is>
      </c>
      <c r="B560" t="inlineStr">
        <is>
          <t>avverkningsanmälan</t>
        </is>
      </c>
      <c r="C560" t="inlineStr">
        <is>
          <t>Föryngringsavverkning</t>
        </is>
      </c>
      <c r="D560" s="1" t="n">
        <v>46195</v>
      </c>
      <c r="E560" s="1" t="n">
        <v>46319</v>
      </c>
      <c r="F560" t="inlineStr">
        <is>
          <t>JÄMTLANDS LÄN</t>
        </is>
      </c>
      <c r="G560" t="inlineStr">
        <is>
          <t>RAGUNDA</t>
        </is>
      </c>
      <c r="I560" t="n">
        <v>13.3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28182-2026</t>
        </is>
      </c>
      <c r="B561" t="inlineStr">
        <is>
          <t>avverkningsanmälan</t>
        </is>
      </c>
      <c r="C561" t="inlineStr">
        <is>
          <t>Föryngringsavverkning</t>
        </is>
      </c>
      <c r="D561" s="1" t="n">
        <v>46195</v>
      </c>
      <c r="E561" s="1" t="n">
        <v>46319</v>
      </c>
      <c r="F561" t="inlineStr">
        <is>
          <t>JÄMTLANDS LÄN</t>
        </is>
      </c>
      <c r="G561" t="inlineStr">
        <is>
          <t>RAGUNDA</t>
        </is>
      </c>
      <c r="I561" t="n">
        <v>6.2</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28742-2023</t>
        </is>
      </c>
      <c r="B562" t="inlineStr">
        <is>
          <t>avverkningsanmälan</t>
        </is>
      </c>
      <c r="C562" t="inlineStr">
        <is>
          <t>Avverkning för annat ändamål</t>
        </is>
      </c>
      <c r="D562" s="1" t="n">
        <v>45103</v>
      </c>
      <c r="E562" s="1" t="n">
        <v>46319</v>
      </c>
      <c r="F562" t="inlineStr">
        <is>
          <t>JÄMTLANDS LÄN</t>
        </is>
      </c>
      <c r="G562" t="inlineStr">
        <is>
          <t>RAGUNDA</t>
        </is>
      </c>
      <c r="I562" t="n">
        <v>1.8</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22981-2023</t>
        </is>
      </c>
      <c r="B563" t="inlineStr">
        <is>
          <t>avverkningsanmälan</t>
        </is>
      </c>
      <c r="C563" t="inlineStr">
        <is>
          <t>Föryngringsavverkning</t>
        </is>
      </c>
      <c r="D563" s="1" t="n">
        <v>45072</v>
      </c>
      <c r="E563" s="1" t="n">
        <v>46319</v>
      </c>
      <c r="F563" t="inlineStr">
        <is>
          <t>JÄMTLANDS LÄN</t>
        </is>
      </c>
      <c r="G563" t="inlineStr">
        <is>
          <t>RAGUNDA</t>
        </is>
      </c>
      <c r="I563" t="n">
        <v>3.8</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2819-2023</t>
        </is>
      </c>
      <c r="B564" t="inlineStr">
        <is>
          <t>avverkningsanmälan</t>
        </is>
      </c>
      <c r="C564" t="inlineStr">
        <is>
          <t>Föryngringsavverkning</t>
        </is>
      </c>
      <c r="D564" s="1" t="n">
        <v>44944</v>
      </c>
      <c r="E564" s="1" t="n">
        <v>46319</v>
      </c>
      <c r="F564" t="inlineStr">
        <is>
          <t>JÄMTLANDS LÄN</t>
        </is>
      </c>
      <c r="G564" t="inlineStr">
        <is>
          <t>RAGUNDA</t>
        </is>
      </c>
      <c r="I564" t="n">
        <v>8.800000000000001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21726-2023</t>
        </is>
      </c>
      <c r="B565" t="inlineStr">
        <is>
          <t>avverkningsanmälan</t>
        </is>
      </c>
      <c r="C565" t="inlineStr">
        <is>
          <t>Avverkning för annat ändamål</t>
        </is>
      </c>
      <c r="D565" s="1" t="n">
        <v>45065</v>
      </c>
      <c r="E565" s="1" t="n">
        <v>46319</v>
      </c>
      <c r="F565" t="inlineStr">
        <is>
          <t>JÄMTLANDS LÄN</t>
        </is>
      </c>
      <c r="G565" t="inlineStr">
        <is>
          <t>RAGUNDA</t>
        </is>
      </c>
      <c r="I565" t="n">
        <v>0.4</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55514-2024</t>
        </is>
      </c>
      <c r="B566" t="inlineStr">
        <is>
          <t>avverkningsanmälan</t>
        </is>
      </c>
      <c r="C566" t="inlineStr">
        <is>
          <t>Föryngringsavverkning</t>
        </is>
      </c>
      <c r="D566" s="1" t="n">
        <v>45622</v>
      </c>
      <c r="E566" s="1" t="n">
        <v>46319</v>
      </c>
      <c r="F566" t="inlineStr">
        <is>
          <t>JÄMTLANDS LÄN</t>
        </is>
      </c>
      <c r="G566" t="inlineStr">
        <is>
          <t>RAGUNDA</t>
        </is>
      </c>
      <c r="I566" t="n">
        <v>0.9</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24441-2024</t>
        </is>
      </c>
      <c r="B567" t="inlineStr">
        <is>
          <t>avverkningsanmälan</t>
        </is>
      </c>
      <c r="C567" t="inlineStr">
        <is>
          <t>Föryngringsavverkning</t>
        </is>
      </c>
      <c r="D567" s="1" t="n">
        <v>45457</v>
      </c>
      <c r="E567" s="1" t="n">
        <v>46319</v>
      </c>
      <c r="F567" t="inlineStr">
        <is>
          <t>JÄMTLANDS LÄN</t>
        </is>
      </c>
      <c r="G567" t="inlineStr">
        <is>
          <t>RAGUNDA</t>
        </is>
      </c>
      <c r="H567" t="inlineStr">
        <is>
          <t>SCA</t>
        </is>
      </c>
      <c r="I567" t="n">
        <v>2.7</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934-2023</t>
        </is>
      </c>
      <c r="B568" t="inlineStr">
        <is>
          <t>avverkningsanmälan</t>
        </is>
      </c>
      <c r="C568" t="inlineStr">
        <is>
          <t>Avverkning för att bevara och utveckla /försöksver</t>
        </is>
      </c>
      <c r="D568" s="1" t="n">
        <v>44932</v>
      </c>
      <c r="E568" s="1" t="n">
        <v>46319</v>
      </c>
      <c r="F568" t="inlineStr">
        <is>
          <t>JÄMTLANDS LÄN</t>
        </is>
      </c>
      <c r="G568" t="inlineStr">
        <is>
          <t>RAGUNDA</t>
        </is>
      </c>
      <c r="H568" t="inlineStr">
        <is>
          <t>SCA</t>
        </is>
      </c>
      <c r="I568" t="n">
        <v>1</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37242-2024</t>
        </is>
      </c>
      <c r="B569" t="inlineStr">
        <is>
          <t>avverkningsanmälan</t>
        </is>
      </c>
      <c r="C569" t="inlineStr">
        <is>
          <t>Föryngringsavverkning</t>
        </is>
      </c>
      <c r="D569" s="1" t="n">
        <v>45540</v>
      </c>
      <c r="E569" s="1" t="n">
        <v>46319</v>
      </c>
      <c r="F569" t="inlineStr">
        <is>
          <t>JÄMTLANDS LÄN</t>
        </is>
      </c>
      <c r="G569" t="inlineStr">
        <is>
          <t>RAGUNDA</t>
        </is>
      </c>
      <c r="H569" t="inlineStr">
        <is>
          <t>SCA</t>
        </is>
      </c>
      <c r="I569" t="n">
        <v>2.2</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9232-2025</t>
        </is>
      </c>
      <c r="B570" t="inlineStr">
        <is>
          <t>avverkningsanmälan</t>
        </is>
      </c>
      <c r="C570" t="inlineStr">
        <is>
          <t>Föryngringsavverkning</t>
        </is>
      </c>
      <c r="D570" s="1" t="n">
        <v>45714</v>
      </c>
      <c r="E570" s="1" t="n">
        <v>46319</v>
      </c>
      <c r="F570" t="inlineStr">
        <is>
          <t>JÄMTLANDS LÄN</t>
        </is>
      </c>
      <c r="G570" t="inlineStr">
        <is>
          <t>RAGUNDA</t>
        </is>
      </c>
      <c r="I570" t="n">
        <v>1.9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41656-2023</t>
        </is>
      </c>
      <c r="B571" t="inlineStr">
        <is>
          <t>avverkningsanmälan</t>
        </is>
      </c>
      <c r="C571" t="inlineStr">
        <is>
          <t>Föryngringsavverkning</t>
        </is>
      </c>
      <c r="D571" s="1" t="n">
        <v>45175</v>
      </c>
      <c r="E571" s="1" t="n">
        <v>46319</v>
      </c>
      <c r="F571" t="inlineStr">
        <is>
          <t>JÄMTLANDS LÄN</t>
        </is>
      </c>
      <c r="G571" t="inlineStr">
        <is>
          <t>RAGUNDA</t>
        </is>
      </c>
      <c r="H571" t="inlineStr">
        <is>
          <t>SCA</t>
        </is>
      </c>
      <c r="I571" t="n">
        <v>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56806-2025</t>
        </is>
      </c>
      <c r="B572" t="inlineStr">
        <is>
          <t>avverkningsanmälan</t>
        </is>
      </c>
      <c r="C572" t="inlineStr">
        <is>
          <t>Föryngringsavverkning</t>
        </is>
      </c>
      <c r="D572" s="1" t="n">
        <v>45978</v>
      </c>
      <c r="E572" s="1" t="n">
        <v>46319</v>
      </c>
      <c r="F572" t="inlineStr">
        <is>
          <t>JÄMTLANDS LÄN</t>
        </is>
      </c>
      <c r="G572" t="inlineStr">
        <is>
          <t>RAGUNDA</t>
        </is>
      </c>
      <c r="H572" t="inlineStr">
        <is>
          <t>SCA</t>
        </is>
      </c>
      <c r="I572" t="n">
        <v>7.5</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36317-2024</t>
        </is>
      </c>
      <c r="B573" t="inlineStr">
        <is>
          <t>avverkningsanmälan</t>
        </is>
      </c>
      <c r="C573" t="inlineStr">
        <is>
          <t>Föryngringsavverkning</t>
        </is>
      </c>
      <c r="D573" s="1" t="n">
        <v>45534</v>
      </c>
      <c r="E573" s="1" t="n">
        <v>46319</v>
      </c>
      <c r="F573" t="inlineStr">
        <is>
          <t>JÄMTLANDS LÄN</t>
        </is>
      </c>
      <c r="G573" t="inlineStr">
        <is>
          <t>RAGUNDA</t>
        </is>
      </c>
      <c r="H573" t="inlineStr">
        <is>
          <t>SCA</t>
        </is>
      </c>
      <c r="I573" t="n">
        <v>3.4</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28922-2026</t>
        </is>
      </c>
      <c r="B574" t="inlineStr">
        <is>
          <t>avverkningsanmälan</t>
        </is>
      </c>
      <c r="C574" t="inlineStr">
        <is>
          <t>Föryngringsavverkning</t>
        </is>
      </c>
      <c r="D574" s="1" t="n">
        <v>46199</v>
      </c>
      <c r="E574" s="1" t="n">
        <v>46319</v>
      </c>
      <c r="F574" t="inlineStr">
        <is>
          <t>JÄMTLANDS LÄN</t>
        </is>
      </c>
      <c r="G574" t="inlineStr">
        <is>
          <t>RAGUNDA</t>
        </is>
      </c>
      <c r="I574" t="n">
        <v>1</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182-2023</t>
        </is>
      </c>
      <c r="B575" t="inlineStr">
        <is>
          <t>avverkningsanmälan</t>
        </is>
      </c>
      <c r="C575" t="inlineStr">
        <is>
          <t>Avverkning för annat ändamål</t>
        </is>
      </c>
      <c r="D575" s="1" t="n">
        <v>44922</v>
      </c>
      <c r="E575" s="1" t="n">
        <v>46319</v>
      </c>
      <c r="F575" t="inlineStr">
        <is>
          <t>JÄMTLANDS LÄN</t>
        </is>
      </c>
      <c r="G575" t="inlineStr">
        <is>
          <t>RAGUNDA</t>
        </is>
      </c>
      <c r="I575" t="n">
        <v>1.4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36226-2023</t>
        </is>
      </c>
      <c r="B576" t="inlineStr">
        <is>
          <t>avverkningsanmälan</t>
        </is>
      </c>
      <c r="C576" t="inlineStr">
        <is>
          <t>Föryngringsavverkning</t>
        </is>
      </c>
      <c r="D576" s="1" t="n">
        <v>45149</v>
      </c>
      <c r="E576" s="1" t="n">
        <v>46319</v>
      </c>
      <c r="F576" t="inlineStr">
        <is>
          <t>JÄMTLANDS LÄN</t>
        </is>
      </c>
      <c r="G576" t="inlineStr">
        <is>
          <t>RAGUNDA</t>
        </is>
      </c>
      <c r="H576" t="inlineStr">
        <is>
          <t>SCA</t>
        </is>
      </c>
      <c r="I576" t="n">
        <v>2.1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28904-2026</t>
        </is>
      </c>
      <c r="B577" t="inlineStr">
        <is>
          <t>avverkningsanmälan</t>
        </is>
      </c>
      <c r="C577" t="inlineStr">
        <is>
          <t>Föryngringsavverkning</t>
        </is>
      </c>
      <c r="D577" s="1" t="n">
        <v>46199</v>
      </c>
      <c r="E577" s="1" t="n">
        <v>46319</v>
      </c>
      <c r="F577" t="inlineStr">
        <is>
          <t>JÄMTLANDS LÄN</t>
        </is>
      </c>
      <c r="G577" t="inlineStr">
        <is>
          <t>RAGUNDA</t>
        </is>
      </c>
      <c r="I577" t="n">
        <v>0.8</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28921-2026</t>
        </is>
      </c>
      <c r="B578" t="inlineStr">
        <is>
          <t>avverkningsanmälan</t>
        </is>
      </c>
      <c r="C578" t="inlineStr">
        <is>
          <t>Föryngringsavverkning</t>
        </is>
      </c>
      <c r="D578" s="1" t="n">
        <v>46199</v>
      </c>
      <c r="E578" s="1" t="n">
        <v>46319</v>
      </c>
      <c r="F578" t="inlineStr">
        <is>
          <t>JÄMTLANDS LÄN</t>
        </is>
      </c>
      <c r="G578" t="inlineStr">
        <is>
          <t>RAGUNDA</t>
        </is>
      </c>
      <c r="I578" t="n">
        <v>1.3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28919-2026</t>
        </is>
      </c>
      <c r="B579" t="inlineStr">
        <is>
          <t>avverkningsanmälan</t>
        </is>
      </c>
      <c r="C579" t="inlineStr">
        <is>
          <t>Föryngringsavverkning</t>
        </is>
      </c>
      <c r="D579" s="1" t="n">
        <v>46199</v>
      </c>
      <c r="E579" s="1" t="n">
        <v>46319</v>
      </c>
      <c r="F579" t="inlineStr">
        <is>
          <t>JÄMTLANDS LÄN</t>
        </is>
      </c>
      <c r="G579" t="inlineStr">
        <is>
          <t>RAGUNDA</t>
        </is>
      </c>
      <c r="I579" t="n">
        <v>0.4</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28920-2026</t>
        </is>
      </c>
      <c r="B580" t="inlineStr">
        <is>
          <t>avverkningsanmälan</t>
        </is>
      </c>
      <c r="C580" t="inlineStr">
        <is>
          <t>Föryngringsavverkning</t>
        </is>
      </c>
      <c r="D580" s="1" t="n">
        <v>46199</v>
      </c>
      <c r="E580" s="1" t="n">
        <v>46319</v>
      </c>
      <c r="F580" t="inlineStr">
        <is>
          <t>JÄMTLANDS LÄN</t>
        </is>
      </c>
      <c r="G580" t="inlineStr">
        <is>
          <t>RAGUNDA</t>
        </is>
      </c>
      <c r="I580" t="n">
        <v>1.4</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59368-2022</t>
        </is>
      </c>
      <c r="B581" t="inlineStr">
        <is>
          <t>avverkningsanmälan</t>
        </is>
      </c>
      <c r="C581" t="inlineStr">
        <is>
          <t>Avverkning för att bevara och utveckla /försöksver</t>
        </is>
      </c>
      <c r="D581" s="1" t="n">
        <v>44904</v>
      </c>
      <c r="E581" s="1" t="n">
        <v>46319</v>
      </c>
      <c r="F581" t="inlineStr">
        <is>
          <t>JÄMTLANDS LÄN</t>
        </is>
      </c>
      <c r="G581" t="inlineStr">
        <is>
          <t>RAGUNDA</t>
        </is>
      </c>
      <c r="H581" t="inlineStr">
        <is>
          <t>SCA</t>
        </is>
      </c>
      <c r="I581" t="n">
        <v>1.5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893-2025</t>
        </is>
      </c>
      <c r="B582" t="inlineStr">
        <is>
          <t>avverkningsanmälan</t>
        </is>
      </c>
      <c r="C582" t="inlineStr">
        <is>
          <t>Föryngringsavverkning</t>
        </is>
      </c>
      <c r="D582" s="1" t="n">
        <v>45665</v>
      </c>
      <c r="E582" s="1" t="n">
        <v>46319</v>
      </c>
      <c r="F582" t="inlineStr">
        <is>
          <t>JÄMTLANDS LÄN</t>
        </is>
      </c>
      <c r="G582" t="inlineStr">
        <is>
          <t>RAGUNDA</t>
        </is>
      </c>
      <c r="H582" t="inlineStr">
        <is>
          <t>SCA</t>
        </is>
      </c>
      <c r="I582" t="n">
        <v>45.1</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57561-2025</t>
        </is>
      </c>
      <c r="B583" t="inlineStr">
        <is>
          <t>avverkningsanmälan</t>
        </is>
      </c>
      <c r="C583" t="inlineStr">
        <is>
          <t>Föryngringsavverkning</t>
        </is>
      </c>
      <c r="D583" s="1" t="n">
        <v>45980</v>
      </c>
      <c r="E583" s="1" t="n">
        <v>46319</v>
      </c>
      <c r="F583" t="inlineStr">
        <is>
          <t>JÄMTLANDS LÄN</t>
        </is>
      </c>
      <c r="G583" t="inlineStr">
        <is>
          <t>RAGUNDA</t>
        </is>
      </c>
      <c r="H583" t="inlineStr">
        <is>
          <t>SCA</t>
        </is>
      </c>
      <c r="I583" t="n">
        <v>0.8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57560-2025</t>
        </is>
      </c>
      <c r="B584" t="inlineStr">
        <is>
          <t>avverkningsanmälan</t>
        </is>
      </c>
      <c r="C584" t="inlineStr">
        <is>
          <t>Föryngringsavverkning</t>
        </is>
      </c>
      <c r="D584" s="1" t="n">
        <v>45980</v>
      </c>
      <c r="E584" s="1" t="n">
        <v>46319</v>
      </c>
      <c r="F584" t="inlineStr">
        <is>
          <t>JÄMTLANDS LÄN</t>
        </is>
      </c>
      <c r="G584" t="inlineStr">
        <is>
          <t>RAGUNDA</t>
        </is>
      </c>
      <c r="H584" t="inlineStr">
        <is>
          <t>SCA</t>
        </is>
      </c>
      <c r="I584" t="n">
        <v>3.2</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66011-2021</t>
        </is>
      </c>
      <c r="B585" t="inlineStr">
        <is>
          <t>avverkningsanmälan</t>
        </is>
      </c>
      <c r="C585" t="inlineStr">
        <is>
          <t>Föryngringsavverkning</t>
        </is>
      </c>
      <c r="D585" s="1" t="n">
        <v>44517</v>
      </c>
      <c r="E585" s="1" t="n">
        <v>46319</v>
      </c>
      <c r="F585" t="inlineStr">
        <is>
          <t>JÄMTLANDS LÄN</t>
        </is>
      </c>
      <c r="G585" t="inlineStr">
        <is>
          <t>RAGUNDA</t>
        </is>
      </c>
      <c r="I585" t="n">
        <v>1.1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7520-2023</t>
        </is>
      </c>
      <c r="B586" t="inlineStr">
        <is>
          <t>avverkningsanmälan</t>
        </is>
      </c>
      <c r="C586" t="inlineStr">
        <is>
          <t>Föryngringsavverkning</t>
        </is>
      </c>
      <c r="D586" s="1" t="n">
        <v>44971</v>
      </c>
      <c r="E586" s="1" t="n">
        <v>46319</v>
      </c>
      <c r="F586" t="inlineStr">
        <is>
          <t>JÄMTLANDS LÄN</t>
        </is>
      </c>
      <c r="G586" t="inlineStr">
        <is>
          <t>RAGUNDA</t>
        </is>
      </c>
      <c r="H586" t="inlineStr">
        <is>
          <t>SCA</t>
        </is>
      </c>
      <c r="I586" t="n">
        <v>3.5</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53549-2024</t>
        </is>
      </c>
      <c r="B587" t="inlineStr">
        <is>
          <t>avverkningsanmälan</t>
        </is>
      </c>
      <c r="C587" t="inlineStr">
        <is>
          <t>Avverkning för annat ändamål</t>
        </is>
      </c>
      <c r="D587" s="1" t="n">
        <v>45614</v>
      </c>
      <c r="E587" s="1" t="n">
        <v>46319</v>
      </c>
      <c r="F587" t="inlineStr">
        <is>
          <t>JÄMTLANDS LÄN</t>
        </is>
      </c>
      <c r="G587" t="inlineStr">
        <is>
          <t>RAGUNDA</t>
        </is>
      </c>
      <c r="H587" t="inlineStr">
        <is>
          <t>Kyrkan</t>
        </is>
      </c>
      <c r="I587" t="n">
        <v>1.7</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53955-2022</t>
        </is>
      </c>
      <c r="B588" t="inlineStr">
        <is>
          <t>avverkningsanmälan</t>
        </is>
      </c>
      <c r="C588" t="inlineStr">
        <is>
          <t>Avverkning för att bevara och utveckla /försöksver</t>
        </is>
      </c>
      <c r="D588" s="1" t="n">
        <v>44880</v>
      </c>
      <c r="E588" s="1" t="n">
        <v>46319</v>
      </c>
      <c r="F588" t="inlineStr">
        <is>
          <t>JÄMTLANDS LÄN</t>
        </is>
      </c>
      <c r="G588" t="inlineStr">
        <is>
          <t>RAGUNDA</t>
        </is>
      </c>
      <c r="H588" t="inlineStr">
        <is>
          <t>SCA</t>
        </is>
      </c>
      <c r="I588" t="n">
        <v>1.8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9567-2025</t>
        </is>
      </c>
      <c r="B589" t="inlineStr">
        <is>
          <t>avverkningsanmälan</t>
        </is>
      </c>
      <c r="C589" t="inlineStr">
        <is>
          <t>Föryngringsavverkning</t>
        </is>
      </c>
      <c r="D589" s="1" t="n">
        <v>45715</v>
      </c>
      <c r="E589" s="1" t="n">
        <v>46319</v>
      </c>
      <c r="F589" t="inlineStr">
        <is>
          <t>JÄMTLANDS LÄN</t>
        </is>
      </c>
      <c r="G589" t="inlineStr">
        <is>
          <t>RAGUNDA</t>
        </is>
      </c>
      <c r="H589" t="inlineStr">
        <is>
          <t>SCA</t>
        </is>
      </c>
      <c r="I589" t="n">
        <v>4.8</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53287-2022</t>
        </is>
      </c>
      <c r="B590" t="inlineStr">
        <is>
          <t>avverkningsanmälan</t>
        </is>
      </c>
      <c r="C590" t="inlineStr">
        <is>
          <t>Avverkning för att bevara och utveckla /försöksver</t>
        </is>
      </c>
      <c r="D590" s="1" t="n">
        <v>44876</v>
      </c>
      <c r="E590" s="1" t="n">
        <v>46319</v>
      </c>
      <c r="F590" t="inlineStr">
        <is>
          <t>JÄMTLANDS LÄN</t>
        </is>
      </c>
      <c r="G590" t="inlineStr">
        <is>
          <t>RAGUNDA</t>
        </is>
      </c>
      <c r="H590" t="inlineStr">
        <is>
          <t>SCA</t>
        </is>
      </c>
      <c r="I590" t="n">
        <v>6.2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51646-2023</t>
        </is>
      </c>
      <c r="B591" t="inlineStr">
        <is>
          <t>avverkningsanmälan</t>
        </is>
      </c>
      <c r="C591" t="inlineStr">
        <is>
          <t>Föryngringsavverkning</t>
        </is>
      </c>
      <c r="D591" s="1" t="n">
        <v>45215</v>
      </c>
      <c r="E591" s="1" t="n">
        <v>46319</v>
      </c>
      <c r="F591" t="inlineStr">
        <is>
          <t>JÄMTLANDS LÄN</t>
        </is>
      </c>
      <c r="G591" t="inlineStr">
        <is>
          <t>RAGUNDA</t>
        </is>
      </c>
      <c r="I591" t="n">
        <v>0.7</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17323-2025</t>
        </is>
      </c>
      <c r="B592" t="inlineStr">
        <is>
          <t>avverkningsanmälan</t>
        </is>
      </c>
      <c r="C592" t="inlineStr">
        <is>
          <t>Föryngringsavverkning</t>
        </is>
      </c>
      <c r="D592" s="1" t="n">
        <v>45756</v>
      </c>
      <c r="E592" s="1" t="n">
        <v>46319</v>
      </c>
      <c r="F592" t="inlineStr">
        <is>
          <t>JÄMTLANDS LÄN</t>
        </is>
      </c>
      <c r="G592" t="inlineStr">
        <is>
          <t>RAGUNDA</t>
        </is>
      </c>
      <c r="H592" t="inlineStr">
        <is>
          <t>SCA</t>
        </is>
      </c>
      <c r="I592" t="n">
        <v>2.2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58076-2025</t>
        </is>
      </c>
      <c r="B593" t="inlineStr">
        <is>
          <t>avverkningsanmälan</t>
        </is>
      </c>
      <c r="C593" t="inlineStr">
        <is>
          <t>Föryngringsavverkning</t>
        </is>
      </c>
      <c r="D593" s="1" t="n">
        <v>45982</v>
      </c>
      <c r="E593" s="1" t="n">
        <v>46319</v>
      </c>
      <c r="F593" t="inlineStr">
        <is>
          <t>JÄMTLANDS LÄN</t>
        </is>
      </c>
      <c r="G593" t="inlineStr">
        <is>
          <t>RAGUNDA</t>
        </is>
      </c>
      <c r="I593" t="n">
        <v>0.1</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57914-2025</t>
        </is>
      </c>
      <c r="B594" t="inlineStr">
        <is>
          <t>avverkningsanmälan</t>
        </is>
      </c>
      <c r="C594" t="inlineStr">
        <is>
          <t>Föryngringsavverkning</t>
        </is>
      </c>
      <c r="D594" s="1" t="n">
        <v>45981</v>
      </c>
      <c r="E594" s="1" t="n">
        <v>46319</v>
      </c>
      <c r="F594" t="inlineStr">
        <is>
          <t>JÄMTLANDS LÄN</t>
        </is>
      </c>
      <c r="G594" t="inlineStr">
        <is>
          <t>RAGUNDA</t>
        </is>
      </c>
      <c r="I594" t="n">
        <v>3.2</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29948-2026</t>
        </is>
      </c>
      <c r="B595" t="inlineStr">
        <is>
          <t>avverkningsanmälan</t>
        </is>
      </c>
      <c r="C595" t="inlineStr">
        <is>
          <t>Föryngringsavverkning</t>
        </is>
      </c>
      <c r="D595" s="1" t="n">
        <v>46205</v>
      </c>
      <c r="E595" s="1" t="n">
        <v>46319</v>
      </c>
      <c r="F595" t="inlineStr">
        <is>
          <t>JÄMTLANDS LÄN</t>
        </is>
      </c>
      <c r="G595" t="inlineStr">
        <is>
          <t>RAGUNDA</t>
        </is>
      </c>
      <c r="I595" t="n">
        <v>1.3</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19486-2024</t>
        </is>
      </c>
      <c r="B596" t="inlineStr">
        <is>
          <t>avverkningsanmälan</t>
        </is>
      </c>
      <c r="C596" t="inlineStr">
        <is>
          <t>Föryngringsavverkning</t>
        </is>
      </c>
      <c r="D596" s="1" t="n">
        <v>45429</v>
      </c>
      <c r="E596" s="1" t="n">
        <v>46319</v>
      </c>
      <c r="F596" t="inlineStr">
        <is>
          <t>JÄMTLANDS LÄN</t>
        </is>
      </c>
      <c r="G596" t="inlineStr">
        <is>
          <t>RAGUNDA</t>
        </is>
      </c>
      <c r="I596" t="n">
        <v>2.3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57916-2025</t>
        </is>
      </c>
      <c r="B597" t="inlineStr">
        <is>
          <t>avverkningsanmälan</t>
        </is>
      </c>
      <c r="C597" t="inlineStr">
        <is>
          <t>Föryngringsavverkning</t>
        </is>
      </c>
      <c r="D597" s="1" t="n">
        <v>45981</v>
      </c>
      <c r="E597" s="1" t="n">
        <v>46319</v>
      </c>
      <c r="F597" t="inlineStr">
        <is>
          <t>JÄMTLANDS LÄN</t>
        </is>
      </c>
      <c r="G597" t="inlineStr">
        <is>
          <t>RAGUNDA</t>
        </is>
      </c>
      <c r="I597" t="n">
        <v>5.3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57785-2025</t>
        </is>
      </c>
      <c r="B598" t="inlineStr">
        <is>
          <t>avverkningsanmälan</t>
        </is>
      </c>
      <c r="C598" t="inlineStr">
        <is>
          <t>Föryngringsavverkning</t>
        </is>
      </c>
      <c r="D598" s="1" t="n">
        <v>45981</v>
      </c>
      <c r="E598" s="1" t="n">
        <v>46319</v>
      </c>
      <c r="F598" t="inlineStr">
        <is>
          <t>JÄMTLANDS LÄN</t>
        </is>
      </c>
      <c r="G598" t="inlineStr">
        <is>
          <t>RAGUNDA</t>
        </is>
      </c>
      <c r="H598" t="inlineStr">
        <is>
          <t>SCA</t>
        </is>
      </c>
      <c r="I598" t="n">
        <v>1.2</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13941-2025</t>
        </is>
      </c>
      <c r="B599" t="inlineStr">
        <is>
          <t>avverkningsanmälan</t>
        </is>
      </c>
      <c r="C599" t="inlineStr">
        <is>
          <t>Föryngringsavverkning</t>
        </is>
      </c>
      <c r="D599" s="1" t="n">
        <v>45737</v>
      </c>
      <c r="E599" s="1" t="n">
        <v>46319</v>
      </c>
      <c r="F599" t="inlineStr">
        <is>
          <t>JÄMTLANDS LÄN</t>
        </is>
      </c>
      <c r="G599" t="inlineStr">
        <is>
          <t>RAGUNDA</t>
        </is>
      </c>
      <c r="H599" t="inlineStr">
        <is>
          <t>SCA</t>
        </is>
      </c>
      <c r="I599" t="n">
        <v>3.1</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29980-2026</t>
        </is>
      </c>
      <c r="B600" t="inlineStr">
        <is>
          <t>avverkningsanmälan</t>
        </is>
      </c>
      <c r="C600" t="inlineStr">
        <is>
          <t>Föryngringsavverkning</t>
        </is>
      </c>
      <c r="D600" s="1" t="n">
        <v>46205</v>
      </c>
      <c r="E600" s="1" t="n">
        <v>46319</v>
      </c>
      <c r="F600" t="inlineStr">
        <is>
          <t>JÄMTLANDS LÄN</t>
        </is>
      </c>
      <c r="G600" t="inlineStr">
        <is>
          <t>RAGUNDA</t>
        </is>
      </c>
      <c r="I600" t="n">
        <v>1.9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26646-2023</t>
        </is>
      </c>
      <c r="B601" t="inlineStr">
        <is>
          <t>avverkningsanmälan</t>
        </is>
      </c>
      <c r="C601" t="inlineStr">
        <is>
          <t>Föryngringsavverkning</t>
        </is>
      </c>
      <c r="D601" s="1" t="n">
        <v>45092</v>
      </c>
      <c r="E601" s="1" t="n">
        <v>46319</v>
      </c>
      <c r="F601" t="inlineStr">
        <is>
          <t>JÄMTLANDS LÄN</t>
        </is>
      </c>
      <c r="G601" t="inlineStr">
        <is>
          <t>RAGUNDA</t>
        </is>
      </c>
      <c r="I601" t="n">
        <v>1.4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58638-2025</t>
        </is>
      </c>
      <c r="B602" t="inlineStr">
        <is>
          <t>avverkningsanmälan</t>
        </is>
      </c>
      <c r="C602" t="inlineStr">
        <is>
          <t>Föryngringsavverkning</t>
        </is>
      </c>
      <c r="D602" s="1" t="n">
        <v>45986</v>
      </c>
      <c r="E602" s="1" t="n">
        <v>46319</v>
      </c>
      <c r="F602" t="inlineStr">
        <is>
          <t>JÄMTLANDS LÄN</t>
        </is>
      </c>
      <c r="G602" t="inlineStr">
        <is>
          <t>RAGUNDA</t>
        </is>
      </c>
      <c r="I602" t="n">
        <v>1.3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58559-2025</t>
        </is>
      </c>
      <c r="B603" t="inlineStr">
        <is>
          <t>avverkningsanmälan</t>
        </is>
      </c>
      <c r="C603" t="inlineStr">
        <is>
          <t>Föryngringsavverkning</t>
        </is>
      </c>
      <c r="D603" s="1" t="n">
        <v>45986</v>
      </c>
      <c r="E603" s="1" t="n">
        <v>46319</v>
      </c>
      <c r="F603" t="inlineStr">
        <is>
          <t>JÄMTLANDS LÄN</t>
        </is>
      </c>
      <c r="G603" t="inlineStr">
        <is>
          <t>RAGUNDA</t>
        </is>
      </c>
      <c r="H603" t="inlineStr">
        <is>
          <t>SCA</t>
        </is>
      </c>
      <c r="I603" t="n">
        <v>8.300000000000001</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27291-2022</t>
        </is>
      </c>
      <c r="B604" t="inlineStr">
        <is>
          <t>avverkningsanmälan</t>
        </is>
      </c>
      <c r="C604" t="inlineStr">
        <is>
          <t>Föryngringsavverkning</t>
        </is>
      </c>
      <c r="D604" s="1" t="n">
        <v>44741</v>
      </c>
      <c r="E604" s="1" t="n">
        <v>46319</v>
      </c>
      <c r="F604" t="inlineStr">
        <is>
          <t>JÄMTLANDS LÄN</t>
        </is>
      </c>
      <c r="G604" t="inlineStr">
        <is>
          <t>RAGUNDA</t>
        </is>
      </c>
      <c r="H604" t="inlineStr">
        <is>
          <t>SCA</t>
        </is>
      </c>
      <c r="I604" t="n">
        <v>1.5</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49650-2024</t>
        </is>
      </c>
      <c r="B605" t="inlineStr">
        <is>
          <t>avverkningsanmälan</t>
        </is>
      </c>
      <c r="C605" t="inlineStr">
        <is>
          <t>Föryngringsavverkning</t>
        </is>
      </c>
      <c r="D605" s="1" t="n">
        <v>45596</v>
      </c>
      <c r="E605" s="1" t="n">
        <v>46319</v>
      </c>
      <c r="F605" t="inlineStr">
        <is>
          <t>JÄMTLANDS LÄN</t>
        </is>
      </c>
      <c r="G605" t="inlineStr">
        <is>
          <t>RAGUNDA</t>
        </is>
      </c>
      <c r="H605" t="inlineStr">
        <is>
          <t>Naturvårdsverket</t>
        </is>
      </c>
      <c r="I605" t="n">
        <v>3</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30439-2026</t>
        </is>
      </c>
      <c r="B606" t="inlineStr">
        <is>
          <t>avverkningsanmälan</t>
        </is>
      </c>
      <c r="C606" t="inlineStr">
        <is>
          <t>Avverkning för att bevara och utveckla /försöksver</t>
        </is>
      </c>
      <c r="D606" s="1" t="n">
        <v>46209</v>
      </c>
      <c r="E606" s="1" t="n">
        <v>46319</v>
      </c>
      <c r="F606" t="inlineStr">
        <is>
          <t>JÄMTLANDS LÄN</t>
        </is>
      </c>
      <c r="G606" t="inlineStr">
        <is>
          <t>RAGUNDA</t>
        </is>
      </c>
      <c r="H606" t="inlineStr">
        <is>
          <t>SCA</t>
        </is>
      </c>
      <c r="I606" t="n">
        <v>4.3</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30401-2026</t>
        </is>
      </c>
      <c r="B607" t="inlineStr">
        <is>
          <t>avverkningsanmälan</t>
        </is>
      </c>
      <c r="C607" t="inlineStr">
        <is>
          <t>Föryngringsavverkning</t>
        </is>
      </c>
      <c r="D607" s="1" t="n">
        <v>46209</v>
      </c>
      <c r="E607" s="1" t="n">
        <v>46319</v>
      </c>
      <c r="F607" t="inlineStr">
        <is>
          <t>JÄMTLANDS LÄN</t>
        </is>
      </c>
      <c r="G607" t="inlineStr">
        <is>
          <t>RAGUNDA</t>
        </is>
      </c>
      <c r="H607" t="inlineStr">
        <is>
          <t>SCA</t>
        </is>
      </c>
      <c r="I607" t="n">
        <v>1.2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58918-2025</t>
        </is>
      </c>
      <c r="B608" t="inlineStr">
        <is>
          <t>avverkningsanmälan</t>
        </is>
      </c>
      <c r="C608" t="inlineStr">
        <is>
          <t>Föryngringsavverkning</t>
        </is>
      </c>
      <c r="D608" s="1" t="n">
        <v>45987</v>
      </c>
      <c r="E608" s="1" t="n">
        <v>46319</v>
      </c>
      <c r="F608" t="inlineStr">
        <is>
          <t>JÄMTLANDS LÄN</t>
        </is>
      </c>
      <c r="G608" t="inlineStr">
        <is>
          <t>RAGUNDA</t>
        </is>
      </c>
      <c r="I608" t="n">
        <v>2</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60443-2023</t>
        </is>
      </c>
      <c r="B609" t="inlineStr">
        <is>
          <t>avverkningsanmälan</t>
        </is>
      </c>
      <c r="C609" t="inlineStr">
        <is>
          <t>Föryngringsavverkning</t>
        </is>
      </c>
      <c r="D609" s="1" t="n">
        <v>45258</v>
      </c>
      <c r="E609" s="1" t="n">
        <v>46319</v>
      </c>
      <c r="F609" t="inlineStr">
        <is>
          <t>JÄMTLANDS LÄN</t>
        </is>
      </c>
      <c r="G609" t="inlineStr">
        <is>
          <t>RAGUNDA</t>
        </is>
      </c>
      <c r="I609" t="n">
        <v>2.9</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44759-2024</t>
        </is>
      </c>
      <c r="B610" t="inlineStr">
        <is>
          <t>avverkningsanmälan</t>
        </is>
      </c>
      <c r="C610" t="inlineStr">
        <is>
          <t>Föryngringsavverkning</t>
        </is>
      </c>
      <c r="D610" s="1" t="n">
        <v>45574</v>
      </c>
      <c r="E610" s="1" t="n">
        <v>46319</v>
      </c>
      <c r="F610" t="inlineStr">
        <is>
          <t>JÄMTLANDS LÄN</t>
        </is>
      </c>
      <c r="G610" t="inlineStr">
        <is>
          <t>RAGUNDA</t>
        </is>
      </c>
      <c r="I610" t="n">
        <v>1.9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57064-2024</t>
        </is>
      </c>
      <c r="B611" t="inlineStr">
        <is>
          <t>avverkningsanmälan</t>
        </is>
      </c>
      <c r="C611" t="inlineStr">
        <is>
          <t>Föryngringsavverkning</t>
        </is>
      </c>
      <c r="D611" s="1" t="n">
        <v>45629</v>
      </c>
      <c r="E611" s="1" t="n">
        <v>46319</v>
      </c>
      <c r="F611" t="inlineStr">
        <is>
          <t>JÄMTLANDS LÄN</t>
        </is>
      </c>
      <c r="G611" t="inlineStr">
        <is>
          <t>RAGUNDA</t>
        </is>
      </c>
      <c r="H611" t="inlineStr">
        <is>
          <t>Naturvårdsverket</t>
        </is>
      </c>
      <c r="I611" t="n">
        <v>0.5</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59693-2025</t>
        </is>
      </c>
      <c r="B612" t="inlineStr">
        <is>
          <t>avverkningsanmälan</t>
        </is>
      </c>
      <c r="C612" t="inlineStr">
        <is>
          <t>Föryngringsavverkning</t>
        </is>
      </c>
      <c r="D612" s="1" t="n">
        <v>45992</v>
      </c>
      <c r="E612" s="1" t="n">
        <v>46319</v>
      </c>
      <c r="F612" t="inlineStr">
        <is>
          <t>JÄMTLANDS LÄN</t>
        </is>
      </c>
      <c r="G612" t="inlineStr">
        <is>
          <t>RAGUNDA</t>
        </is>
      </c>
      <c r="I612" t="n">
        <v>0.7</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30673-2026</t>
        </is>
      </c>
      <c r="B613" t="inlineStr">
        <is>
          <t>avverkningsanmälan</t>
        </is>
      </c>
      <c r="C613" t="inlineStr">
        <is>
          <t>Föryngringsavverkning</t>
        </is>
      </c>
      <c r="D613" s="1" t="n">
        <v>46211</v>
      </c>
      <c r="E613" s="1" t="n">
        <v>46319</v>
      </c>
      <c r="F613" t="inlineStr">
        <is>
          <t>JÄMTLANDS LÄN</t>
        </is>
      </c>
      <c r="G613" t="inlineStr">
        <is>
          <t>RAGUNDA</t>
        </is>
      </c>
      <c r="I613" t="n">
        <v>1.4</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30654-2026</t>
        </is>
      </c>
      <c r="B614" t="inlineStr">
        <is>
          <t>avverkningsanmälan</t>
        </is>
      </c>
      <c r="C614" t="inlineStr">
        <is>
          <t>Avverkning för att bevara och utveckla /försöksver</t>
        </is>
      </c>
      <c r="D614" s="1" t="n">
        <v>46211</v>
      </c>
      <c r="E614" s="1" t="n">
        <v>46319</v>
      </c>
      <c r="F614" t="inlineStr">
        <is>
          <t>JÄMTLANDS LÄN</t>
        </is>
      </c>
      <c r="G614" t="inlineStr">
        <is>
          <t>RAGUNDA</t>
        </is>
      </c>
      <c r="I614" t="n">
        <v>2.8</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60936-2024</t>
        </is>
      </c>
      <c r="B615" t="inlineStr">
        <is>
          <t>avverkningsanmälan</t>
        </is>
      </c>
      <c r="C615" t="inlineStr">
        <is>
          <t>Föryngringsavverkning</t>
        </is>
      </c>
      <c r="D615" s="1" t="n">
        <v>45645</v>
      </c>
      <c r="E615" s="1" t="n">
        <v>46319</v>
      </c>
      <c r="F615" t="inlineStr">
        <is>
          <t>JÄMTLANDS LÄN</t>
        </is>
      </c>
      <c r="G615" t="inlineStr">
        <is>
          <t>RAGUNDA</t>
        </is>
      </c>
      <c r="I615" t="n">
        <v>1.2</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59739-2025</t>
        </is>
      </c>
      <c r="B616" t="inlineStr">
        <is>
          <t>avverkningsanmälan</t>
        </is>
      </c>
      <c r="C616" t="inlineStr">
        <is>
          <t>Föryngringsavverkning</t>
        </is>
      </c>
      <c r="D616" s="1" t="n">
        <v>45992</v>
      </c>
      <c r="E616" s="1" t="n">
        <v>46319</v>
      </c>
      <c r="F616" t="inlineStr">
        <is>
          <t>JÄMTLANDS LÄN</t>
        </is>
      </c>
      <c r="G616" t="inlineStr">
        <is>
          <t>RAGUNDA</t>
        </is>
      </c>
      <c r="H616" t="inlineStr">
        <is>
          <t>SCA</t>
        </is>
      </c>
      <c r="I616" t="n">
        <v>0.6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30541-2026</t>
        </is>
      </c>
      <c r="B617" t="inlineStr">
        <is>
          <t>avverkningsanmälan</t>
        </is>
      </c>
      <c r="C617" t="inlineStr">
        <is>
          <t>Föryngringsavverkning</t>
        </is>
      </c>
      <c r="D617" s="1" t="n">
        <v>46210</v>
      </c>
      <c r="E617" s="1" t="n">
        <v>46319</v>
      </c>
      <c r="F617" t="inlineStr">
        <is>
          <t>JÄMTLANDS LÄN</t>
        </is>
      </c>
      <c r="G617" t="inlineStr">
        <is>
          <t>RAGUNDA</t>
        </is>
      </c>
      <c r="I617" t="n">
        <v>0.7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30681-2026</t>
        </is>
      </c>
      <c r="B618" t="inlineStr">
        <is>
          <t>avverkningsanmälan</t>
        </is>
      </c>
      <c r="C618" t="inlineStr">
        <is>
          <t>Föryngringsavverkning</t>
        </is>
      </c>
      <c r="D618" s="1" t="n">
        <v>46211</v>
      </c>
      <c r="E618" s="1" t="n">
        <v>46319</v>
      </c>
      <c r="F618" t="inlineStr">
        <is>
          <t>JÄMTLANDS LÄN</t>
        </is>
      </c>
      <c r="G618" t="inlineStr">
        <is>
          <t>RAGUNDA</t>
        </is>
      </c>
      <c r="I618" t="n">
        <v>2.2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30889-2026</t>
        </is>
      </c>
      <c r="B619" t="inlineStr">
        <is>
          <t>avverkningsanmälan</t>
        </is>
      </c>
      <c r="C619" t="inlineStr">
        <is>
          <t>Avverkning för annat ändamål</t>
        </is>
      </c>
      <c r="D619" s="1" t="n">
        <v>46213</v>
      </c>
      <c r="E619" s="1" t="n">
        <v>46319</v>
      </c>
      <c r="F619" t="inlineStr">
        <is>
          <t>JÄMTLANDS LÄN</t>
        </is>
      </c>
      <c r="G619" t="inlineStr">
        <is>
          <t>RAGUNDA</t>
        </is>
      </c>
      <c r="I619" t="n">
        <v>1.2</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30897-2026</t>
        </is>
      </c>
      <c r="B620" t="inlineStr">
        <is>
          <t>avverkningsanmälan</t>
        </is>
      </c>
      <c r="C620" t="inlineStr">
        <is>
          <t>Avverkning för annat ändamål</t>
        </is>
      </c>
      <c r="D620" s="1" t="n">
        <v>46213</v>
      </c>
      <c r="E620" s="1" t="n">
        <v>46319</v>
      </c>
      <c r="F620" t="inlineStr">
        <is>
          <t>JÄMTLANDS LÄN</t>
        </is>
      </c>
      <c r="G620" t="inlineStr">
        <is>
          <t>RAGUNDA</t>
        </is>
      </c>
      <c r="H620" t="inlineStr">
        <is>
          <t>SCA</t>
        </is>
      </c>
      <c r="I620" t="n">
        <v>2.3</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23528-2024</t>
        </is>
      </c>
      <c r="B621" t="inlineStr">
        <is>
          <t>avverkningsanmälan</t>
        </is>
      </c>
      <c r="C621" t="inlineStr">
        <is>
          <t>Föryngringsavverkning</t>
        </is>
      </c>
      <c r="D621" s="1" t="n">
        <v>45453</v>
      </c>
      <c r="E621" s="1" t="n">
        <v>46319</v>
      </c>
      <c r="F621" t="inlineStr">
        <is>
          <t>JÄMTLANDS LÄN</t>
        </is>
      </c>
      <c r="G621" t="inlineStr">
        <is>
          <t>RAGUNDA</t>
        </is>
      </c>
      <c r="H621" t="inlineStr">
        <is>
          <t>SCA</t>
        </is>
      </c>
      <c r="I621" t="n">
        <v>4.7</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5930-2025</t>
        </is>
      </c>
      <c r="B622" t="inlineStr">
        <is>
          <t>avverkningsanmälan</t>
        </is>
      </c>
      <c r="C622" t="inlineStr">
        <is>
          <t>Föryngringsavverkning</t>
        </is>
      </c>
      <c r="D622" s="1" t="n">
        <v>45695</v>
      </c>
      <c r="E622" s="1" t="n">
        <v>46319</v>
      </c>
      <c r="F622" t="inlineStr">
        <is>
          <t>JÄMTLANDS LÄN</t>
        </is>
      </c>
      <c r="G622" t="inlineStr">
        <is>
          <t>RAGUNDA</t>
        </is>
      </c>
      <c r="I622" t="n">
        <v>0.7</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60389-2025</t>
        </is>
      </c>
      <c r="B623" t="inlineStr">
        <is>
          <t>avverkningsanmälan</t>
        </is>
      </c>
      <c r="C623" t="inlineStr">
        <is>
          <t>Föryngringsavverkning</t>
        </is>
      </c>
      <c r="D623" s="1" t="n">
        <v>45995</v>
      </c>
      <c r="E623" s="1" t="n">
        <v>46319</v>
      </c>
      <c r="F623" t="inlineStr">
        <is>
          <t>JÄMTLANDS LÄN</t>
        </is>
      </c>
      <c r="G623" t="inlineStr">
        <is>
          <t>RAGUNDA</t>
        </is>
      </c>
      <c r="I623" t="n">
        <v>3.3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22412-2024</t>
        </is>
      </c>
      <c r="B624" t="inlineStr">
        <is>
          <t>avverkningsanmälan</t>
        </is>
      </c>
      <c r="C624" t="inlineStr">
        <is>
          <t>Föryngringsavverkning</t>
        </is>
      </c>
      <c r="D624" s="1" t="n">
        <v>45446</v>
      </c>
      <c r="E624" s="1" t="n">
        <v>46319</v>
      </c>
      <c r="F624" t="inlineStr">
        <is>
          <t>JÄMTLANDS LÄN</t>
        </is>
      </c>
      <c r="G624" t="inlineStr">
        <is>
          <t>RAGUNDA</t>
        </is>
      </c>
      <c r="I624" t="n">
        <v>0.8</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24196-2024</t>
        </is>
      </c>
      <c r="B625" t="inlineStr">
        <is>
          <t>avverkningsanmälan</t>
        </is>
      </c>
      <c r="C625" t="inlineStr">
        <is>
          <t>Föryngringsavverkning</t>
        </is>
      </c>
      <c r="D625" s="1" t="n">
        <v>45456</v>
      </c>
      <c r="E625" s="1" t="n">
        <v>46319</v>
      </c>
      <c r="F625" t="inlineStr">
        <is>
          <t>JÄMTLANDS LÄN</t>
        </is>
      </c>
      <c r="G625" t="inlineStr">
        <is>
          <t>RAGUNDA</t>
        </is>
      </c>
      <c r="H625" t="inlineStr">
        <is>
          <t>SCA</t>
        </is>
      </c>
      <c r="I625" t="n">
        <v>1.9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60630-2025</t>
        </is>
      </c>
      <c r="B626" t="inlineStr">
        <is>
          <t>avverkningsanmälan</t>
        </is>
      </c>
      <c r="C626" t="inlineStr">
        <is>
          <t>Föryngringsavverkning</t>
        </is>
      </c>
      <c r="D626" s="1" t="n">
        <v>45996</v>
      </c>
      <c r="E626" s="1" t="n">
        <v>46319</v>
      </c>
      <c r="F626" t="inlineStr">
        <is>
          <t>JÄMTLANDS LÄN</t>
        </is>
      </c>
      <c r="G626" t="inlineStr">
        <is>
          <t>RAGUNDA</t>
        </is>
      </c>
      <c r="I626" t="n">
        <v>13.2</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61233-2025</t>
        </is>
      </c>
      <c r="B627" t="inlineStr">
        <is>
          <t>avverkningsanmälan</t>
        </is>
      </c>
      <c r="C627" t="inlineStr">
        <is>
          <t>Föryngringsavverkning</t>
        </is>
      </c>
      <c r="D627" s="1" t="n">
        <v>46000</v>
      </c>
      <c r="E627" s="1" t="n">
        <v>46319</v>
      </c>
      <c r="F627" t="inlineStr">
        <is>
          <t>JÄMTLANDS LÄN</t>
        </is>
      </c>
      <c r="G627" t="inlineStr">
        <is>
          <t>RAGUNDA</t>
        </is>
      </c>
      <c r="H627" t="inlineStr">
        <is>
          <t>SCA</t>
        </is>
      </c>
      <c r="I627" t="n">
        <v>8.300000000000001</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61266-2025</t>
        </is>
      </c>
      <c r="B628" t="inlineStr">
        <is>
          <t>avverkningsanmälan</t>
        </is>
      </c>
      <c r="C628" t="inlineStr">
        <is>
          <t>Föryngringsavverkning</t>
        </is>
      </c>
      <c r="D628" s="1" t="n">
        <v>46000</v>
      </c>
      <c r="E628" s="1" t="n">
        <v>46319</v>
      </c>
      <c r="F628" t="inlineStr">
        <is>
          <t>JÄMTLANDS LÄN</t>
        </is>
      </c>
      <c r="G628" t="inlineStr">
        <is>
          <t>RAGUNDA</t>
        </is>
      </c>
      <c r="I628" t="n">
        <v>7.9</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7722-2023</t>
        </is>
      </c>
      <c r="B629" t="inlineStr">
        <is>
          <t>avverkningsanmälan</t>
        </is>
      </c>
      <c r="C629" t="inlineStr">
        <is>
          <t>Föryngringsavverkning</t>
        </is>
      </c>
      <c r="D629" s="1" t="n">
        <v>44972</v>
      </c>
      <c r="E629" s="1" t="n">
        <v>46319</v>
      </c>
      <c r="F629" t="inlineStr">
        <is>
          <t>JÄMTLANDS LÄN</t>
        </is>
      </c>
      <c r="G629" t="inlineStr">
        <is>
          <t>RAGUNDA</t>
        </is>
      </c>
      <c r="H629" t="inlineStr">
        <is>
          <t>SCA</t>
        </is>
      </c>
      <c r="I629" t="n">
        <v>5.4</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60760-2025</t>
        </is>
      </c>
      <c r="B630" t="inlineStr">
        <is>
          <t>avverkningsanmälan</t>
        </is>
      </c>
      <c r="C630" t="inlineStr">
        <is>
          <t>Föryngringsavverkning</t>
        </is>
      </c>
      <c r="D630" s="1" t="n">
        <v>45999</v>
      </c>
      <c r="E630" s="1" t="n">
        <v>46319</v>
      </c>
      <c r="F630" t="inlineStr">
        <is>
          <t>JÄMTLANDS LÄN</t>
        </is>
      </c>
      <c r="G630" t="inlineStr">
        <is>
          <t>RAGUNDA</t>
        </is>
      </c>
      <c r="H630" t="inlineStr">
        <is>
          <t>SCA</t>
        </is>
      </c>
      <c r="I630" t="n">
        <v>5.6</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20777-2025</t>
        </is>
      </c>
      <c r="B631" t="inlineStr">
        <is>
          <t>avverkningsanmälan</t>
        </is>
      </c>
      <c r="C631" t="inlineStr">
        <is>
          <t>Föryngringsavverkning</t>
        </is>
      </c>
      <c r="D631" s="1" t="n">
        <v>45776</v>
      </c>
      <c r="E631" s="1" t="n">
        <v>46319</v>
      </c>
      <c r="F631" t="inlineStr">
        <is>
          <t>JÄMTLANDS LÄN</t>
        </is>
      </c>
      <c r="G631" t="inlineStr">
        <is>
          <t>RAGUNDA</t>
        </is>
      </c>
      <c r="H631" t="inlineStr">
        <is>
          <t>SCA</t>
        </is>
      </c>
      <c r="I631" t="n">
        <v>1.3</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20722-2025</t>
        </is>
      </c>
      <c r="B632" t="inlineStr">
        <is>
          <t>avverkningsanmälan</t>
        </is>
      </c>
      <c r="C632" t="inlineStr">
        <is>
          <t>Avverkning för annat ändamål</t>
        </is>
      </c>
      <c r="D632" s="1" t="n">
        <v>45776</v>
      </c>
      <c r="E632" s="1" t="n">
        <v>46319</v>
      </c>
      <c r="F632" t="inlineStr">
        <is>
          <t>JÄMTLANDS LÄN</t>
        </is>
      </c>
      <c r="G632" t="inlineStr">
        <is>
          <t>RAGUNDA</t>
        </is>
      </c>
      <c r="H632" t="inlineStr">
        <is>
          <t>Kommuner</t>
        </is>
      </c>
      <c r="I632" t="n">
        <v>0.8</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31572-2026</t>
        </is>
      </c>
      <c r="B633" t="inlineStr">
        <is>
          <t>avverkningsanmälan</t>
        </is>
      </c>
      <c r="C633" t="inlineStr">
        <is>
          <t>Föryngringsavverkning</t>
        </is>
      </c>
      <c r="D633" s="1" t="n">
        <v>46223</v>
      </c>
      <c r="E633" s="1" t="n">
        <v>46319</v>
      </c>
      <c r="F633" t="inlineStr">
        <is>
          <t>JÄMTLANDS LÄN</t>
        </is>
      </c>
      <c r="G633" t="inlineStr">
        <is>
          <t>RAGUNDA</t>
        </is>
      </c>
      <c r="I633" t="n">
        <v>6.8</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37265-2024</t>
        </is>
      </c>
      <c r="B634" t="inlineStr">
        <is>
          <t>avverkningsanmälan</t>
        </is>
      </c>
      <c r="C634" t="inlineStr">
        <is>
          <t>Avverkning för annat ändamål</t>
        </is>
      </c>
      <c r="D634" s="1" t="n">
        <v>45540</v>
      </c>
      <c r="E634" s="1" t="n">
        <v>46319</v>
      </c>
      <c r="F634" t="inlineStr">
        <is>
          <t>JÄMTLANDS LÄN</t>
        </is>
      </c>
      <c r="G634" t="inlineStr">
        <is>
          <t>RAGUNDA</t>
        </is>
      </c>
      <c r="H634" t="inlineStr">
        <is>
          <t>SCA</t>
        </is>
      </c>
      <c r="I634" t="n">
        <v>1.8</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3841-2026</t>
        </is>
      </c>
      <c r="B635" t="inlineStr">
        <is>
          <t>avverkningsanmälan</t>
        </is>
      </c>
      <c r="C635" t="inlineStr">
        <is>
          <t>Avverkning för annat ändamål</t>
        </is>
      </c>
      <c r="D635" s="1" t="n">
        <v>46043</v>
      </c>
      <c r="E635" s="1" t="n">
        <v>46319</v>
      </c>
      <c r="F635" t="inlineStr">
        <is>
          <t>JÄMTLANDS LÄN</t>
        </is>
      </c>
      <c r="G635" t="inlineStr">
        <is>
          <t>RAGUNDA</t>
        </is>
      </c>
      <c r="H635" t="inlineStr">
        <is>
          <t>Kommuner</t>
        </is>
      </c>
      <c r="I635" t="n">
        <v>0.6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61509-2025</t>
        </is>
      </c>
      <c r="B636" t="inlineStr">
        <is>
          <t>avverkningsanmälan</t>
        </is>
      </c>
      <c r="C636" t="inlineStr">
        <is>
          <t>Föryngringsavverkning</t>
        </is>
      </c>
      <c r="D636" s="1" t="n">
        <v>46001</v>
      </c>
      <c r="E636" s="1" t="n">
        <v>46319</v>
      </c>
      <c r="F636" t="inlineStr">
        <is>
          <t>JÄMTLANDS LÄN</t>
        </is>
      </c>
      <c r="G636" t="inlineStr">
        <is>
          <t>RAGUNDA</t>
        </is>
      </c>
      <c r="H636" t="inlineStr">
        <is>
          <t>SCA</t>
        </is>
      </c>
      <c r="I636" t="n">
        <v>1.8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21432-2025</t>
        </is>
      </c>
      <c r="B637" t="inlineStr">
        <is>
          <t>avverkningsanmälan</t>
        </is>
      </c>
      <c r="C637" t="inlineStr">
        <is>
          <t>Föryngringsavverkning</t>
        </is>
      </c>
      <c r="D637" s="1" t="n">
        <v>45782</v>
      </c>
      <c r="E637" s="1" t="n">
        <v>46319</v>
      </c>
      <c r="F637" t="inlineStr">
        <is>
          <t>JÄMTLANDS LÄN</t>
        </is>
      </c>
      <c r="G637" t="inlineStr">
        <is>
          <t>RAGUNDA</t>
        </is>
      </c>
      <c r="H637" t="inlineStr">
        <is>
          <t>SCA</t>
        </is>
      </c>
      <c r="I637" t="n">
        <v>4.6</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21550-2025</t>
        </is>
      </c>
      <c r="B638" t="inlineStr">
        <is>
          <t>avverkningsanmälan</t>
        </is>
      </c>
      <c r="C638" t="inlineStr">
        <is>
          <t>Föryngringsavverkning</t>
        </is>
      </c>
      <c r="D638" s="1" t="n">
        <v>45782</v>
      </c>
      <c r="E638" s="1" t="n">
        <v>46319</v>
      </c>
      <c r="F638" t="inlineStr">
        <is>
          <t>JÄMTLANDS LÄN</t>
        </is>
      </c>
      <c r="G638" t="inlineStr">
        <is>
          <t>RAGUNDA</t>
        </is>
      </c>
      <c r="H638" t="inlineStr">
        <is>
          <t>SCA</t>
        </is>
      </c>
      <c r="I638" t="n">
        <v>1.3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21451-2025</t>
        </is>
      </c>
      <c r="B639" t="inlineStr">
        <is>
          <t>avverkningsanmälan</t>
        </is>
      </c>
      <c r="C639" t="inlineStr">
        <is>
          <t>Föryngringsavverkning</t>
        </is>
      </c>
      <c r="D639" s="1" t="n">
        <v>45782</v>
      </c>
      <c r="E639" s="1" t="n">
        <v>46319</v>
      </c>
      <c r="F639" t="inlineStr">
        <is>
          <t>JÄMTLANDS LÄN</t>
        </is>
      </c>
      <c r="G639" t="inlineStr">
        <is>
          <t>RAGUNDA</t>
        </is>
      </c>
      <c r="H639" t="inlineStr">
        <is>
          <t>SCA</t>
        </is>
      </c>
      <c r="I639" t="n">
        <v>1.3</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21214-2025</t>
        </is>
      </c>
      <c r="B640" t="inlineStr">
        <is>
          <t>avverkningsanmälan</t>
        </is>
      </c>
      <c r="C640" t="inlineStr">
        <is>
          <t>Föryngringsavverkning</t>
        </is>
      </c>
      <c r="D640" s="1" t="n">
        <v>45779</v>
      </c>
      <c r="E640" s="1" t="n">
        <v>46319</v>
      </c>
      <c r="F640" t="inlineStr">
        <is>
          <t>JÄMTLANDS LÄN</t>
        </is>
      </c>
      <c r="G640" t="inlineStr">
        <is>
          <t>RAGUNDA</t>
        </is>
      </c>
      <c r="H640" t="inlineStr">
        <is>
          <t>SCA</t>
        </is>
      </c>
      <c r="I640" t="n">
        <v>1.8</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44881-2023</t>
        </is>
      </c>
      <c r="B641" t="inlineStr">
        <is>
          <t>avverkningsanmälan</t>
        </is>
      </c>
      <c r="C641" t="inlineStr">
        <is>
          <t>Avverkning för annat ändamål</t>
        </is>
      </c>
      <c r="D641" s="1" t="n">
        <v>45187</v>
      </c>
      <c r="E641" s="1" t="n">
        <v>46319</v>
      </c>
      <c r="F641" t="inlineStr">
        <is>
          <t>JÄMTLANDS LÄN</t>
        </is>
      </c>
      <c r="G641" t="inlineStr">
        <is>
          <t>RAGUNDA</t>
        </is>
      </c>
      <c r="I641" t="n">
        <v>2.4</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62819-2025</t>
        </is>
      </c>
      <c r="B642" t="inlineStr">
        <is>
          <t>avverkningsanmälan</t>
        </is>
      </c>
      <c r="C642" t="inlineStr">
        <is>
          <t>Föryngringsavverkning</t>
        </is>
      </c>
      <c r="D642" s="1" t="n">
        <v>46008</v>
      </c>
      <c r="E642" s="1" t="n">
        <v>46319</v>
      </c>
      <c r="F642" t="inlineStr">
        <is>
          <t>JÄMTLANDS LÄN</t>
        </is>
      </c>
      <c r="G642" t="inlineStr">
        <is>
          <t>RAGUNDA</t>
        </is>
      </c>
      <c r="I642" t="n">
        <v>3.5</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62490-2025</t>
        </is>
      </c>
      <c r="B643" t="inlineStr">
        <is>
          <t>avverkningsanmälan</t>
        </is>
      </c>
      <c r="C643" t="inlineStr">
        <is>
          <t>Avverkning för annat ändamål</t>
        </is>
      </c>
      <c r="D643" s="1" t="n">
        <v>46007</v>
      </c>
      <c r="E643" s="1" t="n">
        <v>46319</v>
      </c>
      <c r="F643" t="inlineStr">
        <is>
          <t>JÄMTLANDS LÄN</t>
        </is>
      </c>
      <c r="G643" t="inlineStr">
        <is>
          <t>RAGUNDA</t>
        </is>
      </c>
      <c r="H643" t="inlineStr">
        <is>
          <t>Kommuner</t>
        </is>
      </c>
      <c r="I643" t="n">
        <v>0.8</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62638-2025</t>
        </is>
      </c>
      <c r="B644" t="inlineStr">
        <is>
          <t>avverkningsanmälan</t>
        </is>
      </c>
      <c r="C644" t="inlineStr">
        <is>
          <t>Föryngringsavverkning</t>
        </is>
      </c>
      <c r="D644" s="1" t="n">
        <v>46008</v>
      </c>
      <c r="E644" s="1" t="n">
        <v>46319</v>
      </c>
      <c r="F644" t="inlineStr">
        <is>
          <t>JÄMTLANDS LÄN</t>
        </is>
      </c>
      <c r="G644" t="inlineStr">
        <is>
          <t>RAGUNDA</t>
        </is>
      </c>
      <c r="I644" t="n">
        <v>0.9</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62436-2025</t>
        </is>
      </c>
      <c r="B645" t="inlineStr">
        <is>
          <t>avverkningsanmälan</t>
        </is>
      </c>
      <c r="C645" t="inlineStr">
        <is>
          <t>Föryngringsavverkning</t>
        </is>
      </c>
      <c r="D645" s="1" t="n">
        <v>46007</v>
      </c>
      <c r="E645" s="1" t="n">
        <v>46319</v>
      </c>
      <c r="F645" t="inlineStr">
        <is>
          <t>JÄMTLANDS LÄN</t>
        </is>
      </c>
      <c r="G645" t="inlineStr">
        <is>
          <t>RAGUNDA</t>
        </is>
      </c>
      <c r="I645" t="n">
        <v>0.7</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60629-2023</t>
        </is>
      </c>
      <c r="B646" t="inlineStr">
        <is>
          <t>avverkningsanmälan</t>
        </is>
      </c>
      <c r="C646" t="inlineStr">
        <is>
          <t>Föryngringsavverkning</t>
        </is>
      </c>
      <c r="D646" s="1" t="n">
        <v>45259</v>
      </c>
      <c r="E646" s="1" t="n">
        <v>46319</v>
      </c>
      <c r="F646" t="inlineStr">
        <is>
          <t>JÄMTLANDS LÄN</t>
        </is>
      </c>
      <c r="G646" t="inlineStr">
        <is>
          <t>RAGUNDA</t>
        </is>
      </c>
      <c r="I646" t="n">
        <v>3.4</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63060-2025</t>
        </is>
      </c>
      <c r="B647" t="inlineStr">
        <is>
          <t>avverkningsanmälan</t>
        </is>
      </c>
      <c r="C647" t="inlineStr">
        <is>
          <t>Föryngringsavverkning</t>
        </is>
      </c>
      <c r="D647" s="1" t="n">
        <v>46009</v>
      </c>
      <c r="E647" s="1" t="n">
        <v>46319</v>
      </c>
      <c r="F647" t="inlineStr">
        <is>
          <t>JÄMTLANDS LÄN</t>
        </is>
      </c>
      <c r="G647" t="inlineStr">
        <is>
          <t>RAGUNDA</t>
        </is>
      </c>
      <c r="I647" t="n">
        <v>6.5</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37916-2026</t>
        </is>
      </c>
      <c r="B648" t="inlineStr">
        <is>
          <t>avverkningsanmälan</t>
        </is>
      </c>
      <c r="C648" t="inlineStr">
        <is>
          <t>Föryngringsavverkning</t>
        </is>
      </c>
      <c r="D648" s="1" t="n">
        <v>46280</v>
      </c>
      <c r="E648" s="1" t="n">
        <v>46319</v>
      </c>
      <c r="F648" t="inlineStr">
        <is>
          <t>JÄMTLANDS LÄN</t>
        </is>
      </c>
      <c r="G648" t="inlineStr">
        <is>
          <t>RAGUNDA</t>
        </is>
      </c>
      <c r="I648" t="n">
        <v>0.9</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63057-2025</t>
        </is>
      </c>
      <c r="B649" t="inlineStr">
        <is>
          <t>avverkningsanmälan</t>
        </is>
      </c>
      <c r="C649" t="inlineStr">
        <is>
          <t>Föryngringsavverkning</t>
        </is>
      </c>
      <c r="D649" s="1" t="n">
        <v>46009</v>
      </c>
      <c r="E649" s="1" t="n">
        <v>46319</v>
      </c>
      <c r="F649" t="inlineStr">
        <is>
          <t>JÄMTLANDS LÄN</t>
        </is>
      </c>
      <c r="G649" t="inlineStr">
        <is>
          <t>RAGUNDA</t>
        </is>
      </c>
      <c r="I649" t="n">
        <v>13.7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57889-2024</t>
        </is>
      </c>
      <c r="B650" t="inlineStr">
        <is>
          <t>avverkningsanmälan</t>
        </is>
      </c>
      <c r="C650" t="inlineStr">
        <is>
          <t>Föryngringsavverkning</t>
        </is>
      </c>
      <c r="D650" s="1" t="n">
        <v>45631</v>
      </c>
      <c r="E650" s="1" t="n">
        <v>46319</v>
      </c>
      <c r="F650" t="inlineStr">
        <is>
          <t>JÄMTLANDS LÄN</t>
        </is>
      </c>
      <c r="G650" t="inlineStr">
        <is>
          <t>RAGUNDA</t>
        </is>
      </c>
      <c r="I650" t="n">
        <v>11.1</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22388-2025</t>
        </is>
      </c>
      <c r="B651" t="inlineStr">
        <is>
          <t>avverkningsanmälan</t>
        </is>
      </c>
      <c r="C651" t="inlineStr">
        <is>
          <t>Föryngringsavverkning</t>
        </is>
      </c>
      <c r="D651" s="1" t="n">
        <v>45786</v>
      </c>
      <c r="E651" s="1" t="n">
        <v>46319</v>
      </c>
      <c r="F651" t="inlineStr">
        <is>
          <t>JÄMTLANDS LÄN</t>
        </is>
      </c>
      <c r="G651" t="inlineStr">
        <is>
          <t>RAGUNDA</t>
        </is>
      </c>
      <c r="H651" t="inlineStr">
        <is>
          <t>SCA</t>
        </is>
      </c>
      <c r="I651" t="n">
        <v>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63672-2025</t>
        </is>
      </c>
      <c r="B652" t="inlineStr">
        <is>
          <t>avverkningsanmälan</t>
        </is>
      </c>
      <c r="C652" t="inlineStr">
        <is>
          <t>Föryngringsavverkning</t>
        </is>
      </c>
      <c r="D652" s="1" t="n">
        <v>46014</v>
      </c>
      <c r="E652" s="1" t="n">
        <v>46319</v>
      </c>
      <c r="F652" t="inlineStr">
        <is>
          <t>JÄMTLANDS LÄN</t>
        </is>
      </c>
      <c r="G652" t="inlineStr">
        <is>
          <t>RAGUNDA</t>
        </is>
      </c>
      <c r="I652" t="n">
        <v>0.8</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32309-2026</t>
        </is>
      </c>
      <c r="B653" t="inlineStr">
        <is>
          <t>avverkningsanmälan</t>
        </is>
      </c>
      <c r="C653" t="inlineStr">
        <is>
          <t>Föryngringsavverkning</t>
        </is>
      </c>
      <c r="D653" s="1" t="n">
        <v>46237</v>
      </c>
      <c r="E653" s="1" t="n">
        <v>46319</v>
      </c>
      <c r="F653" t="inlineStr">
        <is>
          <t>JÄMTLANDS LÄN</t>
        </is>
      </c>
      <c r="G653" t="inlineStr">
        <is>
          <t>RAGUNDA</t>
        </is>
      </c>
      <c r="I653" t="n">
        <v>8.4</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38237-2026</t>
        </is>
      </c>
      <c r="B654" t="inlineStr">
        <is>
          <t>avverkningsanmälan</t>
        </is>
      </c>
      <c r="C654" t="inlineStr">
        <is>
          <t>Föryngringsavverkning</t>
        </is>
      </c>
      <c r="D654" s="1" t="n">
        <v>46281</v>
      </c>
      <c r="E654" s="1" t="n">
        <v>46319</v>
      </c>
      <c r="F654" t="inlineStr">
        <is>
          <t>JÄMTLANDS LÄN</t>
        </is>
      </c>
      <c r="G654" t="inlineStr">
        <is>
          <t>RAGUNDA</t>
        </is>
      </c>
      <c r="H654" t="inlineStr">
        <is>
          <t>SCA</t>
        </is>
      </c>
      <c r="I654" t="n">
        <v>35.8</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63828-2025</t>
        </is>
      </c>
      <c r="B655" t="inlineStr">
        <is>
          <t>avverkningsanmälan</t>
        </is>
      </c>
      <c r="C655" t="inlineStr">
        <is>
          <t>Föryngringsavverkning</t>
        </is>
      </c>
      <c r="D655" s="1" t="n">
        <v>46020</v>
      </c>
      <c r="E655" s="1" t="n">
        <v>46319</v>
      </c>
      <c r="F655" t="inlineStr">
        <is>
          <t>JÄMTLANDS LÄN</t>
        </is>
      </c>
      <c r="G655" t="inlineStr">
        <is>
          <t>RAGUNDA</t>
        </is>
      </c>
      <c r="I655" t="n">
        <v>4.7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22898-2025</t>
        </is>
      </c>
      <c r="B656" t="inlineStr">
        <is>
          <t>avverkningsanmälan</t>
        </is>
      </c>
      <c r="C656" t="inlineStr">
        <is>
          <t>Föryngringsavverkning</t>
        </is>
      </c>
      <c r="D656" s="1" t="n">
        <v>45790</v>
      </c>
      <c r="E656" s="1" t="n">
        <v>46319</v>
      </c>
      <c r="F656" t="inlineStr">
        <is>
          <t>JÄMTLANDS LÄN</t>
        </is>
      </c>
      <c r="G656" t="inlineStr">
        <is>
          <t>RAGUNDA</t>
        </is>
      </c>
      <c r="H656" t="inlineStr">
        <is>
          <t>SCA</t>
        </is>
      </c>
      <c r="I656" t="n">
        <v>1.3</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38304-2026</t>
        </is>
      </c>
      <c r="B657" t="inlineStr">
        <is>
          <t>avverkningsanmälan</t>
        </is>
      </c>
      <c r="C657" t="inlineStr">
        <is>
          <t>Föryngringsavverkning</t>
        </is>
      </c>
      <c r="D657" s="1" t="n">
        <v>46282</v>
      </c>
      <c r="E657" s="1" t="n">
        <v>46319</v>
      </c>
      <c r="F657" t="inlineStr">
        <is>
          <t>JÄMTLANDS LÄN</t>
        </is>
      </c>
      <c r="G657" t="inlineStr">
        <is>
          <t>RAGUNDA</t>
        </is>
      </c>
      <c r="H657" t="inlineStr">
        <is>
          <t>SCA</t>
        </is>
      </c>
      <c r="I657" t="n">
        <v>16.7</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38409-2026</t>
        </is>
      </c>
      <c r="B658" t="inlineStr">
        <is>
          <t>avverkningsanmälan</t>
        </is>
      </c>
      <c r="C658" t="inlineStr">
        <is>
          <t>Föryngringsavverkning</t>
        </is>
      </c>
      <c r="D658" s="1" t="n">
        <v>46282</v>
      </c>
      <c r="E658" s="1" t="n">
        <v>46319</v>
      </c>
      <c r="F658" t="inlineStr">
        <is>
          <t>JÄMTLANDS LÄN</t>
        </is>
      </c>
      <c r="G658" t="inlineStr">
        <is>
          <t>RAGUNDA</t>
        </is>
      </c>
      <c r="I658" t="n">
        <v>2</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38423-2026</t>
        </is>
      </c>
      <c r="B659" t="inlineStr">
        <is>
          <t>avverkningsanmälan</t>
        </is>
      </c>
      <c r="C659" t="inlineStr">
        <is>
          <t>Föryngringsavverkning</t>
        </is>
      </c>
      <c r="D659" s="1" t="n">
        <v>46282</v>
      </c>
      <c r="E659" s="1" t="n">
        <v>46319</v>
      </c>
      <c r="F659" t="inlineStr">
        <is>
          <t>JÄMTLANDS LÄN</t>
        </is>
      </c>
      <c r="G659" t="inlineStr">
        <is>
          <t>RAGUNDA</t>
        </is>
      </c>
      <c r="H659" t="inlineStr">
        <is>
          <t>SCA</t>
        </is>
      </c>
      <c r="I659" t="n">
        <v>25.9</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38428-2026</t>
        </is>
      </c>
      <c r="B660" t="inlineStr">
        <is>
          <t>avverkningsanmälan</t>
        </is>
      </c>
      <c r="C660" t="inlineStr">
        <is>
          <t>Föryngringsavverkning</t>
        </is>
      </c>
      <c r="D660" s="1" t="n">
        <v>46282</v>
      </c>
      <c r="E660" s="1" t="n">
        <v>46319</v>
      </c>
      <c r="F660" t="inlineStr">
        <is>
          <t>JÄMTLANDS LÄN</t>
        </is>
      </c>
      <c r="G660" t="inlineStr">
        <is>
          <t>RAGUNDA</t>
        </is>
      </c>
      <c r="H660" t="inlineStr">
        <is>
          <t>SCA</t>
        </is>
      </c>
      <c r="I660" t="n">
        <v>1.1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38437-2026</t>
        </is>
      </c>
      <c r="B661" t="inlineStr">
        <is>
          <t>avverkningsanmälan</t>
        </is>
      </c>
      <c r="C661" t="inlineStr">
        <is>
          <t>Föryngringsavverkning</t>
        </is>
      </c>
      <c r="D661" s="1" t="n">
        <v>46282</v>
      </c>
      <c r="E661" s="1" t="n">
        <v>46319</v>
      </c>
      <c r="F661" t="inlineStr">
        <is>
          <t>JÄMTLANDS LÄN</t>
        </is>
      </c>
      <c r="G661" t="inlineStr">
        <is>
          <t>RAGUNDA</t>
        </is>
      </c>
      <c r="I661" t="n">
        <v>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222-2026</t>
        </is>
      </c>
      <c r="B662" t="inlineStr">
        <is>
          <t>avverkningsanmälan</t>
        </is>
      </c>
      <c r="C662" t="inlineStr">
        <is>
          <t>Föryngringsavverkning</t>
        </is>
      </c>
      <c r="D662" s="1" t="n">
        <v>46026</v>
      </c>
      <c r="E662" s="1" t="n">
        <v>46319</v>
      </c>
      <c r="F662" t="inlineStr">
        <is>
          <t>JÄMTLANDS LÄN</t>
        </is>
      </c>
      <c r="G662" t="inlineStr">
        <is>
          <t>RAGUNDA</t>
        </is>
      </c>
      <c r="I662" t="n">
        <v>10.6</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38425-2026</t>
        </is>
      </c>
      <c r="B663" t="inlineStr">
        <is>
          <t>avverkningsanmälan</t>
        </is>
      </c>
      <c r="C663" t="inlineStr">
        <is>
          <t>Föryngringsavverkning</t>
        </is>
      </c>
      <c r="D663" s="1" t="n">
        <v>46282</v>
      </c>
      <c r="E663" s="1" t="n">
        <v>46319</v>
      </c>
      <c r="F663" t="inlineStr">
        <is>
          <t>JÄMTLANDS LÄN</t>
        </is>
      </c>
      <c r="G663" t="inlineStr">
        <is>
          <t>RAGUNDA</t>
        </is>
      </c>
      <c r="H663" t="inlineStr">
        <is>
          <t>SCA</t>
        </is>
      </c>
      <c r="I663" t="n">
        <v>24.4</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32444-2026</t>
        </is>
      </c>
      <c r="B664" t="inlineStr">
        <is>
          <t>avverkningsanmälan</t>
        </is>
      </c>
      <c r="C664" t="inlineStr">
        <is>
          <t>Föryngringsavverkning</t>
        </is>
      </c>
      <c r="D664" s="1" t="n">
        <v>46239</v>
      </c>
      <c r="E664" s="1" t="n">
        <v>46319</v>
      </c>
      <c r="F664" t="inlineStr">
        <is>
          <t>JÄMTLANDS LÄN</t>
        </is>
      </c>
      <c r="G664" t="inlineStr">
        <is>
          <t>RAGUNDA</t>
        </is>
      </c>
      <c r="H664" t="inlineStr">
        <is>
          <t>SCA</t>
        </is>
      </c>
      <c r="I664" t="n">
        <v>7.8</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38439-2026</t>
        </is>
      </c>
      <c r="B665" t="inlineStr">
        <is>
          <t>avverkningsanmälan</t>
        </is>
      </c>
      <c r="C665" t="inlineStr">
        <is>
          <t>Föryngringsavverkning</t>
        </is>
      </c>
      <c r="D665" s="1" t="n">
        <v>46282</v>
      </c>
      <c r="E665" s="1" t="n">
        <v>46319</v>
      </c>
      <c r="F665" t="inlineStr">
        <is>
          <t>JÄMTLANDS LÄN</t>
        </is>
      </c>
      <c r="G665" t="inlineStr">
        <is>
          <t>RAGUNDA</t>
        </is>
      </c>
      <c r="H665" t="inlineStr">
        <is>
          <t>SCA</t>
        </is>
      </c>
      <c r="I665" t="n">
        <v>12.3</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23405-2025</t>
        </is>
      </c>
      <c r="B666" t="inlineStr">
        <is>
          <t>avverkningsanmälan</t>
        </is>
      </c>
      <c r="C666" t="inlineStr">
        <is>
          <t>Föryngringsavverkning</t>
        </is>
      </c>
      <c r="D666" s="1" t="n">
        <v>45792</v>
      </c>
      <c r="E666" s="1" t="n">
        <v>46319</v>
      </c>
      <c r="F666" t="inlineStr">
        <is>
          <t>JÄMTLANDS LÄN</t>
        </is>
      </c>
      <c r="G666" t="inlineStr">
        <is>
          <t>RAGUNDA</t>
        </is>
      </c>
      <c r="H666" t="inlineStr">
        <is>
          <t>SCA</t>
        </is>
      </c>
      <c r="I666" t="n">
        <v>0.6</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23654-2025</t>
        </is>
      </c>
      <c r="B667" t="inlineStr">
        <is>
          <t>avverkningsanmälan</t>
        </is>
      </c>
      <c r="C667" t="inlineStr">
        <is>
          <t>Föryngringsavverkning</t>
        </is>
      </c>
      <c r="D667" s="1" t="n">
        <v>45792</v>
      </c>
      <c r="E667" s="1" t="n">
        <v>46319</v>
      </c>
      <c r="F667" t="inlineStr">
        <is>
          <t>JÄMTLANDS LÄN</t>
        </is>
      </c>
      <c r="G667" t="inlineStr">
        <is>
          <t>RAGUNDA</t>
        </is>
      </c>
      <c r="H667" t="inlineStr">
        <is>
          <t>SCA</t>
        </is>
      </c>
      <c r="I667" t="n">
        <v>1</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23586-2025</t>
        </is>
      </c>
      <c r="B668" t="inlineStr">
        <is>
          <t>avverkningsanmälan</t>
        </is>
      </c>
      <c r="C668" t="inlineStr">
        <is>
          <t>Föryngringsavverkning</t>
        </is>
      </c>
      <c r="D668" s="1" t="n">
        <v>45792</v>
      </c>
      <c r="E668" s="1" t="n">
        <v>46319</v>
      </c>
      <c r="F668" t="inlineStr">
        <is>
          <t>JÄMTLANDS LÄN</t>
        </is>
      </c>
      <c r="G668" t="inlineStr">
        <is>
          <t>RAGUNDA</t>
        </is>
      </c>
      <c r="H668" t="inlineStr">
        <is>
          <t>SCA</t>
        </is>
      </c>
      <c r="I668" t="n">
        <v>9.699999999999999</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23413-2025</t>
        </is>
      </c>
      <c r="B669" t="inlineStr">
        <is>
          <t>avverkningsanmälan</t>
        </is>
      </c>
      <c r="C669" t="inlineStr">
        <is>
          <t>Föryngringsavverkning</t>
        </is>
      </c>
      <c r="D669" s="1" t="n">
        <v>45792</v>
      </c>
      <c r="E669" s="1" t="n">
        <v>46319</v>
      </c>
      <c r="F669" t="inlineStr">
        <is>
          <t>JÄMTLANDS LÄN</t>
        </is>
      </c>
      <c r="G669" t="inlineStr">
        <is>
          <t>RAGUNDA</t>
        </is>
      </c>
      <c r="H669" t="inlineStr">
        <is>
          <t>SCA</t>
        </is>
      </c>
      <c r="I669" t="n">
        <v>2.4</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38724-2026</t>
        </is>
      </c>
      <c r="B670" t="inlineStr">
        <is>
          <t>avverkningsanmälan</t>
        </is>
      </c>
      <c r="C670" t="inlineStr">
        <is>
          <t>Föryngringsavverkning</t>
        </is>
      </c>
      <c r="D670" s="1" t="n">
        <v>46285</v>
      </c>
      <c r="E670" s="1" t="n">
        <v>46319</v>
      </c>
      <c r="F670" t="inlineStr">
        <is>
          <t>JÄMTLANDS LÄN</t>
        </is>
      </c>
      <c r="G670" t="inlineStr">
        <is>
          <t>RAGUNDA</t>
        </is>
      </c>
      <c r="I670" t="n">
        <v>2.5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32668-2026</t>
        </is>
      </c>
      <c r="B671" t="inlineStr">
        <is>
          <t>avverkningsanmälan</t>
        </is>
      </c>
      <c r="C671" t="inlineStr">
        <is>
          <t>Föryngringsavverkning</t>
        </is>
      </c>
      <c r="D671" s="1" t="n">
        <v>46240</v>
      </c>
      <c r="E671" s="1" t="n">
        <v>46319</v>
      </c>
      <c r="F671" t="inlineStr">
        <is>
          <t>JÄMTLANDS LÄN</t>
        </is>
      </c>
      <c r="G671" t="inlineStr">
        <is>
          <t>RAGUNDA</t>
        </is>
      </c>
      <c r="H671" t="inlineStr">
        <is>
          <t>SCA</t>
        </is>
      </c>
      <c r="I671" t="n">
        <v>1.9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38937-2026</t>
        </is>
      </c>
      <c r="B672" t="inlineStr">
        <is>
          <t>avverkningsanmälan</t>
        </is>
      </c>
      <c r="C672" t="inlineStr">
        <is>
          <t>Föryngringsavverkning</t>
        </is>
      </c>
      <c r="D672" s="1" t="n">
        <v>46286</v>
      </c>
      <c r="E672" s="1" t="n">
        <v>46319</v>
      </c>
      <c r="F672" t="inlineStr">
        <is>
          <t>JÄMTLANDS LÄN</t>
        </is>
      </c>
      <c r="G672" t="inlineStr">
        <is>
          <t>RAGUNDA</t>
        </is>
      </c>
      <c r="I672" t="n">
        <v>1.5</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38794-2026</t>
        </is>
      </c>
      <c r="B673" t="inlineStr">
        <is>
          <t>avverkningsanmälan</t>
        </is>
      </c>
      <c r="C673" t="inlineStr">
        <is>
          <t>Föryngringsavverkning</t>
        </is>
      </c>
      <c r="D673" s="1" t="n">
        <v>46286</v>
      </c>
      <c r="E673" s="1" t="n">
        <v>46319</v>
      </c>
      <c r="F673" t="inlineStr">
        <is>
          <t>JÄMTLANDS LÄN</t>
        </is>
      </c>
      <c r="G673" t="inlineStr">
        <is>
          <t>RAGUNDA</t>
        </is>
      </c>
      <c r="I673" t="n">
        <v>7.6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38597-2026</t>
        </is>
      </c>
      <c r="B674" t="inlineStr">
        <is>
          <t>avverkningsanmälan</t>
        </is>
      </c>
      <c r="C674" t="inlineStr">
        <is>
          <t>Föryngringsavverkning</t>
        </is>
      </c>
      <c r="D674" s="1" t="n">
        <v>46283</v>
      </c>
      <c r="E674" s="1" t="n">
        <v>46319</v>
      </c>
      <c r="F674" t="inlineStr">
        <is>
          <t>JÄMTLANDS LÄN</t>
        </is>
      </c>
      <c r="G674" t="inlineStr">
        <is>
          <t>RAGUNDA</t>
        </is>
      </c>
      <c r="H674" t="inlineStr">
        <is>
          <t>SCA</t>
        </is>
      </c>
      <c r="I674" t="n">
        <v>1.1</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2233-2026</t>
        </is>
      </c>
      <c r="B675" t="inlineStr">
        <is>
          <t>avverkningsanmälan</t>
        </is>
      </c>
      <c r="C675" t="inlineStr">
        <is>
          <t>Föryngringsavverkning</t>
        </is>
      </c>
      <c r="D675" s="1" t="n">
        <v>46036</v>
      </c>
      <c r="E675" s="1" t="n">
        <v>46319</v>
      </c>
      <c r="F675" t="inlineStr">
        <is>
          <t>JÄMTLANDS LÄN</t>
        </is>
      </c>
      <c r="G675" t="inlineStr">
        <is>
          <t>RAGUNDA</t>
        </is>
      </c>
      <c r="H675" t="inlineStr">
        <is>
          <t>SCA</t>
        </is>
      </c>
      <c r="I675" t="n">
        <v>2.3</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2156-2026</t>
        </is>
      </c>
      <c r="B676" t="inlineStr">
        <is>
          <t>avverkningsanmälan</t>
        </is>
      </c>
      <c r="C676" t="inlineStr">
        <is>
          <t>Föryngringsavverkning</t>
        </is>
      </c>
      <c r="D676" s="1" t="n">
        <v>46036</v>
      </c>
      <c r="E676" s="1" t="n">
        <v>46319</v>
      </c>
      <c r="F676" t="inlineStr">
        <is>
          <t>JÄMTLANDS LÄN</t>
        </is>
      </c>
      <c r="G676" t="inlineStr">
        <is>
          <t>RAGUNDA</t>
        </is>
      </c>
      <c r="H676" t="inlineStr">
        <is>
          <t>SCA</t>
        </is>
      </c>
      <c r="I676" t="n">
        <v>3</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24158-2025</t>
        </is>
      </c>
      <c r="B677" t="inlineStr">
        <is>
          <t>avverkningsanmälan</t>
        </is>
      </c>
      <c r="C677" t="inlineStr">
        <is>
          <t>Föryngringsavverkning</t>
        </is>
      </c>
      <c r="D677" s="1" t="n">
        <v>45796</v>
      </c>
      <c r="E677" s="1" t="n">
        <v>46319</v>
      </c>
      <c r="F677" t="inlineStr">
        <is>
          <t>JÄMTLANDS LÄN</t>
        </is>
      </c>
      <c r="G677" t="inlineStr">
        <is>
          <t>RAGUNDA</t>
        </is>
      </c>
      <c r="I677" t="n">
        <v>2.9</v>
      </c>
      <c r="J677" t="n">
        <v>0</v>
      </c>
      <c r="K677" t="n">
        <v>0</v>
      </c>
      <c r="L677" t="n">
        <v>0</v>
      </c>
      <c r="M677" t="n">
        <v>0</v>
      </c>
      <c r="N677" t="n">
        <v>0</v>
      </c>
      <c r="O677" t="n">
        <v>0</v>
      </c>
      <c r="P677" t="n">
        <v>0</v>
      </c>
      <c r="Q677" t="n">
        <v>0</v>
      </c>
      <c r="R677" t="n">
        <v>0</v>
      </c>
      <c r="S677" t="n">
        <v>0</v>
      </c>
      <c r="T677" t="n">
        <v>0</v>
      </c>
      <c r="U677" t="n">
        <v>0</v>
      </c>
      <c r="V677" s="2" t="inlineStr"/>
      <c r="Z677">
        <f>HYPERLINK("https://klasma.github.io/Logging_2303/knärot/A 24158-2025 karta knärot.png", "A 24158-2025")</f>
        <v/>
      </c>
      <c r="AA677">
        <f>HYPERLINK("https://klasma.github.io/Logging_2303/klagomål/A 24158-2025 FSC-klagomål.docx", "A 24158-2025")</f>
        <v/>
      </c>
      <c r="AB677">
        <f>HYPERLINK("https://klasma.github.io/Logging_2303/klagomålsmail/A 24158-2025 FSC-klagomål mail.docx", "A 24158-2025")</f>
        <v/>
      </c>
      <c r="AC677">
        <f>HYPERLINK("https://klasma.github.io/Logging_2303/tillsyn/A 24158-2025 tillsynsbegäran.docx", "A 24158-2025")</f>
        <v/>
      </c>
      <c r="AD677">
        <f>HYPERLINK("https://klasma.github.io/Logging_2303/tillsynsmail/A 24158-2025 tillsynsbegäran mail.docx", "A 24158-2025")</f>
        <v/>
      </c>
    </row>
    <row r="678" ht="15" customHeight="1">
      <c r="A678" t="inlineStr">
        <is>
          <t>A 24161-2025</t>
        </is>
      </c>
      <c r="B678" t="inlineStr">
        <is>
          <t>avverkningsanmälan</t>
        </is>
      </c>
      <c r="C678" t="inlineStr">
        <is>
          <t>Föryngringsavverkning</t>
        </is>
      </c>
      <c r="D678" s="1" t="n">
        <v>45796</v>
      </c>
      <c r="E678" s="1" t="n">
        <v>46319</v>
      </c>
      <c r="F678" t="inlineStr">
        <is>
          <t>JÄMTLANDS LÄN</t>
        </is>
      </c>
      <c r="G678" t="inlineStr">
        <is>
          <t>RAGUNDA</t>
        </is>
      </c>
      <c r="I678" t="n">
        <v>2.4</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38716-2026</t>
        </is>
      </c>
      <c r="B679" t="inlineStr">
        <is>
          <t>avverkningsanmälan</t>
        </is>
      </c>
      <c r="C679" t="inlineStr">
        <is>
          <t>Föryngringsavverkning</t>
        </is>
      </c>
      <c r="D679" s="1" t="n">
        <v>46284</v>
      </c>
      <c r="E679" s="1" t="n">
        <v>46319</v>
      </c>
      <c r="F679" t="inlineStr">
        <is>
          <t>JÄMTLANDS LÄN</t>
        </is>
      </c>
      <c r="G679" t="inlineStr">
        <is>
          <t>RAGUNDA</t>
        </is>
      </c>
      <c r="H679" t="inlineStr">
        <is>
          <t>SCA</t>
        </is>
      </c>
      <c r="I679" t="n">
        <v>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39024-2026</t>
        </is>
      </c>
      <c r="B680" t="inlineStr">
        <is>
          <t>avverkningsanmälan</t>
        </is>
      </c>
      <c r="C680" t="inlineStr">
        <is>
          <t>Föryngringsavverkning</t>
        </is>
      </c>
      <c r="D680" s="1" t="n">
        <v>46287</v>
      </c>
      <c r="E680" s="1" t="n">
        <v>46319</v>
      </c>
      <c r="F680" t="inlineStr">
        <is>
          <t>JÄMTLANDS LÄN</t>
        </is>
      </c>
      <c r="G680" t="inlineStr">
        <is>
          <t>RAGUNDA</t>
        </is>
      </c>
      <c r="I680" t="n">
        <v>2.5</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23841-2025</t>
        </is>
      </c>
      <c r="B681" t="inlineStr">
        <is>
          <t>avverkningsanmälan</t>
        </is>
      </c>
      <c r="C681" t="inlineStr">
        <is>
          <t>Föryngringsavverkning</t>
        </is>
      </c>
      <c r="D681" s="1" t="n">
        <v>45793</v>
      </c>
      <c r="E681" s="1" t="n">
        <v>46319</v>
      </c>
      <c r="F681" t="inlineStr">
        <is>
          <t>JÄMTLANDS LÄN</t>
        </is>
      </c>
      <c r="G681" t="inlineStr">
        <is>
          <t>RAGUNDA</t>
        </is>
      </c>
      <c r="H681" t="inlineStr">
        <is>
          <t>SCA</t>
        </is>
      </c>
      <c r="I681" t="n">
        <v>0.6</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21524-2024</t>
        </is>
      </c>
      <c r="B682" t="inlineStr">
        <is>
          <t>avverkningsanmälan</t>
        </is>
      </c>
      <c r="C682" t="inlineStr">
        <is>
          <t>Föryngringsavverkning</t>
        </is>
      </c>
      <c r="D682" s="1" t="n">
        <v>45441</v>
      </c>
      <c r="E682" s="1" t="n">
        <v>46319</v>
      </c>
      <c r="F682" t="inlineStr">
        <is>
          <t>JÄMTLANDS LÄN</t>
        </is>
      </c>
      <c r="G682" t="inlineStr">
        <is>
          <t>RAGUNDA</t>
        </is>
      </c>
      <c r="I682" t="n">
        <v>1.6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4099-2026</t>
        </is>
      </c>
      <c r="B683" t="inlineStr">
        <is>
          <t>avverkningsanmälan</t>
        </is>
      </c>
      <c r="C683" t="inlineStr">
        <is>
          <t>Föryngringsavverkning</t>
        </is>
      </c>
      <c r="D683" s="1" t="n">
        <v>46044</v>
      </c>
      <c r="E683" s="1" t="n">
        <v>46319</v>
      </c>
      <c r="F683" t="inlineStr">
        <is>
          <t>JÄMTLANDS LÄN</t>
        </is>
      </c>
      <c r="G683" t="inlineStr">
        <is>
          <t>RAGUNDA</t>
        </is>
      </c>
      <c r="I683" t="n">
        <v>8.4</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39002-2026</t>
        </is>
      </c>
      <c r="B684" t="inlineStr">
        <is>
          <t>avverkningsanmälan</t>
        </is>
      </c>
      <c r="C684" t="inlineStr">
        <is>
          <t>Föryngringsavverkning</t>
        </is>
      </c>
      <c r="D684" s="1" t="n">
        <v>46287</v>
      </c>
      <c r="E684" s="1" t="n">
        <v>46319</v>
      </c>
      <c r="F684" t="inlineStr">
        <is>
          <t>JÄMTLANDS LÄN</t>
        </is>
      </c>
      <c r="G684" t="inlineStr">
        <is>
          <t>RAGUNDA</t>
        </is>
      </c>
      <c r="I684" t="n">
        <v>8.199999999999999</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62407-2023</t>
        </is>
      </c>
      <c r="B685" t="inlineStr">
        <is>
          <t>avverkningsanmälan</t>
        </is>
      </c>
      <c r="C685" t="inlineStr">
        <is>
          <t>Föryngringsavverkning</t>
        </is>
      </c>
      <c r="D685" s="1" t="n">
        <v>45266</v>
      </c>
      <c r="E685" s="1" t="n">
        <v>46319</v>
      </c>
      <c r="F685" t="inlineStr">
        <is>
          <t>JÄMTLANDS LÄN</t>
        </is>
      </c>
      <c r="G685" t="inlineStr">
        <is>
          <t>RAGUNDA</t>
        </is>
      </c>
      <c r="I685" t="n">
        <v>1.6</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38191-2024</t>
        </is>
      </c>
      <c r="B686" t="inlineStr">
        <is>
          <t>avverkningsanmälan</t>
        </is>
      </c>
      <c r="C686" t="inlineStr">
        <is>
          <t>Föryngringsavverkning</t>
        </is>
      </c>
      <c r="D686" s="1" t="n">
        <v>45545</v>
      </c>
      <c r="E686" s="1" t="n">
        <v>46319</v>
      </c>
      <c r="F686" t="inlineStr">
        <is>
          <t>JÄMTLANDS LÄN</t>
        </is>
      </c>
      <c r="G686" t="inlineStr">
        <is>
          <t>RAGUNDA</t>
        </is>
      </c>
      <c r="I686" t="n">
        <v>1.6</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4047-2026</t>
        </is>
      </c>
      <c r="B687" t="inlineStr">
        <is>
          <t>avverkningsanmälan</t>
        </is>
      </c>
      <c r="C687" t="inlineStr">
        <is>
          <t>Föryngringsavverkning</t>
        </is>
      </c>
      <c r="D687" s="1" t="n">
        <v>46044</v>
      </c>
      <c r="E687" s="1" t="n">
        <v>46319</v>
      </c>
      <c r="F687" t="inlineStr">
        <is>
          <t>JÄMTLANDS LÄN</t>
        </is>
      </c>
      <c r="G687" t="inlineStr">
        <is>
          <t>RAGUNDA</t>
        </is>
      </c>
      <c r="H687" t="inlineStr">
        <is>
          <t>SCA</t>
        </is>
      </c>
      <c r="I687" t="n">
        <v>4.7</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4046-2026</t>
        </is>
      </c>
      <c r="B688" t="inlineStr">
        <is>
          <t>avverkningsanmälan</t>
        </is>
      </c>
      <c r="C688" t="inlineStr">
        <is>
          <t>Föryngringsavverkning</t>
        </is>
      </c>
      <c r="D688" s="1" t="n">
        <v>46044</v>
      </c>
      <c r="E688" s="1" t="n">
        <v>46319</v>
      </c>
      <c r="F688" t="inlineStr">
        <is>
          <t>JÄMTLANDS LÄN</t>
        </is>
      </c>
      <c r="G688" t="inlineStr">
        <is>
          <t>RAGUNDA</t>
        </is>
      </c>
      <c r="I688" t="n">
        <v>5.3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4073-2026</t>
        </is>
      </c>
      <c r="B689" t="inlineStr">
        <is>
          <t>avverkningsanmälan</t>
        </is>
      </c>
      <c r="C689" t="inlineStr">
        <is>
          <t>Föryngringsavverkning</t>
        </is>
      </c>
      <c r="D689" s="1" t="n">
        <v>46044</v>
      </c>
      <c r="E689" s="1" t="n">
        <v>46319</v>
      </c>
      <c r="F689" t="inlineStr">
        <is>
          <t>JÄMTLANDS LÄN</t>
        </is>
      </c>
      <c r="G689" t="inlineStr">
        <is>
          <t>RAGUNDA</t>
        </is>
      </c>
      <c r="H689" t="inlineStr">
        <is>
          <t>SCA</t>
        </is>
      </c>
      <c r="I689" t="n">
        <v>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39375-2026</t>
        </is>
      </c>
      <c r="B690" t="inlineStr">
        <is>
          <t>avverkningsanmälan</t>
        </is>
      </c>
      <c r="C690" t="inlineStr">
        <is>
          <t>Föryngringsavverkning</t>
        </is>
      </c>
      <c r="D690" s="1" t="n">
        <v>46288</v>
      </c>
      <c r="E690" s="1" t="n">
        <v>46319</v>
      </c>
      <c r="F690" t="inlineStr">
        <is>
          <t>JÄMTLANDS LÄN</t>
        </is>
      </c>
      <c r="G690" t="inlineStr">
        <is>
          <t>RAGUNDA</t>
        </is>
      </c>
      <c r="I690" t="n">
        <v>1.2</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4629-2026</t>
        </is>
      </c>
      <c r="B691" t="inlineStr">
        <is>
          <t>avverkningsanmälan</t>
        </is>
      </c>
      <c r="C691" t="inlineStr">
        <is>
          <t>Föryngringsavverkning</t>
        </is>
      </c>
      <c r="D691" s="1" t="n">
        <v>46048</v>
      </c>
      <c r="E691" s="1" t="n">
        <v>46319</v>
      </c>
      <c r="F691" t="inlineStr">
        <is>
          <t>JÄMTLANDS LÄN</t>
        </is>
      </c>
      <c r="G691" t="inlineStr">
        <is>
          <t>RAGUNDA</t>
        </is>
      </c>
      <c r="I691" t="n">
        <v>1</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4627-2026</t>
        </is>
      </c>
      <c r="B692" t="inlineStr">
        <is>
          <t>avverkningsanmälan</t>
        </is>
      </c>
      <c r="C692" t="inlineStr">
        <is>
          <t>Föryngringsavverkning</t>
        </is>
      </c>
      <c r="D692" s="1" t="n">
        <v>46048</v>
      </c>
      <c r="E692" s="1" t="n">
        <v>46319</v>
      </c>
      <c r="F692" t="inlineStr">
        <is>
          <t>JÄMTLANDS LÄN</t>
        </is>
      </c>
      <c r="G692" t="inlineStr">
        <is>
          <t>RAGUNDA</t>
        </is>
      </c>
      <c r="I692" t="n">
        <v>0.5</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4628-2026</t>
        </is>
      </c>
      <c r="B693" t="inlineStr">
        <is>
          <t>avverkningsanmälan</t>
        </is>
      </c>
      <c r="C693" t="inlineStr">
        <is>
          <t>Föryngringsavverkning</t>
        </is>
      </c>
      <c r="D693" s="1" t="n">
        <v>46048</v>
      </c>
      <c r="E693" s="1" t="n">
        <v>46319</v>
      </c>
      <c r="F693" t="inlineStr">
        <is>
          <t>JÄMTLANDS LÄN</t>
        </is>
      </c>
      <c r="G693" t="inlineStr">
        <is>
          <t>RAGUNDA</t>
        </is>
      </c>
      <c r="I693" t="n">
        <v>0.3</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39016-2026</t>
        </is>
      </c>
      <c r="B694" t="inlineStr">
        <is>
          <t>avverkningsanmälan</t>
        </is>
      </c>
      <c r="C694" t="inlineStr">
        <is>
          <t>Föryngringsavverkning</t>
        </is>
      </c>
      <c r="D694" s="1" t="n">
        <v>46287</v>
      </c>
      <c r="E694" s="1" t="n">
        <v>46319</v>
      </c>
      <c r="F694" t="inlineStr">
        <is>
          <t>JÄMTLANDS LÄN</t>
        </is>
      </c>
      <c r="G694" t="inlineStr">
        <is>
          <t>RAGUNDA</t>
        </is>
      </c>
      <c r="I694" t="n">
        <v>2.8</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39020-2026</t>
        </is>
      </c>
      <c r="B695" t="inlineStr">
        <is>
          <t>avverkningsanmälan</t>
        </is>
      </c>
      <c r="C695" t="inlineStr">
        <is>
          <t>Föryngringsavverkning</t>
        </is>
      </c>
      <c r="D695" s="1" t="n">
        <v>46287</v>
      </c>
      <c r="E695" s="1" t="n">
        <v>46319</v>
      </c>
      <c r="F695" t="inlineStr">
        <is>
          <t>JÄMTLANDS LÄN</t>
        </is>
      </c>
      <c r="G695" t="inlineStr">
        <is>
          <t>RAGUNDA</t>
        </is>
      </c>
      <c r="I695" t="n">
        <v>1</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5359-2026</t>
        </is>
      </c>
      <c r="B696" t="inlineStr">
        <is>
          <t>avverkningsanmälan</t>
        </is>
      </c>
      <c r="C696" t="inlineStr">
        <is>
          <t>Föryngringsavverkning</t>
        </is>
      </c>
      <c r="D696" s="1" t="n">
        <v>46050</v>
      </c>
      <c r="E696" s="1" t="n">
        <v>46319</v>
      </c>
      <c r="F696" t="inlineStr">
        <is>
          <t>JÄMTLANDS LÄN</t>
        </is>
      </c>
      <c r="G696" t="inlineStr">
        <is>
          <t>RAGUNDA</t>
        </is>
      </c>
      <c r="H696" t="inlineStr">
        <is>
          <t>SCA</t>
        </is>
      </c>
      <c r="I696" t="n">
        <v>2.2</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5009-2026</t>
        </is>
      </c>
      <c r="B697" t="inlineStr">
        <is>
          <t>avverkningsanmälan</t>
        </is>
      </c>
      <c r="C697" t="inlineStr">
        <is>
          <t>Föryngringsavverkning</t>
        </is>
      </c>
      <c r="D697" s="1" t="n">
        <v>46049</v>
      </c>
      <c r="E697" s="1" t="n">
        <v>46319</v>
      </c>
      <c r="F697" t="inlineStr">
        <is>
          <t>JÄMTLANDS LÄN</t>
        </is>
      </c>
      <c r="G697" t="inlineStr">
        <is>
          <t>RAGUNDA</t>
        </is>
      </c>
      <c r="H697" t="inlineStr">
        <is>
          <t>SCA</t>
        </is>
      </c>
      <c r="I697" t="n">
        <v>37.4</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25944-2025</t>
        </is>
      </c>
      <c r="B698" t="inlineStr">
        <is>
          <t>avverkningsanmälan</t>
        </is>
      </c>
      <c r="C698" t="inlineStr">
        <is>
          <t>Föryngringsavverkning</t>
        </is>
      </c>
      <c r="D698" s="1" t="n">
        <v>45804</v>
      </c>
      <c r="E698" s="1" t="n">
        <v>46319</v>
      </c>
      <c r="F698" t="inlineStr">
        <is>
          <t>JÄMTLANDS LÄN</t>
        </is>
      </c>
      <c r="G698" t="inlineStr">
        <is>
          <t>RAGUNDA</t>
        </is>
      </c>
      <c r="H698" t="inlineStr">
        <is>
          <t>SCA</t>
        </is>
      </c>
      <c r="I698" t="n">
        <v>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25814-2025</t>
        </is>
      </c>
      <c r="B699" t="inlineStr">
        <is>
          <t>avverkningsanmälan</t>
        </is>
      </c>
      <c r="C699" t="inlineStr">
        <is>
          <t>Föryngringsavverkning</t>
        </is>
      </c>
      <c r="D699" s="1" t="n">
        <v>45804</v>
      </c>
      <c r="E699" s="1" t="n">
        <v>46319</v>
      </c>
      <c r="F699" t="inlineStr">
        <is>
          <t>JÄMTLANDS LÄN</t>
        </is>
      </c>
      <c r="G699" t="inlineStr">
        <is>
          <t>RAGUNDA</t>
        </is>
      </c>
      <c r="I699" t="n">
        <v>0.8</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19613-2023</t>
        </is>
      </c>
      <c r="B700" t="inlineStr">
        <is>
          <t>avverkningsanmälan</t>
        </is>
      </c>
      <c r="C700" t="inlineStr">
        <is>
          <t>Föryngringsavverkning</t>
        </is>
      </c>
      <c r="D700" s="1" t="n">
        <v>45050</v>
      </c>
      <c r="E700" s="1" t="n">
        <v>46319</v>
      </c>
      <c r="F700" t="inlineStr">
        <is>
          <t>JÄMTLANDS LÄN</t>
        </is>
      </c>
      <c r="G700" t="inlineStr">
        <is>
          <t>RAGUNDA</t>
        </is>
      </c>
      <c r="H700" t="inlineStr">
        <is>
          <t>SCA</t>
        </is>
      </c>
      <c r="I700" t="n">
        <v>0.9</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2224-2024</t>
        </is>
      </c>
      <c r="B701" t="inlineStr">
        <is>
          <t>avverkningsanmälan</t>
        </is>
      </c>
      <c r="C701" t="inlineStr">
        <is>
          <t>Föryngringsavverkning</t>
        </is>
      </c>
      <c r="D701" s="1" t="n">
        <v>45309</v>
      </c>
      <c r="E701" s="1" t="n">
        <v>46319</v>
      </c>
      <c r="F701" t="inlineStr">
        <is>
          <t>JÄMTLANDS LÄN</t>
        </is>
      </c>
      <c r="G701" t="inlineStr">
        <is>
          <t>RAGUNDA</t>
        </is>
      </c>
      <c r="I701" t="n">
        <v>0.9</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39913-2026</t>
        </is>
      </c>
      <c r="B702" t="inlineStr">
        <is>
          <t>avverkningsanmälan</t>
        </is>
      </c>
      <c r="C702" t="inlineStr">
        <is>
          <t>Föryngringsavverkning</t>
        </is>
      </c>
      <c r="D702" s="1" t="n">
        <v>46290</v>
      </c>
      <c r="E702" s="1" t="n">
        <v>46319</v>
      </c>
      <c r="F702" t="inlineStr">
        <is>
          <t>JÄMTLANDS LÄN</t>
        </is>
      </c>
      <c r="G702" t="inlineStr">
        <is>
          <t>RAGUNDA</t>
        </is>
      </c>
      <c r="H702" t="inlineStr">
        <is>
          <t>SCA</t>
        </is>
      </c>
      <c r="I702" t="n">
        <v>1.9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26283-2025</t>
        </is>
      </c>
      <c r="B703" t="inlineStr">
        <is>
          <t>avverkningsanmälan</t>
        </is>
      </c>
      <c r="C703" t="inlineStr">
        <is>
          <t>Föryngringsavverkning</t>
        </is>
      </c>
      <c r="D703" s="1" t="n">
        <v>45805</v>
      </c>
      <c r="E703" s="1" t="n">
        <v>46319</v>
      </c>
      <c r="F703" t="inlineStr">
        <is>
          <t>JÄMTLANDS LÄN</t>
        </is>
      </c>
      <c r="G703" t="inlineStr">
        <is>
          <t>RAGUNDA</t>
        </is>
      </c>
      <c r="H703" t="inlineStr">
        <is>
          <t>SCA</t>
        </is>
      </c>
      <c r="I703" t="n">
        <v>1</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39717-2026</t>
        </is>
      </c>
      <c r="B704" t="inlineStr">
        <is>
          <t>avverkningsanmälan</t>
        </is>
      </c>
      <c r="C704" t="inlineStr">
        <is>
          <t>Föryngringsavverkning</t>
        </is>
      </c>
      <c r="D704" s="1" t="n">
        <v>46290</v>
      </c>
      <c r="E704" s="1" t="n">
        <v>46319</v>
      </c>
      <c r="F704" t="inlineStr">
        <is>
          <t>JÄMTLANDS LÄN</t>
        </is>
      </c>
      <c r="G704" t="inlineStr">
        <is>
          <t>RAGUNDA</t>
        </is>
      </c>
      <c r="H704" t="inlineStr">
        <is>
          <t>SCA</t>
        </is>
      </c>
      <c r="I704" t="n">
        <v>13</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24256-2026</t>
        </is>
      </c>
      <c r="B705" t="inlineStr">
        <is>
          <t>avverkningsanmälan</t>
        </is>
      </c>
      <c r="C705" t="inlineStr">
        <is>
          <t>Föryngringsavverkning</t>
        </is>
      </c>
      <c r="D705" s="1" t="n">
        <v>46169</v>
      </c>
      <c r="E705" s="1" t="n">
        <v>46319</v>
      </c>
      <c r="F705" t="inlineStr">
        <is>
          <t>JÄMTLANDS LÄN</t>
        </is>
      </c>
      <c r="G705" t="inlineStr">
        <is>
          <t>RAGUNDA</t>
        </is>
      </c>
      <c r="I705" t="n">
        <v>2.1</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26172-2025</t>
        </is>
      </c>
      <c r="B706" t="inlineStr">
        <is>
          <t>avverkningsanmälan</t>
        </is>
      </c>
      <c r="C706" t="inlineStr">
        <is>
          <t>Föryngringsavverkning</t>
        </is>
      </c>
      <c r="D706" s="1" t="n">
        <v>45805</v>
      </c>
      <c r="E706" s="1" t="n">
        <v>46319</v>
      </c>
      <c r="F706" t="inlineStr">
        <is>
          <t>JÄMTLANDS LÄN</t>
        </is>
      </c>
      <c r="G706" t="inlineStr">
        <is>
          <t>RAGUNDA</t>
        </is>
      </c>
      <c r="I706" t="n">
        <v>2.1</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6174-2026</t>
        </is>
      </c>
      <c r="B707" t="inlineStr">
        <is>
          <t>avverkningsanmälan</t>
        </is>
      </c>
      <c r="C707" t="inlineStr">
        <is>
          <t>Föryngringsavverkning</t>
        </is>
      </c>
      <c r="D707" s="1" t="n">
        <v>46055</v>
      </c>
      <c r="E707" s="1" t="n">
        <v>46319</v>
      </c>
      <c r="F707" t="inlineStr">
        <is>
          <t>JÄMTLANDS LÄN</t>
        </is>
      </c>
      <c r="G707" t="inlineStr">
        <is>
          <t>RAGUNDA</t>
        </is>
      </c>
      <c r="H707" t="inlineStr">
        <is>
          <t>SCA</t>
        </is>
      </c>
      <c r="I707" t="n">
        <v>24.3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10788-2025</t>
        </is>
      </c>
      <c r="B708" t="inlineStr">
        <is>
          <t>avverkningsanmälan</t>
        </is>
      </c>
      <c r="C708" t="inlineStr">
        <is>
          <t>Föryngringsavverkning</t>
        </is>
      </c>
      <c r="D708" s="1" t="n">
        <v>45722</v>
      </c>
      <c r="E708" s="1" t="n">
        <v>46319</v>
      </c>
      <c r="F708" t="inlineStr">
        <is>
          <t>JÄMTLANDS LÄN</t>
        </is>
      </c>
      <c r="G708" t="inlineStr">
        <is>
          <t>RAGUNDA</t>
        </is>
      </c>
      <c r="I708" t="n">
        <v>3.5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26246-2025</t>
        </is>
      </c>
      <c r="B709" t="inlineStr">
        <is>
          <t>avverkningsanmälan</t>
        </is>
      </c>
      <c r="C709" t="inlineStr">
        <is>
          <t>Föryngringsavverkning</t>
        </is>
      </c>
      <c r="D709" s="1" t="n">
        <v>45805</v>
      </c>
      <c r="E709" s="1" t="n">
        <v>46319</v>
      </c>
      <c r="F709" t="inlineStr">
        <is>
          <t>JÄMTLANDS LÄN</t>
        </is>
      </c>
      <c r="G709" t="inlineStr">
        <is>
          <t>RAGUNDA</t>
        </is>
      </c>
      <c r="H709" t="inlineStr">
        <is>
          <t>SCA</t>
        </is>
      </c>
      <c r="I709" t="n">
        <v>2.7</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39912-2026</t>
        </is>
      </c>
      <c r="B710" t="inlineStr">
        <is>
          <t>avverkningsanmälan</t>
        </is>
      </c>
      <c r="C710" t="inlineStr">
        <is>
          <t>Föryngringsavverkning</t>
        </is>
      </c>
      <c r="D710" s="1" t="n">
        <v>46290</v>
      </c>
      <c r="E710" s="1" t="n">
        <v>46319</v>
      </c>
      <c r="F710" t="inlineStr">
        <is>
          <t>JÄMTLANDS LÄN</t>
        </is>
      </c>
      <c r="G710" t="inlineStr">
        <is>
          <t>RAGUNDA</t>
        </is>
      </c>
      <c r="H710" t="inlineStr">
        <is>
          <t>SCA</t>
        </is>
      </c>
      <c r="I710" t="n">
        <v>3.9</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2001-2025</t>
        </is>
      </c>
      <c r="B711" t="inlineStr">
        <is>
          <t>avverkningsanmälan</t>
        </is>
      </c>
      <c r="C711" t="inlineStr">
        <is>
          <t>Föryngringsavverkning</t>
        </is>
      </c>
      <c r="D711" s="1" t="n">
        <v>45672</v>
      </c>
      <c r="E711" s="1" t="n">
        <v>46319</v>
      </c>
      <c r="F711" t="inlineStr">
        <is>
          <t>JÄMTLANDS LÄN</t>
        </is>
      </c>
      <c r="G711" t="inlineStr">
        <is>
          <t>RAGUNDA</t>
        </is>
      </c>
      <c r="H711" t="inlineStr">
        <is>
          <t>SCA</t>
        </is>
      </c>
      <c r="I711" t="n">
        <v>16.2</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73278-2021</t>
        </is>
      </c>
      <c r="B712" t="inlineStr">
        <is>
          <t>avverkningsanmälan</t>
        </is>
      </c>
      <c r="C712" t="inlineStr">
        <is>
          <t>Föryngringsavverkning</t>
        </is>
      </c>
      <c r="D712" s="1" t="n">
        <v>44550</v>
      </c>
      <c r="E712" s="1" t="n">
        <v>46319</v>
      </c>
      <c r="F712" t="inlineStr">
        <is>
          <t>JÄMTLANDS LÄN</t>
        </is>
      </c>
      <c r="G712" t="inlineStr">
        <is>
          <t>RAGUNDA</t>
        </is>
      </c>
      <c r="I712" t="n">
        <v>4.4</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51396-2024</t>
        </is>
      </c>
      <c r="B713" t="inlineStr">
        <is>
          <t>avverkningsanmälan</t>
        </is>
      </c>
      <c r="C713" t="inlineStr">
        <is>
          <t>Föryngringsavverkning</t>
        </is>
      </c>
      <c r="D713" s="1" t="n">
        <v>45604</v>
      </c>
      <c r="E713" s="1" t="n">
        <v>46319</v>
      </c>
      <c r="F713" t="inlineStr">
        <is>
          <t>JÄMTLANDS LÄN</t>
        </is>
      </c>
      <c r="G713" t="inlineStr">
        <is>
          <t>RAGUNDA</t>
        </is>
      </c>
      <c r="I713" t="n">
        <v>0.8</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26640-2025</t>
        </is>
      </c>
      <c r="B714" t="inlineStr">
        <is>
          <t>avverkningsanmälan</t>
        </is>
      </c>
      <c r="C714" t="inlineStr">
        <is>
          <t>Föryngringsavverkning</t>
        </is>
      </c>
      <c r="D714" s="1" t="n">
        <v>45810</v>
      </c>
      <c r="E714" s="1" t="n">
        <v>46319</v>
      </c>
      <c r="F714" t="inlineStr">
        <is>
          <t>JÄMTLANDS LÄN</t>
        </is>
      </c>
      <c r="G714" t="inlineStr">
        <is>
          <t>RAGUNDA</t>
        </is>
      </c>
      <c r="H714" t="inlineStr">
        <is>
          <t>SCA</t>
        </is>
      </c>
      <c r="I714" t="n">
        <v>0.8</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53762-2023</t>
        </is>
      </c>
      <c r="B715" t="inlineStr">
        <is>
          <t>avverkningsanmälan</t>
        </is>
      </c>
      <c r="C715" t="inlineStr">
        <is>
          <t>Föryngringsavverkning</t>
        </is>
      </c>
      <c r="D715" s="1" t="n">
        <v>45230</v>
      </c>
      <c r="E715" s="1" t="n">
        <v>46319</v>
      </c>
      <c r="F715" t="inlineStr">
        <is>
          <t>JÄMTLANDS LÄN</t>
        </is>
      </c>
      <c r="G715" t="inlineStr">
        <is>
          <t>RAGUNDA</t>
        </is>
      </c>
      <c r="H715" t="inlineStr">
        <is>
          <t>SCA</t>
        </is>
      </c>
      <c r="I715" t="n">
        <v>4.1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33210-2026</t>
        </is>
      </c>
      <c r="B716" t="inlineStr">
        <is>
          <t>avverkningsanmälan</t>
        </is>
      </c>
      <c r="C716" t="inlineStr">
        <is>
          <t>Föryngringsavverkning</t>
        </is>
      </c>
      <c r="D716" s="1" t="n">
        <v>46246</v>
      </c>
      <c r="E716" s="1" t="n">
        <v>46319</v>
      </c>
      <c r="F716" t="inlineStr">
        <is>
          <t>JÄMTLANDS LÄN</t>
        </is>
      </c>
      <c r="G716" t="inlineStr">
        <is>
          <t>RAGUNDA</t>
        </is>
      </c>
      <c r="I716" t="n">
        <v>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19089-2024</t>
        </is>
      </c>
      <c r="B717" t="inlineStr">
        <is>
          <t>avverkningsanmälan</t>
        </is>
      </c>
      <c r="C717" t="inlineStr">
        <is>
          <t>Avverkning för att bevara och utveckla /försöksver</t>
        </is>
      </c>
      <c r="D717" s="1" t="n">
        <v>45428</v>
      </c>
      <c r="E717" s="1" t="n">
        <v>46319</v>
      </c>
      <c r="F717" t="inlineStr">
        <is>
          <t>JÄMTLANDS LÄN</t>
        </is>
      </c>
      <c r="G717" t="inlineStr">
        <is>
          <t>RAGUNDA</t>
        </is>
      </c>
      <c r="H717" t="inlineStr">
        <is>
          <t>SCA</t>
        </is>
      </c>
      <c r="I717" t="n">
        <v>6.1</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40448-2026</t>
        </is>
      </c>
      <c r="B718" t="inlineStr">
        <is>
          <t>avverkningsanmälan</t>
        </is>
      </c>
      <c r="C718" t="inlineStr">
        <is>
          <t>Föryngringsavverkning</t>
        </is>
      </c>
      <c r="D718" s="1" t="n">
        <v>46294</v>
      </c>
      <c r="E718" s="1" t="n">
        <v>46319</v>
      </c>
      <c r="F718" t="inlineStr">
        <is>
          <t>JÄMTLANDS LÄN</t>
        </is>
      </c>
      <c r="G718" t="inlineStr">
        <is>
          <t>RAGUNDA</t>
        </is>
      </c>
      <c r="H718" t="inlineStr">
        <is>
          <t>SCA</t>
        </is>
      </c>
      <c r="I718" t="n">
        <v>1</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27510-2025</t>
        </is>
      </c>
      <c r="B719" t="inlineStr">
        <is>
          <t>avverkningsanmälan</t>
        </is>
      </c>
      <c r="C719" t="inlineStr">
        <is>
          <t>Avverkning för att bevara och utveckla /försöksver</t>
        </is>
      </c>
      <c r="D719" s="1" t="n">
        <v>45813</v>
      </c>
      <c r="E719" s="1" t="n">
        <v>46319</v>
      </c>
      <c r="F719" t="inlineStr">
        <is>
          <t>JÄMTLANDS LÄN</t>
        </is>
      </c>
      <c r="G719" t="inlineStr">
        <is>
          <t>RAGUNDA</t>
        </is>
      </c>
      <c r="H719" t="inlineStr">
        <is>
          <t>SCA</t>
        </is>
      </c>
      <c r="I719" t="n">
        <v>0.8</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18989-2025</t>
        </is>
      </c>
      <c r="B720" t="inlineStr">
        <is>
          <t>avverkningsanmälan</t>
        </is>
      </c>
      <c r="C720" t="inlineStr">
        <is>
          <t>Avverkning för annat ändamål</t>
        </is>
      </c>
      <c r="D720" s="1" t="n">
        <v>45764</v>
      </c>
      <c r="E720" s="1" t="n">
        <v>46319</v>
      </c>
      <c r="F720" t="inlineStr">
        <is>
          <t>JÄMTLANDS LÄN</t>
        </is>
      </c>
      <c r="G720" t="inlineStr">
        <is>
          <t>RAGUNDA</t>
        </is>
      </c>
      <c r="I720" t="n">
        <v>0.9</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9097-2026</t>
        </is>
      </c>
      <c r="B721" t="inlineStr">
        <is>
          <t>avverkningsanmälan</t>
        </is>
      </c>
      <c r="C721" t="inlineStr">
        <is>
          <t>Föryngringsavverkning</t>
        </is>
      </c>
      <c r="D721" s="1" t="n">
        <v>46069</v>
      </c>
      <c r="E721" s="1" t="n">
        <v>46319</v>
      </c>
      <c r="F721" t="inlineStr">
        <is>
          <t>JÄMTLANDS LÄN</t>
        </is>
      </c>
      <c r="G721" t="inlineStr">
        <is>
          <t>RAGUNDA</t>
        </is>
      </c>
      <c r="H721" t="inlineStr">
        <is>
          <t>SCA</t>
        </is>
      </c>
      <c r="I721" t="n">
        <v>1.9</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38238-2026</t>
        </is>
      </c>
      <c r="B722" t="inlineStr">
        <is>
          <t>avverkningsanmälan</t>
        </is>
      </c>
      <c r="C722" t="inlineStr">
        <is>
          <t>Föryngringsavverkning</t>
        </is>
      </c>
      <c r="D722" s="1" t="n">
        <v>46281</v>
      </c>
      <c r="E722" s="1" t="n">
        <v>46319</v>
      </c>
      <c r="F722" t="inlineStr">
        <is>
          <t>JÄMTLANDS LÄN</t>
        </is>
      </c>
      <c r="G722" t="inlineStr">
        <is>
          <t>RAGUNDA</t>
        </is>
      </c>
      <c r="H722" t="inlineStr">
        <is>
          <t>SCA</t>
        </is>
      </c>
      <c r="I722" t="n">
        <v>3.7</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33513-2026</t>
        </is>
      </c>
      <c r="B723" t="inlineStr">
        <is>
          <t>avverkningsanmälan</t>
        </is>
      </c>
      <c r="C723" t="inlineStr">
        <is>
          <t>Föryngringsavverkning</t>
        </is>
      </c>
      <c r="D723" s="1" t="n">
        <v>46248</v>
      </c>
      <c r="E723" s="1" t="n">
        <v>46319</v>
      </c>
      <c r="F723" t="inlineStr">
        <is>
          <t>JÄMTLANDS LÄN</t>
        </is>
      </c>
      <c r="G723" t="inlineStr">
        <is>
          <t>RAGUNDA</t>
        </is>
      </c>
      <c r="H723" t="inlineStr">
        <is>
          <t>SCA</t>
        </is>
      </c>
      <c r="I723" t="n">
        <v>1.1</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9042-2026</t>
        </is>
      </c>
      <c r="B724" t="inlineStr">
        <is>
          <t>avverkningsanmälan</t>
        </is>
      </c>
      <c r="C724" t="inlineStr">
        <is>
          <t>Föryngringsavverkning</t>
        </is>
      </c>
      <c r="D724" s="1" t="n">
        <v>46069</v>
      </c>
      <c r="E724" s="1" t="n">
        <v>46319</v>
      </c>
      <c r="F724" t="inlineStr">
        <is>
          <t>JÄMTLANDS LÄN</t>
        </is>
      </c>
      <c r="G724" t="inlineStr">
        <is>
          <t>RAGUNDA</t>
        </is>
      </c>
      <c r="I724" t="n">
        <v>1.7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9566-2026</t>
        </is>
      </c>
      <c r="B725" t="inlineStr">
        <is>
          <t>avverkningsanmälan</t>
        </is>
      </c>
      <c r="C725" t="inlineStr">
        <is>
          <t>Föryngringsavverkning</t>
        </is>
      </c>
      <c r="D725" s="1" t="n">
        <v>46071</v>
      </c>
      <c r="E725" s="1" t="n">
        <v>46319</v>
      </c>
      <c r="F725" t="inlineStr">
        <is>
          <t>JÄMTLANDS LÄN</t>
        </is>
      </c>
      <c r="G725" t="inlineStr">
        <is>
          <t>RAGUNDA</t>
        </is>
      </c>
      <c r="H725" t="inlineStr">
        <is>
          <t>SCA</t>
        </is>
      </c>
      <c r="I725" t="n">
        <v>18.9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9513-2026</t>
        </is>
      </c>
      <c r="B726" t="inlineStr">
        <is>
          <t>avverkningsanmälan</t>
        </is>
      </c>
      <c r="C726" t="inlineStr">
        <is>
          <t>Föryngringsavverkning</t>
        </is>
      </c>
      <c r="D726" s="1" t="n">
        <v>46071</v>
      </c>
      <c r="E726" s="1" t="n">
        <v>46319</v>
      </c>
      <c r="F726" t="inlineStr">
        <is>
          <t>JÄMTLANDS LÄN</t>
        </is>
      </c>
      <c r="G726" t="inlineStr">
        <is>
          <t>RAGUNDA</t>
        </is>
      </c>
      <c r="H726" t="inlineStr">
        <is>
          <t>SCA</t>
        </is>
      </c>
      <c r="I726" t="n">
        <v>26.1</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58909-2025</t>
        </is>
      </c>
      <c r="B727" t="inlineStr">
        <is>
          <t>avverkningsanmälan</t>
        </is>
      </c>
      <c r="C727" t="inlineStr">
        <is>
          <t>Avverkning för annat ändamål</t>
        </is>
      </c>
      <c r="D727" s="1" t="n">
        <v>45987</v>
      </c>
      <c r="E727" s="1" t="n">
        <v>46319</v>
      </c>
      <c r="F727" t="inlineStr">
        <is>
          <t>JÄMTLANDS LÄN</t>
        </is>
      </c>
      <c r="G727" t="inlineStr">
        <is>
          <t>RAGUNDA</t>
        </is>
      </c>
      <c r="I727" t="n">
        <v>9.5</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9537-2026</t>
        </is>
      </c>
      <c r="B728" t="inlineStr">
        <is>
          <t>avverkningsanmälan</t>
        </is>
      </c>
      <c r="C728" t="inlineStr">
        <is>
          <t>Avverkning för att bevara och utveckla /försöksver</t>
        </is>
      </c>
      <c r="D728" s="1" t="n">
        <v>46071</v>
      </c>
      <c r="E728" s="1" t="n">
        <v>46319</v>
      </c>
      <c r="F728" t="inlineStr">
        <is>
          <t>JÄMTLANDS LÄN</t>
        </is>
      </c>
      <c r="G728" t="inlineStr">
        <is>
          <t>RAGUNDA</t>
        </is>
      </c>
      <c r="I728" t="n">
        <v>0.7</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9538-2026</t>
        </is>
      </c>
      <c r="B729" t="inlineStr">
        <is>
          <t>avverkningsanmälan</t>
        </is>
      </c>
      <c r="C729" t="inlineStr">
        <is>
          <t>Föryngringsavverkning</t>
        </is>
      </c>
      <c r="D729" s="1" t="n">
        <v>46071</v>
      </c>
      <c r="E729" s="1" t="n">
        <v>46319</v>
      </c>
      <c r="F729" t="inlineStr">
        <is>
          <t>JÄMTLANDS LÄN</t>
        </is>
      </c>
      <c r="G729" t="inlineStr">
        <is>
          <t>RAGUNDA</t>
        </is>
      </c>
      <c r="I729" t="n">
        <v>1.7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40712-2026</t>
        </is>
      </c>
      <c r="B730" t="inlineStr">
        <is>
          <t>avverkningsanmälan</t>
        </is>
      </c>
      <c r="C730" t="inlineStr">
        <is>
          <t>Föryngringsavverkning</t>
        </is>
      </c>
      <c r="D730" s="1" t="n">
        <v>46296</v>
      </c>
      <c r="E730" s="1" t="n">
        <v>46319</v>
      </c>
      <c r="F730" t="inlineStr">
        <is>
          <t>JÄMTLANDS LÄN</t>
        </is>
      </c>
      <c r="G730" t="inlineStr">
        <is>
          <t>RAGUNDA</t>
        </is>
      </c>
      <c r="I730" t="n">
        <v>1</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26651-2024</t>
        </is>
      </c>
      <c r="B731" t="inlineStr">
        <is>
          <t>avverkningsanmälan</t>
        </is>
      </c>
      <c r="C731" t="inlineStr">
        <is>
          <t>Avverkning för att bevara och utveckla /försöksver</t>
        </is>
      </c>
      <c r="D731" s="1" t="n">
        <v>45469</v>
      </c>
      <c r="E731" s="1" t="n">
        <v>46319</v>
      </c>
      <c r="F731" t="inlineStr">
        <is>
          <t>JÄMTLANDS LÄN</t>
        </is>
      </c>
      <c r="G731" t="inlineStr">
        <is>
          <t>RAGUNDA</t>
        </is>
      </c>
      <c r="H731" t="inlineStr">
        <is>
          <t>SCA</t>
        </is>
      </c>
      <c r="I731" t="n">
        <v>10.4</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28637-2025</t>
        </is>
      </c>
      <c r="B732" t="inlineStr">
        <is>
          <t>avverkningsanmälan</t>
        </is>
      </c>
      <c r="C732" t="inlineStr">
        <is>
          <t>Föryngringsavverkning</t>
        </is>
      </c>
      <c r="D732" s="1" t="n">
        <v>45819</v>
      </c>
      <c r="E732" s="1" t="n">
        <v>46319</v>
      </c>
      <c r="F732" t="inlineStr">
        <is>
          <t>JÄMTLANDS LÄN</t>
        </is>
      </c>
      <c r="G732" t="inlineStr">
        <is>
          <t>RAGUNDA</t>
        </is>
      </c>
      <c r="H732" t="inlineStr">
        <is>
          <t>SCA</t>
        </is>
      </c>
      <c r="I732" t="n">
        <v>6.6</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40572-2026</t>
        </is>
      </c>
      <c r="B733" t="inlineStr">
        <is>
          <t>avverkningsanmälan</t>
        </is>
      </c>
      <c r="C733" t="inlineStr">
        <is>
          <t>Föryngringsavverkning</t>
        </is>
      </c>
      <c r="D733" s="1" t="n">
        <v>46295</v>
      </c>
      <c r="E733" s="1" t="n">
        <v>46319</v>
      </c>
      <c r="F733" t="inlineStr">
        <is>
          <t>JÄMTLANDS LÄN</t>
        </is>
      </c>
      <c r="G733" t="inlineStr">
        <is>
          <t>RAGUNDA</t>
        </is>
      </c>
      <c r="H733" t="inlineStr">
        <is>
          <t>SCA</t>
        </is>
      </c>
      <c r="I733" t="n">
        <v>2.3</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40722-2026</t>
        </is>
      </c>
      <c r="B734" t="inlineStr">
        <is>
          <t>avverkningsanmälan</t>
        </is>
      </c>
      <c r="C734" t="inlineStr">
        <is>
          <t>Föryngringsavverkning</t>
        </is>
      </c>
      <c r="D734" s="1" t="n">
        <v>46296</v>
      </c>
      <c r="E734" s="1" t="n">
        <v>46319</v>
      </c>
      <c r="F734" t="inlineStr">
        <is>
          <t>JÄMTLANDS LÄN</t>
        </is>
      </c>
      <c r="G734" t="inlineStr">
        <is>
          <t>RAGUNDA</t>
        </is>
      </c>
      <c r="I734" t="n">
        <v>9</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33806-2026</t>
        </is>
      </c>
      <c r="B735" t="inlineStr">
        <is>
          <t>avverkningsanmälan</t>
        </is>
      </c>
      <c r="C735" t="inlineStr">
        <is>
          <t>Föryngringsavverkning</t>
        </is>
      </c>
      <c r="D735" s="1" t="n">
        <v>46251</v>
      </c>
      <c r="E735" s="1" t="n">
        <v>46319</v>
      </c>
      <c r="F735" t="inlineStr">
        <is>
          <t>JÄMTLANDS LÄN</t>
        </is>
      </c>
      <c r="G735" t="inlineStr">
        <is>
          <t>RAGUNDA</t>
        </is>
      </c>
      <c r="I735" t="n">
        <v>1.1</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34128-2026</t>
        </is>
      </c>
      <c r="B736" t="inlineStr">
        <is>
          <t>avverkningsanmälan</t>
        </is>
      </c>
      <c r="C736" t="inlineStr">
        <is>
          <t>Föryngringsavverkning</t>
        </is>
      </c>
      <c r="D736" s="1" t="n">
        <v>46253</v>
      </c>
      <c r="E736" s="1" t="n">
        <v>46319</v>
      </c>
      <c r="F736" t="inlineStr">
        <is>
          <t>JÄMTLANDS LÄN</t>
        </is>
      </c>
      <c r="G736" t="inlineStr">
        <is>
          <t>RAGUNDA</t>
        </is>
      </c>
      <c r="I736" t="n">
        <v>3.6</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33751-2026</t>
        </is>
      </c>
      <c r="B737" t="inlineStr">
        <is>
          <t>avverkningsanmälan</t>
        </is>
      </c>
      <c r="C737" t="inlineStr">
        <is>
          <t>Föryngringsavverkning</t>
        </is>
      </c>
      <c r="D737" s="1" t="n">
        <v>46251</v>
      </c>
      <c r="E737" s="1" t="n">
        <v>46319</v>
      </c>
      <c r="F737" t="inlineStr">
        <is>
          <t>JÄMTLANDS LÄN</t>
        </is>
      </c>
      <c r="G737" t="inlineStr">
        <is>
          <t>RAGUNDA</t>
        </is>
      </c>
      <c r="I737" t="n">
        <v>0.6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30088-2025</t>
        </is>
      </c>
      <c r="B738" t="inlineStr">
        <is>
          <t>avverkningsanmälan</t>
        </is>
      </c>
      <c r="C738" t="inlineStr">
        <is>
          <t>Föryngringsavverkning</t>
        </is>
      </c>
      <c r="D738" s="1" t="n">
        <v>45826</v>
      </c>
      <c r="E738" s="1" t="n">
        <v>46319</v>
      </c>
      <c r="F738" t="inlineStr">
        <is>
          <t>JÄMTLANDS LÄN</t>
        </is>
      </c>
      <c r="G738" t="inlineStr">
        <is>
          <t>RAGUNDA</t>
        </is>
      </c>
      <c r="H738" t="inlineStr">
        <is>
          <t>SCA</t>
        </is>
      </c>
      <c r="I738" t="n">
        <v>2.5</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31463-2024</t>
        </is>
      </c>
      <c r="B739" t="inlineStr">
        <is>
          <t>avverkningsanmälan</t>
        </is>
      </c>
      <c r="C739" t="inlineStr">
        <is>
          <t>Föryngringsavverkning</t>
        </is>
      </c>
      <c r="D739" s="1" t="n">
        <v>45505</v>
      </c>
      <c r="E739" s="1" t="n">
        <v>46319</v>
      </c>
      <c r="F739" t="inlineStr">
        <is>
          <t>JÄMTLANDS LÄN</t>
        </is>
      </c>
      <c r="G739" t="inlineStr">
        <is>
          <t>RAGUNDA</t>
        </is>
      </c>
      <c r="H739" t="inlineStr">
        <is>
          <t>SCA</t>
        </is>
      </c>
      <c r="I739" t="n">
        <v>20.3</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33750-2026</t>
        </is>
      </c>
      <c r="B740" t="inlineStr">
        <is>
          <t>avverkningsanmälan</t>
        </is>
      </c>
      <c r="C740" t="inlineStr">
        <is>
          <t>Föryngringsavverkning</t>
        </is>
      </c>
      <c r="D740" s="1" t="n">
        <v>46251</v>
      </c>
      <c r="E740" s="1" t="n">
        <v>46319</v>
      </c>
      <c r="F740" t="inlineStr">
        <is>
          <t>JÄMTLANDS LÄN</t>
        </is>
      </c>
      <c r="G740" t="inlineStr">
        <is>
          <t>RAGUNDA</t>
        </is>
      </c>
      <c r="I740" t="n">
        <v>2</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48427-2023</t>
        </is>
      </c>
      <c r="B741" t="inlineStr">
        <is>
          <t>avverkningsanmälan</t>
        </is>
      </c>
      <c r="C741" t="inlineStr">
        <is>
          <t>Föryngringsavverkning</t>
        </is>
      </c>
      <c r="D741" s="1" t="n">
        <v>45205</v>
      </c>
      <c r="E741" s="1" t="n">
        <v>46319</v>
      </c>
      <c r="F741" t="inlineStr">
        <is>
          <t>JÄMTLANDS LÄN</t>
        </is>
      </c>
      <c r="G741" t="inlineStr">
        <is>
          <t>RAGUNDA</t>
        </is>
      </c>
      <c r="H741" t="inlineStr">
        <is>
          <t>SCA</t>
        </is>
      </c>
      <c r="I741" t="n">
        <v>10.1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30348-2025</t>
        </is>
      </c>
      <c r="B742" t="inlineStr">
        <is>
          <t>avverkningsanmälan</t>
        </is>
      </c>
      <c r="C742" t="inlineStr">
        <is>
          <t>Föryngringsavverkning</t>
        </is>
      </c>
      <c r="D742" s="1" t="n">
        <v>45827</v>
      </c>
      <c r="E742" s="1" t="n">
        <v>46319</v>
      </c>
      <c r="F742" t="inlineStr">
        <is>
          <t>JÄMTLANDS LÄN</t>
        </is>
      </c>
      <c r="G742" t="inlineStr">
        <is>
          <t>RAGUNDA</t>
        </is>
      </c>
      <c r="H742" t="inlineStr">
        <is>
          <t>SCA</t>
        </is>
      </c>
      <c r="I742" t="n">
        <v>0.6</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30434-2025</t>
        </is>
      </c>
      <c r="B743" t="inlineStr">
        <is>
          <t>avverkningsanmälan</t>
        </is>
      </c>
      <c r="C743" t="inlineStr">
        <is>
          <t>Avverkning för att bevara och utveckla /försöksver</t>
        </is>
      </c>
      <c r="D743" s="1" t="n">
        <v>45827</v>
      </c>
      <c r="E743" s="1" t="n">
        <v>46319</v>
      </c>
      <c r="F743" t="inlineStr">
        <is>
          <t>JÄMTLANDS LÄN</t>
        </is>
      </c>
      <c r="G743" t="inlineStr">
        <is>
          <t>RAGUNDA</t>
        </is>
      </c>
      <c r="H743" t="inlineStr">
        <is>
          <t>SCA</t>
        </is>
      </c>
      <c r="I743" t="n">
        <v>1.3</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11243-2026</t>
        </is>
      </c>
      <c r="B744" t="inlineStr">
        <is>
          <t>avverkningsanmälan</t>
        </is>
      </c>
      <c r="C744" t="inlineStr">
        <is>
          <t>Föryngringsavverkning</t>
        </is>
      </c>
      <c r="D744" s="1" t="n">
        <v>46080</v>
      </c>
      <c r="E744" s="1" t="n">
        <v>46319</v>
      </c>
      <c r="F744" t="inlineStr">
        <is>
          <t>JÄMTLANDS LÄN</t>
        </is>
      </c>
      <c r="G744" t="inlineStr">
        <is>
          <t>RAGUNDA</t>
        </is>
      </c>
      <c r="H744" t="inlineStr">
        <is>
          <t>SCA</t>
        </is>
      </c>
      <c r="I744" t="n">
        <v>52.9</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30883-2025</t>
        </is>
      </c>
      <c r="B745" t="inlineStr">
        <is>
          <t>avverkningsanmälan</t>
        </is>
      </c>
      <c r="C745" t="inlineStr">
        <is>
          <t>Föryngringsavverkning</t>
        </is>
      </c>
      <c r="D745" s="1" t="n">
        <v>45832</v>
      </c>
      <c r="E745" s="1" t="n">
        <v>46319</v>
      </c>
      <c r="F745" t="inlineStr">
        <is>
          <t>JÄMTLANDS LÄN</t>
        </is>
      </c>
      <c r="G745" t="inlineStr">
        <is>
          <t>RAGUNDA</t>
        </is>
      </c>
      <c r="H745" t="inlineStr">
        <is>
          <t>SCA</t>
        </is>
      </c>
      <c r="I745" t="n">
        <v>3.2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30880-2025</t>
        </is>
      </c>
      <c r="B746" t="inlineStr">
        <is>
          <t>avverkningsanmälan</t>
        </is>
      </c>
      <c r="C746" t="inlineStr">
        <is>
          <t>Föryngringsavverkning</t>
        </is>
      </c>
      <c r="D746" s="1" t="n">
        <v>45832</v>
      </c>
      <c r="E746" s="1" t="n">
        <v>46319</v>
      </c>
      <c r="F746" t="inlineStr">
        <is>
          <t>JÄMTLANDS LÄN</t>
        </is>
      </c>
      <c r="G746" t="inlineStr">
        <is>
          <t>RAGUNDA</t>
        </is>
      </c>
      <c r="I746" t="n">
        <v>9.300000000000001</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30887-2025</t>
        </is>
      </c>
      <c r="B747" t="inlineStr">
        <is>
          <t>avverkningsanmälan</t>
        </is>
      </c>
      <c r="C747" t="inlineStr">
        <is>
          <t>Föryngringsavverkning</t>
        </is>
      </c>
      <c r="D747" s="1" t="n">
        <v>45832</v>
      </c>
      <c r="E747" s="1" t="n">
        <v>46319</v>
      </c>
      <c r="F747" t="inlineStr">
        <is>
          <t>JÄMTLANDS LÄN</t>
        </is>
      </c>
      <c r="G747" t="inlineStr">
        <is>
          <t>RAGUNDA</t>
        </is>
      </c>
      <c r="H747" t="inlineStr">
        <is>
          <t>SCA</t>
        </is>
      </c>
      <c r="I747" t="n">
        <v>10.1</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30472-2026</t>
        </is>
      </c>
      <c r="B748" t="inlineStr">
        <is>
          <t>avverkningsanmälan</t>
        </is>
      </c>
      <c r="C748" t="inlineStr">
        <is>
          <t>Föryngringsavverkning</t>
        </is>
      </c>
      <c r="D748" s="1" t="n">
        <v>46210</v>
      </c>
      <c r="E748" s="1" t="n">
        <v>46319</v>
      </c>
      <c r="F748" t="inlineStr">
        <is>
          <t>JÄMTLANDS LÄN</t>
        </is>
      </c>
      <c r="G748" t="inlineStr">
        <is>
          <t>RAGUNDA</t>
        </is>
      </c>
      <c r="I748" t="n">
        <v>3.9</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31882-2025</t>
        </is>
      </c>
      <c r="B749" t="inlineStr">
        <is>
          <t>avverkningsanmälan</t>
        </is>
      </c>
      <c r="C749" t="inlineStr">
        <is>
          <t>Föryngringsavverkning</t>
        </is>
      </c>
      <c r="D749" s="1" t="n">
        <v>45834</v>
      </c>
      <c r="E749" s="1" t="n">
        <v>46319</v>
      </c>
      <c r="F749" t="inlineStr">
        <is>
          <t>JÄMTLANDS LÄN</t>
        </is>
      </c>
      <c r="G749" t="inlineStr">
        <is>
          <t>RAGUNDA</t>
        </is>
      </c>
      <c r="H749" t="inlineStr">
        <is>
          <t>SCA</t>
        </is>
      </c>
      <c r="I749" t="n">
        <v>5.5</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12179-2026</t>
        </is>
      </c>
      <c r="B750" t="inlineStr">
        <is>
          <t>avverkningsanmälan</t>
        </is>
      </c>
      <c r="C750" t="inlineStr">
        <is>
          <t>Föryngringsavverkning</t>
        </is>
      </c>
      <c r="D750" s="1" t="n">
        <v>46086</v>
      </c>
      <c r="E750" s="1" t="n">
        <v>46319</v>
      </c>
      <c r="F750" t="inlineStr">
        <is>
          <t>JÄMTLANDS LÄN</t>
        </is>
      </c>
      <c r="G750" t="inlineStr">
        <is>
          <t>RAGUNDA</t>
        </is>
      </c>
      <c r="H750" t="inlineStr">
        <is>
          <t>SCA</t>
        </is>
      </c>
      <c r="I750" t="n">
        <v>1.5</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32306-2025</t>
        </is>
      </c>
      <c r="B751" t="inlineStr">
        <is>
          <t>avverkningsanmälan</t>
        </is>
      </c>
      <c r="C751" t="inlineStr">
        <is>
          <t>Föryngringsavverkning</t>
        </is>
      </c>
      <c r="D751" s="1" t="n">
        <v>45835</v>
      </c>
      <c r="E751" s="1" t="n">
        <v>46319</v>
      </c>
      <c r="F751" t="inlineStr">
        <is>
          <t>JÄMTLANDS LÄN</t>
        </is>
      </c>
      <c r="G751" t="inlineStr">
        <is>
          <t>RAGUNDA</t>
        </is>
      </c>
      <c r="I751" t="n">
        <v>10.2</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32660-2025</t>
        </is>
      </c>
      <c r="B752" t="inlineStr">
        <is>
          <t>avverkningsanmälan</t>
        </is>
      </c>
      <c r="C752" t="inlineStr">
        <is>
          <t>Föryngringsavverkning</t>
        </is>
      </c>
      <c r="D752" s="1" t="n">
        <v>45838</v>
      </c>
      <c r="E752" s="1" t="n">
        <v>46319</v>
      </c>
      <c r="F752" t="inlineStr">
        <is>
          <t>JÄMTLANDS LÄN</t>
        </is>
      </c>
      <c r="G752" t="inlineStr">
        <is>
          <t>RAGUNDA</t>
        </is>
      </c>
      <c r="H752" t="inlineStr">
        <is>
          <t>SCA</t>
        </is>
      </c>
      <c r="I752" t="n">
        <v>10.3</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32527-2025</t>
        </is>
      </c>
      <c r="B753" t="inlineStr">
        <is>
          <t>avverkningsanmälan</t>
        </is>
      </c>
      <c r="C753" t="inlineStr">
        <is>
          <t>Föryngringsavverkning</t>
        </is>
      </c>
      <c r="D753" s="1" t="n">
        <v>45838</v>
      </c>
      <c r="E753" s="1" t="n">
        <v>46319</v>
      </c>
      <c r="F753" t="inlineStr">
        <is>
          <t>JÄMTLANDS LÄN</t>
        </is>
      </c>
      <c r="G753" t="inlineStr">
        <is>
          <t>RAGUNDA</t>
        </is>
      </c>
      <c r="I753" t="n">
        <v>5</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12499-2026</t>
        </is>
      </c>
      <c r="B754" t="inlineStr">
        <is>
          <t>avverkningsanmälan</t>
        </is>
      </c>
      <c r="C754" t="inlineStr">
        <is>
          <t>Föryngringsavverkning</t>
        </is>
      </c>
      <c r="D754" s="1" t="n">
        <v>46090</v>
      </c>
      <c r="E754" s="1" t="n">
        <v>46319</v>
      </c>
      <c r="F754" t="inlineStr">
        <is>
          <t>JÄMTLANDS LÄN</t>
        </is>
      </c>
      <c r="G754" t="inlineStr">
        <is>
          <t>RAGUNDA</t>
        </is>
      </c>
      <c r="H754" t="inlineStr">
        <is>
          <t>SCA</t>
        </is>
      </c>
      <c r="I754" t="n">
        <v>1</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32151-2025</t>
        </is>
      </c>
      <c r="B755" t="inlineStr">
        <is>
          <t>avverkningsanmälan</t>
        </is>
      </c>
      <c r="C755" t="inlineStr">
        <is>
          <t>Föryngringsavverkning</t>
        </is>
      </c>
      <c r="D755" s="1" t="n">
        <v>45835</v>
      </c>
      <c r="E755" s="1" t="n">
        <v>46319</v>
      </c>
      <c r="F755" t="inlineStr">
        <is>
          <t>JÄMTLANDS LÄN</t>
        </is>
      </c>
      <c r="G755" t="inlineStr">
        <is>
          <t>RAGUNDA</t>
        </is>
      </c>
      <c r="H755" t="inlineStr">
        <is>
          <t>SCA</t>
        </is>
      </c>
      <c r="I755" t="n">
        <v>12.3</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12794-2026</t>
        </is>
      </c>
      <c r="B756" t="inlineStr">
        <is>
          <t>avverkningsanmälan</t>
        </is>
      </c>
      <c r="C756" t="inlineStr">
        <is>
          <t>Föryngringsavverkning</t>
        </is>
      </c>
      <c r="D756" s="1" t="n">
        <v>46092</v>
      </c>
      <c r="E756" s="1" t="n">
        <v>46319</v>
      </c>
      <c r="F756" t="inlineStr">
        <is>
          <t>JÄMTLANDS LÄN</t>
        </is>
      </c>
      <c r="G756" t="inlineStr">
        <is>
          <t>RAGUNDA</t>
        </is>
      </c>
      <c r="H756" t="inlineStr">
        <is>
          <t>SCA</t>
        </is>
      </c>
      <c r="I756" t="n">
        <v>1.5</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32096-2025</t>
        </is>
      </c>
      <c r="B757" t="inlineStr">
        <is>
          <t>avverkningsanmälan</t>
        </is>
      </c>
      <c r="C757" t="inlineStr">
        <is>
          <t>Föryngringsavverkning</t>
        </is>
      </c>
      <c r="D757" s="1" t="n">
        <v>45835</v>
      </c>
      <c r="E757" s="1" t="n">
        <v>46319</v>
      </c>
      <c r="F757" t="inlineStr">
        <is>
          <t>JÄMTLANDS LÄN</t>
        </is>
      </c>
      <c r="G757" t="inlineStr">
        <is>
          <t>RAGUNDA</t>
        </is>
      </c>
      <c r="I757" t="n">
        <v>0.9</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32748-2025</t>
        </is>
      </c>
      <c r="B758" t="inlineStr">
        <is>
          <t>avverkningsanmälan</t>
        </is>
      </c>
      <c r="C758" t="inlineStr">
        <is>
          <t>Föryngringsavverkning</t>
        </is>
      </c>
      <c r="D758" s="1" t="n">
        <v>45839</v>
      </c>
      <c r="E758" s="1" t="n">
        <v>46319</v>
      </c>
      <c r="F758" t="inlineStr">
        <is>
          <t>JÄMTLANDS LÄN</t>
        </is>
      </c>
      <c r="G758" t="inlineStr">
        <is>
          <t>RAGUNDA</t>
        </is>
      </c>
      <c r="H758" t="inlineStr">
        <is>
          <t>SCA</t>
        </is>
      </c>
      <c r="I758" t="n">
        <v>4.4</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32777-2025</t>
        </is>
      </c>
      <c r="B759" t="inlineStr">
        <is>
          <t>avverkningsanmälan</t>
        </is>
      </c>
      <c r="C759" t="inlineStr">
        <is>
          <t>Föryngringsavverkning</t>
        </is>
      </c>
      <c r="D759" s="1" t="n">
        <v>45839</v>
      </c>
      <c r="E759" s="1" t="n">
        <v>46319</v>
      </c>
      <c r="F759" t="inlineStr">
        <is>
          <t>JÄMTLANDS LÄN</t>
        </is>
      </c>
      <c r="G759" t="inlineStr">
        <is>
          <t>RAGUNDA</t>
        </is>
      </c>
      <c r="H759" t="inlineStr">
        <is>
          <t>SCA</t>
        </is>
      </c>
      <c r="I759" t="n">
        <v>21.7</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32430-2025</t>
        </is>
      </c>
      <c r="B760" t="inlineStr">
        <is>
          <t>avverkningsanmälan</t>
        </is>
      </c>
      <c r="C760" t="inlineStr">
        <is>
          <t>Avverkning för att bevara och utveckla /försöksver</t>
        </is>
      </c>
      <c r="D760" s="1" t="n">
        <v>45838</v>
      </c>
      <c r="E760" s="1" t="n">
        <v>46319</v>
      </c>
      <c r="F760" t="inlineStr">
        <is>
          <t>JÄMTLANDS LÄN</t>
        </is>
      </c>
      <c r="G760" t="inlineStr">
        <is>
          <t>RAGUNDA</t>
        </is>
      </c>
      <c r="H760" t="inlineStr">
        <is>
          <t>SCA</t>
        </is>
      </c>
      <c r="I760" t="n">
        <v>4.3</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32796-2025</t>
        </is>
      </c>
      <c r="B761" t="inlineStr">
        <is>
          <t>avverkningsanmälan</t>
        </is>
      </c>
      <c r="C761" t="inlineStr">
        <is>
          <t>Föryngringsavverkning</t>
        </is>
      </c>
      <c r="D761" s="1" t="n">
        <v>45839</v>
      </c>
      <c r="E761" s="1" t="n">
        <v>46319</v>
      </c>
      <c r="F761" t="inlineStr">
        <is>
          <t>JÄMTLANDS LÄN</t>
        </is>
      </c>
      <c r="G761" t="inlineStr">
        <is>
          <t>RAGUNDA</t>
        </is>
      </c>
      <c r="I761" t="n">
        <v>1.7</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32747-2025</t>
        </is>
      </c>
      <c r="B762" t="inlineStr">
        <is>
          <t>avverkningsanmälan</t>
        </is>
      </c>
      <c r="C762" t="inlineStr">
        <is>
          <t>Föryngringsavverkning</t>
        </is>
      </c>
      <c r="D762" s="1" t="n">
        <v>45839</v>
      </c>
      <c r="E762" s="1" t="n">
        <v>46319</v>
      </c>
      <c r="F762" t="inlineStr">
        <is>
          <t>JÄMTLANDS LÄN</t>
        </is>
      </c>
      <c r="G762" t="inlineStr">
        <is>
          <t>RAGUNDA</t>
        </is>
      </c>
      <c r="H762" t="inlineStr">
        <is>
          <t>SCA</t>
        </is>
      </c>
      <c r="I762" t="n">
        <v>4.5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32751-2025</t>
        </is>
      </c>
      <c r="B763" t="inlineStr">
        <is>
          <t>avverkningsanmälan</t>
        </is>
      </c>
      <c r="C763" t="inlineStr">
        <is>
          <t>Föryngringsavverkning</t>
        </is>
      </c>
      <c r="D763" s="1" t="n">
        <v>45839</v>
      </c>
      <c r="E763" s="1" t="n">
        <v>46319</v>
      </c>
      <c r="F763" t="inlineStr">
        <is>
          <t>JÄMTLANDS LÄN</t>
        </is>
      </c>
      <c r="G763" t="inlineStr">
        <is>
          <t>RAGUNDA</t>
        </is>
      </c>
      <c r="H763" t="inlineStr">
        <is>
          <t>SCA</t>
        </is>
      </c>
      <c r="I763" t="n">
        <v>10</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32846-2025</t>
        </is>
      </c>
      <c r="B764" t="inlineStr">
        <is>
          <t>avverkningsanmälan</t>
        </is>
      </c>
      <c r="C764" t="inlineStr">
        <is>
          <t>Föryngringsavverkning</t>
        </is>
      </c>
      <c r="D764" s="1" t="n">
        <v>45839</v>
      </c>
      <c r="E764" s="1" t="n">
        <v>46319</v>
      </c>
      <c r="F764" t="inlineStr">
        <is>
          <t>JÄMTLANDS LÄN</t>
        </is>
      </c>
      <c r="G764" t="inlineStr">
        <is>
          <t>RAGUNDA</t>
        </is>
      </c>
      <c r="H764" t="inlineStr">
        <is>
          <t>SCA</t>
        </is>
      </c>
      <c r="I764" t="n">
        <v>2.3</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13751-2026</t>
        </is>
      </c>
      <c r="B765" t="inlineStr">
        <is>
          <t>avverkningsanmälan</t>
        </is>
      </c>
      <c r="C765" t="inlineStr">
        <is>
          <t>Föryngringsavverkning</t>
        </is>
      </c>
      <c r="D765" s="1" t="n">
        <v>46097</v>
      </c>
      <c r="E765" s="1" t="n">
        <v>46319</v>
      </c>
      <c r="F765" t="inlineStr">
        <is>
          <t>JÄMTLANDS LÄN</t>
        </is>
      </c>
      <c r="G765" t="inlineStr">
        <is>
          <t>RAGUNDA</t>
        </is>
      </c>
      <c r="H765" t="inlineStr">
        <is>
          <t>SCA</t>
        </is>
      </c>
      <c r="I765" t="n">
        <v>0.8</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13752-2026</t>
        </is>
      </c>
      <c r="B766" t="inlineStr">
        <is>
          <t>avverkningsanmälan</t>
        </is>
      </c>
      <c r="C766" t="inlineStr">
        <is>
          <t>Föryngringsavverkning</t>
        </is>
      </c>
      <c r="D766" s="1" t="n">
        <v>46097</v>
      </c>
      <c r="E766" s="1" t="n">
        <v>46319</v>
      </c>
      <c r="F766" t="inlineStr">
        <is>
          <t>JÄMTLANDS LÄN</t>
        </is>
      </c>
      <c r="G766" t="inlineStr">
        <is>
          <t>RAGUNDA</t>
        </is>
      </c>
      <c r="H766" t="inlineStr">
        <is>
          <t>SCA</t>
        </is>
      </c>
      <c r="I766" t="n">
        <v>0.4</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13620-2026</t>
        </is>
      </c>
      <c r="B767" t="inlineStr">
        <is>
          <t>avverkningsanmälan</t>
        </is>
      </c>
      <c r="C767" t="inlineStr">
        <is>
          <t>Föryngringsavverkning</t>
        </is>
      </c>
      <c r="D767" s="1" t="n">
        <v>46097</v>
      </c>
      <c r="E767" s="1" t="n">
        <v>46319</v>
      </c>
      <c r="F767" t="inlineStr">
        <is>
          <t>JÄMTLANDS LÄN</t>
        </is>
      </c>
      <c r="G767" t="inlineStr">
        <is>
          <t>RAGUNDA</t>
        </is>
      </c>
      <c r="H767" t="inlineStr">
        <is>
          <t>SCA</t>
        </is>
      </c>
      <c r="I767" t="n">
        <v>2.9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13439-2026</t>
        </is>
      </c>
      <c r="B768" t="inlineStr">
        <is>
          <t>avverkningsanmälan</t>
        </is>
      </c>
      <c r="C768" t="inlineStr">
        <is>
          <t>Föryngringsavverkning</t>
        </is>
      </c>
      <c r="D768" s="1" t="n">
        <v>46094</v>
      </c>
      <c r="E768" s="1" t="n">
        <v>46319</v>
      </c>
      <c r="F768" t="inlineStr">
        <is>
          <t>JÄMTLANDS LÄN</t>
        </is>
      </c>
      <c r="G768" t="inlineStr">
        <is>
          <t>RAGUNDA</t>
        </is>
      </c>
      <c r="H768" t="inlineStr">
        <is>
          <t>SCA</t>
        </is>
      </c>
      <c r="I768" t="n">
        <v>31.2</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33556-2025</t>
        </is>
      </c>
      <c r="B769" t="inlineStr">
        <is>
          <t>avverkningsanmälan</t>
        </is>
      </c>
      <c r="C769" t="inlineStr">
        <is>
          <t>Föryngringsavverkning</t>
        </is>
      </c>
      <c r="D769" s="1" t="n">
        <v>45841</v>
      </c>
      <c r="E769" s="1" t="n">
        <v>46319</v>
      </c>
      <c r="F769" t="inlineStr">
        <is>
          <t>JÄMTLANDS LÄN</t>
        </is>
      </c>
      <c r="G769" t="inlineStr">
        <is>
          <t>RAGUNDA</t>
        </is>
      </c>
      <c r="H769" t="inlineStr">
        <is>
          <t>SCA</t>
        </is>
      </c>
      <c r="I769" t="n">
        <v>2.4</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14668-2026</t>
        </is>
      </c>
      <c r="B770" t="inlineStr">
        <is>
          <t>avverkningsanmälan</t>
        </is>
      </c>
      <c r="C770" t="inlineStr">
        <is>
          <t>Föryngringsavverkning</t>
        </is>
      </c>
      <c r="D770" s="1" t="n">
        <v>46101</v>
      </c>
      <c r="E770" s="1" t="n">
        <v>46319</v>
      </c>
      <c r="F770" t="inlineStr">
        <is>
          <t>JÄMTLANDS LÄN</t>
        </is>
      </c>
      <c r="G770" t="inlineStr">
        <is>
          <t>RAGUNDA</t>
        </is>
      </c>
      <c r="I770" t="n">
        <v>12.8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14443-2026</t>
        </is>
      </c>
      <c r="B771" t="inlineStr">
        <is>
          <t>avverkningsanmälan</t>
        </is>
      </c>
      <c r="C771" t="inlineStr">
        <is>
          <t>Föryngringsavverkning</t>
        </is>
      </c>
      <c r="D771" s="1" t="n">
        <v>46100</v>
      </c>
      <c r="E771" s="1" t="n">
        <v>46319</v>
      </c>
      <c r="F771" t="inlineStr">
        <is>
          <t>JÄMTLANDS LÄN</t>
        </is>
      </c>
      <c r="G771" t="inlineStr">
        <is>
          <t>RAGUNDA</t>
        </is>
      </c>
      <c r="I771" t="n">
        <v>5.1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34296-2025</t>
        </is>
      </c>
      <c r="B772" t="inlineStr">
        <is>
          <t>avverkningsanmälan</t>
        </is>
      </c>
      <c r="C772" t="inlineStr">
        <is>
          <t>Föryngringsavverkning</t>
        </is>
      </c>
      <c r="D772" s="1" t="n">
        <v>45846</v>
      </c>
      <c r="E772" s="1" t="n">
        <v>46319</v>
      </c>
      <c r="F772" t="inlineStr">
        <is>
          <t>JÄMTLANDS LÄN</t>
        </is>
      </c>
      <c r="G772" t="inlineStr">
        <is>
          <t>RAGUNDA</t>
        </is>
      </c>
      <c r="H772" t="inlineStr">
        <is>
          <t>SCA</t>
        </is>
      </c>
      <c r="I772" t="n">
        <v>0.9</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14387-2026</t>
        </is>
      </c>
      <c r="B773" t="inlineStr">
        <is>
          <t>avverkningsanmälan</t>
        </is>
      </c>
      <c r="C773" t="inlineStr">
        <is>
          <t>Föryngringsavverkning</t>
        </is>
      </c>
      <c r="D773" s="1" t="n">
        <v>46100</v>
      </c>
      <c r="E773" s="1" t="n">
        <v>46319</v>
      </c>
      <c r="F773" t="inlineStr">
        <is>
          <t>JÄMTLANDS LÄN</t>
        </is>
      </c>
      <c r="G773" t="inlineStr">
        <is>
          <t>RAGUNDA</t>
        </is>
      </c>
      <c r="H773" t="inlineStr">
        <is>
          <t>SCA</t>
        </is>
      </c>
      <c r="I773" t="n">
        <v>0.9</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34127-2026</t>
        </is>
      </c>
      <c r="B774" t="inlineStr">
        <is>
          <t>avverkningsanmälan</t>
        </is>
      </c>
      <c r="C774" t="inlineStr">
        <is>
          <t>Föryngringsavverkning</t>
        </is>
      </c>
      <c r="D774" s="1" t="n">
        <v>46253</v>
      </c>
      <c r="E774" s="1" t="n">
        <v>46319</v>
      </c>
      <c r="F774" t="inlineStr">
        <is>
          <t>JÄMTLANDS LÄN</t>
        </is>
      </c>
      <c r="G774" t="inlineStr">
        <is>
          <t>RAGUNDA</t>
        </is>
      </c>
      <c r="I774" t="n">
        <v>1.7</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14412-2026</t>
        </is>
      </c>
      <c r="B775" t="inlineStr">
        <is>
          <t>avverkningsanmälan</t>
        </is>
      </c>
      <c r="C775" t="inlineStr">
        <is>
          <t>Föryngringsavverkning</t>
        </is>
      </c>
      <c r="D775" s="1" t="n">
        <v>46100</v>
      </c>
      <c r="E775" s="1" t="n">
        <v>46319</v>
      </c>
      <c r="F775" t="inlineStr">
        <is>
          <t>JÄMTLANDS LÄN</t>
        </is>
      </c>
      <c r="G775" t="inlineStr">
        <is>
          <t>RAGUNDA</t>
        </is>
      </c>
      <c r="I775" t="n">
        <v>13.5</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15349-2026</t>
        </is>
      </c>
      <c r="B776" t="inlineStr">
        <is>
          <t>avverkningsanmälan</t>
        </is>
      </c>
      <c r="C776" t="inlineStr">
        <is>
          <t>Föryngringsavverkning</t>
        </is>
      </c>
      <c r="D776" s="1" t="n">
        <v>46105</v>
      </c>
      <c r="E776" s="1" t="n">
        <v>46319</v>
      </c>
      <c r="F776" t="inlineStr">
        <is>
          <t>JÄMTLANDS LÄN</t>
        </is>
      </c>
      <c r="G776" t="inlineStr">
        <is>
          <t>RAGUNDA</t>
        </is>
      </c>
      <c r="H776" t="inlineStr">
        <is>
          <t>SCA</t>
        </is>
      </c>
      <c r="I776" t="n">
        <v>1.3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34461-2025</t>
        </is>
      </c>
      <c r="B777" t="inlineStr">
        <is>
          <t>avverkningsanmälan</t>
        </is>
      </c>
      <c r="C777" t="inlineStr">
        <is>
          <t>Föryngringsavverkning</t>
        </is>
      </c>
      <c r="D777" s="1" t="n">
        <v>45847</v>
      </c>
      <c r="E777" s="1" t="n">
        <v>46319</v>
      </c>
      <c r="F777" t="inlineStr">
        <is>
          <t>JÄMTLANDS LÄN</t>
        </is>
      </c>
      <c r="G777" t="inlineStr">
        <is>
          <t>RAGUNDA</t>
        </is>
      </c>
      <c r="H777" t="inlineStr">
        <is>
          <t>SCA</t>
        </is>
      </c>
      <c r="I777" t="n">
        <v>44.8</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34468-2025</t>
        </is>
      </c>
      <c r="B778" t="inlineStr">
        <is>
          <t>avverkningsanmälan</t>
        </is>
      </c>
      <c r="C778" t="inlineStr">
        <is>
          <t>Föryngringsavverkning</t>
        </is>
      </c>
      <c r="D778" s="1" t="n">
        <v>45847</v>
      </c>
      <c r="E778" s="1" t="n">
        <v>46319</v>
      </c>
      <c r="F778" t="inlineStr">
        <is>
          <t>JÄMTLANDS LÄN</t>
        </is>
      </c>
      <c r="G778" t="inlineStr">
        <is>
          <t>RAGUNDA</t>
        </is>
      </c>
      <c r="H778" t="inlineStr">
        <is>
          <t>SCA</t>
        </is>
      </c>
      <c r="I778" t="n">
        <v>10</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34586-2025</t>
        </is>
      </c>
      <c r="B779" t="inlineStr">
        <is>
          <t>avverkningsanmälan</t>
        </is>
      </c>
      <c r="C779" t="inlineStr">
        <is>
          <t>Föryngringsavverkning</t>
        </is>
      </c>
      <c r="D779" s="1" t="n">
        <v>45847</v>
      </c>
      <c r="E779" s="1" t="n">
        <v>46319</v>
      </c>
      <c r="F779" t="inlineStr">
        <is>
          <t>JÄMTLANDS LÄN</t>
        </is>
      </c>
      <c r="G779" t="inlineStr">
        <is>
          <t>RAGUNDA</t>
        </is>
      </c>
      <c r="I779" t="n">
        <v>1.6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34607-2025</t>
        </is>
      </c>
      <c r="B780" t="inlineStr">
        <is>
          <t>avverkningsanmälan</t>
        </is>
      </c>
      <c r="C780" t="inlineStr">
        <is>
          <t>Avverkning för att bevara och utveckla /försöksver</t>
        </is>
      </c>
      <c r="D780" s="1" t="n">
        <v>45847</v>
      </c>
      <c r="E780" s="1" t="n">
        <v>46319</v>
      </c>
      <c r="F780" t="inlineStr">
        <is>
          <t>JÄMTLANDS LÄN</t>
        </is>
      </c>
      <c r="G780" t="inlineStr">
        <is>
          <t>RAGUNDA</t>
        </is>
      </c>
      <c r="H780" t="inlineStr">
        <is>
          <t>SCA</t>
        </is>
      </c>
      <c r="I780" t="n">
        <v>31.4</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34772-2025</t>
        </is>
      </c>
      <c r="B781" t="inlineStr">
        <is>
          <t>avverkningsanmälan</t>
        </is>
      </c>
      <c r="C781" t="inlineStr">
        <is>
          <t>Föryngringsavverkning</t>
        </is>
      </c>
      <c r="D781" s="1" t="n">
        <v>45848</v>
      </c>
      <c r="E781" s="1" t="n">
        <v>46319</v>
      </c>
      <c r="F781" t="inlineStr">
        <is>
          <t>JÄMTLANDS LÄN</t>
        </is>
      </c>
      <c r="G781" t="inlineStr">
        <is>
          <t>RAGUNDA</t>
        </is>
      </c>
      <c r="H781" t="inlineStr">
        <is>
          <t>SCA</t>
        </is>
      </c>
      <c r="I781" t="n">
        <v>1.2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34466-2025</t>
        </is>
      </c>
      <c r="B782" t="inlineStr">
        <is>
          <t>avverkningsanmälan</t>
        </is>
      </c>
      <c r="C782" t="inlineStr">
        <is>
          <t>Föryngringsavverkning</t>
        </is>
      </c>
      <c r="D782" s="1" t="n">
        <v>45847</v>
      </c>
      <c r="E782" s="1" t="n">
        <v>46319</v>
      </c>
      <c r="F782" t="inlineStr">
        <is>
          <t>JÄMTLANDS LÄN</t>
        </is>
      </c>
      <c r="G782" t="inlineStr">
        <is>
          <t>RAGUNDA</t>
        </is>
      </c>
      <c r="H782" t="inlineStr">
        <is>
          <t>SCA</t>
        </is>
      </c>
      <c r="I782" t="n">
        <v>3</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15356-2026</t>
        </is>
      </c>
      <c r="B783" t="inlineStr">
        <is>
          <t>avverkningsanmälan</t>
        </is>
      </c>
      <c r="C783" t="inlineStr">
        <is>
          <t>Föryngringsavverkning</t>
        </is>
      </c>
      <c r="D783" s="1" t="n">
        <v>46105</v>
      </c>
      <c r="E783" s="1" t="n">
        <v>46319</v>
      </c>
      <c r="F783" t="inlineStr">
        <is>
          <t>JÄMTLANDS LÄN</t>
        </is>
      </c>
      <c r="G783" t="inlineStr">
        <is>
          <t>RAGUNDA</t>
        </is>
      </c>
      <c r="H783" t="inlineStr">
        <is>
          <t>SCA</t>
        </is>
      </c>
      <c r="I783" t="n">
        <v>35.2</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34588-2025</t>
        </is>
      </c>
      <c r="B784" t="inlineStr">
        <is>
          <t>avverkningsanmälan</t>
        </is>
      </c>
      <c r="C784" t="inlineStr">
        <is>
          <t>Föryngringsavverkning</t>
        </is>
      </c>
      <c r="D784" s="1" t="n">
        <v>45847</v>
      </c>
      <c r="E784" s="1" t="n">
        <v>46319</v>
      </c>
      <c r="F784" t="inlineStr">
        <is>
          <t>JÄMTLANDS LÄN</t>
        </is>
      </c>
      <c r="G784" t="inlineStr">
        <is>
          <t>RAGUNDA</t>
        </is>
      </c>
      <c r="I784" t="n">
        <v>32.3</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50486-2023</t>
        </is>
      </c>
      <c r="B785" t="inlineStr">
        <is>
          <t>avverkningsanmälan</t>
        </is>
      </c>
      <c r="C785" t="inlineStr">
        <is>
          <t>Föryngringsavverkning</t>
        </is>
      </c>
      <c r="D785" s="1" t="n">
        <v>45216</v>
      </c>
      <c r="E785" s="1" t="n">
        <v>46319</v>
      </c>
      <c r="F785" t="inlineStr">
        <is>
          <t>JÄMTLANDS LÄN</t>
        </is>
      </c>
      <c r="G785" t="inlineStr">
        <is>
          <t>RAGUNDA</t>
        </is>
      </c>
      <c r="I785" t="n">
        <v>8.699999999999999</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34463-2025</t>
        </is>
      </c>
      <c r="B786" t="inlineStr">
        <is>
          <t>avverkningsanmälan</t>
        </is>
      </c>
      <c r="C786" t="inlineStr">
        <is>
          <t>Föryngringsavverkning</t>
        </is>
      </c>
      <c r="D786" s="1" t="n">
        <v>45847</v>
      </c>
      <c r="E786" s="1" t="n">
        <v>46319</v>
      </c>
      <c r="F786" t="inlineStr">
        <is>
          <t>JÄMTLANDS LÄN</t>
        </is>
      </c>
      <c r="G786" t="inlineStr">
        <is>
          <t>RAGUNDA</t>
        </is>
      </c>
      <c r="H786" t="inlineStr">
        <is>
          <t>SCA</t>
        </is>
      </c>
      <c r="I786" t="n">
        <v>6.1</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34710-2025</t>
        </is>
      </c>
      <c r="B787" t="inlineStr">
        <is>
          <t>avverkningsanmälan</t>
        </is>
      </c>
      <c r="C787" t="inlineStr">
        <is>
          <t>Föryngringsavverkning</t>
        </is>
      </c>
      <c r="D787" s="1" t="n">
        <v>45848</v>
      </c>
      <c r="E787" s="1" t="n">
        <v>46319</v>
      </c>
      <c r="F787" t="inlineStr">
        <is>
          <t>JÄMTLANDS LÄN</t>
        </is>
      </c>
      <c r="G787" t="inlineStr">
        <is>
          <t>RAGUNDA</t>
        </is>
      </c>
      <c r="I787" t="n">
        <v>4.1</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15651-2026</t>
        </is>
      </c>
      <c r="B788" t="inlineStr">
        <is>
          <t>avverkningsanmälan</t>
        </is>
      </c>
      <c r="C788" t="inlineStr">
        <is>
          <t>Föryngringsavverkning</t>
        </is>
      </c>
      <c r="D788" s="1" t="n">
        <v>46106</v>
      </c>
      <c r="E788" s="1" t="n">
        <v>46319</v>
      </c>
      <c r="F788" t="inlineStr">
        <is>
          <t>JÄMTLANDS LÄN</t>
        </is>
      </c>
      <c r="G788" t="inlineStr">
        <is>
          <t>RAGUNDA</t>
        </is>
      </c>
      <c r="H788" t="inlineStr">
        <is>
          <t>SCA</t>
        </is>
      </c>
      <c r="I788" t="n">
        <v>34.8</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34709-2025</t>
        </is>
      </c>
      <c r="B789" t="inlineStr">
        <is>
          <t>avverkningsanmälan</t>
        </is>
      </c>
      <c r="C789" t="inlineStr">
        <is>
          <t>Föryngringsavverkning</t>
        </is>
      </c>
      <c r="D789" s="1" t="n">
        <v>45848</v>
      </c>
      <c r="E789" s="1" t="n">
        <v>46319</v>
      </c>
      <c r="F789" t="inlineStr">
        <is>
          <t>JÄMTLANDS LÄN</t>
        </is>
      </c>
      <c r="G789" t="inlineStr">
        <is>
          <t>RAGUNDA</t>
        </is>
      </c>
      <c r="I789" t="n">
        <v>3.1</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35092-2025</t>
        </is>
      </c>
      <c r="B790" t="inlineStr">
        <is>
          <t>avverkningsanmälan</t>
        </is>
      </c>
      <c r="C790" t="inlineStr">
        <is>
          <t>Föryngringsavverkning</t>
        </is>
      </c>
      <c r="D790" s="1" t="n">
        <v>45852</v>
      </c>
      <c r="E790" s="1" t="n">
        <v>46319</v>
      </c>
      <c r="F790" t="inlineStr">
        <is>
          <t>JÄMTLANDS LÄN</t>
        </is>
      </c>
      <c r="G790" t="inlineStr">
        <is>
          <t>RAGUNDA</t>
        </is>
      </c>
      <c r="H790" t="inlineStr">
        <is>
          <t>SCA</t>
        </is>
      </c>
      <c r="I790" t="n">
        <v>2.6</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15565-2026</t>
        </is>
      </c>
      <c r="B791" t="inlineStr">
        <is>
          <t>avverkningsanmälan</t>
        </is>
      </c>
      <c r="C791" t="inlineStr">
        <is>
          <t>Föryngringsavverkning</t>
        </is>
      </c>
      <c r="D791" s="1" t="n">
        <v>46106</v>
      </c>
      <c r="E791" s="1" t="n">
        <v>46319</v>
      </c>
      <c r="F791" t="inlineStr">
        <is>
          <t>JÄMTLANDS LÄN</t>
        </is>
      </c>
      <c r="G791" t="inlineStr">
        <is>
          <t>RAGUNDA</t>
        </is>
      </c>
      <c r="H791" t="inlineStr">
        <is>
          <t>SCA</t>
        </is>
      </c>
      <c r="I791" t="n">
        <v>10.6</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34968-2025</t>
        </is>
      </c>
      <c r="B792" t="inlineStr">
        <is>
          <t>avverkningsanmälan</t>
        </is>
      </c>
      <c r="C792" t="inlineStr">
        <is>
          <t>Föryngringsavverkning</t>
        </is>
      </c>
      <c r="D792" s="1" t="n">
        <v>45849</v>
      </c>
      <c r="E792" s="1" t="n">
        <v>46319</v>
      </c>
      <c r="F792" t="inlineStr">
        <is>
          <t>JÄMTLANDS LÄN</t>
        </is>
      </c>
      <c r="G792" t="inlineStr">
        <is>
          <t>RAGUNDA</t>
        </is>
      </c>
      <c r="H792" t="inlineStr">
        <is>
          <t>SCA</t>
        </is>
      </c>
      <c r="I792" t="n">
        <v>20.2</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15563-2026</t>
        </is>
      </c>
      <c r="B793" t="inlineStr">
        <is>
          <t>avverkningsanmälan</t>
        </is>
      </c>
      <c r="C793" t="inlineStr">
        <is>
          <t>Föryngringsavverkning</t>
        </is>
      </c>
      <c r="D793" s="1" t="n">
        <v>46106</v>
      </c>
      <c r="E793" s="1" t="n">
        <v>46319</v>
      </c>
      <c r="F793" t="inlineStr">
        <is>
          <t>JÄMTLANDS LÄN</t>
        </is>
      </c>
      <c r="G793" t="inlineStr">
        <is>
          <t>RAGUNDA</t>
        </is>
      </c>
      <c r="H793" t="inlineStr">
        <is>
          <t>SCA</t>
        </is>
      </c>
      <c r="I793" t="n">
        <v>31.9</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34999-2025</t>
        </is>
      </c>
      <c r="B794" t="inlineStr">
        <is>
          <t>avverkningsanmälan</t>
        </is>
      </c>
      <c r="C794" t="inlineStr">
        <is>
          <t>Föryngringsavverkning</t>
        </is>
      </c>
      <c r="D794" s="1" t="n">
        <v>45850</v>
      </c>
      <c r="E794" s="1" t="n">
        <v>46319</v>
      </c>
      <c r="F794" t="inlineStr">
        <is>
          <t>JÄMTLANDS LÄN</t>
        </is>
      </c>
      <c r="G794" t="inlineStr">
        <is>
          <t>RAGUNDA</t>
        </is>
      </c>
      <c r="H794" t="inlineStr">
        <is>
          <t>SCA</t>
        </is>
      </c>
      <c r="I794" t="n">
        <v>2.9</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35091-2025</t>
        </is>
      </c>
      <c r="B795" t="inlineStr">
        <is>
          <t>avverkningsanmälan</t>
        </is>
      </c>
      <c r="C795" t="inlineStr">
        <is>
          <t>Föryngringsavverkning</t>
        </is>
      </c>
      <c r="D795" s="1" t="n">
        <v>45852</v>
      </c>
      <c r="E795" s="1" t="n">
        <v>46319</v>
      </c>
      <c r="F795" t="inlineStr">
        <is>
          <t>JÄMTLANDS LÄN</t>
        </is>
      </c>
      <c r="G795" t="inlineStr">
        <is>
          <t>RAGUNDA</t>
        </is>
      </c>
      <c r="H795" t="inlineStr">
        <is>
          <t>SCA</t>
        </is>
      </c>
      <c r="I795" t="n">
        <v>2.1</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15652-2026</t>
        </is>
      </c>
      <c r="B796" t="inlineStr">
        <is>
          <t>avverkningsanmälan</t>
        </is>
      </c>
      <c r="C796" t="inlineStr">
        <is>
          <t>Föryngringsavverkning</t>
        </is>
      </c>
      <c r="D796" s="1" t="n">
        <v>46106</v>
      </c>
      <c r="E796" s="1" t="n">
        <v>46319</v>
      </c>
      <c r="F796" t="inlineStr">
        <is>
          <t>JÄMTLANDS LÄN</t>
        </is>
      </c>
      <c r="G796" t="inlineStr">
        <is>
          <t>RAGUNDA</t>
        </is>
      </c>
      <c r="H796" t="inlineStr">
        <is>
          <t>SCA</t>
        </is>
      </c>
      <c r="I796" t="n">
        <v>4.2</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15830-2026</t>
        </is>
      </c>
      <c r="B797" t="inlineStr">
        <is>
          <t>avverkningsanmälan</t>
        </is>
      </c>
      <c r="C797" t="inlineStr">
        <is>
          <t>Föryngringsavverkning</t>
        </is>
      </c>
      <c r="D797" s="1" t="n">
        <v>46107</v>
      </c>
      <c r="E797" s="1" t="n">
        <v>46319</v>
      </c>
      <c r="F797" t="inlineStr">
        <is>
          <t>JÄMTLANDS LÄN</t>
        </is>
      </c>
      <c r="G797" t="inlineStr">
        <is>
          <t>RAGUNDA</t>
        </is>
      </c>
      <c r="H797" t="inlineStr">
        <is>
          <t>SCA</t>
        </is>
      </c>
      <c r="I797" t="n">
        <v>49.5</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35355-2025</t>
        </is>
      </c>
      <c r="B798" t="inlineStr">
        <is>
          <t>avverkningsanmälan</t>
        </is>
      </c>
      <c r="C798" t="inlineStr">
        <is>
          <t>Föryngringsavverkning</t>
        </is>
      </c>
      <c r="D798" s="1" t="n">
        <v>45854</v>
      </c>
      <c r="E798" s="1" t="n">
        <v>46319</v>
      </c>
      <c r="F798" t="inlineStr">
        <is>
          <t>JÄMTLANDS LÄN</t>
        </is>
      </c>
      <c r="G798" t="inlineStr">
        <is>
          <t>RAGUNDA</t>
        </is>
      </c>
      <c r="H798" t="inlineStr">
        <is>
          <t>SCA</t>
        </is>
      </c>
      <c r="I798" t="n">
        <v>4</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9084-2023</t>
        </is>
      </c>
      <c r="B799" t="inlineStr">
        <is>
          <t>avverkningsanmälan</t>
        </is>
      </c>
      <c r="C799" t="inlineStr">
        <is>
          <t>Avverkning för annat ändamål</t>
        </is>
      </c>
      <c r="D799" s="1" t="n">
        <v>44979</v>
      </c>
      <c r="E799" s="1" t="n">
        <v>46319</v>
      </c>
      <c r="F799" t="inlineStr">
        <is>
          <t>JÄMTLANDS LÄN</t>
        </is>
      </c>
      <c r="G799" t="inlineStr">
        <is>
          <t>RAGUNDA</t>
        </is>
      </c>
      <c r="I799" t="n">
        <v>1.9</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16142-2026</t>
        </is>
      </c>
      <c r="B800" t="inlineStr">
        <is>
          <t>avverkningsanmälan</t>
        </is>
      </c>
      <c r="C800" t="inlineStr">
        <is>
          <t>Föryngringsavverkning</t>
        </is>
      </c>
      <c r="D800" s="1" t="n">
        <v>46108</v>
      </c>
      <c r="E800" s="1" t="n">
        <v>46319</v>
      </c>
      <c r="F800" t="inlineStr">
        <is>
          <t>JÄMTLANDS LÄN</t>
        </is>
      </c>
      <c r="G800" t="inlineStr">
        <is>
          <t>RAGUNDA</t>
        </is>
      </c>
      <c r="H800" t="inlineStr">
        <is>
          <t>SCA</t>
        </is>
      </c>
      <c r="I800" t="n">
        <v>52.5</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16126-2026</t>
        </is>
      </c>
      <c r="B801" t="inlineStr">
        <is>
          <t>avverkningsanmälan</t>
        </is>
      </c>
      <c r="C801" t="inlineStr">
        <is>
          <t>Föryngringsavverkning</t>
        </is>
      </c>
      <c r="D801" s="1" t="n">
        <v>46108</v>
      </c>
      <c r="E801" s="1" t="n">
        <v>46319</v>
      </c>
      <c r="F801" t="inlineStr">
        <is>
          <t>JÄMTLANDS LÄN</t>
        </is>
      </c>
      <c r="G801" t="inlineStr">
        <is>
          <t>RAGUNDA</t>
        </is>
      </c>
      <c r="H801" t="inlineStr">
        <is>
          <t>SCA</t>
        </is>
      </c>
      <c r="I801" t="n">
        <v>5.9</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35541-2025</t>
        </is>
      </c>
      <c r="B802" t="inlineStr">
        <is>
          <t>avverkningsanmälan</t>
        </is>
      </c>
      <c r="C802" t="inlineStr">
        <is>
          <t>Föryngringsavverkning</t>
        </is>
      </c>
      <c r="D802" s="1" t="n">
        <v>45856</v>
      </c>
      <c r="E802" s="1" t="n">
        <v>46319</v>
      </c>
      <c r="F802" t="inlineStr">
        <is>
          <t>JÄMTLANDS LÄN</t>
        </is>
      </c>
      <c r="G802" t="inlineStr">
        <is>
          <t>RAGUNDA</t>
        </is>
      </c>
      <c r="H802" t="inlineStr">
        <is>
          <t>SCA</t>
        </is>
      </c>
      <c r="I802" t="n">
        <v>0.6</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35462-2025</t>
        </is>
      </c>
      <c r="B803" t="inlineStr">
        <is>
          <t>avverkningsanmälan</t>
        </is>
      </c>
      <c r="C803" t="inlineStr">
        <is>
          <t>Föryngringsavverkning</t>
        </is>
      </c>
      <c r="D803" s="1" t="n">
        <v>45855</v>
      </c>
      <c r="E803" s="1" t="n">
        <v>46319</v>
      </c>
      <c r="F803" t="inlineStr">
        <is>
          <t>JÄMTLANDS LÄN</t>
        </is>
      </c>
      <c r="G803" t="inlineStr">
        <is>
          <t>RAGUNDA</t>
        </is>
      </c>
      <c r="H803" t="inlineStr">
        <is>
          <t>SCA</t>
        </is>
      </c>
      <c r="I803" t="n">
        <v>5.7</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16127-2026</t>
        </is>
      </c>
      <c r="B804" t="inlineStr">
        <is>
          <t>avverkningsanmälan</t>
        </is>
      </c>
      <c r="C804" t="inlineStr">
        <is>
          <t>Föryngringsavverkning</t>
        </is>
      </c>
      <c r="D804" s="1" t="n">
        <v>46108</v>
      </c>
      <c r="E804" s="1" t="n">
        <v>46319</v>
      </c>
      <c r="F804" t="inlineStr">
        <is>
          <t>JÄMTLANDS LÄN</t>
        </is>
      </c>
      <c r="G804" t="inlineStr">
        <is>
          <t>RAGUNDA</t>
        </is>
      </c>
      <c r="H804" t="inlineStr">
        <is>
          <t>SCA</t>
        </is>
      </c>
      <c r="I804" t="n">
        <v>16.7</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66706-2021</t>
        </is>
      </c>
      <c r="B805" t="inlineStr">
        <is>
          <t>avverkningsanmälan</t>
        </is>
      </c>
      <c r="C805" t="inlineStr">
        <is>
          <t>Föryngringsavverkning</t>
        </is>
      </c>
      <c r="D805" s="1" t="n">
        <v>44519</v>
      </c>
      <c r="E805" s="1" t="n">
        <v>46319</v>
      </c>
      <c r="F805" t="inlineStr">
        <is>
          <t>JÄMTLANDS LÄN</t>
        </is>
      </c>
      <c r="G805" t="inlineStr">
        <is>
          <t>RAGUNDA</t>
        </is>
      </c>
      <c r="H805" t="inlineStr">
        <is>
          <t>SCA</t>
        </is>
      </c>
      <c r="I805" t="n">
        <v>5.3</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35658-2025</t>
        </is>
      </c>
      <c r="B806" t="inlineStr">
        <is>
          <t>avverkningsanmälan</t>
        </is>
      </c>
      <c r="C806" t="inlineStr">
        <is>
          <t>Föryngringsavverkning</t>
        </is>
      </c>
      <c r="D806" s="1" t="n">
        <v>45859</v>
      </c>
      <c r="E806" s="1" t="n">
        <v>46319</v>
      </c>
      <c r="F806" t="inlineStr">
        <is>
          <t>JÄMTLANDS LÄN</t>
        </is>
      </c>
      <c r="G806" t="inlineStr">
        <is>
          <t>RAGUNDA</t>
        </is>
      </c>
      <c r="H806" t="inlineStr">
        <is>
          <t>SCA</t>
        </is>
      </c>
      <c r="I806" t="n">
        <v>6</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16456-2026</t>
        </is>
      </c>
      <c r="B807" t="inlineStr">
        <is>
          <t>avverkningsanmälan</t>
        </is>
      </c>
      <c r="C807" t="inlineStr">
        <is>
          <t>Föryngringsavverkning</t>
        </is>
      </c>
      <c r="D807" s="1" t="n">
        <v>46112</v>
      </c>
      <c r="E807" s="1" t="n">
        <v>46319</v>
      </c>
      <c r="F807" t="inlineStr">
        <is>
          <t>JÄMTLANDS LÄN</t>
        </is>
      </c>
      <c r="G807" t="inlineStr">
        <is>
          <t>RAGUNDA</t>
        </is>
      </c>
      <c r="H807" t="inlineStr">
        <is>
          <t>SCA</t>
        </is>
      </c>
      <c r="I807" t="n">
        <v>12.6</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35272-2026</t>
        </is>
      </c>
      <c r="B808" t="inlineStr">
        <is>
          <t>avverkningsanmälan</t>
        </is>
      </c>
      <c r="C808" t="inlineStr">
        <is>
          <t>Föryngringsavverkning</t>
        </is>
      </c>
      <c r="D808" s="1" t="n">
        <v>46261</v>
      </c>
      <c r="E808" s="1" t="n">
        <v>46319</v>
      </c>
      <c r="F808" t="inlineStr">
        <is>
          <t>JÄMTLANDS LÄN</t>
        </is>
      </c>
      <c r="G808" t="inlineStr">
        <is>
          <t>RAGUNDA</t>
        </is>
      </c>
      <c r="I808" t="n">
        <v>13.7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17034-2026</t>
        </is>
      </c>
      <c r="B809" t="inlineStr">
        <is>
          <t>avverkningsanmälan</t>
        </is>
      </c>
      <c r="C809" t="inlineStr">
        <is>
          <t>Föryngringsavverkning</t>
        </is>
      </c>
      <c r="D809" s="1" t="n">
        <v>46114</v>
      </c>
      <c r="E809" s="1" t="n">
        <v>46319</v>
      </c>
      <c r="F809" t="inlineStr">
        <is>
          <t>JÄMTLANDS LÄN</t>
        </is>
      </c>
      <c r="G809" t="inlineStr">
        <is>
          <t>RAGUNDA</t>
        </is>
      </c>
      <c r="H809" t="inlineStr">
        <is>
          <t>SCA</t>
        </is>
      </c>
      <c r="I809" t="n">
        <v>39.6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54092-2024</t>
        </is>
      </c>
      <c r="B810" t="inlineStr">
        <is>
          <t>avverkningsanmälan</t>
        </is>
      </c>
      <c r="C810" t="inlineStr">
        <is>
          <t>Föryngringsavverkning</t>
        </is>
      </c>
      <c r="D810" s="1" t="n">
        <v>45616</v>
      </c>
      <c r="E810" s="1" t="n">
        <v>46319</v>
      </c>
      <c r="F810" t="inlineStr">
        <is>
          <t>JÄMTLANDS LÄN</t>
        </is>
      </c>
      <c r="G810" t="inlineStr">
        <is>
          <t>RAGUNDA</t>
        </is>
      </c>
      <c r="H810" t="inlineStr">
        <is>
          <t>Naturvårdsverket</t>
        </is>
      </c>
      <c r="I810" t="n">
        <v>1.3</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17150-2026</t>
        </is>
      </c>
      <c r="B811" t="inlineStr">
        <is>
          <t>avverkningsanmälan</t>
        </is>
      </c>
      <c r="C811" t="inlineStr">
        <is>
          <t>Föryngringsavverkning</t>
        </is>
      </c>
      <c r="D811" s="1" t="n">
        <v>46115</v>
      </c>
      <c r="E811" s="1" t="n">
        <v>46319</v>
      </c>
      <c r="F811" t="inlineStr">
        <is>
          <t>JÄMTLANDS LÄN</t>
        </is>
      </c>
      <c r="G811" t="inlineStr">
        <is>
          <t>RAGUNDA</t>
        </is>
      </c>
      <c r="H811" t="inlineStr">
        <is>
          <t>SCA</t>
        </is>
      </c>
      <c r="I811" t="n">
        <v>15.3</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16995-2026</t>
        </is>
      </c>
      <c r="B812" t="inlineStr">
        <is>
          <t>avverkningsanmälan</t>
        </is>
      </c>
      <c r="C812" t="inlineStr">
        <is>
          <t>Föryngringsavverkning</t>
        </is>
      </c>
      <c r="D812" s="1" t="n">
        <v>46114</v>
      </c>
      <c r="E812" s="1" t="n">
        <v>46319</v>
      </c>
      <c r="F812" t="inlineStr">
        <is>
          <t>JÄMTLANDS LÄN</t>
        </is>
      </c>
      <c r="G812" t="inlineStr">
        <is>
          <t>RAGUNDA</t>
        </is>
      </c>
      <c r="I812" t="n">
        <v>2</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35112-2026</t>
        </is>
      </c>
      <c r="B813" t="inlineStr">
        <is>
          <t>avverkningsanmälan</t>
        </is>
      </c>
      <c r="C813" t="inlineStr">
        <is>
          <t>Föryngringsavverkning</t>
        </is>
      </c>
      <c r="D813" s="1" t="n">
        <v>46260</v>
      </c>
      <c r="E813" s="1" t="n">
        <v>46319</v>
      </c>
      <c r="F813" t="inlineStr">
        <is>
          <t>JÄMTLANDS LÄN</t>
        </is>
      </c>
      <c r="G813" t="inlineStr">
        <is>
          <t>RAGUNDA</t>
        </is>
      </c>
      <c r="H813" t="inlineStr">
        <is>
          <t>SCA</t>
        </is>
      </c>
      <c r="I813" t="n">
        <v>3.2</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18778-2024</t>
        </is>
      </c>
      <c r="B814" t="inlineStr">
        <is>
          <t>avverkningsanmälan</t>
        </is>
      </c>
      <c r="C814" t="inlineStr">
        <is>
          <t>Föryngringsavverkning</t>
        </is>
      </c>
      <c r="D814" s="1" t="n">
        <v>45426</v>
      </c>
      <c r="E814" s="1" t="n">
        <v>46319</v>
      </c>
      <c r="F814" t="inlineStr">
        <is>
          <t>JÄMTLANDS LÄN</t>
        </is>
      </c>
      <c r="G814" t="inlineStr">
        <is>
          <t>RAGUNDA</t>
        </is>
      </c>
      <c r="I814" t="n">
        <v>0.9</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18781-2024</t>
        </is>
      </c>
      <c r="B815" t="inlineStr">
        <is>
          <t>avverkningsanmälan</t>
        </is>
      </c>
      <c r="C815" t="inlineStr">
        <is>
          <t>Föryngringsavverkning</t>
        </is>
      </c>
      <c r="D815" s="1" t="n">
        <v>45426</v>
      </c>
      <c r="E815" s="1" t="n">
        <v>46319</v>
      </c>
      <c r="F815" t="inlineStr">
        <is>
          <t>JÄMTLANDS LÄN</t>
        </is>
      </c>
      <c r="G815" t="inlineStr">
        <is>
          <t>RAGUNDA</t>
        </is>
      </c>
      <c r="I815" t="n">
        <v>0.9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17248-2023</t>
        </is>
      </c>
      <c r="B816" t="inlineStr">
        <is>
          <t>avverkningsanmälan</t>
        </is>
      </c>
      <c r="C816" t="inlineStr">
        <is>
          <t>Föryngringsavverkning</t>
        </is>
      </c>
      <c r="D816" s="1" t="n">
        <v>45033</v>
      </c>
      <c r="E816" s="1" t="n">
        <v>46319</v>
      </c>
      <c r="F816" t="inlineStr">
        <is>
          <t>JÄMTLANDS LÄN</t>
        </is>
      </c>
      <c r="G816" t="inlineStr">
        <is>
          <t>RAGUNDA</t>
        </is>
      </c>
      <c r="I816" t="n">
        <v>3</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36541-2025</t>
        </is>
      </c>
      <c r="B817" t="inlineStr">
        <is>
          <t>avverkningsanmälan</t>
        </is>
      </c>
      <c r="C817" t="inlineStr">
        <is>
          <t>Föryngringsavverkning</t>
        </is>
      </c>
      <c r="D817" s="1" t="n">
        <v>45869</v>
      </c>
      <c r="E817" s="1" t="n">
        <v>46319</v>
      </c>
      <c r="F817" t="inlineStr">
        <is>
          <t>JÄMTLANDS LÄN</t>
        </is>
      </c>
      <c r="G817" t="inlineStr">
        <is>
          <t>RAGUNDA</t>
        </is>
      </c>
      <c r="H817" t="inlineStr">
        <is>
          <t>SCA</t>
        </is>
      </c>
      <c r="I817" t="n">
        <v>1.6</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36544-2025</t>
        </is>
      </c>
      <c r="B818" t="inlineStr">
        <is>
          <t>avverkningsanmälan</t>
        </is>
      </c>
      <c r="C818" t="inlineStr">
        <is>
          <t>Föryngringsavverkning</t>
        </is>
      </c>
      <c r="D818" s="1" t="n">
        <v>45869</v>
      </c>
      <c r="E818" s="1" t="n">
        <v>46319</v>
      </c>
      <c r="F818" t="inlineStr">
        <is>
          <t>JÄMTLANDS LÄN</t>
        </is>
      </c>
      <c r="G818" t="inlineStr">
        <is>
          <t>RAGUNDA</t>
        </is>
      </c>
      <c r="H818" t="inlineStr">
        <is>
          <t>SCA</t>
        </is>
      </c>
      <c r="I818" t="n">
        <v>6.1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36553-2025</t>
        </is>
      </c>
      <c r="B819" t="inlineStr">
        <is>
          <t>avverkningsanmälan</t>
        </is>
      </c>
      <c r="C819" t="inlineStr">
        <is>
          <t>Föryngringsavverkning</t>
        </is>
      </c>
      <c r="D819" s="1" t="n">
        <v>45870</v>
      </c>
      <c r="E819" s="1" t="n">
        <v>46319</v>
      </c>
      <c r="F819" t="inlineStr">
        <is>
          <t>JÄMTLANDS LÄN</t>
        </is>
      </c>
      <c r="G819" t="inlineStr">
        <is>
          <t>RAGUNDA</t>
        </is>
      </c>
      <c r="H819" t="inlineStr">
        <is>
          <t>SCA</t>
        </is>
      </c>
      <c r="I819" t="n">
        <v>0.7</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41926-2026</t>
        </is>
      </c>
      <c r="B820" t="inlineStr">
        <is>
          <t>avverkningsanmälan</t>
        </is>
      </c>
      <c r="C820" t="inlineStr">
        <is>
          <t>Föryngringsavverkning</t>
        </is>
      </c>
      <c r="D820" s="1" t="n">
        <v>46303</v>
      </c>
      <c r="E820" s="1" t="n">
        <v>46319</v>
      </c>
      <c r="F820" t="inlineStr">
        <is>
          <t>JÄMTLANDS LÄN</t>
        </is>
      </c>
      <c r="G820" t="inlineStr">
        <is>
          <t>RAGUNDA</t>
        </is>
      </c>
      <c r="H820" t="inlineStr">
        <is>
          <t>SCA</t>
        </is>
      </c>
      <c r="I820" t="n">
        <v>4.3</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17410-2026</t>
        </is>
      </c>
      <c r="B821" t="inlineStr">
        <is>
          <t>avverkningsanmälan</t>
        </is>
      </c>
      <c r="C821" t="inlineStr">
        <is>
          <t>Föryngringsavverkning</t>
        </is>
      </c>
      <c r="D821" s="1" t="n">
        <v>46120</v>
      </c>
      <c r="E821" s="1" t="n">
        <v>46319</v>
      </c>
      <c r="F821" t="inlineStr">
        <is>
          <t>JÄMTLANDS LÄN</t>
        </is>
      </c>
      <c r="G821" t="inlineStr">
        <is>
          <t>RAGUNDA</t>
        </is>
      </c>
      <c r="H821" t="inlineStr">
        <is>
          <t>SCA</t>
        </is>
      </c>
      <c r="I821" t="n">
        <v>2.8</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41896-2026</t>
        </is>
      </c>
      <c r="B822" t="inlineStr">
        <is>
          <t>avverkningsanmälan</t>
        </is>
      </c>
      <c r="C822" t="inlineStr">
        <is>
          <t>Föryngringsavverkning</t>
        </is>
      </c>
      <c r="D822" s="1" t="n">
        <v>46303</v>
      </c>
      <c r="E822" s="1" t="n">
        <v>46319</v>
      </c>
      <c r="F822" t="inlineStr">
        <is>
          <t>JÄMTLANDS LÄN</t>
        </is>
      </c>
      <c r="G822" t="inlineStr">
        <is>
          <t>RAGUNDA</t>
        </is>
      </c>
      <c r="H822" t="inlineStr">
        <is>
          <t>SCA</t>
        </is>
      </c>
      <c r="I822" t="n">
        <v>1.2</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53263-2024</t>
        </is>
      </c>
      <c r="B823" t="inlineStr">
        <is>
          <t>avverkningsanmälan</t>
        </is>
      </c>
      <c r="C823" t="inlineStr">
        <is>
          <t>Föryngringsavverkning</t>
        </is>
      </c>
      <c r="D823" s="1" t="n">
        <v>45614</v>
      </c>
      <c r="E823" s="1" t="n">
        <v>46319</v>
      </c>
      <c r="F823" t="inlineStr">
        <is>
          <t>JÄMTLANDS LÄN</t>
        </is>
      </c>
      <c r="G823" t="inlineStr">
        <is>
          <t>RAGUNDA</t>
        </is>
      </c>
      <c r="I823" t="n">
        <v>1.9</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36947-2025</t>
        </is>
      </c>
      <c r="B824" t="inlineStr">
        <is>
          <t>avverkningsanmälan</t>
        </is>
      </c>
      <c r="C824" t="inlineStr">
        <is>
          <t>Föryngringsavverkning</t>
        </is>
      </c>
      <c r="D824" s="1" t="n">
        <v>45874</v>
      </c>
      <c r="E824" s="1" t="n">
        <v>46319</v>
      </c>
      <c r="F824" t="inlineStr">
        <is>
          <t>JÄMTLANDS LÄN</t>
        </is>
      </c>
      <c r="G824" t="inlineStr">
        <is>
          <t>RAGUNDA</t>
        </is>
      </c>
      <c r="H824" t="inlineStr">
        <is>
          <t>SCA</t>
        </is>
      </c>
      <c r="I824" t="n">
        <v>0.7</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42160-2026</t>
        </is>
      </c>
      <c r="B825" t="inlineStr">
        <is>
          <t>avverkningsanmälan</t>
        </is>
      </c>
      <c r="C825" t="inlineStr">
        <is>
          <t>Föryngringsavverkning</t>
        </is>
      </c>
      <c r="D825" s="1" t="n">
        <v>46304</v>
      </c>
      <c r="E825" s="1" t="n">
        <v>46319</v>
      </c>
      <c r="F825" t="inlineStr">
        <is>
          <t>JÄMTLANDS LÄN</t>
        </is>
      </c>
      <c r="G825" t="inlineStr">
        <is>
          <t>RAGUNDA</t>
        </is>
      </c>
      <c r="H825" t="inlineStr">
        <is>
          <t>SCA</t>
        </is>
      </c>
      <c r="I825" t="n">
        <v>1.9</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58630-2024</t>
        </is>
      </c>
      <c r="B826" t="inlineStr">
        <is>
          <t>avverkningsanmälan</t>
        </is>
      </c>
      <c r="C826" t="inlineStr">
        <is>
          <t>Föryngringsavverkning</t>
        </is>
      </c>
      <c r="D826" s="1" t="n">
        <v>45635</v>
      </c>
      <c r="E826" s="1" t="n">
        <v>46319</v>
      </c>
      <c r="F826" t="inlineStr">
        <is>
          <t>JÄMTLANDS LÄN</t>
        </is>
      </c>
      <c r="G826" t="inlineStr">
        <is>
          <t>RAGUNDA</t>
        </is>
      </c>
      <c r="H826" t="inlineStr">
        <is>
          <t>SCA</t>
        </is>
      </c>
      <c r="I826" t="n">
        <v>1.9</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18131-2026</t>
        </is>
      </c>
      <c r="B827" t="inlineStr">
        <is>
          <t>avverkningsanmälan</t>
        </is>
      </c>
      <c r="C827" t="inlineStr">
        <is>
          <t>Föryngringsavverkning</t>
        </is>
      </c>
      <c r="D827" s="1" t="n">
        <v>46125</v>
      </c>
      <c r="E827" s="1" t="n">
        <v>46319</v>
      </c>
      <c r="F827" t="inlineStr">
        <is>
          <t>JÄMTLANDS LÄN</t>
        </is>
      </c>
      <c r="G827" t="inlineStr">
        <is>
          <t>RAGUNDA</t>
        </is>
      </c>
      <c r="I827" t="n">
        <v>5.5</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32075-2025</t>
        </is>
      </c>
      <c r="B828" t="inlineStr">
        <is>
          <t>avverkningsanmälan</t>
        </is>
      </c>
      <c r="C828" t="inlineStr">
        <is>
          <t>Föryngringsavverkning</t>
        </is>
      </c>
      <c r="D828" s="1" t="n">
        <v>45835</v>
      </c>
      <c r="E828" s="1" t="n">
        <v>46319</v>
      </c>
      <c r="F828" t="inlineStr">
        <is>
          <t>JÄMTLANDS LÄN</t>
        </is>
      </c>
      <c r="G828" t="inlineStr">
        <is>
          <t>RAGUNDA</t>
        </is>
      </c>
      <c r="I828" t="n">
        <v>1.1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36994-2025</t>
        </is>
      </c>
      <c r="B829" t="inlineStr">
        <is>
          <t>avverkningsanmälan</t>
        </is>
      </c>
      <c r="C829" t="inlineStr">
        <is>
          <t>Föryngringsavverkning</t>
        </is>
      </c>
      <c r="D829" s="1" t="n">
        <v>45874</v>
      </c>
      <c r="E829" s="1" t="n">
        <v>46319</v>
      </c>
      <c r="F829" t="inlineStr">
        <is>
          <t>JÄMTLANDS LÄN</t>
        </is>
      </c>
      <c r="G829" t="inlineStr">
        <is>
          <t>RAGUNDA</t>
        </is>
      </c>
      <c r="H829" t="inlineStr">
        <is>
          <t>SCA</t>
        </is>
      </c>
      <c r="I829" t="n">
        <v>7.2</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37008-2025</t>
        </is>
      </c>
      <c r="B830" t="inlineStr">
        <is>
          <t>avverkningsanmälan</t>
        </is>
      </c>
      <c r="C830" t="inlineStr">
        <is>
          <t>Föryngringsavverkning</t>
        </is>
      </c>
      <c r="D830" s="1" t="n">
        <v>45874</v>
      </c>
      <c r="E830" s="1" t="n">
        <v>46319</v>
      </c>
      <c r="F830" t="inlineStr">
        <is>
          <t>JÄMTLANDS LÄN</t>
        </is>
      </c>
      <c r="G830" t="inlineStr">
        <is>
          <t>RAGUNDA</t>
        </is>
      </c>
      <c r="H830" t="inlineStr">
        <is>
          <t>SCA</t>
        </is>
      </c>
      <c r="I830" t="n">
        <v>1.6</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37292-2025</t>
        </is>
      </c>
      <c r="B831" t="inlineStr">
        <is>
          <t>avverkningsanmälan</t>
        </is>
      </c>
      <c r="C831" t="inlineStr">
        <is>
          <t>Föryngringsavverkning</t>
        </is>
      </c>
      <c r="D831" s="1" t="n">
        <v>45876</v>
      </c>
      <c r="E831" s="1" t="n">
        <v>46319</v>
      </c>
      <c r="F831" t="inlineStr">
        <is>
          <t>JÄMTLANDS LÄN</t>
        </is>
      </c>
      <c r="G831" t="inlineStr">
        <is>
          <t>RAGUNDA</t>
        </is>
      </c>
      <c r="H831" t="inlineStr">
        <is>
          <t>SCA</t>
        </is>
      </c>
      <c r="I831" t="n">
        <v>2.6</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11551-2024</t>
        </is>
      </c>
      <c r="B832" t="inlineStr">
        <is>
          <t>avverkningsanmälan</t>
        </is>
      </c>
      <c r="C832" t="inlineStr">
        <is>
          <t>Avverkning för att bevara och utveckla /försöksver</t>
        </is>
      </c>
      <c r="D832" s="1" t="n">
        <v>45372</v>
      </c>
      <c r="E832" s="1" t="n">
        <v>46319</v>
      </c>
      <c r="F832" t="inlineStr">
        <is>
          <t>JÄMTLANDS LÄN</t>
        </is>
      </c>
      <c r="G832" t="inlineStr">
        <is>
          <t>RAGUNDA</t>
        </is>
      </c>
      <c r="H832" t="inlineStr">
        <is>
          <t>SCA</t>
        </is>
      </c>
      <c r="I832" t="n">
        <v>2.5</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9504-2025</t>
        </is>
      </c>
      <c r="B833" t="inlineStr">
        <is>
          <t>avverkningsanmälan</t>
        </is>
      </c>
      <c r="C833" t="inlineStr">
        <is>
          <t>Föryngringsavverkning</t>
        </is>
      </c>
      <c r="D833" s="1" t="n">
        <v>45714</v>
      </c>
      <c r="E833" s="1" t="n">
        <v>46319</v>
      </c>
      <c r="F833" t="inlineStr">
        <is>
          <t>JÄMTLANDS LÄN</t>
        </is>
      </c>
      <c r="G833" t="inlineStr">
        <is>
          <t>RAGUNDA</t>
        </is>
      </c>
      <c r="I833" t="n">
        <v>6</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60663-2022</t>
        </is>
      </c>
      <c r="B834" t="inlineStr">
        <is>
          <t>avverkningsanmälan</t>
        </is>
      </c>
      <c r="C834" t="inlineStr">
        <is>
          <t>Avverkning för att bevara och utveckla /försöksver</t>
        </is>
      </c>
      <c r="D834" s="1" t="n">
        <v>44911</v>
      </c>
      <c r="E834" s="1" t="n">
        <v>46319</v>
      </c>
      <c r="F834" t="inlineStr">
        <is>
          <t>JÄMTLANDS LÄN</t>
        </is>
      </c>
      <c r="G834" t="inlineStr">
        <is>
          <t>RAGUNDA</t>
        </is>
      </c>
      <c r="H834" t="inlineStr">
        <is>
          <t>SCA</t>
        </is>
      </c>
      <c r="I834" t="n">
        <v>3.3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18612-2024</t>
        </is>
      </c>
      <c r="B835" t="inlineStr">
        <is>
          <t>avverkningsanmälan</t>
        </is>
      </c>
      <c r="C835" t="inlineStr">
        <is>
          <t>Föryngringsavverkning</t>
        </is>
      </c>
      <c r="D835" s="1" t="n">
        <v>45425</v>
      </c>
      <c r="E835" s="1" t="n">
        <v>46319</v>
      </c>
      <c r="F835" t="inlineStr">
        <is>
          <t>JÄMTLANDS LÄN</t>
        </is>
      </c>
      <c r="G835" t="inlineStr">
        <is>
          <t>RAGUNDA</t>
        </is>
      </c>
      <c r="H835" t="inlineStr">
        <is>
          <t>SCA</t>
        </is>
      </c>
      <c r="I835" t="n">
        <v>0.7</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48249-2024</t>
        </is>
      </c>
      <c r="B836" t="inlineStr">
        <is>
          <t>avverkningsanmälan</t>
        </is>
      </c>
      <c r="C836" t="inlineStr">
        <is>
          <t>Föryngringsavverkning</t>
        </is>
      </c>
      <c r="D836" s="1" t="n">
        <v>45590</v>
      </c>
      <c r="E836" s="1" t="n">
        <v>46319</v>
      </c>
      <c r="F836" t="inlineStr">
        <is>
          <t>JÄMTLANDS LÄN</t>
        </is>
      </c>
      <c r="G836" t="inlineStr">
        <is>
          <t>RAGUNDA</t>
        </is>
      </c>
      <c r="H836" t="inlineStr">
        <is>
          <t>SCA</t>
        </is>
      </c>
      <c r="I836" t="n">
        <v>14.4</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31745-2026</t>
        </is>
      </c>
      <c r="B837" t="inlineStr">
        <is>
          <t>avverkningsanmälan</t>
        </is>
      </c>
      <c r="C837" t="inlineStr">
        <is>
          <t>Föryngringsavverkning</t>
        </is>
      </c>
      <c r="D837" s="1" t="n">
        <v>46227</v>
      </c>
      <c r="E837" s="1" t="n">
        <v>46319</v>
      </c>
      <c r="F837" t="inlineStr">
        <is>
          <t>JÄMTLANDS LÄN</t>
        </is>
      </c>
      <c r="G837" t="inlineStr">
        <is>
          <t>RAGUNDA</t>
        </is>
      </c>
      <c r="I837" t="n">
        <v>3.8</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11558-2023</t>
        </is>
      </c>
      <c r="B838" t="inlineStr">
        <is>
          <t>avverkningsanmälan</t>
        </is>
      </c>
      <c r="C838" t="inlineStr">
        <is>
          <t>Avverkning för att bevara och utveckla /försöksver</t>
        </is>
      </c>
      <c r="D838" s="1" t="n">
        <v>44993</v>
      </c>
      <c r="E838" s="1" t="n">
        <v>46319</v>
      </c>
      <c r="F838" t="inlineStr">
        <is>
          <t>JÄMTLANDS LÄN</t>
        </is>
      </c>
      <c r="G838" t="inlineStr">
        <is>
          <t>RAGUNDA</t>
        </is>
      </c>
      <c r="H838" t="inlineStr">
        <is>
          <t>SCA</t>
        </is>
      </c>
      <c r="I838" t="n">
        <v>0.8</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49648-2023</t>
        </is>
      </c>
      <c r="B839" t="inlineStr">
        <is>
          <t>avverkningsanmälan</t>
        </is>
      </c>
      <c r="C839" t="inlineStr">
        <is>
          <t>Föryngringsavverkning</t>
        </is>
      </c>
      <c r="D839" s="1" t="n">
        <v>45211</v>
      </c>
      <c r="E839" s="1" t="n">
        <v>46319</v>
      </c>
      <c r="F839" t="inlineStr">
        <is>
          <t>JÄMTLANDS LÄN</t>
        </is>
      </c>
      <c r="G839" t="inlineStr">
        <is>
          <t>RAGUNDA</t>
        </is>
      </c>
      <c r="H839" t="inlineStr">
        <is>
          <t>SCA</t>
        </is>
      </c>
      <c r="I839" t="n">
        <v>4.3</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35983-2026</t>
        </is>
      </c>
      <c r="B840" t="inlineStr">
        <is>
          <t>avverkningsanmälan</t>
        </is>
      </c>
      <c r="C840" t="inlineStr">
        <is>
          <t>Föryngringsavverkning</t>
        </is>
      </c>
      <c r="D840" s="1" t="n">
        <v>46266</v>
      </c>
      <c r="E840" s="1" t="n">
        <v>46319</v>
      </c>
      <c r="F840" t="inlineStr">
        <is>
          <t>JÄMTLANDS LÄN</t>
        </is>
      </c>
      <c r="G840" t="inlineStr">
        <is>
          <t>RAGUNDA</t>
        </is>
      </c>
      <c r="H840" t="inlineStr">
        <is>
          <t>SCA</t>
        </is>
      </c>
      <c r="I840" t="n">
        <v>1.4</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41425-2026</t>
        </is>
      </c>
      <c r="B841" t="inlineStr">
        <is>
          <t>avverkningsanmälan</t>
        </is>
      </c>
      <c r="C841" t="inlineStr">
        <is>
          <t>Föryngringsavverkning</t>
        </is>
      </c>
      <c r="D841" s="1" t="n">
        <v>46301</v>
      </c>
      <c r="E841" s="1" t="n">
        <v>46319</v>
      </c>
      <c r="F841" t="inlineStr">
        <is>
          <t>JÄMTLANDS LÄN</t>
        </is>
      </c>
      <c r="G841" t="inlineStr">
        <is>
          <t>RAGUNDA</t>
        </is>
      </c>
      <c r="I841" t="n">
        <v>6.3</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58194-2022</t>
        </is>
      </c>
      <c r="B842" t="inlineStr">
        <is>
          <t>avverkningsanmälan</t>
        </is>
      </c>
      <c r="C842" t="inlineStr">
        <is>
          <t>Föryngringsavverkning</t>
        </is>
      </c>
      <c r="D842" s="1" t="n">
        <v>44900</v>
      </c>
      <c r="E842" s="1" t="n">
        <v>46319</v>
      </c>
      <c r="F842" t="inlineStr">
        <is>
          <t>JÄMTLANDS LÄN</t>
        </is>
      </c>
      <c r="G842" t="inlineStr">
        <is>
          <t>RAGUNDA</t>
        </is>
      </c>
      <c r="H842" t="inlineStr">
        <is>
          <t>SCA</t>
        </is>
      </c>
      <c r="I842" t="n">
        <v>0.6</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36019-2026</t>
        </is>
      </c>
      <c r="B843" t="inlineStr">
        <is>
          <t>avverkningsanmälan</t>
        </is>
      </c>
      <c r="C843" t="inlineStr">
        <is>
          <t>Föryngringsavverkning</t>
        </is>
      </c>
      <c r="D843" s="1" t="n">
        <v>46266</v>
      </c>
      <c r="E843" s="1" t="n">
        <v>46319</v>
      </c>
      <c r="F843" t="inlineStr">
        <is>
          <t>JÄMTLANDS LÄN</t>
        </is>
      </c>
      <c r="G843" t="inlineStr">
        <is>
          <t>RAGUNDA</t>
        </is>
      </c>
      <c r="H843" t="inlineStr">
        <is>
          <t>SCA</t>
        </is>
      </c>
      <c r="I843" t="n">
        <v>6.2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4015-2022</t>
        </is>
      </c>
      <c r="B844" t="inlineStr">
        <is>
          <t>avverkningsanmälan</t>
        </is>
      </c>
      <c r="C844" t="inlineStr">
        <is>
          <t>Föryngringsavverkning</t>
        </is>
      </c>
      <c r="D844" s="1" t="n">
        <v>44587</v>
      </c>
      <c r="E844" s="1" t="n">
        <v>46319</v>
      </c>
      <c r="F844" t="inlineStr">
        <is>
          <t>JÄMTLANDS LÄN</t>
        </is>
      </c>
      <c r="G844" t="inlineStr">
        <is>
          <t>RAGUNDA</t>
        </is>
      </c>
      <c r="I844" t="n">
        <v>3.9</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19981-2026</t>
        </is>
      </c>
      <c r="B845" t="inlineStr">
        <is>
          <t>avverkningsanmälan</t>
        </is>
      </c>
      <c r="C845" t="inlineStr">
        <is>
          <t>Föryngringsavverkning</t>
        </is>
      </c>
      <c r="D845" s="1" t="n">
        <v>46136</v>
      </c>
      <c r="E845" s="1" t="n">
        <v>46319</v>
      </c>
      <c r="F845" t="inlineStr">
        <is>
          <t>JÄMTLANDS LÄN</t>
        </is>
      </c>
      <c r="G845" t="inlineStr">
        <is>
          <t>RAGUNDA</t>
        </is>
      </c>
      <c r="H845" t="inlineStr">
        <is>
          <t>SCA</t>
        </is>
      </c>
      <c r="I845" t="n">
        <v>2.8</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4014-2022</t>
        </is>
      </c>
      <c r="B846" t="inlineStr">
        <is>
          <t>avverkningsanmälan</t>
        </is>
      </c>
      <c r="C846" t="inlineStr">
        <is>
          <t>Föryngringsavverkning</t>
        </is>
      </c>
      <c r="D846" s="1" t="n">
        <v>44587</v>
      </c>
      <c r="E846" s="1" t="n">
        <v>46319</v>
      </c>
      <c r="F846" t="inlineStr">
        <is>
          <t>JÄMTLANDS LÄN</t>
        </is>
      </c>
      <c r="G846" t="inlineStr">
        <is>
          <t>RAGUNDA</t>
        </is>
      </c>
      <c r="I846" t="n">
        <v>3.6</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8243-2024</t>
        </is>
      </c>
      <c r="B847" t="inlineStr">
        <is>
          <t>avverkningsanmälan</t>
        </is>
      </c>
      <c r="C847" t="inlineStr">
        <is>
          <t>Föryngringsavverkning</t>
        </is>
      </c>
      <c r="D847" s="1" t="n">
        <v>45351</v>
      </c>
      <c r="E847" s="1" t="n">
        <v>46319</v>
      </c>
      <c r="F847" t="inlineStr">
        <is>
          <t>JÄMTLANDS LÄN</t>
        </is>
      </c>
      <c r="G847" t="inlineStr">
        <is>
          <t>RAGUNDA</t>
        </is>
      </c>
      <c r="H847" t="inlineStr">
        <is>
          <t>SCA</t>
        </is>
      </c>
      <c r="I847" t="n">
        <v>4.5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42703-2026</t>
        </is>
      </c>
      <c r="B848" t="inlineStr">
        <is>
          <t>avverkningsanmälan</t>
        </is>
      </c>
      <c r="C848" t="inlineStr">
        <is>
          <t>Föryngringsavverkning</t>
        </is>
      </c>
      <c r="D848" s="1" t="n">
        <v>46309</v>
      </c>
      <c r="E848" s="1" t="n">
        <v>46319</v>
      </c>
      <c r="F848" t="inlineStr">
        <is>
          <t>JÄMTLANDS LÄN</t>
        </is>
      </c>
      <c r="G848" t="inlineStr">
        <is>
          <t>RAGUNDA</t>
        </is>
      </c>
      <c r="H848" t="inlineStr">
        <is>
          <t>SCA</t>
        </is>
      </c>
      <c r="I848" t="n">
        <v>0.9</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6902-2024</t>
        </is>
      </c>
      <c r="B849" t="inlineStr">
        <is>
          <t>avverkningsanmälan</t>
        </is>
      </c>
      <c r="C849" t="inlineStr">
        <is>
          <t>Föryngringsavverkning</t>
        </is>
      </c>
      <c r="D849" s="1" t="n">
        <v>45342</v>
      </c>
      <c r="E849" s="1" t="n">
        <v>46319</v>
      </c>
      <c r="F849" t="inlineStr">
        <is>
          <t>JÄMTLANDS LÄN</t>
        </is>
      </c>
      <c r="G849" t="inlineStr">
        <is>
          <t>RAGUNDA</t>
        </is>
      </c>
      <c r="H849" t="inlineStr">
        <is>
          <t>SCA</t>
        </is>
      </c>
      <c r="I849" t="n">
        <v>18.7</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4616-2026</t>
        </is>
      </c>
      <c r="B850" t="inlineStr">
        <is>
          <t>avverkningsanmälan</t>
        </is>
      </c>
      <c r="C850" t="inlineStr">
        <is>
          <t>Föryngringsavverkning</t>
        </is>
      </c>
      <c r="D850" s="1" t="n">
        <v>46048</v>
      </c>
      <c r="E850" s="1" t="n">
        <v>46319</v>
      </c>
      <c r="F850" t="inlineStr">
        <is>
          <t>JÄMTLANDS LÄN</t>
        </is>
      </c>
      <c r="G850" t="inlineStr">
        <is>
          <t>RAGUNDA</t>
        </is>
      </c>
      <c r="I850" t="n">
        <v>2.4</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42509-2023</t>
        </is>
      </c>
      <c r="B851" t="inlineStr">
        <is>
          <t>avverkningsanmälan</t>
        </is>
      </c>
      <c r="C851" t="inlineStr">
        <is>
          <t>Föryngringsavverkning</t>
        </is>
      </c>
      <c r="D851" s="1" t="n">
        <v>45180</v>
      </c>
      <c r="E851" s="1" t="n">
        <v>46319</v>
      </c>
      <c r="F851" t="inlineStr">
        <is>
          <t>JÄMTLANDS LÄN</t>
        </is>
      </c>
      <c r="G851" t="inlineStr">
        <is>
          <t>RAGUNDA</t>
        </is>
      </c>
      <c r="H851" t="inlineStr">
        <is>
          <t>SCA</t>
        </is>
      </c>
      <c r="I851" t="n">
        <v>2.1</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42510-2023</t>
        </is>
      </c>
      <c r="B852" t="inlineStr">
        <is>
          <t>avverkningsanmälan</t>
        </is>
      </c>
      <c r="C852" t="inlineStr">
        <is>
          <t>Föryngringsavverkning</t>
        </is>
      </c>
      <c r="D852" s="1" t="n">
        <v>45180</v>
      </c>
      <c r="E852" s="1" t="n">
        <v>46319</v>
      </c>
      <c r="F852" t="inlineStr">
        <is>
          <t>JÄMTLANDS LÄN</t>
        </is>
      </c>
      <c r="G852" t="inlineStr">
        <is>
          <t>RAGUNDA</t>
        </is>
      </c>
      <c r="H852" t="inlineStr">
        <is>
          <t>SCA</t>
        </is>
      </c>
      <c r="I852" t="n">
        <v>1.7</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11048-2023</t>
        </is>
      </c>
      <c r="B853" t="inlineStr">
        <is>
          <t>avverkningsanmälan</t>
        </is>
      </c>
      <c r="C853" t="inlineStr">
        <is>
          <t>Föryngringsavverkning</t>
        </is>
      </c>
      <c r="D853" s="1" t="n">
        <v>44991</v>
      </c>
      <c r="E853" s="1" t="n">
        <v>46319</v>
      </c>
      <c r="F853" t="inlineStr">
        <is>
          <t>JÄMTLANDS LÄN</t>
        </is>
      </c>
      <c r="G853" t="inlineStr">
        <is>
          <t>RAGUNDA</t>
        </is>
      </c>
      <c r="H853" t="inlineStr">
        <is>
          <t>SCA</t>
        </is>
      </c>
      <c r="I853" t="n">
        <v>13.5</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44954-2025</t>
        </is>
      </c>
      <c r="B854" t="inlineStr">
        <is>
          <t>avverkningsanmälan</t>
        </is>
      </c>
      <c r="C854" t="inlineStr">
        <is>
          <t>Föryngringsavverkning</t>
        </is>
      </c>
      <c r="D854" s="1" t="n">
        <v>45918</v>
      </c>
      <c r="E854" s="1" t="n">
        <v>46319</v>
      </c>
      <c r="F854" t="inlineStr">
        <is>
          <t>JÄMTLANDS LÄN</t>
        </is>
      </c>
      <c r="G854" t="inlineStr">
        <is>
          <t>RAGUNDA</t>
        </is>
      </c>
      <c r="I854" t="n">
        <v>3</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55633-2025</t>
        </is>
      </c>
      <c r="B855" t="inlineStr">
        <is>
          <t>avverkningsanmälan</t>
        </is>
      </c>
      <c r="C855" t="inlineStr">
        <is>
          <t>Föryngringsavverkning</t>
        </is>
      </c>
      <c r="D855" s="1" t="n">
        <v>45972</v>
      </c>
      <c r="E855" s="1" t="n">
        <v>46319</v>
      </c>
      <c r="F855" t="inlineStr">
        <is>
          <t>JÄMTLANDS LÄN</t>
        </is>
      </c>
      <c r="G855" t="inlineStr">
        <is>
          <t>RAGUNDA</t>
        </is>
      </c>
      <c r="H855" t="inlineStr">
        <is>
          <t>SCA</t>
        </is>
      </c>
      <c r="I855" t="n">
        <v>4.1</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46546-2023</t>
        </is>
      </c>
      <c r="B856" t="inlineStr">
        <is>
          <t>avverkningsanmälan</t>
        </is>
      </c>
      <c r="C856" t="inlineStr">
        <is>
          <t>Föryngringsavverkning</t>
        </is>
      </c>
      <c r="D856" s="1" t="n">
        <v>45197</v>
      </c>
      <c r="E856" s="1" t="n">
        <v>46319</v>
      </c>
      <c r="F856" t="inlineStr">
        <is>
          <t>JÄMTLANDS LÄN</t>
        </is>
      </c>
      <c r="G856" t="inlineStr">
        <is>
          <t>RAGUNDA</t>
        </is>
      </c>
      <c r="H856" t="inlineStr">
        <is>
          <t>SCA</t>
        </is>
      </c>
      <c r="I856" t="n">
        <v>1.5</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55547-2025</t>
        </is>
      </c>
      <c r="B857" t="inlineStr">
        <is>
          <t>avverkningsanmälan</t>
        </is>
      </c>
      <c r="C857" t="inlineStr">
        <is>
          <t>Föryngringsavverkning</t>
        </is>
      </c>
      <c r="D857" s="1" t="n">
        <v>45971</v>
      </c>
      <c r="E857" s="1" t="n">
        <v>46319</v>
      </c>
      <c r="F857" t="inlineStr">
        <is>
          <t>JÄMTLANDS LÄN</t>
        </is>
      </c>
      <c r="G857" t="inlineStr">
        <is>
          <t>RAGUNDA</t>
        </is>
      </c>
      <c r="H857" t="inlineStr">
        <is>
          <t>SCA</t>
        </is>
      </c>
      <c r="I857" t="n">
        <v>4.1</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3561-2026</t>
        </is>
      </c>
      <c r="B858" t="inlineStr">
        <is>
          <t>avverkningsanmälan</t>
        </is>
      </c>
      <c r="C858" t="inlineStr">
        <is>
          <t>Föryngringsavverkning</t>
        </is>
      </c>
      <c r="D858" s="1" t="n">
        <v>46042</v>
      </c>
      <c r="E858" s="1" t="n">
        <v>46319</v>
      </c>
      <c r="F858" t="inlineStr">
        <is>
          <t>JÄMTLANDS LÄN</t>
        </is>
      </c>
      <c r="G858" t="inlineStr">
        <is>
          <t>RAGUNDA</t>
        </is>
      </c>
      <c r="I858" t="n">
        <v>3.8</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20373-2026</t>
        </is>
      </c>
      <c r="B859" t="inlineStr">
        <is>
          <t>avverkningsanmälan</t>
        </is>
      </c>
      <c r="C859" t="inlineStr">
        <is>
          <t>Föryngringsavverkning</t>
        </is>
      </c>
      <c r="D859" s="1" t="n">
        <v>46139</v>
      </c>
      <c r="E859" s="1" t="n">
        <v>46319</v>
      </c>
      <c r="F859" t="inlineStr">
        <is>
          <t>JÄMTLANDS LÄN</t>
        </is>
      </c>
      <c r="G859" t="inlineStr">
        <is>
          <t>RAGUNDA</t>
        </is>
      </c>
      <c r="H859" t="inlineStr">
        <is>
          <t>SCA</t>
        </is>
      </c>
      <c r="I859" t="n">
        <v>0.6</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59492-2024</t>
        </is>
      </c>
      <c r="B860" t="inlineStr">
        <is>
          <t>avverkningsanmälan</t>
        </is>
      </c>
      <c r="C860" t="inlineStr">
        <is>
          <t>Avverkning för annat ändamål</t>
        </is>
      </c>
      <c r="D860" s="1" t="n">
        <v>45638</v>
      </c>
      <c r="E860" s="1" t="n">
        <v>46319</v>
      </c>
      <c r="F860" t="inlineStr">
        <is>
          <t>JÄMTLANDS LÄN</t>
        </is>
      </c>
      <c r="G860" t="inlineStr">
        <is>
          <t>RAGUNDA</t>
        </is>
      </c>
      <c r="I860" t="n">
        <v>1.2</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55671-2025</t>
        </is>
      </c>
      <c r="B861" t="inlineStr">
        <is>
          <t>avverkningsanmälan</t>
        </is>
      </c>
      <c r="C861" t="inlineStr">
        <is>
          <t>Föryngringsavverkning</t>
        </is>
      </c>
      <c r="D861" s="1" t="n">
        <v>45972</v>
      </c>
      <c r="E861" s="1" t="n">
        <v>46319</v>
      </c>
      <c r="F861" t="inlineStr">
        <is>
          <t>JÄMTLANDS LÄN</t>
        </is>
      </c>
      <c r="G861" t="inlineStr">
        <is>
          <t>RAGUNDA</t>
        </is>
      </c>
      <c r="H861" t="inlineStr">
        <is>
          <t>SCA</t>
        </is>
      </c>
      <c r="I861" t="n">
        <v>4.1</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44727-2024</t>
        </is>
      </c>
      <c r="B862" t="inlineStr">
        <is>
          <t>avverkningsanmälan</t>
        </is>
      </c>
      <c r="C862" t="inlineStr">
        <is>
          <t>Föryngringsavverkning</t>
        </is>
      </c>
      <c r="D862" s="1" t="n">
        <v>45574</v>
      </c>
      <c r="E862" s="1" t="n">
        <v>46319</v>
      </c>
      <c r="F862" t="inlineStr">
        <is>
          <t>JÄMTLANDS LÄN</t>
        </is>
      </c>
      <c r="G862" t="inlineStr">
        <is>
          <t>RAGUNDA</t>
        </is>
      </c>
      <c r="I862" t="n">
        <v>4.7</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55214-2022</t>
        </is>
      </c>
      <c r="B863" t="inlineStr">
        <is>
          <t>avverkningsanmälan</t>
        </is>
      </c>
      <c r="C863" t="inlineStr">
        <is>
          <t>Föryngringsavverkning</t>
        </is>
      </c>
      <c r="D863" s="1" t="n">
        <v>44886</v>
      </c>
      <c r="E863" s="1" t="n">
        <v>46319</v>
      </c>
      <c r="F863" t="inlineStr">
        <is>
          <t>JÄMTLANDS LÄN</t>
        </is>
      </c>
      <c r="G863" t="inlineStr">
        <is>
          <t>RAGUNDA</t>
        </is>
      </c>
      <c r="H863" t="inlineStr">
        <is>
          <t>SCA</t>
        </is>
      </c>
      <c r="I863" t="n">
        <v>0.6</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53757-2024</t>
        </is>
      </c>
      <c r="B864" t="inlineStr">
        <is>
          <t>avverkningsanmälan</t>
        </is>
      </c>
      <c r="C864" t="inlineStr">
        <is>
          <t>Föryngringsavverkning</t>
        </is>
      </c>
      <c r="D864" s="1" t="n">
        <v>45615</v>
      </c>
      <c r="E864" s="1" t="n">
        <v>46319</v>
      </c>
      <c r="F864" t="inlineStr">
        <is>
          <t>JÄMTLANDS LÄN</t>
        </is>
      </c>
      <c r="G864" t="inlineStr">
        <is>
          <t>RAGUNDA</t>
        </is>
      </c>
      <c r="I864" t="n">
        <v>2</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53347-2023</t>
        </is>
      </c>
      <c r="B865" t="inlineStr">
        <is>
          <t>avverkningsanmälan</t>
        </is>
      </c>
      <c r="C865" t="inlineStr">
        <is>
          <t>Föryngringsavverkning</t>
        </is>
      </c>
      <c r="D865" s="1" t="n">
        <v>45223</v>
      </c>
      <c r="E865" s="1" t="n">
        <v>46319</v>
      </c>
      <c r="F865" t="inlineStr">
        <is>
          <t>JÄMTLANDS LÄN</t>
        </is>
      </c>
      <c r="G865" t="inlineStr">
        <is>
          <t>RAGUNDA</t>
        </is>
      </c>
      <c r="I865" t="n">
        <v>1.6</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20206-2026</t>
        </is>
      </c>
      <c r="B866" t="inlineStr">
        <is>
          <t>avverkningsanmälan</t>
        </is>
      </c>
      <c r="C866" t="inlineStr">
        <is>
          <t>Föryngringsavverkning</t>
        </is>
      </c>
      <c r="D866" s="1" t="n">
        <v>46139</v>
      </c>
      <c r="E866" s="1" t="n">
        <v>46319</v>
      </c>
      <c r="F866" t="inlineStr">
        <is>
          <t>JÄMTLANDS LÄN</t>
        </is>
      </c>
      <c r="G866" t="inlineStr">
        <is>
          <t>RAGUNDA</t>
        </is>
      </c>
      <c r="I866" t="n">
        <v>1.4</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40246-2024</t>
        </is>
      </c>
      <c r="B867" t="inlineStr">
        <is>
          <t>avverkningsanmälan</t>
        </is>
      </c>
      <c r="C867" t="inlineStr">
        <is>
          <t>Föryngringsavverkning</t>
        </is>
      </c>
      <c r="D867" s="1" t="n">
        <v>45554</v>
      </c>
      <c r="E867" s="1" t="n">
        <v>46319</v>
      </c>
      <c r="F867" t="inlineStr">
        <is>
          <t>JÄMTLANDS LÄN</t>
        </is>
      </c>
      <c r="G867" t="inlineStr">
        <is>
          <t>RAGUNDA</t>
        </is>
      </c>
      <c r="I867" t="n">
        <v>1</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43458-2026</t>
        </is>
      </c>
      <c r="B868" t="inlineStr">
        <is>
          <t>avverkningsanmälan</t>
        </is>
      </c>
      <c r="C868" t="inlineStr">
        <is>
          <t>Föryngringsavverkning</t>
        </is>
      </c>
      <c r="D868" s="1" t="n">
        <v>46315</v>
      </c>
      <c r="E868" s="1" t="n">
        <v>46319</v>
      </c>
      <c r="F868" t="inlineStr">
        <is>
          <t>JÄMTLANDS LÄN</t>
        </is>
      </c>
      <c r="G868" t="inlineStr">
        <is>
          <t>RAGUNDA</t>
        </is>
      </c>
      <c r="I868" t="n">
        <v>1.6</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993-2025</t>
        </is>
      </c>
      <c r="B869" t="inlineStr">
        <is>
          <t>avverkningsanmälan</t>
        </is>
      </c>
      <c r="C869" t="inlineStr">
        <is>
          <t>Föryngringsavverkning</t>
        </is>
      </c>
      <c r="D869" s="1" t="n">
        <v>45666</v>
      </c>
      <c r="E869" s="1" t="n">
        <v>46319</v>
      </c>
      <c r="F869" t="inlineStr">
        <is>
          <t>JÄMTLANDS LÄN</t>
        </is>
      </c>
      <c r="G869" t="inlineStr">
        <is>
          <t>RAGUNDA</t>
        </is>
      </c>
      <c r="I869" t="n">
        <v>11.3</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32874-2025</t>
        </is>
      </c>
      <c r="B870" t="inlineStr">
        <is>
          <t>avverkningsanmälan</t>
        </is>
      </c>
      <c r="C870" t="inlineStr">
        <is>
          <t>Avverkning för annat ändamål</t>
        </is>
      </c>
      <c r="D870" s="1" t="n">
        <v>45839</v>
      </c>
      <c r="E870" s="1" t="n">
        <v>46319</v>
      </c>
      <c r="F870" t="inlineStr">
        <is>
          <t>JÄMTLANDS LÄN</t>
        </is>
      </c>
      <c r="G870" t="inlineStr">
        <is>
          <t>RAGUNDA</t>
        </is>
      </c>
      <c r="I870" t="n">
        <v>2.3</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20199-2026</t>
        </is>
      </c>
      <c r="B871" t="inlineStr">
        <is>
          <t>avverkningsanmälan</t>
        </is>
      </c>
      <c r="C871" t="inlineStr">
        <is>
          <t>Föryngringsavverkning</t>
        </is>
      </c>
      <c r="D871" s="1" t="n">
        <v>46139</v>
      </c>
      <c r="E871" s="1" t="n">
        <v>46319</v>
      </c>
      <c r="F871" t="inlineStr">
        <is>
          <t>JÄMTLANDS LÄN</t>
        </is>
      </c>
      <c r="G871" t="inlineStr">
        <is>
          <t>RAGUNDA</t>
        </is>
      </c>
      <c r="I871" t="n">
        <v>1.2</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43618-2026</t>
        </is>
      </c>
      <c r="B872" t="inlineStr">
        <is>
          <t>avverkningsanmälan</t>
        </is>
      </c>
      <c r="C872" t="inlineStr">
        <is>
          <t>Föryngringsavverkning</t>
        </is>
      </c>
      <c r="D872" s="1" t="n">
        <v>46315</v>
      </c>
      <c r="E872" s="1" t="n">
        <v>46319</v>
      </c>
      <c r="F872" t="inlineStr">
        <is>
          <t>JÄMTLANDS LÄN</t>
        </is>
      </c>
      <c r="G872" t="inlineStr">
        <is>
          <t>RAGUNDA</t>
        </is>
      </c>
      <c r="H872" t="inlineStr">
        <is>
          <t>SCA</t>
        </is>
      </c>
      <c r="I872" t="n">
        <v>6</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60387-2025</t>
        </is>
      </c>
      <c r="B873" t="inlineStr">
        <is>
          <t>avverkningsanmälan</t>
        </is>
      </c>
      <c r="C873" t="inlineStr">
        <is>
          <t>Föryngringsavverkning</t>
        </is>
      </c>
      <c r="D873" s="1" t="n">
        <v>45995</v>
      </c>
      <c r="E873" s="1" t="n">
        <v>46319</v>
      </c>
      <c r="F873" t="inlineStr">
        <is>
          <t>JÄMTLANDS LÄN</t>
        </is>
      </c>
      <c r="G873" t="inlineStr">
        <is>
          <t>RAGUNDA</t>
        </is>
      </c>
      <c r="I873" t="n">
        <v>8.5</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37025-2026</t>
        </is>
      </c>
      <c r="B874" t="inlineStr">
        <is>
          <t>avverkningsanmälan</t>
        </is>
      </c>
      <c r="C874" t="inlineStr">
        <is>
          <t>Föryngringsavverkning</t>
        </is>
      </c>
      <c r="D874" s="1" t="n">
        <v>46273</v>
      </c>
      <c r="E874" s="1" t="n">
        <v>46319</v>
      </c>
      <c r="F874" t="inlineStr">
        <is>
          <t>JÄMTLANDS LÄN</t>
        </is>
      </c>
      <c r="G874" t="inlineStr">
        <is>
          <t>RAGUNDA</t>
        </is>
      </c>
      <c r="I874" t="n">
        <v>21.9</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55797-2025</t>
        </is>
      </c>
      <c r="B875" t="inlineStr">
        <is>
          <t>avverkningsanmälan</t>
        </is>
      </c>
      <c r="C875" t="inlineStr">
        <is>
          <t>Föryngringsavverkning</t>
        </is>
      </c>
      <c r="D875" s="1" t="n">
        <v>45972</v>
      </c>
      <c r="E875" s="1" t="n">
        <v>46319</v>
      </c>
      <c r="F875" t="inlineStr">
        <is>
          <t>JÄMTLANDS LÄN</t>
        </is>
      </c>
      <c r="G875" t="inlineStr">
        <is>
          <t>RAGUNDA</t>
        </is>
      </c>
      <c r="H875" t="inlineStr">
        <is>
          <t>SCA</t>
        </is>
      </c>
      <c r="I875" t="n">
        <v>4.1</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43625-2026</t>
        </is>
      </c>
      <c r="B876" t="inlineStr">
        <is>
          <t>avverkningsanmälan</t>
        </is>
      </c>
      <c r="C876" t="inlineStr">
        <is>
          <t>Föryngringsavverkning</t>
        </is>
      </c>
      <c r="D876" s="1" t="n">
        <v>46315</v>
      </c>
      <c r="E876" s="1" t="n">
        <v>46319</v>
      </c>
      <c r="F876" t="inlineStr">
        <is>
          <t>JÄMTLANDS LÄN</t>
        </is>
      </c>
      <c r="G876" t="inlineStr">
        <is>
          <t>RAGUNDA</t>
        </is>
      </c>
      <c r="H876" t="inlineStr">
        <is>
          <t>SCA</t>
        </is>
      </c>
      <c r="I876" t="n">
        <v>23</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21853-2024</t>
        </is>
      </c>
      <c r="B877" t="inlineStr">
        <is>
          <t>avverkningsanmälan</t>
        </is>
      </c>
      <c r="C877" t="inlineStr">
        <is>
          <t>Avverkning för att bevara och utveckla /försöksver</t>
        </is>
      </c>
      <c r="D877" s="1" t="n">
        <v>45442</v>
      </c>
      <c r="E877" s="1" t="n">
        <v>46319</v>
      </c>
      <c r="F877" t="inlineStr">
        <is>
          <t>JÄMTLANDS LÄN</t>
        </is>
      </c>
      <c r="G877" t="inlineStr">
        <is>
          <t>RAGUNDA</t>
        </is>
      </c>
      <c r="H877" t="inlineStr">
        <is>
          <t>SCA</t>
        </is>
      </c>
      <c r="I877" t="n">
        <v>2.7</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29775-2023</t>
        </is>
      </c>
      <c r="B878" t="inlineStr">
        <is>
          <t>avverkningsanmälan</t>
        </is>
      </c>
      <c r="C878" t="inlineStr">
        <is>
          <t>Föryngringsavverkning</t>
        </is>
      </c>
      <c r="D878" s="1" t="n">
        <v>45098</v>
      </c>
      <c r="E878" s="1" t="n">
        <v>46319</v>
      </c>
      <c r="F878" t="inlineStr">
        <is>
          <t>JÄMTLANDS LÄN</t>
        </is>
      </c>
      <c r="G878" t="inlineStr">
        <is>
          <t>RAGUNDA</t>
        </is>
      </c>
      <c r="I878" t="n">
        <v>3.6</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40365-2024</t>
        </is>
      </c>
      <c r="B879" t="inlineStr">
        <is>
          <t>avverkningsanmälan</t>
        </is>
      </c>
      <c r="C879" t="inlineStr">
        <is>
          <t>Föryngringsavverkning</t>
        </is>
      </c>
      <c r="D879" s="1" t="n">
        <v>45555</v>
      </c>
      <c r="E879" s="1" t="n">
        <v>46319</v>
      </c>
      <c r="F879" t="inlineStr">
        <is>
          <t>JÄMTLANDS LÄN</t>
        </is>
      </c>
      <c r="G879" t="inlineStr">
        <is>
          <t>RAGUNDA</t>
        </is>
      </c>
      <c r="I879" t="n">
        <v>7.8</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43461-2026</t>
        </is>
      </c>
      <c r="B880" t="inlineStr">
        <is>
          <t>avverkningsanmälan</t>
        </is>
      </c>
      <c r="C880" t="inlineStr">
        <is>
          <t>Föryngringsavverkning</t>
        </is>
      </c>
      <c r="D880" s="1" t="n">
        <v>46315</v>
      </c>
      <c r="E880" s="1" t="n">
        <v>46319</v>
      </c>
      <c r="F880" t="inlineStr">
        <is>
          <t>JÄMTLANDS LÄN</t>
        </is>
      </c>
      <c r="G880" t="inlineStr">
        <is>
          <t>RAGUNDA</t>
        </is>
      </c>
      <c r="I880" t="n">
        <v>1.2</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20205-2026</t>
        </is>
      </c>
      <c r="B881" t="inlineStr">
        <is>
          <t>avverkningsanmälan</t>
        </is>
      </c>
      <c r="C881" t="inlineStr">
        <is>
          <t>Föryngringsavverkning</t>
        </is>
      </c>
      <c r="D881" s="1" t="n">
        <v>46139</v>
      </c>
      <c r="E881" s="1" t="n">
        <v>46319</v>
      </c>
      <c r="F881" t="inlineStr">
        <is>
          <t>JÄMTLANDS LÄN</t>
        </is>
      </c>
      <c r="G881" t="inlineStr">
        <is>
          <t>RAGUNDA</t>
        </is>
      </c>
      <c r="I881" t="n">
        <v>0.4</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37402-2026</t>
        </is>
      </c>
      <c r="B882" t="inlineStr">
        <is>
          <t>avverkningsanmälan</t>
        </is>
      </c>
      <c r="C882" t="inlineStr">
        <is>
          <t>Föryngringsavverkning</t>
        </is>
      </c>
      <c r="D882" s="1" t="n">
        <v>46275</v>
      </c>
      <c r="E882" s="1" t="n">
        <v>46319</v>
      </c>
      <c r="F882" t="inlineStr">
        <is>
          <t>JÄMTLANDS LÄN</t>
        </is>
      </c>
      <c r="G882" t="inlineStr">
        <is>
          <t>RAGUNDA</t>
        </is>
      </c>
      <c r="H882" t="inlineStr">
        <is>
          <t>SCA</t>
        </is>
      </c>
      <c r="I882" t="n">
        <v>2.3</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55487-2023</t>
        </is>
      </c>
      <c r="B883" t="inlineStr">
        <is>
          <t>avverkningsanmälan</t>
        </is>
      </c>
      <c r="C883" t="inlineStr">
        <is>
          <t>Föryngringsavverkning</t>
        </is>
      </c>
      <c r="D883" s="1" t="n">
        <v>45238</v>
      </c>
      <c r="E883" s="1" t="n">
        <v>46319</v>
      </c>
      <c r="F883" t="inlineStr">
        <is>
          <t>JÄMTLANDS LÄN</t>
        </is>
      </c>
      <c r="G883" t="inlineStr">
        <is>
          <t>RAGUNDA</t>
        </is>
      </c>
      <c r="I883" t="n">
        <v>3</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44262-2026</t>
        </is>
      </c>
      <c r="B884" t="inlineStr">
        <is>
          <t>avverkningsanmälan</t>
        </is>
      </c>
      <c r="C884" t="inlineStr">
        <is>
          <t>Föryngringsavverkning</t>
        </is>
      </c>
      <c r="D884" s="1" t="n">
        <v>46318</v>
      </c>
      <c r="E884" s="1" t="n">
        <v>46319</v>
      </c>
      <c r="F884" t="inlineStr">
        <is>
          <t>JÄMTLANDS LÄN</t>
        </is>
      </c>
      <c r="G884" t="inlineStr">
        <is>
          <t>RAGUNDA</t>
        </is>
      </c>
      <c r="H884" t="inlineStr">
        <is>
          <t>SCA</t>
        </is>
      </c>
      <c r="I884" t="n">
        <v>1.7</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58438-2022</t>
        </is>
      </c>
      <c r="B885" t="inlineStr">
        <is>
          <t>avverkningsanmälan</t>
        </is>
      </c>
      <c r="C885" t="inlineStr">
        <is>
          <t>Föryngringsavverkning</t>
        </is>
      </c>
      <c r="D885" s="1" t="n">
        <v>44901</v>
      </c>
      <c r="E885" s="1" t="n">
        <v>46319</v>
      </c>
      <c r="F885" t="inlineStr">
        <is>
          <t>JÄMTLANDS LÄN</t>
        </is>
      </c>
      <c r="G885" t="inlineStr">
        <is>
          <t>RAGUNDA</t>
        </is>
      </c>
      <c r="H885" t="inlineStr">
        <is>
          <t>SCA</t>
        </is>
      </c>
      <c r="I885" t="n">
        <v>3.1</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58442-2022</t>
        </is>
      </c>
      <c r="B886" t="inlineStr">
        <is>
          <t>avverkningsanmälan</t>
        </is>
      </c>
      <c r="C886" t="inlineStr">
        <is>
          <t>Föryngringsavverkning</t>
        </is>
      </c>
      <c r="D886" s="1" t="n">
        <v>44901</v>
      </c>
      <c r="E886" s="1" t="n">
        <v>46319</v>
      </c>
      <c r="F886" t="inlineStr">
        <is>
          <t>JÄMTLANDS LÄN</t>
        </is>
      </c>
      <c r="G886" t="inlineStr">
        <is>
          <t>RAGUNDA</t>
        </is>
      </c>
      <c r="H886" t="inlineStr">
        <is>
          <t>SCA</t>
        </is>
      </c>
      <c r="I886" t="n">
        <v>8.199999999999999</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49229-2024</t>
        </is>
      </c>
      <c r="B887" t="inlineStr">
        <is>
          <t>avverkningsanmälan</t>
        </is>
      </c>
      <c r="C887" t="inlineStr">
        <is>
          <t>Avverkning för att bevara och utveckla /försöksver</t>
        </is>
      </c>
      <c r="D887" s="1" t="n">
        <v>45595</v>
      </c>
      <c r="E887" s="1" t="n">
        <v>46319</v>
      </c>
      <c r="F887" t="inlineStr">
        <is>
          <t>JÄMTLANDS LÄN</t>
        </is>
      </c>
      <c r="G887" t="inlineStr">
        <is>
          <t>RAGUNDA</t>
        </is>
      </c>
      <c r="H887" t="inlineStr">
        <is>
          <t>SCA</t>
        </is>
      </c>
      <c r="I887" t="n">
        <v>1.7</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55524-2024</t>
        </is>
      </c>
      <c r="B888" t="inlineStr">
        <is>
          <t>avverkningsanmälan</t>
        </is>
      </c>
      <c r="C888" t="inlineStr">
        <is>
          <t>Föryngringsavverkning</t>
        </is>
      </c>
      <c r="D888" s="1" t="n">
        <v>45622</v>
      </c>
      <c r="E888" s="1" t="n">
        <v>46319</v>
      </c>
      <c r="F888" t="inlineStr">
        <is>
          <t>JÄMTLANDS LÄN</t>
        </is>
      </c>
      <c r="G888" t="inlineStr">
        <is>
          <t>RAGUNDA</t>
        </is>
      </c>
      <c r="I888" t="n">
        <v>1.4</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19419-2024</t>
        </is>
      </c>
      <c r="B889" t="inlineStr">
        <is>
          <t>avverkningsanmälan</t>
        </is>
      </c>
      <c r="C889" t="inlineStr">
        <is>
          <t>Föryngringsavverkning</t>
        </is>
      </c>
      <c r="D889" s="1" t="n">
        <v>45429</v>
      </c>
      <c r="E889" s="1" t="n">
        <v>46319</v>
      </c>
      <c r="F889" t="inlineStr">
        <is>
          <t>JÄMTLANDS LÄN</t>
        </is>
      </c>
      <c r="G889" t="inlineStr">
        <is>
          <t>RAGUNDA</t>
        </is>
      </c>
      <c r="I889" t="n">
        <v>3.5</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37153-2026</t>
        </is>
      </c>
      <c r="B890" t="inlineStr">
        <is>
          <t>avverkningsanmälan</t>
        </is>
      </c>
      <c r="C890" t="inlineStr">
        <is>
          <t>Föryngringsavverkning</t>
        </is>
      </c>
      <c r="D890" s="1" t="n">
        <v>46274</v>
      </c>
      <c r="E890" s="1" t="n">
        <v>46319</v>
      </c>
      <c r="F890" t="inlineStr">
        <is>
          <t>JÄMTLANDS LÄN</t>
        </is>
      </c>
      <c r="G890" t="inlineStr">
        <is>
          <t>RAGUNDA</t>
        </is>
      </c>
      <c r="I890" t="n">
        <v>1.4</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37403-2026</t>
        </is>
      </c>
      <c r="B891" t="inlineStr">
        <is>
          <t>avverkningsanmälan</t>
        </is>
      </c>
      <c r="C891" t="inlineStr">
        <is>
          <t>Föryngringsavverkning</t>
        </is>
      </c>
      <c r="D891" s="1" t="n">
        <v>46275</v>
      </c>
      <c r="E891" s="1" t="n">
        <v>46319</v>
      </c>
      <c r="F891" t="inlineStr">
        <is>
          <t>JÄMTLANDS LÄN</t>
        </is>
      </c>
      <c r="G891" t="inlineStr">
        <is>
          <t>RAGUNDA</t>
        </is>
      </c>
      <c r="H891" t="inlineStr">
        <is>
          <t>SCA</t>
        </is>
      </c>
      <c r="I891" t="n">
        <v>6.8</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19854-2025</t>
        </is>
      </c>
      <c r="B892" t="inlineStr">
        <is>
          <t>avverkningsanmälan</t>
        </is>
      </c>
      <c r="C892" t="inlineStr">
        <is>
          <t>Föryngringsavverkning</t>
        </is>
      </c>
      <c r="D892" s="1" t="n">
        <v>45771</v>
      </c>
      <c r="E892" s="1" t="n">
        <v>46319</v>
      </c>
      <c r="F892" t="inlineStr">
        <is>
          <t>JÄMTLANDS LÄN</t>
        </is>
      </c>
      <c r="G892" t="inlineStr">
        <is>
          <t>RAGUNDA</t>
        </is>
      </c>
      <c r="H892" t="inlineStr">
        <is>
          <t>SCA</t>
        </is>
      </c>
      <c r="I892" t="n">
        <v>8.4</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46211-2024</t>
        </is>
      </c>
      <c r="B893" t="inlineStr">
        <is>
          <t>avverkningsanmälan</t>
        </is>
      </c>
      <c r="C893" t="inlineStr">
        <is>
          <t>Föryngringsavverkning</t>
        </is>
      </c>
      <c r="D893" s="1" t="n">
        <v>45581</v>
      </c>
      <c r="E893" s="1" t="n">
        <v>46319</v>
      </c>
      <c r="F893" t="inlineStr">
        <is>
          <t>JÄMTLANDS LÄN</t>
        </is>
      </c>
      <c r="G893" t="inlineStr">
        <is>
          <t>RAGUNDA</t>
        </is>
      </c>
      <c r="I893" t="n">
        <v>7.3</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14158-2024</t>
        </is>
      </c>
      <c r="B894" t="inlineStr">
        <is>
          <t>avverkningsanmälan</t>
        </is>
      </c>
      <c r="C894" t="inlineStr">
        <is>
          <t>Föryngringsavverkning</t>
        </is>
      </c>
      <c r="D894" s="1" t="n">
        <v>45392</v>
      </c>
      <c r="E894" s="1" t="n">
        <v>46319</v>
      </c>
      <c r="F894" t="inlineStr">
        <is>
          <t>JÄMTLANDS LÄN</t>
        </is>
      </c>
      <c r="G894" t="inlineStr">
        <is>
          <t>RAGUNDA</t>
        </is>
      </c>
      <c r="I894" t="n">
        <v>0.7</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55649-2023</t>
        </is>
      </c>
      <c r="B895" t="inlineStr">
        <is>
          <t>avverkningsanmälan</t>
        </is>
      </c>
      <c r="C895" t="inlineStr">
        <is>
          <t>Föryngringsavverkning</t>
        </is>
      </c>
      <c r="D895" s="1" t="n">
        <v>45238</v>
      </c>
      <c r="E895" s="1" t="n">
        <v>46319</v>
      </c>
      <c r="F895" t="inlineStr">
        <is>
          <t>JÄMTLANDS LÄN</t>
        </is>
      </c>
      <c r="G895" t="inlineStr">
        <is>
          <t>RAGUNDA</t>
        </is>
      </c>
      <c r="H895" t="inlineStr">
        <is>
          <t>SCA</t>
        </is>
      </c>
      <c r="I895" t="n">
        <v>6</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53769-2023</t>
        </is>
      </c>
      <c r="B896" t="inlineStr">
        <is>
          <t>avverkningsanmälan</t>
        </is>
      </c>
      <c r="C896" t="inlineStr">
        <is>
          <t>Föryngringsavverkning</t>
        </is>
      </c>
      <c r="D896" s="1" t="n">
        <v>45230</v>
      </c>
      <c r="E896" s="1" t="n">
        <v>46319</v>
      </c>
      <c r="F896" t="inlineStr">
        <is>
          <t>JÄMTLANDS LÄN</t>
        </is>
      </c>
      <c r="G896" t="inlineStr">
        <is>
          <t>RAGUNDA</t>
        </is>
      </c>
      <c r="H896" t="inlineStr">
        <is>
          <t>SCA</t>
        </is>
      </c>
      <c r="I896" t="n">
        <v>11.6</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21885-2026</t>
        </is>
      </c>
      <c r="B897" t="inlineStr">
        <is>
          <t>avverkningsanmälan</t>
        </is>
      </c>
      <c r="C897" t="inlineStr">
        <is>
          <t>Föryngringsavverkning</t>
        </is>
      </c>
      <c r="D897" s="1" t="n">
        <v>46150</v>
      </c>
      <c r="E897" s="1" t="n">
        <v>46319</v>
      </c>
      <c r="F897" t="inlineStr">
        <is>
          <t>JÄMTLANDS LÄN</t>
        </is>
      </c>
      <c r="G897" t="inlineStr">
        <is>
          <t>RAGUNDA</t>
        </is>
      </c>
      <c r="H897" t="inlineStr">
        <is>
          <t>SCA</t>
        </is>
      </c>
      <c r="I897" t="n">
        <v>8.1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40919-2024</t>
        </is>
      </c>
      <c r="B898" t="inlineStr">
        <is>
          <t>avverkningsanmälan</t>
        </is>
      </c>
      <c r="C898" t="inlineStr">
        <is>
          <t>Avverkning för att bevara och utveckla /försöksver</t>
        </is>
      </c>
      <c r="D898" s="1" t="n">
        <v>45558</v>
      </c>
      <c r="E898" s="1" t="n">
        <v>46319</v>
      </c>
      <c r="F898" t="inlineStr">
        <is>
          <t>JÄMTLANDS LÄN</t>
        </is>
      </c>
      <c r="G898" t="inlineStr">
        <is>
          <t>RAGUNDA</t>
        </is>
      </c>
      <c r="H898" t="inlineStr">
        <is>
          <t>SCA</t>
        </is>
      </c>
      <c r="I898" t="n">
        <v>1.7</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15024-2022</t>
        </is>
      </c>
      <c r="B899" t="inlineStr">
        <is>
          <t>avverkningsanmälan</t>
        </is>
      </c>
      <c r="C899" t="inlineStr">
        <is>
          <t>Föryngringsavverkning</t>
        </is>
      </c>
      <c r="D899" s="1" t="n">
        <v>44657</v>
      </c>
      <c r="E899" s="1" t="n">
        <v>46319</v>
      </c>
      <c r="F899" t="inlineStr">
        <is>
          <t>JÄMTLANDS LÄN</t>
        </is>
      </c>
      <c r="G899" t="inlineStr">
        <is>
          <t>RAGUNDA</t>
        </is>
      </c>
      <c r="I899" t="n">
        <v>1.8</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21886-2026</t>
        </is>
      </c>
      <c r="B900" t="inlineStr">
        <is>
          <t>avverkningsanmälan</t>
        </is>
      </c>
      <c r="C900" t="inlineStr">
        <is>
          <t>Föryngringsavverkning</t>
        </is>
      </c>
      <c r="D900" s="1" t="n">
        <v>46150</v>
      </c>
      <c r="E900" s="1" t="n">
        <v>46319</v>
      </c>
      <c r="F900" t="inlineStr">
        <is>
          <t>JÄMTLANDS LÄN</t>
        </is>
      </c>
      <c r="G900" t="inlineStr">
        <is>
          <t>RAGUNDA</t>
        </is>
      </c>
      <c r="H900" t="inlineStr">
        <is>
          <t>SCA</t>
        </is>
      </c>
      <c r="I900" t="n">
        <v>1.1</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21916-2026</t>
        </is>
      </c>
      <c r="B901" t="inlineStr">
        <is>
          <t>avverkningsanmälan</t>
        </is>
      </c>
      <c r="C901" t="inlineStr">
        <is>
          <t>Föryngringsavverkning</t>
        </is>
      </c>
      <c r="D901" s="1" t="n">
        <v>46150</v>
      </c>
      <c r="E901" s="1" t="n">
        <v>46319</v>
      </c>
      <c r="F901" t="inlineStr">
        <is>
          <t>JÄMTLANDS LÄN</t>
        </is>
      </c>
      <c r="G901" t="inlineStr">
        <is>
          <t>RAGUNDA</t>
        </is>
      </c>
      <c r="H901" t="inlineStr">
        <is>
          <t>SCA</t>
        </is>
      </c>
      <c r="I901" t="n">
        <v>7.4</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12768-2022</t>
        </is>
      </c>
      <c r="B902" t="inlineStr">
        <is>
          <t>avverkningsanmälan</t>
        </is>
      </c>
      <c r="C902" t="inlineStr">
        <is>
          <t>Föryngringsavverkning</t>
        </is>
      </c>
      <c r="D902" s="1" t="n">
        <v>44641</v>
      </c>
      <c r="E902" s="1" t="n">
        <v>46319</v>
      </c>
      <c r="F902" t="inlineStr">
        <is>
          <t>JÄMTLANDS LÄN</t>
        </is>
      </c>
      <c r="G902" t="inlineStr">
        <is>
          <t>RAGUNDA</t>
        </is>
      </c>
      <c r="H902" t="inlineStr">
        <is>
          <t>SCA</t>
        </is>
      </c>
      <c r="I902" t="n">
        <v>8</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12773-2022</t>
        </is>
      </c>
      <c r="B903" t="inlineStr">
        <is>
          <t>avverkningsanmälan</t>
        </is>
      </c>
      <c r="C903" t="inlineStr">
        <is>
          <t>Föryngringsavverkning</t>
        </is>
      </c>
      <c r="D903" s="1" t="n">
        <v>44641</v>
      </c>
      <c r="E903" s="1" t="n">
        <v>46319</v>
      </c>
      <c r="F903" t="inlineStr">
        <is>
          <t>JÄMTLANDS LÄN</t>
        </is>
      </c>
      <c r="G903" t="inlineStr">
        <is>
          <t>RAGUNDA</t>
        </is>
      </c>
      <c r="H903" t="inlineStr">
        <is>
          <t>SCA</t>
        </is>
      </c>
      <c r="I903" t="n">
        <v>14.7</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61107-2024</t>
        </is>
      </c>
      <c r="B904" t="inlineStr">
        <is>
          <t>avverkningsanmälan</t>
        </is>
      </c>
      <c r="C904" t="inlineStr">
        <is>
          <t>Föryngringsavverkning</t>
        </is>
      </c>
      <c r="D904" s="1" t="n">
        <v>45645</v>
      </c>
      <c r="E904" s="1" t="n">
        <v>46319</v>
      </c>
      <c r="F904" t="inlineStr">
        <is>
          <t>JÄMTLANDS LÄN</t>
        </is>
      </c>
      <c r="G904" t="inlineStr">
        <is>
          <t>RAGUNDA</t>
        </is>
      </c>
      <c r="I904" t="n">
        <v>3.2</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55536-2024</t>
        </is>
      </c>
      <c r="B905" t="inlineStr">
        <is>
          <t>avverkningsanmälan</t>
        </is>
      </c>
      <c r="C905" t="inlineStr">
        <is>
          <t>Föryngringsavverkning</t>
        </is>
      </c>
      <c r="D905" s="1" t="n">
        <v>45622</v>
      </c>
      <c r="E905" s="1" t="n">
        <v>46319</v>
      </c>
      <c r="F905" t="inlineStr">
        <is>
          <t>JÄMTLANDS LÄN</t>
        </is>
      </c>
      <c r="G905" t="inlineStr">
        <is>
          <t>RAGUNDA</t>
        </is>
      </c>
      <c r="I905" t="n">
        <v>0.8</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11834-2023</t>
        </is>
      </c>
      <c r="B906" t="inlineStr">
        <is>
          <t>avverkningsanmälan</t>
        </is>
      </c>
      <c r="C906" t="inlineStr">
        <is>
          <t>Föryngringsavverkning</t>
        </is>
      </c>
      <c r="D906" s="1" t="n">
        <v>44994</v>
      </c>
      <c r="E906" s="1" t="n">
        <v>46319</v>
      </c>
      <c r="F906" t="inlineStr">
        <is>
          <t>JÄMTLANDS LÄN</t>
        </is>
      </c>
      <c r="G906" t="inlineStr">
        <is>
          <t>RAGUNDA</t>
        </is>
      </c>
      <c r="H906" t="inlineStr">
        <is>
          <t>SCA</t>
        </is>
      </c>
      <c r="I906" t="n">
        <v>1.2</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30642-2024</t>
        </is>
      </c>
      <c r="B907" t="inlineStr">
        <is>
          <t>avverkningsanmälan</t>
        </is>
      </c>
      <c r="C907" t="inlineStr">
        <is>
          <t>Föryngringsavverkning</t>
        </is>
      </c>
      <c r="D907" s="1" t="n">
        <v>45495</v>
      </c>
      <c r="E907" s="1" t="n">
        <v>46319</v>
      </c>
      <c r="F907" t="inlineStr">
        <is>
          <t>JÄMTLANDS LÄN</t>
        </is>
      </c>
      <c r="G907" t="inlineStr">
        <is>
          <t>RAGUNDA</t>
        </is>
      </c>
      <c r="I907" t="n">
        <v>2.7</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53264-2024</t>
        </is>
      </c>
      <c r="B908" t="inlineStr">
        <is>
          <t>avverkningsanmälan</t>
        </is>
      </c>
      <c r="C908" t="inlineStr">
        <is>
          <t>Föryngringsavverkning</t>
        </is>
      </c>
      <c r="D908" s="1" t="n">
        <v>45614</v>
      </c>
      <c r="E908" s="1" t="n">
        <v>46319</v>
      </c>
      <c r="F908" t="inlineStr">
        <is>
          <t>JÄMTLANDS LÄN</t>
        </is>
      </c>
      <c r="G908" t="inlineStr">
        <is>
          <t>RAGUNDA</t>
        </is>
      </c>
      <c r="I908" t="n">
        <v>1.4</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22359-2026</t>
        </is>
      </c>
      <c r="B909" t="inlineStr">
        <is>
          <t>avverkningsanmälan</t>
        </is>
      </c>
      <c r="C909" t="inlineStr">
        <is>
          <t>Föryngringsavverkning</t>
        </is>
      </c>
      <c r="D909" s="1" t="n">
        <v>46154</v>
      </c>
      <c r="E909" s="1" t="n">
        <v>46319</v>
      </c>
      <c r="F909" t="inlineStr">
        <is>
          <t>JÄMTLANDS LÄN</t>
        </is>
      </c>
      <c r="G909" t="inlineStr">
        <is>
          <t>RAGUNDA</t>
        </is>
      </c>
      <c r="I909" t="n">
        <v>2.9</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16334-2025</t>
        </is>
      </c>
      <c r="B910" t="inlineStr">
        <is>
          <t>avverkningsanmälan</t>
        </is>
      </c>
      <c r="C910" t="inlineStr">
        <is>
          <t>Föryngringsavverkning</t>
        </is>
      </c>
      <c r="D910" s="1" t="n">
        <v>45751</v>
      </c>
      <c r="E910" s="1" t="n">
        <v>46319</v>
      </c>
      <c r="F910" t="inlineStr">
        <is>
          <t>JÄMTLANDS LÄN</t>
        </is>
      </c>
      <c r="G910" t="inlineStr">
        <is>
          <t>RAGUNDA</t>
        </is>
      </c>
      <c r="H910" t="inlineStr">
        <is>
          <t>SCA</t>
        </is>
      </c>
      <c r="I910" t="n">
        <v>3.4</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48192-2024</t>
        </is>
      </c>
      <c r="B911" t="inlineStr">
        <is>
          <t>avverkningsanmälan</t>
        </is>
      </c>
      <c r="C911" t="inlineStr">
        <is>
          <t>Avverkning för annat ändamål</t>
        </is>
      </c>
      <c r="D911" s="1" t="n">
        <v>45590</v>
      </c>
      <c r="E911" s="1" t="n">
        <v>46319</v>
      </c>
      <c r="F911" t="inlineStr">
        <is>
          <t>JÄMTLANDS LÄN</t>
        </is>
      </c>
      <c r="G911" t="inlineStr">
        <is>
          <t>RAGUNDA</t>
        </is>
      </c>
      <c r="I911" t="n">
        <v>2.3</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22710-2026</t>
        </is>
      </c>
      <c r="B912" t="inlineStr">
        <is>
          <t>avverkningsanmälan</t>
        </is>
      </c>
      <c r="C912" t="inlineStr">
        <is>
          <t>Föryngringsavverkning</t>
        </is>
      </c>
      <c r="D912" s="1" t="n">
        <v>46156</v>
      </c>
      <c r="E912" s="1" t="n">
        <v>46319</v>
      </c>
      <c r="F912" t="inlineStr">
        <is>
          <t>JÄMTLANDS LÄN</t>
        </is>
      </c>
      <c r="G912" t="inlineStr">
        <is>
          <t>RAGUNDA</t>
        </is>
      </c>
      <c r="H912" t="inlineStr">
        <is>
          <t>SCA</t>
        </is>
      </c>
      <c r="I912" t="n">
        <v>1.5</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7284-2024</t>
        </is>
      </c>
      <c r="B913" t="inlineStr">
        <is>
          <t>avverkningsanmälan</t>
        </is>
      </c>
      <c r="C913" t="inlineStr">
        <is>
          <t>Föryngringsavverkning</t>
        </is>
      </c>
      <c r="D913" s="1" t="n">
        <v>45344</v>
      </c>
      <c r="E913" s="1" t="n">
        <v>46319</v>
      </c>
      <c r="F913" t="inlineStr">
        <is>
          <t>JÄMTLANDS LÄN</t>
        </is>
      </c>
      <c r="G913" t="inlineStr">
        <is>
          <t>RAGUNDA</t>
        </is>
      </c>
      <c r="I913" t="n">
        <v>2.1</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7285-2024</t>
        </is>
      </c>
      <c r="B914" t="inlineStr">
        <is>
          <t>avverkningsanmälan</t>
        </is>
      </c>
      <c r="C914" t="inlineStr">
        <is>
          <t>Föryngringsavverkning</t>
        </is>
      </c>
      <c r="D914" s="1" t="n">
        <v>45344</v>
      </c>
      <c r="E914" s="1" t="n">
        <v>46319</v>
      </c>
      <c r="F914" t="inlineStr">
        <is>
          <t>JÄMTLANDS LÄN</t>
        </is>
      </c>
      <c r="G914" t="inlineStr">
        <is>
          <t>RAGUNDA</t>
        </is>
      </c>
      <c r="I914" t="n">
        <v>0.5</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2242-2024</t>
        </is>
      </c>
      <c r="B915" t="inlineStr">
        <is>
          <t>avverkningsanmälan</t>
        </is>
      </c>
      <c r="C915" t="inlineStr">
        <is>
          <t>Föryngringsavverkning</t>
        </is>
      </c>
      <c r="D915" s="1" t="n">
        <v>45309</v>
      </c>
      <c r="E915" s="1" t="n">
        <v>46319</v>
      </c>
      <c r="F915" t="inlineStr">
        <is>
          <t>JÄMTLANDS LÄN</t>
        </is>
      </c>
      <c r="G915" t="inlineStr">
        <is>
          <t>RAGUNDA</t>
        </is>
      </c>
      <c r="I915" t="n">
        <v>0.9</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4916-2025</t>
        </is>
      </c>
      <c r="B916" t="inlineStr">
        <is>
          <t>avverkningsanmälan</t>
        </is>
      </c>
      <c r="C916" t="inlineStr">
        <is>
          <t>Föryngringsavverkning</t>
        </is>
      </c>
      <c r="D916" s="1" t="n">
        <v>45688</v>
      </c>
      <c r="E916" s="1" t="n">
        <v>46319</v>
      </c>
      <c r="F916" t="inlineStr">
        <is>
          <t>JÄMTLANDS LÄN</t>
        </is>
      </c>
      <c r="G916" t="inlineStr">
        <is>
          <t>RAGUNDA</t>
        </is>
      </c>
      <c r="H916" t="inlineStr">
        <is>
          <t>SCA</t>
        </is>
      </c>
      <c r="I916" t="n">
        <v>1.7</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22739-2026</t>
        </is>
      </c>
      <c r="B917" t="inlineStr">
        <is>
          <t>avverkningsanmälan</t>
        </is>
      </c>
      <c r="C917" t="inlineStr">
        <is>
          <t>Föryngringsavverkning</t>
        </is>
      </c>
      <c r="D917" s="1" t="n">
        <v>46157</v>
      </c>
      <c r="E917" s="1" t="n">
        <v>46319</v>
      </c>
      <c r="F917" t="inlineStr">
        <is>
          <t>JÄMTLANDS LÄN</t>
        </is>
      </c>
      <c r="G917" t="inlineStr">
        <is>
          <t>RAGUNDA</t>
        </is>
      </c>
      <c r="H917" t="inlineStr">
        <is>
          <t>SCA</t>
        </is>
      </c>
      <c r="I917" t="n">
        <v>0.9</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4615-2023</t>
        </is>
      </c>
      <c r="B918" t="inlineStr">
        <is>
          <t>avverkningsanmälan</t>
        </is>
      </c>
      <c r="C918" t="inlineStr">
        <is>
          <t>Föryngringsavverkning</t>
        </is>
      </c>
      <c r="D918" s="1" t="n">
        <v>44956</v>
      </c>
      <c r="E918" s="1" t="n">
        <v>46319</v>
      </c>
      <c r="F918" t="inlineStr">
        <is>
          <t>JÄMTLANDS LÄN</t>
        </is>
      </c>
      <c r="G918" t="inlineStr">
        <is>
          <t>RAGUNDA</t>
        </is>
      </c>
      <c r="H918" t="inlineStr">
        <is>
          <t>SCA</t>
        </is>
      </c>
      <c r="I918" t="n">
        <v>3.7</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2673-2024</t>
        </is>
      </c>
      <c r="B919" t="inlineStr">
        <is>
          <t>avverkningsanmälan</t>
        </is>
      </c>
      <c r="C919" t="inlineStr">
        <is>
          <t>Föryngringsavverkning</t>
        </is>
      </c>
      <c r="D919" s="1" t="n">
        <v>45314</v>
      </c>
      <c r="E919" s="1" t="n">
        <v>46319</v>
      </c>
      <c r="F919" t="inlineStr">
        <is>
          <t>JÄMTLANDS LÄN</t>
        </is>
      </c>
      <c r="G919" t="inlineStr">
        <is>
          <t>RAGUNDA</t>
        </is>
      </c>
      <c r="I919" t="n">
        <v>0.9</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36375-2022</t>
        </is>
      </c>
      <c r="B920" t="inlineStr">
        <is>
          <t>avverkningsanmälan</t>
        </is>
      </c>
      <c r="C920" t="inlineStr">
        <is>
          <t>Avverkning för att bevara och utveckla /försöksver</t>
        </is>
      </c>
      <c r="D920" s="1" t="n">
        <v>44803</v>
      </c>
      <c r="E920" s="1" t="n">
        <v>46319</v>
      </c>
      <c r="F920" t="inlineStr">
        <is>
          <t>JÄMTLANDS LÄN</t>
        </is>
      </c>
      <c r="G920" t="inlineStr">
        <is>
          <t>RAGUNDA</t>
        </is>
      </c>
      <c r="H920" t="inlineStr">
        <is>
          <t>SCA</t>
        </is>
      </c>
      <c r="I920" t="n">
        <v>2.1</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17667-2025</t>
        </is>
      </c>
      <c r="B921" t="inlineStr">
        <is>
          <t>avverkningsanmälan</t>
        </is>
      </c>
      <c r="C921" t="inlineStr">
        <is>
          <t>Föryngringsavverkning</t>
        </is>
      </c>
      <c r="D921" s="1" t="n">
        <v>45758</v>
      </c>
      <c r="E921" s="1" t="n">
        <v>46319</v>
      </c>
      <c r="F921" t="inlineStr">
        <is>
          <t>JÄMTLANDS LÄN</t>
        </is>
      </c>
      <c r="G921" t="inlineStr">
        <is>
          <t>RAGUNDA</t>
        </is>
      </c>
      <c r="H921" t="inlineStr">
        <is>
          <t>SCA</t>
        </is>
      </c>
      <c r="I921" t="n">
        <v>1.3</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51049-2024</t>
        </is>
      </c>
      <c r="B922" t="inlineStr">
        <is>
          <t>avverkningsanmälan</t>
        </is>
      </c>
      <c r="C922" t="inlineStr">
        <is>
          <t>Föryngringsavverkning</t>
        </is>
      </c>
      <c r="D922" s="1" t="n">
        <v>45603</v>
      </c>
      <c r="E922" s="1" t="n">
        <v>46319</v>
      </c>
      <c r="F922" t="inlineStr">
        <is>
          <t>JÄMTLANDS LÄN</t>
        </is>
      </c>
      <c r="G922" t="inlineStr">
        <is>
          <t>RAGUNDA</t>
        </is>
      </c>
      <c r="H922" t="inlineStr">
        <is>
          <t>SCA</t>
        </is>
      </c>
      <c r="I922" t="n">
        <v>6.9</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55489-2024</t>
        </is>
      </c>
      <c r="B923" t="inlineStr">
        <is>
          <t>avverkningsanmälan</t>
        </is>
      </c>
      <c r="C923" t="inlineStr">
        <is>
          <t>Avverkning för att bevara och utveckla /försöksver</t>
        </is>
      </c>
      <c r="D923" s="1" t="n">
        <v>45622</v>
      </c>
      <c r="E923" s="1" t="n">
        <v>46319</v>
      </c>
      <c r="F923" t="inlineStr">
        <is>
          <t>JÄMTLANDS LÄN</t>
        </is>
      </c>
      <c r="G923" t="inlineStr">
        <is>
          <t>RAGUNDA</t>
        </is>
      </c>
      <c r="I923" t="n">
        <v>1.6</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10706-2023</t>
        </is>
      </c>
      <c r="B924" t="inlineStr">
        <is>
          <t>avverkningsanmälan</t>
        </is>
      </c>
      <c r="C924" t="inlineStr">
        <is>
          <t>Föryngringsavverkning</t>
        </is>
      </c>
      <c r="D924" s="1" t="n">
        <v>44984</v>
      </c>
      <c r="E924" s="1" t="n">
        <v>46319</v>
      </c>
      <c r="F924" t="inlineStr">
        <is>
          <t>JÄMTLANDS LÄN</t>
        </is>
      </c>
      <c r="G924" t="inlineStr">
        <is>
          <t>RAGUNDA</t>
        </is>
      </c>
      <c r="I924" t="n">
        <v>7.7</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891-2022</t>
        </is>
      </c>
      <c r="B925" t="inlineStr">
        <is>
          <t>avverkningsanmälan</t>
        </is>
      </c>
      <c r="C925" t="inlineStr">
        <is>
          <t>Föryngringsavverkning</t>
        </is>
      </c>
      <c r="D925" s="1" t="n">
        <v>44571</v>
      </c>
      <c r="E925" s="1" t="n">
        <v>46319</v>
      </c>
      <c r="F925" t="inlineStr">
        <is>
          <t>JÄMTLANDS LÄN</t>
        </is>
      </c>
      <c r="G925" t="inlineStr">
        <is>
          <t>RAGUNDA</t>
        </is>
      </c>
      <c r="I925" t="n">
        <v>1.7</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8416-2023</t>
        </is>
      </c>
      <c r="B926" t="inlineStr">
        <is>
          <t>avverkningsanmälan</t>
        </is>
      </c>
      <c r="C926" t="inlineStr">
        <is>
          <t>Föryngringsavverkning</t>
        </is>
      </c>
      <c r="D926" s="1" t="n">
        <v>44977</v>
      </c>
      <c r="E926" s="1" t="n">
        <v>46319</v>
      </c>
      <c r="F926" t="inlineStr">
        <is>
          <t>JÄMTLANDS LÄN</t>
        </is>
      </c>
      <c r="G926" t="inlineStr">
        <is>
          <t>RAGUNDA</t>
        </is>
      </c>
      <c r="I926" t="n">
        <v>0.7</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27499-2024</t>
        </is>
      </c>
      <c r="B927" t="inlineStr">
        <is>
          <t>avverkningsanmälan</t>
        </is>
      </c>
      <c r="C927" t="inlineStr">
        <is>
          <t>Föryngringsavverkning</t>
        </is>
      </c>
      <c r="D927" s="1" t="n">
        <v>45474</v>
      </c>
      <c r="E927" s="1" t="n">
        <v>46319</v>
      </c>
      <c r="F927" t="inlineStr">
        <is>
          <t>JÄMTLANDS LÄN</t>
        </is>
      </c>
      <c r="G927" t="inlineStr">
        <is>
          <t>RAGUNDA</t>
        </is>
      </c>
      <c r="I927" t="n">
        <v>1.3</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52148-2024</t>
        </is>
      </c>
      <c r="B928" t="inlineStr">
        <is>
          <t>avverkningsanmälan</t>
        </is>
      </c>
      <c r="C928" t="inlineStr">
        <is>
          <t>Föryngringsavverkning</t>
        </is>
      </c>
      <c r="D928" s="1" t="n">
        <v>45608</v>
      </c>
      <c r="E928" s="1" t="n">
        <v>46319</v>
      </c>
      <c r="F928" t="inlineStr">
        <is>
          <t>JÄMTLANDS LÄN</t>
        </is>
      </c>
      <c r="G928" t="inlineStr">
        <is>
          <t>RAGUNDA</t>
        </is>
      </c>
      <c r="H928" t="inlineStr">
        <is>
          <t>SCA</t>
        </is>
      </c>
      <c r="I928" t="n">
        <v>2.1</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462-2023</t>
        </is>
      </c>
      <c r="B929" t="inlineStr">
        <is>
          <t>avverkningsanmälan</t>
        </is>
      </c>
      <c r="C929" t="inlineStr">
        <is>
          <t>Föryngringsavverkning</t>
        </is>
      </c>
      <c r="D929" s="1" t="n">
        <v>44929</v>
      </c>
      <c r="E929" s="1" t="n">
        <v>46319</v>
      </c>
      <c r="F929" t="inlineStr">
        <is>
          <t>JÄMTLANDS LÄN</t>
        </is>
      </c>
      <c r="G929" t="inlineStr">
        <is>
          <t>RAGUNDA</t>
        </is>
      </c>
      <c r="I929" t="n">
        <v>4.5</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26645-2024</t>
        </is>
      </c>
      <c r="B930" t="inlineStr">
        <is>
          <t>avverkningsanmälan</t>
        </is>
      </c>
      <c r="C930" t="inlineStr">
        <is>
          <t>Avverkning för att bevara och utveckla /försöksver</t>
        </is>
      </c>
      <c r="D930" s="1" t="n">
        <v>45469</v>
      </c>
      <c r="E930" s="1" t="n">
        <v>46319</v>
      </c>
      <c r="F930" t="inlineStr">
        <is>
          <t>JÄMTLANDS LÄN</t>
        </is>
      </c>
      <c r="G930" t="inlineStr">
        <is>
          <t>RAGUNDA</t>
        </is>
      </c>
      <c r="H930" t="inlineStr">
        <is>
          <t>SCA</t>
        </is>
      </c>
      <c r="I930" t="n">
        <v>1.5</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50650-2023</t>
        </is>
      </c>
      <c r="B931" t="inlineStr">
        <is>
          <t>avverkningsanmälan</t>
        </is>
      </c>
      <c r="C931" t="inlineStr">
        <is>
          <t>Föryngringsavverkning</t>
        </is>
      </c>
      <c r="D931" s="1" t="n">
        <v>45210</v>
      </c>
      <c r="E931" s="1" t="n">
        <v>46319</v>
      </c>
      <c r="F931" t="inlineStr">
        <is>
          <t>JÄMTLANDS LÄN</t>
        </is>
      </c>
      <c r="G931" t="inlineStr">
        <is>
          <t>RAGUNDA</t>
        </is>
      </c>
      <c r="I931" t="n">
        <v>1.3</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564-2025</t>
        </is>
      </c>
      <c r="B932" t="inlineStr">
        <is>
          <t>avverkningsanmälan</t>
        </is>
      </c>
      <c r="C932" t="inlineStr">
        <is>
          <t>Föryngringsavverkning</t>
        </is>
      </c>
      <c r="D932" s="1" t="n">
        <v>45664</v>
      </c>
      <c r="E932" s="1" t="n">
        <v>46319</v>
      </c>
      <c r="F932" t="inlineStr">
        <is>
          <t>JÄMTLANDS LÄN</t>
        </is>
      </c>
      <c r="G932" t="inlineStr">
        <is>
          <t>RAGUNDA</t>
        </is>
      </c>
      <c r="H932" t="inlineStr">
        <is>
          <t>SCA</t>
        </is>
      </c>
      <c r="I932" t="n">
        <v>7</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36371-2023</t>
        </is>
      </c>
      <c r="B933" t="inlineStr">
        <is>
          <t>avverkningsanmälan</t>
        </is>
      </c>
      <c r="C933" t="inlineStr">
        <is>
          <t>Föryngringsavverkning</t>
        </is>
      </c>
      <c r="D933" s="1" t="n">
        <v>45149</v>
      </c>
      <c r="E933" s="1" t="n">
        <v>46319</v>
      </c>
      <c r="F933" t="inlineStr">
        <is>
          <t>JÄMTLANDS LÄN</t>
        </is>
      </c>
      <c r="G933" t="inlineStr">
        <is>
          <t>RAGUNDA</t>
        </is>
      </c>
      <c r="I933" t="n">
        <v>25.7</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44630-2023</t>
        </is>
      </c>
      <c r="B934" t="inlineStr">
        <is>
          <t>avverkningsanmälan</t>
        </is>
      </c>
      <c r="C934" t="inlineStr">
        <is>
          <t>Föryngringsavverkning</t>
        </is>
      </c>
      <c r="D934" s="1" t="n">
        <v>45184</v>
      </c>
      <c r="E934" s="1" t="n">
        <v>46319</v>
      </c>
      <c r="F934" t="inlineStr">
        <is>
          <t>JÄMTLANDS LÄN</t>
        </is>
      </c>
      <c r="G934" t="inlineStr">
        <is>
          <t>RAGUNDA</t>
        </is>
      </c>
      <c r="I934" t="n">
        <v>3.4</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12522-2023</t>
        </is>
      </c>
      <c r="B935" t="inlineStr">
        <is>
          <t>avverkningsanmälan</t>
        </is>
      </c>
      <c r="C935" t="inlineStr">
        <is>
          <t>Föryngringsavverkning</t>
        </is>
      </c>
      <c r="D935" s="1" t="n">
        <v>45000</v>
      </c>
      <c r="E935" s="1" t="n">
        <v>46319</v>
      </c>
      <c r="F935" t="inlineStr">
        <is>
          <t>JÄMTLANDS LÄN</t>
        </is>
      </c>
      <c r="G935" t="inlineStr">
        <is>
          <t>RAGUNDA</t>
        </is>
      </c>
      <c r="H935" t="inlineStr">
        <is>
          <t>SCA</t>
        </is>
      </c>
      <c r="I935" t="n">
        <v>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36246-2024</t>
        </is>
      </c>
      <c r="B936" t="inlineStr">
        <is>
          <t>avverkningsanmälan</t>
        </is>
      </c>
      <c r="C936" t="inlineStr">
        <is>
          <t>Föryngringsavverkning</t>
        </is>
      </c>
      <c r="D936" s="1" t="n">
        <v>45534</v>
      </c>
      <c r="E936" s="1" t="n">
        <v>46319</v>
      </c>
      <c r="F936" t="inlineStr">
        <is>
          <t>JÄMTLANDS LÄN</t>
        </is>
      </c>
      <c r="G936" t="inlineStr">
        <is>
          <t>RAGUNDA</t>
        </is>
      </c>
      <c r="I936" t="n">
        <v>1.6</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32063-2024</t>
        </is>
      </c>
      <c r="B937" t="inlineStr">
        <is>
          <t>avverkningsanmälan</t>
        </is>
      </c>
      <c r="C937" t="inlineStr">
        <is>
          <t>Föryngringsavverkning</t>
        </is>
      </c>
      <c r="D937" s="1" t="n">
        <v>45510</v>
      </c>
      <c r="E937" s="1" t="n">
        <v>46319</v>
      </c>
      <c r="F937" t="inlineStr">
        <is>
          <t>JÄMTLANDS LÄN</t>
        </is>
      </c>
      <c r="G937" t="inlineStr">
        <is>
          <t>RAGUNDA</t>
        </is>
      </c>
      <c r="H937" t="inlineStr">
        <is>
          <t>SCA</t>
        </is>
      </c>
      <c r="I937" t="n">
        <v>4</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48066-2022</t>
        </is>
      </c>
      <c r="B938" t="inlineStr">
        <is>
          <t>avverkningsanmälan</t>
        </is>
      </c>
      <c r="C938" t="inlineStr">
        <is>
          <t>Avverkning för att bevara och utveckla /försöksver</t>
        </is>
      </c>
      <c r="D938" s="1" t="n">
        <v>44855</v>
      </c>
      <c r="E938" s="1" t="n">
        <v>46319</v>
      </c>
      <c r="F938" t="inlineStr">
        <is>
          <t>JÄMTLANDS LÄN</t>
        </is>
      </c>
      <c r="G938" t="inlineStr">
        <is>
          <t>RAGUNDA</t>
        </is>
      </c>
      <c r="H938" t="inlineStr">
        <is>
          <t>SCA</t>
        </is>
      </c>
      <c r="I938" t="n">
        <v>8.199999999999999</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56504-2024</t>
        </is>
      </c>
      <c r="B939" t="inlineStr">
        <is>
          <t>avverkningsanmälan</t>
        </is>
      </c>
      <c r="C939" t="inlineStr">
        <is>
          <t>Avverkning för att bevara och utveckla /försöksver</t>
        </is>
      </c>
      <c r="D939" s="1" t="n">
        <v>45625</v>
      </c>
      <c r="E939" s="1" t="n">
        <v>46319</v>
      </c>
      <c r="F939" t="inlineStr">
        <is>
          <t>JÄMTLANDS LÄN</t>
        </is>
      </c>
      <c r="G939" t="inlineStr">
        <is>
          <t>RAGUNDA</t>
        </is>
      </c>
      <c r="H939" t="inlineStr">
        <is>
          <t>SCA</t>
        </is>
      </c>
      <c r="I939" t="n">
        <v>1.3</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5938-2025</t>
        </is>
      </c>
      <c r="B940" t="inlineStr">
        <is>
          <t>avverkningsanmälan</t>
        </is>
      </c>
      <c r="C940" t="inlineStr">
        <is>
          <t>Föryngringsavverkning</t>
        </is>
      </c>
      <c r="D940" s="1" t="n">
        <v>45695</v>
      </c>
      <c r="E940" s="1" t="n">
        <v>46319</v>
      </c>
      <c r="F940" t="inlineStr">
        <is>
          <t>JÄMTLANDS LÄN</t>
        </is>
      </c>
      <c r="G940" t="inlineStr">
        <is>
          <t>RAGUNDA</t>
        </is>
      </c>
      <c r="I940" t="n">
        <v>1</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18248-2023</t>
        </is>
      </c>
      <c r="B941" t="inlineStr">
        <is>
          <t>avverkningsanmälan</t>
        </is>
      </c>
      <c r="C941" t="inlineStr">
        <is>
          <t>Föryngringsavverkning</t>
        </is>
      </c>
      <c r="D941" s="1" t="n">
        <v>45040</v>
      </c>
      <c r="E941" s="1" t="n">
        <v>46319</v>
      </c>
      <c r="F941" t="inlineStr">
        <is>
          <t>JÄMTLANDS LÄN</t>
        </is>
      </c>
      <c r="G941" t="inlineStr">
        <is>
          <t>RAGUNDA</t>
        </is>
      </c>
      <c r="I941" t="n">
        <v>4.3</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45438-2022</t>
        </is>
      </c>
      <c r="B942" t="inlineStr">
        <is>
          <t>avverkningsanmälan</t>
        </is>
      </c>
      <c r="C942" t="inlineStr">
        <is>
          <t>Föryngringsavverkning</t>
        </is>
      </c>
      <c r="D942" s="1" t="n">
        <v>44844</v>
      </c>
      <c r="E942" s="1" t="n">
        <v>46319</v>
      </c>
      <c r="F942" t="inlineStr">
        <is>
          <t>JÄMTLANDS LÄN</t>
        </is>
      </c>
      <c r="G942" t="inlineStr">
        <is>
          <t>RAGUNDA</t>
        </is>
      </c>
      <c r="H942" t="inlineStr">
        <is>
          <t>SCA</t>
        </is>
      </c>
      <c r="I942" t="n">
        <v>1.2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29265-2024</t>
        </is>
      </c>
      <c r="B943" t="inlineStr">
        <is>
          <t>avverkningsanmälan</t>
        </is>
      </c>
      <c r="C943" t="inlineStr">
        <is>
          <t>Föryngringsavverkning</t>
        </is>
      </c>
      <c r="D943" s="1" t="n">
        <v>45482</v>
      </c>
      <c r="E943" s="1" t="n">
        <v>46319</v>
      </c>
      <c r="F943" t="inlineStr">
        <is>
          <t>JÄMTLANDS LÄN</t>
        </is>
      </c>
      <c r="G943" t="inlineStr">
        <is>
          <t>RAGUNDA</t>
        </is>
      </c>
      <c r="H943" t="inlineStr">
        <is>
          <t>SCA</t>
        </is>
      </c>
      <c r="I943" t="n">
        <v>11.6</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13898-2023</t>
        </is>
      </c>
      <c r="B944" t="inlineStr">
        <is>
          <t>avverkningsanmälan</t>
        </is>
      </c>
      <c r="C944" t="inlineStr">
        <is>
          <t>Föryngringsavverkning</t>
        </is>
      </c>
      <c r="D944" s="1" t="n">
        <v>45008</v>
      </c>
      <c r="E944" s="1" t="n">
        <v>46319</v>
      </c>
      <c r="F944" t="inlineStr">
        <is>
          <t>JÄMTLANDS LÄN</t>
        </is>
      </c>
      <c r="G944" t="inlineStr">
        <is>
          <t>RAGUNDA</t>
        </is>
      </c>
      <c r="H944" t="inlineStr">
        <is>
          <t>SCA</t>
        </is>
      </c>
      <c r="I944" t="n">
        <v>5</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57237-2022</t>
        </is>
      </c>
      <c r="B945" t="inlineStr">
        <is>
          <t>avverkningsanmälan</t>
        </is>
      </c>
      <c r="C945" t="inlineStr">
        <is>
          <t>Föryngringsavverkning</t>
        </is>
      </c>
      <c r="D945" s="1" t="n">
        <v>44889</v>
      </c>
      <c r="E945" s="1" t="n">
        <v>46319</v>
      </c>
      <c r="F945" t="inlineStr">
        <is>
          <t>JÄMTLANDS LÄN</t>
        </is>
      </c>
      <c r="G945" t="inlineStr">
        <is>
          <t>RAGUNDA</t>
        </is>
      </c>
      <c r="I945" t="n">
        <v>2.2</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13263-2025</t>
        </is>
      </c>
      <c r="B946" t="inlineStr">
        <is>
          <t>avverkningsanmälan</t>
        </is>
      </c>
      <c r="C946" t="inlineStr">
        <is>
          <t>Föryngringsavverkning</t>
        </is>
      </c>
      <c r="D946" s="1" t="n">
        <v>45735</v>
      </c>
      <c r="E946" s="1" t="n">
        <v>46319</v>
      </c>
      <c r="F946" t="inlineStr">
        <is>
          <t>JÄMTLANDS LÄN</t>
        </is>
      </c>
      <c r="G946" t="inlineStr">
        <is>
          <t>RAGUNDA</t>
        </is>
      </c>
      <c r="H946" t="inlineStr">
        <is>
          <t>SCA</t>
        </is>
      </c>
      <c r="I946" t="n">
        <v>2.4</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13276-2025</t>
        </is>
      </c>
      <c r="B947" t="inlineStr">
        <is>
          <t>avverkningsanmälan</t>
        </is>
      </c>
      <c r="C947" t="inlineStr">
        <is>
          <t>Föryngringsavverkning</t>
        </is>
      </c>
      <c r="D947" s="1" t="n">
        <v>45735</v>
      </c>
      <c r="E947" s="1" t="n">
        <v>46319</v>
      </c>
      <c r="F947" t="inlineStr">
        <is>
          <t>JÄMTLANDS LÄN</t>
        </is>
      </c>
      <c r="G947" t="inlineStr">
        <is>
          <t>RAGUNDA</t>
        </is>
      </c>
      <c r="I947" t="n">
        <v>16.6</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12405-2025</t>
        </is>
      </c>
      <c r="B948" t="inlineStr">
        <is>
          <t>avverkningsanmälan</t>
        </is>
      </c>
      <c r="C948" t="inlineStr">
        <is>
          <t>Föryngringsavverkning</t>
        </is>
      </c>
      <c r="D948" s="1" t="n">
        <v>45730</v>
      </c>
      <c r="E948" s="1" t="n">
        <v>46319</v>
      </c>
      <c r="F948" t="inlineStr">
        <is>
          <t>JÄMTLANDS LÄN</t>
        </is>
      </c>
      <c r="G948" t="inlineStr">
        <is>
          <t>RAGUNDA</t>
        </is>
      </c>
      <c r="H948" t="inlineStr">
        <is>
          <t>SCA</t>
        </is>
      </c>
      <c r="I948" t="n">
        <v>3.2</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6716-2025</t>
        </is>
      </c>
      <c r="B949" t="inlineStr">
        <is>
          <t>avverkningsanmälan</t>
        </is>
      </c>
      <c r="C949" t="inlineStr">
        <is>
          <t>Föryngringsavverkning</t>
        </is>
      </c>
      <c r="D949" s="1" t="n">
        <v>45700</v>
      </c>
      <c r="E949" s="1" t="n">
        <v>46319</v>
      </c>
      <c r="F949" t="inlineStr">
        <is>
          <t>JÄMTLANDS LÄN</t>
        </is>
      </c>
      <c r="G949" t="inlineStr">
        <is>
          <t>RAGUNDA</t>
        </is>
      </c>
      <c r="H949" t="inlineStr">
        <is>
          <t>SCA</t>
        </is>
      </c>
      <c r="I949" t="n">
        <v>5.1</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30823-2023</t>
        </is>
      </c>
      <c r="B950" t="inlineStr">
        <is>
          <t>avverkningsanmälan</t>
        </is>
      </c>
      <c r="C950" t="inlineStr">
        <is>
          <t>Avverkning för att bevara och utveckla /försöksver</t>
        </is>
      </c>
      <c r="D950" s="1" t="n">
        <v>45112</v>
      </c>
      <c r="E950" s="1" t="n">
        <v>46319</v>
      </c>
      <c r="F950" t="inlineStr">
        <is>
          <t>JÄMTLANDS LÄN</t>
        </is>
      </c>
      <c r="G950" t="inlineStr">
        <is>
          <t>RAGUNDA</t>
        </is>
      </c>
      <c r="H950" t="inlineStr">
        <is>
          <t>SCA</t>
        </is>
      </c>
      <c r="I950" t="n">
        <v>9</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30484-2024</t>
        </is>
      </c>
      <c r="B951" t="inlineStr">
        <is>
          <t>avverkningsanmälan</t>
        </is>
      </c>
      <c r="C951" t="inlineStr">
        <is>
          <t>Avverkning för att bevara och utveckla /försöksver</t>
        </is>
      </c>
      <c r="D951" s="1" t="n">
        <v>45491</v>
      </c>
      <c r="E951" s="1" t="n">
        <v>46319</v>
      </c>
      <c r="F951" t="inlineStr">
        <is>
          <t>JÄMTLANDS LÄN</t>
        </is>
      </c>
      <c r="G951" t="inlineStr">
        <is>
          <t>RAGUNDA</t>
        </is>
      </c>
      <c r="H951" t="inlineStr">
        <is>
          <t>SCA</t>
        </is>
      </c>
      <c r="I951" t="n">
        <v>1.6</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11288-2022</t>
        </is>
      </c>
      <c r="B952" t="inlineStr">
        <is>
          <t>avverkningsanmälan</t>
        </is>
      </c>
      <c r="C952" t="inlineStr">
        <is>
          <t>Föryngringsavverkning</t>
        </is>
      </c>
      <c r="D952" s="1" t="n">
        <v>44629</v>
      </c>
      <c r="E952" s="1" t="n">
        <v>46319</v>
      </c>
      <c r="F952" t="inlineStr">
        <is>
          <t>JÄMTLANDS LÄN</t>
        </is>
      </c>
      <c r="G952" t="inlineStr">
        <is>
          <t>RAGUNDA</t>
        </is>
      </c>
      <c r="I952" t="n">
        <v>4.9</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19865-2023</t>
        </is>
      </c>
      <c r="B953" t="inlineStr">
        <is>
          <t>avverkningsanmälan</t>
        </is>
      </c>
      <c r="C953" t="inlineStr">
        <is>
          <t>Föryngringsavverkning</t>
        </is>
      </c>
      <c r="D953" s="1" t="n">
        <v>45053</v>
      </c>
      <c r="E953" s="1" t="n">
        <v>46319</v>
      </c>
      <c r="F953" t="inlineStr">
        <is>
          <t>JÄMTLANDS LÄN</t>
        </is>
      </c>
      <c r="G953" t="inlineStr">
        <is>
          <t>RAGUNDA</t>
        </is>
      </c>
      <c r="H953" t="inlineStr">
        <is>
          <t>SCA</t>
        </is>
      </c>
      <c r="I953" t="n">
        <v>3.6</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1554-2024</t>
        </is>
      </c>
      <c r="B954" t="inlineStr">
        <is>
          <t>avverkningsanmälan</t>
        </is>
      </c>
      <c r="C954" t="inlineStr">
        <is>
          <t>Föryngringsavverkning</t>
        </is>
      </c>
      <c r="D954" s="1" t="n">
        <v>45306</v>
      </c>
      <c r="E954" s="1" t="n">
        <v>46319</v>
      </c>
      <c r="F954" t="inlineStr">
        <is>
          <t>JÄMTLANDS LÄN</t>
        </is>
      </c>
      <c r="G954" t="inlineStr">
        <is>
          <t>RAGUNDA</t>
        </is>
      </c>
      <c r="I954" t="n">
        <v>4.3</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2831-2024</t>
        </is>
      </c>
      <c r="B955" t="inlineStr">
        <is>
          <t>avverkningsanmälan</t>
        </is>
      </c>
      <c r="C955" t="inlineStr">
        <is>
          <t>Föryngringsavverkning</t>
        </is>
      </c>
      <c r="D955" s="1" t="n">
        <v>45314</v>
      </c>
      <c r="E955" s="1" t="n">
        <v>46319</v>
      </c>
      <c r="F955" t="inlineStr">
        <is>
          <t>JÄMTLANDS LÄN</t>
        </is>
      </c>
      <c r="G955" t="inlineStr">
        <is>
          <t>RAGUNDA</t>
        </is>
      </c>
      <c r="I955" t="n">
        <v>0.6</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37268-2024</t>
        </is>
      </c>
      <c r="B956" t="inlineStr">
        <is>
          <t>avverkningsanmälan</t>
        </is>
      </c>
      <c r="C956" t="inlineStr">
        <is>
          <t>Avverkning för annat ändamål</t>
        </is>
      </c>
      <c r="D956" s="1" t="n">
        <v>45540</v>
      </c>
      <c r="E956" s="1" t="n">
        <v>46319</v>
      </c>
      <c r="F956" t="inlineStr">
        <is>
          <t>JÄMTLANDS LÄN</t>
        </is>
      </c>
      <c r="G956" t="inlineStr">
        <is>
          <t>RAGUNDA</t>
        </is>
      </c>
      <c r="H956" t="inlineStr">
        <is>
          <t>SCA</t>
        </is>
      </c>
      <c r="I956" t="n">
        <v>6.3</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41179-2022</t>
        </is>
      </c>
      <c r="B957" t="inlineStr">
        <is>
          <t>avverkningsanmälan</t>
        </is>
      </c>
      <c r="C957" t="inlineStr">
        <is>
          <t>Föryngringsavverkning</t>
        </is>
      </c>
      <c r="D957" s="1" t="n">
        <v>44825</v>
      </c>
      <c r="E957" s="1" t="n">
        <v>46319</v>
      </c>
      <c r="F957" t="inlineStr">
        <is>
          <t>JÄMTLANDS LÄN</t>
        </is>
      </c>
      <c r="G957" t="inlineStr">
        <is>
          <t>RAGUNDA</t>
        </is>
      </c>
      <c r="H957" t="inlineStr">
        <is>
          <t>SCA</t>
        </is>
      </c>
      <c r="I957" t="n">
        <v>2.1</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62541-2022</t>
        </is>
      </c>
      <c r="B958" t="inlineStr">
        <is>
          <t>avverkningsanmälan</t>
        </is>
      </c>
      <c r="C958" t="inlineStr">
        <is>
          <t>Föryngringsavverkning</t>
        </is>
      </c>
      <c r="D958" s="1" t="n">
        <v>44917</v>
      </c>
      <c r="E958" s="1" t="n">
        <v>46319</v>
      </c>
      <c r="F958" t="inlineStr">
        <is>
          <t>JÄMTLANDS LÄN</t>
        </is>
      </c>
      <c r="G958" t="inlineStr">
        <is>
          <t>RAGUNDA</t>
        </is>
      </c>
      <c r="I958" t="n">
        <v>2.6</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61400-2022</t>
        </is>
      </c>
      <c r="B959" t="inlineStr">
        <is>
          <t>avverkningsanmälan</t>
        </is>
      </c>
      <c r="C959" t="inlineStr">
        <is>
          <t>Avverkning för att bevara och utveckla /försöksver</t>
        </is>
      </c>
      <c r="D959" s="1" t="n">
        <v>44915</v>
      </c>
      <c r="E959" s="1" t="n">
        <v>46319</v>
      </c>
      <c r="F959" t="inlineStr">
        <is>
          <t>JÄMTLANDS LÄN</t>
        </is>
      </c>
      <c r="G959" t="inlineStr">
        <is>
          <t>RAGUNDA</t>
        </is>
      </c>
      <c r="H959" t="inlineStr">
        <is>
          <t>SCA</t>
        </is>
      </c>
      <c r="I959" t="n">
        <v>3.9</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24861-2023</t>
        </is>
      </c>
      <c r="B960" t="inlineStr">
        <is>
          <t>avverkningsanmälan</t>
        </is>
      </c>
      <c r="C960" t="inlineStr">
        <is>
          <t>Föryngringsavverkning</t>
        </is>
      </c>
      <c r="D960" s="1" t="n">
        <v>45078</v>
      </c>
      <c r="E960" s="1" t="n">
        <v>46319</v>
      </c>
      <c r="F960" t="inlineStr">
        <is>
          <t>JÄMTLANDS LÄN</t>
        </is>
      </c>
      <c r="G960" t="inlineStr">
        <is>
          <t>RAGUNDA</t>
        </is>
      </c>
      <c r="I960" t="n">
        <v>1.3</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179-2025</t>
        </is>
      </c>
      <c r="B961" t="inlineStr">
        <is>
          <t>avverkningsanmälan</t>
        </is>
      </c>
      <c r="C961" t="inlineStr">
        <is>
          <t>Föryngringsavverkning</t>
        </is>
      </c>
      <c r="D961" s="1" t="n">
        <v>45659</v>
      </c>
      <c r="E961" s="1" t="n">
        <v>46319</v>
      </c>
      <c r="F961" t="inlineStr">
        <is>
          <t>JÄMTLANDS LÄN</t>
        </is>
      </c>
      <c r="G961" t="inlineStr">
        <is>
          <t>RAGUNDA</t>
        </is>
      </c>
      <c r="H961" t="inlineStr">
        <is>
          <t>SCA</t>
        </is>
      </c>
      <c r="I961" t="n">
        <v>1.4</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59136-2023</t>
        </is>
      </c>
      <c r="B962" t="inlineStr">
        <is>
          <t>avverkningsanmälan</t>
        </is>
      </c>
      <c r="C962" t="inlineStr">
        <is>
          <t>Avverkning för att bevara och utveckla /försöksver</t>
        </is>
      </c>
      <c r="D962" s="1" t="n">
        <v>45251</v>
      </c>
      <c r="E962" s="1" t="n">
        <v>46319</v>
      </c>
      <c r="F962" t="inlineStr">
        <is>
          <t>JÄMTLANDS LÄN</t>
        </is>
      </c>
      <c r="G962" t="inlineStr">
        <is>
          <t>RAGUNDA</t>
        </is>
      </c>
      <c r="I962" t="n">
        <v>1.7</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35274-2023</t>
        </is>
      </c>
      <c r="B963" t="inlineStr">
        <is>
          <t>avverkningsanmälan</t>
        </is>
      </c>
      <c r="C963" t="inlineStr">
        <is>
          <t>Avverkning för att bevara och utveckla /försöksver</t>
        </is>
      </c>
      <c r="D963" s="1" t="n">
        <v>45145</v>
      </c>
      <c r="E963" s="1" t="n">
        <v>46319</v>
      </c>
      <c r="F963" t="inlineStr">
        <is>
          <t>JÄMTLANDS LÄN</t>
        </is>
      </c>
      <c r="G963" t="inlineStr">
        <is>
          <t>RAGUNDA</t>
        </is>
      </c>
      <c r="H963" t="inlineStr">
        <is>
          <t>SCA</t>
        </is>
      </c>
      <c r="I963" t="n">
        <v>6.1</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64264-2023</t>
        </is>
      </c>
      <c r="B964" t="inlineStr">
        <is>
          <t>avverkningsanmälan</t>
        </is>
      </c>
      <c r="C964" t="inlineStr">
        <is>
          <t>Föryngringsavverkning</t>
        </is>
      </c>
      <c r="D964" s="1" t="n">
        <v>45279</v>
      </c>
      <c r="E964" s="1" t="n">
        <v>46319</v>
      </c>
      <c r="F964" t="inlineStr">
        <is>
          <t>JÄMTLANDS LÄN</t>
        </is>
      </c>
      <c r="G964" t="inlineStr">
        <is>
          <t>RAGUNDA</t>
        </is>
      </c>
      <c r="H964" t="inlineStr">
        <is>
          <t>SCA</t>
        </is>
      </c>
      <c r="I964" t="n">
        <v>2.1</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26347-2023</t>
        </is>
      </c>
      <c r="B965" t="inlineStr">
        <is>
          <t>avverkningsanmälan</t>
        </is>
      </c>
      <c r="C965" t="inlineStr">
        <is>
          <t>Avverkning för att bevara och utveckla /försöksver</t>
        </is>
      </c>
      <c r="D965" s="1" t="n">
        <v>45091</v>
      </c>
      <c r="E965" s="1" t="n">
        <v>46319</v>
      </c>
      <c r="F965" t="inlineStr">
        <is>
          <t>JÄMTLANDS LÄN</t>
        </is>
      </c>
      <c r="G965" t="inlineStr">
        <is>
          <t>RAGUNDA</t>
        </is>
      </c>
      <c r="H965" t="inlineStr">
        <is>
          <t>SCA</t>
        </is>
      </c>
      <c r="I965" t="n">
        <v>6.6</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51538-2022</t>
        </is>
      </c>
      <c r="B966" t="inlineStr">
        <is>
          <t>avverkningsanmälan</t>
        </is>
      </c>
      <c r="C966" t="inlineStr">
        <is>
          <t>Föryngringsavverkning</t>
        </is>
      </c>
      <c r="D966" s="1" t="n">
        <v>44869</v>
      </c>
      <c r="E966" s="1" t="n">
        <v>46319</v>
      </c>
      <c r="F966" t="inlineStr">
        <is>
          <t>JÄMTLANDS LÄN</t>
        </is>
      </c>
      <c r="G966" t="inlineStr">
        <is>
          <t>RAGUNDA</t>
        </is>
      </c>
      <c r="I966" t="n">
        <v>6.8</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50233-2024</t>
        </is>
      </c>
      <c r="B967" t="inlineStr">
        <is>
          <t>avverkningsanmälan</t>
        </is>
      </c>
      <c r="C967" t="inlineStr">
        <is>
          <t>Avverkning för att bevara och utveckla /försöksver</t>
        </is>
      </c>
      <c r="D967" s="1" t="n">
        <v>45600</v>
      </c>
      <c r="E967" s="1" t="n">
        <v>46319</v>
      </c>
      <c r="F967" t="inlineStr">
        <is>
          <t>JÄMTLANDS LÄN</t>
        </is>
      </c>
      <c r="G967" t="inlineStr">
        <is>
          <t>RAGUNDA</t>
        </is>
      </c>
      <c r="H967" t="inlineStr">
        <is>
          <t>SCA</t>
        </is>
      </c>
      <c r="I967" t="n">
        <v>5.6</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27373-2023</t>
        </is>
      </c>
      <c r="B968" t="inlineStr">
        <is>
          <t>avverkningsanmälan</t>
        </is>
      </c>
      <c r="C968" t="inlineStr">
        <is>
          <t>Avverkning för att bevara och utveckla /försöksver</t>
        </is>
      </c>
      <c r="D968" s="1" t="n">
        <v>45096</v>
      </c>
      <c r="E968" s="1" t="n">
        <v>46319</v>
      </c>
      <c r="F968" t="inlineStr">
        <is>
          <t>JÄMTLANDS LÄN</t>
        </is>
      </c>
      <c r="G968" t="inlineStr">
        <is>
          <t>RAGUNDA</t>
        </is>
      </c>
      <c r="H968" t="inlineStr">
        <is>
          <t>SCA</t>
        </is>
      </c>
      <c r="I968" t="n">
        <v>6.9</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6688-2024</t>
        </is>
      </c>
      <c r="B969" t="inlineStr">
        <is>
          <t>avverkningsanmälan</t>
        </is>
      </c>
      <c r="C969" t="inlineStr">
        <is>
          <t>Föryngringsavverkning</t>
        </is>
      </c>
      <c r="D969" s="1" t="n">
        <v>45341</v>
      </c>
      <c r="E969" s="1" t="n">
        <v>46319</v>
      </c>
      <c r="F969" t="inlineStr">
        <is>
          <t>JÄMTLANDS LÄN</t>
        </is>
      </c>
      <c r="G969" t="inlineStr">
        <is>
          <t>RAGUNDA</t>
        </is>
      </c>
      <c r="I969" t="n">
        <v>2</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37479-2023</t>
        </is>
      </c>
      <c r="B970" t="inlineStr">
        <is>
          <t>avverkningsanmälan</t>
        </is>
      </c>
      <c r="C970" t="inlineStr">
        <is>
          <t>Föryngringsavverkning</t>
        </is>
      </c>
      <c r="D970" s="1" t="n">
        <v>45156</v>
      </c>
      <c r="E970" s="1" t="n">
        <v>46319</v>
      </c>
      <c r="F970" t="inlineStr">
        <is>
          <t>JÄMTLANDS LÄN</t>
        </is>
      </c>
      <c r="G970" t="inlineStr">
        <is>
          <t>RAGUNDA</t>
        </is>
      </c>
      <c r="H970" t="inlineStr">
        <is>
          <t>SCA</t>
        </is>
      </c>
      <c r="I970" t="n">
        <v>1.9</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41772-2024</t>
        </is>
      </c>
      <c r="B971" t="inlineStr">
        <is>
          <t>avverkningsanmälan</t>
        </is>
      </c>
      <c r="C971" t="inlineStr">
        <is>
          <t>Föryngringsavverkning</t>
        </is>
      </c>
      <c r="D971" s="1" t="n">
        <v>45561</v>
      </c>
      <c r="E971" s="1" t="n">
        <v>46319</v>
      </c>
      <c r="F971" t="inlineStr">
        <is>
          <t>JÄMTLANDS LÄN</t>
        </is>
      </c>
      <c r="G971" t="inlineStr">
        <is>
          <t>RAGUNDA</t>
        </is>
      </c>
      <c r="H971" t="inlineStr">
        <is>
          <t>SCA</t>
        </is>
      </c>
      <c r="I971" t="n">
        <v>0.4</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12660-2024</t>
        </is>
      </c>
      <c r="B972" t="inlineStr">
        <is>
          <t>avverkningsanmälan</t>
        </is>
      </c>
      <c r="C972" t="inlineStr">
        <is>
          <t>Föryngringsavverkning</t>
        </is>
      </c>
      <c r="D972" s="1" t="n">
        <v>45384</v>
      </c>
      <c r="E972" s="1" t="n">
        <v>46319</v>
      </c>
      <c r="F972" t="inlineStr">
        <is>
          <t>JÄMTLANDS LÄN</t>
        </is>
      </c>
      <c r="G972" t="inlineStr">
        <is>
          <t>RAGUNDA</t>
        </is>
      </c>
      <c r="I972" t="n">
        <v>1.3</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25332-2023</t>
        </is>
      </c>
      <c r="B973" t="inlineStr">
        <is>
          <t>avverkningsanmälan</t>
        </is>
      </c>
      <c r="C973" t="inlineStr">
        <is>
          <t>Avverkning för att bevara och utveckla /försöksver</t>
        </is>
      </c>
      <c r="D973" s="1" t="n">
        <v>45086</v>
      </c>
      <c r="E973" s="1" t="n">
        <v>46319</v>
      </c>
      <c r="F973" t="inlineStr">
        <is>
          <t>JÄMTLANDS LÄN</t>
        </is>
      </c>
      <c r="G973" t="inlineStr">
        <is>
          <t>RAGUNDA</t>
        </is>
      </c>
      <c r="H973" t="inlineStr">
        <is>
          <t>SCA</t>
        </is>
      </c>
      <c r="I973" t="n">
        <v>1.1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33615-2023</t>
        </is>
      </c>
      <c r="B974" t="inlineStr">
        <is>
          <t>avverkningsanmälan</t>
        </is>
      </c>
      <c r="C974" t="inlineStr">
        <is>
          <t>Avverkning för annat ändamål</t>
        </is>
      </c>
      <c r="D974" s="1" t="n">
        <v>45119</v>
      </c>
      <c r="E974" s="1" t="n">
        <v>46319</v>
      </c>
      <c r="F974" t="inlineStr">
        <is>
          <t>JÄMTLANDS LÄN</t>
        </is>
      </c>
      <c r="G974" t="inlineStr">
        <is>
          <t>RAGUNDA</t>
        </is>
      </c>
      <c r="I974" t="n">
        <v>0.9</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43132-2023</t>
        </is>
      </c>
      <c r="B975" t="inlineStr">
        <is>
          <t>avverkningsanmälan</t>
        </is>
      </c>
      <c r="C975" t="inlineStr">
        <is>
          <t>Föryngringsavverkning</t>
        </is>
      </c>
      <c r="D975" s="1" t="n">
        <v>45182</v>
      </c>
      <c r="E975" s="1" t="n">
        <v>46319</v>
      </c>
      <c r="F975" t="inlineStr">
        <is>
          <t>JÄMTLANDS LÄN</t>
        </is>
      </c>
      <c r="G975" t="inlineStr">
        <is>
          <t>RAGUNDA</t>
        </is>
      </c>
      <c r="H975" t="inlineStr">
        <is>
          <t>SCA</t>
        </is>
      </c>
      <c r="I975" t="n">
        <v>1.7</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8654-2024</t>
        </is>
      </c>
      <c r="B976" t="inlineStr">
        <is>
          <t>avverkningsanmälan</t>
        </is>
      </c>
      <c r="C976" t="inlineStr">
        <is>
          <t>Avverkning för att bevara och utveckla /försöksver</t>
        </is>
      </c>
      <c r="D976" s="1" t="n">
        <v>45356</v>
      </c>
      <c r="E976" s="1" t="n">
        <v>46319</v>
      </c>
      <c r="F976" t="inlineStr">
        <is>
          <t>JÄMTLANDS LÄN</t>
        </is>
      </c>
      <c r="G976" t="inlineStr">
        <is>
          <t>RAGUNDA</t>
        </is>
      </c>
      <c r="H976" t="inlineStr">
        <is>
          <t>SCA</t>
        </is>
      </c>
      <c r="I976" t="n">
        <v>2.6</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9325-2024</t>
        </is>
      </c>
      <c r="B977" t="inlineStr">
        <is>
          <t>avverkningsanmälan</t>
        </is>
      </c>
      <c r="C977" t="inlineStr">
        <is>
          <t>Föryngringsavverkning</t>
        </is>
      </c>
      <c r="D977" s="1" t="n">
        <v>45358</v>
      </c>
      <c r="E977" s="1" t="n">
        <v>46319</v>
      </c>
      <c r="F977" t="inlineStr">
        <is>
          <t>JÄMTLANDS LÄN</t>
        </is>
      </c>
      <c r="G977" t="inlineStr">
        <is>
          <t>RAGUNDA</t>
        </is>
      </c>
      <c r="I977" t="n">
        <v>3.1</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60935-2024</t>
        </is>
      </c>
      <c r="B978" t="inlineStr">
        <is>
          <t>avverkningsanmälan</t>
        </is>
      </c>
      <c r="C978" t="inlineStr">
        <is>
          <t>Föryngringsavverkning</t>
        </is>
      </c>
      <c r="D978" s="1" t="n">
        <v>45645</v>
      </c>
      <c r="E978" s="1" t="n">
        <v>46319</v>
      </c>
      <c r="F978" t="inlineStr">
        <is>
          <t>JÄMTLANDS LÄN</t>
        </is>
      </c>
      <c r="G978" t="inlineStr">
        <is>
          <t>RAGUNDA</t>
        </is>
      </c>
      <c r="I978" t="n">
        <v>2.6</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14156-2024</t>
        </is>
      </c>
      <c r="B979" t="inlineStr">
        <is>
          <t>avverkningsanmälan</t>
        </is>
      </c>
      <c r="C979" t="inlineStr">
        <is>
          <t>Föryngringsavverkning</t>
        </is>
      </c>
      <c r="D979" s="1" t="n">
        <v>45392</v>
      </c>
      <c r="E979" s="1" t="n">
        <v>46319</v>
      </c>
      <c r="F979" t="inlineStr">
        <is>
          <t>JÄMTLANDS LÄN</t>
        </is>
      </c>
      <c r="G979" t="inlineStr">
        <is>
          <t>RAGUNDA</t>
        </is>
      </c>
      <c r="I979" t="n">
        <v>0.6</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14157-2024</t>
        </is>
      </c>
      <c r="B980" t="inlineStr">
        <is>
          <t>avverkningsanmälan</t>
        </is>
      </c>
      <c r="C980" t="inlineStr">
        <is>
          <t>Föryngringsavverkning</t>
        </is>
      </c>
      <c r="D980" s="1" t="n">
        <v>45392</v>
      </c>
      <c r="E980" s="1" t="n">
        <v>46319</v>
      </c>
      <c r="F980" t="inlineStr">
        <is>
          <t>JÄMTLANDS LÄN</t>
        </is>
      </c>
      <c r="G980" t="inlineStr">
        <is>
          <t>RAGUNDA</t>
        </is>
      </c>
      <c r="I980" t="n">
        <v>1.7</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21661-2023</t>
        </is>
      </c>
      <c r="B981" t="inlineStr">
        <is>
          <t>avverkningsanmälan</t>
        </is>
      </c>
      <c r="C981" t="inlineStr">
        <is>
          <t>Föryngringsavverkning</t>
        </is>
      </c>
      <c r="D981" s="1" t="n">
        <v>45063</v>
      </c>
      <c r="E981" s="1" t="n">
        <v>46319</v>
      </c>
      <c r="F981" t="inlineStr">
        <is>
          <t>JÄMTLANDS LÄN</t>
        </is>
      </c>
      <c r="G981" t="inlineStr">
        <is>
          <t>RAGUNDA</t>
        </is>
      </c>
      <c r="I981" t="n">
        <v>1.5</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7281-2024</t>
        </is>
      </c>
      <c r="B982" t="inlineStr">
        <is>
          <t>avverkningsanmälan</t>
        </is>
      </c>
      <c r="C982" t="inlineStr">
        <is>
          <t>Föryngringsavverkning</t>
        </is>
      </c>
      <c r="D982" s="1" t="n">
        <v>45344</v>
      </c>
      <c r="E982" s="1" t="n">
        <v>46319</v>
      </c>
      <c r="F982" t="inlineStr">
        <is>
          <t>JÄMTLANDS LÄN</t>
        </is>
      </c>
      <c r="G982" t="inlineStr">
        <is>
          <t>RAGUNDA</t>
        </is>
      </c>
      <c r="I982" t="n">
        <v>1.2</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19382-2025</t>
        </is>
      </c>
      <c r="B983" t="inlineStr">
        <is>
          <t>avverkningsanmälan</t>
        </is>
      </c>
      <c r="C983" t="inlineStr">
        <is>
          <t>Föryngringsavverkning</t>
        </is>
      </c>
      <c r="D983" s="1" t="n">
        <v>45769</v>
      </c>
      <c r="E983" s="1" t="n">
        <v>46319</v>
      </c>
      <c r="F983" t="inlineStr">
        <is>
          <t>JÄMTLANDS LÄN</t>
        </is>
      </c>
      <c r="G983" t="inlineStr">
        <is>
          <t>RAGUNDA</t>
        </is>
      </c>
      <c r="H983" t="inlineStr">
        <is>
          <t>SCA</t>
        </is>
      </c>
      <c r="I983" t="n">
        <v>4</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19403-2025</t>
        </is>
      </c>
      <c r="B984" t="inlineStr">
        <is>
          <t>avverkningsanmälan</t>
        </is>
      </c>
      <c r="C984" t="inlineStr">
        <is>
          <t>Föryngringsavverkning</t>
        </is>
      </c>
      <c r="D984" s="1" t="n">
        <v>45769</v>
      </c>
      <c r="E984" s="1" t="n">
        <v>46319</v>
      </c>
      <c r="F984" t="inlineStr">
        <is>
          <t>JÄMTLANDS LÄN</t>
        </is>
      </c>
      <c r="G984" t="inlineStr">
        <is>
          <t>RAGUNDA</t>
        </is>
      </c>
      <c r="H984" t="inlineStr">
        <is>
          <t>SCA</t>
        </is>
      </c>
      <c r="I984" t="n">
        <v>0.5</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60225-2022</t>
        </is>
      </c>
      <c r="B985" t="inlineStr">
        <is>
          <t>avverkningsanmälan</t>
        </is>
      </c>
      <c r="C985" t="inlineStr">
        <is>
          <t>Föryngringsavverkning</t>
        </is>
      </c>
      <c r="D985" s="1" t="n">
        <v>44903</v>
      </c>
      <c r="E985" s="1" t="n">
        <v>46319</v>
      </c>
      <c r="F985" t="inlineStr">
        <is>
          <t>JÄMTLANDS LÄN</t>
        </is>
      </c>
      <c r="G985" t="inlineStr">
        <is>
          <t>RAGUNDA</t>
        </is>
      </c>
      <c r="I985" t="n">
        <v>1</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61045-2022</t>
        </is>
      </c>
      <c r="B986" t="inlineStr">
        <is>
          <t>avverkningsanmälan</t>
        </is>
      </c>
      <c r="C986" t="inlineStr">
        <is>
          <t>Föryngringsavverkning</t>
        </is>
      </c>
      <c r="D986" s="1" t="n">
        <v>44914</v>
      </c>
      <c r="E986" s="1" t="n">
        <v>46319</v>
      </c>
      <c r="F986" t="inlineStr">
        <is>
          <t>JÄMTLANDS LÄN</t>
        </is>
      </c>
      <c r="G986" t="inlineStr">
        <is>
          <t>RAGUNDA</t>
        </is>
      </c>
      <c r="H986" t="inlineStr">
        <is>
          <t>SCA</t>
        </is>
      </c>
      <c r="I986" t="n">
        <v>2.6</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11557-2023</t>
        </is>
      </c>
      <c r="B987" t="inlineStr">
        <is>
          <t>avverkningsanmälan</t>
        </is>
      </c>
      <c r="C987" t="inlineStr">
        <is>
          <t>Föryngringsavverkning</t>
        </is>
      </c>
      <c r="D987" s="1" t="n">
        <v>44993</v>
      </c>
      <c r="E987" s="1" t="n">
        <v>46319</v>
      </c>
      <c r="F987" t="inlineStr">
        <is>
          <t>JÄMTLANDS LÄN</t>
        </is>
      </c>
      <c r="G987" t="inlineStr">
        <is>
          <t>RAGUNDA</t>
        </is>
      </c>
      <c r="H987" t="inlineStr">
        <is>
          <t>SCA</t>
        </is>
      </c>
      <c r="I987" t="n">
        <v>2.5</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11562-2023</t>
        </is>
      </c>
      <c r="B988" t="inlineStr">
        <is>
          <t>avverkningsanmälan</t>
        </is>
      </c>
      <c r="C988" t="inlineStr">
        <is>
          <t>Avverkning för att bevara och utveckla /försöksver</t>
        </is>
      </c>
      <c r="D988" s="1" t="n">
        <v>44993</v>
      </c>
      <c r="E988" s="1" t="n">
        <v>46319</v>
      </c>
      <c r="F988" t="inlineStr">
        <is>
          <t>JÄMTLANDS LÄN</t>
        </is>
      </c>
      <c r="G988" t="inlineStr">
        <is>
          <t>RAGUNDA</t>
        </is>
      </c>
      <c r="H988" t="inlineStr">
        <is>
          <t>SCA</t>
        </is>
      </c>
      <c r="I988" t="n">
        <v>1.2</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5175-2023</t>
        </is>
      </c>
      <c r="B989" t="inlineStr">
        <is>
          <t>avverkningsanmälan</t>
        </is>
      </c>
      <c r="C989" t="inlineStr">
        <is>
          <t>Föryngringsavverkning</t>
        </is>
      </c>
      <c r="D989" s="1" t="n">
        <v>44958</v>
      </c>
      <c r="E989" s="1" t="n">
        <v>46319</v>
      </c>
      <c r="F989" t="inlineStr">
        <is>
          <t>JÄMTLANDS LÄN</t>
        </is>
      </c>
      <c r="G989" t="inlineStr">
        <is>
          <t>RAGUNDA</t>
        </is>
      </c>
      <c r="H989" t="inlineStr">
        <is>
          <t>SCA</t>
        </is>
      </c>
      <c r="I989" t="n">
        <v>17.9</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12039-2023</t>
        </is>
      </c>
      <c r="B990" t="inlineStr">
        <is>
          <t>avverkningsanmälan</t>
        </is>
      </c>
      <c r="C990" t="inlineStr">
        <is>
          <t>Avverkning för att bevara och utveckla /försöksver</t>
        </is>
      </c>
      <c r="D990" s="1" t="n">
        <v>44995</v>
      </c>
      <c r="E990" s="1" t="n">
        <v>46319</v>
      </c>
      <c r="F990" t="inlineStr">
        <is>
          <t>JÄMTLANDS LÄN</t>
        </is>
      </c>
      <c r="G990" t="inlineStr">
        <is>
          <t>RAGUNDA</t>
        </is>
      </c>
      <c r="H990" t="inlineStr">
        <is>
          <t>SCA</t>
        </is>
      </c>
      <c r="I990" t="n">
        <v>0.5</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12050-2023</t>
        </is>
      </c>
      <c r="B991" t="inlineStr">
        <is>
          <t>avverkningsanmälan</t>
        </is>
      </c>
      <c r="C991" t="inlineStr">
        <is>
          <t>Föryngringsavverkning</t>
        </is>
      </c>
      <c r="D991" s="1" t="n">
        <v>44995</v>
      </c>
      <c r="E991" s="1" t="n">
        <v>46319</v>
      </c>
      <c r="F991" t="inlineStr">
        <is>
          <t>JÄMTLANDS LÄN</t>
        </is>
      </c>
      <c r="G991" t="inlineStr">
        <is>
          <t>RAGUNDA</t>
        </is>
      </c>
      <c r="H991" t="inlineStr">
        <is>
          <t>SCA</t>
        </is>
      </c>
      <c r="I991" t="n">
        <v>0.9</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2751-2024</t>
        </is>
      </c>
      <c r="B992" t="inlineStr">
        <is>
          <t>avverkningsanmälan</t>
        </is>
      </c>
      <c r="C992" t="inlineStr">
        <is>
          <t>Föryngringsavverkning</t>
        </is>
      </c>
      <c r="D992" s="1" t="n">
        <v>45314</v>
      </c>
      <c r="E992" s="1" t="n">
        <v>46319</v>
      </c>
      <c r="F992" t="inlineStr">
        <is>
          <t>JÄMTLANDS LÄN</t>
        </is>
      </c>
      <c r="G992" t="inlineStr">
        <is>
          <t>RAGUNDA</t>
        </is>
      </c>
      <c r="I992" t="n">
        <v>1.8</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36986-2023</t>
        </is>
      </c>
      <c r="B993" t="inlineStr">
        <is>
          <t>avverkningsanmälan</t>
        </is>
      </c>
      <c r="C993" t="inlineStr">
        <is>
          <t>Föryngringsavverkning</t>
        </is>
      </c>
      <c r="D993" s="1" t="n">
        <v>45154</v>
      </c>
      <c r="E993" s="1" t="n">
        <v>46319</v>
      </c>
      <c r="F993" t="inlineStr">
        <is>
          <t>JÄMTLANDS LÄN</t>
        </is>
      </c>
      <c r="G993" t="inlineStr">
        <is>
          <t>RAGUNDA</t>
        </is>
      </c>
      <c r="H993" t="inlineStr">
        <is>
          <t>SCA</t>
        </is>
      </c>
      <c r="I993" t="n">
        <v>0.2</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14368-2024</t>
        </is>
      </c>
      <c r="B994" t="inlineStr">
        <is>
          <t>avverkningsanmälan</t>
        </is>
      </c>
      <c r="C994" t="inlineStr">
        <is>
          <t>Föryngringsavverkning</t>
        </is>
      </c>
      <c r="D994" s="1" t="n">
        <v>45393</v>
      </c>
      <c r="E994" s="1" t="n">
        <v>46319</v>
      </c>
      <c r="F994" t="inlineStr">
        <is>
          <t>JÄMTLANDS LÄN</t>
        </is>
      </c>
      <c r="G994" t="inlineStr">
        <is>
          <t>RAGUNDA</t>
        </is>
      </c>
      <c r="H994" t="inlineStr">
        <is>
          <t>Naturvårdsverket</t>
        </is>
      </c>
      <c r="I994" t="n">
        <v>1.6</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18159-2023</t>
        </is>
      </c>
      <c r="B995" t="inlineStr">
        <is>
          <t>avverkningsanmälan</t>
        </is>
      </c>
      <c r="C995" t="inlineStr">
        <is>
          <t>Föryngringsavverkning</t>
        </is>
      </c>
      <c r="D995" s="1" t="n">
        <v>45040</v>
      </c>
      <c r="E995" s="1" t="n">
        <v>46319</v>
      </c>
      <c r="F995" t="inlineStr">
        <is>
          <t>JÄMTLANDS LÄN</t>
        </is>
      </c>
      <c r="G995" t="inlineStr">
        <is>
          <t>RAGUNDA</t>
        </is>
      </c>
      <c r="H995" t="inlineStr">
        <is>
          <t>SCA</t>
        </is>
      </c>
      <c r="I995" t="n">
        <v>4</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37543-2023</t>
        </is>
      </c>
      <c r="B996" t="inlineStr">
        <is>
          <t>avverkningsanmälan</t>
        </is>
      </c>
      <c r="C996" t="inlineStr">
        <is>
          <t>Föryngringsavverkning</t>
        </is>
      </c>
      <c r="D996" s="1" t="n">
        <v>45158</v>
      </c>
      <c r="E996" s="1" t="n">
        <v>46319</v>
      </c>
      <c r="F996" t="inlineStr">
        <is>
          <t>JÄMTLANDS LÄN</t>
        </is>
      </c>
      <c r="G996" t="inlineStr">
        <is>
          <t>RAGUNDA</t>
        </is>
      </c>
      <c r="H996" t="inlineStr">
        <is>
          <t>SCA</t>
        </is>
      </c>
      <c r="I996" t="n">
        <v>1.3</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53171-2024</t>
        </is>
      </c>
      <c r="B997" t="inlineStr">
        <is>
          <t>avverkningsanmälan</t>
        </is>
      </c>
      <c r="C997" t="inlineStr">
        <is>
          <t>Föryngringsavverkning</t>
        </is>
      </c>
      <c r="D997" s="1" t="n">
        <v>45611</v>
      </c>
      <c r="E997" s="1" t="n">
        <v>46319</v>
      </c>
      <c r="F997" t="inlineStr">
        <is>
          <t>JÄMTLANDS LÄN</t>
        </is>
      </c>
      <c r="G997" t="inlineStr">
        <is>
          <t>RAGUNDA</t>
        </is>
      </c>
      <c r="H997" t="inlineStr">
        <is>
          <t>SCA</t>
        </is>
      </c>
      <c r="I997" t="n">
        <v>1.9</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1523-2024</t>
        </is>
      </c>
      <c r="B998" t="inlineStr">
        <is>
          <t>avverkningsanmälan</t>
        </is>
      </c>
      <c r="C998" t="inlineStr">
        <is>
          <t>Föryngringsavverkning</t>
        </is>
      </c>
      <c r="D998" s="1" t="n">
        <v>45306</v>
      </c>
      <c r="E998" s="1" t="n">
        <v>46319</v>
      </c>
      <c r="F998" t="inlineStr">
        <is>
          <t>JÄMTLANDS LÄN</t>
        </is>
      </c>
      <c r="G998" t="inlineStr">
        <is>
          <t>RAGUNDA</t>
        </is>
      </c>
      <c r="I998" t="n">
        <v>4.1</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64265-2023</t>
        </is>
      </c>
      <c r="B999" t="inlineStr">
        <is>
          <t>avverkningsanmälan</t>
        </is>
      </c>
      <c r="C999" t="inlineStr">
        <is>
          <t>Föryngringsavverkning</t>
        </is>
      </c>
      <c r="D999" s="1" t="n">
        <v>45279</v>
      </c>
      <c r="E999" s="1" t="n">
        <v>46319</v>
      </c>
      <c r="F999" t="inlineStr">
        <is>
          <t>JÄMTLANDS LÄN</t>
        </is>
      </c>
      <c r="G999" t="inlineStr">
        <is>
          <t>RAGUNDA</t>
        </is>
      </c>
      <c r="H999" t="inlineStr">
        <is>
          <t>SCA</t>
        </is>
      </c>
      <c r="I999" t="n">
        <v>9.300000000000001</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44605-2024</t>
        </is>
      </c>
      <c r="B1000" t="inlineStr">
        <is>
          <t>avverkningsanmälan</t>
        </is>
      </c>
      <c r="C1000" t="inlineStr">
        <is>
          <t>Föryngringsavverkning</t>
        </is>
      </c>
      <c r="D1000" s="1" t="n">
        <v>45574</v>
      </c>
      <c r="E1000" s="1" t="n">
        <v>46319</v>
      </c>
      <c r="F1000" t="inlineStr">
        <is>
          <t>JÄMTLANDS LÄN</t>
        </is>
      </c>
      <c r="G1000" t="inlineStr">
        <is>
          <t>RAGUNDA</t>
        </is>
      </c>
      <c r="H1000" t="inlineStr">
        <is>
          <t>SCA</t>
        </is>
      </c>
      <c r="I1000" t="n">
        <v>2.6</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53136-2024</t>
        </is>
      </c>
      <c r="B1001" t="inlineStr">
        <is>
          <t>avverkningsanmälan</t>
        </is>
      </c>
      <c r="C1001" t="inlineStr">
        <is>
          <t>Föryngringsavverkning</t>
        </is>
      </c>
      <c r="D1001" s="1" t="n">
        <v>45611</v>
      </c>
      <c r="E1001" s="1" t="n">
        <v>46319</v>
      </c>
      <c r="F1001" t="inlineStr">
        <is>
          <t>JÄMTLANDS LÄN</t>
        </is>
      </c>
      <c r="G1001" t="inlineStr">
        <is>
          <t>RAGUNDA</t>
        </is>
      </c>
      <c r="I1001" t="n">
        <v>3.8</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52228-2024</t>
        </is>
      </c>
      <c r="B1002" t="inlineStr">
        <is>
          <t>avverkningsanmälan</t>
        </is>
      </c>
      <c r="C1002" t="inlineStr">
        <is>
          <t>Avverkning för att bevara och utveckla /försöksver</t>
        </is>
      </c>
      <c r="D1002" s="1" t="n">
        <v>45608</v>
      </c>
      <c r="E1002" s="1" t="n">
        <v>46319</v>
      </c>
      <c r="F1002" t="inlineStr">
        <is>
          <t>JÄMTLANDS LÄN</t>
        </is>
      </c>
      <c r="G1002" t="inlineStr">
        <is>
          <t>RAGUNDA</t>
        </is>
      </c>
      <c r="H1002" t="inlineStr">
        <is>
          <t>SCA</t>
        </is>
      </c>
      <c r="I1002" t="n">
        <v>1.7</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59372-2024</t>
        </is>
      </c>
      <c r="B1003" t="inlineStr">
        <is>
          <t>avverkningsanmälan</t>
        </is>
      </c>
      <c r="C1003" t="inlineStr">
        <is>
          <t>Föryngringsavverkning</t>
        </is>
      </c>
      <c r="D1003" s="1" t="n">
        <v>45638</v>
      </c>
      <c r="E1003" s="1" t="n">
        <v>46319</v>
      </c>
      <c r="F1003" t="inlineStr">
        <is>
          <t>JÄMTLANDS LÄN</t>
        </is>
      </c>
      <c r="G1003" t="inlineStr">
        <is>
          <t>RAGUNDA</t>
        </is>
      </c>
      <c r="H1003" t="inlineStr">
        <is>
          <t>SCA</t>
        </is>
      </c>
      <c r="I1003" t="n">
        <v>3.3</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4594-2024</t>
        </is>
      </c>
      <c r="B1004" t="inlineStr">
        <is>
          <t>avverkningsanmälan</t>
        </is>
      </c>
      <c r="C1004" t="inlineStr">
        <is>
          <t>Avverkning för att bevara och utveckla /försöksver</t>
        </is>
      </c>
      <c r="D1004" s="1" t="n">
        <v>45327</v>
      </c>
      <c r="E1004" s="1" t="n">
        <v>46319</v>
      </c>
      <c r="F1004" t="inlineStr">
        <is>
          <t>JÄMTLANDS LÄN</t>
        </is>
      </c>
      <c r="G1004" t="inlineStr">
        <is>
          <t>RAGUNDA</t>
        </is>
      </c>
      <c r="H1004" t="inlineStr">
        <is>
          <t>SCA</t>
        </is>
      </c>
      <c r="I1004" t="n">
        <v>2.3</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3018-2024</t>
        </is>
      </c>
      <c r="B1005" t="inlineStr">
        <is>
          <t>avverkningsanmälan</t>
        </is>
      </c>
      <c r="C1005" t="inlineStr">
        <is>
          <t>Föryngringsavverkning</t>
        </is>
      </c>
      <c r="D1005" s="1" t="n">
        <v>45315</v>
      </c>
      <c r="E1005" s="1" t="n">
        <v>46319</v>
      </c>
      <c r="F1005" t="inlineStr">
        <is>
          <t>JÄMTLANDS LÄN</t>
        </is>
      </c>
      <c r="G1005" t="inlineStr">
        <is>
          <t>RAGUNDA</t>
        </is>
      </c>
      <c r="H1005" t="inlineStr">
        <is>
          <t>SCA</t>
        </is>
      </c>
      <c r="I1005" t="n">
        <v>2.4</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44597-2024</t>
        </is>
      </c>
      <c r="B1006" t="inlineStr">
        <is>
          <t>avverkningsanmälan</t>
        </is>
      </c>
      <c r="C1006" t="inlineStr">
        <is>
          <t>Föryngringsavverkning</t>
        </is>
      </c>
      <c r="D1006" s="1" t="n">
        <v>45574</v>
      </c>
      <c r="E1006" s="1" t="n">
        <v>46319</v>
      </c>
      <c r="F1006" t="inlineStr">
        <is>
          <t>JÄMTLANDS LÄN</t>
        </is>
      </c>
      <c r="G1006" t="inlineStr">
        <is>
          <t>RAGUNDA</t>
        </is>
      </c>
      <c r="H1006" t="inlineStr">
        <is>
          <t>SCA</t>
        </is>
      </c>
      <c r="I1006" t="n">
        <v>2.8</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49659-2023</t>
        </is>
      </c>
      <c r="B1007" t="inlineStr">
        <is>
          <t>avverkningsanmälan</t>
        </is>
      </c>
      <c r="C1007" t="inlineStr">
        <is>
          <t>Föryngringsavverkning</t>
        </is>
      </c>
      <c r="D1007" s="1" t="n">
        <v>45211</v>
      </c>
      <c r="E1007" s="1" t="n">
        <v>46319</v>
      </c>
      <c r="F1007" t="inlineStr">
        <is>
          <t>JÄMTLANDS LÄN</t>
        </is>
      </c>
      <c r="G1007" t="inlineStr">
        <is>
          <t>RAGUNDA</t>
        </is>
      </c>
      <c r="H1007" t="inlineStr">
        <is>
          <t>SCA</t>
        </is>
      </c>
      <c r="I1007" t="n">
        <v>2.8</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23734-2024</t>
        </is>
      </c>
      <c r="B1008" t="inlineStr">
        <is>
          <t>avverkningsanmälan</t>
        </is>
      </c>
      <c r="C1008" t="inlineStr">
        <is>
          <t>Föryngringsavverkning</t>
        </is>
      </c>
      <c r="D1008" s="1" t="n">
        <v>45454</v>
      </c>
      <c r="E1008" s="1" t="n">
        <v>46319</v>
      </c>
      <c r="F1008" t="inlineStr">
        <is>
          <t>JÄMTLANDS LÄN</t>
        </is>
      </c>
      <c r="G1008" t="inlineStr">
        <is>
          <t>RAGUNDA</t>
        </is>
      </c>
      <c r="H1008" t="inlineStr">
        <is>
          <t>SCA</t>
        </is>
      </c>
      <c r="I1008" t="n">
        <v>2</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12653-2024</t>
        </is>
      </c>
      <c r="B1009" t="inlineStr">
        <is>
          <t>avverkningsanmälan</t>
        </is>
      </c>
      <c r="C1009" t="inlineStr">
        <is>
          <t>Föryngringsavverkning</t>
        </is>
      </c>
      <c r="D1009" s="1" t="n">
        <v>45384</v>
      </c>
      <c r="E1009" s="1" t="n">
        <v>46319</v>
      </c>
      <c r="F1009" t="inlineStr">
        <is>
          <t>JÄMTLANDS LÄN</t>
        </is>
      </c>
      <c r="G1009" t="inlineStr">
        <is>
          <t>RAGUNDA</t>
        </is>
      </c>
      <c r="I1009" t="n">
        <v>1.1</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34483-2023</t>
        </is>
      </c>
      <c r="B1010" t="inlineStr">
        <is>
          <t>avverkningsanmälan</t>
        </is>
      </c>
      <c r="C1010" t="inlineStr">
        <is>
          <t>Avverkning för att bevara och utveckla /försöksver</t>
        </is>
      </c>
      <c r="D1010" s="1" t="n">
        <v>45139</v>
      </c>
      <c r="E1010" s="1" t="n">
        <v>46319</v>
      </c>
      <c r="F1010" t="inlineStr">
        <is>
          <t>JÄMTLANDS LÄN</t>
        </is>
      </c>
      <c r="G1010" t="inlineStr">
        <is>
          <t>RAGUNDA</t>
        </is>
      </c>
      <c r="H1010" t="inlineStr">
        <is>
          <t>SCA</t>
        </is>
      </c>
      <c r="I1010" t="n">
        <v>2.8</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23567-2024</t>
        </is>
      </c>
      <c r="B1011" t="inlineStr">
        <is>
          <t>avverkningsanmälan</t>
        </is>
      </c>
      <c r="C1011" t="inlineStr">
        <is>
          <t>Avverkning för att bevara och utveckla /försöksver</t>
        </is>
      </c>
      <c r="D1011" s="1" t="n">
        <v>45453</v>
      </c>
      <c r="E1011" s="1" t="n">
        <v>46319</v>
      </c>
      <c r="F1011" t="inlineStr">
        <is>
          <t>JÄMTLANDS LÄN</t>
        </is>
      </c>
      <c r="G1011" t="inlineStr">
        <is>
          <t>RAGUNDA</t>
        </is>
      </c>
      <c r="H1011" t="inlineStr">
        <is>
          <t>SCA</t>
        </is>
      </c>
      <c r="I1011" t="n">
        <v>1.6</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38312-2024</t>
        </is>
      </c>
      <c r="B1012" t="inlineStr">
        <is>
          <t>avverkningsanmälan</t>
        </is>
      </c>
      <c r="C1012" t="inlineStr">
        <is>
          <t>Föryngringsavverkning</t>
        </is>
      </c>
      <c r="D1012" s="1" t="n">
        <v>45545</v>
      </c>
      <c r="E1012" s="1" t="n">
        <v>46319</v>
      </c>
      <c r="F1012" t="inlineStr">
        <is>
          <t>JÄMTLANDS LÄN</t>
        </is>
      </c>
      <c r="G1012" t="inlineStr">
        <is>
          <t>RAGUNDA</t>
        </is>
      </c>
      <c r="I1012" t="n">
        <v>1.2</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9262-2025</t>
        </is>
      </c>
      <c r="B1013" t="inlineStr">
        <is>
          <t>avverkningsanmälan</t>
        </is>
      </c>
      <c r="C1013" t="inlineStr">
        <is>
          <t>Föryngringsavverkning</t>
        </is>
      </c>
      <c r="D1013" s="1" t="n">
        <v>45714</v>
      </c>
      <c r="E1013" s="1" t="n">
        <v>46319</v>
      </c>
      <c r="F1013" t="inlineStr">
        <is>
          <t>JÄMTLANDS LÄN</t>
        </is>
      </c>
      <c r="G1013" t="inlineStr">
        <is>
          <t>RAGUNDA</t>
        </is>
      </c>
      <c r="I1013" t="n">
        <v>8.300000000000001</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53144-2024</t>
        </is>
      </c>
      <c r="B1014" t="inlineStr">
        <is>
          <t>avverkningsanmälan</t>
        </is>
      </c>
      <c r="C1014" t="inlineStr">
        <is>
          <t>Avverkning för att bevara och utveckla /försöksver</t>
        </is>
      </c>
      <c r="D1014" s="1" t="n">
        <v>45611</v>
      </c>
      <c r="E1014" s="1" t="n">
        <v>46319</v>
      </c>
      <c r="F1014" t="inlineStr">
        <is>
          <t>JÄMTLANDS LÄN</t>
        </is>
      </c>
      <c r="G1014" t="inlineStr">
        <is>
          <t>RAGUNDA</t>
        </is>
      </c>
      <c r="H1014" t="inlineStr">
        <is>
          <t>SCA</t>
        </is>
      </c>
      <c r="I1014" t="n">
        <v>5.4</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20773-2024</t>
        </is>
      </c>
      <c r="B1015" t="inlineStr">
        <is>
          <t>avverkningsanmälan</t>
        </is>
      </c>
      <c r="C1015" t="inlineStr">
        <is>
          <t>Avverkning för att bevara och utveckla /försöksver</t>
        </is>
      </c>
      <c r="D1015" s="1" t="n">
        <v>45436</v>
      </c>
      <c r="E1015" s="1" t="n">
        <v>46319</v>
      </c>
      <c r="F1015" t="inlineStr">
        <is>
          <t>JÄMTLANDS LÄN</t>
        </is>
      </c>
      <c r="G1015" t="inlineStr">
        <is>
          <t>RAGUNDA</t>
        </is>
      </c>
      <c r="H1015" t="inlineStr">
        <is>
          <t>SCA</t>
        </is>
      </c>
      <c r="I1015" t="n">
        <v>2.2</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45335-2023</t>
        </is>
      </c>
      <c r="B1016" t="inlineStr">
        <is>
          <t>avverkningsanmälan</t>
        </is>
      </c>
      <c r="C1016" t="inlineStr">
        <is>
          <t>Föryngringsavverkning</t>
        </is>
      </c>
      <c r="D1016" s="1" t="n">
        <v>45191</v>
      </c>
      <c r="E1016" s="1" t="n">
        <v>46319</v>
      </c>
      <c r="F1016" t="inlineStr">
        <is>
          <t>JÄMTLANDS LÄN</t>
        </is>
      </c>
      <c r="G1016" t="inlineStr">
        <is>
          <t>RAGUNDA</t>
        </is>
      </c>
      <c r="H1016" t="inlineStr">
        <is>
          <t>SCA</t>
        </is>
      </c>
      <c r="I1016" t="n">
        <v>2.2</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10972-2022</t>
        </is>
      </c>
      <c r="B1017" t="inlineStr">
        <is>
          <t>avverkningsanmälan</t>
        </is>
      </c>
      <c r="C1017" t="inlineStr">
        <is>
          <t>Föryngringsavverkning</t>
        </is>
      </c>
      <c r="D1017" s="1" t="n">
        <v>44628</v>
      </c>
      <c r="E1017" s="1" t="n">
        <v>46319</v>
      </c>
      <c r="F1017" t="inlineStr">
        <is>
          <t>JÄMTLANDS LÄN</t>
        </is>
      </c>
      <c r="G1017" t="inlineStr">
        <is>
          <t>RAGUNDA</t>
        </is>
      </c>
      <c r="I1017" t="n">
        <v>9.5</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43102-2023</t>
        </is>
      </c>
      <c r="B1018" t="inlineStr">
        <is>
          <t>avverkningsanmälan</t>
        </is>
      </c>
      <c r="C1018" t="inlineStr">
        <is>
          <t>Avverkning för annat ändamål</t>
        </is>
      </c>
      <c r="D1018" s="1" t="n">
        <v>45182</v>
      </c>
      <c r="E1018" s="1" t="n">
        <v>46319</v>
      </c>
      <c r="F1018" t="inlineStr">
        <is>
          <t>JÄMTLANDS LÄN</t>
        </is>
      </c>
      <c r="G1018" t="inlineStr">
        <is>
          <t>RAGUNDA</t>
        </is>
      </c>
      <c r="H1018" t="inlineStr">
        <is>
          <t>SCA</t>
        </is>
      </c>
      <c r="I1018" t="n">
        <v>1.2</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6694-2024</t>
        </is>
      </c>
      <c r="B1019" t="inlineStr">
        <is>
          <t>avverkningsanmälan</t>
        </is>
      </c>
      <c r="C1019" t="inlineStr">
        <is>
          <t>Avverkning för att bevara och utveckla /försöksver</t>
        </is>
      </c>
      <c r="D1019" s="1" t="n">
        <v>45341</v>
      </c>
      <c r="E1019" s="1" t="n">
        <v>46319</v>
      </c>
      <c r="F1019" t="inlineStr">
        <is>
          <t>JÄMTLANDS LÄN</t>
        </is>
      </c>
      <c r="G1019" t="inlineStr">
        <is>
          <t>RAGUNDA</t>
        </is>
      </c>
      <c r="H1019" t="inlineStr">
        <is>
          <t>SCA</t>
        </is>
      </c>
      <c r="I1019" t="n">
        <v>2.1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21083-2024</t>
        </is>
      </c>
      <c r="B1020" t="inlineStr">
        <is>
          <t>avverkningsanmälan</t>
        </is>
      </c>
      <c r="C1020" t="inlineStr">
        <is>
          <t>Föryngringsavverkning</t>
        </is>
      </c>
      <c r="D1020" s="1" t="n">
        <v>45439</v>
      </c>
      <c r="E1020" s="1" t="n">
        <v>46319</v>
      </c>
      <c r="F1020" t="inlineStr">
        <is>
          <t>JÄMTLANDS LÄN</t>
        </is>
      </c>
      <c r="G1020" t="inlineStr">
        <is>
          <t>RAGUNDA</t>
        </is>
      </c>
      <c r="I1020" t="n">
        <v>1.5</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13905-2025</t>
        </is>
      </c>
      <c r="B1021" t="inlineStr">
        <is>
          <t>avverkningsanmälan</t>
        </is>
      </c>
      <c r="C1021" t="inlineStr">
        <is>
          <t>Föryngringsavverkning</t>
        </is>
      </c>
      <c r="D1021" s="1" t="n">
        <v>45737</v>
      </c>
      <c r="E1021" s="1" t="n">
        <v>46319</v>
      </c>
      <c r="F1021" t="inlineStr">
        <is>
          <t>JÄMTLANDS LÄN</t>
        </is>
      </c>
      <c r="G1021" t="inlineStr">
        <is>
          <t>RAGUNDA</t>
        </is>
      </c>
      <c r="H1021" t="inlineStr">
        <is>
          <t>SCA</t>
        </is>
      </c>
      <c r="I1021" t="n">
        <v>1.4</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44980-2023</t>
        </is>
      </c>
      <c r="B1022" t="inlineStr">
        <is>
          <t>avverkningsanmälan</t>
        </is>
      </c>
      <c r="C1022" t="inlineStr">
        <is>
          <t>Avverkning för att bevara och utveckla /försöksver</t>
        </is>
      </c>
      <c r="D1022" s="1" t="n">
        <v>45190</v>
      </c>
      <c r="E1022" s="1" t="n">
        <v>46319</v>
      </c>
      <c r="F1022" t="inlineStr">
        <is>
          <t>JÄMTLANDS LÄN</t>
        </is>
      </c>
      <c r="G1022" t="inlineStr">
        <is>
          <t>RAGUNDA</t>
        </is>
      </c>
      <c r="H1022" t="inlineStr">
        <is>
          <t>SCA</t>
        </is>
      </c>
      <c r="I1022" t="n">
        <v>5.2</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27777-2022</t>
        </is>
      </c>
      <c r="B1023" t="inlineStr">
        <is>
          <t>avverkningsanmälan</t>
        </is>
      </c>
      <c r="C1023" t="inlineStr">
        <is>
          <t>Föryngringsavverkning</t>
        </is>
      </c>
      <c r="D1023" s="1" t="n">
        <v>44743</v>
      </c>
      <c r="E1023" s="1" t="n">
        <v>46319</v>
      </c>
      <c r="F1023" t="inlineStr">
        <is>
          <t>JÄMTLANDS LÄN</t>
        </is>
      </c>
      <c r="G1023" t="inlineStr">
        <is>
          <t>RAGUNDA</t>
        </is>
      </c>
      <c r="I1023" t="n">
        <v>1.5</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51245-2024</t>
        </is>
      </c>
      <c r="B1024" t="inlineStr">
        <is>
          <t>avverkningsanmälan</t>
        </is>
      </c>
      <c r="C1024" t="inlineStr">
        <is>
          <t>Föryngringsavverkning</t>
        </is>
      </c>
      <c r="D1024" s="1" t="n">
        <v>45603</v>
      </c>
      <c r="E1024" s="1" t="n">
        <v>46319</v>
      </c>
      <c r="F1024" t="inlineStr">
        <is>
          <t>JÄMTLANDS LÄN</t>
        </is>
      </c>
      <c r="G1024" t="inlineStr">
        <is>
          <t>RAGUNDA</t>
        </is>
      </c>
      <c r="I1024" t="n">
        <v>0.9</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61923-2024</t>
        </is>
      </c>
      <c r="B1025" t="inlineStr">
        <is>
          <t>avverkningsanmälan</t>
        </is>
      </c>
      <c r="C1025" t="inlineStr">
        <is>
          <t>Föryngringsavverkning</t>
        </is>
      </c>
      <c r="D1025" s="1" t="n">
        <v>45653</v>
      </c>
      <c r="E1025" s="1" t="n">
        <v>46319</v>
      </c>
      <c r="F1025" t="inlineStr">
        <is>
          <t>JÄMTLANDS LÄN</t>
        </is>
      </c>
      <c r="G1025" t="inlineStr">
        <is>
          <t>RAGUNDA</t>
        </is>
      </c>
      <c r="H1025" t="inlineStr">
        <is>
          <t>SCA</t>
        </is>
      </c>
      <c r="I1025" t="n">
        <v>11.1</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50503-2024</t>
        </is>
      </c>
      <c r="B1026" t="inlineStr">
        <is>
          <t>avverkningsanmälan</t>
        </is>
      </c>
      <c r="C1026" t="inlineStr">
        <is>
          <t>Avverkning för att bevara och utveckla /försöksver</t>
        </is>
      </c>
      <c r="D1026" s="1" t="n">
        <v>45601</v>
      </c>
      <c r="E1026" s="1" t="n">
        <v>46319</v>
      </c>
      <c r="F1026" t="inlineStr">
        <is>
          <t>JÄMTLANDS LÄN</t>
        </is>
      </c>
      <c r="G1026" t="inlineStr">
        <is>
          <t>RAGUNDA</t>
        </is>
      </c>
      <c r="H1026" t="inlineStr">
        <is>
          <t>SCA</t>
        </is>
      </c>
      <c r="I1026" t="n">
        <v>5.2</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59556-2024</t>
        </is>
      </c>
      <c r="B1027" t="inlineStr">
        <is>
          <t>avverkningsanmälan</t>
        </is>
      </c>
      <c r="C1027" t="inlineStr">
        <is>
          <t>Föryngringsavverkning</t>
        </is>
      </c>
      <c r="D1027" s="1" t="n">
        <v>45638</v>
      </c>
      <c r="E1027" s="1" t="n">
        <v>46319</v>
      </c>
      <c r="F1027" t="inlineStr">
        <is>
          <t>JÄMTLANDS LÄN</t>
        </is>
      </c>
      <c r="G1027" t="inlineStr">
        <is>
          <t>RAGUNDA</t>
        </is>
      </c>
      <c r="H1027" t="inlineStr">
        <is>
          <t>SCA</t>
        </is>
      </c>
      <c r="I1027" t="n">
        <v>1.7</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21662-2023</t>
        </is>
      </c>
      <c r="B1028" t="inlineStr">
        <is>
          <t>avverkningsanmälan</t>
        </is>
      </c>
      <c r="C1028" t="inlineStr">
        <is>
          <t>Föryngringsavverkning</t>
        </is>
      </c>
      <c r="D1028" s="1" t="n">
        <v>45063</v>
      </c>
      <c r="E1028" s="1" t="n">
        <v>46319</v>
      </c>
      <c r="F1028" t="inlineStr">
        <is>
          <t>JÄMTLANDS LÄN</t>
        </is>
      </c>
      <c r="G1028" t="inlineStr">
        <is>
          <t>RAGUNDA</t>
        </is>
      </c>
      <c r="I1028" t="n">
        <v>1.8</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5357-2025</t>
        </is>
      </c>
      <c r="B1029" t="inlineStr">
        <is>
          <t>avverkningsanmälan</t>
        </is>
      </c>
      <c r="C1029" t="inlineStr">
        <is>
          <t>Föryngringsavverkning</t>
        </is>
      </c>
      <c r="D1029" s="1" t="n">
        <v>45692</v>
      </c>
      <c r="E1029" s="1" t="n">
        <v>46319</v>
      </c>
      <c r="F1029" t="inlineStr">
        <is>
          <t>JÄMTLANDS LÄN</t>
        </is>
      </c>
      <c r="G1029" t="inlineStr">
        <is>
          <t>RAGUNDA</t>
        </is>
      </c>
      <c r="H1029" t="inlineStr">
        <is>
          <t>SCA</t>
        </is>
      </c>
      <c r="I1029" t="n">
        <v>5.4</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45631-2024</t>
        </is>
      </c>
      <c r="B1030" t="inlineStr">
        <is>
          <t>avverkningsanmälan</t>
        </is>
      </c>
      <c r="C1030" t="inlineStr">
        <is>
          <t>Föryngringsavverkning</t>
        </is>
      </c>
      <c r="D1030" s="1" t="n">
        <v>45579</v>
      </c>
      <c r="E1030" s="1" t="n">
        <v>46319</v>
      </c>
      <c r="F1030" t="inlineStr">
        <is>
          <t>JÄMTLANDS LÄN</t>
        </is>
      </c>
      <c r="G1030" t="inlineStr">
        <is>
          <t>RAGUNDA</t>
        </is>
      </c>
      <c r="I1030" t="n">
        <v>15.1</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8802-2022</t>
        </is>
      </c>
      <c r="B1031" t="inlineStr">
        <is>
          <t>avverkningsanmälan</t>
        </is>
      </c>
      <c r="C1031" t="inlineStr">
        <is>
          <t>Föryngringsavverkning</t>
        </is>
      </c>
      <c r="D1031" s="1" t="n">
        <v>44614</v>
      </c>
      <c r="E1031" s="1" t="n">
        <v>46319</v>
      </c>
      <c r="F1031" t="inlineStr">
        <is>
          <t>JÄMTLANDS LÄN</t>
        </is>
      </c>
      <c r="G1031" t="inlineStr">
        <is>
          <t>RAGUNDA</t>
        </is>
      </c>
      <c r="I1031" t="n">
        <v>2.8</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20987-2023</t>
        </is>
      </c>
      <c r="B1032" t="inlineStr">
        <is>
          <t>avverkningsanmälan</t>
        </is>
      </c>
      <c r="C1032" t="inlineStr">
        <is>
          <t>Avverkning för annat ändamål</t>
        </is>
      </c>
      <c r="D1032" s="1" t="n">
        <v>45056</v>
      </c>
      <c r="E1032" s="1" t="n">
        <v>46319</v>
      </c>
      <c r="F1032" t="inlineStr">
        <is>
          <t>JÄMTLANDS LÄN</t>
        </is>
      </c>
      <c r="G1032" t="inlineStr">
        <is>
          <t>RAGUNDA</t>
        </is>
      </c>
      <c r="I1032" t="n">
        <v>1.1</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20994-2023</t>
        </is>
      </c>
      <c r="B1033" t="inlineStr">
        <is>
          <t>avverkningsanmälan</t>
        </is>
      </c>
      <c r="C1033" t="inlineStr">
        <is>
          <t>Avverkning för annat ändamål</t>
        </is>
      </c>
      <c r="D1033" s="1" t="n">
        <v>45056</v>
      </c>
      <c r="E1033" s="1" t="n">
        <v>46319</v>
      </c>
      <c r="F1033" t="inlineStr">
        <is>
          <t>JÄMTLANDS LÄN</t>
        </is>
      </c>
      <c r="G1033" t="inlineStr">
        <is>
          <t>RAGUNDA</t>
        </is>
      </c>
      <c r="I1033" t="n">
        <v>1.3</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6490-2022</t>
        </is>
      </c>
      <c r="B1034" t="inlineStr">
        <is>
          <t>avverkningsanmälan</t>
        </is>
      </c>
      <c r="C1034" t="inlineStr">
        <is>
          <t>Föryngringsavverkning</t>
        </is>
      </c>
      <c r="D1034" s="1" t="n">
        <v>44601</v>
      </c>
      <c r="E1034" s="1" t="n">
        <v>46319</v>
      </c>
      <c r="F1034" t="inlineStr">
        <is>
          <t>JÄMTLANDS LÄN</t>
        </is>
      </c>
      <c r="G1034" t="inlineStr">
        <is>
          <t>RAGUNDA</t>
        </is>
      </c>
      <c r="I1034" t="n">
        <v>3.8</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23287-2024</t>
        </is>
      </c>
      <c r="B1035" t="inlineStr">
        <is>
          <t>avverkningsanmälan</t>
        </is>
      </c>
      <c r="C1035" t="inlineStr">
        <is>
          <t>Föryngringsavverkning</t>
        </is>
      </c>
      <c r="D1035" s="1" t="n">
        <v>45453</v>
      </c>
      <c r="E1035" s="1" t="n">
        <v>46319</v>
      </c>
      <c r="F1035" t="inlineStr">
        <is>
          <t>JÄMTLANDS LÄN</t>
        </is>
      </c>
      <c r="G1035" t="inlineStr">
        <is>
          <t>RAGUNDA</t>
        </is>
      </c>
      <c r="I1035" t="n">
        <v>3.1</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1325-2025</t>
        </is>
      </c>
      <c r="B1036" t="inlineStr">
        <is>
          <t>avverkningsanmälan</t>
        </is>
      </c>
      <c r="C1036" t="inlineStr">
        <is>
          <t>Föryngringsavverkning</t>
        </is>
      </c>
      <c r="D1036" s="1" t="n">
        <v>45667</v>
      </c>
      <c r="E1036" s="1" t="n">
        <v>46319</v>
      </c>
      <c r="F1036" t="inlineStr">
        <is>
          <t>JÄMTLANDS LÄN</t>
        </is>
      </c>
      <c r="G1036" t="inlineStr">
        <is>
          <t>RAGUNDA</t>
        </is>
      </c>
      <c r="H1036" t="inlineStr">
        <is>
          <t>SCA</t>
        </is>
      </c>
      <c r="I1036" t="n">
        <v>20.2</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1326-2025</t>
        </is>
      </c>
      <c r="B1037" t="inlineStr">
        <is>
          <t>avverkningsanmälan</t>
        </is>
      </c>
      <c r="C1037" t="inlineStr">
        <is>
          <t>Föryngringsavverkning</t>
        </is>
      </c>
      <c r="D1037" s="1" t="n">
        <v>45667</v>
      </c>
      <c r="E1037" s="1" t="n">
        <v>46319</v>
      </c>
      <c r="F1037" t="inlineStr">
        <is>
          <t>JÄMTLANDS LÄN</t>
        </is>
      </c>
      <c r="G1037" t="inlineStr">
        <is>
          <t>RAGUNDA</t>
        </is>
      </c>
      <c r="H1037" t="inlineStr">
        <is>
          <t>SCA</t>
        </is>
      </c>
      <c r="I1037" t="n">
        <v>2.5</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45952-2023</t>
        </is>
      </c>
      <c r="B1038" t="inlineStr">
        <is>
          <t>avverkningsanmälan</t>
        </is>
      </c>
      <c r="C1038" t="inlineStr">
        <is>
          <t>Föryngringsavverkning</t>
        </is>
      </c>
      <c r="D1038" s="1" t="n">
        <v>45195</v>
      </c>
      <c r="E1038" s="1" t="n">
        <v>46319</v>
      </c>
      <c r="F1038" t="inlineStr">
        <is>
          <t>JÄMTLANDS LÄN</t>
        </is>
      </c>
      <c r="G1038" t="inlineStr">
        <is>
          <t>RAGUNDA</t>
        </is>
      </c>
      <c r="H1038" t="inlineStr">
        <is>
          <t>SCA</t>
        </is>
      </c>
      <c r="I1038" t="n">
        <v>2.8</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45954-2023</t>
        </is>
      </c>
      <c r="B1039" t="inlineStr">
        <is>
          <t>avverkningsanmälan</t>
        </is>
      </c>
      <c r="C1039" t="inlineStr">
        <is>
          <t>Avverkning för att bevara och utveckla /försöksver</t>
        </is>
      </c>
      <c r="D1039" s="1" t="n">
        <v>45195</v>
      </c>
      <c r="E1039" s="1" t="n">
        <v>46319</v>
      </c>
      <c r="F1039" t="inlineStr">
        <is>
          <t>JÄMTLANDS LÄN</t>
        </is>
      </c>
      <c r="G1039" t="inlineStr">
        <is>
          <t>RAGUNDA</t>
        </is>
      </c>
      <c r="H1039" t="inlineStr">
        <is>
          <t>SCA</t>
        </is>
      </c>
      <c r="I1039" t="n">
        <v>1.5</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45955-2023</t>
        </is>
      </c>
      <c r="B1040" t="inlineStr">
        <is>
          <t>avverkningsanmälan</t>
        </is>
      </c>
      <c r="C1040" t="inlineStr">
        <is>
          <t>Avverkning för att bevara och utveckla /försöksver</t>
        </is>
      </c>
      <c r="D1040" s="1" t="n">
        <v>45195</v>
      </c>
      <c r="E1040" s="1" t="n">
        <v>46319</v>
      </c>
      <c r="F1040" t="inlineStr">
        <is>
          <t>JÄMTLANDS LÄN</t>
        </is>
      </c>
      <c r="G1040" t="inlineStr">
        <is>
          <t>RAGUNDA</t>
        </is>
      </c>
      <c r="H1040" t="inlineStr">
        <is>
          <t>SCA</t>
        </is>
      </c>
      <c r="I1040" t="n">
        <v>2</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8787-2022</t>
        </is>
      </c>
      <c r="B1041" t="inlineStr">
        <is>
          <t>avverkningsanmälan</t>
        </is>
      </c>
      <c r="C1041" t="inlineStr">
        <is>
          <t>Föryngringsavverkning</t>
        </is>
      </c>
      <c r="D1041" s="1" t="n">
        <v>44614</v>
      </c>
      <c r="E1041" s="1" t="n">
        <v>46319</v>
      </c>
      <c r="F1041" t="inlineStr">
        <is>
          <t>JÄMTLANDS LÄN</t>
        </is>
      </c>
      <c r="G1041" t="inlineStr">
        <is>
          <t>RAGUNDA</t>
        </is>
      </c>
      <c r="I1041" t="n">
        <v>6.4</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45253-2023</t>
        </is>
      </c>
      <c r="B1042" t="inlineStr">
        <is>
          <t>avverkningsanmälan</t>
        </is>
      </c>
      <c r="C1042" t="inlineStr">
        <is>
          <t>Föryngringsavverkning</t>
        </is>
      </c>
      <c r="D1042" s="1" t="n">
        <v>45187</v>
      </c>
      <c r="E1042" s="1" t="n">
        <v>46319</v>
      </c>
      <c r="F1042" t="inlineStr">
        <is>
          <t>JÄMTLANDS LÄN</t>
        </is>
      </c>
      <c r="G1042" t="inlineStr">
        <is>
          <t>RAGUNDA</t>
        </is>
      </c>
      <c r="I1042" t="n">
        <v>3.3</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36046-2023</t>
        </is>
      </c>
      <c r="B1043" t="inlineStr">
        <is>
          <t>avverkningsanmälan</t>
        </is>
      </c>
      <c r="C1043" t="inlineStr">
        <is>
          <t>Föryngringsavverkning</t>
        </is>
      </c>
      <c r="D1043" s="1" t="n">
        <v>45148</v>
      </c>
      <c r="E1043" s="1" t="n">
        <v>46319</v>
      </c>
      <c r="F1043" t="inlineStr">
        <is>
          <t>JÄMTLANDS LÄN</t>
        </is>
      </c>
      <c r="G1043" t="inlineStr">
        <is>
          <t>RAGUNDA</t>
        </is>
      </c>
      <c r="I1043" t="n">
        <v>1.9</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18193-2022</t>
        </is>
      </c>
      <c r="B1044" t="inlineStr">
        <is>
          <t>avverkningsanmälan</t>
        </is>
      </c>
      <c r="C1044" t="inlineStr">
        <is>
          <t>Avverkning för att bevara och utveckla /försöksver</t>
        </is>
      </c>
      <c r="D1044" s="1" t="n">
        <v>44684</v>
      </c>
      <c r="E1044" s="1" t="n">
        <v>46319</v>
      </c>
      <c r="F1044" t="inlineStr">
        <is>
          <t>JÄMTLANDS LÄN</t>
        </is>
      </c>
      <c r="G1044" t="inlineStr">
        <is>
          <t>RAGUNDA</t>
        </is>
      </c>
      <c r="H1044" t="inlineStr">
        <is>
          <t>SCA</t>
        </is>
      </c>
      <c r="I1044" t="n">
        <v>3.8</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34323-2023</t>
        </is>
      </c>
      <c r="B1045" t="inlineStr">
        <is>
          <t>avverkningsanmälan</t>
        </is>
      </c>
      <c r="C1045" t="inlineStr">
        <is>
          <t>Avverkning för att bevara och utveckla /försöksver</t>
        </is>
      </c>
      <c r="D1045" s="1" t="n">
        <v>45138</v>
      </c>
      <c r="E1045" s="1" t="n">
        <v>46319</v>
      </c>
      <c r="F1045" t="inlineStr">
        <is>
          <t>JÄMTLANDS LÄN</t>
        </is>
      </c>
      <c r="G1045" t="inlineStr">
        <is>
          <t>RAGUNDA</t>
        </is>
      </c>
      <c r="H1045" t="inlineStr">
        <is>
          <t>SCA</t>
        </is>
      </c>
      <c r="I1045" t="n">
        <v>2.8</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45953-2023</t>
        </is>
      </c>
      <c r="B1046" t="inlineStr">
        <is>
          <t>avverkningsanmälan</t>
        </is>
      </c>
      <c r="C1046" t="inlineStr">
        <is>
          <t>Föryngringsavverkning</t>
        </is>
      </c>
      <c r="D1046" s="1" t="n">
        <v>45195</v>
      </c>
      <c r="E1046" s="1" t="n">
        <v>46319</v>
      </c>
      <c r="F1046" t="inlineStr">
        <is>
          <t>JÄMTLANDS LÄN</t>
        </is>
      </c>
      <c r="G1046" t="inlineStr">
        <is>
          <t>RAGUNDA</t>
        </is>
      </c>
      <c r="H1046" t="inlineStr">
        <is>
          <t>SCA</t>
        </is>
      </c>
      <c r="I1046" t="n">
        <v>1.5</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30824-2023</t>
        </is>
      </c>
      <c r="B1047" t="inlineStr">
        <is>
          <t>avverkningsanmälan</t>
        </is>
      </c>
      <c r="C1047" t="inlineStr">
        <is>
          <t>Avverkning för att bevara och utveckla /försöksver</t>
        </is>
      </c>
      <c r="D1047" s="1" t="n">
        <v>45112</v>
      </c>
      <c r="E1047" s="1" t="n">
        <v>46319</v>
      </c>
      <c r="F1047" t="inlineStr">
        <is>
          <t>JÄMTLANDS LÄN</t>
        </is>
      </c>
      <c r="G1047" t="inlineStr">
        <is>
          <t>RAGUNDA</t>
        </is>
      </c>
      <c r="H1047" t="inlineStr">
        <is>
          <t>SCA</t>
        </is>
      </c>
      <c r="I1047" t="n">
        <v>0.9</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31506-2024</t>
        </is>
      </c>
      <c r="B1048" t="inlineStr">
        <is>
          <t>avverkningsanmälan</t>
        </is>
      </c>
      <c r="C1048" t="inlineStr">
        <is>
          <t>Avverkning för att bevara och utveckla /försöksver</t>
        </is>
      </c>
      <c r="D1048" s="1" t="n">
        <v>45505</v>
      </c>
      <c r="E1048" s="1" t="n">
        <v>46319</v>
      </c>
      <c r="F1048" t="inlineStr">
        <is>
          <t>JÄMTLANDS LÄN</t>
        </is>
      </c>
      <c r="G1048" t="inlineStr">
        <is>
          <t>RAGUNDA</t>
        </is>
      </c>
      <c r="H1048" t="inlineStr">
        <is>
          <t>SCA</t>
        </is>
      </c>
      <c r="I1048" t="n">
        <v>2.2</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55222-2024</t>
        </is>
      </c>
      <c r="B1049" t="inlineStr">
        <is>
          <t>avverkningsanmälan</t>
        </is>
      </c>
      <c r="C1049" t="inlineStr">
        <is>
          <t>Föryngringsavverkning</t>
        </is>
      </c>
      <c r="D1049" s="1" t="n">
        <v>45621</v>
      </c>
      <c r="E1049" s="1" t="n">
        <v>46319</v>
      </c>
      <c r="F1049" t="inlineStr">
        <is>
          <t>JÄMTLANDS LÄN</t>
        </is>
      </c>
      <c r="G1049" t="inlineStr">
        <is>
          <t>RAGUNDA</t>
        </is>
      </c>
      <c r="H1049" t="inlineStr">
        <is>
          <t>SCA</t>
        </is>
      </c>
      <c r="I1049" t="n">
        <v>0.8</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44755-2024</t>
        </is>
      </c>
      <c r="B1050" t="inlineStr">
        <is>
          <t>avverkningsanmälan</t>
        </is>
      </c>
      <c r="C1050" t="inlineStr">
        <is>
          <t>Föryngringsavverkning</t>
        </is>
      </c>
      <c r="D1050" s="1" t="n">
        <v>45574</v>
      </c>
      <c r="E1050" s="1" t="n">
        <v>46319</v>
      </c>
      <c r="F1050" t="inlineStr">
        <is>
          <t>JÄMTLANDS LÄN</t>
        </is>
      </c>
      <c r="G1050" t="inlineStr">
        <is>
          <t>RAGUNDA</t>
        </is>
      </c>
      <c r="I1050" t="n">
        <v>4.4</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44766-2024</t>
        </is>
      </c>
      <c r="B1051" t="inlineStr">
        <is>
          <t>avverkningsanmälan</t>
        </is>
      </c>
      <c r="C1051" t="inlineStr">
        <is>
          <t>Föryngringsavverkning</t>
        </is>
      </c>
      <c r="D1051" s="1" t="n">
        <v>45574</v>
      </c>
      <c r="E1051" s="1" t="n">
        <v>46319</v>
      </c>
      <c r="F1051" t="inlineStr">
        <is>
          <t>JÄMTLANDS LÄN</t>
        </is>
      </c>
      <c r="G1051" t="inlineStr">
        <is>
          <t>RAGUNDA</t>
        </is>
      </c>
      <c r="I1051" t="n">
        <v>3.2</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44778-2024</t>
        </is>
      </c>
      <c r="B1052" t="inlineStr">
        <is>
          <t>avverkningsanmälan</t>
        </is>
      </c>
      <c r="C1052" t="inlineStr">
        <is>
          <t>Föryngringsavverkning</t>
        </is>
      </c>
      <c r="D1052" s="1" t="n">
        <v>45574</v>
      </c>
      <c r="E1052" s="1" t="n">
        <v>46319</v>
      </c>
      <c r="F1052" t="inlineStr">
        <is>
          <t>JÄMTLANDS LÄN</t>
        </is>
      </c>
      <c r="G1052" t="inlineStr">
        <is>
          <t>RAGUNDA</t>
        </is>
      </c>
      <c r="I1052" t="n">
        <v>5.5</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8795-2022</t>
        </is>
      </c>
      <c r="B1053" t="inlineStr">
        <is>
          <t>avverkningsanmälan</t>
        </is>
      </c>
      <c r="C1053" t="inlineStr">
        <is>
          <t>Föryngringsavverkning</t>
        </is>
      </c>
      <c r="D1053" s="1" t="n">
        <v>44614</v>
      </c>
      <c r="E1053" s="1" t="n">
        <v>46319</v>
      </c>
      <c r="F1053" t="inlineStr">
        <is>
          <t>JÄMTLANDS LÄN</t>
        </is>
      </c>
      <c r="G1053" t="inlineStr">
        <is>
          <t>RAGUNDA</t>
        </is>
      </c>
      <c r="I1053" t="n">
        <v>3.9</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14905-2022</t>
        </is>
      </c>
      <c r="B1054" t="inlineStr">
        <is>
          <t>avverkningsanmälan</t>
        </is>
      </c>
      <c r="C1054" t="inlineStr">
        <is>
          <t>Föryngringsavverkning</t>
        </is>
      </c>
      <c r="D1054" s="1" t="n">
        <v>44656</v>
      </c>
      <c r="E1054" s="1" t="n">
        <v>46319</v>
      </c>
      <c r="F1054" t="inlineStr">
        <is>
          <t>JÄMTLANDS LÄN</t>
        </is>
      </c>
      <c r="G1054" t="inlineStr">
        <is>
          <t>RAGUNDA</t>
        </is>
      </c>
      <c r="H1054" t="inlineStr">
        <is>
          <t>SCA</t>
        </is>
      </c>
      <c r="I1054" t="n">
        <v>1.2</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6257-2025</t>
        </is>
      </c>
      <c r="B1055" t="inlineStr">
        <is>
          <t>avverkningsanmälan</t>
        </is>
      </c>
      <c r="C1055" t="inlineStr">
        <is>
          <t>Föryngringsavverkning</t>
        </is>
      </c>
      <c r="D1055" s="1" t="n">
        <v>45698</v>
      </c>
      <c r="E1055" s="1" t="n">
        <v>46319</v>
      </c>
      <c r="F1055" t="inlineStr">
        <is>
          <t>JÄMTLANDS LÄN</t>
        </is>
      </c>
      <c r="G1055" t="inlineStr">
        <is>
          <t>RAGUNDA</t>
        </is>
      </c>
      <c r="H1055" t="inlineStr">
        <is>
          <t>SCA</t>
        </is>
      </c>
      <c r="I1055" t="n">
        <v>7</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59286-2023</t>
        </is>
      </c>
      <c r="B1056" t="inlineStr">
        <is>
          <t>avverkningsanmälan</t>
        </is>
      </c>
      <c r="C1056" t="inlineStr">
        <is>
          <t>Föryngringsavverkning</t>
        </is>
      </c>
      <c r="D1056" s="1" t="n">
        <v>45253</v>
      </c>
      <c r="E1056" s="1" t="n">
        <v>46319</v>
      </c>
      <c r="F1056" t="inlineStr">
        <is>
          <t>JÄMTLANDS LÄN</t>
        </is>
      </c>
      <c r="G1056" t="inlineStr">
        <is>
          <t>RAGUNDA</t>
        </is>
      </c>
      <c r="I1056" t="n">
        <v>1</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7284-2025</t>
        </is>
      </c>
      <c r="B1057" t="inlineStr">
        <is>
          <t>avverkningsanmälan</t>
        </is>
      </c>
      <c r="C1057" t="inlineStr">
        <is>
          <t>Föryngringsavverkning</t>
        </is>
      </c>
      <c r="D1057" s="1" t="n">
        <v>45702</v>
      </c>
      <c r="E1057" s="1" t="n">
        <v>46319</v>
      </c>
      <c r="F1057" t="inlineStr">
        <is>
          <t>JÄMTLANDS LÄN</t>
        </is>
      </c>
      <c r="G1057" t="inlineStr">
        <is>
          <t>RAGUNDA</t>
        </is>
      </c>
      <c r="H1057" t="inlineStr">
        <is>
          <t>SCA</t>
        </is>
      </c>
      <c r="I1057" t="n">
        <v>0.3</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35265-2023</t>
        </is>
      </c>
      <c r="B1058" t="inlineStr">
        <is>
          <t>avverkningsanmälan</t>
        </is>
      </c>
      <c r="C1058" t="inlineStr">
        <is>
          <t>Avverkning för att bevara och utveckla /försöksver</t>
        </is>
      </c>
      <c r="D1058" s="1" t="n">
        <v>45145</v>
      </c>
      <c r="E1058" s="1" t="n">
        <v>46319</v>
      </c>
      <c r="F1058" t="inlineStr">
        <is>
          <t>JÄMTLANDS LÄN</t>
        </is>
      </c>
      <c r="G1058" t="inlineStr">
        <is>
          <t>RAGUNDA</t>
        </is>
      </c>
      <c r="H1058" t="inlineStr">
        <is>
          <t>SCA</t>
        </is>
      </c>
      <c r="I1058" t="n">
        <v>2.6</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31435-2022</t>
        </is>
      </c>
      <c r="B1059" t="inlineStr">
        <is>
          <t>avverkningsanmälan</t>
        </is>
      </c>
      <c r="C1059" t="inlineStr">
        <is>
          <t>Föryngringsavverkning</t>
        </is>
      </c>
      <c r="D1059" s="1" t="n">
        <v>44774</v>
      </c>
      <c r="E1059" s="1" t="n">
        <v>46319</v>
      </c>
      <c r="F1059" t="inlineStr">
        <is>
          <t>JÄMTLANDS LÄN</t>
        </is>
      </c>
      <c r="G1059" t="inlineStr">
        <is>
          <t>RAGUNDA</t>
        </is>
      </c>
      <c r="I1059" t="n">
        <v>1.6</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16529-2022</t>
        </is>
      </c>
      <c r="B1060" t="inlineStr">
        <is>
          <t>avverkningsanmälan</t>
        </is>
      </c>
      <c r="C1060" t="inlineStr">
        <is>
          <t>Föryngringsavverkning</t>
        </is>
      </c>
      <c r="D1060" s="1" t="n">
        <v>44671</v>
      </c>
      <c r="E1060" s="1" t="n">
        <v>46319</v>
      </c>
      <c r="F1060" t="inlineStr">
        <is>
          <t>JÄMTLANDS LÄN</t>
        </is>
      </c>
      <c r="G1060" t="inlineStr">
        <is>
          <t>RAGUNDA</t>
        </is>
      </c>
      <c r="I1060" t="n">
        <v>1.5</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40269-2022</t>
        </is>
      </c>
      <c r="B1061" t="inlineStr">
        <is>
          <t>avverkningsanmälan</t>
        </is>
      </c>
      <c r="C1061" t="inlineStr">
        <is>
          <t>Föryngringsavverkning</t>
        </is>
      </c>
      <c r="D1061" s="1" t="n">
        <v>44820</v>
      </c>
      <c r="E1061" s="1" t="n">
        <v>46319</v>
      </c>
      <c r="F1061" t="inlineStr">
        <is>
          <t>JÄMTLANDS LÄN</t>
        </is>
      </c>
      <c r="G1061" t="inlineStr">
        <is>
          <t>RAGUNDA</t>
        </is>
      </c>
      <c r="H1061" t="inlineStr">
        <is>
          <t>SCA</t>
        </is>
      </c>
      <c r="I1061" t="n">
        <v>77.8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44536-2022</t>
        </is>
      </c>
      <c r="B1062" t="inlineStr">
        <is>
          <t>avverkningsanmälan</t>
        </is>
      </c>
      <c r="C1062" t="inlineStr">
        <is>
          <t>Föryngringsavverkning</t>
        </is>
      </c>
      <c r="D1062" s="1" t="n">
        <v>44839</v>
      </c>
      <c r="E1062" s="1" t="n">
        <v>46319</v>
      </c>
      <c r="F1062" t="inlineStr">
        <is>
          <t>JÄMTLANDS LÄN</t>
        </is>
      </c>
      <c r="G1062" t="inlineStr">
        <is>
          <t>RAGUNDA</t>
        </is>
      </c>
      <c r="I1062" t="n">
        <v>4</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36212-2023</t>
        </is>
      </c>
      <c r="B1063" t="inlineStr">
        <is>
          <t>avverkningsanmälan</t>
        </is>
      </c>
      <c r="C1063" t="inlineStr">
        <is>
          <t>Föryngringsavverkning</t>
        </is>
      </c>
      <c r="D1063" s="1" t="n">
        <v>45149</v>
      </c>
      <c r="E1063" s="1" t="n">
        <v>46319</v>
      </c>
      <c r="F1063" t="inlineStr">
        <is>
          <t>JÄMTLANDS LÄN</t>
        </is>
      </c>
      <c r="G1063" t="inlineStr">
        <is>
          <t>RAGUNDA</t>
        </is>
      </c>
      <c r="H1063" t="inlineStr">
        <is>
          <t>SCA</t>
        </is>
      </c>
      <c r="I1063" t="n">
        <v>0.7</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53860-2023</t>
        </is>
      </c>
      <c r="B1064" t="inlineStr">
        <is>
          <t>avverkningsanmälan</t>
        </is>
      </c>
      <c r="C1064" t="inlineStr">
        <is>
          <t>Föryngringsavverkning</t>
        </is>
      </c>
      <c r="D1064" s="1" t="n">
        <v>45224</v>
      </c>
      <c r="E1064" s="1" t="n">
        <v>46319</v>
      </c>
      <c r="F1064" t="inlineStr">
        <is>
          <t>JÄMTLANDS LÄN</t>
        </is>
      </c>
      <c r="G1064" t="inlineStr">
        <is>
          <t>RAGUNDA</t>
        </is>
      </c>
      <c r="I1064" t="n">
        <v>3.3</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54599-2023</t>
        </is>
      </c>
      <c r="B1065" t="inlineStr">
        <is>
          <t>avverkningsanmälan</t>
        </is>
      </c>
      <c r="C1065" t="inlineStr">
        <is>
          <t>Föryngringsavverkning</t>
        </is>
      </c>
      <c r="D1065" s="1" t="n">
        <v>45233</v>
      </c>
      <c r="E1065" s="1" t="n">
        <v>46319</v>
      </c>
      <c r="F1065" t="inlineStr">
        <is>
          <t>JÄMTLANDS LÄN</t>
        </is>
      </c>
      <c r="G1065" t="inlineStr">
        <is>
          <t>RAGUNDA</t>
        </is>
      </c>
      <c r="I1065" t="n">
        <v>3.7</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10610-2024</t>
        </is>
      </c>
      <c r="B1066" t="inlineStr">
        <is>
          <t>avverkningsanmälan</t>
        </is>
      </c>
      <c r="C1066" t="inlineStr">
        <is>
          <t>Föryngringsavverkning</t>
        </is>
      </c>
      <c r="D1066" s="1" t="n">
        <v>45367</v>
      </c>
      <c r="E1066" s="1" t="n">
        <v>46319</v>
      </c>
      <c r="F1066" t="inlineStr">
        <is>
          <t>JÄMTLANDS LÄN</t>
        </is>
      </c>
      <c r="G1066" t="inlineStr">
        <is>
          <t>RAGUNDA</t>
        </is>
      </c>
      <c r="H1066" t="inlineStr">
        <is>
          <t>SCA</t>
        </is>
      </c>
      <c r="I1066" t="n">
        <v>8.699999999999999</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8779-2025</t>
        </is>
      </c>
      <c r="B1067" t="inlineStr">
        <is>
          <t>avverkningsanmälan</t>
        </is>
      </c>
      <c r="C1067" t="inlineStr">
        <is>
          <t>Föryngringsavverkning</t>
        </is>
      </c>
      <c r="D1067" s="1" t="n">
        <v>45712</v>
      </c>
      <c r="E1067" s="1" t="n">
        <v>46319</v>
      </c>
      <c r="F1067" t="inlineStr">
        <is>
          <t>JÄMTLANDS LÄN</t>
        </is>
      </c>
      <c r="G1067" t="inlineStr">
        <is>
          <t>RAGUNDA</t>
        </is>
      </c>
      <c r="H1067" t="inlineStr">
        <is>
          <t>SCA</t>
        </is>
      </c>
      <c r="I1067" t="n">
        <v>4.9</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57078-2023</t>
        </is>
      </c>
      <c r="B1068" t="inlineStr">
        <is>
          <t>avverkningsanmälan</t>
        </is>
      </c>
      <c r="C1068" t="inlineStr">
        <is>
          <t>Föryngringsavverkning</t>
        </is>
      </c>
      <c r="D1068" s="1" t="n">
        <v>45244</v>
      </c>
      <c r="E1068" s="1" t="n">
        <v>46319</v>
      </c>
      <c r="F1068" t="inlineStr">
        <is>
          <t>JÄMTLANDS LÄN</t>
        </is>
      </c>
      <c r="G1068" t="inlineStr">
        <is>
          <t>RAGUNDA</t>
        </is>
      </c>
      <c r="H1068" t="inlineStr">
        <is>
          <t>SCA</t>
        </is>
      </c>
      <c r="I1068" t="n">
        <v>1.7</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12976-2025</t>
        </is>
      </c>
      <c r="B1069" t="inlineStr">
        <is>
          <t>avverkningsanmälan</t>
        </is>
      </c>
      <c r="C1069" t="inlineStr">
        <is>
          <t>Föryngringsavverkning</t>
        </is>
      </c>
      <c r="D1069" s="1" t="n">
        <v>45734</v>
      </c>
      <c r="E1069" s="1" t="n">
        <v>46319</v>
      </c>
      <c r="F1069" t="inlineStr">
        <is>
          <t>JÄMTLANDS LÄN</t>
        </is>
      </c>
      <c r="G1069" t="inlineStr">
        <is>
          <t>RAGUNDA</t>
        </is>
      </c>
      <c r="I1069" t="n">
        <v>24.2</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56287-2023</t>
        </is>
      </c>
      <c r="B1070" t="inlineStr">
        <is>
          <t>avverkningsanmälan</t>
        </is>
      </c>
      <c r="C1070" t="inlineStr">
        <is>
          <t>Avverkning för att bevara och utveckla /försöksver</t>
        </is>
      </c>
      <c r="D1070" s="1" t="n">
        <v>45241</v>
      </c>
      <c r="E1070" s="1" t="n">
        <v>46319</v>
      </c>
      <c r="F1070" t="inlineStr">
        <is>
          <t>JÄMTLANDS LÄN</t>
        </is>
      </c>
      <c r="G1070" t="inlineStr">
        <is>
          <t>RAGUNDA</t>
        </is>
      </c>
      <c r="H1070" t="inlineStr">
        <is>
          <t>SCA</t>
        </is>
      </c>
      <c r="I1070" t="n">
        <v>2.1</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28081-2022</t>
        </is>
      </c>
      <c r="B1071" t="inlineStr">
        <is>
          <t>avverkningsanmälan</t>
        </is>
      </c>
      <c r="C1071" t="inlineStr">
        <is>
          <t>Avverkning för annat ändamål</t>
        </is>
      </c>
      <c r="D1071" s="1" t="n">
        <v>44746</v>
      </c>
      <c r="E1071" s="1" t="n">
        <v>46319</v>
      </c>
      <c r="F1071" t="inlineStr">
        <is>
          <t>JÄMTLANDS LÄN</t>
        </is>
      </c>
      <c r="G1071" t="inlineStr">
        <is>
          <t>RAGUNDA</t>
        </is>
      </c>
      <c r="I1071" t="n">
        <v>7.2</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37324-2022</t>
        </is>
      </c>
      <c r="B1072" t="inlineStr">
        <is>
          <t>avverkningsanmälan</t>
        </is>
      </c>
      <c r="C1072" t="inlineStr">
        <is>
          <t>Föryngringsavverkning</t>
        </is>
      </c>
      <c r="D1072" s="1" t="n">
        <v>44806</v>
      </c>
      <c r="E1072" s="1" t="n">
        <v>46319</v>
      </c>
      <c r="F1072" t="inlineStr">
        <is>
          <t>JÄMTLANDS LÄN</t>
        </is>
      </c>
      <c r="G1072" t="inlineStr">
        <is>
          <t>RAGUNDA</t>
        </is>
      </c>
      <c r="I1072" t="n">
        <v>2.3</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18984-2023</t>
        </is>
      </c>
      <c r="B1073" t="inlineStr">
        <is>
          <t>avverkningsanmälan</t>
        </is>
      </c>
      <c r="C1073" t="inlineStr">
        <is>
          <t>Föryngringsavverkning</t>
        </is>
      </c>
      <c r="D1073" s="1" t="n">
        <v>45044</v>
      </c>
      <c r="E1073" s="1" t="n">
        <v>46319</v>
      </c>
      <c r="F1073" t="inlineStr">
        <is>
          <t>JÄMTLANDS LÄN</t>
        </is>
      </c>
      <c r="G1073" t="inlineStr">
        <is>
          <t>RAGUNDA</t>
        </is>
      </c>
      <c r="H1073" t="inlineStr">
        <is>
          <t>SCA</t>
        </is>
      </c>
      <c r="I1073" t="n">
        <v>1.3</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8241-2024</t>
        </is>
      </c>
      <c r="B1074" t="inlineStr">
        <is>
          <t>avverkningsanmälan</t>
        </is>
      </c>
      <c r="C1074" t="inlineStr">
        <is>
          <t>Avverkning för att bevara och utveckla /försöksver</t>
        </is>
      </c>
      <c r="D1074" s="1" t="n">
        <v>45351</v>
      </c>
      <c r="E1074" s="1" t="n">
        <v>46319</v>
      </c>
      <c r="F1074" t="inlineStr">
        <is>
          <t>JÄMTLANDS LÄN</t>
        </is>
      </c>
      <c r="G1074" t="inlineStr">
        <is>
          <t>RAGUNDA</t>
        </is>
      </c>
      <c r="H1074" t="inlineStr">
        <is>
          <t>SCA</t>
        </is>
      </c>
      <c r="I1074" t="n">
        <v>4.2</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53019-2023</t>
        </is>
      </c>
      <c r="B1075" t="inlineStr">
        <is>
          <t>avverkningsanmälan</t>
        </is>
      </c>
      <c r="C1075" t="inlineStr">
        <is>
          <t>Avverkning för annat ändamål</t>
        </is>
      </c>
      <c r="D1075" s="1" t="n">
        <v>45222</v>
      </c>
      <c r="E1075" s="1" t="n">
        <v>46319</v>
      </c>
      <c r="F1075" t="inlineStr">
        <is>
          <t>JÄMTLANDS LÄN</t>
        </is>
      </c>
      <c r="G1075" t="inlineStr">
        <is>
          <t>RAGUNDA</t>
        </is>
      </c>
      <c r="H1075" t="inlineStr">
        <is>
          <t>SCA</t>
        </is>
      </c>
      <c r="I1075" t="n">
        <v>1.7</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59996-2023</t>
        </is>
      </c>
      <c r="B1076" t="inlineStr">
        <is>
          <t>avverkningsanmälan</t>
        </is>
      </c>
      <c r="C1076" t="inlineStr">
        <is>
          <t>Föryngringsavverkning</t>
        </is>
      </c>
      <c r="D1076" s="1" t="n">
        <v>45257</v>
      </c>
      <c r="E1076" s="1" t="n">
        <v>46319</v>
      </c>
      <c r="F1076" t="inlineStr">
        <is>
          <t>JÄMTLANDS LÄN</t>
        </is>
      </c>
      <c r="G1076" t="inlineStr">
        <is>
          <t>RAGUNDA</t>
        </is>
      </c>
      <c r="I1076" t="n">
        <v>2.7</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1537-2024</t>
        </is>
      </c>
      <c r="B1077" t="inlineStr">
        <is>
          <t>avverkningsanmälan</t>
        </is>
      </c>
      <c r="C1077" t="inlineStr">
        <is>
          <t>Avverkning för annat ändamål</t>
        </is>
      </c>
      <c r="D1077" s="1" t="n">
        <v>45306</v>
      </c>
      <c r="E1077" s="1" t="n">
        <v>46319</v>
      </c>
      <c r="F1077" t="inlineStr">
        <is>
          <t>JÄMTLANDS LÄN</t>
        </is>
      </c>
      <c r="G1077" t="inlineStr">
        <is>
          <t>RAGUNDA</t>
        </is>
      </c>
      <c r="I1077" t="n">
        <v>0.2</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29257-2024</t>
        </is>
      </c>
      <c r="B1078" t="inlineStr">
        <is>
          <t>avverkningsanmälan</t>
        </is>
      </c>
      <c r="C1078" t="inlineStr">
        <is>
          <t>Avverkning för att bevara och utveckla /försöksver</t>
        </is>
      </c>
      <c r="D1078" s="1" t="n">
        <v>45482</v>
      </c>
      <c r="E1078" s="1" t="n">
        <v>46319</v>
      </c>
      <c r="F1078" t="inlineStr">
        <is>
          <t>JÄMTLANDS LÄN</t>
        </is>
      </c>
      <c r="G1078" t="inlineStr">
        <is>
          <t>RAGUNDA</t>
        </is>
      </c>
      <c r="H1078" t="inlineStr">
        <is>
          <t>SCA</t>
        </is>
      </c>
      <c r="I1078" t="n">
        <v>3.9</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20770-2024</t>
        </is>
      </c>
      <c r="B1079" t="inlineStr">
        <is>
          <t>avverkningsanmälan</t>
        </is>
      </c>
      <c r="C1079" t="inlineStr">
        <is>
          <t>Föryngringsavverkning</t>
        </is>
      </c>
      <c r="D1079" s="1" t="n">
        <v>45436</v>
      </c>
      <c r="E1079" s="1" t="n">
        <v>46319</v>
      </c>
      <c r="F1079" t="inlineStr">
        <is>
          <t>JÄMTLANDS LÄN</t>
        </is>
      </c>
      <c r="G1079" t="inlineStr">
        <is>
          <t>RAGUNDA</t>
        </is>
      </c>
      <c r="H1079" t="inlineStr">
        <is>
          <t>SCA</t>
        </is>
      </c>
      <c r="I1079" t="n">
        <v>0.9</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19383-2025</t>
        </is>
      </c>
      <c r="B1080" t="inlineStr">
        <is>
          <t>avverkningsanmälan</t>
        </is>
      </c>
      <c r="C1080" t="inlineStr">
        <is>
          <t>Föryngringsavverkning</t>
        </is>
      </c>
      <c r="D1080" s="1" t="n">
        <v>45769</v>
      </c>
      <c r="E1080" s="1" t="n">
        <v>46319</v>
      </c>
      <c r="F1080" t="inlineStr">
        <is>
          <t>JÄMTLANDS LÄN</t>
        </is>
      </c>
      <c r="G1080" t="inlineStr">
        <is>
          <t>RAGUNDA</t>
        </is>
      </c>
      <c r="H1080" t="inlineStr">
        <is>
          <t>SCA</t>
        </is>
      </c>
      <c r="I1080" t="n">
        <v>6</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35153-2024</t>
        </is>
      </c>
      <c r="B1081" t="inlineStr">
        <is>
          <t>avverkningsanmälan</t>
        </is>
      </c>
      <c r="C1081" t="inlineStr">
        <is>
          <t>Föryngringsavverkning</t>
        </is>
      </c>
      <c r="D1081" s="1" t="n">
        <v>45530</v>
      </c>
      <c r="E1081" s="1" t="n">
        <v>46319</v>
      </c>
      <c r="F1081" t="inlineStr">
        <is>
          <t>JÄMTLANDS LÄN</t>
        </is>
      </c>
      <c r="G1081" t="inlineStr">
        <is>
          <t>RAGUNDA</t>
        </is>
      </c>
      <c r="I1081" t="n">
        <v>2.7</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61197-2023</t>
        </is>
      </c>
      <c r="B1082" t="inlineStr">
        <is>
          <t>avverkningsanmälan</t>
        </is>
      </c>
      <c r="C1082" t="inlineStr">
        <is>
          <t>Föryngringsavverkning</t>
        </is>
      </c>
      <c r="D1082" s="1" t="n">
        <v>45260</v>
      </c>
      <c r="E1082" s="1" t="n">
        <v>46319</v>
      </c>
      <c r="F1082" t="inlineStr">
        <is>
          <t>JÄMTLANDS LÄN</t>
        </is>
      </c>
      <c r="G1082" t="inlineStr">
        <is>
          <t>RAGUNDA</t>
        </is>
      </c>
      <c r="I1082" t="n">
        <v>2.5</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31135-2023</t>
        </is>
      </c>
      <c r="B1083" t="inlineStr">
        <is>
          <t>avverkningsanmälan</t>
        </is>
      </c>
      <c r="C1083" t="inlineStr">
        <is>
          <t>Föryngringsavverkning</t>
        </is>
      </c>
      <c r="D1083" s="1" t="n">
        <v>45103</v>
      </c>
      <c r="E1083" s="1" t="n">
        <v>46319</v>
      </c>
      <c r="F1083" t="inlineStr">
        <is>
          <t>JÄMTLANDS LÄN</t>
        </is>
      </c>
      <c r="G1083" t="inlineStr">
        <is>
          <t>RAGUNDA</t>
        </is>
      </c>
      <c r="I1083" t="n">
        <v>0.9</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22569-2023</t>
        </is>
      </c>
      <c r="B1084" t="inlineStr">
        <is>
          <t>avverkningsanmälan</t>
        </is>
      </c>
      <c r="C1084" t="inlineStr">
        <is>
          <t>Föryngringsavverkning</t>
        </is>
      </c>
      <c r="D1084" s="1" t="n">
        <v>45069</v>
      </c>
      <c r="E1084" s="1" t="n">
        <v>46319</v>
      </c>
      <c r="F1084" t="inlineStr">
        <is>
          <t>JÄMTLANDS LÄN</t>
        </is>
      </c>
      <c r="G1084" t="inlineStr">
        <is>
          <t>RAGUNDA</t>
        </is>
      </c>
      <c r="I1084" t="n">
        <v>6.6</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4212-2024</t>
        </is>
      </c>
      <c r="B1085" t="inlineStr">
        <is>
          <t>avverkningsanmälan</t>
        </is>
      </c>
      <c r="C1085" t="inlineStr">
        <is>
          <t>Föryngringsavverkning</t>
        </is>
      </c>
      <c r="D1085" s="1" t="n">
        <v>45324</v>
      </c>
      <c r="E1085" s="1" t="n">
        <v>46319</v>
      </c>
      <c r="F1085" t="inlineStr">
        <is>
          <t>JÄMTLANDS LÄN</t>
        </is>
      </c>
      <c r="G1085" t="inlineStr">
        <is>
          <t>RAGUNDA</t>
        </is>
      </c>
      <c r="I1085" t="n">
        <v>2</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43405-2023</t>
        </is>
      </c>
      <c r="B1086" t="inlineStr">
        <is>
          <t>avverkningsanmälan</t>
        </is>
      </c>
      <c r="C1086" t="inlineStr">
        <is>
          <t>Avverkning för att bevara och utveckla /försöksver</t>
        </is>
      </c>
      <c r="D1086" s="1" t="n">
        <v>45183</v>
      </c>
      <c r="E1086" s="1" t="n">
        <v>46319</v>
      </c>
      <c r="F1086" t="inlineStr">
        <is>
          <t>JÄMTLANDS LÄN</t>
        </is>
      </c>
      <c r="G1086" t="inlineStr">
        <is>
          <t>RAGUNDA</t>
        </is>
      </c>
      <c r="H1086" t="inlineStr">
        <is>
          <t>SCA</t>
        </is>
      </c>
      <c r="I1086" t="n">
        <v>2.1</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56984-2022</t>
        </is>
      </c>
      <c r="B1087" t="inlineStr">
        <is>
          <t>avverkningsanmälan</t>
        </is>
      </c>
      <c r="C1087" t="inlineStr">
        <is>
          <t>Föryngringsavverkning</t>
        </is>
      </c>
      <c r="D1087" s="1" t="n">
        <v>44894</v>
      </c>
      <c r="E1087" s="1" t="n">
        <v>46319</v>
      </c>
      <c r="F1087" t="inlineStr">
        <is>
          <t>JÄMTLANDS LÄN</t>
        </is>
      </c>
      <c r="G1087" t="inlineStr">
        <is>
          <t>RAGUNDA</t>
        </is>
      </c>
      <c r="I1087" t="n">
        <v>1.4</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5958-2023</t>
        </is>
      </c>
      <c r="B1088" t="inlineStr">
        <is>
          <t>avverkningsanmälan</t>
        </is>
      </c>
      <c r="C1088" t="inlineStr">
        <is>
          <t>Föryngringsavverkning</t>
        </is>
      </c>
      <c r="D1088" s="1" t="n">
        <v>44963</v>
      </c>
      <c r="E1088" s="1" t="n">
        <v>46319</v>
      </c>
      <c r="F1088" t="inlineStr">
        <is>
          <t>JÄMTLANDS LÄN</t>
        </is>
      </c>
      <c r="G1088" t="inlineStr">
        <is>
          <t>RAGUNDA</t>
        </is>
      </c>
      <c r="H1088" t="inlineStr">
        <is>
          <t>SCA</t>
        </is>
      </c>
      <c r="I1088" t="n">
        <v>2.6</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50521-2024</t>
        </is>
      </c>
      <c r="B1089" t="inlineStr">
        <is>
          <t>avverkningsanmälan</t>
        </is>
      </c>
      <c r="C1089" t="inlineStr">
        <is>
          <t>Avverkning för att bevara och utveckla /försöksver</t>
        </is>
      </c>
      <c r="D1089" s="1" t="n">
        <v>45601</v>
      </c>
      <c r="E1089" s="1" t="n">
        <v>46319</v>
      </c>
      <c r="F1089" t="inlineStr">
        <is>
          <t>JÄMTLANDS LÄN</t>
        </is>
      </c>
      <c r="G1089" t="inlineStr">
        <is>
          <t>RAGUNDA</t>
        </is>
      </c>
      <c r="H1089" t="inlineStr">
        <is>
          <t>SCA</t>
        </is>
      </c>
      <c r="I1089" t="n">
        <v>2.6</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29920-2024</t>
        </is>
      </c>
      <c r="B1090" t="inlineStr">
        <is>
          <t>avverkningsanmälan</t>
        </is>
      </c>
      <c r="C1090" t="inlineStr">
        <is>
          <t>Föryngringsavverkning</t>
        </is>
      </c>
      <c r="D1090" s="1" t="n">
        <v>45487</v>
      </c>
      <c r="E1090" s="1" t="n">
        <v>46319</v>
      </c>
      <c r="F1090" t="inlineStr">
        <is>
          <t>JÄMTLANDS LÄN</t>
        </is>
      </c>
      <c r="G1090" t="inlineStr">
        <is>
          <t>RAGUNDA</t>
        </is>
      </c>
      <c r="I1090" t="n">
        <v>3.4</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62011-2022</t>
        </is>
      </c>
      <c r="B1091" t="inlineStr">
        <is>
          <t>avverkningsanmälan</t>
        </is>
      </c>
      <c r="C1091" t="inlineStr">
        <is>
          <t>Avverkning för annat ändamål</t>
        </is>
      </c>
      <c r="D1091" s="1" t="n">
        <v>44914</v>
      </c>
      <c r="E1091" s="1" t="n">
        <v>46319</v>
      </c>
      <c r="F1091" t="inlineStr">
        <is>
          <t>JÄMTLANDS LÄN</t>
        </is>
      </c>
      <c r="G1091" t="inlineStr">
        <is>
          <t>RAGUNDA</t>
        </is>
      </c>
      <c r="I1091" t="n">
        <v>0.3</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19866-2023</t>
        </is>
      </c>
      <c r="B1092" t="inlineStr">
        <is>
          <t>avverkningsanmälan</t>
        </is>
      </c>
      <c r="C1092" t="inlineStr">
        <is>
          <t>Föryngringsavverkning</t>
        </is>
      </c>
      <c r="D1092" s="1" t="n">
        <v>45053</v>
      </c>
      <c r="E1092" s="1" t="n">
        <v>46319</v>
      </c>
      <c r="F1092" t="inlineStr">
        <is>
          <t>JÄMTLANDS LÄN</t>
        </is>
      </c>
      <c r="G1092" t="inlineStr">
        <is>
          <t>RAGUNDA</t>
        </is>
      </c>
      <c r="H1092" t="inlineStr">
        <is>
          <t>SCA</t>
        </is>
      </c>
      <c r="I1092" t="n">
        <v>0.5</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53935-2022</t>
        </is>
      </c>
      <c r="B1093" t="inlineStr">
        <is>
          <t>avverkningsanmälan</t>
        </is>
      </c>
      <c r="C1093" t="inlineStr">
        <is>
          <t>Avverkning för att bevara och utveckla /försöksver</t>
        </is>
      </c>
      <c r="D1093" s="1" t="n">
        <v>44880</v>
      </c>
      <c r="E1093" s="1" t="n">
        <v>46319</v>
      </c>
      <c r="F1093" t="inlineStr">
        <is>
          <t>JÄMTLANDS LÄN</t>
        </is>
      </c>
      <c r="G1093" t="inlineStr">
        <is>
          <t>RAGUNDA</t>
        </is>
      </c>
      <c r="H1093" t="inlineStr">
        <is>
          <t>SCA</t>
        </is>
      </c>
      <c r="I1093" t="n">
        <v>1.4</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18631-2024</t>
        </is>
      </c>
      <c r="B1094" t="inlineStr">
        <is>
          <t>avverkningsanmälan</t>
        </is>
      </c>
      <c r="C1094" t="inlineStr">
        <is>
          <t>Föryngringsavverkning</t>
        </is>
      </c>
      <c r="D1094" s="1" t="n">
        <v>45425</v>
      </c>
      <c r="E1094" s="1" t="n">
        <v>46319</v>
      </c>
      <c r="F1094" t="inlineStr">
        <is>
          <t>JÄMTLANDS LÄN</t>
        </is>
      </c>
      <c r="G1094" t="inlineStr">
        <is>
          <t>RAGUNDA</t>
        </is>
      </c>
      <c r="H1094" t="inlineStr">
        <is>
          <t>SCA</t>
        </is>
      </c>
      <c r="I1094" t="n">
        <v>2.4</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11062-2023</t>
        </is>
      </c>
      <c r="B1095" t="inlineStr">
        <is>
          <t>avverkningsanmälan</t>
        </is>
      </c>
      <c r="C1095" t="inlineStr">
        <is>
          <t>Föryngringsavverkning</t>
        </is>
      </c>
      <c r="D1095" s="1" t="n">
        <v>44991</v>
      </c>
      <c r="E1095" s="1" t="n">
        <v>46319</v>
      </c>
      <c r="F1095" t="inlineStr">
        <is>
          <t>JÄMTLANDS LÄN</t>
        </is>
      </c>
      <c r="G1095" t="inlineStr">
        <is>
          <t>RAGUNDA</t>
        </is>
      </c>
      <c r="H1095" t="inlineStr">
        <is>
          <t>SCA</t>
        </is>
      </c>
      <c r="I1095" t="n">
        <v>18</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69153-2021</t>
        </is>
      </c>
      <c r="B1096" t="inlineStr">
        <is>
          <t>avverkningsanmälan</t>
        </is>
      </c>
      <c r="C1096" t="inlineStr">
        <is>
          <t>Föryngringsavverkning</t>
        </is>
      </c>
      <c r="D1096" s="1" t="n">
        <v>44530</v>
      </c>
      <c r="E1096" s="1" t="n">
        <v>46319</v>
      </c>
      <c r="F1096" t="inlineStr">
        <is>
          <t>JÄMTLANDS LÄN</t>
        </is>
      </c>
      <c r="G1096" t="inlineStr">
        <is>
          <t>RAGUNDA</t>
        </is>
      </c>
      <c r="H1096" t="inlineStr">
        <is>
          <t>SCA</t>
        </is>
      </c>
      <c r="I1096" t="n">
        <v>5</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4882-2023</t>
        </is>
      </c>
      <c r="B1097" t="inlineStr">
        <is>
          <t>avverkningsanmälan</t>
        </is>
      </c>
      <c r="C1097" t="inlineStr">
        <is>
          <t>Avverkning för att bevara och utveckla /försöksver</t>
        </is>
      </c>
      <c r="D1097" s="1" t="n">
        <v>44957</v>
      </c>
      <c r="E1097" s="1" t="n">
        <v>46319</v>
      </c>
      <c r="F1097" t="inlineStr">
        <is>
          <t>JÄMTLANDS LÄN</t>
        </is>
      </c>
      <c r="G1097" t="inlineStr">
        <is>
          <t>RAGUNDA</t>
        </is>
      </c>
      <c r="H1097" t="inlineStr">
        <is>
          <t>SCA</t>
        </is>
      </c>
      <c r="I1097" t="n">
        <v>1.8</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39608-2024</t>
        </is>
      </c>
      <c r="B1098" t="inlineStr">
        <is>
          <t>avverkningsanmälan</t>
        </is>
      </c>
      <c r="C1098" t="inlineStr">
        <is>
          <t>Föryngringsavverkning</t>
        </is>
      </c>
      <c r="D1098" s="1" t="n">
        <v>45552</v>
      </c>
      <c r="E1098" s="1" t="n">
        <v>46319</v>
      </c>
      <c r="F1098" t="inlineStr">
        <is>
          <t>JÄMTLANDS LÄN</t>
        </is>
      </c>
      <c r="G1098" t="inlineStr">
        <is>
          <t>RAGUNDA</t>
        </is>
      </c>
      <c r="I1098" t="n">
        <v>3.2</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26455-2023</t>
        </is>
      </c>
      <c r="B1099" t="inlineStr">
        <is>
          <t>avverkningsanmälan</t>
        </is>
      </c>
      <c r="C1099" t="inlineStr">
        <is>
          <t>Föryngringsavverkning</t>
        </is>
      </c>
      <c r="D1099" s="1" t="n">
        <v>45092</v>
      </c>
      <c r="E1099" s="1" t="n">
        <v>46319</v>
      </c>
      <c r="F1099" t="inlineStr">
        <is>
          <t>JÄMTLANDS LÄN</t>
        </is>
      </c>
      <c r="G1099" t="inlineStr">
        <is>
          <t>RAGUNDA</t>
        </is>
      </c>
      <c r="I1099" t="n">
        <v>3.8</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6801-2023</t>
        </is>
      </c>
      <c r="B1100" t="inlineStr">
        <is>
          <t>avverkningsanmälan</t>
        </is>
      </c>
      <c r="C1100" t="inlineStr">
        <is>
          <t>Föryngringsavverkning</t>
        </is>
      </c>
      <c r="D1100" s="1" t="n">
        <v>44966</v>
      </c>
      <c r="E1100" s="1" t="n">
        <v>46319</v>
      </c>
      <c r="F1100" t="inlineStr">
        <is>
          <t>JÄMTLANDS LÄN</t>
        </is>
      </c>
      <c r="G1100" t="inlineStr">
        <is>
          <t>RAGUNDA</t>
        </is>
      </c>
      <c r="H1100" t="inlineStr">
        <is>
          <t>SCA</t>
        </is>
      </c>
      <c r="I1100" t="n">
        <v>10.6</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10641-2024</t>
        </is>
      </c>
      <c r="B1101" t="inlineStr">
        <is>
          <t>avverkningsanmälan</t>
        </is>
      </c>
      <c r="C1101" t="inlineStr">
        <is>
          <t>Föryngringsavverkning</t>
        </is>
      </c>
      <c r="D1101" s="1" t="n">
        <v>45367</v>
      </c>
      <c r="E1101" s="1" t="n">
        <v>46319</v>
      </c>
      <c r="F1101" t="inlineStr">
        <is>
          <t>JÄMTLANDS LÄN</t>
        </is>
      </c>
      <c r="G1101" t="inlineStr">
        <is>
          <t>RAGUNDA</t>
        </is>
      </c>
      <c r="I1101" t="n">
        <v>0.9</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10644-2024</t>
        </is>
      </c>
      <c r="B1102" t="inlineStr">
        <is>
          <t>avverkningsanmälan</t>
        </is>
      </c>
      <c r="C1102" t="inlineStr">
        <is>
          <t>Föryngringsavverkning</t>
        </is>
      </c>
      <c r="D1102" s="1" t="n">
        <v>45367</v>
      </c>
      <c r="E1102" s="1" t="n">
        <v>46319</v>
      </c>
      <c r="F1102" t="inlineStr">
        <is>
          <t>JÄMTLANDS LÄN</t>
        </is>
      </c>
      <c r="G1102" t="inlineStr">
        <is>
          <t>RAGUNDA</t>
        </is>
      </c>
      <c r="I1102" t="n">
        <v>2</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S 1667-2022</t>
        </is>
      </c>
      <c r="B1103" t="inlineStr">
        <is>
          <t>samrådsanmälan</t>
        </is>
      </c>
      <c r="C1103" t="inlineStr">
        <is>
          <t>Annan skogsbruksåtgärd</t>
        </is>
      </c>
      <c r="D1103" s="1" t="n">
        <v>44649</v>
      </c>
      <c r="E1103" s="1" t="n">
        <v>46319</v>
      </c>
      <c r="F1103" t="inlineStr">
        <is>
          <t>JÄMTLANDS LÄN</t>
        </is>
      </c>
      <c r="G1103" t="inlineStr">
        <is>
          <t>RAGUNDA</t>
        </is>
      </c>
      <c r="I1103" t="n">
        <v>1</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S 4068-2023</t>
        </is>
      </c>
      <c r="B1104" t="inlineStr">
        <is>
          <t>samrådsanmälan</t>
        </is>
      </c>
      <c r="C1104" t="inlineStr">
        <is>
          <t>Annan skogsbruksåtgärd</t>
        </is>
      </c>
      <c r="D1104" s="1" t="n">
        <v>45246</v>
      </c>
      <c r="E1104" s="1" t="n">
        <v>46319</v>
      </c>
      <c r="F1104" t="inlineStr">
        <is>
          <t>JÄMTLANDS LÄN</t>
        </is>
      </c>
      <c r="G1104" t="inlineStr">
        <is>
          <t>RAGUNDA</t>
        </is>
      </c>
      <c r="I1104" t="n">
        <v>1.6</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S 1183-2023</t>
        </is>
      </c>
      <c r="B1105" t="inlineStr">
        <is>
          <t>samrådsanmälan</t>
        </is>
      </c>
      <c r="C1105" t="inlineStr">
        <is>
          <t>Annan skogsbruksåtgärd</t>
        </is>
      </c>
      <c r="D1105" s="1" t="n">
        <v>45026</v>
      </c>
      <c r="E1105" s="1" t="n">
        <v>46319</v>
      </c>
      <c r="F1105" t="inlineStr">
        <is>
          <t>JÄMTLANDS LÄN</t>
        </is>
      </c>
      <c r="G1105" t="inlineStr">
        <is>
          <t>RAGUNDA</t>
        </is>
      </c>
      <c r="I1105" t="n">
        <v>0.9</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S 1103-2025</t>
        </is>
      </c>
      <c r="B1106" t="inlineStr">
        <is>
          <t>samrådsanmälan</t>
        </is>
      </c>
      <c r="C1106" t="inlineStr">
        <is>
          <t>Skogsgödsling</t>
        </is>
      </c>
      <c r="D1106" s="1" t="n">
        <v>45751</v>
      </c>
      <c r="E1106" s="1" t="n">
        <v>46319</v>
      </c>
      <c r="F1106" t="inlineStr">
        <is>
          <t>JÄMTLANDS LÄN</t>
        </is>
      </c>
      <c r="G1106" t="inlineStr">
        <is>
          <t>RAGUNDA</t>
        </is>
      </c>
      <c r="H1106" t="inlineStr">
        <is>
          <t>SCA</t>
        </is>
      </c>
      <c r="I1106" t="n">
        <v>122.3</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S 1628-2025</t>
        </is>
      </c>
      <c r="B1107" t="inlineStr">
        <is>
          <t>samrådsanmälan</t>
        </is>
      </c>
      <c r="C1107" t="inlineStr">
        <is>
          <t>Annan skogsbruksåtgärd</t>
        </is>
      </c>
      <c r="D1107" s="1" t="n">
        <v>45797</v>
      </c>
      <c r="E1107" s="1" t="n">
        <v>46319</v>
      </c>
      <c r="F1107" t="inlineStr">
        <is>
          <t>JÄMTLANDS LÄN</t>
        </is>
      </c>
      <c r="G1107" t="inlineStr">
        <is>
          <t>RAGUNDA</t>
        </is>
      </c>
      <c r="H1107" t="inlineStr">
        <is>
          <t>SCA</t>
        </is>
      </c>
      <c r="I1107" t="n">
        <v>1.9</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S 2212-2025</t>
        </is>
      </c>
      <c r="B1108" t="inlineStr">
        <is>
          <t>samrådsanmälan</t>
        </is>
      </c>
      <c r="C1108" t="inlineStr">
        <is>
          <t>Skogsgödsling</t>
        </is>
      </c>
      <c r="D1108" s="1" t="n">
        <v>45862</v>
      </c>
      <c r="E1108" s="1" t="n">
        <v>46319</v>
      </c>
      <c r="F1108" t="inlineStr">
        <is>
          <t>JÄMTLANDS LÄN</t>
        </is>
      </c>
      <c r="G1108" t="inlineStr">
        <is>
          <t>RAGUNDA</t>
        </is>
      </c>
      <c r="H1108" t="inlineStr">
        <is>
          <t>SCA</t>
        </is>
      </c>
      <c r="I1108" t="n">
        <v>151.7</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S 2944-2025</t>
        </is>
      </c>
      <c r="B1109" t="inlineStr">
        <is>
          <t>samrådsanmälan</t>
        </is>
      </c>
      <c r="C1109" t="inlineStr">
        <is>
          <t>Annan skogsbruksåtgärd</t>
        </is>
      </c>
      <c r="D1109" s="1" t="n">
        <v>45952</v>
      </c>
      <c r="E1109" s="1" t="n">
        <v>46319</v>
      </c>
      <c r="F1109" t="inlineStr">
        <is>
          <t>JÄMTLANDS LÄN</t>
        </is>
      </c>
      <c r="G1109" t="inlineStr">
        <is>
          <t>RAGUNDA</t>
        </is>
      </c>
      <c r="H1109" t="inlineStr">
        <is>
          <t>SCA</t>
        </is>
      </c>
      <c r="I1109" t="n">
        <v>27.3</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S 3397-2025</t>
        </is>
      </c>
      <c r="B1110" t="inlineStr">
        <is>
          <t>samrådsanmälan</t>
        </is>
      </c>
      <c r="C1110" t="inlineStr">
        <is>
          <t>Annan skogsbruksåtgärd</t>
        </is>
      </c>
      <c r="D1110" s="1" t="n">
        <v>45995</v>
      </c>
      <c r="E1110" s="1" t="n">
        <v>46319</v>
      </c>
      <c r="F1110" t="inlineStr">
        <is>
          <t>JÄMTLANDS LÄN</t>
        </is>
      </c>
      <c r="G1110" t="inlineStr">
        <is>
          <t>RAGUNDA</t>
        </is>
      </c>
      <c r="H1110" t="inlineStr">
        <is>
          <t>SCA</t>
        </is>
      </c>
      <c r="I1110" t="n">
        <v>8.9</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S 176-2026</t>
        </is>
      </c>
      <c r="B1111" t="inlineStr">
        <is>
          <t>samrådsanmälan</t>
        </is>
      </c>
      <c r="C1111" t="inlineStr">
        <is>
          <t>Annan skogsbruksåtgärd</t>
        </is>
      </c>
      <c r="D1111" s="1" t="n">
        <v>46045</v>
      </c>
      <c r="E1111" s="1" t="n">
        <v>46319</v>
      </c>
      <c r="F1111" t="inlineStr">
        <is>
          <t>JÄMTLANDS LÄN</t>
        </is>
      </c>
      <c r="G1111" t="inlineStr">
        <is>
          <t>RAGUNDA</t>
        </is>
      </c>
      <c r="I1111" t="n">
        <v>9</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S 204-2025</t>
        </is>
      </c>
      <c r="B1112" t="inlineStr">
        <is>
          <t>samrådsanmälan</t>
        </is>
      </c>
      <c r="C1112" t="inlineStr">
        <is>
          <t>Skogsgödsling</t>
        </is>
      </c>
      <c r="D1112" s="1" t="n">
        <v>45679</v>
      </c>
      <c r="E1112" s="1" t="n">
        <v>46319</v>
      </c>
      <c r="F1112" t="inlineStr">
        <is>
          <t>JÄMTLANDS LÄN</t>
        </is>
      </c>
      <c r="G1112" t="inlineStr">
        <is>
          <t>RAGUNDA</t>
        </is>
      </c>
      <c r="I1112" t="n">
        <v>10.5</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S 512-2025</t>
        </is>
      </c>
      <c r="B1113" t="inlineStr">
        <is>
          <t>samrådsanmälan</t>
        </is>
      </c>
      <c r="C1113" t="inlineStr">
        <is>
          <t>Skogsgödsling</t>
        </is>
      </c>
      <c r="D1113" s="1" t="n">
        <v>45706</v>
      </c>
      <c r="E1113" s="1" t="n">
        <v>46319</v>
      </c>
      <c r="F1113" t="inlineStr">
        <is>
          <t>JÄMTLANDS LÄN</t>
        </is>
      </c>
      <c r="G1113" t="inlineStr">
        <is>
          <t>RAGUNDA</t>
        </is>
      </c>
      <c r="I1113" t="n">
        <v>4</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S 202-2025</t>
        </is>
      </c>
      <c r="B1114" t="inlineStr">
        <is>
          <t>samrådsanmälan</t>
        </is>
      </c>
      <c r="C1114" t="inlineStr">
        <is>
          <t>Skogsgödsling</t>
        </is>
      </c>
      <c r="D1114" s="1" t="n">
        <v>45679</v>
      </c>
      <c r="E1114" s="1" t="n">
        <v>46319</v>
      </c>
      <c r="F1114" t="inlineStr">
        <is>
          <t>JÄMTLANDS LÄN</t>
        </is>
      </c>
      <c r="G1114" t="inlineStr">
        <is>
          <t>RAGUNDA</t>
        </is>
      </c>
      <c r="I1114" t="n">
        <v>7</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S 203-2025</t>
        </is>
      </c>
      <c r="B1115" t="inlineStr">
        <is>
          <t>samrådsanmälan</t>
        </is>
      </c>
      <c r="C1115" t="inlineStr">
        <is>
          <t>Skogsgödsling</t>
        </is>
      </c>
      <c r="D1115" s="1" t="n">
        <v>45679</v>
      </c>
      <c r="E1115" s="1" t="n">
        <v>46319</v>
      </c>
      <c r="F1115" t="inlineStr">
        <is>
          <t>JÄMTLANDS LÄN</t>
        </is>
      </c>
      <c r="G1115" t="inlineStr">
        <is>
          <t>RAGUNDA</t>
        </is>
      </c>
      <c r="I1115" t="n">
        <v>7.8</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S 835-2025</t>
        </is>
      </c>
      <c r="B1116" t="inlineStr">
        <is>
          <t>samrådsanmälan</t>
        </is>
      </c>
      <c r="C1116" t="inlineStr">
        <is>
          <t>Skogsgödsling</t>
        </is>
      </c>
      <c r="D1116" s="1" t="n">
        <v>45733</v>
      </c>
      <c r="E1116" s="1" t="n">
        <v>46319</v>
      </c>
      <c r="F1116" t="inlineStr">
        <is>
          <t>JÄMTLANDS LÄN</t>
        </is>
      </c>
      <c r="G1116" t="inlineStr">
        <is>
          <t>RAGUNDA</t>
        </is>
      </c>
      <c r="H1116" t="inlineStr">
        <is>
          <t>SCA</t>
        </is>
      </c>
      <c r="I1116" t="n">
        <v>140.8</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S 205-2025</t>
        </is>
      </c>
      <c r="B1117" t="inlineStr">
        <is>
          <t>samrådsanmälan</t>
        </is>
      </c>
      <c r="C1117" t="inlineStr">
        <is>
          <t>Skogsgödsling</t>
        </is>
      </c>
      <c r="D1117" s="1" t="n">
        <v>45679</v>
      </c>
      <c r="E1117" s="1" t="n">
        <v>46319</v>
      </c>
      <c r="F1117" t="inlineStr">
        <is>
          <t>JÄMTLANDS LÄN</t>
        </is>
      </c>
      <c r="G1117" t="inlineStr">
        <is>
          <t>RAGUNDA</t>
        </is>
      </c>
      <c r="I1117" t="n">
        <v>14.2</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S 1222-2026</t>
        </is>
      </c>
      <c r="B1118" t="inlineStr">
        <is>
          <t>samrådsanmälan</t>
        </is>
      </c>
      <c r="C1118" t="inlineStr">
        <is>
          <t>Annan skogsbruksåtgärd</t>
        </is>
      </c>
      <c r="D1118" s="1" t="n">
        <v>46141</v>
      </c>
      <c r="E1118" s="1" t="n">
        <v>46319</v>
      </c>
      <c r="F1118" t="inlineStr">
        <is>
          <t>JÄMTLANDS LÄN</t>
        </is>
      </c>
      <c r="G1118" t="inlineStr">
        <is>
          <t>RAGUNDA</t>
        </is>
      </c>
      <c r="H1118" t="inlineStr">
        <is>
          <t>SCA</t>
        </is>
      </c>
      <c r="I1118" t="n">
        <v>2.2</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S 1488-2026</t>
        </is>
      </c>
      <c r="B1119" t="inlineStr">
        <is>
          <t>samrådsanmälan</t>
        </is>
      </c>
      <c r="C1119" t="inlineStr">
        <is>
          <t>Annan skogsbruksåtgärd</t>
        </is>
      </c>
      <c r="D1119" s="1" t="n">
        <v>46162</v>
      </c>
      <c r="E1119" s="1" t="n">
        <v>46319</v>
      </c>
      <c r="F1119" t="inlineStr">
        <is>
          <t>JÄMTLANDS LÄN</t>
        </is>
      </c>
      <c r="G1119" t="inlineStr">
        <is>
          <t>RAGUNDA</t>
        </is>
      </c>
      <c r="H1119" t="inlineStr">
        <is>
          <t>SCA</t>
        </is>
      </c>
      <c r="I1119" t="n">
        <v>3.4</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S 1611-2026</t>
        </is>
      </c>
      <c r="B1120" t="inlineStr">
        <is>
          <t>samrådsanmälan</t>
        </is>
      </c>
      <c r="C1120" t="inlineStr">
        <is>
          <t>Annan skogsbruksåtgärd</t>
        </is>
      </c>
      <c r="D1120" s="1" t="n">
        <v>46173</v>
      </c>
      <c r="E1120" s="1" t="n">
        <v>46319</v>
      </c>
      <c r="F1120" t="inlineStr">
        <is>
          <t>JÄMTLANDS LÄN</t>
        </is>
      </c>
      <c r="G1120" t="inlineStr">
        <is>
          <t>RAGUNDA</t>
        </is>
      </c>
      <c r="H1120" t="inlineStr">
        <is>
          <t>SCA</t>
        </is>
      </c>
      <c r="I1120" t="n">
        <v>1.7</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S 1619-2026</t>
        </is>
      </c>
      <c r="B1121" t="inlineStr">
        <is>
          <t>samrådsanmälan</t>
        </is>
      </c>
      <c r="C1121" t="inlineStr">
        <is>
          <t>Annan skogsbruksåtgärd</t>
        </is>
      </c>
      <c r="D1121" s="1" t="n">
        <v>46173</v>
      </c>
      <c r="E1121" s="1" t="n">
        <v>46319</v>
      </c>
      <c r="F1121" t="inlineStr">
        <is>
          <t>JÄMTLANDS LÄN</t>
        </is>
      </c>
      <c r="G1121" t="inlineStr">
        <is>
          <t>RAGUNDA</t>
        </is>
      </c>
      <c r="H1121" t="inlineStr">
        <is>
          <t>SCA</t>
        </is>
      </c>
      <c r="I1121" t="n">
        <v>1.1</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S 1645-2026</t>
        </is>
      </c>
      <c r="B1122" t="inlineStr">
        <is>
          <t>samrådsanmälan</t>
        </is>
      </c>
      <c r="C1122" t="inlineStr">
        <is>
          <t>Annan skogsbruksåtgärd</t>
        </is>
      </c>
      <c r="D1122" s="1" t="n">
        <v>46176</v>
      </c>
      <c r="E1122" s="1" t="n">
        <v>46319</v>
      </c>
      <c r="F1122" t="inlineStr">
        <is>
          <t>JÄMTLANDS LÄN</t>
        </is>
      </c>
      <c r="G1122" t="inlineStr">
        <is>
          <t>RAGUNDA</t>
        </is>
      </c>
      <c r="I1122" t="n">
        <v>1.6</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S 1832-2026</t>
        </is>
      </c>
      <c r="B1123" t="inlineStr">
        <is>
          <t>samrådsanmälan</t>
        </is>
      </c>
      <c r="C1123" t="inlineStr">
        <is>
          <t>Annan skogsbruksåtgärd</t>
        </is>
      </c>
      <c r="D1123" s="1" t="n">
        <v>46191</v>
      </c>
      <c r="E1123" s="1" t="n">
        <v>46319</v>
      </c>
      <c r="F1123" t="inlineStr">
        <is>
          <t>JÄMTLANDS LÄN</t>
        </is>
      </c>
      <c r="G1123" t="inlineStr">
        <is>
          <t>RAGUNDA</t>
        </is>
      </c>
      <c r="H1123" t="inlineStr">
        <is>
          <t>SCA</t>
        </is>
      </c>
      <c r="I1123" t="n">
        <v>3.6</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S 1831-2026</t>
        </is>
      </c>
      <c r="B1124" t="inlineStr">
        <is>
          <t>samrådsanmälan</t>
        </is>
      </c>
      <c r="C1124" t="inlineStr">
        <is>
          <t>Annan skogsbruksåtgärd</t>
        </is>
      </c>
      <c r="D1124" s="1" t="n">
        <v>46191</v>
      </c>
      <c r="E1124" s="1" t="n">
        <v>46319</v>
      </c>
      <c r="F1124" t="inlineStr">
        <is>
          <t>JÄMTLANDS LÄN</t>
        </is>
      </c>
      <c r="G1124" t="inlineStr">
        <is>
          <t>RAGUNDA</t>
        </is>
      </c>
      <c r="H1124" t="inlineStr">
        <is>
          <t>SCA</t>
        </is>
      </c>
      <c r="I1124" t="n">
        <v>5.8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S 1829-2026</t>
        </is>
      </c>
      <c r="B1125" t="inlineStr">
        <is>
          <t>samrådsanmälan</t>
        </is>
      </c>
      <c r="C1125" t="inlineStr">
        <is>
          <t>Annan skogsbruksåtgärd</t>
        </is>
      </c>
      <c r="D1125" s="1" t="n">
        <v>46191</v>
      </c>
      <c r="E1125" s="1" t="n">
        <v>46319</v>
      </c>
      <c r="F1125" t="inlineStr">
        <is>
          <t>JÄMTLANDS LÄN</t>
        </is>
      </c>
      <c r="G1125" t="inlineStr">
        <is>
          <t>RAGUNDA</t>
        </is>
      </c>
      <c r="H1125" t="inlineStr">
        <is>
          <t>SCA</t>
        </is>
      </c>
      <c r="I1125" t="n">
        <v>4.4</v>
      </c>
      <c r="J1125" t="n">
        <v>0</v>
      </c>
      <c r="K1125" t="n">
        <v>0</v>
      </c>
      <c r="L1125" t="n">
        <v>0</v>
      </c>
      <c r="M1125" t="n">
        <v>0</v>
      </c>
      <c r="N1125" t="n">
        <v>0</v>
      </c>
      <c r="O1125" t="n">
        <v>0</v>
      </c>
      <c r="P1125" t="n">
        <v>0</v>
      </c>
      <c r="Q1125" t="n">
        <v>0</v>
      </c>
      <c r="R1125" t="n">
        <v>0</v>
      </c>
      <c r="S1125" t="n">
        <v>0</v>
      </c>
      <c r="T1125" t="n">
        <v>0</v>
      </c>
      <c r="U1125" t="n">
        <v>0</v>
      </c>
      <c r="V1125" s="2" t="inlineStr"/>
    </row>
    <row r="1126">
      <c r="A1126" t="inlineStr">
        <is>
          <t>S 2127-2026</t>
        </is>
      </c>
      <c r="B1126" t="inlineStr">
        <is>
          <t>samrådsanmälan</t>
        </is>
      </c>
      <c r="C1126" t="inlineStr">
        <is>
          <t>Annan skogsbruksåtgärd</t>
        </is>
      </c>
      <c r="D1126" s="1" t="n">
        <v>46244</v>
      </c>
      <c r="E1126" s="1" t="n">
        <v>46319</v>
      </c>
      <c r="F1126" t="inlineStr">
        <is>
          <t>JÄMTLANDS LÄN</t>
        </is>
      </c>
      <c r="G1126" t="inlineStr">
        <is>
          <t>RAGUNDA</t>
        </is>
      </c>
      <c r="H1126" t="inlineStr">
        <is>
          <t>SCA</t>
        </is>
      </c>
      <c r="I1126" t="n">
        <v>6.7</v>
      </c>
      <c r="J1126" t="n">
        <v>0</v>
      </c>
      <c r="K1126" t="n">
        <v>0</v>
      </c>
      <c r="L1126" t="n">
        <v>0</v>
      </c>
      <c r="M1126" t="n">
        <v>0</v>
      </c>
      <c r="N1126" t="n">
        <v>0</v>
      </c>
      <c r="O1126" t="n">
        <v>0</v>
      </c>
      <c r="P1126" t="n">
        <v>0</v>
      </c>
      <c r="Q1126" t="n">
        <v>0</v>
      </c>
      <c r="R1126" t="n">
        <v>0</v>
      </c>
      <c r="S1126" t="n">
        <v>0</v>
      </c>
      <c r="T1126" t="n">
        <v>0</v>
      </c>
      <c r="U1126" t="n">
        <v>0</v>
      </c>
      <c r="V11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2026-10-24T02:00:07Z</dcterms:created>
  <dcterms:modified xmlns:dcterms="http://purl.org/dc/terms/" xmlns:xsi="http://www.w3.org/2001/XMLSchema-instance" xsi:type="dcterms:W3CDTF">2026-10-24T02:00:09Z</dcterms:modified>
</cp:coreProperties>
</file>