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46170</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46170</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46170</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46170</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46170</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46170</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46170</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46170</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46170</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46170</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46170</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46170</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46170</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46170</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46170</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25632-2025</t>
        </is>
      </c>
      <c r="B21" s="1" t="n">
        <v>45803.59474537037</v>
      </c>
      <c r="C21" s="1" t="n">
        <v>46170</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46170</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46170</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46170</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46170</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46170</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46170</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46170</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46170</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46170</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46170</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25016-2025</t>
        </is>
      </c>
      <c r="B32" s="1" t="n">
        <v>45799.63574074074</v>
      </c>
      <c r="C32" s="1" t="n">
        <v>46170</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46170</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32068-2024</t>
        </is>
      </c>
      <c r="B34" s="1" t="n">
        <v>45510</v>
      </c>
      <c r="C34" s="1" t="n">
        <v>46170</v>
      </c>
      <c r="D34" t="inlineStr">
        <is>
          <t>JÄMTLANDS LÄN</t>
        </is>
      </c>
      <c r="E34" t="inlineStr">
        <is>
          <t>RAGUNDA</t>
        </is>
      </c>
      <c r="F34" t="inlineStr">
        <is>
          <t>SCA</t>
        </is>
      </c>
      <c r="G34" t="n">
        <v>5.2</v>
      </c>
      <c r="H34" t="n">
        <v>2</v>
      </c>
      <c r="I34" t="n">
        <v>2</v>
      </c>
      <c r="J34" t="n">
        <v>6</v>
      </c>
      <c r="K34" t="n">
        <v>1</v>
      </c>
      <c r="L34" t="n">
        <v>0</v>
      </c>
      <c r="M34" t="n">
        <v>0</v>
      </c>
      <c r="N34" t="n">
        <v>0</v>
      </c>
      <c r="O34" t="n">
        <v>7</v>
      </c>
      <c r="P34" t="n">
        <v>1</v>
      </c>
      <c r="Q34" t="n">
        <v>9</v>
      </c>
      <c r="R34" s="2" t="inlineStr">
        <is>
          <t>Knärot
Garnlav
Gränsticka
Kolflarnlav
Lunglav
Vedflikmossa
Vedtrappmossa
Plattlummer
Stor aspticka</t>
        </is>
      </c>
      <c r="S34">
        <f>HYPERLINK("https://klasma.github.io/Logging_2303/artfynd/A 32068-2024 artfynd.xlsx", "A 32068-2024")</f>
        <v/>
      </c>
      <c r="T34">
        <f>HYPERLINK("https://klasma.github.io/Logging_2303/kartor/A 32068-2024 karta.png", "A 32068-2024")</f>
        <v/>
      </c>
      <c r="U34">
        <f>HYPERLINK("https://klasma.github.io/Logging_2303/knärot/A 32068-2024 karta knärot.png", "A 32068-2024")</f>
        <v/>
      </c>
      <c r="V34">
        <f>HYPERLINK("https://klasma.github.io/Logging_2303/klagomål/A 32068-2024 FSC-klagomål.docx", "A 32068-2024")</f>
        <v/>
      </c>
      <c r="W34">
        <f>HYPERLINK("https://klasma.github.io/Logging_2303/klagomålsmail/A 32068-2024 FSC-klagomål mail.docx", "A 32068-2024")</f>
        <v/>
      </c>
      <c r="X34">
        <f>HYPERLINK("https://klasma.github.io/Logging_2303/tillsyn/A 32068-2024 tillsynsbegäran.docx", "A 32068-2024")</f>
        <v/>
      </c>
      <c r="Y34">
        <f>HYPERLINK("https://klasma.github.io/Logging_2303/tillsynsmail/A 32068-2024 tillsynsbegäran mail.docx", "A 32068-2024")</f>
        <v/>
      </c>
    </row>
    <row r="35" ht="15" customHeight="1">
      <c r="A35" t="inlineStr">
        <is>
          <t>A 41406-2023</t>
        </is>
      </c>
      <c r="B35" s="1" t="n">
        <v>45174</v>
      </c>
      <c r="C35" s="1" t="n">
        <v>46170</v>
      </c>
      <c r="D35" t="inlineStr">
        <is>
          <t>JÄMTLANDS LÄN</t>
        </is>
      </c>
      <c r="E35" t="inlineStr">
        <is>
          <t>RAGUNDA</t>
        </is>
      </c>
      <c r="F35" t="inlineStr">
        <is>
          <t>SCA</t>
        </is>
      </c>
      <c r="G35" t="n">
        <v>8</v>
      </c>
      <c r="H35" t="n">
        <v>0</v>
      </c>
      <c r="I35" t="n">
        <v>1</v>
      </c>
      <c r="J35" t="n">
        <v>8</v>
      </c>
      <c r="K35" t="n">
        <v>0</v>
      </c>
      <c r="L35" t="n">
        <v>0</v>
      </c>
      <c r="M35" t="n">
        <v>0</v>
      </c>
      <c r="N35" t="n">
        <v>0</v>
      </c>
      <c r="O35" t="n">
        <v>8</v>
      </c>
      <c r="P35" t="n">
        <v>0</v>
      </c>
      <c r="Q35" t="n">
        <v>9</v>
      </c>
      <c r="R35" s="2" t="inlineStr">
        <is>
          <t>Dvärgbägarlav
Grönhjon
Lunglav
Nordtagging
Rosa skärelav
Rosenticka
Ullticka
Vitgrynig nållav
Kornig nållav</t>
        </is>
      </c>
      <c r="S35">
        <f>HYPERLINK("https://klasma.github.io/Logging_2303/artfynd/A 41406-2023 artfynd.xlsx", "A 41406-2023")</f>
        <v/>
      </c>
      <c r="T35">
        <f>HYPERLINK("https://klasma.github.io/Logging_2303/kartor/A 41406-2023 karta.png", "A 41406-2023")</f>
        <v/>
      </c>
      <c r="V35">
        <f>HYPERLINK("https://klasma.github.io/Logging_2303/klagomål/A 41406-2023 FSC-klagomål.docx", "A 41406-2023")</f>
        <v/>
      </c>
      <c r="W35">
        <f>HYPERLINK("https://klasma.github.io/Logging_2303/klagomålsmail/A 41406-2023 FSC-klagomål mail.docx", "A 41406-2023")</f>
        <v/>
      </c>
      <c r="X35">
        <f>HYPERLINK("https://klasma.github.io/Logging_2303/tillsyn/A 41406-2023 tillsynsbegäran.docx", "A 41406-2023")</f>
        <v/>
      </c>
      <c r="Y35">
        <f>HYPERLINK("https://klasma.github.io/Logging_2303/tillsynsmail/A 41406-2023 tillsynsbegäran mail.docx", "A 41406-2023")</f>
        <v/>
      </c>
    </row>
    <row r="36" ht="15" customHeight="1">
      <c r="A36" t="inlineStr">
        <is>
          <t>A 30876-2025</t>
        </is>
      </c>
      <c r="B36" s="1" t="n">
        <v>45832.34461805555</v>
      </c>
      <c r="C36" s="1" t="n">
        <v>46170</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58876-2025</t>
        </is>
      </c>
      <c r="B37" s="1" t="n">
        <v>45987.46929398148</v>
      </c>
      <c r="C37" s="1" t="n">
        <v>46170</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45008-2023</t>
        </is>
      </c>
      <c r="B38" s="1" t="n">
        <v>45190.96092592592</v>
      </c>
      <c r="C38" s="1" t="n">
        <v>46170</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62948-2021</t>
        </is>
      </c>
      <c r="B39" s="1" t="n">
        <v>44504</v>
      </c>
      <c r="C39" s="1" t="n">
        <v>46170</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12372-2024</t>
        </is>
      </c>
      <c r="B40" s="1" t="n">
        <v>45378</v>
      </c>
      <c r="C40" s="1" t="n">
        <v>46170</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42393-2025</t>
        </is>
      </c>
      <c r="B41" s="1" t="n">
        <v>45905</v>
      </c>
      <c r="C41" s="1" t="n">
        <v>46170</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4146-2025</t>
        </is>
      </c>
      <c r="B42" s="1" t="n">
        <v>45685.36501157407</v>
      </c>
      <c r="C42" s="1" t="n">
        <v>46170</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51037-2025</t>
        </is>
      </c>
      <c r="B43" s="1" t="n">
        <v>45947.40729166667</v>
      </c>
      <c r="C43" s="1" t="n">
        <v>46170</v>
      </c>
      <c r="D43" t="inlineStr">
        <is>
          <t>JÄMTLANDS LÄN</t>
        </is>
      </c>
      <c r="E43" t="inlineStr">
        <is>
          <t>RAGUNDA</t>
        </is>
      </c>
      <c r="F43" t="inlineStr">
        <is>
          <t>SCA</t>
        </is>
      </c>
      <c r="G43" t="n">
        <v>3.8</v>
      </c>
      <c r="H43" t="n">
        <v>2</v>
      </c>
      <c r="I43" t="n">
        <v>2</v>
      </c>
      <c r="J43" t="n">
        <v>5</v>
      </c>
      <c r="K43" t="n">
        <v>1</v>
      </c>
      <c r="L43" t="n">
        <v>0</v>
      </c>
      <c r="M43" t="n">
        <v>0</v>
      </c>
      <c r="N43" t="n">
        <v>0</v>
      </c>
      <c r="O43" t="n">
        <v>6</v>
      </c>
      <c r="P43" t="n">
        <v>1</v>
      </c>
      <c r="Q43" t="n">
        <v>8</v>
      </c>
      <c r="R43" s="2" t="inlineStr">
        <is>
          <t>Knärot
Garnlav
Granticka
Lunglav
Rosenticka
Vedskivlav
Korallrot
Ögonpyrola</t>
        </is>
      </c>
      <c r="S43">
        <f>HYPERLINK("https://klasma.github.io/Logging_2303/artfynd/A 51037-2025 artfynd.xlsx", "A 51037-2025")</f>
        <v/>
      </c>
      <c r="T43">
        <f>HYPERLINK("https://klasma.github.io/Logging_2303/kartor/A 51037-2025 karta.png", "A 51037-2025")</f>
        <v/>
      </c>
      <c r="U43">
        <f>HYPERLINK("https://klasma.github.io/Logging_2303/knärot/A 51037-2025 karta knärot.png", "A 51037-2025")</f>
        <v/>
      </c>
      <c r="V43">
        <f>HYPERLINK("https://klasma.github.io/Logging_2303/klagomål/A 51037-2025 FSC-klagomål.docx", "A 51037-2025")</f>
        <v/>
      </c>
      <c r="W43">
        <f>HYPERLINK("https://klasma.github.io/Logging_2303/klagomålsmail/A 51037-2025 FSC-klagomål mail.docx", "A 51037-2025")</f>
        <v/>
      </c>
      <c r="X43">
        <f>HYPERLINK("https://klasma.github.io/Logging_2303/tillsyn/A 51037-2025 tillsynsbegäran.docx", "A 51037-2025")</f>
        <v/>
      </c>
      <c r="Y43">
        <f>HYPERLINK("https://klasma.github.io/Logging_2303/tillsynsmail/A 51037-2025 tillsynsbegäran mail.docx", "A 51037-2025")</f>
        <v/>
      </c>
    </row>
    <row r="44" ht="15" customHeight="1">
      <c r="A44" t="inlineStr">
        <is>
          <t>A 3634-2024</t>
        </is>
      </c>
      <c r="B44" s="1" t="n">
        <v>45320</v>
      </c>
      <c r="C44" s="1" t="n">
        <v>46170</v>
      </c>
      <c r="D44" t="inlineStr">
        <is>
          <t>JÄMTLANDS LÄN</t>
        </is>
      </c>
      <c r="E44" t="inlineStr">
        <is>
          <t>RAGUNDA</t>
        </is>
      </c>
      <c r="F44" t="inlineStr">
        <is>
          <t>SCA</t>
        </is>
      </c>
      <c r="G44" t="n">
        <v>3.5</v>
      </c>
      <c r="H44" t="n">
        <v>1</v>
      </c>
      <c r="I44" t="n">
        <v>4</v>
      </c>
      <c r="J44" t="n">
        <v>3</v>
      </c>
      <c r="K44" t="n">
        <v>1</v>
      </c>
      <c r="L44" t="n">
        <v>0</v>
      </c>
      <c r="M44" t="n">
        <v>0</v>
      </c>
      <c r="N44" t="n">
        <v>0</v>
      </c>
      <c r="O44" t="n">
        <v>4</v>
      </c>
      <c r="P44" t="n">
        <v>1</v>
      </c>
      <c r="Q44" t="n">
        <v>8</v>
      </c>
      <c r="R44" s="2" t="inlineStr">
        <is>
          <t>Smalfotad taggsvamp
Garnlav
Kolflarnlav
Lunglav
Korallrot
Luddlav
Norrlandslav
Spädstarr</t>
        </is>
      </c>
      <c r="S44">
        <f>HYPERLINK("https://klasma.github.io/Logging_2303/artfynd/A 3634-2024 artfynd.xlsx", "A 3634-2024")</f>
        <v/>
      </c>
      <c r="T44">
        <f>HYPERLINK("https://klasma.github.io/Logging_2303/kartor/A 3634-2024 karta.png", "A 3634-2024")</f>
        <v/>
      </c>
      <c r="V44">
        <f>HYPERLINK("https://klasma.github.io/Logging_2303/klagomål/A 3634-2024 FSC-klagomål.docx", "A 3634-2024")</f>
        <v/>
      </c>
      <c r="W44">
        <f>HYPERLINK("https://klasma.github.io/Logging_2303/klagomålsmail/A 3634-2024 FSC-klagomål mail.docx", "A 3634-2024")</f>
        <v/>
      </c>
      <c r="X44">
        <f>HYPERLINK("https://klasma.github.io/Logging_2303/tillsyn/A 3634-2024 tillsynsbegäran.docx", "A 3634-2024")</f>
        <v/>
      </c>
      <c r="Y44">
        <f>HYPERLINK("https://klasma.github.io/Logging_2303/tillsynsmail/A 3634-2024 tillsynsbegäran mail.docx", "A 3634-2024")</f>
        <v/>
      </c>
    </row>
    <row r="45" ht="15" customHeight="1">
      <c r="A45" t="inlineStr">
        <is>
          <t>A 24732-2025</t>
        </is>
      </c>
      <c r="B45" s="1" t="n">
        <v>45799.34421296296</v>
      </c>
      <c r="C45" s="1" t="n">
        <v>46170</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30335-2025</t>
        </is>
      </c>
      <c r="B46" s="1" t="n">
        <v>45827.5110300926</v>
      </c>
      <c r="C46" s="1" t="n">
        <v>46170</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60129-2025</t>
        </is>
      </c>
      <c r="B47" s="1" t="n">
        <v>45994.34461805555</v>
      </c>
      <c r="C47" s="1" t="n">
        <v>46170</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46170</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46170</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46170</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46170</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46170</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46170</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26750-2025</t>
        </is>
      </c>
      <c r="B54" s="1" t="n">
        <v>45810.55061342593</v>
      </c>
      <c r="C54" s="1" t="n">
        <v>46170</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46170</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33806-2023</t>
        </is>
      </c>
      <c r="B56" s="1" t="n">
        <v>45121</v>
      </c>
      <c r="C56" s="1" t="n">
        <v>46170</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41929-2023</t>
        </is>
      </c>
      <c r="B57" s="1" t="n">
        <v>45176</v>
      </c>
      <c r="C57" s="1" t="n">
        <v>46170</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46170</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27913-2024</t>
        </is>
      </c>
      <c r="B59" s="1" t="n">
        <v>45475.94796296296</v>
      </c>
      <c r="C59" s="1" t="n">
        <v>46170</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61386-2022</t>
        </is>
      </c>
      <c r="B60" s="1" t="n">
        <v>44915</v>
      </c>
      <c r="C60" s="1" t="n">
        <v>46170</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15977-2024</t>
        </is>
      </c>
      <c r="B61" s="1" t="n">
        <v>45405.57392361111</v>
      </c>
      <c r="C61" s="1" t="n">
        <v>46170</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20575-2025</t>
        </is>
      </c>
      <c r="B62" s="1" t="n">
        <v>45775.67769675926</v>
      </c>
      <c r="C62" s="1" t="n">
        <v>46170</v>
      </c>
      <c r="D62" t="inlineStr">
        <is>
          <t>JÄMTLANDS LÄN</t>
        </is>
      </c>
      <c r="E62" t="inlineStr">
        <is>
          <t>RAGUNDA</t>
        </is>
      </c>
      <c r="F62" t="inlineStr">
        <is>
          <t>SCA</t>
        </is>
      </c>
      <c r="G62" t="n">
        <v>8.1</v>
      </c>
      <c r="H62" t="n">
        <v>4</v>
      </c>
      <c r="I62" t="n">
        <v>1</v>
      </c>
      <c r="J62" t="n">
        <v>4</v>
      </c>
      <c r="K62" t="n">
        <v>1</v>
      </c>
      <c r="L62" t="n">
        <v>0</v>
      </c>
      <c r="M62" t="n">
        <v>0</v>
      </c>
      <c r="N62" t="n">
        <v>0</v>
      </c>
      <c r="O62" t="n">
        <v>5</v>
      </c>
      <c r="P62" t="n">
        <v>1</v>
      </c>
      <c r="Q62" t="n">
        <v>6</v>
      </c>
      <c r="R62" s="2" t="inlineStr">
        <is>
          <t>Knärot
Lunglav
Rosenticka
Skogsfru
Tretåig hackspett
Spindelblomster</t>
        </is>
      </c>
      <c r="S62">
        <f>HYPERLINK("https://klasma.github.io/Logging_2303/artfynd/A 20575-2025 artfynd.xlsx", "A 20575-2025")</f>
        <v/>
      </c>
      <c r="T62">
        <f>HYPERLINK("https://klasma.github.io/Logging_2303/kartor/A 20575-2025 karta.png", "A 20575-2025")</f>
        <v/>
      </c>
      <c r="U62">
        <f>HYPERLINK("https://klasma.github.io/Logging_2303/knärot/A 20575-2025 karta knärot.png", "A 20575-2025")</f>
        <v/>
      </c>
      <c r="V62">
        <f>HYPERLINK("https://klasma.github.io/Logging_2303/klagomål/A 20575-2025 FSC-klagomål.docx", "A 20575-2025")</f>
        <v/>
      </c>
      <c r="W62">
        <f>HYPERLINK("https://klasma.github.io/Logging_2303/klagomålsmail/A 20575-2025 FSC-klagomål mail.docx", "A 20575-2025")</f>
        <v/>
      </c>
      <c r="X62">
        <f>HYPERLINK("https://klasma.github.io/Logging_2303/tillsyn/A 20575-2025 tillsynsbegäran.docx", "A 20575-2025")</f>
        <v/>
      </c>
      <c r="Y62">
        <f>HYPERLINK("https://klasma.github.io/Logging_2303/tillsynsmail/A 20575-2025 tillsynsbegäran mail.docx", "A 20575-2025")</f>
        <v/>
      </c>
      <c r="Z62">
        <f>HYPERLINK("https://klasma.github.io/Logging_2303/fåglar/A 20575-2025 prioriterade fågelarter.docx", "A 20575-2025")</f>
        <v/>
      </c>
    </row>
    <row r="63" ht="15" customHeight="1">
      <c r="A63" t="inlineStr">
        <is>
          <t>A 933-2023</t>
        </is>
      </c>
      <c r="B63" s="1" t="n">
        <v>44932</v>
      </c>
      <c r="C63" s="1" t="n">
        <v>46170</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39973-2025</t>
        </is>
      </c>
      <c r="B64" s="1" t="n">
        <v>45893.38584490741</v>
      </c>
      <c r="C64" s="1" t="n">
        <v>46170</v>
      </c>
      <c r="D64" t="inlineStr">
        <is>
          <t>JÄMTLANDS LÄN</t>
        </is>
      </c>
      <c r="E64" t="inlineStr">
        <is>
          <t>RAGUNDA</t>
        </is>
      </c>
      <c r="F64" t="inlineStr">
        <is>
          <t>Naturvårdsverket</t>
        </is>
      </c>
      <c r="G64" t="n">
        <v>8</v>
      </c>
      <c r="H64" t="n">
        <v>0</v>
      </c>
      <c r="I64" t="n">
        <v>1</v>
      </c>
      <c r="J64" t="n">
        <v>5</v>
      </c>
      <c r="K64" t="n">
        <v>0</v>
      </c>
      <c r="L64" t="n">
        <v>0</v>
      </c>
      <c r="M64" t="n">
        <v>0</v>
      </c>
      <c r="N64" t="n">
        <v>0</v>
      </c>
      <c r="O64" t="n">
        <v>5</v>
      </c>
      <c r="P64" t="n">
        <v>0</v>
      </c>
      <c r="Q64" t="n">
        <v>6</v>
      </c>
      <c r="R64" s="2" t="inlineStr">
        <is>
          <t>Granticka
Lunglav
Mörk kolflarnlav
Tallticka
Vedskivlav
Skinnlav</t>
        </is>
      </c>
      <c r="S64">
        <f>HYPERLINK("https://klasma.github.io/Logging_2303/artfynd/A 39973-2025 artfynd.xlsx", "A 39973-2025")</f>
        <v/>
      </c>
      <c r="T64">
        <f>HYPERLINK("https://klasma.github.io/Logging_2303/kartor/A 39973-2025 karta.png", "A 39973-2025")</f>
        <v/>
      </c>
      <c r="V64">
        <f>HYPERLINK("https://klasma.github.io/Logging_2303/klagomål/A 39973-2025 FSC-klagomål.docx", "A 39973-2025")</f>
        <v/>
      </c>
      <c r="W64">
        <f>HYPERLINK("https://klasma.github.io/Logging_2303/klagomålsmail/A 39973-2025 FSC-klagomål mail.docx", "A 39973-2025")</f>
        <v/>
      </c>
      <c r="X64">
        <f>HYPERLINK("https://klasma.github.io/Logging_2303/tillsyn/A 39973-2025 tillsynsbegäran.docx", "A 39973-2025")</f>
        <v/>
      </c>
      <c r="Y64">
        <f>HYPERLINK("https://klasma.github.io/Logging_2303/tillsynsmail/A 39973-2025 tillsynsbegäran mail.docx", "A 39973-2025")</f>
        <v/>
      </c>
    </row>
    <row r="65" ht="15" customHeight="1">
      <c r="A65" t="inlineStr">
        <is>
          <t>A 19402-2025</t>
        </is>
      </c>
      <c r="B65" s="1" t="n">
        <v>45769.67778935185</v>
      </c>
      <c r="C65" s="1" t="n">
        <v>46170</v>
      </c>
      <c r="D65" t="inlineStr">
        <is>
          <t>JÄMTLANDS LÄN</t>
        </is>
      </c>
      <c r="E65" t="inlineStr">
        <is>
          <t>RAGUNDA</t>
        </is>
      </c>
      <c r="F65" t="inlineStr">
        <is>
          <t>SCA</t>
        </is>
      </c>
      <c r="G65" t="n">
        <v>3.1</v>
      </c>
      <c r="H65" t="n">
        <v>2</v>
      </c>
      <c r="I65" t="n">
        <v>3</v>
      </c>
      <c r="J65" t="n">
        <v>3</v>
      </c>
      <c r="K65" t="n">
        <v>0</v>
      </c>
      <c r="L65" t="n">
        <v>0</v>
      </c>
      <c r="M65" t="n">
        <v>0</v>
      </c>
      <c r="N65" t="n">
        <v>0</v>
      </c>
      <c r="O65" t="n">
        <v>3</v>
      </c>
      <c r="P65" t="n">
        <v>0</v>
      </c>
      <c r="Q65" t="n">
        <v>6</v>
      </c>
      <c r="R65" s="2" t="inlineStr">
        <is>
          <t>Garnlav
Lunglav
Tretåig hackspett
Bårdlav
Spindelblomster
Stuplav</t>
        </is>
      </c>
      <c r="S65">
        <f>HYPERLINK("https://klasma.github.io/Logging_2303/artfynd/A 19402-2025 artfynd.xlsx", "A 19402-2025")</f>
        <v/>
      </c>
      <c r="T65">
        <f>HYPERLINK("https://klasma.github.io/Logging_2303/kartor/A 19402-2025 karta.png", "A 19402-2025")</f>
        <v/>
      </c>
      <c r="V65">
        <f>HYPERLINK("https://klasma.github.io/Logging_2303/klagomål/A 19402-2025 FSC-klagomål.docx", "A 19402-2025")</f>
        <v/>
      </c>
      <c r="W65">
        <f>HYPERLINK("https://klasma.github.io/Logging_2303/klagomålsmail/A 19402-2025 FSC-klagomål mail.docx", "A 19402-2025")</f>
        <v/>
      </c>
      <c r="X65">
        <f>HYPERLINK("https://klasma.github.io/Logging_2303/tillsyn/A 19402-2025 tillsynsbegäran.docx", "A 19402-2025")</f>
        <v/>
      </c>
      <c r="Y65">
        <f>HYPERLINK("https://klasma.github.io/Logging_2303/tillsynsmail/A 19402-2025 tillsynsbegäran mail.docx", "A 19402-2025")</f>
        <v/>
      </c>
      <c r="Z65">
        <f>HYPERLINK("https://klasma.github.io/Logging_2303/fåglar/A 19402-2025 prioriterade fågelarter.docx", "A 19402-2025")</f>
        <v/>
      </c>
    </row>
    <row r="66" ht="15" customHeight="1">
      <c r="A66" t="inlineStr">
        <is>
          <t>A 30884-2025</t>
        </is>
      </c>
      <c r="B66" s="1" t="n">
        <v>45832.34564814815</v>
      </c>
      <c r="C66" s="1" t="n">
        <v>46170</v>
      </c>
      <c r="D66" t="inlineStr">
        <is>
          <t>JÄMTLANDS LÄN</t>
        </is>
      </c>
      <c r="E66" t="inlineStr">
        <is>
          <t>RAGUNDA</t>
        </is>
      </c>
      <c r="F66" t="inlineStr">
        <is>
          <t>SCA</t>
        </is>
      </c>
      <c r="G66" t="n">
        <v>5.7</v>
      </c>
      <c r="H66" t="n">
        <v>0</v>
      </c>
      <c r="I66" t="n">
        <v>1</v>
      </c>
      <c r="J66" t="n">
        <v>5</v>
      </c>
      <c r="K66" t="n">
        <v>0</v>
      </c>
      <c r="L66" t="n">
        <v>0</v>
      </c>
      <c r="M66" t="n">
        <v>0</v>
      </c>
      <c r="N66" t="n">
        <v>0</v>
      </c>
      <c r="O66" t="n">
        <v>5</v>
      </c>
      <c r="P66" t="n">
        <v>0</v>
      </c>
      <c r="Q66" t="n">
        <v>6</v>
      </c>
      <c r="R66" s="2" t="inlineStr">
        <is>
          <t>Garnlav
Granticka
Rosenticka
Stjärntagging
Ullticka
Rödgul trumpetsvamp</t>
        </is>
      </c>
      <c r="S66">
        <f>HYPERLINK("https://klasma.github.io/Logging_2303/artfynd/A 30884-2025 artfynd.xlsx", "A 30884-2025")</f>
        <v/>
      </c>
      <c r="T66">
        <f>HYPERLINK("https://klasma.github.io/Logging_2303/kartor/A 30884-2025 karta.png", "A 30884-2025")</f>
        <v/>
      </c>
      <c r="V66">
        <f>HYPERLINK("https://klasma.github.io/Logging_2303/klagomål/A 30884-2025 FSC-klagomål.docx", "A 30884-2025")</f>
        <v/>
      </c>
      <c r="W66">
        <f>HYPERLINK("https://klasma.github.io/Logging_2303/klagomålsmail/A 30884-2025 FSC-klagomål mail.docx", "A 30884-2025")</f>
        <v/>
      </c>
      <c r="X66">
        <f>HYPERLINK("https://klasma.github.io/Logging_2303/tillsyn/A 30884-2025 tillsynsbegäran.docx", "A 30884-2025")</f>
        <v/>
      </c>
      <c r="Y66">
        <f>HYPERLINK("https://klasma.github.io/Logging_2303/tillsynsmail/A 30884-2025 tillsynsbegäran mail.docx", "A 30884-2025")</f>
        <v/>
      </c>
    </row>
    <row r="67" ht="15" customHeight="1">
      <c r="A67" t="inlineStr">
        <is>
          <t>A 49291-2025</t>
        </is>
      </c>
      <c r="B67" s="1" t="n">
        <v>45938.53188657408</v>
      </c>
      <c r="C67" s="1" t="n">
        <v>46170</v>
      </c>
      <c r="D67" t="inlineStr">
        <is>
          <t>JÄMTLANDS LÄN</t>
        </is>
      </c>
      <c r="E67" t="inlineStr">
        <is>
          <t>RAGUNDA</t>
        </is>
      </c>
      <c r="F67" t="inlineStr">
        <is>
          <t>SCA</t>
        </is>
      </c>
      <c r="G67" t="n">
        <v>4.2</v>
      </c>
      <c r="H67" t="n">
        <v>1</v>
      </c>
      <c r="I67" t="n">
        <v>3</v>
      </c>
      <c r="J67" t="n">
        <v>2</v>
      </c>
      <c r="K67" t="n">
        <v>0</v>
      </c>
      <c r="L67" t="n">
        <v>0</v>
      </c>
      <c r="M67" t="n">
        <v>0</v>
      </c>
      <c r="N67" t="n">
        <v>0</v>
      </c>
      <c r="O67" t="n">
        <v>2</v>
      </c>
      <c r="P67" t="n">
        <v>0</v>
      </c>
      <c r="Q67" t="n">
        <v>6</v>
      </c>
      <c r="R67" s="2" t="inlineStr">
        <is>
          <t>Kolflarnlav
Lunglav
Korallblylav
Skinnlav
Vårärt
Blåsippa</t>
        </is>
      </c>
      <c r="S67">
        <f>HYPERLINK("https://klasma.github.io/Logging_2303/artfynd/A 49291-2025 artfynd.xlsx", "A 49291-2025")</f>
        <v/>
      </c>
      <c r="T67">
        <f>HYPERLINK("https://klasma.github.io/Logging_2303/kartor/A 49291-2025 karta.png", "A 49291-2025")</f>
        <v/>
      </c>
      <c r="V67">
        <f>HYPERLINK("https://klasma.github.io/Logging_2303/klagomål/A 49291-2025 FSC-klagomål.docx", "A 49291-2025")</f>
        <v/>
      </c>
      <c r="W67">
        <f>HYPERLINK("https://klasma.github.io/Logging_2303/klagomålsmail/A 49291-2025 FSC-klagomål mail.docx", "A 49291-2025")</f>
        <v/>
      </c>
      <c r="X67">
        <f>HYPERLINK("https://klasma.github.io/Logging_2303/tillsyn/A 49291-2025 tillsynsbegäran.docx", "A 49291-2025")</f>
        <v/>
      </c>
      <c r="Y67">
        <f>HYPERLINK("https://klasma.github.io/Logging_2303/tillsynsmail/A 49291-2025 tillsynsbegäran mail.docx", "A 49291-2025")</f>
        <v/>
      </c>
    </row>
    <row r="68" ht="15" customHeight="1">
      <c r="A68" t="inlineStr">
        <is>
          <t>A 53021-2022</t>
        </is>
      </c>
      <c r="B68" s="1" t="n">
        <v>44875</v>
      </c>
      <c r="C68" s="1" t="n">
        <v>46170</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36276-2025</t>
        </is>
      </c>
      <c r="B69" s="1" t="n">
        <v>45867.63619212963</v>
      </c>
      <c r="C69" s="1" t="n">
        <v>46170</v>
      </c>
      <c r="D69" t="inlineStr">
        <is>
          <t>JÄMTLANDS LÄN</t>
        </is>
      </c>
      <c r="E69" t="inlineStr">
        <is>
          <t>RAGUNDA</t>
        </is>
      </c>
      <c r="F69" t="inlineStr">
        <is>
          <t>SCA</t>
        </is>
      </c>
      <c r="G69" t="n">
        <v>3.2</v>
      </c>
      <c r="H69" t="n">
        <v>1</v>
      </c>
      <c r="I69" t="n">
        <v>2</v>
      </c>
      <c r="J69" t="n">
        <v>3</v>
      </c>
      <c r="K69" t="n">
        <v>1</v>
      </c>
      <c r="L69" t="n">
        <v>0</v>
      </c>
      <c r="M69" t="n">
        <v>0</v>
      </c>
      <c r="N69" t="n">
        <v>0</v>
      </c>
      <c r="O69" t="n">
        <v>4</v>
      </c>
      <c r="P69" t="n">
        <v>1</v>
      </c>
      <c r="Q69" t="n">
        <v>6</v>
      </c>
      <c r="R69" s="2" t="inlineStr">
        <is>
          <t>Knärot
Garnlav
Lunglav
Ullticka
Grovticka
Stuplav</t>
        </is>
      </c>
      <c r="S69">
        <f>HYPERLINK("https://klasma.github.io/Logging_2303/artfynd/A 36276-2025 artfynd.xlsx", "A 36276-2025")</f>
        <v/>
      </c>
      <c r="T69">
        <f>HYPERLINK("https://klasma.github.io/Logging_2303/kartor/A 36276-2025 karta.png", "A 36276-2025")</f>
        <v/>
      </c>
      <c r="U69">
        <f>HYPERLINK("https://klasma.github.io/Logging_2303/knärot/A 36276-2025 karta knärot.png", "A 36276-2025")</f>
        <v/>
      </c>
      <c r="V69">
        <f>HYPERLINK("https://klasma.github.io/Logging_2303/klagomål/A 36276-2025 FSC-klagomål.docx", "A 36276-2025")</f>
        <v/>
      </c>
      <c r="W69">
        <f>HYPERLINK("https://klasma.github.io/Logging_2303/klagomålsmail/A 36276-2025 FSC-klagomål mail.docx", "A 36276-2025")</f>
        <v/>
      </c>
      <c r="X69">
        <f>HYPERLINK("https://klasma.github.io/Logging_2303/tillsyn/A 36276-2025 tillsynsbegäran.docx", "A 36276-2025")</f>
        <v/>
      </c>
      <c r="Y69">
        <f>HYPERLINK("https://klasma.github.io/Logging_2303/tillsynsmail/A 36276-2025 tillsynsbegäran mail.docx", "A 36276-2025")</f>
        <v/>
      </c>
    </row>
    <row r="70" ht="15" customHeight="1">
      <c r="A70" t="inlineStr">
        <is>
          <t>A 55646-2023</t>
        </is>
      </c>
      <c r="B70" s="1" t="n">
        <v>45238</v>
      </c>
      <c r="C70" s="1" t="n">
        <v>46170</v>
      </c>
      <c r="D70" t="inlineStr">
        <is>
          <t>JÄMTLANDS LÄN</t>
        </is>
      </c>
      <c r="E70" t="inlineStr">
        <is>
          <t>RAGUNDA</t>
        </is>
      </c>
      <c r="F70" t="inlineStr">
        <is>
          <t>SCA</t>
        </is>
      </c>
      <c r="G70" t="n">
        <v>3.9</v>
      </c>
      <c r="H70" t="n">
        <v>0</v>
      </c>
      <c r="I70" t="n">
        <v>1</v>
      </c>
      <c r="J70" t="n">
        <v>5</v>
      </c>
      <c r="K70" t="n">
        <v>0</v>
      </c>
      <c r="L70" t="n">
        <v>0</v>
      </c>
      <c r="M70" t="n">
        <v>0</v>
      </c>
      <c r="N70" t="n">
        <v>0</v>
      </c>
      <c r="O70" t="n">
        <v>5</v>
      </c>
      <c r="P70" t="n">
        <v>0</v>
      </c>
      <c r="Q70" t="n">
        <v>6</v>
      </c>
      <c r="R70" s="2" t="inlineStr">
        <is>
          <t>Gammelgransskål
Garnlav
Lunglav
Skrovellav
Småflikig brosklav
Korallblylav</t>
        </is>
      </c>
      <c r="S70">
        <f>HYPERLINK("https://klasma.github.io/Logging_2303/artfynd/A 55646-2023 artfynd.xlsx", "A 55646-2023")</f>
        <v/>
      </c>
      <c r="T70">
        <f>HYPERLINK("https://klasma.github.io/Logging_2303/kartor/A 55646-2023 karta.png", "A 55646-2023")</f>
        <v/>
      </c>
      <c r="V70">
        <f>HYPERLINK("https://klasma.github.io/Logging_2303/klagomål/A 55646-2023 FSC-klagomål.docx", "A 55646-2023")</f>
        <v/>
      </c>
      <c r="W70">
        <f>HYPERLINK("https://klasma.github.io/Logging_2303/klagomålsmail/A 55646-2023 FSC-klagomål mail.docx", "A 55646-2023")</f>
        <v/>
      </c>
      <c r="X70">
        <f>HYPERLINK("https://klasma.github.io/Logging_2303/tillsyn/A 55646-2023 tillsynsbegäran.docx", "A 55646-2023")</f>
        <v/>
      </c>
      <c r="Y70">
        <f>HYPERLINK("https://klasma.github.io/Logging_2303/tillsynsmail/A 55646-2023 tillsynsbegäran mail.docx", "A 55646-2023")</f>
        <v/>
      </c>
    </row>
    <row r="71" ht="15" customHeight="1">
      <c r="A71" t="inlineStr">
        <is>
          <t>A 2193-2026</t>
        </is>
      </c>
      <c r="B71" s="1" t="n">
        <v>46036.46946759259</v>
      </c>
      <c r="C71" s="1" t="n">
        <v>46170</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11828-2023</t>
        </is>
      </c>
      <c r="B72" s="1" t="n">
        <v>44994</v>
      </c>
      <c r="C72" s="1" t="n">
        <v>46170</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24431-2024</t>
        </is>
      </c>
      <c r="B73" s="1" t="n">
        <v>45457</v>
      </c>
      <c r="C73" s="1" t="n">
        <v>46170</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9197-2026</t>
        </is>
      </c>
      <c r="B74" s="1" t="n">
        <v>46070.40322916667</v>
      </c>
      <c r="C74" s="1" t="n">
        <v>46170</v>
      </c>
      <c r="D74" t="inlineStr">
        <is>
          <t>JÄMTLANDS LÄN</t>
        </is>
      </c>
      <c r="E74" t="inlineStr">
        <is>
          <t>RAGUNDA</t>
        </is>
      </c>
      <c r="G74" t="n">
        <v>3.3</v>
      </c>
      <c r="H74" t="n">
        <v>5</v>
      </c>
      <c r="I74" t="n">
        <v>0</v>
      </c>
      <c r="J74" t="n">
        <v>4</v>
      </c>
      <c r="K74" t="n">
        <v>0</v>
      </c>
      <c r="L74" t="n">
        <v>0</v>
      </c>
      <c r="M74" t="n">
        <v>0</v>
      </c>
      <c r="N74" t="n">
        <v>0</v>
      </c>
      <c r="O74" t="n">
        <v>4</v>
      </c>
      <c r="P74" t="n">
        <v>0</v>
      </c>
      <c r="Q74" t="n">
        <v>6</v>
      </c>
      <c r="R74" s="2" t="inlineStr">
        <is>
          <t>Granticka
Järpe
Spillkråka
Talltita
Grönsiska
Kungsfågel</t>
        </is>
      </c>
      <c r="S74">
        <f>HYPERLINK("https://klasma.github.io/Logging_2303/artfynd/A 9197-2026 artfynd.xlsx", "A 9197-2026")</f>
        <v/>
      </c>
      <c r="T74">
        <f>HYPERLINK("https://klasma.github.io/Logging_2303/kartor/A 9197-2026 karta.png", "A 9197-2026")</f>
        <v/>
      </c>
      <c r="V74">
        <f>HYPERLINK("https://klasma.github.io/Logging_2303/klagomål/A 9197-2026 FSC-klagomål.docx", "A 9197-2026")</f>
        <v/>
      </c>
      <c r="W74">
        <f>HYPERLINK("https://klasma.github.io/Logging_2303/klagomålsmail/A 9197-2026 FSC-klagomål mail.docx", "A 9197-2026")</f>
        <v/>
      </c>
      <c r="X74">
        <f>HYPERLINK("https://klasma.github.io/Logging_2303/tillsyn/A 9197-2026 tillsynsbegäran.docx", "A 9197-2026")</f>
        <v/>
      </c>
      <c r="Y74">
        <f>HYPERLINK("https://klasma.github.io/Logging_2303/tillsynsmail/A 9197-2026 tillsynsbegäran mail.docx", "A 9197-2026")</f>
        <v/>
      </c>
      <c r="Z74">
        <f>HYPERLINK("https://klasma.github.io/Logging_2303/fåglar/A 9197-2026 prioriterade fågelarter.docx", "A 9197-2026")</f>
        <v/>
      </c>
    </row>
    <row r="75" ht="15" customHeight="1">
      <c r="A75" t="inlineStr">
        <is>
          <t>A 47115-2025</t>
        </is>
      </c>
      <c r="B75" s="1" t="n">
        <v>45929</v>
      </c>
      <c r="C75" s="1" t="n">
        <v>46170</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30637-2024</t>
        </is>
      </c>
      <c r="B76" s="1" t="n">
        <v>45495</v>
      </c>
      <c r="C76" s="1" t="n">
        <v>46170</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26326-2024</t>
        </is>
      </c>
      <c r="B77" s="1" t="n">
        <v>45468.97528935185</v>
      </c>
      <c r="C77" s="1" t="n">
        <v>46170</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27322-2024</t>
        </is>
      </c>
      <c r="B78" s="1" t="n">
        <v>45471.94783564815</v>
      </c>
      <c r="C78" s="1" t="n">
        <v>46170</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14908-2022</t>
        </is>
      </c>
      <c r="B79" s="1" t="n">
        <v>44656</v>
      </c>
      <c r="C79" s="1" t="n">
        <v>46170</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46170</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46170</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46170</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39974-2025</t>
        </is>
      </c>
      <c r="B83" s="1" t="n">
        <v>45893.38599537037</v>
      </c>
      <c r="C83" s="1" t="n">
        <v>46170</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39365-2024</t>
        </is>
      </c>
      <c r="B84" s="1" t="n">
        <v>45551.46912037037</v>
      </c>
      <c r="C84" s="1" t="n">
        <v>46170</v>
      </c>
      <c r="D84" t="inlineStr">
        <is>
          <t>JÄMTLANDS LÄN</t>
        </is>
      </c>
      <c r="E84" t="inlineStr">
        <is>
          <t>RAGUNDA</t>
        </is>
      </c>
      <c r="F84" t="inlineStr">
        <is>
          <t>SCA</t>
        </is>
      </c>
      <c r="G84" t="n">
        <v>7.3</v>
      </c>
      <c r="H84" t="n">
        <v>0</v>
      </c>
      <c r="I84" t="n">
        <v>3</v>
      </c>
      <c r="J84" t="n">
        <v>2</v>
      </c>
      <c r="K84" t="n">
        <v>0</v>
      </c>
      <c r="L84" t="n">
        <v>0</v>
      </c>
      <c r="M84" t="n">
        <v>0</v>
      </c>
      <c r="N84" t="n">
        <v>0</v>
      </c>
      <c r="O84" t="n">
        <v>2</v>
      </c>
      <c r="P84" t="n">
        <v>0</v>
      </c>
      <c r="Q84" t="n">
        <v>5</v>
      </c>
      <c r="R84" s="2" t="inlineStr">
        <is>
          <t>Lunglav
Ullticka
Korallblylav
Stor aspticka
Vedticka</t>
        </is>
      </c>
      <c r="S84">
        <f>HYPERLINK("https://klasma.github.io/Logging_2303/artfynd/A 39365-2024 artfynd.xlsx", "A 39365-2024")</f>
        <v/>
      </c>
      <c r="T84">
        <f>HYPERLINK("https://klasma.github.io/Logging_2303/kartor/A 39365-2024 karta.png", "A 39365-2024")</f>
        <v/>
      </c>
      <c r="U84">
        <f>HYPERLINK("https://klasma.github.io/Logging_2303/knärot/A 39365-2024 karta knärot.png", "A 39365-2024")</f>
        <v/>
      </c>
      <c r="V84">
        <f>HYPERLINK("https://klasma.github.io/Logging_2303/klagomål/A 39365-2024 FSC-klagomål.docx", "A 39365-2024")</f>
        <v/>
      </c>
      <c r="W84">
        <f>HYPERLINK("https://klasma.github.io/Logging_2303/klagomålsmail/A 39365-2024 FSC-klagomål mail.docx", "A 39365-2024")</f>
        <v/>
      </c>
      <c r="X84">
        <f>HYPERLINK("https://klasma.github.io/Logging_2303/tillsyn/A 39365-2024 tillsynsbegäran.docx", "A 39365-2024")</f>
        <v/>
      </c>
      <c r="Y84">
        <f>HYPERLINK("https://klasma.github.io/Logging_2303/tillsynsmail/A 39365-2024 tillsynsbegäran mail.docx", "A 39365-2024")</f>
        <v/>
      </c>
    </row>
    <row r="85" ht="15" customHeight="1">
      <c r="A85" t="inlineStr">
        <is>
          <t>A 15244-2025</t>
        </is>
      </c>
      <c r="B85" s="1" t="n">
        <v>45744.61550925926</v>
      </c>
      <c r="C85" s="1" t="n">
        <v>46170</v>
      </c>
      <c r="D85" t="inlineStr">
        <is>
          <t>JÄMTLANDS LÄN</t>
        </is>
      </c>
      <c r="E85" t="inlineStr">
        <is>
          <t>RAGUNDA</t>
        </is>
      </c>
      <c r="F85" t="inlineStr">
        <is>
          <t>SCA</t>
        </is>
      </c>
      <c r="G85" t="n">
        <v>2.6</v>
      </c>
      <c r="H85" t="n">
        <v>0</v>
      </c>
      <c r="I85" t="n">
        <v>2</v>
      </c>
      <c r="J85" t="n">
        <v>3</v>
      </c>
      <c r="K85" t="n">
        <v>0</v>
      </c>
      <c r="L85" t="n">
        <v>0</v>
      </c>
      <c r="M85" t="n">
        <v>0</v>
      </c>
      <c r="N85" t="n">
        <v>0</v>
      </c>
      <c r="O85" t="n">
        <v>3</v>
      </c>
      <c r="P85" t="n">
        <v>0</v>
      </c>
      <c r="Q85" t="n">
        <v>5</v>
      </c>
      <c r="R85" s="2" t="inlineStr">
        <is>
          <t>Garnlav
Rosenticka
Ullticka
Stuplav
Vedticka</t>
        </is>
      </c>
      <c r="S85">
        <f>HYPERLINK("https://klasma.github.io/Logging_2303/artfynd/A 15244-2025 artfynd.xlsx", "A 15244-2025")</f>
        <v/>
      </c>
      <c r="T85">
        <f>HYPERLINK("https://klasma.github.io/Logging_2303/kartor/A 15244-2025 karta.png", "A 15244-2025")</f>
        <v/>
      </c>
      <c r="V85">
        <f>HYPERLINK("https://klasma.github.io/Logging_2303/klagomål/A 15244-2025 FSC-klagomål.docx", "A 15244-2025")</f>
        <v/>
      </c>
      <c r="W85">
        <f>HYPERLINK("https://klasma.github.io/Logging_2303/klagomålsmail/A 15244-2025 FSC-klagomål mail.docx", "A 15244-2025")</f>
        <v/>
      </c>
      <c r="X85">
        <f>HYPERLINK("https://klasma.github.io/Logging_2303/tillsyn/A 15244-2025 tillsynsbegäran.docx", "A 15244-2025")</f>
        <v/>
      </c>
      <c r="Y85">
        <f>HYPERLINK("https://klasma.github.io/Logging_2303/tillsynsmail/A 15244-2025 tillsynsbegäran mail.docx", "A 15244-2025")</f>
        <v/>
      </c>
    </row>
    <row r="86" ht="15" customHeight="1">
      <c r="A86" t="inlineStr">
        <is>
          <t>A 30886-2025</t>
        </is>
      </c>
      <c r="B86" s="1" t="n">
        <v>45832.34578703704</v>
      </c>
      <c r="C86" s="1" t="n">
        <v>46170</v>
      </c>
      <c r="D86" t="inlineStr">
        <is>
          <t>JÄMTLANDS LÄN</t>
        </is>
      </c>
      <c r="E86" t="inlineStr">
        <is>
          <t>RAGUNDA</t>
        </is>
      </c>
      <c r="F86" t="inlineStr">
        <is>
          <t>SCA</t>
        </is>
      </c>
      <c r="G86" t="n">
        <v>4.4</v>
      </c>
      <c r="H86" t="n">
        <v>3</v>
      </c>
      <c r="I86" t="n">
        <v>1</v>
      </c>
      <c r="J86" t="n">
        <v>2</v>
      </c>
      <c r="K86" t="n">
        <v>1</v>
      </c>
      <c r="L86" t="n">
        <v>0</v>
      </c>
      <c r="M86" t="n">
        <v>0</v>
      </c>
      <c r="N86" t="n">
        <v>0</v>
      </c>
      <c r="O86" t="n">
        <v>3</v>
      </c>
      <c r="P86" t="n">
        <v>1</v>
      </c>
      <c r="Q86" t="n">
        <v>5</v>
      </c>
      <c r="R86" s="2" t="inlineStr">
        <is>
          <t>Knärot
Järpe
Lunglav
Ögonpyrola
Nattviol</t>
        </is>
      </c>
      <c r="S86">
        <f>HYPERLINK("https://klasma.github.io/Logging_2303/artfynd/A 30886-2025 artfynd.xlsx", "A 30886-2025")</f>
        <v/>
      </c>
      <c r="T86">
        <f>HYPERLINK("https://klasma.github.io/Logging_2303/kartor/A 30886-2025 karta.png", "A 30886-2025")</f>
        <v/>
      </c>
      <c r="U86">
        <f>HYPERLINK("https://klasma.github.io/Logging_2303/knärot/A 30886-2025 karta knärot.png", "A 30886-2025")</f>
        <v/>
      </c>
      <c r="V86">
        <f>HYPERLINK("https://klasma.github.io/Logging_2303/klagomål/A 30886-2025 FSC-klagomål.docx", "A 30886-2025")</f>
        <v/>
      </c>
      <c r="W86">
        <f>HYPERLINK("https://klasma.github.io/Logging_2303/klagomålsmail/A 30886-2025 FSC-klagomål mail.docx", "A 30886-2025")</f>
        <v/>
      </c>
      <c r="X86">
        <f>HYPERLINK("https://klasma.github.io/Logging_2303/tillsyn/A 30886-2025 tillsynsbegäran.docx", "A 30886-2025")</f>
        <v/>
      </c>
      <c r="Y86">
        <f>HYPERLINK("https://klasma.github.io/Logging_2303/tillsynsmail/A 30886-2025 tillsynsbegäran mail.docx", "A 30886-2025")</f>
        <v/>
      </c>
      <c r="Z86">
        <f>HYPERLINK("https://klasma.github.io/Logging_2303/fåglar/A 30886-2025 prioriterade fågelarter.docx", "A 30886-2025")</f>
        <v/>
      </c>
    </row>
    <row r="87" ht="15" customHeight="1">
      <c r="A87" t="inlineStr">
        <is>
          <t>A 27313-2024</t>
        </is>
      </c>
      <c r="B87" s="1" t="n">
        <v>45471.94623842592</v>
      </c>
      <c r="C87" s="1" t="n">
        <v>46170</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35344-2025</t>
        </is>
      </c>
      <c r="B88" s="1" t="n">
        <v>45854.61494212963</v>
      </c>
      <c r="C88" s="1" t="n">
        <v>46170</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agg.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2579-2025</t>
        </is>
      </c>
      <c r="B89" s="1" t="n">
        <v>45674.67744212963</v>
      </c>
      <c r="C89" s="1" t="n">
        <v>46170</v>
      </c>
      <c r="D89" t="inlineStr">
        <is>
          <t>JÄMTLANDS LÄN</t>
        </is>
      </c>
      <c r="E89" t="inlineStr">
        <is>
          <t>RAGUNDA</t>
        </is>
      </c>
      <c r="F89" t="inlineStr">
        <is>
          <t>SCA</t>
        </is>
      </c>
      <c r="G89" t="n">
        <v>5.5</v>
      </c>
      <c r="H89" t="n">
        <v>3</v>
      </c>
      <c r="I89" t="n">
        <v>0</v>
      </c>
      <c r="J89" t="n">
        <v>4</v>
      </c>
      <c r="K89" t="n">
        <v>0</v>
      </c>
      <c r="L89" t="n">
        <v>0</v>
      </c>
      <c r="M89" t="n">
        <v>0</v>
      </c>
      <c r="N89" t="n">
        <v>0</v>
      </c>
      <c r="O89" t="n">
        <v>4</v>
      </c>
      <c r="P89" t="n">
        <v>0</v>
      </c>
      <c r="Q89" t="n">
        <v>5</v>
      </c>
      <c r="R89" s="2" t="inlineStr">
        <is>
          <t>Granticka
Rosenticka
Rördrom
Spillkråka
Revlummer</t>
        </is>
      </c>
      <c r="S89">
        <f>HYPERLINK("https://klasma.github.io/Logging_2303/artfynd/A 2579-2025 artfynd.xlsx", "A 2579-2025")</f>
        <v/>
      </c>
      <c r="T89">
        <f>HYPERLINK("https://klasma.github.io/Logging_2303/kartor/A 2579-2025 karta.png", "A 2579-2025")</f>
        <v/>
      </c>
      <c r="V89">
        <f>HYPERLINK("https://klasma.github.io/Logging_2303/klagomål/A 2579-2025 FSC-klagomål.docx", "A 2579-2025")</f>
        <v/>
      </c>
      <c r="W89">
        <f>HYPERLINK("https://klasma.github.io/Logging_2303/klagomålsmail/A 2579-2025 FSC-klagomål mail.docx", "A 2579-2025")</f>
        <v/>
      </c>
      <c r="X89">
        <f>HYPERLINK("https://klasma.github.io/Logging_2303/tillsyn/A 2579-2025 tillsynsbegäran.docx", "A 2579-2025")</f>
        <v/>
      </c>
      <c r="Y89">
        <f>HYPERLINK("https://klasma.github.io/Logging_2303/tillsynsmail/A 2579-2025 tillsynsbegäran mail.docx", "A 2579-2025")</f>
        <v/>
      </c>
      <c r="Z89">
        <f>HYPERLINK("https://klasma.github.io/Logging_2303/fåglar/A 2579-2025 prioriterade fågelarter.docx", "A 2579-2025")</f>
        <v/>
      </c>
    </row>
    <row r="90" ht="15" customHeight="1">
      <c r="A90" t="inlineStr">
        <is>
          <t>A 13266-2023</t>
        </is>
      </c>
      <c r="B90" s="1" t="n">
        <v>45002.94356481481</v>
      </c>
      <c r="C90" s="1" t="n">
        <v>46170</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57073-2023</t>
        </is>
      </c>
      <c r="B91" s="1" t="n">
        <v>45244</v>
      </c>
      <c r="C91" s="1" t="n">
        <v>46170</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12024-2022</t>
        </is>
      </c>
      <c r="B92" s="1" t="n">
        <v>44635</v>
      </c>
      <c r="C92" s="1" t="n">
        <v>46170</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43106-2023</t>
        </is>
      </c>
      <c r="B93" s="1" t="n">
        <v>45182</v>
      </c>
      <c r="C93" s="1" t="n">
        <v>46170</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11641-2026</t>
        </is>
      </c>
      <c r="B94" s="1" t="n">
        <v>46084.50094907408</v>
      </c>
      <c r="C94" s="1" t="n">
        <v>46170</v>
      </c>
      <c r="D94" t="inlineStr">
        <is>
          <t>JÄMTLANDS LÄN</t>
        </is>
      </c>
      <c r="E94" t="inlineStr">
        <is>
          <t>RAGUNDA</t>
        </is>
      </c>
      <c r="G94" t="n">
        <v>1.8</v>
      </c>
      <c r="H94" t="n">
        <v>0</v>
      </c>
      <c r="I94" t="n">
        <v>2</v>
      </c>
      <c r="J94" t="n">
        <v>3</v>
      </c>
      <c r="K94" t="n">
        <v>0</v>
      </c>
      <c r="L94" t="n">
        <v>0</v>
      </c>
      <c r="M94" t="n">
        <v>0</v>
      </c>
      <c r="N94" t="n">
        <v>0</v>
      </c>
      <c r="O94" t="n">
        <v>3</v>
      </c>
      <c r="P94" t="n">
        <v>0</v>
      </c>
      <c r="Q94" t="n">
        <v>5</v>
      </c>
      <c r="R94" s="2" t="inlineStr">
        <is>
          <t>Lunglav
Skrovellav
Vitgrynig nållav
Bårdlav
Stuplav</t>
        </is>
      </c>
      <c r="S94">
        <f>HYPERLINK("https://klasma.github.io/Logging_2303/artfynd/A 11641-2026 artfynd.xlsx", "A 11641-2026")</f>
        <v/>
      </c>
      <c r="T94">
        <f>HYPERLINK("https://klasma.github.io/Logging_2303/kartor/A 11641-2026 karta.png", "A 11641-2026")</f>
        <v/>
      </c>
      <c r="U94">
        <f>HYPERLINK("https://klasma.github.io/Logging_2303/knärot/A 11641-2026 karta knärot.png", "A 11641-2026")</f>
        <v/>
      </c>
      <c r="V94">
        <f>HYPERLINK("https://klasma.github.io/Logging_2303/klagomål/A 11641-2026 FSC-klagomål.docx", "A 11641-2026")</f>
        <v/>
      </c>
      <c r="W94">
        <f>HYPERLINK("https://klasma.github.io/Logging_2303/klagomålsmail/A 11641-2026 FSC-klagomål mail.docx", "A 11641-2026")</f>
        <v/>
      </c>
      <c r="X94">
        <f>HYPERLINK("https://klasma.github.io/Logging_2303/tillsyn/A 11641-2026 tillsynsbegäran.docx", "A 11641-2026")</f>
        <v/>
      </c>
      <c r="Y94">
        <f>HYPERLINK("https://klasma.github.io/Logging_2303/tillsynsmail/A 11641-2026 tillsynsbegäran mail.docx", "A 11641-2026")</f>
        <v/>
      </c>
    </row>
    <row r="95" ht="15" customHeight="1">
      <c r="A95" t="inlineStr">
        <is>
          <t>A 38169-2024</t>
        </is>
      </c>
      <c r="B95" s="1" t="n">
        <v>45545.45748842593</v>
      </c>
      <c r="C95" s="1" t="n">
        <v>46170</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60683-2022</t>
        </is>
      </c>
      <c r="B96" s="1" t="n">
        <v>44911</v>
      </c>
      <c r="C96" s="1" t="n">
        <v>46170</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18629-2024</t>
        </is>
      </c>
      <c r="B97" s="1" t="n">
        <v>45425.96472222222</v>
      </c>
      <c r="C97" s="1" t="n">
        <v>46170</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22469-2024</t>
        </is>
      </c>
      <c r="B98" s="1" t="n">
        <v>45446.95087962963</v>
      </c>
      <c r="C98" s="1" t="n">
        <v>46170</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19851-2022</t>
        </is>
      </c>
      <c r="B99" s="1" t="n">
        <v>44696</v>
      </c>
      <c r="C99" s="1" t="n">
        <v>46170</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46170</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60670-2022</t>
        </is>
      </c>
      <c r="B101" s="1" t="n">
        <v>44911</v>
      </c>
      <c r="C101" s="1" t="n">
        <v>46170</v>
      </c>
      <c r="D101" t="inlineStr">
        <is>
          <t>JÄMTLANDS LÄN</t>
        </is>
      </c>
      <c r="E101" t="inlineStr">
        <is>
          <t>RAGUNDA</t>
        </is>
      </c>
      <c r="F101" t="inlineStr">
        <is>
          <t>SCA</t>
        </is>
      </c>
      <c r="G101" t="n">
        <v>5.1</v>
      </c>
      <c r="H101" t="n">
        <v>0</v>
      </c>
      <c r="I101" t="n">
        <v>0</v>
      </c>
      <c r="J101" t="n">
        <v>4</v>
      </c>
      <c r="K101" t="n">
        <v>0</v>
      </c>
      <c r="L101" t="n">
        <v>0</v>
      </c>
      <c r="M101" t="n">
        <v>0</v>
      </c>
      <c r="N101" t="n">
        <v>0</v>
      </c>
      <c r="O101" t="n">
        <v>4</v>
      </c>
      <c r="P101" t="n">
        <v>0</v>
      </c>
      <c r="Q101" t="n">
        <v>4</v>
      </c>
      <c r="R101" s="2" t="inlineStr">
        <is>
          <t>Doftskinn
Gammelgransskål
Lunglav
Ullticka</t>
        </is>
      </c>
      <c r="S101">
        <f>HYPERLINK("https://klasma.github.io/Logging_2303/artfynd/A 60670-2022 artfynd.xlsx", "A 60670-2022")</f>
        <v/>
      </c>
      <c r="T101">
        <f>HYPERLINK("https://klasma.github.io/Logging_2303/kartor/A 60670-2022 karta.png", "A 60670-2022")</f>
        <v/>
      </c>
      <c r="V101">
        <f>HYPERLINK("https://klasma.github.io/Logging_2303/klagomål/A 60670-2022 FSC-klagomål.docx", "A 60670-2022")</f>
        <v/>
      </c>
      <c r="W101">
        <f>HYPERLINK("https://klasma.github.io/Logging_2303/klagomålsmail/A 60670-2022 FSC-klagomål mail.docx", "A 60670-2022")</f>
        <v/>
      </c>
      <c r="X101">
        <f>HYPERLINK("https://klasma.github.io/Logging_2303/tillsyn/A 60670-2022 tillsynsbegäran.docx", "A 60670-2022")</f>
        <v/>
      </c>
      <c r="Y101">
        <f>HYPERLINK("https://klasma.github.io/Logging_2303/tillsynsmail/A 60670-2022 tillsynsbegäran mail.docx", "A 60670-2022")</f>
        <v/>
      </c>
    </row>
    <row r="102" ht="15" customHeight="1">
      <c r="A102" t="inlineStr">
        <is>
          <t>A 12640-2024</t>
        </is>
      </c>
      <c r="B102" s="1" t="n">
        <v>45384</v>
      </c>
      <c r="C102" s="1" t="n">
        <v>46170</v>
      </c>
      <c r="D102" t="inlineStr">
        <is>
          <t>JÄMTLANDS LÄN</t>
        </is>
      </c>
      <c r="E102" t="inlineStr">
        <is>
          <t>RAGUNDA</t>
        </is>
      </c>
      <c r="G102" t="n">
        <v>3.3</v>
      </c>
      <c r="H102" t="n">
        <v>0</v>
      </c>
      <c r="I102" t="n">
        <v>2</v>
      </c>
      <c r="J102" t="n">
        <v>1</v>
      </c>
      <c r="K102" t="n">
        <v>1</v>
      </c>
      <c r="L102" t="n">
        <v>0</v>
      </c>
      <c r="M102" t="n">
        <v>0</v>
      </c>
      <c r="N102" t="n">
        <v>0</v>
      </c>
      <c r="O102" t="n">
        <v>2</v>
      </c>
      <c r="P102" t="n">
        <v>1</v>
      </c>
      <c r="Q102" t="n">
        <v>4</v>
      </c>
      <c r="R102" s="2" t="inlineStr">
        <is>
          <t>Spadskinn
Vedskivlav
Dropptaggsvamp
Skarp dropptaggsvamp</t>
        </is>
      </c>
      <c r="S102">
        <f>HYPERLINK("https://klasma.github.io/Logging_2303/artfynd/A 12640-2024 artfynd.xlsx", "A 12640-2024")</f>
        <v/>
      </c>
      <c r="T102">
        <f>HYPERLINK("https://klasma.github.io/Logging_2303/kartor/A 12640-2024 karta.png", "A 12640-2024")</f>
        <v/>
      </c>
      <c r="V102">
        <f>HYPERLINK("https://klasma.github.io/Logging_2303/klagomål/A 12640-2024 FSC-klagomål.docx", "A 12640-2024")</f>
        <v/>
      </c>
      <c r="W102">
        <f>HYPERLINK("https://klasma.github.io/Logging_2303/klagomålsmail/A 12640-2024 FSC-klagomål mail.docx", "A 12640-2024")</f>
        <v/>
      </c>
      <c r="X102">
        <f>HYPERLINK("https://klasma.github.io/Logging_2303/tillsyn/A 12640-2024 tillsynsbegäran.docx", "A 12640-2024")</f>
        <v/>
      </c>
      <c r="Y102">
        <f>HYPERLINK("https://klasma.github.io/Logging_2303/tillsynsmail/A 12640-2024 tillsynsbegäran mail.docx", "A 12640-2024")</f>
        <v/>
      </c>
    </row>
    <row r="103" ht="15" customHeight="1">
      <c r="A103" t="inlineStr">
        <is>
          <t>A 12268-2024</t>
        </is>
      </c>
      <c r="B103" s="1" t="n">
        <v>45378</v>
      </c>
      <c r="C103" s="1" t="n">
        <v>46170</v>
      </c>
      <c r="D103" t="inlineStr">
        <is>
          <t>JÄMTLANDS LÄN</t>
        </is>
      </c>
      <c r="E103" t="inlineStr">
        <is>
          <t>RAGUNDA</t>
        </is>
      </c>
      <c r="F103" t="inlineStr">
        <is>
          <t>Kommuner</t>
        </is>
      </c>
      <c r="G103" t="n">
        <v>15.7</v>
      </c>
      <c r="H103" t="n">
        <v>0</v>
      </c>
      <c r="I103" t="n">
        <v>0</v>
      </c>
      <c r="J103" t="n">
        <v>4</v>
      </c>
      <c r="K103" t="n">
        <v>0</v>
      </c>
      <c r="L103" t="n">
        <v>0</v>
      </c>
      <c r="M103" t="n">
        <v>0</v>
      </c>
      <c r="N103" t="n">
        <v>0</v>
      </c>
      <c r="O103" t="n">
        <v>4</v>
      </c>
      <c r="P103" t="n">
        <v>0</v>
      </c>
      <c r="Q103" t="n">
        <v>4</v>
      </c>
      <c r="R103" s="2" t="inlineStr">
        <is>
          <t>Granticka
Mörk kolflarnlav
Vedskivlav
Vitgrynig nållav</t>
        </is>
      </c>
      <c r="S103">
        <f>HYPERLINK("https://klasma.github.io/Logging_2303/artfynd/A 12268-2024 artfynd.xlsx", "A 12268-2024")</f>
        <v/>
      </c>
      <c r="T103">
        <f>HYPERLINK("https://klasma.github.io/Logging_2303/kartor/A 12268-2024 karta.png", "A 12268-2024")</f>
        <v/>
      </c>
      <c r="V103">
        <f>HYPERLINK("https://klasma.github.io/Logging_2303/klagomål/A 12268-2024 FSC-klagomål.docx", "A 12268-2024")</f>
        <v/>
      </c>
      <c r="W103">
        <f>HYPERLINK("https://klasma.github.io/Logging_2303/klagomålsmail/A 12268-2024 FSC-klagomål mail.docx", "A 12268-2024")</f>
        <v/>
      </c>
      <c r="X103">
        <f>HYPERLINK("https://klasma.github.io/Logging_2303/tillsyn/A 12268-2024 tillsynsbegäran.docx", "A 12268-2024")</f>
        <v/>
      </c>
      <c r="Y103">
        <f>HYPERLINK("https://klasma.github.io/Logging_2303/tillsynsmail/A 12268-2024 tillsynsbegäran mail.docx", "A 12268-2024")</f>
        <v/>
      </c>
    </row>
    <row r="104" ht="15" customHeight="1">
      <c r="A104" t="inlineStr">
        <is>
          <t>A 32903-2024</t>
        </is>
      </c>
      <c r="B104" s="1" t="n">
        <v>45516.94723379629</v>
      </c>
      <c r="C104" s="1" t="n">
        <v>46170</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52168-2025</t>
        </is>
      </c>
      <c r="B105" s="1" t="n">
        <v>45953.365625</v>
      </c>
      <c r="C105" s="1" t="n">
        <v>46170</v>
      </c>
      <c r="D105" t="inlineStr">
        <is>
          <t>JÄMTLANDS LÄN</t>
        </is>
      </c>
      <c r="E105" t="inlineStr">
        <is>
          <t>RAGUNDA</t>
        </is>
      </c>
      <c r="F105" t="inlineStr">
        <is>
          <t>SCA</t>
        </is>
      </c>
      <c r="G105" t="n">
        <v>19.5</v>
      </c>
      <c r="H105" t="n">
        <v>0</v>
      </c>
      <c r="I105" t="n">
        <v>1</v>
      </c>
      <c r="J105" t="n">
        <v>3</v>
      </c>
      <c r="K105" t="n">
        <v>0</v>
      </c>
      <c r="L105" t="n">
        <v>0</v>
      </c>
      <c r="M105" t="n">
        <v>0</v>
      </c>
      <c r="N105" t="n">
        <v>0</v>
      </c>
      <c r="O105" t="n">
        <v>3</v>
      </c>
      <c r="P105" t="n">
        <v>0</v>
      </c>
      <c r="Q105" t="n">
        <v>4</v>
      </c>
      <c r="R105" s="2" t="inlineStr">
        <is>
          <t>Garnlav
Granticka
Vitgrynig nållav
Källmossa</t>
        </is>
      </c>
      <c r="S105">
        <f>HYPERLINK("https://klasma.github.io/Logging_2303/artfynd/A 52168-2025 artfynd.xlsx", "A 52168-2025")</f>
        <v/>
      </c>
      <c r="T105">
        <f>HYPERLINK("https://klasma.github.io/Logging_2303/kartor/A 52168-2025 karta.png", "A 52168-2025")</f>
        <v/>
      </c>
      <c r="V105">
        <f>HYPERLINK("https://klasma.github.io/Logging_2303/klagomål/A 52168-2025 FSC-klagomål.docx", "A 52168-2025")</f>
        <v/>
      </c>
      <c r="W105">
        <f>HYPERLINK("https://klasma.github.io/Logging_2303/klagomålsmail/A 52168-2025 FSC-klagomål mail.docx", "A 52168-2025")</f>
        <v/>
      </c>
      <c r="X105">
        <f>HYPERLINK("https://klasma.github.io/Logging_2303/tillsyn/A 52168-2025 tillsynsbegäran.docx", "A 52168-2025")</f>
        <v/>
      </c>
      <c r="Y105">
        <f>HYPERLINK("https://klasma.github.io/Logging_2303/tillsynsmail/A 52168-2025 tillsynsbegäran mail.docx", "A 52168-2025")</f>
        <v/>
      </c>
    </row>
    <row r="106" ht="15" customHeight="1">
      <c r="A106" t="inlineStr">
        <is>
          <t>A 40653-2025</t>
        </is>
      </c>
      <c r="B106" s="1" t="n">
        <v>45896.63618055556</v>
      </c>
      <c r="C106" s="1" t="n">
        <v>46170</v>
      </c>
      <c r="D106" t="inlineStr">
        <is>
          <t>JÄMTLANDS LÄN</t>
        </is>
      </c>
      <c r="E106" t="inlineStr">
        <is>
          <t>RAGUNDA</t>
        </is>
      </c>
      <c r="F106" t="inlineStr">
        <is>
          <t>SCA</t>
        </is>
      </c>
      <c r="G106" t="n">
        <v>3.9</v>
      </c>
      <c r="H106" t="n">
        <v>0</v>
      </c>
      <c r="I106" t="n">
        <v>1</v>
      </c>
      <c r="J106" t="n">
        <v>3</v>
      </c>
      <c r="K106" t="n">
        <v>0</v>
      </c>
      <c r="L106" t="n">
        <v>0</v>
      </c>
      <c r="M106" t="n">
        <v>0</v>
      </c>
      <c r="N106" t="n">
        <v>0</v>
      </c>
      <c r="O106" t="n">
        <v>3</v>
      </c>
      <c r="P106" t="n">
        <v>0</v>
      </c>
      <c r="Q106" t="n">
        <v>4</v>
      </c>
      <c r="R106" s="2" t="inlineStr">
        <is>
          <t>Blå taggsvamp
Garnlav
Mörk kolflarnlav
Dropptaggsvamp</t>
        </is>
      </c>
      <c r="S106">
        <f>HYPERLINK("https://klasma.github.io/Logging_2303/artfynd/A 40653-2025 artfynd.xlsx", "A 40653-2025")</f>
        <v/>
      </c>
      <c r="T106">
        <f>HYPERLINK("https://klasma.github.io/Logging_2303/kartor/A 40653-2025 karta.png", "A 40653-2025")</f>
        <v/>
      </c>
      <c r="V106">
        <f>HYPERLINK("https://klasma.github.io/Logging_2303/klagomål/A 40653-2025 FSC-klagomål.docx", "A 40653-2025")</f>
        <v/>
      </c>
      <c r="W106">
        <f>HYPERLINK("https://klasma.github.io/Logging_2303/klagomålsmail/A 40653-2025 FSC-klagomål mail.docx", "A 40653-2025")</f>
        <v/>
      </c>
      <c r="X106">
        <f>HYPERLINK("https://klasma.github.io/Logging_2303/tillsyn/A 40653-2025 tillsynsbegäran.docx", "A 40653-2025")</f>
        <v/>
      </c>
      <c r="Y106">
        <f>HYPERLINK("https://klasma.github.io/Logging_2303/tillsynsmail/A 40653-2025 tillsynsbegäran mail.docx", "A 40653-2025")</f>
        <v/>
      </c>
    </row>
    <row r="107" ht="15" customHeight="1">
      <c r="A107" t="inlineStr">
        <is>
          <t>A 26082-2025</t>
        </is>
      </c>
      <c r="B107" s="1" t="n">
        <v>45805.34415509259</v>
      </c>
      <c r="C107" s="1" t="n">
        <v>46170</v>
      </c>
      <c r="D107" t="inlineStr">
        <is>
          <t>JÄMTLANDS LÄN</t>
        </is>
      </c>
      <c r="E107" t="inlineStr">
        <is>
          <t>RAGUNDA</t>
        </is>
      </c>
      <c r="F107" t="inlineStr">
        <is>
          <t>SCA</t>
        </is>
      </c>
      <c r="G107" t="n">
        <v>5</v>
      </c>
      <c r="H107" t="n">
        <v>1</v>
      </c>
      <c r="I107" t="n">
        <v>0</v>
      </c>
      <c r="J107" t="n">
        <v>3</v>
      </c>
      <c r="K107" t="n">
        <v>1</v>
      </c>
      <c r="L107" t="n">
        <v>0</v>
      </c>
      <c r="M107" t="n">
        <v>0</v>
      </c>
      <c r="N107" t="n">
        <v>0</v>
      </c>
      <c r="O107" t="n">
        <v>4</v>
      </c>
      <c r="P107" t="n">
        <v>1</v>
      </c>
      <c r="Q107" t="n">
        <v>4</v>
      </c>
      <c r="R107" s="2" t="inlineStr">
        <is>
          <t>Knärot
Gammelgransskål
Lunglav
Vitgrynig nållav</t>
        </is>
      </c>
      <c r="S107">
        <f>HYPERLINK("https://klasma.github.io/Logging_2303/artfynd/A 26082-2025 artfynd.xlsx", "A 26082-2025")</f>
        <v/>
      </c>
      <c r="T107">
        <f>HYPERLINK("https://klasma.github.io/Logging_2303/kartor/A 26082-2025 karta.png", "A 26082-2025")</f>
        <v/>
      </c>
      <c r="U107">
        <f>HYPERLINK("https://klasma.github.io/Logging_2303/knärot/A 26082-2025 karta knärot.png", "A 26082-2025")</f>
        <v/>
      </c>
      <c r="V107">
        <f>HYPERLINK("https://klasma.github.io/Logging_2303/klagomål/A 26082-2025 FSC-klagomål.docx", "A 26082-2025")</f>
        <v/>
      </c>
      <c r="W107">
        <f>HYPERLINK("https://klasma.github.io/Logging_2303/klagomålsmail/A 26082-2025 FSC-klagomål mail.docx", "A 26082-2025")</f>
        <v/>
      </c>
      <c r="X107">
        <f>HYPERLINK("https://klasma.github.io/Logging_2303/tillsyn/A 26082-2025 tillsynsbegäran.docx", "A 26082-2025")</f>
        <v/>
      </c>
      <c r="Y107">
        <f>HYPERLINK("https://klasma.github.io/Logging_2303/tillsynsmail/A 26082-2025 tillsynsbegäran mail.docx", "A 26082-2025")</f>
        <v/>
      </c>
    </row>
    <row r="108" ht="15" customHeight="1">
      <c r="A108" t="inlineStr">
        <is>
          <t>A 43960-2023</t>
        </is>
      </c>
      <c r="B108" s="1" t="n">
        <v>45187</v>
      </c>
      <c r="C108" s="1" t="n">
        <v>46170</v>
      </c>
      <c r="D108" t="inlineStr">
        <is>
          <t>JÄMTLANDS LÄN</t>
        </is>
      </c>
      <c r="E108" t="inlineStr">
        <is>
          <t>RAGUNDA</t>
        </is>
      </c>
      <c r="F108" t="inlineStr">
        <is>
          <t>SCA</t>
        </is>
      </c>
      <c r="G108" t="n">
        <v>5.5</v>
      </c>
      <c r="H108" t="n">
        <v>0</v>
      </c>
      <c r="I108" t="n">
        <v>1</v>
      </c>
      <c r="J108" t="n">
        <v>3</v>
      </c>
      <c r="K108" t="n">
        <v>0</v>
      </c>
      <c r="L108" t="n">
        <v>0</v>
      </c>
      <c r="M108" t="n">
        <v>0</v>
      </c>
      <c r="N108" t="n">
        <v>0</v>
      </c>
      <c r="O108" t="n">
        <v>3</v>
      </c>
      <c r="P108" t="n">
        <v>0</v>
      </c>
      <c r="Q108" t="n">
        <v>4</v>
      </c>
      <c r="R108" s="2" t="inlineStr">
        <is>
          <t>Granticka
Vedflikmossa
Vedtrappmossa
Vedticka</t>
        </is>
      </c>
      <c r="S108">
        <f>HYPERLINK("https://klasma.github.io/Logging_2303/artfynd/A 43960-2023 artfynd.xlsx", "A 43960-2023")</f>
        <v/>
      </c>
      <c r="T108">
        <f>HYPERLINK("https://klasma.github.io/Logging_2303/kartor/A 43960-2023 karta.png", "A 43960-2023")</f>
        <v/>
      </c>
      <c r="V108">
        <f>HYPERLINK("https://klasma.github.io/Logging_2303/klagomål/A 43960-2023 FSC-klagomål.docx", "A 43960-2023")</f>
        <v/>
      </c>
      <c r="W108">
        <f>HYPERLINK("https://klasma.github.io/Logging_2303/klagomålsmail/A 43960-2023 FSC-klagomål mail.docx", "A 43960-2023")</f>
        <v/>
      </c>
      <c r="X108">
        <f>HYPERLINK("https://klasma.github.io/Logging_2303/tillsyn/A 43960-2023 tillsynsbegäran.docx", "A 43960-2023")</f>
        <v/>
      </c>
      <c r="Y108">
        <f>HYPERLINK("https://klasma.github.io/Logging_2303/tillsynsmail/A 43960-2023 tillsynsbegäran mail.docx", "A 43960-2023")</f>
        <v/>
      </c>
    </row>
    <row r="109" ht="15" customHeight="1">
      <c r="A109" t="inlineStr">
        <is>
          <t>A 30483-2024</t>
        </is>
      </c>
      <c r="B109" s="1" t="n">
        <v>45491</v>
      </c>
      <c r="C109" s="1" t="n">
        <v>46170</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23931-2024</t>
        </is>
      </c>
      <c r="B110" s="1" t="n">
        <v>45455.96195601852</v>
      </c>
      <c r="C110" s="1" t="n">
        <v>46170</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30465-2024</t>
        </is>
      </c>
      <c r="B111" s="1" t="n">
        <v>45491</v>
      </c>
      <c r="C111" s="1" t="n">
        <v>46170</v>
      </c>
      <c r="D111" t="inlineStr">
        <is>
          <t>JÄMTLANDS LÄN</t>
        </is>
      </c>
      <c r="E111" t="inlineStr">
        <is>
          <t>RAGUNDA</t>
        </is>
      </c>
      <c r="F111" t="inlineStr">
        <is>
          <t>SCA</t>
        </is>
      </c>
      <c r="G111" t="n">
        <v>3.7</v>
      </c>
      <c r="H111" t="n">
        <v>1</v>
      </c>
      <c r="I111" t="n">
        <v>0</v>
      </c>
      <c r="J111" t="n">
        <v>4</v>
      </c>
      <c r="K111" t="n">
        <v>0</v>
      </c>
      <c r="L111" t="n">
        <v>0</v>
      </c>
      <c r="M111" t="n">
        <v>0</v>
      </c>
      <c r="N111" t="n">
        <v>0</v>
      </c>
      <c r="O111" t="n">
        <v>4</v>
      </c>
      <c r="P111" t="n">
        <v>0</v>
      </c>
      <c r="Q111" t="n">
        <v>4</v>
      </c>
      <c r="R111" s="2" t="inlineStr">
        <is>
          <t>Granticka
Tretåig hackspett
Ullticka
Violmussling</t>
        </is>
      </c>
      <c r="S111">
        <f>HYPERLINK("https://klasma.github.io/Logging_2303/artfynd/A 30465-2024 artfynd.xlsx", "A 30465-2024")</f>
        <v/>
      </c>
      <c r="T111">
        <f>HYPERLINK("https://klasma.github.io/Logging_2303/kartor/A 30465-2024 karta.png", "A 30465-2024")</f>
        <v/>
      </c>
      <c r="V111">
        <f>HYPERLINK("https://klasma.github.io/Logging_2303/klagomål/A 30465-2024 FSC-klagomål.docx", "A 30465-2024")</f>
        <v/>
      </c>
      <c r="W111">
        <f>HYPERLINK("https://klasma.github.io/Logging_2303/klagomålsmail/A 30465-2024 FSC-klagomål mail.docx", "A 30465-2024")</f>
        <v/>
      </c>
      <c r="X111">
        <f>HYPERLINK("https://klasma.github.io/Logging_2303/tillsyn/A 30465-2024 tillsynsbegäran.docx", "A 30465-2024")</f>
        <v/>
      </c>
      <c r="Y111">
        <f>HYPERLINK("https://klasma.github.io/Logging_2303/tillsynsmail/A 30465-2024 tillsynsbegäran mail.docx", "A 30465-2024")</f>
        <v/>
      </c>
      <c r="Z111">
        <f>HYPERLINK("https://klasma.github.io/Logging_2303/fåglar/A 30465-2024 prioriterade fågelarter.docx", "A 30465-2024")</f>
        <v/>
      </c>
    </row>
    <row r="112" ht="15" customHeight="1">
      <c r="A112" t="inlineStr">
        <is>
          <t>A 32067-2024</t>
        </is>
      </c>
      <c r="B112" s="1" t="n">
        <v>45510</v>
      </c>
      <c r="C112" s="1" t="n">
        <v>46170</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15836-2024</t>
        </is>
      </c>
      <c r="B113" s="1" t="n">
        <v>45404</v>
      </c>
      <c r="C113" s="1" t="n">
        <v>46170</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50342-2025</t>
        </is>
      </c>
      <c r="B114" s="1" t="n">
        <v>45944.53186342592</v>
      </c>
      <c r="C114" s="1" t="n">
        <v>46170</v>
      </c>
      <c r="D114" t="inlineStr">
        <is>
          <t>JÄMTLANDS LÄN</t>
        </is>
      </c>
      <c r="E114" t="inlineStr">
        <is>
          <t>RAGUNDA</t>
        </is>
      </c>
      <c r="F114" t="inlineStr">
        <is>
          <t>SCA</t>
        </is>
      </c>
      <c r="G114" t="n">
        <v>20.7</v>
      </c>
      <c r="H114" t="n">
        <v>1</v>
      </c>
      <c r="I114" t="n">
        <v>1</v>
      </c>
      <c r="J114" t="n">
        <v>3</v>
      </c>
      <c r="K114" t="n">
        <v>0</v>
      </c>
      <c r="L114" t="n">
        <v>0</v>
      </c>
      <c r="M114" t="n">
        <v>0</v>
      </c>
      <c r="N114" t="n">
        <v>0</v>
      </c>
      <c r="O114" t="n">
        <v>3</v>
      </c>
      <c r="P114" t="n">
        <v>0</v>
      </c>
      <c r="Q114" t="n">
        <v>4</v>
      </c>
      <c r="R114" s="2" t="inlineStr">
        <is>
          <t>Garnlav
Granticka
Tretåig hackspett
Trådticka</t>
        </is>
      </c>
      <c r="S114">
        <f>HYPERLINK("https://klasma.github.io/Logging_2303/artfynd/A 50342-2025 artfynd.xlsx", "A 50342-2025")</f>
        <v/>
      </c>
      <c r="T114">
        <f>HYPERLINK("https://klasma.github.io/Logging_2303/kartor/A 50342-2025 karta.png", "A 50342-2025")</f>
        <v/>
      </c>
      <c r="V114">
        <f>HYPERLINK("https://klasma.github.io/Logging_2303/klagomål/A 50342-2025 FSC-klagomål.docx", "A 50342-2025")</f>
        <v/>
      </c>
      <c r="W114">
        <f>HYPERLINK("https://klasma.github.io/Logging_2303/klagomålsmail/A 50342-2025 FSC-klagomål mail.docx", "A 50342-2025")</f>
        <v/>
      </c>
      <c r="X114">
        <f>HYPERLINK("https://klasma.github.io/Logging_2303/tillsyn/A 50342-2025 tillsynsbegäran.docx", "A 50342-2025")</f>
        <v/>
      </c>
      <c r="Y114">
        <f>HYPERLINK("https://klasma.github.io/Logging_2303/tillsynsmail/A 50342-2025 tillsynsbegäran mail.docx", "A 50342-2025")</f>
        <v/>
      </c>
      <c r="Z114">
        <f>HYPERLINK("https://klasma.github.io/Logging_2303/fåglar/A 50342-2025 prioriterade fågelarter.docx", "A 50342-2025")</f>
        <v/>
      </c>
    </row>
    <row r="115" ht="15" customHeight="1">
      <c r="A115" t="inlineStr">
        <is>
          <t>A 3809-2026</t>
        </is>
      </c>
      <c r="B115" s="1" t="n">
        <v>46043.58364583334</v>
      </c>
      <c r="C115" s="1" t="n">
        <v>46170</v>
      </c>
      <c r="D115" t="inlineStr">
        <is>
          <t>JÄMTLANDS LÄN</t>
        </is>
      </c>
      <c r="E115" t="inlineStr">
        <is>
          <t>RAGUNDA</t>
        </is>
      </c>
      <c r="G115" t="n">
        <v>28.6</v>
      </c>
      <c r="H115" t="n">
        <v>1</v>
      </c>
      <c r="I115" t="n">
        <v>0</v>
      </c>
      <c r="J115" t="n">
        <v>3</v>
      </c>
      <c r="K115" t="n">
        <v>1</v>
      </c>
      <c r="L115" t="n">
        <v>0</v>
      </c>
      <c r="M115" t="n">
        <v>0</v>
      </c>
      <c r="N115" t="n">
        <v>0</v>
      </c>
      <c r="O115" t="n">
        <v>4</v>
      </c>
      <c r="P115" t="n">
        <v>1</v>
      </c>
      <c r="Q115" t="n">
        <v>4</v>
      </c>
      <c r="R115" s="2" t="inlineStr">
        <is>
          <t>Knärot
Garnlav
Lunglav
Vitgrynig nållav</t>
        </is>
      </c>
      <c r="S115">
        <f>HYPERLINK("https://klasma.github.io/Logging_2303/artfynd/A 3809-2026 artfynd.xlsx", "A 3809-2026")</f>
        <v/>
      </c>
      <c r="T115">
        <f>HYPERLINK("https://klasma.github.io/Logging_2303/kartor/A 3809-2026 karta.png", "A 3809-2026")</f>
        <v/>
      </c>
      <c r="U115">
        <f>HYPERLINK("https://klasma.github.io/Logging_2303/knärot/A 3809-2026 karta knärot.png", "A 3809-2026")</f>
        <v/>
      </c>
      <c r="V115">
        <f>HYPERLINK("https://klasma.github.io/Logging_2303/klagomål/A 3809-2026 FSC-klagomål.docx", "A 3809-2026")</f>
        <v/>
      </c>
      <c r="W115">
        <f>HYPERLINK("https://klasma.github.io/Logging_2303/klagomålsmail/A 3809-2026 FSC-klagomål mail.docx", "A 3809-2026")</f>
        <v/>
      </c>
      <c r="X115">
        <f>HYPERLINK("https://klasma.github.io/Logging_2303/tillsyn/A 3809-2026 tillsynsbegäran.docx", "A 3809-2026")</f>
        <v/>
      </c>
      <c r="Y115">
        <f>HYPERLINK("https://klasma.github.io/Logging_2303/tillsynsmail/A 3809-2026 tillsynsbegäran mail.docx", "A 3809-2026")</f>
        <v/>
      </c>
    </row>
    <row r="116" ht="15" customHeight="1">
      <c r="A116" t="inlineStr">
        <is>
          <t>A 52644-2024</t>
        </is>
      </c>
      <c r="B116" s="1" t="n">
        <v>45610.34415509259</v>
      </c>
      <c r="C116" s="1" t="n">
        <v>46170</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19401-2025</t>
        </is>
      </c>
      <c r="B117" s="1" t="n">
        <v>45769.67767361111</v>
      </c>
      <c r="C117" s="1" t="n">
        <v>46170</v>
      </c>
      <c r="D117" t="inlineStr">
        <is>
          <t>JÄMTLANDS LÄN</t>
        </is>
      </c>
      <c r="E117" t="inlineStr">
        <is>
          <t>RAGUNDA</t>
        </is>
      </c>
      <c r="F117" t="inlineStr">
        <is>
          <t>SCA</t>
        </is>
      </c>
      <c r="G117" t="n">
        <v>4.3</v>
      </c>
      <c r="H117" t="n">
        <v>1</v>
      </c>
      <c r="I117" t="n">
        <v>0</v>
      </c>
      <c r="J117" t="n">
        <v>2</v>
      </c>
      <c r="K117" t="n">
        <v>2</v>
      </c>
      <c r="L117" t="n">
        <v>0</v>
      </c>
      <c r="M117" t="n">
        <v>0</v>
      </c>
      <c r="N117" t="n">
        <v>0</v>
      </c>
      <c r="O117" t="n">
        <v>4</v>
      </c>
      <c r="P117" t="n">
        <v>2</v>
      </c>
      <c r="Q117" t="n">
        <v>4</v>
      </c>
      <c r="R117" s="2" t="inlineStr">
        <is>
          <t>Knärot
Rynkskinn
Rosenticka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17092-2022</t>
        </is>
      </c>
      <c r="B118" s="1" t="n">
        <v>44677</v>
      </c>
      <c r="C118" s="1" t="n">
        <v>46170</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21372-2025</t>
        </is>
      </c>
      <c r="B119" s="1" t="n">
        <v>45782.44871527778</v>
      </c>
      <c r="C119" s="1" t="n">
        <v>46170</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48052-2022</t>
        </is>
      </c>
      <c r="B120" s="1" t="n">
        <v>44855</v>
      </c>
      <c r="C120" s="1" t="n">
        <v>46170</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46170</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58368-2024</t>
        </is>
      </c>
      <c r="B122" s="1" t="n">
        <v>45632.69822916666</v>
      </c>
      <c r="C122" s="1" t="n">
        <v>46170</v>
      </c>
      <c r="D122" t="inlineStr">
        <is>
          <t>JÄMTLANDS LÄN</t>
        </is>
      </c>
      <c r="E122" t="inlineStr">
        <is>
          <t>RAGUNDA</t>
        </is>
      </c>
      <c r="F122" t="inlineStr">
        <is>
          <t>SCA</t>
        </is>
      </c>
      <c r="G122" t="n">
        <v>4.1</v>
      </c>
      <c r="H122" t="n">
        <v>2</v>
      </c>
      <c r="I122" t="n">
        <v>0</v>
      </c>
      <c r="J122" t="n">
        <v>3</v>
      </c>
      <c r="K122" t="n">
        <v>0</v>
      </c>
      <c r="L122" t="n">
        <v>0</v>
      </c>
      <c r="M122" t="n">
        <v>0</v>
      </c>
      <c r="N122" t="n">
        <v>0</v>
      </c>
      <c r="O122" t="n">
        <v>3</v>
      </c>
      <c r="P122" t="n">
        <v>0</v>
      </c>
      <c r="Q122" t="n">
        <v>3</v>
      </c>
      <c r="R122" s="2" t="inlineStr">
        <is>
          <t>Järpe
Lunglav
Tretåig hackspett</t>
        </is>
      </c>
      <c r="S122">
        <f>HYPERLINK("https://klasma.github.io/Logging_2303/artfynd/A 58368-2024 artfynd.xlsx", "A 58368-2024")</f>
        <v/>
      </c>
      <c r="T122">
        <f>HYPERLINK("https://klasma.github.io/Logging_2303/kartor/A 58368-2024 karta.png", "A 58368-2024")</f>
        <v/>
      </c>
      <c r="V122">
        <f>HYPERLINK("https://klasma.github.io/Logging_2303/klagomål/A 58368-2024 FSC-klagomål.docx", "A 58368-2024")</f>
        <v/>
      </c>
      <c r="W122">
        <f>HYPERLINK("https://klasma.github.io/Logging_2303/klagomålsmail/A 58368-2024 FSC-klagomål mail.docx", "A 58368-2024")</f>
        <v/>
      </c>
      <c r="X122">
        <f>HYPERLINK("https://klasma.github.io/Logging_2303/tillsyn/A 58368-2024 tillsynsbegäran.docx", "A 58368-2024")</f>
        <v/>
      </c>
      <c r="Y122">
        <f>HYPERLINK("https://klasma.github.io/Logging_2303/tillsynsmail/A 58368-2024 tillsynsbegäran mail.docx", "A 58368-2024")</f>
        <v/>
      </c>
      <c r="Z122">
        <f>HYPERLINK("https://klasma.github.io/Logging_2303/fåglar/A 58368-2024 prioriterade fågelarter.docx", "A 58368-2024")</f>
        <v/>
      </c>
    </row>
    <row r="123" ht="15" customHeight="1">
      <c r="A123" t="inlineStr">
        <is>
          <t>A 18616-2024</t>
        </is>
      </c>
      <c r="B123" s="1" t="n">
        <v>45425.96285879629</v>
      </c>
      <c r="C123" s="1" t="n">
        <v>46170</v>
      </c>
      <c r="D123" t="inlineStr">
        <is>
          <t>JÄMTLANDS LÄN</t>
        </is>
      </c>
      <c r="E123" t="inlineStr">
        <is>
          <t>RAGUNDA</t>
        </is>
      </c>
      <c r="F123" t="inlineStr">
        <is>
          <t>SCA</t>
        </is>
      </c>
      <c r="G123" t="n">
        <v>3.4</v>
      </c>
      <c r="H123" t="n">
        <v>0</v>
      </c>
      <c r="I123" t="n">
        <v>0</v>
      </c>
      <c r="J123" t="n">
        <v>3</v>
      </c>
      <c r="K123" t="n">
        <v>0</v>
      </c>
      <c r="L123" t="n">
        <v>0</v>
      </c>
      <c r="M123" t="n">
        <v>0</v>
      </c>
      <c r="N123" t="n">
        <v>0</v>
      </c>
      <c r="O123" t="n">
        <v>3</v>
      </c>
      <c r="P123" t="n">
        <v>0</v>
      </c>
      <c r="Q123" t="n">
        <v>3</v>
      </c>
      <c r="R123" s="2" t="inlineStr">
        <is>
          <t>Granticka
Orange taggsvamp
Ullticka</t>
        </is>
      </c>
      <c r="S123">
        <f>HYPERLINK("https://klasma.github.io/Logging_2303/artfynd/A 18616-2024 artfynd.xlsx", "A 18616-2024")</f>
        <v/>
      </c>
      <c r="T123">
        <f>HYPERLINK("https://klasma.github.io/Logging_2303/kartor/A 18616-2024 karta.png", "A 18616-2024")</f>
        <v/>
      </c>
      <c r="V123">
        <f>HYPERLINK("https://klasma.github.io/Logging_2303/klagomål/A 18616-2024 FSC-klagomål.docx", "A 18616-2024")</f>
        <v/>
      </c>
      <c r="W123">
        <f>HYPERLINK("https://klasma.github.io/Logging_2303/klagomålsmail/A 18616-2024 FSC-klagomål mail.docx", "A 18616-2024")</f>
        <v/>
      </c>
      <c r="X123">
        <f>HYPERLINK("https://klasma.github.io/Logging_2303/tillsyn/A 18616-2024 tillsynsbegäran.docx", "A 18616-2024")</f>
        <v/>
      </c>
      <c r="Y123">
        <f>HYPERLINK("https://klasma.github.io/Logging_2303/tillsynsmail/A 18616-2024 tillsynsbegäran mail.docx", "A 18616-2024")</f>
        <v/>
      </c>
    </row>
    <row r="124" ht="15" customHeight="1">
      <c r="A124" t="inlineStr">
        <is>
          <t>A 52345-2024</t>
        </is>
      </c>
      <c r="B124" s="1" t="n">
        <v>45609.34412037037</v>
      </c>
      <c r="C124" s="1" t="n">
        <v>46170</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46170</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25769-2025</t>
        </is>
      </c>
      <c r="B126" s="1" t="n">
        <v>45804.34474537037</v>
      </c>
      <c r="C126" s="1" t="n">
        <v>46170</v>
      </c>
      <c r="D126" t="inlineStr">
        <is>
          <t>JÄMTLANDS LÄN</t>
        </is>
      </c>
      <c r="E126" t="inlineStr">
        <is>
          <t>RAGUNDA</t>
        </is>
      </c>
      <c r="F126" t="inlineStr">
        <is>
          <t>SCA</t>
        </is>
      </c>
      <c r="G126" t="n">
        <v>5.3</v>
      </c>
      <c r="H126" t="n">
        <v>2</v>
      </c>
      <c r="I126" t="n">
        <v>0</v>
      </c>
      <c r="J126" t="n">
        <v>3</v>
      </c>
      <c r="K126" t="n">
        <v>0</v>
      </c>
      <c r="L126" t="n">
        <v>0</v>
      </c>
      <c r="M126" t="n">
        <v>0</v>
      </c>
      <c r="N126" t="n">
        <v>0</v>
      </c>
      <c r="O126" t="n">
        <v>3</v>
      </c>
      <c r="P126" t="n">
        <v>0</v>
      </c>
      <c r="Q126" t="n">
        <v>3</v>
      </c>
      <c r="R126" s="2" t="inlineStr">
        <is>
          <t>Garnlav
Rödvingetrast
Tretåig hackspett</t>
        </is>
      </c>
      <c r="S126">
        <f>HYPERLINK("https://klasma.github.io/Logging_2303/artfynd/A 25769-2025 artfynd.xlsx", "A 25769-2025")</f>
        <v/>
      </c>
      <c r="T126">
        <f>HYPERLINK("https://klasma.github.io/Logging_2303/kartor/A 25769-2025 karta.png", "A 25769-2025")</f>
        <v/>
      </c>
      <c r="V126">
        <f>HYPERLINK("https://klasma.github.io/Logging_2303/klagomål/A 25769-2025 FSC-klagomål.docx", "A 25769-2025")</f>
        <v/>
      </c>
      <c r="W126">
        <f>HYPERLINK("https://klasma.github.io/Logging_2303/klagomålsmail/A 25769-2025 FSC-klagomål mail.docx", "A 25769-2025")</f>
        <v/>
      </c>
      <c r="X126">
        <f>HYPERLINK("https://klasma.github.io/Logging_2303/tillsyn/A 25769-2025 tillsynsbegäran.docx", "A 25769-2025")</f>
        <v/>
      </c>
      <c r="Y126">
        <f>HYPERLINK("https://klasma.github.io/Logging_2303/tillsynsmail/A 25769-2025 tillsynsbegäran mail.docx", "A 25769-2025")</f>
        <v/>
      </c>
      <c r="Z126">
        <f>HYPERLINK("https://klasma.github.io/Logging_2303/fåglar/A 25769-2025 prioriterade fågelarter.docx", "A 25769-2025")</f>
        <v/>
      </c>
    </row>
    <row r="127" ht="15" customHeight="1">
      <c r="A127" t="inlineStr">
        <is>
          <t>A 45279-2025</t>
        </is>
      </c>
      <c r="B127" s="1" t="n">
        <v>45919.71912037037</v>
      </c>
      <c r="C127" s="1" t="n">
        <v>46170</v>
      </c>
      <c r="D127" t="inlineStr">
        <is>
          <t>JÄMTLANDS LÄN</t>
        </is>
      </c>
      <c r="E127" t="inlineStr">
        <is>
          <t>RAGUNDA</t>
        </is>
      </c>
      <c r="F127" t="inlineStr">
        <is>
          <t>SCA</t>
        </is>
      </c>
      <c r="G127" t="n">
        <v>11.5</v>
      </c>
      <c r="H127" t="n">
        <v>2</v>
      </c>
      <c r="I127" t="n">
        <v>0</v>
      </c>
      <c r="J127" t="n">
        <v>2</v>
      </c>
      <c r="K127" t="n">
        <v>0</v>
      </c>
      <c r="L127" t="n">
        <v>0</v>
      </c>
      <c r="M127" t="n">
        <v>0</v>
      </c>
      <c r="N127" t="n">
        <v>0</v>
      </c>
      <c r="O127" t="n">
        <v>2</v>
      </c>
      <c r="P127" t="n">
        <v>0</v>
      </c>
      <c r="Q127" t="n">
        <v>3</v>
      </c>
      <c r="R127" s="2" t="inlineStr">
        <is>
          <t>Garnlav
Spillkråka
Orre</t>
        </is>
      </c>
      <c r="S127">
        <f>HYPERLINK("https://klasma.github.io/Logging_2303/artfynd/A 45279-2025 artfynd.xlsx", "A 45279-2025")</f>
        <v/>
      </c>
      <c r="T127">
        <f>HYPERLINK("https://klasma.github.io/Logging_2303/kartor/A 45279-2025 karta.png", "A 45279-2025")</f>
        <v/>
      </c>
      <c r="V127">
        <f>HYPERLINK("https://klasma.github.io/Logging_2303/klagomål/A 45279-2025 FSC-klagomål.docx", "A 45279-2025")</f>
        <v/>
      </c>
      <c r="W127">
        <f>HYPERLINK("https://klasma.github.io/Logging_2303/klagomålsmail/A 45279-2025 FSC-klagomål mail.docx", "A 45279-2025")</f>
        <v/>
      </c>
      <c r="X127">
        <f>HYPERLINK("https://klasma.github.io/Logging_2303/tillsyn/A 45279-2025 tillsynsbegäran.docx", "A 45279-2025")</f>
        <v/>
      </c>
      <c r="Y127">
        <f>HYPERLINK("https://klasma.github.io/Logging_2303/tillsynsmail/A 45279-2025 tillsynsbegäran mail.docx", "A 45279-2025")</f>
        <v/>
      </c>
      <c r="Z127">
        <f>HYPERLINK("https://klasma.github.io/Logging_2303/fåglar/A 45279-2025 prioriterade fågelarter.docx", "A 45279-2025")</f>
        <v/>
      </c>
    </row>
    <row r="128" ht="15" customHeight="1">
      <c r="A128" t="inlineStr">
        <is>
          <t>A 58737-2022</t>
        </is>
      </c>
      <c r="B128" s="1" t="n">
        <v>44902</v>
      </c>
      <c r="C128" s="1" t="n">
        <v>46170</v>
      </c>
      <c r="D128" t="inlineStr">
        <is>
          <t>JÄMTLANDS LÄN</t>
        </is>
      </c>
      <c r="E128" t="inlineStr">
        <is>
          <t>RAGUNDA</t>
        </is>
      </c>
      <c r="F128" t="inlineStr">
        <is>
          <t>SCA</t>
        </is>
      </c>
      <c r="G128" t="n">
        <v>2.7</v>
      </c>
      <c r="H128" t="n">
        <v>0</v>
      </c>
      <c r="I128" t="n">
        <v>2</v>
      </c>
      <c r="J128" t="n">
        <v>1</v>
      </c>
      <c r="K128" t="n">
        <v>0</v>
      </c>
      <c r="L128" t="n">
        <v>0</v>
      </c>
      <c r="M128" t="n">
        <v>0</v>
      </c>
      <c r="N128" t="n">
        <v>0</v>
      </c>
      <c r="O128" t="n">
        <v>1</v>
      </c>
      <c r="P128" t="n">
        <v>0</v>
      </c>
      <c r="Q128" t="n">
        <v>3</v>
      </c>
      <c r="R128" s="2" t="inlineStr">
        <is>
          <t>Garnlav
Källmossor
Stuplav</t>
        </is>
      </c>
      <c r="S128">
        <f>HYPERLINK("https://klasma.github.io/Logging_2303/artfynd/A 58737-2022 artfynd.xlsx", "A 58737-2022")</f>
        <v/>
      </c>
      <c r="T128">
        <f>HYPERLINK("https://klasma.github.io/Logging_2303/kartor/A 58737-2022 karta.png", "A 58737-2022")</f>
        <v/>
      </c>
      <c r="V128">
        <f>HYPERLINK("https://klasma.github.io/Logging_2303/klagomål/A 58737-2022 FSC-klagomål.docx", "A 58737-2022")</f>
        <v/>
      </c>
      <c r="W128">
        <f>HYPERLINK("https://klasma.github.io/Logging_2303/klagomålsmail/A 58737-2022 FSC-klagomål mail.docx", "A 58737-2022")</f>
        <v/>
      </c>
      <c r="X128">
        <f>HYPERLINK("https://klasma.github.io/Logging_2303/tillsyn/A 58737-2022 tillsynsbegäran.docx", "A 58737-2022")</f>
        <v/>
      </c>
      <c r="Y128">
        <f>HYPERLINK("https://klasma.github.io/Logging_2303/tillsynsmail/A 58737-2022 tillsynsbegäran mail.docx", "A 58737-2022")</f>
        <v/>
      </c>
    </row>
    <row r="129" ht="15" customHeight="1">
      <c r="A129" t="inlineStr">
        <is>
          <t>A 22571-2025</t>
        </is>
      </c>
      <c r="B129" s="1" t="n">
        <v>45789.36503472222</v>
      </c>
      <c r="C129" s="1" t="n">
        <v>46170</v>
      </c>
      <c r="D129" t="inlineStr">
        <is>
          <t>JÄMTLANDS LÄN</t>
        </is>
      </c>
      <c r="E129" t="inlineStr">
        <is>
          <t>RAGUNDA</t>
        </is>
      </c>
      <c r="F129" t="inlineStr">
        <is>
          <t>SCA</t>
        </is>
      </c>
      <c r="G129" t="n">
        <v>18.2</v>
      </c>
      <c r="H129" t="n">
        <v>2</v>
      </c>
      <c r="I129" t="n">
        <v>0</v>
      </c>
      <c r="J129" t="n">
        <v>2</v>
      </c>
      <c r="K129" t="n">
        <v>0</v>
      </c>
      <c r="L129" t="n">
        <v>0</v>
      </c>
      <c r="M129" t="n">
        <v>0</v>
      </c>
      <c r="N129" t="n">
        <v>0</v>
      </c>
      <c r="O129" t="n">
        <v>2</v>
      </c>
      <c r="P129" t="n">
        <v>0</v>
      </c>
      <c r="Q129" t="n">
        <v>3</v>
      </c>
      <c r="R129" s="2" t="inlineStr">
        <is>
          <t>Garnlav
Tretåig hackspett
Nattviol</t>
        </is>
      </c>
      <c r="S129">
        <f>HYPERLINK("https://klasma.github.io/Logging_2303/artfynd/A 22571-2025 artfynd.xlsx", "A 22571-2025")</f>
        <v/>
      </c>
      <c r="T129">
        <f>HYPERLINK("https://klasma.github.io/Logging_2303/kartor/A 22571-2025 karta.png", "A 22571-2025")</f>
        <v/>
      </c>
      <c r="V129">
        <f>HYPERLINK("https://klasma.github.io/Logging_2303/klagomål/A 22571-2025 FSC-klagomål.docx", "A 22571-2025")</f>
        <v/>
      </c>
      <c r="W129">
        <f>HYPERLINK("https://klasma.github.io/Logging_2303/klagomålsmail/A 22571-2025 FSC-klagomål mail.docx", "A 22571-2025")</f>
        <v/>
      </c>
      <c r="X129">
        <f>HYPERLINK("https://klasma.github.io/Logging_2303/tillsyn/A 22571-2025 tillsynsbegäran.docx", "A 22571-2025")</f>
        <v/>
      </c>
      <c r="Y129">
        <f>HYPERLINK("https://klasma.github.io/Logging_2303/tillsynsmail/A 22571-2025 tillsynsbegäran mail.docx", "A 22571-2025")</f>
        <v/>
      </c>
      <c r="Z129">
        <f>HYPERLINK("https://klasma.github.io/Logging_2303/fåglar/A 22571-2025 prioriterade fågelarter.docx", "A 22571-2025")</f>
        <v/>
      </c>
    </row>
    <row r="130" ht="15" customHeight="1">
      <c r="A130" t="inlineStr">
        <is>
          <t>A 34585-2025</t>
        </is>
      </c>
      <c r="B130" s="1" t="n">
        <v>45847.61498842593</v>
      </c>
      <c r="C130" s="1" t="n">
        <v>46170</v>
      </c>
      <c r="D130" t="inlineStr">
        <is>
          <t>JÄMTLANDS LÄN</t>
        </is>
      </c>
      <c r="E130" t="inlineStr">
        <is>
          <t>RAGUNDA</t>
        </is>
      </c>
      <c r="F130" t="inlineStr">
        <is>
          <t>SCA</t>
        </is>
      </c>
      <c r="G130" t="n">
        <v>1.1</v>
      </c>
      <c r="H130" t="n">
        <v>2</v>
      </c>
      <c r="I130" t="n">
        <v>1</v>
      </c>
      <c r="J130" t="n">
        <v>0</v>
      </c>
      <c r="K130" t="n">
        <v>0</v>
      </c>
      <c r="L130" t="n">
        <v>0</v>
      </c>
      <c r="M130" t="n">
        <v>0</v>
      </c>
      <c r="N130" t="n">
        <v>0</v>
      </c>
      <c r="O130" t="n">
        <v>0</v>
      </c>
      <c r="P130" t="n">
        <v>0</v>
      </c>
      <c r="Q130" t="n">
        <v>3</v>
      </c>
      <c r="R130" s="2" t="inlineStr">
        <is>
          <t>Underviol
Blåsippa
Revlummer</t>
        </is>
      </c>
      <c r="S130">
        <f>HYPERLINK("https://klasma.github.io/Logging_2303/artfynd/A 34585-2025 artfynd.xlsx", "A 34585-2025")</f>
        <v/>
      </c>
      <c r="T130">
        <f>HYPERLINK("https://klasma.github.io/Logging_2303/kartor/A 34585-2025 karta.png", "A 34585-2025")</f>
        <v/>
      </c>
      <c r="V130">
        <f>HYPERLINK("https://klasma.github.io/Logging_2303/klagomål/A 34585-2025 FSC-klagomål.docx", "A 34585-2025")</f>
        <v/>
      </c>
      <c r="W130">
        <f>HYPERLINK("https://klasma.github.io/Logging_2303/klagomålsmail/A 34585-2025 FSC-klagomål mail.docx", "A 34585-2025")</f>
        <v/>
      </c>
      <c r="X130">
        <f>HYPERLINK("https://klasma.github.io/Logging_2303/tillsyn/A 34585-2025 tillsynsbegäran.docx", "A 34585-2025")</f>
        <v/>
      </c>
      <c r="Y130">
        <f>HYPERLINK("https://klasma.github.io/Logging_2303/tillsynsmail/A 34585-2025 tillsynsbegäran mail.docx", "A 34585-2025")</f>
        <v/>
      </c>
    </row>
    <row r="131" ht="15" customHeight="1">
      <c r="A131" t="inlineStr">
        <is>
          <t>A 32416-2025</t>
        </is>
      </c>
      <c r="B131" s="1" t="n">
        <v>45838</v>
      </c>
      <c r="C131" s="1" t="n">
        <v>46170</v>
      </c>
      <c r="D131" t="inlineStr">
        <is>
          <t>JÄMTLANDS LÄN</t>
        </is>
      </c>
      <c r="E131" t="inlineStr">
        <is>
          <t>RAGUNDA</t>
        </is>
      </c>
      <c r="F131" t="inlineStr">
        <is>
          <t>SCA</t>
        </is>
      </c>
      <c r="G131" t="n">
        <v>1.1</v>
      </c>
      <c r="H131" t="n">
        <v>2</v>
      </c>
      <c r="I131" t="n">
        <v>1</v>
      </c>
      <c r="J131" t="n">
        <v>0</v>
      </c>
      <c r="K131" t="n">
        <v>0</v>
      </c>
      <c r="L131" t="n">
        <v>0</v>
      </c>
      <c r="M131" t="n">
        <v>0</v>
      </c>
      <c r="N131" t="n">
        <v>0</v>
      </c>
      <c r="O131" t="n">
        <v>0</v>
      </c>
      <c r="P131" t="n">
        <v>0</v>
      </c>
      <c r="Q131" t="n">
        <v>3</v>
      </c>
      <c r="R131" s="2" t="inlineStr">
        <is>
          <t>Underviol
Blåsippa
Revlummer</t>
        </is>
      </c>
      <c r="S131">
        <f>HYPERLINK("https://klasma.github.io/Logging_2303/artfynd/A 32416-2025 artfynd.xlsx", "A 32416-2025")</f>
        <v/>
      </c>
      <c r="T131">
        <f>HYPERLINK("https://klasma.github.io/Logging_2303/kartor/A 32416-2025 karta.png", "A 32416-2025")</f>
        <v/>
      </c>
      <c r="V131">
        <f>HYPERLINK("https://klasma.github.io/Logging_2303/klagomål/A 32416-2025 FSC-klagomål.docx", "A 32416-2025")</f>
        <v/>
      </c>
      <c r="W131">
        <f>HYPERLINK("https://klasma.github.io/Logging_2303/klagomålsmail/A 32416-2025 FSC-klagomål mail.docx", "A 32416-2025")</f>
        <v/>
      </c>
      <c r="X131">
        <f>HYPERLINK("https://klasma.github.io/Logging_2303/tillsyn/A 32416-2025 tillsynsbegäran.docx", "A 32416-2025")</f>
        <v/>
      </c>
      <c r="Y131">
        <f>HYPERLINK("https://klasma.github.io/Logging_2303/tillsynsmail/A 32416-2025 tillsynsbegäran mail.docx", "A 32416-2025")</f>
        <v/>
      </c>
    </row>
    <row r="132" ht="15" customHeight="1">
      <c r="A132" t="inlineStr">
        <is>
          <t>A 28178-2023</t>
        </is>
      </c>
      <c r="B132" s="1" t="n">
        <v>45093</v>
      </c>
      <c r="C132" s="1" t="n">
        <v>46170</v>
      </c>
      <c r="D132" t="inlineStr">
        <is>
          <t>JÄMTLANDS LÄN</t>
        </is>
      </c>
      <c r="E132" t="inlineStr">
        <is>
          <t>RAGUNDA</t>
        </is>
      </c>
      <c r="G132" t="n">
        <v>5.6</v>
      </c>
      <c r="H132" t="n">
        <v>0</v>
      </c>
      <c r="I132" t="n">
        <v>0</v>
      </c>
      <c r="J132" t="n">
        <v>3</v>
      </c>
      <c r="K132" t="n">
        <v>0</v>
      </c>
      <c r="L132" t="n">
        <v>0</v>
      </c>
      <c r="M132" t="n">
        <v>0</v>
      </c>
      <c r="N132" t="n">
        <v>0</v>
      </c>
      <c r="O132" t="n">
        <v>3</v>
      </c>
      <c r="P132" t="n">
        <v>0</v>
      </c>
      <c r="Q132" t="n">
        <v>3</v>
      </c>
      <c r="R132" s="2" t="inlineStr">
        <is>
          <t>Garnlav
Gultoppig fingersvamp
Violettgrå tagellav</t>
        </is>
      </c>
      <c r="S132">
        <f>HYPERLINK("https://klasma.github.io/Logging_2303/artfynd/A 28178-2023 artfynd.xlsx", "A 28178-2023")</f>
        <v/>
      </c>
      <c r="T132">
        <f>HYPERLINK("https://klasma.github.io/Logging_2303/kartor/A 28178-2023 karta.png", "A 28178-2023")</f>
        <v/>
      </c>
      <c r="V132">
        <f>HYPERLINK("https://klasma.github.io/Logging_2303/klagomål/A 28178-2023 FSC-klagomål.docx", "A 28178-2023")</f>
        <v/>
      </c>
      <c r="W132">
        <f>HYPERLINK("https://klasma.github.io/Logging_2303/klagomålsmail/A 28178-2023 FSC-klagomål mail.docx", "A 28178-2023")</f>
        <v/>
      </c>
      <c r="X132">
        <f>HYPERLINK("https://klasma.github.io/Logging_2303/tillsyn/A 28178-2023 tillsynsbegäran.docx", "A 28178-2023")</f>
        <v/>
      </c>
      <c r="Y132">
        <f>HYPERLINK("https://klasma.github.io/Logging_2303/tillsynsmail/A 28178-2023 tillsynsbegäran mail.docx", "A 28178-2023")</f>
        <v/>
      </c>
    </row>
    <row r="133" ht="15" customHeight="1">
      <c r="A133" t="inlineStr">
        <is>
          <t>A 49047-2023</t>
        </is>
      </c>
      <c r="B133" s="1" t="n">
        <v>45209</v>
      </c>
      <c r="C133" s="1" t="n">
        <v>46170</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57667-2025</t>
        </is>
      </c>
      <c r="B134" s="1" t="n">
        <v>45981.42767361111</v>
      </c>
      <c r="C134" s="1" t="n">
        <v>46170</v>
      </c>
      <c r="D134" t="inlineStr">
        <is>
          <t>JÄMTLANDS LÄN</t>
        </is>
      </c>
      <c r="E134" t="inlineStr">
        <is>
          <t>RAGUNDA</t>
        </is>
      </c>
      <c r="F134" t="inlineStr">
        <is>
          <t>SCA</t>
        </is>
      </c>
      <c r="G134" t="n">
        <v>1.7</v>
      </c>
      <c r="H134" t="n">
        <v>0</v>
      </c>
      <c r="I134" t="n">
        <v>2</v>
      </c>
      <c r="J134" t="n">
        <v>1</v>
      </c>
      <c r="K134" t="n">
        <v>0</v>
      </c>
      <c r="L134" t="n">
        <v>0</v>
      </c>
      <c r="M134" t="n">
        <v>0</v>
      </c>
      <c r="N134" t="n">
        <v>0</v>
      </c>
      <c r="O134" t="n">
        <v>1</v>
      </c>
      <c r="P134" t="n">
        <v>0</v>
      </c>
      <c r="Q134" t="n">
        <v>3</v>
      </c>
      <c r="R134" s="2" t="inlineStr">
        <is>
          <t>Lunglav
Korallblylav
Luddlav</t>
        </is>
      </c>
      <c r="S134">
        <f>HYPERLINK("https://klasma.github.io/Logging_2303/artfynd/A 57667-2025 artfynd.xlsx", "A 57667-2025")</f>
        <v/>
      </c>
      <c r="T134">
        <f>HYPERLINK("https://klasma.github.io/Logging_2303/kartor/A 57667-2025 karta.png", "A 57667-2025")</f>
        <v/>
      </c>
      <c r="V134">
        <f>HYPERLINK("https://klasma.github.io/Logging_2303/klagomål/A 57667-2025 FSC-klagomål.docx", "A 57667-2025")</f>
        <v/>
      </c>
      <c r="W134">
        <f>HYPERLINK("https://klasma.github.io/Logging_2303/klagomålsmail/A 57667-2025 FSC-klagomål mail.docx", "A 57667-2025")</f>
        <v/>
      </c>
      <c r="X134">
        <f>HYPERLINK("https://klasma.github.io/Logging_2303/tillsyn/A 57667-2025 tillsynsbegäran.docx", "A 57667-2025")</f>
        <v/>
      </c>
      <c r="Y134">
        <f>HYPERLINK("https://klasma.github.io/Logging_2303/tillsynsmail/A 57667-2025 tillsynsbegäran mail.docx", "A 57667-2025")</f>
        <v/>
      </c>
    </row>
    <row r="135" ht="15" customHeight="1">
      <c r="A135" t="inlineStr">
        <is>
          <t>A 59179-2025</t>
        </is>
      </c>
      <c r="B135" s="1" t="n">
        <v>45988.57350694444</v>
      </c>
      <c r="C135" s="1" t="n">
        <v>46170</v>
      </c>
      <c r="D135" t="inlineStr">
        <is>
          <t>JÄMTLANDS LÄN</t>
        </is>
      </c>
      <c r="E135" t="inlineStr">
        <is>
          <t>RAGUNDA</t>
        </is>
      </c>
      <c r="F135" t="inlineStr">
        <is>
          <t>SCA</t>
        </is>
      </c>
      <c r="G135" t="n">
        <v>2.3</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HYPERLINK("https://klasma.github.io/Logging_2303/artfynd/A 59179-2025 artfynd.xlsx", "A 59179-2025")</f>
        <v/>
      </c>
      <c r="T135">
        <f>HYPERLINK("https://klasma.github.io/Logging_2303/kartor/A 59179-2025 karta.png", "A 59179-2025")</f>
        <v/>
      </c>
      <c r="V135">
        <f>HYPERLINK("https://klasma.github.io/Logging_2303/klagomål/A 59179-2025 FSC-klagomål.docx", "A 59179-2025")</f>
        <v/>
      </c>
      <c r="W135">
        <f>HYPERLINK("https://klasma.github.io/Logging_2303/klagomålsmail/A 59179-2025 FSC-klagomål mail.docx", "A 59179-2025")</f>
        <v/>
      </c>
      <c r="X135">
        <f>HYPERLINK("https://klasma.github.io/Logging_2303/tillsyn/A 59179-2025 tillsynsbegäran.docx", "A 59179-2025")</f>
        <v/>
      </c>
      <c r="Y135">
        <f>HYPERLINK("https://klasma.github.io/Logging_2303/tillsynsmail/A 59179-2025 tillsynsbegäran mail.docx", "A 59179-2025")</f>
        <v/>
      </c>
    </row>
    <row r="136" ht="15" customHeight="1">
      <c r="A136" t="inlineStr">
        <is>
          <t>A 14814-2024</t>
        </is>
      </c>
      <c r="B136" s="1" t="n">
        <v>45397.95748842593</v>
      </c>
      <c r="C136" s="1" t="n">
        <v>46170</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33278-2022</t>
        </is>
      </c>
      <c r="B137" s="1" t="n">
        <v>44788</v>
      </c>
      <c r="C137" s="1" t="n">
        <v>46170</v>
      </c>
      <c r="D137" t="inlineStr">
        <is>
          <t>JÄMTLANDS LÄN</t>
        </is>
      </c>
      <c r="E137" t="inlineStr">
        <is>
          <t>RAGUNDA</t>
        </is>
      </c>
      <c r="G137" t="n">
        <v>3.2</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HYPERLINK("https://klasma.github.io/Logging_2303/artfynd/A 33278-2022 artfynd.xlsx", "A 33278-2022")</f>
        <v/>
      </c>
      <c r="T137">
        <f>HYPERLINK("https://klasma.github.io/Logging_2303/kartor/A 33278-2022 karta.png", "A 33278-2022")</f>
        <v/>
      </c>
      <c r="U137">
        <f>HYPERLINK("https://klasma.github.io/Logging_2303/knärot/A 33278-2022 karta knärot.png", "A 33278-2022")</f>
        <v/>
      </c>
      <c r="V137">
        <f>HYPERLINK("https://klasma.github.io/Logging_2303/klagomål/A 33278-2022 FSC-klagomål.docx", "A 33278-2022")</f>
        <v/>
      </c>
      <c r="W137">
        <f>HYPERLINK("https://klasma.github.io/Logging_2303/klagomålsmail/A 33278-2022 FSC-klagomål mail.docx", "A 33278-2022")</f>
        <v/>
      </c>
      <c r="X137">
        <f>HYPERLINK("https://klasma.github.io/Logging_2303/tillsyn/A 33278-2022 tillsynsbegäran.docx", "A 33278-2022")</f>
        <v/>
      </c>
      <c r="Y137">
        <f>HYPERLINK("https://klasma.github.io/Logging_2303/tillsynsmail/A 33278-2022 tillsynsbegäran mail.docx", "A 33278-2022")</f>
        <v/>
      </c>
      <c r="Z137">
        <f>HYPERLINK("https://klasma.github.io/Logging_2303/fåglar/A 33278-2022 prioriterade fågelarter.docx", "A 33278-2022")</f>
        <v/>
      </c>
    </row>
    <row r="138" ht="15" customHeight="1">
      <c r="A138" t="inlineStr">
        <is>
          <t>A 7519-2023</t>
        </is>
      </c>
      <c r="B138" s="1" t="n">
        <v>44971</v>
      </c>
      <c r="C138" s="1" t="n">
        <v>46170</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61954-2025</t>
        </is>
      </c>
      <c r="B139" s="1" t="n">
        <v>46003.57381944444</v>
      </c>
      <c r="C139" s="1" t="n">
        <v>46170</v>
      </c>
      <c r="D139" t="inlineStr">
        <is>
          <t>JÄMTLANDS LÄN</t>
        </is>
      </c>
      <c r="E139" t="inlineStr">
        <is>
          <t>RAGUNDA</t>
        </is>
      </c>
      <c r="F139" t="inlineStr">
        <is>
          <t>SCA</t>
        </is>
      </c>
      <c r="G139" t="n">
        <v>6.5</v>
      </c>
      <c r="H139" t="n">
        <v>0</v>
      </c>
      <c r="I139" t="n">
        <v>1</v>
      </c>
      <c r="J139" t="n">
        <v>2</v>
      </c>
      <c r="K139" t="n">
        <v>0</v>
      </c>
      <c r="L139" t="n">
        <v>0</v>
      </c>
      <c r="M139" t="n">
        <v>0</v>
      </c>
      <c r="N139" t="n">
        <v>0</v>
      </c>
      <c r="O139" t="n">
        <v>2</v>
      </c>
      <c r="P139" t="n">
        <v>0</v>
      </c>
      <c r="Q139" t="n">
        <v>3</v>
      </c>
      <c r="R139" s="2" t="inlineStr">
        <is>
          <t>Garnlav
Lunglav
Trådticka</t>
        </is>
      </c>
      <c r="S139">
        <f>HYPERLINK("https://klasma.github.io/Logging_2303/artfynd/A 61954-2025 artfynd.xlsx", "A 61954-2025")</f>
        <v/>
      </c>
      <c r="T139">
        <f>HYPERLINK("https://klasma.github.io/Logging_2303/kartor/A 61954-2025 karta.png", "A 61954-2025")</f>
        <v/>
      </c>
      <c r="V139">
        <f>HYPERLINK("https://klasma.github.io/Logging_2303/klagomål/A 61954-2025 FSC-klagomål.docx", "A 61954-2025")</f>
        <v/>
      </c>
      <c r="W139">
        <f>HYPERLINK("https://klasma.github.io/Logging_2303/klagomålsmail/A 61954-2025 FSC-klagomål mail.docx", "A 61954-2025")</f>
        <v/>
      </c>
      <c r="X139">
        <f>HYPERLINK("https://klasma.github.io/Logging_2303/tillsyn/A 61954-2025 tillsynsbegäran.docx", "A 61954-2025")</f>
        <v/>
      </c>
      <c r="Y139">
        <f>HYPERLINK("https://klasma.github.io/Logging_2303/tillsynsmail/A 61954-2025 tillsynsbegäran mail.docx", "A 61954-2025")</f>
        <v/>
      </c>
    </row>
    <row r="140" ht="15" customHeight="1">
      <c r="A140" t="inlineStr">
        <is>
          <t>A 12737-2025</t>
        </is>
      </c>
      <c r="B140" s="1" t="n">
        <v>45733</v>
      </c>
      <c r="C140" s="1" t="n">
        <v>46170</v>
      </c>
      <c r="D140" t="inlineStr">
        <is>
          <t>JÄMTLANDS LÄN</t>
        </is>
      </c>
      <c r="E140" t="inlineStr">
        <is>
          <t>RAGUNDA</t>
        </is>
      </c>
      <c r="G140" t="n">
        <v>16.1</v>
      </c>
      <c r="H140" t="n">
        <v>2</v>
      </c>
      <c r="I140" t="n">
        <v>2</v>
      </c>
      <c r="J140" t="n">
        <v>0</v>
      </c>
      <c r="K140" t="n">
        <v>1</v>
      </c>
      <c r="L140" t="n">
        <v>0</v>
      </c>
      <c r="M140" t="n">
        <v>0</v>
      </c>
      <c r="N140" t="n">
        <v>0</v>
      </c>
      <c r="O140" t="n">
        <v>1</v>
      </c>
      <c r="P140" t="n">
        <v>1</v>
      </c>
      <c r="Q140" t="n">
        <v>3</v>
      </c>
      <c r="R140" s="2" t="inlineStr">
        <is>
          <t>Knärot
Plattlummer
Skarp dropptaggsvamp</t>
        </is>
      </c>
      <c r="S140">
        <f>HYPERLINK("https://klasma.github.io/Logging_2303/artfynd/A 12737-2025 artfynd.xlsx", "A 12737-2025")</f>
        <v/>
      </c>
      <c r="T140">
        <f>HYPERLINK("https://klasma.github.io/Logging_2303/kartor/A 12737-2025 karta.png", "A 12737-2025")</f>
        <v/>
      </c>
      <c r="U140">
        <f>HYPERLINK("https://klasma.github.io/Logging_2303/knärot/A 12737-2025 karta knärot.png", "A 12737-2025")</f>
        <v/>
      </c>
      <c r="V140">
        <f>HYPERLINK("https://klasma.github.io/Logging_2303/klagomål/A 12737-2025 FSC-klagomål.docx", "A 12737-2025")</f>
        <v/>
      </c>
      <c r="W140">
        <f>HYPERLINK("https://klasma.github.io/Logging_2303/klagomålsmail/A 12737-2025 FSC-klagomål mail.docx", "A 12737-2025")</f>
        <v/>
      </c>
      <c r="X140">
        <f>HYPERLINK("https://klasma.github.io/Logging_2303/tillsyn/A 12737-2025 tillsynsbegäran.docx", "A 12737-2025")</f>
        <v/>
      </c>
      <c r="Y140">
        <f>HYPERLINK("https://klasma.github.io/Logging_2303/tillsynsmail/A 12737-2025 tillsynsbegäran mail.docx", "A 12737-2025")</f>
        <v/>
      </c>
    </row>
    <row r="141" ht="15" customHeight="1">
      <c r="A141" t="inlineStr">
        <is>
          <t>A 5048-2025</t>
        </is>
      </c>
      <c r="B141" s="1" t="n">
        <v>45691.44769675926</v>
      </c>
      <c r="C141" s="1" t="n">
        <v>46170</v>
      </c>
      <c r="D141" t="inlineStr">
        <is>
          <t>JÄMTLANDS LÄN</t>
        </is>
      </c>
      <c r="E141" t="inlineStr">
        <is>
          <t>RAGUNDA</t>
        </is>
      </c>
      <c r="F141" t="inlineStr">
        <is>
          <t>SCA</t>
        </is>
      </c>
      <c r="G141" t="n">
        <v>1.8</v>
      </c>
      <c r="H141" t="n">
        <v>3</v>
      </c>
      <c r="I141" t="n">
        <v>2</v>
      </c>
      <c r="J141" t="n">
        <v>0</v>
      </c>
      <c r="K141" t="n">
        <v>0</v>
      </c>
      <c r="L141" t="n">
        <v>0</v>
      </c>
      <c r="M141" t="n">
        <v>0</v>
      </c>
      <c r="N141" t="n">
        <v>0</v>
      </c>
      <c r="O141" t="n">
        <v>0</v>
      </c>
      <c r="P141" t="n">
        <v>0</v>
      </c>
      <c r="Q141" t="n">
        <v>3</v>
      </c>
      <c r="R141" s="2" t="inlineStr">
        <is>
          <t>Guckusko
Tvåblad
Fläcknycklar</t>
        </is>
      </c>
      <c r="S141">
        <f>HYPERLINK("https://klasma.github.io/Logging_2303/artfynd/A 5048-2025 artfynd.xlsx", "A 5048-2025")</f>
        <v/>
      </c>
      <c r="T141">
        <f>HYPERLINK("https://klasma.github.io/Logging_2303/kartor/A 5048-2025 karta.png", "A 5048-2025")</f>
        <v/>
      </c>
      <c r="V141">
        <f>HYPERLINK("https://klasma.github.io/Logging_2303/klagomål/A 5048-2025 FSC-klagomål.docx", "A 5048-2025")</f>
        <v/>
      </c>
      <c r="W141">
        <f>HYPERLINK("https://klasma.github.io/Logging_2303/klagomålsmail/A 5048-2025 FSC-klagomål mail.docx", "A 5048-2025")</f>
        <v/>
      </c>
      <c r="X141">
        <f>HYPERLINK("https://klasma.github.io/Logging_2303/tillsyn/A 5048-2025 tillsynsbegäran.docx", "A 5048-2025")</f>
        <v/>
      </c>
      <c r="Y141">
        <f>HYPERLINK("https://klasma.github.io/Logging_2303/tillsynsmail/A 5048-2025 tillsynsbegäran mail.docx", "A 5048-2025")</f>
        <v/>
      </c>
    </row>
    <row r="142" ht="15" customHeight="1">
      <c r="A142" t="inlineStr">
        <is>
          <t>A 5731-2026</t>
        </is>
      </c>
      <c r="B142" s="1" t="n">
        <v>46051.57355324074</v>
      </c>
      <c r="C142" s="1" t="n">
        <v>46170</v>
      </c>
      <c r="D142" t="inlineStr">
        <is>
          <t>JÄMTLANDS LÄN</t>
        </is>
      </c>
      <c r="E142" t="inlineStr">
        <is>
          <t>RAGUNDA</t>
        </is>
      </c>
      <c r="F142" t="inlineStr">
        <is>
          <t>SCA</t>
        </is>
      </c>
      <c r="G142" t="n">
        <v>2</v>
      </c>
      <c r="H142" t="n">
        <v>1</v>
      </c>
      <c r="I142" t="n">
        <v>0</v>
      </c>
      <c r="J142" t="n">
        <v>2</v>
      </c>
      <c r="K142" t="n">
        <v>0</v>
      </c>
      <c r="L142" t="n">
        <v>0</v>
      </c>
      <c r="M142" t="n">
        <v>0</v>
      </c>
      <c r="N142" t="n">
        <v>0</v>
      </c>
      <c r="O142" t="n">
        <v>2</v>
      </c>
      <c r="P142" t="n">
        <v>0</v>
      </c>
      <c r="Q142" t="n">
        <v>3</v>
      </c>
      <c r="R142" s="2" t="inlineStr">
        <is>
          <t>Garnlav
Lunglav
Lavskrika</t>
        </is>
      </c>
      <c r="S142">
        <f>HYPERLINK("https://klasma.github.io/Logging_2303/artfynd/A 5731-2026 artfynd.xlsx", "A 5731-2026")</f>
        <v/>
      </c>
      <c r="T142">
        <f>HYPERLINK("https://klasma.github.io/Logging_2303/kartor/A 5731-2026 karta.png", "A 5731-2026")</f>
        <v/>
      </c>
      <c r="V142">
        <f>HYPERLINK("https://klasma.github.io/Logging_2303/klagomål/A 5731-2026 FSC-klagomål.docx", "A 5731-2026")</f>
        <v/>
      </c>
      <c r="W142">
        <f>HYPERLINK("https://klasma.github.io/Logging_2303/klagomålsmail/A 5731-2026 FSC-klagomål mail.docx", "A 5731-2026")</f>
        <v/>
      </c>
      <c r="X142">
        <f>HYPERLINK("https://klasma.github.io/Logging_2303/tillsyn/A 5731-2026 tillsynsbegäran.docx", "A 5731-2026")</f>
        <v/>
      </c>
      <c r="Y142">
        <f>HYPERLINK("https://klasma.github.io/Logging_2303/tillsynsmail/A 5731-2026 tillsynsbegäran mail.docx", "A 5731-2026")</f>
        <v/>
      </c>
      <c r="Z142">
        <f>HYPERLINK("https://klasma.github.io/Logging_2303/fåglar/A 5731-2026 prioriterade fågelarter.docx", "A 5731-2026")</f>
        <v/>
      </c>
    </row>
    <row r="143" ht="15" customHeight="1">
      <c r="A143" t="inlineStr">
        <is>
          <t>A 61790-2023</t>
        </is>
      </c>
      <c r="B143" s="1" t="n">
        <v>45265</v>
      </c>
      <c r="C143" s="1" t="n">
        <v>46170</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30470-2024</t>
        </is>
      </c>
      <c r="B144" s="1" t="n">
        <v>45491</v>
      </c>
      <c r="C144" s="1" t="n">
        <v>46170</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48054-2022</t>
        </is>
      </c>
      <c r="B145" s="1" t="n">
        <v>44855</v>
      </c>
      <c r="C145" s="1" t="n">
        <v>46170</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20776-2024</t>
        </is>
      </c>
      <c r="B146" s="1" t="n">
        <v>45436.94686342592</v>
      </c>
      <c r="C146" s="1" t="n">
        <v>46170</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36504-2023</t>
        </is>
      </c>
      <c r="B147" s="1" t="n">
        <v>45152</v>
      </c>
      <c r="C147" s="1" t="n">
        <v>46170</v>
      </c>
      <c r="D147" t="inlineStr">
        <is>
          <t>JÄMTLANDS LÄN</t>
        </is>
      </c>
      <c r="E147" t="inlineStr">
        <is>
          <t>RAGUNDA</t>
        </is>
      </c>
      <c r="F147" t="inlineStr">
        <is>
          <t>SCA</t>
        </is>
      </c>
      <c r="G147" t="n">
        <v>2</v>
      </c>
      <c r="H147" t="n">
        <v>0</v>
      </c>
      <c r="I147" t="n">
        <v>0</v>
      </c>
      <c r="J147" t="n">
        <v>3</v>
      </c>
      <c r="K147" t="n">
        <v>0</v>
      </c>
      <c r="L147" t="n">
        <v>0</v>
      </c>
      <c r="M147" t="n">
        <v>0</v>
      </c>
      <c r="N147" t="n">
        <v>0</v>
      </c>
      <c r="O147" t="n">
        <v>3</v>
      </c>
      <c r="P147" t="n">
        <v>0</v>
      </c>
      <c r="Q147" t="n">
        <v>3</v>
      </c>
      <c r="R147" s="2" t="inlineStr">
        <is>
          <t>Gammelgransskål
Garnlav
Granticka</t>
        </is>
      </c>
      <c r="S147">
        <f>HYPERLINK("https://klasma.github.io/Logging_2303/artfynd/A 36504-2023 artfynd.xlsx", "A 36504-2023")</f>
        <v/>
      </c>
      <c r="T147">
        <f>HYPERLINK("https://klasma.github.io/Logging_2303/kartor/A 36504-2023 karta.png", "A 36504-2023")</f>
        <v/>
      </c>
      <c r="V147">
        <f>HYPERLINK("https://klasma.github.io/Logging_2303/klagomål/A 36504-2023 FSC-klagomål.docx", "A 36504-2023")</f>
        <v/>
      </c>
      <c r="W147">
        <f>HYPERLINK("https://klasma.github.io/Logging_2303/klagomålsmail/A 36504-2023 FSC-klagomål mail.docx", "A 36504-2023")</f>
        <v/>
      </c>
      <c r="X147">
        <f>HYPERLINK("https://klasma.github.io/Logging_2303/tillsyn/A 36504-2023 tillsynsbegäran.docx", "A 36504-2023")</f>
        <v/>
      </c>
      <c r="Y147">
        <f>HYPERLINK("https://klasma.github.io/Logging_2303/tillsynsmail/A 36504-2023 tillsynsbegäran mail.docx", "A 36504-2023")</f>
        <v/>
      </c>
    </row>
    <row r="148" ht="15" customHeight="1">
      <c r="A148" t="inlineStr">
        <is>
          <t>A 16305-2025</t>
        </is>
      </c>
      <c r="B148" s="1" t="n">
        <v>45751.34650462963</v>
      </c>
      <c r="C148" s="1" t="n">
        <v>46170</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22730-2023</t>
        </is>
      </c>
      <c r="B149" s="1" t="n">
        <v>45071</v>
      </c>
      <c r="C149" s="1" t="n">
        <v>46170</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57941-2024</t>
        </is>
      </c>
      <c r="B150" s="1" t="n">
        <v>45631</v>
      </c>
      <c r="C150" s="1" t="n">
        <v>46170</v>
      </c>
      <c r="D150" t="inlineStr">
        <is>
          <t>JÄMTLANDS LÄN</t>
        </is>
      </c>
      <c r="E150" t="inlineStr">
        <is>
          <t>RAGUNDA</t>
        </is>
      </c>
      <c r="F150" t="inlineStr">
        <is>
          <t>SCA</t>
        </is>
      </c>
      <c r="G150" t="n">
        <v>4.2</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57941-2024 artfynd.xlsx", "A 57941-2024")</f>
        <v/>
      </c>
      <c r="T150">
        <f>HYPERLINK("https://klasma.github.io/Logging_2303/kartor/A 57941-2024 karta.png", "A 57941-2024")</f>
        <v/>
      </c>
      <c r="V150">
        <f>HYPERLINK("https://klasma.github.io/Logging_2303/klagomål/A 57941-2024 FSC-klagomål.docx", "A 57941-2024")</f>
        <v/>
      </c>
      <c r="W150">
        <f>HYPERLINK("https://klasma.github.io/Logging_2303/klagomålsmail/A 57941-2024 FSC-klagomål mail.docx", "A 57941-2024")</f>
        <v/>
      </c>
      <c r="X150">
        <f>HYPERLINK("https://klasma.github.io/Logging_2303/tillsyn/A 57941-2024 tillsynsbegäran.docx", "A 57941-2024")</f>
        <v/>
      </c>
      <c r="Y150">
        <f>HYPERLINK("https://klasma.github.io/Logging_2303/tillsynsmail/A 57941-2024 tillsynsbegäran mail.docx", "A 57941-2024")</f>
        <v/>
      </c>
      <c r="Z150">
        <f>HYPERLINK("https://klasma.github.io/Logging_2303/fåglar/A 57941-2024 prioriterade fågelarter.docx", "A 57941-2024")</f>
        <v/>
      </c>
    </row>
    <row r="151" ht="15" customHeight="1">
      <c r="A151" t="inlineStr">
        <is>
          <t>A 33432-2023</t>
        </is>
      </c>
      <c r="B151" s="1" t="n">
        <v>45128</v>
      </c>
      <c r="C151" s="1" t="n">
        <v>46170</v>
      </c>
      <c r="D151" t="inlineStr">
        <is>
          <t>JÄMTLANDS LÄN</t>
        </is>
      </c>
      <c r="E151" t="inlineStr">
        <is>
          <t>RAGUNDA</t>
        </is>
      </c>
      <c r="F151" t="inlineStr">
        <is>
          <t>SCA</t>
        </is>
      </c>
      <c r="G151" t="n">
        <v>10</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33432-2023 artfynd.xlsx", "A 33432-2023")</f>
        <v/>
      </c>
      <c r="T151">
        <f>HYPERLINK("https://klasma.github.io/Logging_2303/kartor/A 33432-2023 karta.png", "A 33432-2023")</f>
        <v/>
      </c>
      <c r="V151">
        <f>HYPERLINK("https://klasma.github.io/Logging_2303/klagomål/A 33432-2023 FSC-klagomål.docx", "A 33432-2023")</f>
        <v/>
      </c>
      <c r="W151">
        <f>HYPERLINK("https://klasma.github.io/Logging_2303/klagomålsmail/A 33432-2023 FSC-klagomål mail.docx", "A 33432-2023")</f>
        <v/>
      </c>
      <c r="X151">
        <f>HYPERLINK("https://klasma.github.io/Logging_2303/tillsyn/A 33432-2023 tillsynsbegäran.docx", "A 33432-2023")</f>
        <v/>
      </c>
      <c r="Y151">
        <f>HYPERLINK("https://klasma.github.io/Logging_2303/tillsynsmail/A 33432-2023 tillsynsbegäran mail.docx", "A 33432-2023")</f>
        <v/>
      </c>
      <c r="Z151">
        <f>HYPERLINK("https://klasma.github.io/Logging_2303/fåglar/A 33432-2023 prioriterade fågelarter.docx", "A 33432-2023")</f>
        <v/>
      </c>
    </row>
    <row r="152" ht="15" customHeight="1">
      <c r="A152" t="inlineStr">
        <is>
          <t>A 21248-2025</t>
        </is>
      </c>
      <c r="B152" s="1" t="n">
        <v>45779.57392361111</v>
      </c>
      <c r="C152" s="1" t="n">
        <v>46170</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51916-2021</t>
        </is>
      </c>
      <c r="B153" s="1" t="n">
        <v>44462</v>
      </c>
      <c r="C153" s="1" t="n">
        <v>46170</v>
      </c>
      <c r="D153" t="inlineStr">
        <is>
          <t>JÄMTLANDS LÄN</t>
        </is>
      </c>
      <c r="E153" t="inlineStr">
        <is>
          <t>RAGUNDA</t>
        </is>
      </c>
      <c r="F153" t="inlineStr">
        <is>
          <t>SCA</t>
        </is>
      </c>
      <c r="G153" t="n">
        <v>3</v>
      </c>
      <c r="H153" t="n">
        <v>1</v>
      </c>
      <c r="I153" t="n">
        <v>0</v>
      </c>
      <c r="J153" t="n">
        <v>2</v>
      </c>
      <c r="K153" t="n">
        <v>0</v>
      </c>
      <c r="L153" t="n">
        <v>0</v>
      </c>
      <c r="M153" t="n">
        <v>0</v>
      </c>
      <c r="N153" t="n">
        <v>0</v>
      </c>
      <c r="O153" t="n">
        <v>2</v>
      </c>
      <c r="P153" t="n">
        <v>0</v>
      </c>
      <c r="Q153" t="n">
        <v>2</v>
      </c>
      <c r="R153" s="2" t="inlineStr">
        <is>
          <t>Varglav
Vitgrynig nållav</t>
        </is>
      </c>
      <c r="S153">
        <f>HYPERLINK("https://klasma.github.io/Logging_2303/artfynd/A 51916-2021 artfynd.xlsx", "A 51916-2021")</f>
        <v/>
      </c>
      <c r="T153">
        <f>HYPERLINK("https://klasma.github.io/Logging_2303/kartor/A 51916-2021 karta.png", "A 51916-2021")</f>
        <v/>
      </c>
      <c r="V153">
        <f>HYPERLINK("https://klasma.github.io/Logging_2303/klagomål/A 51916-2021 FSC-klagomål.docx", "A 51916-2021")</f>
        <v/>
      </c>
      <c r="W153">
        <f>HYPERLINK("https://klasma.github.io/Logging_2303/klagomålsmail/A 51916-2021 FSC-klagomål mail.docx", "A 51916-2021")</f>
        <v/>
      </c>
      <c r="X153">
        <f>HYPERLINK("https://klasma.github.io/Logging_2303/tillsyn/A 51916-2021 tillsynsbegäran.docx", "A 51916-2021")</f>
        <v/>
      </c>
      <c r="Y153">
        <f>HYPERLINK("https://klasma.github.io/Logging_2303/tillsynsmail/A 51916-2021 tillsynsbegäran mail.docx", "A 51916-2021")</f>
        <v/>
      </c>
    </row>
    <row r="154" ht="15" customHeight="1">
      <c r="A154" t="inlineStr">
        <is>
          <t>A 17043-2022</t>
        </is>
      </c>
      <c r="B154" s="1" t="n">
        <v>44676</v>
      </c>
      <c r="C154" s="1" t="n">
        <v>46170</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46170</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19384-2025</t>
        </is>
      </c>
      <c r="B156" s="1" t="n">
        <v>45769.65692129629</v>
      </c>
      <c r="C156" s="1" t="n">
        <v>46170</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25155-2025</t>
        </is>
      </c>
      <c r="B157" s="1" t="n">
        <v>45800.42782407408</v>
      </c>
      <c r="C157" s="1" t="n">
        <v>46170</v>
      </c>
      <c r="D157" t="inlineStr">
        <is>
          <t>JÄMTLANDS LÄN</t>
        </is>
      </c>
      <c r="E157" t="inlineStr">
        <is>
          <t>RAGUNDA</t>
        </is>
      </c>
      <c r="F157" t="inlineStr">
        <is>
          <t>SCA</t>
        </is>
      </c>
      <c r="G157" t="n">
        <v>1.7</v>
      </c>
      <c r="H157" t="n">
        <v>1</v>
      </c>
      <c r="I157" t="n">
        <v>0</v>
      </c>
      <c r="J157" t="n">
        <v>1</v>
      </c>
      <c r="K157" t="n">
        <v>0</v>
      </c>
      <c r="L157" t="n">
        <v>0</v>
      </c>
      <c r="M157" t="n">
        <v>0</v>
      </c>
      <c r="N157" t="n">
        <v>0</v>
      </c>
      <c r="O157" t="n">
        <v>1</v>
      </c>
      <c r="P157" t="n">
        <v>0</v>
      </c>
      <c r="Q157" t="n">
        <v>2</v>
      </c>
      <c r="R157" s="2" t="inlineStr">
        <is>
          <t>Kötticka
Fläcknycklar</t>
        </is>
      </c>
      <c r="S157">
        <f>HYPERLINK("https://klasma.github.io/Logging_2303/artfynd/A 25155-2025 artfynd.xlsx", "A 25155-2025")</f>
        <v/>
      </c>
      <c r="T157">
        <f>HYPERLINK("https://klasma.github.io/Logging_2303/kartor/A 25155-2025 karta.png", "A 25155-2025")</f>
        <v/>
      </c>
      <c r="V157">
        <f>HYPERLINK("https://klasma.github.io/Logging_2303/klagomål/A 25155-2025 FSC-klagomål.docx", "A 25155-2025")</f>
        <v/>
      </c>
      <c r="W157">
        <f>HYPERLINK("https://klasma.github.io/Logging_2303/klagomålsmail/A 25155-2025 FSC-klagomål mail.docx", "A 25155-2025")</f>
        <v/>
      </c>
      <c r="X157">
        <f>HYPERLINK("https://klasma.github.io/Logging_2303/tillsyn/A 25155-2025 tillsynsbegäran.docx", "A 25155-2025")</f>
        <v/>
      </c>
      <c r="Y157">
        <f>HYPERLINK("https://klasma.github.io/Logging_2303/tillsynsmail/A 25155-2025 tillsynsbegäran mail.docx", "A 25155-2025")</f>
        <v/>
      </c>
    </row>
    <row r="158" ht="15" customHeight="1">
      <c r="A158" t="inlineStr">
        <is>
          <t>A 32736-2023</t>
        </is>
      </c>
      <c r="B158" s="1" t="n">
        <v>45121</v>
      </c>
      <c r="C158" s="1" t="n">
        <v>46170</v>
      </c>
      <c r="D158" t="inlineStr">
        <is>
          <t>JÄMTLANDS LÄN</t>
        </is>
      </c>
      <c r="E158" t="inlineStr">
        <is>
          <t>RAGUNDA</t>
        </is>
      </c>
      <c r="F158" t="inlineStr">
        <is>
          <t>SCA</t>
        </is>
      </c>
      <c r="G158" t="n">
        <v>2.5</v>
      </c>
      <c r="H158" t="n">
        <v>0</v>
      </c>
      <c r="I158" t="n">
        <v>1</v>
      </c>
      <c r="J158" t="n">
        <v>1</v>
      </c>
      <c r="K158" t="n">
        <v>0</v>
      </c>
      <c r="L158" t="n">
        <v>0</v>
      </c>
      <c r="M158" t="n">
        <v>0</v>
      </c>
      <c r="N158" t="n">
        <v>0</v>
      </c>
      <c r="O158" t="n">
        <v>1</v>
      </c>
      <c r="P158" t="n">
        <v>0</v>
      </c>
      <c r="Q158" t="n">
        <v>2</v>
      </c>
      <c r="R158" s="2" t="inlineStr">
        <is>
          <t>Vedtrappmossa
Stor aspticka</t>
        </is>
      </c>
      <c r="S158">
        <f>HYPERLINK("https://klasma.github.io/Logging_2303/artfynd/A 32736-2023 artfynd.xlsx", "A 32736-2023")</f>
        <v/>
      </c>
      <c r="T158">
        <f>HYPERLINK("https://klasma.github.io/Logging_2303/kartor/A 32736-2023 karta.png", "A 32736-2023")</f>
        <v/>
      </c>
      <c r="V158">
        <f>HYPERLINK("https://klasma.github.io/Logging_2303/klagomål/A 32736-2023 FSC-klagomål.docx", "A 32736-2023")</f>
        <v/>
      </c>
      <c r="W158">
        <f>HYPERLINK("https://klasma.github.io/Logging_2303/klagomålsmail/A 32736-2023 FSC-klagomål mail.docx", "A 32736-2023")</f>
        <v/>
      </c>
      <c r="X158">
        <f>HYPERLINK("https://klasma.github.io/Logging_2303/tillsyn/A 32736-2023 tillsynsbegäran.docx", "A 32736-2023")</f>
        <v/>
      </c>
      <c r="Y158">
        <f>HYPERLINK("https://klasma.github.io/Logging_2303/tillsynsmail/A 32736-2023 tillsynsbegäran mail.docx", "A 32736-2023")</f>
        <v/>
      </c>
    </row>
    <row r="159" ht="15" customHeight="1">
      <c r="A159" t="inlineStr">
        <is>
          <t>A 48427-2023</t>
        </is>
      </c>
      <c r="B159" s="1" t="n">
        <v>45205</v>
      </c>
      <c r="C159" s="1" t="n">
        <v>46170</v>
      </c>
      <c r="D159" t="inlineStr">
        <is>
          <t>JÄMTLANDS LÄN</t>
        </is>
      </c>
      <c r="E159" t="inlineStr">
        <is>
          <t>RAGUNDA</t>
        </is>
      </c>
      <c r="F159" t="inlineStr">
        <is>
          <t>SCA</t>
        </is>
      </c>
      <c r="G159" t="n">
        <v>10.1</v>
      </c>
      <c r="H159" t="n">
        <v>0</v>
      </c>
      <c r="I159" t="n">
        <v>1</v>
      </c>
      <c r="J159" t="n">
        <v>1</v>
      </c>
      <c r="K159" t="n">
        <v>0</v>
      </c>
      <c r="L159" t="n">
        <v>0</v>
      </c>
      <c r="M159" t="n">
        <v>0</v>
      </c>
      <c r="N159" t="n">
        <v>0</v>
      </c>
      <c r="O159" t="n">
        <v>1</v>
      </c>
      <c r="P159" t="n">
        <v>0</v>
      </c>
      <c r="Q159" t="n">
        <v>2</v>
      </c>
      <c r="R159" s="2" t="inlineStr">
        <is>
          <t>Lunglav
Luddlav</t>
        </is>
      </c>
      <c r="S159">
        <f>HYPERLINK("https://klasma.github.io/Logging_2303/artfynd/A 48427-2023 artfynd.xlsx", "A 48427-2023")</f>
        <v/>
      </c>
      <c r="T159">
        <f>HYPERLINK("https://klasma.github.io/Logging_2303/kartor/A 48427-2023 karta.png", "A 48427-2023")</f>
        <v/>
      </c>
      <c r="V159">
        <f>HYPERLINK("https://klasma.github.io/Logging_2303/klagomål/A 48427-2023 FSC-klagomål.docx", "A 48427-2023")</f>
        <v/>
      </c>
      <c r="W159">
        <f>HYPERLINK("https://klasma.github.io/Logging_2303/klagomålsmail/A 48427-2023 FSC-klagomål mail.docx", "A 48427-2023")</f>
        <v/>
      </c>
      <c r="X159">
        <f>HYPERLINK("https://klasma.github.io/Logging_2303/tillsyn/A 48427-2023 tillsynsbegäran.docx", "A 48427-2023")</f>
        <v/>
      </c>
      <c r="Y159">
        <f>HYPERLINK("https://klasma.github.io/Logging_2303/tillsynsmail/A 48427-2023 tillsynsbegäran mail.docx", "A 48427-2023")</f>
        <v/>
      </c>
    </row>
    <row r="160" ht="15" customHeight="1">
      <c r="A160" t="inlineStr">
        <is>
          <t>A 55647-2023</t>
        </is>
      </c>
      <c r="B160" s="1" t="n">
        <v>45238</v>
      </c>
      <c r="C160" s="1" t="n">
        <v>46170</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47267-2022</t>
        </is>
      </c>
      <c r="B161" s="1" t="n">
        <v>44852</v>
      </c>
      <c r="C161" s="1" t="n">
        <v>46170</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45021-2023</t>
        </is>
      </c>
      <c r="B162" s="1" t="n">
        <v>45190</v>
      </c>
      <c r="C162" s="1" t="n">
        <v>46170</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31960-2025</t>
        </is>
      </c>
      <c r="B163" s="1" t="n">
        <v>45835.344375</v>
      </c>
      <c r="C163" s="1" t="n">
        <v>46170</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47850-2025</t>
        </is>
      </c>
      <c r="B164" s="1" t="n">
        <v>45932.38626157407</v>
      </c>
      <c r="C164" s="1" t="n">
        <v>46170</v>
      </c>
      <c r="D164" t="inlineStr">
        <is>
          <t>JÄMTLANDS LÄN</t>
        </is>
      </c>
      <c r="E164" t="inlineStr">
        <is>
          <t>RAGUNDA</t>
        </is>
      </c>
      <c r="F164" t="inlineStr">
        <is>
          <t>SCA</t>
        </is>
      </c>
      <c r="G164" t="n">
        <v>2.4</v>
      </c>
      <c r="H164" t="n">
        <v>1</v>
      </c>
      <c r="I164" t="n">
        <v>0</v>
      </c>
      <c r="J164" t="n">
        <v>1</v>
      </c>
      <c r="K164" t="n">
        <v>0</v>
      </c>
      <c r="L164" t="n">
        <v>0</v>
      </c>
      <c r="M164" t="n">
        <v>0</v>
      </c>
      <c r="N164" t="n">
        <v>0</v>
      </c>
      <c r="O164" t="n">
        <v>1</v>
      </c>
      <c r="P164" t="n">
        <v>0</v>
      </c>
      <c r="Q164" t="n">
        <v>2</v>
      </c>
      <c r="R164" s="2" t="inlineStr">
        <is>
          <t>Kolflarnlav
Blåsippa</t>
        </is>
      </c>
      <c r="S164">
        <f>HYPERLINK("https://klasma.github.io/Logging_2303/artfynd/A 47850-2025 artfynd.xlsx", "A 47850-2025")</f>
        <v/>
      </c>
      <c r="T164">
        <f>HYPERLINK("https://klasma.github.io/Logging_2303/kartor/A 47850-2025 karta.png", "A 47850-2025")</f>
        <v/>
      </c>
      <c r="V164">
        <f>HYPERLINK("https://klasma.github.io/Logging_2303/klagomål/A 47850-2025 FSC-klagomål.docx", "A 47850-2025")</f>
        <v/>
      </c>
      <c r="W164">
        <f>HYPERLINK("https://klasma.github.io/Logging_2303/klagomålsmail/A 47850-2025 FSC-klagomål mail.docx", "A 47850-2025")</f>
        <v/>
      </c>
      <c r="X164">
        <f>HYPERLINK("https://klasma.github.io/Logging_2303/tillsyn/A 47850-2025 tillsynsbegäran.docx", "A 47850-2025")</f>
        <v/>
      </c>
      <c r="Y164">
        <f>HYPERLINK("https://klasma.github.io/Logging_2303/tillsynsmail/A 47850-2025 tillsynsbegäran mail.docx", "A 47850-2025")</f>
        <v/>
      </c>
    </row>
    <row r="165" ht="15" customHeight="1">
      <c r="A165" t="inlineStr">
        <is>
          <t>A 35131-2025</t>
        </is>
      </c>
      <c r="B165" s="1" t="n">
        <v>45852.63597222222</v>
      </c>
      <c r="C165" s="1" t="n">
        <v>46170</v>
      </c>
      <c r="D165" t="inlineStr">
        <is>
          <t>JÄMTLANDS LÄN</t>
        </is>
      </c>
      <c r="E165" t="inlineStr">
        <is>
          <t>RAGUNDA</t>
        </is>
      </c>
      <c r="F165" t="inlineStr">
        <is>
          <t>SCA</t>
        </is>
      </c>
      <c r="G165" t="n">
        <v>6.9</v>
      </c>
      <c r="H165" t="n">
        <v>1</v>
      </c>
      <c r="I165" t="n">
        <v>1</v>
      </c>
      <c r="J165" t="n">
        <v>0</v>
      </c>
      <c r="K165" t="n">
        <v>0</v>
      </c>
      <c r="L165" t="n">
        <v>0</v>
      </c>
      <c r="M165" t="n">
        <v>0</v>
      </c>
      <c r="N165" t="n">
        <v>0</v>
      </c>
      <c r="O165" t="n">
        <v>0</v>
      </c>
      <c r="P165" t="n">
        <v>0</v>
      </c>
      <c r="Q165" t="n">
        <v>2</v>
      </c>
      <c r="R165" s="2" t="inlineStr">
        <is>
          <t>Ögonpyrola
Nattviol</t>
        </is>
      </c>
      <c r="S165">
        <f>HYPERLINK("https://klasma.github.io/Logging_2303/artfynd/A 35131-2025 artfynd.xlsx", "A 35131-2025")</f>
        <v/>
      </c>
      <c r="T165">
        <f>HYPERLINK("https://klasma.github.io/Logging_2303/kartor/A 35131-2025 karta.png", "A 35131-2025")</f>
        <v/>
      </c>
      <c r="V165">
        <f>HYPERLINK("https://klasma.github.io/Logging_2303/klagomål/A 35131-2025 FSC-klagomål.docx", "A 35131-2025")</f>
        <v/>
      </c>
      <c r="W165">
        <f>HYPERLINK("https://klasma.github.io/Logging_2303/klagomålsmail/A 35131-2025 FSC-klagomål mail.docx", "A 35131-2025")</f>
        <v/>
      </c>
      <c r="X165">
        <f>HYPERLINK("https://klasma.github.io/Logging_2303/tillsyn/A 35131-2025 tillsynsbegäran.docx", "A 35131-2025")</f>
        <v/>
      </c>
      <c r="Y165">
        <f>HYPERLINK("https://klasma.github.io/Logging_2303/tillsynsmail/A 35131-2025 tillsynsbegäran mail.docx", "A 35131-2025")</f>
        <v/>
      </c>
    </row>
    <row r="166" ht="15" customHeight="1">
      <c r="A166" t="inlineStr">
        <is>
          <t>A 30053-2024</t>
        </is>
      </c>
      <c r="B166" s="1" t="n">
        <v>45488.94747685185</v>
      </c>
      <c r="C166" s="1" t="n">
        <v>46170</v>
      </c>
      <c r="D166" t="inlineStr">
        <is>
          <t>JÄMTLANDS LÄN</t>
        </is>
      </c>
      <c r="E166" t="inlineStr">
        <is>
          <t>RAGUNDA</t>
        </is>
      </c>
      <c r="F166" t="inlineStr">
        <is>
          <t>SCA</t>
        </is>
      </c>
      <c r="G166" t="n">
        <v>9.6</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30053-2024 artfynd.xlsx", "A 30053-2024")</f>
        <v/>
      </c>
      <c r="T166">
        <f>HYPERLINK("https://klasma.github.io/Logging_2303/kartor/A 30053-2024 karta.png", "A 30053-2024")</f>
        <v/>
      </c>
      <c r="V166">
        <f>HYPERLINK("https://klasma.github.io/Logging_2303/klagomål/A 30053-2024 FSC-klagomål.docx", "A 30053-2024")</f>
        <v/>
      </c>
      <c r="W166">
        <f>HYPERLINK("https://klasma.github.io/Logging_2303/klagomålsmail/A 30053-2024 FSC-klagomål mail.docx", "A 30053-2024")</f>
        <v/>
      </c>
      <c r="X166">
        <f>HYPERLINK("https://klasma.github.io/Logging_2303/tillsyn/A 30053-2024 tillsynsbegäran.docx", "A 30053-2024")</f>
        <v/>
      </c>
      <c r="Y166">
        <f>HYPERLINK("https://klasma.github.io/Logging_2303/tillsynsmail/A 30053-2024 tillsynsbegäran mail.docx", "A 30053-2024")</f>
        <v/>
      </c>
    </row>
    <row r="167" ht="15" customHeight="1">
      <c r="A167" t="inlineStr">
        <is>
          <t>A 50089-2022</t>
        </is>
      </c>
      <c r="B167" s="1" t="n">
        <v>44865</v>
      </c>
      <c r="C167" s="1" t="n">
        <v>46170</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11086-2025</t>
        </is>
      </c>
      <c r="B168" s="1" t="n">
        <v>45723.57329861111</v>
      </c>
      <c r="C168" s="1" t="n">
        <v>46170</v>
      </c>
      <c r="D168" t="inlineStr">
        <is>
          <t>JÄMTLANDS LÄN</t>
        </is>
      </c>
      <c r="E168" t="inlineStr">
        <is>
          <t>RAGUNDA</t>
        </is>
      </c>
      <c r="F168" t="inlineStr">
        <is>
          <t>SCA</t>
        </is>
      </c>
      <c r="G168" t="n">
        <v>10.8</v>
      </c>
      <c r="H168" t="n">
        <v>0</v>
      </c>
      <c r="I168" t="n">
        <v>0</v>
      </c>
      <c r="J168" t="n">
        <v>1</v>
      </c>
      <c r="K168" t="n">
        <v>1</v>
      </c>
      <c r="L168" t="n">
        <v>0</v>
      </c>
      <c r="M168" t="n">
        <v>0</v>
      </c>
      <c r="N168" t="n">
        <v>0</v>
      </c>
      <c r="O168" t="n">
        <v>2</v>
      </c>
      <c r="P168" t="n">
        <v>1</v>
      </c>
      <c r="Q168" t="n">
        <v>2</v>
      </c>
      <c r="R168" s="2" t="inlineStr">
        <is>
          <t>Gräddporing
Dvärgbägarlav</t>
        </is>
      </c>
      <c r="S168">
        <f>HYPERLINK("https://klasma.github.io/Logging_2303/artfynd/A 11086-2025 artfynd.xlsx", "A 11086-2025")</f>
        <v/>
      </c>
      <c r="T168">
        <f>HYPERLINK("https://klasma.github.io/Logging_2303/kartor/A 11086-2025 karta.png", "A 11086-2025")</f>
        <v/>
      </c>
      <c r="V168">
        <f>HYPERLINK("https://klasma.github.io/Logging_2303/klagomål/A 11086-2025 FSC-klagomål.docx", "A 11086-2025")</f>
        <v/>
      </c>
      <c r="W168">
        <f>HYPERLINK("https://klasma.github.io/Logging_2303/klagomålsmail/A 11086-2025 FSC-klagomål mail.docx", "A 11086-2025")</f>
        <v/>
      </c>
      <c r="X168">
        <f>HYPERLINK("https://klasma.github.io/Logging_2303/tillsyn/A 11086-2025 tillsynsbegäran.docx", "A 11086-2025")</f>
        <v/>
      </c>
      <c r="Y168">
        <f>HYPERLINK("https://klasma.github.io/Logging_2303/tillsynsmail/A 11086-2025 tillsynsbegäran mail.docx", "A 11086-2025")</f>
        <v/>
      </c>
    </row>
    <row r="169" ht="15" customHeight="1">
      <c r="A169" t="inlineStr">
        <is>
          <t>A 40826-2023</t>
        </is>
      </c>
      <c r="B169" s="1" t="n">
        <v>45171</v>
      </c>
      <c r="C169" s="1" t="n">
        <v>46170</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41490-2022</t>
        </is>
      </c>
      <c r="B170" s="1" t="n">
        <v>44826.94976851852</v>
      </c>
      <c r="C170" s="1" t="n">
        <v>46170</v>
      </c>
      <c r="D170" t="inlineStr">
        <is>
          <t>JÄMTLANDS LÄN</t>
        </is>
      </c>
      <c r="E170" t="inlineStr">
        <is>
          <t>RAGUNDA</t>
        </is>
      </c>
      <c r="F170" t="inlineStr">
        <is>
          <t>SCA</t>
        </is>
      </c>
      <c r="G170" t="n">
        <v>2.7</v>
      </c>
      <c r="H170" t="n">
        <v>0</v>
      </c>
      <c r="I170" t="n">
        <v>1</v>
      </c>
      <c r="J170" t="n">
        <v>1</v>
      </c>
      <c r="K170" t="n">
        <v>0</v>
      </c>
      <c r="L170" t="n">
        <v>0</v>
      </c>
      <c r="M170" t="n">
        <v>0</v>
      </c>
      <c r="N170" t="n">
        <v>0</v>
      </c>
      <c r="O170" t="n">
        <v>1</v>
      </c>
      <c r="P170" t="n">
        <v>0</v>
      </c>
      <c r="Q170" t="n">
        <v>2</v>
      </c>
      <c r="R170" s="2" t="inlineStr">
        <is>
          <t>Lunglav
Skinnlav</t>
        </is>
      </c>
      <c r="S170">
        <f>HYPERLINK("https://klasma.github.io/Logging_2303/artfynd/A 41490-2022 artfynd.xlsx", "A 41490-2022")</f>
        <v/>
      </c>
      <c r="T170">
        <f>HYPERLINK("https://klasma.github.io/Logging_2303/kartor/A 41490-2022 karta.png", "A 41490-2022")</f>
        <v/>
      </c>
      <c r="V170">
        <f>HYPERLINK("https://klasma.github.io/Logging_2303/klagomål/A 41490-2022 FSC-klagomål.docx", "A 41490-2022")</f>
        <v/>
      </c>
      <c r="W170">
        <f>HYPERLINK("https://klasma.github.io/Logging_2303/klagomålsmail/A 41490-2022 FSC-klagomål mail.docx", "A 41490-2022")</f>
        <v/>
      </c>
      <c r="X170">
        <f>HYPERLINK("https://klasma.github.io/Logging_2303/tillsyn/A 41490-2022 tillsynsbegäran.docx", "A 41490-2022")</f>
        <v/>
      </c>
      <c r="Y170">
        <f>HYPERLINK("https://klasma.github.io/Logging_2303/tillsynsmail/A 41490-2022 tillsynsbegäran mail.docx", "A 41490-2022")</f>
        <v/>
      </c>
    </row>
    <row r="171" ht="15" customHeight="1">
      <c r="A171" t="inlineStr">
        <is>
          <t>A 62636-2025</t>
        </is>
      </c>
      <c r="B171" s="1" t="n">
        <v>46008.3653587963</v>
      </c>
      <c r="C171" s="1" t="n">
        <v>46170</v>
      </c>
      <c r="D171" t="inlineStr">
        <is>
          <t>JÄMTLANDS LÄN</t>
        </is>
      </c>
      <c r="E171" t="inlineStr">
        <is>
          <t>RAGUNDA</t>
        </is>
      </c>
      <c r="G171" t="n">
        <v>3.1</v>
      </c>
      <c r="H171" t="n">
        <v>1</v>
      </c>
      <c r="I171" t="n">
        <v>0</v>
      </c>
      <c r="J171" t="n">
        <v>2</v>
      </c>
      <c r="K171" t="n">
        <v>0</v>
      </c>
      <c r="L171" t="n">
        <v>0</v>
      </c>
      <c r="M171" t="n">
        <v>0</v>
      </c>
      <c r="N171" t="n">
        <v>0</v>
      </c>
      <c r="O171" t="n">
        <v>2</v>
      </c>
      <c r="P171" t="n">
        <v>0</v>
      </c>
      <c r="Q171" t="n">
        <v>2</v>
      </c>
      <c r="R171" s="2" t="inlineStr">
        <is>
          <t>Garnlav
Talltita</t>
        </is>
      </c>
      <c r="S171">
        <f>HYPERLINK("https://klasma.github.io/Logging_2303/artfynd/A 62636-2025 artfynd.xlsx", "A 62636-2025")</f>
        <v/>
      </c>
      <c r="T171">
        <f>HYPERLINK("https://klasma.github.io/Logging_2303/kartor/A 62636-2025 karta.png", "A 62636-2025")</f>
        <v/>
      </c>
      <c r="V171">
        <f>HYPERLINK("https://klasma.github.io/Logging_2303/klagomål/A 62636-2025 FSC-klagomål.docx", "A 62636-2025")</f>
        <v/>
      </c>
      <c r="W171">
        <f>HYPERLINK("https://klasma.github.io/Logging_2303/klagomålsmail/A 62636-2025 FSC-klagomål mail.docx", "A 62636-2025")</f>
        <v/>
      </c>
      <c r="X171">
        <f>HYPERLINK("https://klasma.github.io/Logging_2303/tillsyn/A 62636-2025 tillsynsbegäran.docx", "A 62636-2025")</f>
        <v/>
      </c>
      <c r="Y171">
        <f>HYPERLINK("https://klasma.github.io/Logging_2303/tillsynsmail/A 62636-2025 tillsynsbegäran mail.docx", "A 62636-2025")</f>
        <v/>
      </c>
      <c r="Z171">
        <f>HYPERLINK("https://klasma.github.io/Logging_2303/fåglar/A 62636-2025 prioriterade fågelarter.docx", "A 62636-2025")</f>
        <v/>
      </c>
    </row>
    <row r="172" ht="15" customHeight="1">
      <c r="A172" t="inlineStr">
        <is>
          <t>A 56634-2025</t>
        </is>
      </c>
      <c r="B172" s="1" t="n">
        <v>45975.61619212963</v>
      </c>
      <c r="C172" s="1" t="n">
        <v>46170</v>
      </c>
      <c r="D172" t="inlineStr">
        <is>
          <t>JÄMTLANDS LÄN</t>
        </is>
      </c>
      <c r="E172" t="inlineStr">
        <is>
          <t>RAGUNDA</t>
        </is>
      </c>
      <c r="F172" t="inlineStr">
        <is>
          <t>SCA</t>
        </is>
      </c>
      <c r="G172" t="n">
        <v>86.59999999999999</v>
      </c>
      <c r="H172" t="n">
        <v>0</v>
      </c>
      <c r="I172" t="n">
        <v>1</v>
      </c>
      <c r="J172" t="n">
        <v>1</v>
      </c>
      <c r="K172" t="n">
        <v>0</v>
      </c>
      <c r="L172" t="n">
        <v>0</v>
      </c>
      <c r="M172" t="n">
        <v>0</v>
      </c>
      <c r="N172" t="n">
        <v>0</v>
      </c>
      <c r="O172" t="n">
        <v>1</v>
      </c>
      <c r="P172" t="n">
        <v>0</v>
      </c>
      <c r="Q172" t="n">
        <v>2</v>
      </c>
      <c r="R172" s="2" t="inlineStr">
        <is>
          <t>Garnlav
Skuggblåslav</t>
        </is>
      </c>
      <c r="S172">
        <f>HYPERLINK("https://klasma.github.io/Logging_2303/artfynd/A 56634-2025 artfynd.xlsx", "A 56634-2025")</f>
        <v/>
      </c>
      <c r="T172">
        <f>HYPERLINK("https://klasma.github.io/Logging_2303/kartor/A 56634-2025 karta.png", "A 56634-2025")</f>
        <v/>
      </c>
      <c r="V172">
        <f>HYPERLINK("https://klasma.github.io/Logging_2303/klagomål/A 56634-2025 FSC-klagomål.docx", "A 56634-2025")</f>
        <v/>
      </c>
      <c r="W172">
        <f>HYPERLINK("https://klasma.github.io/Logging_2303/klagomålsmail/A 56634-2025 FSC-klagomål mail.docx", "A 56634-2025")</f>
        <v/>
      </c>
      <c r="X172">
        <f>HYPERLINK("https://klasma.github.io/Logging_2303/tillsyn/A 56634-2025 tillsynsbegäran.docx", "A 56634-2025")</f>
        <v/>
      </c>
      <c r="Y172">
        <f>HYPERLINK("https://klasma.github.io/Logging_2303/tillsynsmail/A 56634-2025 tillsynsbegäran mail.docx", "A 56634-2025")</f>
        <v/>
      </c>
    </row>
    <row r="173" ht="15" customHeight="1">
      <c r="A173" t="inlineStr">
        <is>
          <t>A 14502-2024</t>
        </is>
      </c>
      <c r="B173" s="1" t="n">
        <v>45394</v>
      </c>
      <c r="C173" s="1" t="n">
        <v>46170</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46771-2024</t>
        </is>
      </c>
      <c r="B174" s="1" t="n">
        <v>45583.49642361111</v>
      </c>
      <c r="C174" s="1" t="n">
        <v>46170</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44409-2023</t>
        </is>
      </c>
      <c r="B175" s="1" t="n">
        <v>45188</v>
      </c>
      <c r="C175" s="1" t="n">
        <v>46170</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44409-2023 artfynd.xlsx", "A 44409-2023")</f>
        <v/>
      </c>
      <c r="T175">
        <f>HYPERLINK("https://klasma.github.io/Logging_2303/kartor/A 44409-2023 karta.png", "A 44409-2023")</f>
        <v/>
      </c>
      <c r="V175">
        <f>HYPERLINK("https://klasma.github.io/Logging_2303/klagomål/A 44409-2023 FSC-klagomål.docx", "A 44409-2023")</f>
        <v/>
      </c>
      <c r="W175">
        <f>HYPERLINK("https://klasma.github.io/Logging_2303/klagomålsmail/A 44409-2023 FSC-klagomål mail.docx", "A 44409-2023")</f>
        <v/>
      </c>
      <c r="X175">
        <f>HYPERLINK("https://klasma.github.io/Logging_2303/tillsyn/A 44409-2023 tillsynsbegäran.docx", "A 44409-2023")</f>
        <v/>
      </c>
      <c r="Y175">
        <f>HYPERLINK("https://klasma.github.io/Logging_2303/tillsynsmail/A 44409-2023 tillsynsbegäran mail.docx", "A 44409-2023")</f>
        <v/>
      </c>
    </row>
    <row r="176" ht="15" customHeight="1">
      <c r="A176" t="inlineStr">
        <is>
          <t>A 12271-2024</t>
        </is>
      </c>
      <c r="B176" s="1" t="n">
        <v>45378</v>
      </c>
      <c r="C176" s="1" t="n">
        <v>46170</v>
      </c>
      <c r="D176" t="inlineStr">
        <is>
          <t>JÄMTLANDS LÄN</t>
        </is>
      </c>
      <c r="E176" t="inlineStr">
        <is>
          <t>RAGUNDA</t>
        </is>
      </c>
      <c r="F176" t="inlineStr">
        <is>
          <t>Kommuner</t>
        </is>
      </c>
      <c r="G176" t="n">
        <v>6.1</v>
      </c>
      <c r="H176" t="n">
        <v>0</v>
      </c>
      <c r="I176" t="n">
        <v>0</v>
      </c>
      <c r="J176" t="n">
        <v>2</v>
      </c>
      <c r="K176" t="n">
        <v>0</v>
      </c>
      <c r="L176" t="n">
        <v>0</v>
      </c>
      <c r="M176" t="n">
        <v>0</v>
      </c>
      <c r="N176" t="n">
        <v>0</v>
      </c>
      <c r="O176" t="n">
        <v>2</v>
      </c>
      <c r="P176" t="n">
        <v>0</v>
      </c>
      <c r="Q176" t="n">
        <v>2</v>
      </c>
      <c r="R176" s="2" t="inlineStr">
        <is>
          <t>Garnlav
Lunglav</t>
        </is>
      </c>
      <c r="S176">
        <f>HYPERLINK("https://klasma.github.io/Logging_2303/artfynd/A 12271-2024 artfynd.xlsx", "A 12271-2024")</f>
        <v/>
      </c>
      <c r="T176">
        <f>HYPERLINK("https://klasma.github.io/Logging_2303/kartor/A 12271-2024 karta.png", "A 12271-2024")</f>
        <v/>
      </c>
      <c r="V176">
        <f>HYPERLINK("https://klasma.github.io/Logging_2303/klagomål/A 12271-2024 FSC-klagomål.docx", "A 12271-2024")</f>
        <v/>
      </c>
      <c r="W176">
        <f>HYPERLINK("https://klasma.github.io/Logging_2303/klagomålsmail/A 12271-2024 FSC-klagomål mail.docx", "A 12271-2024")</f>
        <v/>
      </c>
      <c r="X176">
        <f>HYPERLINK("https://klasma.github.io/Logging_2303/tillsyn/A 12271-2024 tillsynsbegäran.docx", "A 12271-2024")</f>
        <v/>
      </c>
      <c r="Y176">
        <f>HYPERLINK("https://klasma.github.io/Logging_2303/tillsynsmail/A 12271-2024 tillsynsbegäran mail.docx", "A 12271-2024")</f>
        <v/>
      </c>
    </row>
    <row r="177" ht="15" customHeight="1">
      <c r="A177" t="inlineStr">
        <is>
          <t>A 34715-2024</t>
        </is>
      </c>
      <c r="B177" s="1" t="n">
        <v>45526.56393518519</v>
      </c>
      <c r="C177" s="1" t="n">
        <v>46170</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10884-2025</t>
        </is>
      </c>
      <c r="B178" s="1" t="n">
        <v>45722.65670138889</v>
      </c>
      <c r="C178" s="1" t="n">
        <v>46170</v>
      </c>
      <c r="D178" t="inlineStr">
        <is>
          <t>JÄMTLANDS LÄN</t>
        </is>
      </c>
      <c r="E178" t="inlineStr">
        <is>
          <t>RAGUNDA</t>
        </is>
      </c>
      <c r="F178" t="inlineStr">
        <is>
          <t>SCA</t>
        </is>
      </c>
      <c r="G178" t="n">
        <v>5.4</v>
      </c>
      <c r="H178" t="n">
        <v>0</v>
      </c>
      <c r="I178" t="n">
        <v>1</v>
      </c>
      <c r="J178" t="n">
        <v>1</v>
      </c>
      <c r="K178" t="n">
        <v>0</v>
      </c>
      <c r="L178" t="n">
        <v>0</v>
      </c>
      <c r="M178" t="n">
        <v>0</v>
      </c>
      <c r="N178" t="n">
        <v>0</v>
      </c>
      <c r="O178" t="n">
        <v>1</v>
      </c>
      <c r="P178" t="n">
        <v>0</v>
      </c>
      <c r="Q178" t="n">
        <v>2</v>
      </c>
      <c r="R178" s="2" t="inlineStr">
        <is>
          <t>Vitgrynig nållav
Dropptaggsvamp</t>
        </is>
      </c>
      <c r="S178">
        <f>HYPERLINK("https://klasma.github.io/Logging_2303/artfynd/A 10884-2025 artfynd.xlsx", "A 10884-2025")</f>
        <v/>
      </c>
      <c r="T178">
        <f>HYPERLINK("https://klasma.github.io/Logging_2303/kartor/A 10884-2025 karta.png", "A 10884-2025")</f>
        <v/>
      </c>
      <c r="V178">
        <f>HYPERLINK("https://klasma.github.io/Logging_2303/klagomål/A 10884-2025 FSC-klagomål.docx", "A 10884-2025")</f>
        <v/>
      </c>
      <c r="W178">
        <f>HYPERLINK("https://klasma.github.io/Logging_2303/klagomålsmail/A 10884-2025 FSC-klagomål mail.docx", "A 10884-2025")</f>
        <v/>
      </c>
      <c r="X178">
        <f>HYPERLINK("https://klasma.github.io/Logging_2303/tillsyn/A 10884-2025 tillsynsbegäran.docx", "A 10884-2025")</f>
        <v/>
      </c>
      <c r="Y178">
        <f>HYPERLINK("https://klasma.github.io/Logging_2303/tillsynsmail/A 10884-2025 tillsynsbegäran mail.docx", "A 10884-2025")</f>
        <v/>
      </c>
    </row>
    <row r="179" ht="15" customHeight="1">
      <c r="A179" t="inlineStr">
        <is>
          <t>A 3838-2024</t>
        </is>
      </c>
      <c r="B179" s="1" t="n">
        <v>45321</v>
      </c>
      <c r="C179" s="1" t="n">
        <v>46170</v>
      </c>
      <c r="D179" t="inlineStr">
        <is>
          <t>JÄMTLANDS LÄN</t>
        </is>
      </c>
      <c r="E179" t="inlineStr">
        <is>
          <t>RAGUNDA</t>
        </is>
      </c>
      <c r="F179" t="inlineStr">
        <is>
          <t>SCA</t>
        </is>
      </c>
      <c r="G179" t="n">
        <v>2</v>
      </c>
      <c r="H179" t="n">
        <v>1</v>
      </c>
      <c r="I179" t="n">
        <v>1</v>
      </c>
      <c r="J179" t="n">
        <v>1</v>
      </c>
      <c r="K179" t="n">
        <v>0</v>
      </c>
      <c r="L179" t="n">
        <v>0</v>
      </c>
      <c r="M179" t="n">
        <v>0</v>
      </c>
      <c r="N179" t="n">
        <v>0</v>
      </c>
      <c r="O179" t="n">
        <v>1</v>
      </c>
      <c r="P179" t="n">
        <v>0</v>
      </c>
      <c r="Q179" t="n">
        <v>2</v>
      </c>
      <c r="R179" s="2" t="inlineStr">
        <is>
          <t>Garnlav
Guckusko</t>
        </is>
      </c>
      <c r="S179">
        <f>HYPERLINK("https://klasma.github.io/Logging_2303/artfynd/A 3838-2024 artfynd.xlsx", "A 3838-2024")</f>
        <v/>
      </c>
      <c r="T179">
        <f>HYPERLINK("https://klasma.github.io/Logging_2303/kartor/A 3838-2024 karta.png", "A 3838-2024")</f>
        <v/>
      </c>
      <c r="V179">
        <f>HYPERLINK("https://klasma.github.io/Logging_2303/klagomål/A 3838-2024 FSC-klagomål.docx", "A 3838-2024")</f>
        <v/>
      </c>
      <c r="W179">
        <f>HYPERLINK("https://klasma.github.io/Logging_2303/klagomålsmail/A 3838-2024 FSC-klagomål mail.docx", "A 3838-2024")</f>
        <v/>
      </c>
      <c r="X179">
        <f>HYPERLINK("https://klasma.github.io/Logging_2303/tillsyn/A 3838-2024 tillsynsbegäran.docx", "A 3838-2024")</f>
        <v/>
      </c>
      <c r="Y179">
        <f>HYPERLINK("https://klasma.github.io/Logging_2303/tillsynsmail/A 3838-2024 tillsynsbegäran mail.docx", "A 3838-2024")</f>
        <v/>
      </c>
    </row>
    <row r="180" ht="15" customHeight="1">
      <c r="A180" t="inlineStr">
        <is>
          <t>A 36756-2023</t>
        </is>
      </c>
      <c r="B180" s="1" t="n">
        <v>45153</v>
      </c>
      <c r="C180" s="1" t="n">
        <v>46170</v>
      </c>
      <c r="D180" t="inlineStr">
        <is>
          <t>JÄMTLANDS LÄN</t>
        </is>
      </c>
      <c r="E180" t="inlineStr">
        <is>
          <t>RAGUNDA</t>
        </is>
      </c>
      <c r="G180" t="n">
        <v>3.5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9749-2026</t>
        </is>
      </c>
      <c r="B181" s="1" t="n">
        <v>46072.53167824074</v>
      </c>
      <c r="C181" s="1" t="n">
        <v>46170</v>
      </c>
      <c r="D181" t="inlineStr">
        <is>
          <t>JÄMTLANDS LÄN</t>
        </is>
      </c>
      <c r="E181" t="inlineStr">
        <is>
          <t>RAGUNDA</t>
        </is>
      </c>
      <c r="F181" t="inlineStr">
        <is>
          <t>SCA</t>
        </is>
      </c>
      <c r="G181" t="n">
        <v>2.7</v>
      </c>
      <c r="H181" t="n">
        <v>1</v>
      </c>
      <c r="I181" t="n">
        <v>0</v>
      </c>
      <c r="J181" t="n">
        <v>2</v>
      </c>
      <c r="K181" t="n">
        <v>0</v>
      </c>
      <c r="L181" t="n">
        <v>0</v>
      </c>
      <c r="M181" t="n">
        <v>0</v>
      </c>
      <c r="N181" t="n">
        <v>0</v>
      </c>
      <c r="O181" t="n">
        <v>2</v>
      </c>
      <c r="P181" t="n">
        <v>0</v>
      </c>
      <c r="Q181" t="n">
        <v>2</v>
      </c>
      <c r="R181" s="2" t="inlineStr">
        <is>
          <t>Järpe
Ullticka</t>
        </is>
      </c>
      <c r="S181">
        <f>HYPERLINK("https://klasma.github.io/Logging_2303/artfynd/A 9749-2026 artfynd.xlsx", "A 9749-2026")</f>
        <v/>
      </c>
      <c r="T181">
        <f>HYPERLINK("https://klasma.github.io/Logging_2303/kartor/A 9749-2026 karta.png", "A 9749-2026")</f>
        <v/>
      </c>
      <c r="V181">
        <f>HYPERLINK("https://klasma.github.io/Logging_2303/klagomål/A 9749-2026 FSC-klagomål.docx", "A 9749-2026")</f>
        <v/>
      </c>
      <c r="W181">
        <f>HYPERLINK("https://klasma.github.io/Logging_2303/klagomålsmail/A 9749-2026 FSC-klagomål mail.docx", "A 9749-2026")</f>
        <v/>
      </c>
      <c r="X181">
        <f>HYPERLINK("https://klasma.github.io/Logging_2303/tillsyn/A 9749-2026 tillsynsbegäran.docx", "A 9749-2026")</f>
        <v/>
      </c>
      <c r="Y181">
        <f>HYPERLINK("https://klasma.github.io/Logging_2303/tillsynsmail/A 9749-2026 tillsynsbegäran mail.docx", "A 9749-2026")</f>
        <v/>
      </c>
      <c r="Z181">
        <f>HYPERLINK("https://klasma.github.io/Logging_2303/fåglar/A 9749-2026 prioriterade fågelarter.docx", "A 9749-2026")</f>
        <v/>
      </c>
    </row>
    <row r="182" ht="15" customHeight="1">
      <c r="A182" t="inlineStr">
        <is>
          <t>A 56285-2023</t>
        </is>
      </c>
      <c r="B182" s="1" t="n">
        <v>45241</v>
      </c>
      <c r="C182" s="1" t="n">
        <v>46170</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10866-2025</t>
        </is>
      </c>
      <c r="B183" s="1" t="n">
        <v>45722.61543981481</v>
      </c>
      <c r="C183" s="1" t="n">
        <v>46170</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39495-2024</t>
        </is>
      </c>
      <c r="B184" s="1" t="n">
        <v>45551.65726851852</v>
      </c>
      <c r="C184" s="1" t="n">
        <v>46170</v>
      </c>
      <c r="D184" t="inlineStr">
        <is>
          <t>JÄMTLANDS LÄN</t>
        </is>
      </c>
      <c r="E184" t="inlineStr">
        <is>
          <t>RAGUNDA</t>
        </is>
      </c>
      <c r="F184" t="inlineStr">
        <is>
          <t>SCA</t>
        </is>
      </c>
      <c r="G184" t="n">
        <v>6.6</v>
      </c>
      <c r="H184" t="n">
        <v>0</v>
      </c>
      <c r="I184" t="n">
        <v>0</v>
      </c>
      <c r="J184" t="n">
        <v>2</v>
      </c>
      <c r="K184" t="n">
        <v>0</v>
      </c>
      <c r="L184" t="n">
        <v>0</v>
      </c>
      <c r="M184" t="n">
        <v>0</v>
      </c>
      <c r="N184" t="n">
        <v>0</v>
      </c>
      <c r="O184" t="n">
        <v>2</v>
      </c>
      <c r="P184" t="n">
        <v>0</v>
      </c>
      <c r="Q184" t="n">
        <v>2</v>
      </c>
      <c r="R184" s="2" t="inlineStr">
        <is>
          <t>Garnlav
Ullticka</t>
        </is>
      </c>
      <c r="S184">
        <f>HYPERLINK("https://klasma.github.io/Logging_2303/artfynd/A 39495-2024 artfynd.xlsx", "A 39495-2024")</f>
        <v/>
      </c>
      <c r="T184">
        <f>HYPERLINK("https://klasma.github.io/Logging_2303/kartor/A 39495-2024 karta.png", "A 39495-2024")</f>
        <v/>
      </c>
      <c r="V184">
        <f>HYPERLINK("https://klasma.github.io/Logging_2303/klagomål/A 39495-2024 FSC-klagomål.docx", "A 39495-2024")</f>
        <v/>
      </c>
      <c r="W184">
        <f>HYPERLINK("https://klasma.github.io/Logging_2303/klagomålsmail/A 39495-2024 FSC-klagomål mail.docx", "A 39495-2024")</f>
        <v/>
      </c>
      <c r="X184">
        <f>HYPERLINK("https://klasma.github.io/Logging_2303/tillsyn/A 39495-2024 tillsynsbegäran.docx", "A 39495-2024")</f>
        <v/>
      </c>
      <c r="Y184">
        <f>HYPERLINK("https://klasma.github.io/Logging_2303/tillsynsmail/A 39495-2024 tillsynsbegäran mail.docx", "A 39495-2024")</f>
        <v/>
      </c>
    </row>
    <row r="185" ht="15" customHeight="1">
      <c r="A185" t="inlineStr">
        <is>
          <t>A 19728-2025</t>
        </is>
      </c>
      <c r="B185" s="1" t="n">
        <v>45771.36548611111</v>
      </c>
      <c r="C185" s="1" t="n">
        <v>46170</v>
      </c>
      <c r="D185" t="inlineStr">
        <is>
          <t>JÄMTLANDS LÄN</t>
        </is>
      </c>
      <c r="E185" t="inlineStr">
        <is>
          <t>RAGUNDA</t>
        </is>
      </c>
      <c r="F185" t="inlineStr">
        <is>
          <t>SCA</t>
        </is>
      </c>
      <c r="G185" t="n">
        <v>6.2</v>
      </c>
      <c r="H185" t="n">
        <v>1</v>
      </c>
      <c r="I185" t="n">
        <v>0</v>
      </c>
      <c r="J185" t="n">
        <v>2</v>
      </c>
      <c r="K185" t="n">
        <v>0</v>
      </c>
      <c r="L185" t="n">
        <v>0</v>
      </c>
      <c r="M185" t="n">
        <v>0</v>
      </c>
      <c r="N185" t="n">
        <v>0</v>
      </c>
      <c r="O185" t="n">
        <v>2</v>
      </c>
      <c r="P185" t="n">
        <v>0</v>
      </c>
      <c r="Q185" t="n">
        <v>2</v>
      </c>
      <c r="R185" s="2" t="inlineStr">
        <is>
          <t>Stjärntagging
Tretåig hackspett</t>
        </is>
      </c>
      <c r="S185">
        <f>HYPERLINK("https://klasma.github.io/Logging_2303/artfynd/A 19728-2025 artfynd.xlsx", "A 19728-2025")</f>
        <v/>
      </c>
      <c r="T185">
        <f>HYPERLINK("https://klasma.github.io/Logging_2303/kartor/A 19728-2025 karta.png", "A 19728-2025")</f>
        <v/>
      </c>
      <c r="V185">
        <f>HYPERLINK("https://klasma.github.io/Logging_2303/klagomål/A 19728-2025 FSC-klagomål.docx", "A 19728-2025")</f>
        <v/>
      </c>
      <c r="W185">
        <f>HYPERLINK("https://klasma.github.io/Logging_2303/klagomålsmail/A 19728-2025 FSC-klagomål mail.docx", "A 19728-2025")</f>
        <v/>
      </c>
      <c r="X185">
        <f>HYPERLINK("https://klasma.github.io/Logging_2303/tillsyn/A 19728-2025 tillsynsbegäran.docx", "A 19728-2025")</f>
        <v/>
      </c>
      <c r="Y185">
        <f>HYPERLINK("https://klasma.github.io/Logging_2303/tillsynsmail/A 19728-2025 tillsynsbegäran mail.docx", "A 19728-2025")</f>
        <v/>
      </c>
      <c r="Z185">
        <f>HYPERLINK("https://klasma.github.io/Logging_2303/fåglar/A 19728-2025 prioriterade fågelarter.docx", "A 19728-2025")</f>
        <v/>
      </c>
    </row>
    <row r="186" ht="15" customHeight="1">
      <c r="A186" t="inlineStr">
        <is>
          <t>A 45035-2023</t>
        </is>
      </c>
      <c r="B186" s="1" t="n">
        <v>45191</v>
      </c>
      <c r="C186" s="1" t="n">
        <v>46170</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11544-2024</t>
        </is>
      </c>
      <c r="B187" s="1" t="n">
        <v>45372.95680555556</v>
      </c>
      <c r="C187" s="1" t="n">
        <v>46170</v>
      </c>
      <c r="D187" t="inlineStr">
        <is>
          <t>JÄMTLANDS LÄN</t>
        </is>
      </c>
      <c r="E187" t="inlineStr">
        <is>
          <t>RAGUNDA</t>
        </is>
      </c>
      <c r="F187" t="inlineStr">
        <is>
          <t>SCA</t>
        </is>
      </c>
      <c r="G187" t="n">
        <v>15.5</v>
      </c>
      <c r="H187" t="n">
        <v>0</v>
      </c>
      <c r="I187" t="n">
        <v>0</v>
      </c>
      <c r="J187" t="n">
        <v>2</v>
      </c>
      <c r="K187" t="n">
        <v>0</v>
      </c>
      <c r="L187" t="n">
        <v>0</v>
      </c>
      <c r="M187" t="n">
        <v>0</v>
      </c>
      <c r="N187" t="n">
        <v>0</v>
      </c>
      <c r="O187" t="n">
        <v>2</v>
      </c>
      <c r="P187" t="n">
        <v>0</v>
      </c>
      <c r="Q187" t="n">
        <v>2</v>
      </c>
      <c r="R187" s="2" t="inlineStr">
        <is>
          <t>Granticka
Mörk kolflarnlav</t>
        </is>
      </c>
      <c r="S187">
        <f>HYPERLINK("https://klasma.github.io/Logging_2303/artfynd/A 11544-2024 artfynd.xlsx", "A 11544-2024")</f>
        <v/>
      </c>
      <c r="T187">
        <f>HYPERLINK("https://klasma.github.io/Logging_2303/kartor/A 11544-2024 karta.png", "A 11544-2024")</f>
        <v/>
      </c>
      <c r="V187">
        <f>HYPERLINK("https://klasma.github.io/Logging_2303/klagomål/A 11544-2024 FSC-klagomål.docx", "A 11544-2024")</f>
        <v/>
      </c>
      <c r="W187">
        <f>HYPERLINK("https://klasma.github.io/Logging_2303/klagomålsmail/A 11544-2024 FSC-klagomål mail.docx", "A 11544-2024")</f>
        <v/>
      </c>
      <c r="X187">
        <f>HYPERLINK("https://klasma.github.io/Logging_2303/tillsyn/A 11544-2024 tillsynsbegäran.docx", "A 11544-2024")</f>
        <v/>
      </c>
      <c r="Y187">
        <f>HYPERLINK("https://klasma.github.io/Logging_2303/tillsynsmail/A 11544-2024 tillsynsbegäran mail.docx", "A 11544-2024")</f>
        <v/>
      </c>
    </row>
    <row r="188" ht="15" customHeight="1">
      <c r="A188" t="inlineStr">
        <is>
          <t>A 11843-2023</t>
        </is>
      </c>
      <c r="B188" s="1" t="n">
        <v>44993</v>
      </c>
      <c r="C188" s="1" t="n">
        <v>46170</v>
      </c>
      <c r="D188" t="inlineStr">
        <is>
          <t>JÄMTLANDS LÄN</t>
        </is>
      </c>
      <c r="E188" t="inlineStr">
        <is>
          <t>RAGUNDA</t>
        </is>
      </c>
      <c r="G188" t="n">
        <v>6.4</v>
      </c>
      <c r="H188" t="n">
        <v>2</v>
      </c>
      <c r="I188" t="n">
        <v>0</v>
      </c>
      <c r="J188" t="n">
        <v>1</v>
      </c>
      <c r="K188" t="n">
        <v>0</v>
      </c>
      <c r="L188" t="n">
        <v>0</v>
      </c>
      <c r="M188" t="n">
        <v>0</v>
      </c>
      <c r="N188" t="n">
        <v>0</v>
      </c>
      <c r="O188" t="n">
        <v>1</v>
      </c>
      <c r="P188" t="n">
        <v>0</v>
      </c>
      <c r="Q188" t="n">
        <v>2</v>
      </c>
      <c r="R188" s="2" t="inlineStr">
        <is>
          <t>Spillkråka
Revlummer</t>
        </is>
      </c>
      <c r="S188">
        <f>HYPERLINK("https://klasma.github.io/Logging_2303/artfynd/A 11843-2023 artfynd.xlsx", "A 11843-2023")</f>
        <v/>
      </c>
      <c r="T188">
        <f>HYPERLINK("https://klasma.github.io/Logging_2303/kartor/A 11843-2023 karta.png", "A 11843-2023")</f>
        <v/>
      </c>
      <c r="V188">
        <f>HYPERLINK("https://klasma.github.io/Logging_2303/klagomål/A 11843-2023 FSC-klagomål.docx", "A 11843-2023")</f>
        <v/>
      </c>
      <c r="W188">
        <f>HYPERLINK("https://klasma.github.io/Logging_2303/klagomålsmail/A 11843-2023 FSC-klagomål mail.docx", "A 11843-2023")</f>
        <v/>
      </c>
      <c r="X188">
        <f>HYPERLINK("https://klasma.github.io/Logging_2303/tillsyn/A 11843-2023 tillsynsbegäran.docx", "A 11843-2023")</f>
        <v/>
      </c>
      <c r="Y188">
        <f>HYPERLINK("https://klasma.github.io/Logging_2303/tillsynsmail/A 11843-2023 tillsynsbegäran mail.docx", "A 11843-2023")</f>
        <v/>
      </c>
      <c r="Z188">
        <f>HYPERLINK("https://klasma.github.io/Logging_2303/fåglar/A 11843-2023 prioriterade fågelarter.docx", "A 11843-2023")</f>
        <v/>
      </c>
    </row>
    <row r="189" ht="15" customHeight="1">
      <c r="A189" t="inlineStr">
        <is>
          <t>A 14696-2022</t>
        </is>
      </c>
      <c r="B189" s="1" t="n">
        <v>44655</v>
      </c>
      <c r="C189" s="1" t="n">
        <v>46170</v>
      </c>
      <c r="D189" t="inlineStr">
        <is>
          <t>JÄMTLANDS LÄN</t>
        </is>
      </c>
      <c r="E189" t="inlineStr">
        <is>
          <t>RAGUNDA</t>
        </is>
      </c>
      <c r="F189" t="inlineStr">
        <is>
          <t>SCA</t>
        </is>
      </c>
      <c r="G189" t="n">
        <v>3.4</v>
      </c>
      <c r="H189" t="n">
        <v>1</v>
      </c>
      <c r="I189" t="n">
        <v>0</v>
      </c>
      <c r="J189" t="n">
        <v>1</v>
      </c>
      <c r="K189" t="n">
        <v>1</v>
      </c>
      <c r="L189" t="n">
        <v>0</v>
      </c>
      <c r="M189" t="n">
        <v>0</v>
      </c>
      <c r="N189" t="n">
        <v>0</v>
      </c>
      <c r="O189" t="n">
        <v>2</v>
      </c>
      <c r="P189" t="n">
        <v>1</v>
      </c>
      <c r="Q189" t="n">
        <v>2</v>
      </c>
      <c r="R189" s="2" t="inlineStr">
        <is>
          <t>Doftticka
Lunglav</t>
        </is>
      </c>
      <c r="S189">
        <f>HYPERLINK("https://klasma.github.io/Logging_2303/artfynd/A 14696-2022 artfynd.xlsx", "A 14696-2022")</f>
        <v/>
      </c>
      <c r="T189">
        <f>HYPERLINK("https://klasma.github.io/Logging_2303/kartor/A 14696-2022 karta.png", "A 14696-2022")</f>
        <v/>
      </c>
      <c r="V189">
        <f>HYPERLINK("https://klasma.github.io/Logging_2303/klagomål/A 14696-2022 FSC-klagomål.docx", "A 14696-2022")</f>
        <v/>
      </c>
      <c r="W189">
        <f>HYPERLINK("https://klasma.github.io/Logging_2303/klagomålsmail/A 14696-2022 FSC-klagomål mail.docx", "A 14696-2022")</f>
        <v/>
      </c>
      <c r="X189">
        <f>HYPERLINK("https://klasma.github.io/Logging_2303/tillsyn/A 14696-2022 tillsynsbegäran.docx", "A 14696-2022")</f>
        <v/>
      </c>
      <c r="Y189">
        <f>HYPERLINK("https://klasma.github.io/Logging_2303/tillsynsmail/A 14696-2022 tillsynsbegäran mail.docx", "A 14696-2022")</f>
        <v/>
      </c>
    </row>
    <row r="190" ht="15" customHeight="1">
      <c r="A190" t="inlineStr">
        <is>
          <t>A 17733-2022</t>
        </is>
      </c>
      <c r="B190" s="1" t="n">
        <v>44680</v>
      </c>
      <c r="C190" s="1" t="n">
        <v>46170</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57940-2024</t>
        </is>
      </c>
      <c r="B191" s="1" t="n">
        <v>45631</v>
      </c>
      <c r="C191" s="1" t="n">
        <v>46170</v>
      </c>
      <c r="D191" t="inlineStr">
        <is>
          <t>JÄMTLANDS LÄN</t>
        </is>
      </c>
      <c r="E191" t="inlineStr">
        <is>
          <t>RAGUNDA</t>
        </is>
      </c>
      <c r="F191" t="inlineStr">
        <is>
          <t>SCA</t>
        </is>
      </c>
      <c r="G191" t="n">
        <v>1.9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HYPERLINK("https://klasma.github.io/Logging_2303/artfynd/A 57940-2024 artfynd.xlsx", "A 57940-2024")</f>
        <v/>
      </c>
      <c r="T191">
        <f>HYPERLINK("https://klasma.github.io/Logging_2303/kartor/A 57940-2024 karta.png", "A 57940-2024")</f>
        <v/>
      </c>
      <c r="V191">
        <f>HYPERLINK("https://klasma.github.io/Logging_2303/klagomål/A 57940-2024 FSC-klagomål.docx", "A 57940-2024")</f>
        <v/>
      </c>
      <c r="W191">
        <f>HYPERLINK("https://klasma.github.io/Logging_2303/klagomålsmail/A 57940-2024 FSC-klagomål mail.docx", "A 57940-2024")</f>
        <v/>
      </c>
      <c r="X191">
        <f>HYPERLINK("https://klasma.github.io/Logging_2303/tillsyn/A 57940-2024 tillsynsbegäran.docx", "A 57940-2024")</f>
        <v/>
      </c>
      <c r="Y191">
        <f>HYPERLINK("https://klasma.github.io/Logging_2303/tillsynsmail/A 57940-2024 tillsynsbegäran mail.docx", "A 57940-2024")</f>
        <v/>
      </c>
      <c r="Z191">
        <f>HYPERLINK("https://klasma.github.io/Logging_2303/fåglar/A 57940-2024 prioriterade fågelarter.docx", "A 57940-2024")</f>
        <v/>
      </c>
    </row>
    <row r="192" ht="15" customHeight="1">
      <c r="A192" t="inlineStr">
        <is>
          <t>A 26482-2023</t>
        </is>
      </c>
      <c r="B192" s="1" t="n">
        <v>45089</v>
      </c>
      <c r="C192" s="1" t="n">
        <v>46170</v>
      </c>
      <c r="D192" t="inlineStr">
        <is>
          <t>JÄMTLANDS LÄN</t>
        </is>
      </c>
      <c r="E192" t="inlineStr">
        <is>
          <t>RAGUNDA</t>
        </is>
      </c>
      <c r="G192" t="n">
        <v>2</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HYPERLINK("https://klasma.github.io/Logging_2303/artfynd/A 26482-2023 artfynd.xlsx", "A 26482-2023")</f>
        <v/>
      </c>
      <c r="T192">
        <f>HYPERLINK("https://klasma.github.io/Logging_2303/kartor/A 26482-2023 karta.png", "A 26482-2023")</f>
        <v/>
      </c>
      <c r="V192">
        <f>HYPERLINK("https://klasma.github.io/Logging_2303/klagomål/A 26482-2023 FSC-klagomål.docx", "A 26482-2023")</f>
        <v/>
      </c>
      <c r="W192">
        <f>HYPERLINK("https://klasma.github.io/Logging_2303/klagomålsmail/A 26482-2023 FSC-klagomål mail.docx", "A 26482-2023")</f>
        <v/>
      </c>
      <c r="X192">
        <f>HYPERLINK("https://klasma.github.io/Logging_2303/tillsyn/A 26482-2023 tillsynsbegäran.docx", "A 26482-2023")</f>
        <v/>
      </c>
      <c r="Y192">
        <f>HYPERLINK("https://klasma.github.io/Logging_2303/tillsynsmail/A 26482-2023 tillsynsbegäran mail.docx", "A 26482-2023")</f>
        <v/>
      </c>
      <c r="Z192">
        <f>HYPERLINK("https://klasma.github.io/Logging_2303/fåglar/A 26482-2023 prioriterade fågelarter.docx", "A 26482-2023")</f>
        <v/>
      </c>
    </row>
    <row r="193" ht="15" customHeight="1">
      <c r="A193" t="inlineStr">
        <is>
          <t>A 48084-2022</t>
        </is>
      </c>
      <c r="B193" s="1" t="n">
        <v>44855</v>
      </c>
      <c r="C193" s="1" t="n">
        <v>46170</v>
      </c>
      <c r="D193" t="inlineStr">
        <is>
          <t>JÄMTLANDS LÄN</t>
        </is>
      </c>
      <c r="E193" t="inlineStr">
        <is>
          <t>RAGUNDA</t>
        </is>
      </c>
      <c r="F193" t="inlineStr">
        <is>
          <t>SCA</t>
        </is>
      </c>
      <c r="G193" t="n">
        <v>4.7</v>
      </c>
      <c r="H193" t="n">
        <v>1</v>
      </c>
      <c r="I193" t="n">
        <v>0</v>
      </c>
      <c r="J193" t="n">
        <v>2</v>
      </c>
      <c r="K193" t="n">
        <v>0</v>
      </c>
      <c r="L193" t="n">
        <v>0</v>
      </c>
      <c r="M193" t="n">
        <v>0</v>
      </c>
      <c r="N193" t="n">
        <v>0</v>
      </c>
      <c r="O193" t="n">
        <v>2</v>
      </c>
      <c r="P193" t="n">
        <v>0</v>
      </c>
      <c r="Q193" t="n">
        <v>2</v>
      </c>
      <c r="R193" s="2" t="inlineStr">
        <is>
          <t>Rosenticka
Tretåig hackspett</t>
        </is>
      </c>
      <c r="S193">
        <f>HYPERLINK("https://klasma.github.io/Logging_2303/artfynd/A 48084-2022 artfynd.xlsx", "A 48084-2022")</f>
        <v/>
      </c>
      <c r="T193">
        <f>HYPERLINK("https://klasma.github.io/Logging_2303/kartor/A 48084-2022 karta.png", "A 48084-2022")</f>
        <v/>
      </c>
      <c r="V193">
        <f>HYPERLINK("https://klasma.github.io/Logging_2303/klagomål/A 48084-2022 FSC-klagomål.docx", "A 48084-2022")</f>
        <v/>
      </c>
      <c r="W193">
        <f>HYPERLINK("https://klasma.github.io/Logging_2303/klagomålsmail/A 48084-2022 FSC-klagomål mail.docx", "A 48084-2022")</f>
        <v/>
      </c>
      <c r="X193">
        <f>HYPERLINK("https://klasma.github.io/Logging_2303/tillsyn/A 48084-2022 tillsynsbegäran.docx", "A 48084-2022")</f>
        <v/>
      </c>
      <c r="Y193">
        <f>HYPERLINK("https://klasma.github.io/Logging_2303/tillsynsmail/A 48084-2022 tillsynsbegäran mail.docx", "A 48084-2022")</f>
        <v/>
      </c>
      <c r="Z193">
        <f>HYPERLINK("https://klasma.github.io/Logging_2303/fåglar/A 48084-2022 prioriterade fågelarter.docx", "A 48084-2022")</f>
        <v/>
      </c>
    </row>
    <row r="194" ht="15" customHeight="1">
      <c r="A194" t="inlineStr">
        <is>
          <t>A 26324-2024</t>
        </is>
      </c>
      <c r="B194" s="1" t="n">
        <v>45468.97495370371</v>
      </c>
      <c r="C194" s="1" t="n">
        <v>46170</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21245-2025</t>
        </is>
      </c>
      <c r="B195" s="1" t="n">
        <v>45779.57350694444</v>
      </c>
      <c r="C195" s="1" t="n">
        <v>46170</v>
      </c>
      <c r="D195" t="inlineStr">
        <is>
          <t>JÄMTLANDS LÄN</t>
        </is>
      </c>
      <c r="E195" t="inlineStr">
        <is>
          <t>RAGUNDA</t>
        </is>
      </c>
      <c r="F195" t="inlineStr">
        <is>
          <t>SCA</t>
        </is>
      </c>
      <c r="G195" t="n">
        <v>3.7</v>
      </c>
      <c r="H195" t="n">
        <v>1</v>
      </c>
      <c r="I195" t="n">
        <v>0</v>
      </c>
      <c r="J195" t="n">
        <v>1</v>
      </c>
      <c r="K195" t="n">
        <v>0</v>
      </c>
      <c r="L195" t="n">
        <v>0</v>
      </c>
      <c r="M195" t="n">
        <v>0</v>
      </c>
      <c r="N195" t="n">
        <v>0</v>
      </c>
      <c r="O195" t="n">
        <v>1</v>
      </c>
      <c r="P195" t="n">
        <v>0</v>
      </c>
      <c r="Q195" t="n">
        <v>2</v>
      </c>
      <c r="R195" s="2" t="inlineStr">
        <is>
          <t>Garnlav
Tjäder</t>
        </is>
      </c>
      <c r="S195">
        <f>HYPERLINK("https://klasma.github.io/Logging_2303/artfynd/A 21245-2025 artfynd.xlsx", "A 21245-2025")</f>
        <v/>
      </c>
      <c r="T195">
        <f>HYPERLINK("https://klasma.github.io/Logging_2303/kartor/A 21245-2025 karta.png", "A 21245-2025")</f>
        <v/>
      </c>
      <c r="V195">
        <f>HYPERLINK("https://klasma.github.io/Logging_2303/klagomål/A 21245-2025 FSC-klagomål.docx", "A 21245-2025")</f>
        <v/>
      </c>
      <c r="W195">
        <f>HYPERLINK("https://klasma.github.io/Logging_2303/klagomålsmail/A 21245-2025 FSC-klagomål mail.docx", "A 21245-2025")</f>
        <v/>
      </c>
      <c r="X195">
        <f>HYPERLINK("https://klasma.github.io/Logging_2303/tillsyn/A 21245-2025 tillsynsbegäran.docx", "A 21245-2025")</f>
        <v/>
      </c>
      <c r="Y195">
        <f>HYPERLINK("https://klasma.github.io/Logging_2303/tillsynsmail/A 21245-2025 tillsynsbegäran mail.docx", "A 21245-2025")</f>
        <v/>
      </c>
      <c r="Z195">
        <f>HYPERLINK("https://klasma.github.io/Logging_2303/fåglar/A 21245-2025 prioriterade fågelarter.docx", "A 21245-2025")</f>
        <v/>
      </c>
    </row>
    <row r="196" ht="15" customHeight="1">
      <c r="A196" t="inlineStr">
        <is>
          <t>A 21275-2022</t>
        </is>
      </c>
      <c r="B196" s="1" t="n">
        <v>44705</v>
      </c>
      <c r="C196" s="1" t="n">
        <v>46170</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46170</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46170</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46170</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46170</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6703-2024</t>
        </is>
      </c>
      <c r="B201" s="1" t="n">
        <v>45341</v>
      </c>
      <c r="C201" s="1" t="n">
        <v>46170</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46170</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59104-2023</t>
        </is>
      </c>
      <c r="B203" s="1" t="n">
        <v>45252</v>
      </c>
      <c r="C203" s="1" t="n">
        <v>46170</v>
      </c>
      <c r="D203" t="inlineStr">
        <is>
          <t>JÄMTLANDS LÄN</t>
        </is>
      </c>
      <c r="E203" t="inlineStr">
        <is>
          <t>RAGUNDA</t>
        </is>
      </c>
      <c r="F203" t="inlineStr">
        <is>
          <t>SCA</t>
        </is>
      </c>
      <c r="G203" t="n">
        <v>4.2</v>
      </c>
      <c r="H203" t="n">
        <v>0</v>
      </c>
      <c r="I203" t="n">
        <v>0</v>
      </c>
      <c r="J203" t="n">
        <v>1</v>
      </c>
      <c r="K203" t="n">
        <v>0</v>
      </c>
      <c r="L203" t="n">
        <v>0</v>
      </c>
      <c r="M203" t="n">
        <v>0</v>
      </c>
      <c r="N203" t="n">
        <v>0</v>
      </c>
      <c r="O203" t="n">
        <v>1</v>
      </c>
      <c r="P203" t="n">
        <v>0</v>
      </c>
      <c r="Q203" t="n">
        <v>1</v>
      </c>
      <c r="R203" s="2" t="inlineStr">
        <is>
          <t>Ullticka</t>
        </is>
      </c>
      <c r="S203">
        <f>HYPERLINK("https://klasma.github.io/Logging_2303/artfynd/A 59104-2023 artfynd.xlsx", "A 59104-2023")</f>
        <v/>
      </c>
      <c r="T203">
        <f>HYPERLINK("https://klasma.github.io/Logging_2303/kartor/A 59104-2023 karta.png", "A 59104-2023")</f>
        <v/>
      </c>
      <c r="V203">
        <f>HYPERLINK("https://klasma.github.io/Logging_2303/klagomål/A 59104-2023 FSC-klagomål.docx", "A 59104-2023")</f>
        <v/>
      </c>
      <c r="W203">
        <f>HYPERLINK("https://klasma.github.io/Logging_2303/klagomålsmail/A 59104-2023 FSC-klagomål mail.docx", "A 59104-2023")</f>
        <v/>
      </c>
      <c r="X203">
        <f>HYPERLINK("https://klasma.github.io/Logging_2303/tillsyn/A 59104-2023 tillsynsbegäran.docx", "A 59104-2023")</f>
        <v/>
      </c>
      <c r="Y203">
        <f>HYPERLINK("https://klasma.github.io/Logging_2303/tillsynsmail/A 59104-2023 tillsynsbegäran mail.docx", "A 59104-2023")</f>
        <v/>
      </c>
    </row>
    <row r="204" ht="15" customHeight="1">
      <c r="A204" t="inlineStr">
        <is>
          <t>A 20088-2023</t>
        </is>
      </c>
      <c r="B204" s="1" t="n">
        <v>45054</v>
      </c>
      <c r="C204" s="1" t="n">
        <v>46170</v>
      </c>
      <c r="D204" t="inlineStr">
        <is>
          <t>JÄMTLANDS LÄN</t>
        </is>
      </c>
      <c r="E204" t="inlineStr">
        <is>
          <t>RAGUNDA</t>
        </is>
      </c>
      <c r="F204" t="inlineStr">
        <is>
          <t>SCA</t>
        </is>
      </c>
      <c r="G204" t="n">
        <v>23.4</v>
      </c>
      <c r="H204" t="n">
        <v>1</v>
      </c>
      <c r="I204" t="n">
        <v>0</v>
      </c>
      <c r="J204" t="n">
        <v>0</v>
      </c>
      <c r="K204" t="n">
        <v>1</v>
      </c>
      <c r="L204" t="n">
        <v>0</v>
      </c>
      <c r="M204" t="n">
        <v>0</v>
      </c>
      <c r="N204" t="n">
        <v>0</v>
      </c>
      <c r="O204" t="n">
        <v>1</v>
      </c>
      <c r="P204" t="n">
        <v>1</v>
      </c>
      <c r="Q204" t="n">
        <v>1</v>
      </c>
      <c r="R204" s="2" t="inlineStr">
        <is>
          <t>Knärot</t>
        </is>
      </c>
      <c r="S204">
        <f>HYPERLINK("https://klasma.github.io/Logging_2303/artfynd/A 20088-2023 artfynd.xlsx", "A 20088-2023")</f>
        <v/>
      </c>
      <c r="T204">
        <f>HYPERLINK("https://klasma.github.io/Logging_2303/kartor/A 20088-2023 karta.png", "A 20088-2023")</f>
        <v/>
      </c>
      <c r="U204">
        <f>HYPERLINK("https://klasma.github.io/Logging_2303/knärot/A 20088-2023 karta knärot.png", "A 20088-2023")</f>
        <v/>
      </c>
      <c r="V204">
        <f>HYPERLINK("https://klasma.github.io/Logging_2303/klagomål/A 20088-2023 FSC-klagomål.docx", "A 20088-2023")</f>
        <v/>
      </c>
      <c r="W204">
        <f>HYPERLINK("https://klasma.github.io/Logging_2303/klagomålsmail/A 20088-2023 FSC-klagomål mail.docx", "A 20088-2023")</f>
        <v/>
      </c>
      <c r="X204">
        <f>HYPERLINK("https://klasma.github.io/Logging_2303/tillsyn/A 20088-2023 tillsynsbegäran.docx", "A 20088-2023")</f>
        <v/>
      </c>
      <c r="Y204">
        <f>HYPERLINK("https://klasma.github.io/Logging_2303/tillsynsmail/A 20088-2023 tillsynsbegäran mail.docx", "A 20088-2023")</f>
        <v/>
      </c>
    </row>
    <row r="205" ht="15" customHeight="1">
      <c r="A205" t="inlineStr">
        <is>
          <t>A 25694-2023</t>
        </is>
      </c>
      <c r="B205" s="1" t="n">
        <v>45089</v>
      </c>
      <c r="C205" s="1" t="n">
        <v>46170</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11040-2023</t>
        </is>
      </c>
      <c r="B206" s="1" t="n">
        <v>44991</v>
      </c>
      <c r="C206" s="1" t="n">
        <v>46170</v>
      </c>
      <c r="D206" t="inlineStr">
        <is>
          <t>JÄMTLANDS LÄN</t>
        </is>
      </c>
      <c r="E206" t="inlineStr">
        <is>
          <t>RAGUNDA</t>
        </is>
      </c>
      <c r="F206" t="inlineStr">
        <is>
          <t>SCA</t>
        </is>
      </c>
      <c r="G206" t="n">
        <v>10.2</v>
      </c>
      <c r="H206" t="n">
        <v>0</v>
      </c>
      <c r="I206" t="n">
        <v>0</v>
      </c>
      <c r="J206" t="n">
        <v>1</v>
      </c>
      <c r="K206" t="n">
        <v>0</v>
      </c>
      <c r="L206" t="n">
        <v>0</v>
      </c>
      <c r="M206" t="n">
        <v>0</v>
      </c>
      <c r="N206" t="n">
        <v>0</v>
      </c>
      <c r="O206" t="n">
        <v>1</v>
      </c>
      <c r="P206" t="n">
        <v>0</v>
      </c>
      <c r="Q206" t="n">
        <v>1</v>
      </c>
      <c r="R206" s="2" t="inlineStr">
        <is>
          <t>Lunglav</t>
        </is>
      </c>
      <c r="S206">
        <f>HYPERLINK("https://klasma.github.io/Logging_2303/artfynd/A 11040-2023 artfynd.xlsx", "A 11040-2023")</f>
        <v/>
      </c>
      <c r="T206">
        <f>HYPERLINK("https://klasma.github.io/Logging_2303/kartor/A 11040-2023 karta.png", "A 11040-2023")</f>
        <v/>
      </c>
      <c r="V206">
        <f>HYPERLINK("https://klasma.github.io/Logging_2303/klagomål/A 11040-2023 FSC-klagomål.docx", "A 11040-2023")</f>
        <v/>
      </c>
      <c r="W206">
        <f>HYPERLINK("https://klasma.github.io/Logging_2303/klagomålsmail/A 11040-2023 FSC-klagomål mail.docx", "A 11040-2023")</f>
        <v/>
      </c>
      <c r="X206">
        <f>HYPERLINK("https://klasma.github.io/Logging_2303/tillsyn/A 11040-2023 tillsynsbegäran.docx", "A 11040-2023")</f>
        <v/>
      </c>
      <c r="Y206">
        <f>HYPERLINK("https://klasma.github.io/Logging_2303/tillsynsmail/A 11040-2023 tillsynsbegäran mail.docx", "A 11040-2023")</f>
        <v/>
      </c>
    </row>
    <row r="207" ht="15" customHeight="1">
      <c r="A207" t="inlineStr">
        <is>
          <t>A 36975-2023</t>
        </is>
      </c>
      <c r="B207" s="1" t="n">
        <v>45154</v>
      </c>
      <c r="C207" s="1" t="n">
        <v>46170</v>
      </c>
      <c r="D207" t="inlineStr">
        <is>
          <t>JÄMTLANDS LÄN</t>
        </is>
      </c>
      <c r="E207" t="inlineStr">
        <is>
          <t>RAGUNDA</t>
        </is>
      </c>
      <c r="F207" t="inlineStr">
        <is>
          <t>SCA</t>
        </is>
      </c>
      <c r="G207" t="n">
        <v>3.8</v>
      </c>
      <c r="H207" t="n">
        <v>0</v>
      </c>
      <c r="I207" t="n">
        <v>0</v>
      </c>
      <c r="J207" t="n">
        <v>0</v>
      </c>
      <c r="K207" t="n">
        <v>1</v>
      </c>
      <c r="L207" t="n">
        <v>0</v>
      </c>
      <c r="M207" t="n">
        <v>0</v>
      </c>
      <c r="N207" t="n">
        <v>0</v>
      </c>
      <c r="O207" t="n">
        <v>1</v>
      </c>
      <c r="P207" t="n">
        <v>1</v>
      </c>
      <c r="Q207" t="n">
        <v>1</v>
      </c>
      <c r="R207" s="2" t="inlineStr">
        <is>
          <t>Gräddporing</t>
        </is>
      </c>
      <c r="S207">
        <f>HYPERLINK("https://klasma.github.io/Logging_2303/artfynd/A 36975-2023 artfynd.xlsx", "A 36975-2023")</f>
        <v/>
      </c>
      <c r="T207">
        <f>HYPERLINK("https://klasma.github.io/Logging_2303/kartor/A 36975-2023 karta.png", "A 36975-2023")</f>
        <v/>
      </c>
      <c r="V207">
        <f>HYPERLINK("https://klasma.github.io/Logging_2303/klagomål/A 36975-2023 FSC-klagomål.docx", "A 36975-2023")</f>
        <v/>
      </c>
      <c r="W207">
        <f>HYPERLINK("https://klasma.github.io/Logging_2303/klagomålsmail/A 36975-2023 FSC-klagomål mail.docx", "A 36975-2023")</f>
        <v/>
      </c>
      <c r="X207">
        <f>HYPERLINK("https://klasma.github.io/Logging_2303/tillsyn/A 36975-2023 tillsynsbegäran.docx", "A 36975-2023")</f>
        <v/>
      </c>
      <c r="Y207">
        <f>HYPERLINK("https://klasma.github.io/Logging_2303/tillsynsmail/A 36975-2023 tillsynsbegäran mail.docx", "A 36975-2023")</f>
        <v/>
      </c>
    </row>
    <row r="208" ht="15" customHeight="1">
      <c r="A208" t="inlineStr">
        <is>
          <t>A 44066-2024</t>
        </is>
      </c>
      <c r="B208" s="1" t="n">
        <v>45572.60363425926</v>
      </c>
      <c r="C208" s="1" t="n">
        <v>46170</v>
      </c>
      <c r="D208" t="inlineStr">
        <is>
          <t>JÄMTLANDS LÄN</t>
        </is>
      </c>
      <c r="E208" t="inlineStr">
        <is>
          <t>RAGUNDA</t>
        </is>
      </c>
      <c r="G208" t="n">
        <v>6.4</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44066-2024 artfynd.xlsx", "A 44066-2024")</f>
        <v/>
      </c>
      <c r="T208">
        <f>HYPERLINK("https://klasma.github.io/Logging_2303/kartor/A 44066-2024 karta.png", "A 44066-2024")</f>
        <v/>
      </c>
      <c r="V208">
        <f>HYPERLINK("https://klasma.github.io/Logging_2303/klagomål/A 44066-2024 FSC-klagomål.docx", "A 44066-2024")</f>
        <v/>
      </c>
      <c r="W208">
        <f>HYPERLINK("https://klasma.github.io/Logging_2303/klagomålsmail/A 44066-2024 FSC-klagomål mail.docx", "A 44066-2024")</f>
        <v/>
      </c>
      <c r="X208">
        <f>HYPERLINK("https://klasma.github.io/Logging_2303/tillsyn/A 44066-2024 tillsynsbegäran.docx", "A 44066-2024")</f>
        <v/>
      </c>
      <c r="Y208">
        <f>HYPERLINK("https://klasma.github.io/Logging_2303/tillsynsmail/A 44066-2024 tillsynsbegäran mail.docx", "A 44066-2024")</f>
        <v/>
      </c>
      <c r="Z208">
        <f>HYPERLINK("https://klasma.github.io/Logging_2303/fåglar/A 44066-2024 prioriterade fågelarter.docx", "A 44066-2024")</f>
        <v/>
      </c>
    </row>
    <row r="209" ht="15" customHeight="1">
      <c r="A209" t="inlineStr">
        <is>
          <t>A 50233-2024</t>
        </is>
      </c>
      <c r="B209" s="1" t="n">
        <v>45600.55265046296</v>
      </c>
      <c r="C209" s="1" t="n">
        <v>46170</v>
      </c>
      <c r="D209" t="inlineStr">
        <is>
          <t>JÄMTLANDS LÄN</t>
        </is>
      </c>
      <c r="E209" t="inlineStr">
        <is>
          <t>RAGUNDA</t>
        </is>
      </c>
      <c r="F209" t="inlineStr">
        <is>
          <t>SCA</t>
        </is>
      </c>
      <c r="G209" t="n">
        <v>5.6</v>
      </c>
      <c r="H209" t="n">
        <v>0</v>
      </c>
      <c r="I209" t="n">
        <v>0</v>
      </c>
      <c r="J209" t="n">
        <v>1</v>
      </c>
      <c r="K209" t="n">
        <v>0</v>
      </c>
      <c r="L209" t="n">
        <v>0</v>
      </c>
      <c r="M209" t="n">
        <v>0</v>
      </c>
      <c r="N209" t="n">
        <v>0</v>
      </c>
      <c r="O209" t="n">
        <v>1</v>
      </c>
      <c r="P209" t="n">
        <v>0</v>
      </c>
      <c r="Q209" t="n">
        <v>1</v>
      </c>
      <c r="R209" s="2" t="inlineStr">
        <is>
          <t>Granticka</t>
        </is>
      </c>
      <c r="S209">
        <f>HYPERLINK("https://klasma.github.io/Logging_2303/artfynd/A 50233-2024 artfynd.xlsx", "A 50233-2024")</f>
        <v/>
      </c>
      <c r="T209">
        <f>HYPERLINK("https://klasma.github.io/Logging_2303/kartor/A 50233-2024 karta.png", "A 50233-2024")</f>
        <v/>
      </c>
      <c r="V209">
        <f>HYPERLINK("https://klasma.github.io/Logging_2303/klagomål/A 50233-2024 FSC-klagomål.docx", "A 50233-2024")</f>
        <v/>
      </c>
      <c r="W209">
        <f>HYPERLINK("https://klasma.github.io/Logging_2303/klagomålsmail/A 50233-2024 FSC-klagomål mail.docx", "A 50233-2024")</f>
        <v/>
      </c>
      <c r="X209">
        <f>HYPERLINK("https://klasma.github.io/Logging_2303/tillsyn/A 50233-2024 tillsynsbegäran.docx", "A 50233-2024")</f>
        <v/>
      </c>
      <c r="Y209">
        <f>HYPERLINK("https://klasma.github.io/Logging_2303/tillsynsmail/A 50233-2024 tillsynsbegäran mail.docx", "A 50233-2024")</f>
        <v/>
      </c>
    </row>
    <row r="210" ht="15" customHeight="1">
      <c r="A210" t="inlineStr">
        <is>
          <t>A 51912-2025</t>
        </is>
      </c>
      <c r="B210" s="1" t="n">
        <v>45952.46939814815</v>
      </c>
      <c r="C210" s="1" t="n">
        <v>46170</v>
      </c>
      <c r="D210" t="inlineStr">
        <is>
          <t>JÄMTLANDS LÄN</t>
        </is>
      </c>
      <c r="E210" t="inlineStr">
        <is>
          <t>RAGUNDA</t>
        </is>
      </c>
      <c r="F210" t="inlineStr">
        <is>
          <t>SCA</t>
        </is>
      </c>
      <c r="G210" t="n">
        <v>24.2</v>
      </c>
      <c r="H210" t="n">
        <v>1</v>
      </c>
      <c r="I210" t="n">
        <v>0</v>
      </c>
      <c r="J210" t="n">
        <v>0</v>
      </c>
      <c r="K210" t="n">
        <v>1</v>
      </c>
      <c r="L210" t="n">
        <v>0</v>
      </c>
      <c r="M210" t="n">
        <v>0</v>
      </c>
      <c r="N210" t="n">
        <v>0</v>
      </c>
      <c r="O210" t="n">
        <v>1</v>
      </c>
      <c r="P210" t="n">
        <v>1</v>
      </c>
      <c r="Q210" t="n">
        <v>1</v>
      </c>
      <c r="R210" s="2" t="inlineStr">
        <is>
          <t>Norna</t>
        </is>
      </c>
      <c r="S210">
        <f>HYPERLINK("https://klasma.github.io/Logging_2303/artfynd/A 51912-2025 artfynd.xlsx", "A 51912-2025")</f>
        <v/>
      </c>
      <c r="T210">
        <f>HYPERLINK("https://klasma.github.io/Logging_2303/kartor/A 51912-2025 karta.png", "A 51912-2025")</f>
        <v/>
      </c>
      <c r="V210">
        <f>HYPERLINK("https://klasma.github.io/Logging_2303/klagomål/A 51912-2025 FSC-klagomål.docx", "A 51912-2025")</f>
        <v/>
      </c>
      <c r="W210">
        <f>HYPERLINK("https://klasma.github.io/Logging_2303/klagomålsmail/A 51912-2025 FSC-klagomål mail.docx", "A 51912-2025")</f>
        <v/>
      </c>
      <c r="X210">
        <f>HYPERLINK("https://klasma.github.io/Logging_2303/tillsyn/A 51912-2025 tillsynsbegäran.docx", "A 51912-2025")</f>
        <v/>
      </c>
      <c r="Y210">
        <f>HYPERLINK("https://klasma.github.io/Logging_2303/tillsynsmail/A 51912-2025 tillsynsbegäran mail.docx", "A 51912-2025")</f>
        <v/>
      </c>
    </row>
    <row r="211" ht="15" customHeight="1">
      <c r="A211" t="inlineStr">
        <is>
          <t>A 36224-2023</t>
        </is>
      </c>
      <c r="B211" s="1" t="n">
        <v>45149</v>
      </c>
      <c r="C211" s="1" t="n">
        <v>46170</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40841-2025</t>
        </is>
      </c>
      <c r="B212" s="1" t="n">
        <v>45897.531875</v>
      </c>
      <c r="C212" s="1" t="n">
        <v>46170</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43404-2023</t>
        </is>
      </c>
      <c r="B213" s="1" t="n">
        <v>45183</v>
      </c>
      <c r="C213" s="1" t="n">
        <v>46170</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27573-2025</t>
        </is>
      </c>
      <c r="B214" s="1" t="n">
        <v>45813.49061342593</v>
      </c>
      <c r="C214" s="1" t="n">
        <v>46170</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43526-2025</t>
        </is>
      </c>
      <c r="B215" s="1" t="n">
        <v>45911</v>
      </c>
      <c r="C215" s="1" t="n">
        <v>46170</v>
      </c>
      <c r="D215" t="inlineStr">
        <is>
          <t>JÄMTLANDS LÄN</t>
        </is>
      </c>
      <c r="E215" t="inlineStr">
        <is>
          <t>RAGUNDA</t>
        </is>
      </c>
      <c r="G215" t="n">
        <v>5.5</v>
      </c>
      <c r="H215" t="n">
        <v>0</v>
      </c>
      <c r="I215" t="n">
        <v>0</v>
      </c>
      <c r="J215" t="n">
        <v>1</v>
      </c>
      <c r="K215" t="n">
        <v>0</v>
      </c>
      <c r="L215" t="n">
        <v>0</v>
      </c>
      <c r="M215" t="n">
        <v>0</v>
      </c>
      <c r="N215" t="n">
        <v>0</v>
      </c>
      <c r="O215" t="n">
        <v>1</v>
      </c>
      <c r="P215" t="n">
        <v>0</v>
      </c>
      <c r="Q215" t="n">
        <v>1</v>
      </c>
      <c r="R215" s="2" t="inlineStr">
        <is>
          <t>Lunglav</t>
        </is>
      </c>
      <c r="S215">
        <f>HYPERLINK("https://klasma.github.io/Logging_2303/artfynd/A 43526-2025 artfynd.xlsx", "A 43526-2025")</f>
        <v/>
      </c>
      <c r="T215">
        <f>HYPERLINK("https://klasma.github.io/Logging_2303/kartor/A 43526-2025 karta.png", "A 43526-2025")</f>
        <v/>
      </c>
      <c r="V215">
        <f>HYPERLINK("https://klasma.github.io/Logging_2303/klagomål/A 43526-2025 FSC-klagomål.docx", "A 43526-2025")</f>
        <v/>
      </c>
      <c r="W215">
        <f>HYPERLINK("https://klasma.github.io/Logging_2303/klagomålsmail/A 43526-2025 FSC-klagomål mail.docx", "A 43526-2025")</f>
        <v/>
      </c>
      <c r="X215">
        <f>HYPERLINK("https://klasma.github.io/Logging_2303/tillsyn/A 43526-2025 tillsynsbegäran.docx", "A 43526-2025")</f>
        <v/>
      </c>
      <c r="Y215">
        <f>HYPERLINK("https://klasma.github.io/Logging_2303/tillsynsmail/A 43526-2025 tillsynsbegäran mail.docx", "A 43526-2025")</f>
        <v/>
      </c>
    </row>
    <row r="216" ht="15" customHeight="1">
      <c r="A216" t="inlineStr">
        <is>
          <t>A 24443-2024</t>
        </is>
      </c>
      <c r="B216" s="1" t="n">
        <v>45457.9640625</v>
      </c>
      <c r="C216" s="1" t="n">
        <v>46170</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46170</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30390-2025</t>
        </is>
      </c>
      <c r="B218" s="1" t="n">
        <v>45827.57371527778</v>
      </c>
      <c r="C218" s="1" t="n">
        <v>46170</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32445-2025</t>
        </is>
      </c>
      <c r="B219" s="1" t="n">
        <v>45838.38627314815</v>
      </c>
      <c r="C219" s="1" t="n">
        <v>46170</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32445-2025 artfynd.xlsx", "A 32445-2025")</f>
        <v/>
      </c>
      <c r="T219">
        <f>HYPERLINK("https://klasma.github.io/Logging_2303/kartor/A 32445-2025 karta.png", "A 32445-2025")</f>
        <v/>
      </c>
      <c r="V219">
        <f>HYPERLINK("https://klasma.github.io/Logging_2303/klagomål/A 32445-2025 FSC-klagomål.docx", "A 32445-2025")</f>
        <v/>
      </c>
      <c r="W219">
        <f>HYPERLINK("https://klasma.github.io/Logging_2303/klagomålsmail/A 32445-2025 FSC-klagomål mail.docx", "A 32445-2025")</f>
        <v/>
      </c>
      <c r="X219">
        <f>HYPERLINK("https://klasma.github.io/Logging_2303/tillsyn/A 32445-2025 tillsynsbegäran.docx", "A 32445-2025")</f>
        <v/>
      </c>
      <c r="Y219">
        <f>HYPERLINK("https://klasma.github.io/Logging_2303/tillsynsmail/A 32445-2025 tillsynsbegäran mail.docx", "A 32445-2025")</f>
        <v/>
      </c>
      <c r="Z219">
        <f>HYPERLINK("https://klasma.github.io/Logging_2303/fåglar/A 32445-2025 prioriterade fågelarter.docx", "A 32445-2025")</f>
        <v/>
      </c>
    </row>
    <row r="220" ht="15" customHeight="1">
      <c r="A220" t="inlineStr">
        <is>
          <t>A 55756-2025</t>
        </is>
      </c>
      <c r="B220" s="1" t="n">
        <v>45972.59438657408</v>
      </c>
      <c r="C220" s="1" t="n">
        <v>46170</v>
      </c>
      <c r="D220" t="inlineStr">
        <is>
          <t>JÄMTLANDS LÄN</t>
        </is>
      </c>
      <c r="E220" t="inlineStr">
        <is>
          <t>RAGUNDA</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HYPERLINK("https://klasma.github.io/Logging_2303/artfynd/A 55756-2025 artfynd.xlsx", "A 55756-2025")</f>
        <v/>
      </c>
      <c r="T220">
        <f>HYPERLINK("https://klasma.github.io/Logging_2303/kartor/A 55756-2025 karta.png", "A 55756-2025")</f>
        <v/>
      </c>
      <c r="V220">
        <f>HYPERLINK("https://klasma.github.io/Logging_2303/klagomål/A 55756-2025 FSC-klagomål.docx", "A 55756-2025")</f>
        <v/>
      </c>
      <c r="W220">
        <f>HYPERLINK("https://klasma.github.io/Logging_2303/klagomålsmail/A 55756-2025 FSC-klagomål mail.docx", "A 55756-2025")</f>
        <v/>
      </c>
      <c r="X220">
        <f>HYPERLINK("https://klasma.github.io/Logging_2303/tillsyn/A 55756-2025 tillsynsbegäran.docx", "A 55756-2025")</f>
        <v/>
      </c>
      <c r="Y220">
        <f>HYPERLINK("https://klasma.github.io/Logging_2303/tillsynsmail/A 55756-2025 tillsynsbegäran mail.docx", "A 55756-2025")</f>
        <v/>
      </c>
    </row>
    <row r="221" ht="15" customHeight="1">
      <c r="A221" t="inlineStr">
        <is>
          <t>A 978-2024</t>
        </is>
      </c>
      <c r="B221" s="1" t="n">
        <v>45301</v>
      </c>
      <c r="C221" s="1" t="n">
        <v>46170</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46170</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34474-2025</t>
        </is>
      </c>
      <c r="B223" s="1" t="n">
        <v>45847.36528935185</v>
      </c>
      <c r="C223" s="1" t="n">
        <v>46170</v>
      </c>
      <c r="D223" t="inlineStr">
        <is>
          <t>JÄMTLANDS LÄN</t>
        </is>
      </c>
      <c r="E223" t="inlineStr">
        <is>
          <t>RAGUNDA</t>
        </is>
      </c>
      <c r="F223" t="inlineStr">
        <is>
          <t>SCA</t>
        </is>
      </c>
      <c r="G223" t="n">
        <v>9.699999999999999</v>
      </c>
      <c r="H223" t="n">
        <v>1</v>
      </c>
      <c r="I223" t="n">
        <v>0</v>
      </c>
      <c r="J223" t="n">
        <v>1</v>
      </c>
      <c r="K223" t="n">
        <v>0</v>
      </c>
      <c r="L223" t="n">
        <v>0</v>
      </c>
      <c r="M223" t="n">
        <v>0</v>
      </c>
      <c r="N223" t="n">
        <v>0</v>
      </c>
      <c r="O223" t="n">
        <v>1</v>
      </c>
      <c r="P223" t="n">
        <v>0</v>
      </c>
      <c r="Q223" t="n">
        <v>1</v>
      </c>
      <c r="R223" s="2" t="inlineStr">
        <is>
          <t>Fjällvråk</t>
        </is>
      </c>
      <c r="S223">
        <f>HYPERLINK("https://klasma.github.io/Logging_2303/artfynd/A 34474-2025 artfynd.xlsx", "A 34474-2025")</f>
        <v/>
      </c>
      <c r="T223">
        <f>HYPERLINK("https://klasma.github.io/Logging_2303/kartor/A 34474-2025 karta.png", "A 34474-2025")</f>
        <v/>
      </c>
      <c r="V223">
        <f>HYPERLINK("https://klasma.github.io/Logging_2303/klagomål/A 34474-2025 FSC-klagomål.docx", "A 34474-2025")</f>
        <v/>
      </c>
      <c r="W223">
        <f>HYPERLINK("https://klasma.github.io/Logging_2303/klagomålsmail/A 34474-2025 FSC-klagomål mail.docx", "A 34474-2025")</f>
        <v/>
      </c>
      <c r="X223">
        <f>HYPERLINK("https://klasma.github.io/Logging_2303/tillsyn/A 34474-2025 tillsynsbegäran.docx", "A 34474-2025")</f>
        <v/>
      </c>
      <c r="Y223">
        <f>HYPERLINK("https://klasma.github.io/Logging_2303/tillsynsmail/A 34474-2025 tillsynsbegäran mail.docx", "A 34474-2025")</f>
        <v/>
      </c>
      <c r="Z223">
        <f>HYPERLINK("https://klasma.github.io/Logging_2303/fåglar/A 34474-2025 prioriterade fågelarter.docx", "A 34474-2025")</f>
        <v/>
      </c>
    </row>
    <row r="224" ht="15" customHeight="1">
      <c r="A224" t="inlineStr">
        <is>
          <t>A 49053-2025</t>
        </is>
      </c>
      <c r="B224" s="1" t="n">
        <v>45937.64009259259</v>
      </c>
      <c r="C224" s="1" t="n">
        <v>46170</v>
      </c>
      <c r="D224" t="inlineStr">
        <is>
          <t>JÄMTLANDS LÄN</t>
        </is>
      </c>
      <c r="E224" t="inlineStr">
        <is>
          <t>RAGUNDA</t>
        </is>
      </c>
      <c r="F224" t="inlineStr">
        <is>
          <t>SCA</t>
        </is>
      </c>
      <c r="G224" t="n">
        <v>7</v>
      </c>
      <c r="H224" t="n">
        <v>1</v>
      </c>
      <c r="I224" t="n">
        <v>1</v>
      </c>
      <c r="J224" t="n">
        <v>0</v>
      </c>
      <c r="K224" t="n">
        <v>0</v>
      </c>
      <c r="L224" t="n">
        <v>0</v>
      </c>
      <c r="M224" t="n">
        <v>0</v>
      </c>
      <c r="N224" t="n">
        <v>0</v>
      </c>
      <c r="O224" t="n">
        <v>0</v>
      </c>
      <c r="P224" t="n">
        <v>0</v>
      </c>
      <c r="Q224" t="n">
        <v>1</v>
      </c>
      <c r="R224" s="2" t="inlineStr">
        <is>
          <t>Guckusko</t>
        </is>
      </c>
      <c r="S224">
        <f>HYPERLINK("https://klasma.github.io/Logging_2303/artfynd/A 49053-2025 artfynd.xlsx", "A 49053-2025")</f>
        <v/>
      </c>
      <c r="T224">
        <f>HYPERLINK("https://klasma.github.io/Logging_2303/kartor/A 49053-2025 karta.png", "A 49053-2025")</f>
        <v/>
      </c>
      <c r="V224">
        <f>HYPERLINK("https://klasma.github.io/Logging_2303/klagomål/A 49053-2025 FSC-klagomål.docx", "A 49053-2025")</f>
        <v/>
      </c>
      <c r="W224">
        <f>HYPERLINK("https://klasma.github.io/Logging_2303/klagomålsmail/A 49053-2025 FSC-klagomål mail.docx", "A 49053-2025")</f>
        <v/>
      </c>
      <c r="X224">
        <f>HYPERLINK("https://klasma.github.io/Logging_2303/tillsyn/A 49053-2025 tillsynsbegäran.docx", "A 49053-2025")</f>
        <v/>
      </c>
      <c r="Y224">
        <f>HYPERLINK("https://klasma.github.io/Logging_2303/tillsynsmail/A 49053-2025 tillsynsbegäran mail.docx", "A 49053-2025")</f>
        <v/>
      </c>
    </row>
    <row r="225" ht="15" customHeight="1">
      <c r="A225" t="inlineStr">
        <is>
          <t>A 31773-2021</t>
        </is>
      </c>
      <c r="B225" s="1" t="n">
        <v>44369</v>
      </c>
      <c r="C225" s="1" t="n">
        <v>46170</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56599-2025</t>
        </is>
      </c>
      <c r="B226" s="1" t="n">
        <v>45975.5734837963</v>
      </c>
      <c r="C226" s="1" t="n">
        <v>46170</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Lunglav</t>
        </is>
      </c>
      <c r="S226">
        <f>HYPERLINK("https://klasma.github.io/Logging_2303/artfynd/A 56599-2025 artfynd.xlsx", "A 56599-2025")</f>
        <v/>
      </c>
      <c r="T226">
        <f>HYPERLINK("https://klasma.github.io/Logging_2303/kartor/A 56599-2025 karta.png", "A 56599-2025")</f>
        <v/>
      </c>
      <c r="V226">
        <f>HYPERLINK("https://klasma.github.io/Logging_2303/klagomål/A 56599-2025 FSC-klagomål.docx", "A 56599-2025")</f>
        <v/>
      </c>
      <c r="W226">
        <f>HYPERLINK("https://klasma.github.io/Logging_2303/klagomålsmail/A 56599-2025 FSC-klagomål mail.docx", "A 56599-2025")</f>
        <v/>
      </c>
      <c r="X226">
        <f>HYPERLINK("https://klasma.github.io/Logging_2303/tillsyn/A 56599-2025 tillsynsbegäran.docx", "A 56599-2025")</f>
        <v/>
      </c>
      <c r="Y226">
        <f>HYPERLINK("https://klasma.github.io/Logging_2303/tillsynsmail/A 56599-2025 tillsynsbegäran mail.docx", "A 56599-2025")</f>
        <v/>
      </c>
    </row>
    <row r="227" ht="15" customHeight="1">
      <c r="A227" t="inlineStr">
        <is>
          <t>A 57253-2025</t>
        </is>
      </c>
      <c r="B227" s="1" t="n">
        <v>45979.64381944444</v>
      </c>
      <c r="C227" s="1" t="n">
        <v>46170</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26317-2024</t>
        </is>
      </c>
      <c r="B228" s="1" t="n">
        <v>45468</v>
      </c>
      <c r="C228" s="1" t="n">
        <v>46170</v>
      </c>
      <c r="D228" t="inlineStr">
        <is>
          <t>JÄMTLANDS LÄN</t>
        </is>
      </c>
      <c r="E228" t="inlineStr">
        <is>
          <t>RAGUNDA</t>
        </is>
      </c>
      <c r="F228" t="inlineStr">
        <is>
          <t>SCA</t>
        </is>
      </c>
      <c r="G228" t="n">
        <v>3.8</v>
      </c>
      <c r="H228" t="n">
        <v>0</v>
      </c>
      <c r="I228" t="n">
        <v>0</v>
      </c>
      <c r="J228" t="n">
        <v>1</v>
      </c>
      <c r="K228" t="n">
        <v>0</v>
      </c>
      <c r="L228" t="n">
        <v>0</v>
      </c>
      <c r="M228" t="n">
        <v>0</v>
      </c>
      <c r="N228" t="n">
        <v>0</v>
      </c>
      <c r="O228" t="n">
        <v>1</v>
      </c>
      <c r="P228" t="n">
        <v>0</v>
      </c>
      <c r="Q228" t="n">
        <v>1</v>
      </c>
      <c r="R228" s="2" t="inlineStr">
        <is>
          <t>Kortskaftad ärgspik</t>
        </is>
      </c>
      <c r="S228">
        <f>HYPERLINK("https://klasma.github.io/Logging_2303/artfynd/A 26317-2024 artfynd.xlsx", "A 26317-2024")</f>
        <v/>
      </c>
      <c r="T228">
        <f>HYPERLINK("https://klasma.github.io/Logging_2303/kartor/A 26317-2024 karta.png", "A 26317-2024")</f>
        <v/>
      </c>
      <c r="V228">
        <f>HYPERLINK("https://klasma.github.io/Logging_2303/klagomål/A 26317-2024 FSC-klagomål.docx", "A 26317-2024")</f>
        <v/>
      </c>
      <c r="W228">
        <f>HYPERLINK("https://klasma.github.io/Logging_2303/klagomålsmail/A 26317-2024 FSC-klagomål mail.docx", "A 26317-2024")</f>
        <v/>
      </c>
      <c r="X228">
        <f>HYPERLINK("https://klasma.github.io/Logging_2303/tillsyn/A 26317-2024 tillsynsbegäran.docx", "A 26317-2024")</f>
        <v/>
      </c>
      <c r="Y228">
        <f>HYPERLINK("https://klasma.github.io/Logging_2303/tillsynsmail/A 26317-2024 tillsynsbegäran mail.docx", "A 26317-2024")</f>
        <v/>
      </c>
    </row>
    <row r="229" ht="15" customHeight="1">
      <c r="A229" t="inlineStr">
        <is>
          <t>A 49091-2022</t>
        </is>
      </c>
      <c r="B229" s="1" t="n">
        <v>44860</v>
      </c>
      <c r="C229" s="1" t="n">
        <v>46170</v>
      </c>
      <c r="D229" t="inlineStr">
        <is>
          <t>JÄMTLANDS LÄN</t>
        </is>
      </c>
      <c r="E229" t="inlineStr">
        <is>
          <t>RAGUNDA</t>
        </is>
      </c>
      <c r="G229" t="n">
        <v>3.5</v>
      </c>
      <c r="H229" t="n">
        <v>1</v>
      </c>
      <c r="I229" t="n">
        <v>0</v>
      </c>
      <c r="J229" t="n">
        <v>0</v>
      </c>
      <c r="K229" t="n">
        <v>1</v>
      </c>
      <c r="L229" t="n">
        <v>0</v>
      </c>
      <c r="M229" t="n">
        <v>0</v>
      </c>
      <c r="N229" t="n">
        <v>0</v>
      </c>
      <c r="O229" t="n">
        <v>1</v>
      </c>
      <c r="P229" t="n">
        <v>1</v>
      </c>
      <c r="Q229" t="n">
        <v>1</v>
      </c>
      <c r="R229" s="2" t="inlineStr">
        <is>
          <t>Doftticka</t>
        </is>
      </c>
      <c r="S229">
        <f>HYPERLINK("https://klasma.github.io/Logging_2303/artfynd/A 49091-2022 artfynd.xlsx", "A 49091-2022")</f>
        <v/>
      </c>
      <c r="T229">
        <f>HYPERLINK("https://klasma.github.io/Logging_2303/kartor/A 49091-2022 karta.png", "A 49091-2022")</f>
        <v/>
      </c>
      <c r="V229">
        <f>HYPERLINK("https://klasma.github.io/Logging_2303/klagomål/A 49091-2022 FSC-klagomål.docx", "A 49091-2022")</f>
        <v/>
      </c>
      <c r="W229">
        <f>HYPERLINK("https://klasma.github.io/Logging_2303/klagomålsmail/A 49091-2022 FSC-klagomål mail.docx", "A 49091-2022")</f>
        <v/>
      </c>
      <c r="X229">
        <f>HYPERLINK("https://klasma.github.io/Logging_2303/tillsyn/A 49091-2022 tillsynsbegäran.docx", "A 49091-2022")</f>
        <v/>
      </c>
      <c r="Y229">
        <f>HYPERLINK("https://klasma.github.io/Logging_2303/tillsynsmail/A 49091-2022 tillsynsbegäran mail.docx", "A 49091-2022")</f>
        <v/>
      </c>
    </row>
    <row r="230" ht="15" customHeight="1">
      <c r="A230" t="inlineStr">
        <is>
          <t>A 57479-2025</t>
        </is>
      </c>
      <c r="B230" s="1" t="n">
        <v>45980.5737037037</v>
      </c>
      <c r="C230" s="1" t="n">
        <v>46170</v>
      </c>
      <c r="D230" t="inlineStr">
        <is>
          <t>JÄMTLANDS LÄN</t>
        </is>
      </c>
      <c r="E230" t="inlineStr">
        <is>
          <t>RAGUNDA</t>
        </is>
      </c>
      <c r="F230" t="inlineStr">
        <is>
          <t>SCA</t>
        </is>
      </c>
      <c r="G230" t="n">
        <v>12</v>
      </c>
      <c r="H230" t="n">
        <v>0</v>
      </c>
      <c r="I230" t="n">
        <v>0</v>
      </c>
      <c r="J230" t="n">
        <v>1</v>
      </c>
      <c r="K230" t="n">
        <v>0</v>
      </c>
      <c r="L230" t="n">
        <v>0</v>
      </c>
      <c r="M230" t="n">
        <v>0</v>
      </c>
      <c r="N230" t="n">
        <v>0</v>
      </c>
      <c r="O230" t="n">
        <v>1</v>
      </c>
      <c r="P230" t="n">
        <v>0</v>
      </c>
      <c r="Q230" t="n">
        <v>1</v>
      </c>
      <c r="R230" s="2" t="inlineStr">
        <is>
          <t>Kolflarnlav</t>
        </is>
      </c>
      <c r="S230">
        <f>HYPERLINK("https://klasma.github.io/Logging_2303/artfynd/A 57479-2025 artfynd.xlsx", "A 57479-2025")</f>
        <v/>
      </c>
      <c r="T230">
        <f>HYPERLINK("https://klasma.github.io/Logging_2303/kartor/A 57479-2025 karta.png", "A 57479-2025")</f>
        <v/>
      </c>
      <c r="V230">
        <f>HYPERLINK("https://klasma.github.io/Logging_2303/klagomål/A 57479-2025 FSC-klagomål.docx", "A 57479-2025")</f>
        <v/>
      </c>
      <c r="W230">
        <f>HYPERLINK("https://klasma.github.io/Logging_2303/klagomålsmail/A 57479-2025 FSC-klagomål mail.docx", "A 57479-2025")</f>
        <v/>
      </c>
      <c r="X230">
        <f>HYPERLINK("https://klasma.github.io/Logging_2303/tillsyn/A 57479-2025 tillsynsbegäran.docx", "A 57479-2025")</f>
        <v/>
      </c>
      <c r="Y230">
        <f>HYPERLINK("https://klasma.github.io/Logging_2303/tillsynsmail/A 57479-2025 tillsynsbegäran mail.docx", "A 57479-2025")</f>
        <v/>
      </c>
    </row>
    <row r="231" ht="15" customHeight="1">
      <c r="A231" t="inlineStr">
        <is>
          <t>A 57478-2025</t>
        </is>
      </c>
      <c r="B231" s="1" t="n">
        <v>45980.57349537037</v>
      </c>
      <c r="C231" s="1" t="n">
        <v>46170</v>
      </c>
      <c r="D231" t="inlineStr">
        <is>
          <t>JÄMTLANDS LÄN</t>
        </is>
      </c>
      <c r="E231" t="inlineStr">
        <is>
          <t>RAGUNDA</t>
        </is>
      </c>
      <c r="F231" t="inlineStr">
        <is>
          <t>SCA</t>
        </is>
      </c>
      <c r="G231" t="n">
        <v>3.3</v>
      </c>
      <c r="H231" t="n">
        <v>0</v>
      </c>
      <c r="I231" t="n">
        <v>0</v>
      </c>
      <c r="J231" t="n">
        <v>1</v>
      </c>
      <c r="K231" t="n">
        <v>0</v>
      </c>
      <c r="L231" t="n">
        <v>0</v>
      </c>
      <c r="M231" t="n">
        <v>0</v>
      </c>
      <c r="N231" t="n">
        <v>0</v>
      </c>
      <c r="O231" t="n">
        <v>1</v>
      </c>
      <c r="P231" t="n">
        <v>0</v>
      </c>
      <c r="Q231" t="n">
        <v>1</v>
      </c>
      <c r="R231" s="2" t="inlineStr">
        <is>
          <t>Lunglav</t>
        </is>
      </c>
      <c r="S231">
        <f>HYPERLINK("https://klasma.github.io/Logging_2303/artfynd/A 57478-2025 artfynd.xlsx", "A 57478-2025")</f>
        <v/>
      </c>
      <c r="T231">
        <f>HYPERLINK("https://klasma.github.io/Logging_2303/kartor/A 57478-2025 karta.png", "A 57478-2025")</f>
        <v/>
      </c>
      <c r="V231">
        <f>HYPERLINK("https://klasma.github.io/Logging_2303/klagomål/A 57478-2025 FSC-klagomål.docx", "A 57478-2025")</f>
        <v/>
      </c>
      <c r="W231">
        <f>HYPERLINK("https://klasma.github.io/Logging_2303/klagomålsmail/A 57478-2025 FSC-klagomål mail.docx", "A 57478-2025")</f>
        <v/>
      </c>
      <c r="X231">
        <f>HYPERLINK("https://klasma.github.io/Logging_2303/tillsyn/A 57478-2025 tillsynsbegäran.docx", "A 57478-2025")</f>
        <v/>
      </c>
      <c r="Y231">
        <f>HYPERLINK("https://klasma.github.io/Logging_2303/tillsynsmail/A 57478-2025 tillsynsbegäran mail.docx", "A 57478-2025")</f>
        <v/>
      </c>
    </row>
    <row r="232" ht="15" customHeight="1">
      <c r="A232" t="inlineStr">
        <is>
          <t>A 58990-2025</t>
        </is>
      </c>
      <c r="B232" s="1" t="n">
        <v>45987</v>
      </c>
      <c r="C232" s="1" t="n">
        <v>46170</v>
      </c>
      <c r="D232" t="inlineStr">
        <is>
          <t>JÄMTLANDS LÄN</t>
        </is>
      </c>
      <c r="E232" t="inlineStr">
        <is>
          <t>RAGUNDA</t>
        </is>
      </c>
      <c r="F232" t="inlineStr">
        <is>
          <t>SCA</t>
        </is>
      </c>
      <c r="G232" t="n">
        <v>4.6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58990-2025 artfynd.xlsx", "A 58990-2025")</f>
        <v/>
      </c>
      <c r="T232">
        <f>HYPERLINK("https://klasma.github.io/Logging_2303/kartor/A 58990-2025 karta.png", "A 58990-2025")</f>
        <v/>
      </c>
      <c r="V232">
        <f>HYPERLINK("https://klasma.github.io/Logging_2303/klagomål/A 58990-2025 FSC-klagomål.docx", "A 58990-2025")</f>
        <v/>
      </c>
      <c r="W232">
        <f>HYPERLINK("https://klasma.github.io/Logging_2303/klagomålsmail/A 58990-2025 FSC-klagomål mail.docx", "A 58990-2025")</f>
        <v/>
      </c>
      <c r="X232">
        <f>HYPERLINK("https://klasma.github.io/Logging_2303/tillsyn/A 58990-2025 tillsynsbegäran.docx", "A 58990-2025")</f>
        <v/>
      </c>
      <c r="Y232">
        <f>HYPERLINK("https://klasma.github.io/Logging_2303/tillsynsmail/A 58990-2025 tillsynsbegäran mail.docx", "A 58990-2025")</f>
        <v/>
      </c>
      <c r="Z232">
        <f>HYPERLINK("https://klasma.github.io/Logging_2303/fåglar/A 58990-2025 prioriterade fågelarter.docx", "A 58990-2025")</f>
        <v/>
      </c>
    </row>
    <row r="233" ht="15" customHeight="1">
      <c r="A233" t="inlineStr">
        <is>
          <t>A 29921-2024</t>
        </is>
      </c>
      <c r="B233" s="1" t="n">
        <v>45487.92863425926</v>
      </c>
      <c r="C233" s="1" t="n">
        <v>46170</v>
      </c>
      <c r="D233" t="inlineStr">
        <is>
          <t>JÄMTLANDS LÄN</t>
        </is>
      </c>
      <c r="E233" t="inlineStr">
        <is>
          <t>RAGUNDA</t>
        </is>
      </c>
      <c r="G233" t="n">
        <v>1.6</v>
      </c>
      <c r="H233" t="n">
        <v>1</v>
      </c>
      <c r="I233" t="n">
        <v>0</v>
      </c>
      <c r="J233" t="n">
        <v>0</v>
      </c>
      <c r="K233" t="n">
        <v>1</v>
      </c>
      <c r="L233" t="n">
        <v>0</v>
      </c>
      <c r="M233" t="n">
        <v>0</v>
      </c>
      <c r="N233" t="n">
        <v>0</v>
      </c>
      <c r="O233" t="n">
        <v>1</v>
      </c>
      <c r="P233" t="n">
        <v>1</v>
      </c>
      <c r="Q233" t="n">
        <v>1</v>
      </c>
      <c r="R233" s="2" t="inlineStr">
        <is>
          <t>Knärot</t>
        </is>
      </c>
      <c r="S233">
        <f>HYPERLINK("https://klasma.github.io/Logging_2303/artfynd/A 29921-2024 artfynd.xlsx", "A 29921-2024")</f>
        <v/>
      </c>
      <c r="T233">
        <f>HYPERLINK("https://klasma.github.io/Logging_2303/kartor/A 29921-2024 karta.png", "A 29921-2024")</f>
        <v/>
      </c>
      <c r="U233">
        <f>HYPERLINK("https://klasma.github.io/Logging_2303/knärot/A 29921-2024 karta knärot.png", "A 29921-2024")</f>
        <v/>
      </c>
      <c r="V233">
        <f>HYPERLINK("https://klasma.github.io/Logging_2303/klagomål/A 29921-2024 FSC-klagomål.docx", "A 29921-2024")</f>
        <v/>
      </c>
      <c r="W233">
        <f>HYPERLINK("https://klasma.github.io/Logging_2303/klagomålsmail/A 29921-2024 FSC-klagomål mail.docx", "A 29921-2024")</f>
        <v/>
      </c>
      <c r="X233">
        <f>HYPERLINK("https://klasma.github.io/Logging_2303/tillsyn/A 29921-2024 tillsynsbegäran.docx", "A 29921-2024")</f>
        <v/>
      </c>
      <c r="Y233">
        <f>HYPERLINK("https://klasma.github.io/Logging_2303/tillsynsmail/A 29921-2024 tillsynsbegäran mail.docx", "A 29921-2024")</f>
        <v/>
      </c>
    </row>
    <row r="234" ht="15" customHeight="1">
      <c r="A234" t="inlineStr">
        <is>
          <t>A 30485-2024</t>
        </is>
      </c>
      <c r="B234" s="1" t="n">
        <v>45491.95008101852</v>
      </c>
      <c r="C234" s="1" t="n">
        <v>46170</v>
      </c>
      <c r="D234" t="inlineStr">
        <is>
          <t>JÄMTLANDS LÄN</t>
        </is>
      </c>
      <c r="E234" t="inlineStr">
        <is>
          <t>RAGUNDA</t>
        </is>
      </c>
      <c r="F234" t="inlineStr">
        <is>
          <t>SCA</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HYPERLINK("https://klasma.github.io/Logging_2303/artfynd/A 30485-2024 artfynd.xlsx", "A 30485-2024")</f>
        <v/>
      </c>
      <c r="T234">
        <f>HYPERLINK("https://klasma.github.io/Logging_2303/kartor/A 30485-2024 karta.png", "A 30485-2024")</f>
        <v/>
      </c>
      <c r="V234">
        <f>HYPERLINK("https://klasma.github.io/Logging_2303/klagomål/A 30485-2024 FSC-klagomål.docx", "A 30485-2024")</f>
        <v/>
      </c>
      <c r="W234">
        <f>HYPERLINK("https://klasma.github.io/Logging_2303/klagomålsmail/A 30485-2024 FSC-klagomål mail.docx", "A 30485-2024")</f>
        <v/>
      </c>
      <c r="X234">
        <f>HYPERLINK("https://klasma.github.io/Logging_2303/tillsyn/A 30485-2024 tillsynsbegäran.docx", "A 30485-2024")</f>
        <v/>
      </c>
      <c r="Y234">
        <f>HYPERLINK("https://klasma.github.io/Logging_2303/tillsynsmail/A 30485-2024 tillsynsbegäran mail.docx", "A 30485-2024")</f>
        <v/>
      </c>
    </row>
    <row r="235" ht="15" customHeight="1">
      <c r="A235" t="inlineStr">
        <is>
          <t>A 48429-2023</t>
        </is>
      </c>
      <c r="B235" s="1" t="n">
        <v>45205</v>
      </c>
      <c r="C235" s="1" t="n">
        <v>46170</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48429-2023 artfynd.xlsx", "A 48429-2023")</f>
        <v/>
      </c>
      <c r="T235">
        <f>HYPERLINK("https://klasma.github.io/Logging_2303/kartor/A 48429-2023 karta.png", "A 48429-2023")</f>
        <v/>
      </c>
      <c r="V235">
        <f>HYPERLINK("https://klasma.github.io/Logging_2303/klagomål/A 48429-2023 FSC-klagomål.docx", "A 48429-2023")</f>
        <v/>
      </c>
      <c r="W235">
        <f>HYPERLINK("https://klasma.github.io/Logging_2303/klagomålsmail/A 48429-2023 FSC-klagomål mail.docx", "A 48429-2023")</f>
        <v/>
      </c>
      <c r="X235">
        <f>HYPERLINK("https://klasma.github.io/Logging_2303/tillsyn/A 48429-2023 tillsynsbegäran.docx", "A 48429-2023")</f>
        <v/>
      </c>
      <c r="Y235">
        <f>HYPERLINK("https://klasma.github.io/Logging_2303/tillsynsmail/A 48429-2023 tillsynsbegäran mail.docx", "A 48429-2023")</f>
        <v/>
      </c>
    </row>
    <row r="236" ht="15" customHeight="1">
      <c r="A236" t="inlineStr">
        <is>
          <t>A 17340-2023</t>
        </is>
      </c>
      <c r="B236" s="1" t="n">
        <v>45033</v>
      </c>
      <c r="C236" s="1" t="n">
        <v>46170</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26322-2024</t>
        </is>
      </c>
      <c r="B237" s="1" t="n">
        <v>45468.97461805555</v>
      </c>
      <c r="C237" s="1" t="n">
        <v>46170</v>
      </c>
      <c r="D237" t="inlineStr">
        <is>
          <t>JÄMTLANDS LÄN</t>
        </is>
      </c>
      <c r="E237" t="inlineStr">
        <is>
          <t>RAGUNDA</t>
        </is>
      </c>
      <c r="F237" t="inlineStr">
        <is>
          <t>SCA</t>
        </is>
      </c>
      <c r="G237" t="n">
        <v>9.6</v>
      </c>
      <c r="H237" t="n">
        <v>0</v>
      </c>
      <c r="I237" t="n">
        <v>0</v>
      </c>
      <c r="J237" t="n">
        <v>1</v>
      </c>
      <c r="K237" t="n">
        <v>0</v>
      </c>
      <c r="L237" t="n">
        <v>0</v>
      </c>
      <c r="M237" t="n">
        <v>0</v>
      </c>
      <c r="N237" t="n">
        <v>0</v>
      </c>
      <c r="O237" t="n">
        <v>1</v>
      </c>
      <c r="P237" t="n">
        <v>0</v>
      </c>
      <c r="Q237" t="n">
        <v>1</v>
      </c>
      <c r="R237" s="2" t="inlineStr">
        <is>
          <t>Rosenticka</t>
        </is>
      </c>
      <c r="S237">
        <f>HYPERLINK("https://klasma.github.io/Logging_2303/artfynd/A 26322-2024 artfynd.xlsx", "A 26322-2024")</f>
        <v/>
      </c>
      <c r="T237">
        <f>HYPERLINK("https://klasma.github.io/Logging_2303/kartor/A 26322-2024 karta.png", "A 26322-2024")</f>
        <v/>
      </c>
      <c r="U237">
        <f>HYPERLINK("https://klasma.github.io/Logging_2303/knärot/A 26322-2024 karta knärot.png", "A 26322-2024")</f>
        <v/>
      </c>
      <c r="V237">
        <f>HYPERLINK("https://klasma.github.io/Logging_2303/klagomål/A 26322-2024 FSC-klagomål.docx", "A 26322-2024")</f>
        <v/>
      </c>
      <c r="W237">
        <f>HYPERLINK("https://klasma.github.io/Logging_2303/klagomålsmail/A 26322-2024 FSC-klagomål mail.docx", "A 26322-2024")</f>
        <v/>
      </c>
      <c r="X237">
        <f>HYPERLINK("https://klasma.github.io/Logging_2303/tillsyn/A 26322-2024 tillsynsbegäran.docx", "A 26322-2024")</f>
        <v/>
      </c>
      <c r="Y237">
        <f>HYPERLINK("https://klasma.github.io/Logging_2303/tillsynsmail/A 26322-2024 tillsynsbegäran mail.docx", "A 26322-2024")</f>
        <v/>
      </c>
    </row>
    <row r="238" ht="15" customHeight="1">
      <c r="A238" t="inlineStr">
        <is>
          <t>A 48477-2023</t>
        </is>
      </c>
      <c r="B238" s="1" t="n">
        <v>45206</v>
      </c>
      <c r="C238" s="1" t="n">
        <v>46170</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46170</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49770-2024</t>
        </is>
      </c>
      <c r="B240" s="1" t="n">
        <v>45597.34461805555</v>
      </c>
      <c r="C240" s="1" t="n">
        <v>46170</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2097-2026</t>
        </is>
      </c>
      <c r="B241" s="1" t="n">
        <v>46036.36556712963</v>
      </c>
      <c r="C241" s="1" t="n">
        <v>46170</v>
      </c>
      <c r="D241" t="inlineStr">
        <is>
          <t>JÄMTLANDS LÄN</t>
        </is>
      </c>
      <c r="E241" t="inlineStr">
        <is>
          <t>RAGUNDA</t>
        </is>
      </c>
      <c r="F241" t="inlineStr">
        <is>
          <t>SCA</t>
        </is>
      </c>
      <c r="G241" t="n">
        <v>0.9</v>
      </c>
      <c r="H241" t="n">
        <v>0</v>
      </c>
      <c r="I241" t="n">
        <v>0</v>
      </c>
      <c r="J241" t="n">
        <v>0</v>
      </c>
      <c r="K241" t="n">
        <v>0</v>
      </c>
      <c r="L241" t="n">
        <v>1</v>
      </c>
      <c r="M241" t="n">
        <v>0</v>
      </c>
      <c r="N241" t="n">
        <v>0</v>
      </c>
      <c r="O241" t="n">
        <v>1</v>
      </c>
      <c r="P241" t="n">
        <v>1</v>
      </c>
      <c r="Q241" t="n">
        <v>1</v>
      </c>
      <c r="R241" s="2" t="inlineStr">
        <is>
          <t>Trolldruvemätare</t>
        </is>
      </c>
      <c r="S241">
        <f>HYPERLINK("https://klasma.github.io/Logging_2303/artfynd/A 2097-2026 artfynd.xlsx", "A 2097-2026")</f>
        <v/>
      </c>
      <c r="T241">
        <f>HYPERLINK("https://klasma.github.io/Logging_2303/kartor/A 2097-2026 karta.png", "A 2097-2026")</f>
        <v/>
      </c>
      <c r="V241">
        <f>HYPERLINK("https://klasma.github.io/Logging_2303/klagomål/A 2097-2026 FSC-klagomål.docx", "A 2097-2026")</f>
        <v/>
      </c>
      <c r="W241">
        <f>HYPERLINK("https://klasma.github.io/Logging_2303/klagomålsmail/A 2097-2026 FSC-klagomål mail.docx", "A 2097-2026")</f>
        <v/>
      </c>
      <c r="X241">
        <f>HYPERLINK("https://klasma.github.io/Logging_2303/tillsyn/A 2097-2026 tillsynsbegäran.docx", "A 2097-2026")</f>
        <v/>
      </c>
      <c r="Y241">
        <f>HYPERLINK("https://klasma.github.io/Logging_2303/tillsynsmail/A 2097-2026 tillsynsbegäran mail.docx", "A 2097-2026")</f>
        <v/>
      </c>
    </row>
    <row r="242" ht="15" customHeight="1">
      <c r="A242" t="inlineStr">
        <is>
          <t>A 22054-2025</t>
        </is>
      </c>
      <c r="B242" s="1" t="n">
        <v>45785.36525462963</v>
      </c>
      <c r="C242" s="1" t="n">
        <v>46170</v>
      </c>
      <c r="D242" t="inlineStr">
        <is>
          <t>JÄMTLANDS LÄN</t>
        </is>
      </c>
      <c r="E242" t="inlineStr">
        <is>
          <t>RAGUNDA</t>
        </is>
      </c>
      <c r="F242" t="inlineStr">
        <is>
          <t>SCA</t>
        </is>
      </c>
      <c r="G242" t="n">
        <v>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22054-2025 artfynd.xlsx", "A 22054-2025")</f>
        <v/>
      </c>
      <c r="T242">
        <f>HYPERLINK("https://klasma.github.io/Logging_2303/kartor/A 22054-2025 karta.png", "A 22054-2025")</f>
        <v/>
      </c>
      <c r="V242">
        <f>HYPERLINK("https://klasma.github.io/Logging_2303/klagomål/A 22054-2025 FSC-klagomål.docx", "A 22054-2025")</f>
        <v/>
      </c>
      <c r="W242">
        <f>HYPERLINK("https://klasma.github.io/Logging_2303/klagomålsmail/A 22054-2025 FSC-klagomål mail.docx", "A 22054-2025")</f>
        <v/>
      </c>
      <c r="X242">
        <f>HYPERLINK("https://klasma.github.io/Logging_2303/tillsyn/A 22054-2025 tillsynsbegäran.docx", "A 22054-2025")</f>
        <v/>
      </c>
      <c r="Y242">
        <f>HYPERLINK("https://klasma.github.io/Logging_2303/tillsynsmail/A 22054-2025 tillsynsbegäran mail.docx", "A 22054-2025")</f>
        <v/>
      </c>
      <c r="Z242">
        <f>HYPERLINK("https://klasma.github.io/Logging_2303/fåglar/A 22054-2025 prioriterade fågelarter.docx", "A 22054-2025")</f>
        <v/>
      </c>
    </row>
    <row r="243" ht="15" customHeight="1">
      <c r="A243" t="inlineStr">
        <is>
          <t>A 4157-2026</t>
        </is>
      </c>
      <c r="B243" s="1" t="n">
        <v>46044.65694444445</v>
      </c>
      <c r="C243" s="1" t="n">
        <v>46170</v>
      </c>
      <c r="D243" t="inlineStr">
        <is>
          <t>JÄMTLANDS LÄN</t>
        </is>
      </c>
      <c r="E243" t="inlineStr">
        <is>
          <t>RAGUNDA</t>
        </is>
      </c>
      <c r="F243" t="inlineStr">
        <is>
          <t>SCA</t>
        </is>
      </c>
      <c r="G243" t="n">
        <v>2.6</v>
      </c>
      <c r="H243" t="n">
        <v>1</v>
      </c>
      <c r="I243" t="n">
        <v>1</v>
      </c>
      <c r="J243" t="n">
        <v>0</v>
      </c>
      <c r="K243" t="n">
        <v>0</v>
      </c>
      <c r="L243" t="n">
        <v>0</v>
      </c>
      <c r="M243" t="n">
        <v>0</v>
      </c>
      <c r="N243" t="n">
        <v>0</v>
      </c>
      <c r="O243" t="n">
        <v>0</v>
      </c>
      <c r="P243" t="n">
        <v>0</v>
      </c>
      <c r="Q243" t="n">
        <v>1</v>
      </c>
      <c r="R243" s="2" t="inlineStr">
        <is>
          <t>Tvåblad</t>
        </is>
      </c>
      <c r="S243">
        <f>HYPERLINK("https://klasma.github.io/Logging_2303/artfynd/A 4157-2026 artfynd.xlsx", "A 4157-2026")</f>
        <v/>
      </c>
      <c r="T243">
        <f>HYPERLINK("https://klasma.github.io/Logging_2303/kartor/A 4157-2026 karta.png", "A 4157-2026")</f>
        <v/>
      </c>
      <c r="V243">
        <f>HYPERLINK("https://klasma.github.io/Logging_2303/klagomål/A 4157-2026 FSC-klagomål.docx", "A 4157-2026")</f>
        <v/>
      </c>
      <c r="W243">
        <f>HYPERLINK("https://klasma.github.io/Logging_2303/klagomålsmail/A 4157-2026 FSC-klagomål mail.docx", "A 4157-2026")</f>
        <v/>
      </c>
      <c r="X243">
        <f>HYPERLINK("https://klasma.github.io/Logging_2303/tillsyn/A 4157-2026 tillsynsbegäran.docx", "A 4157-2026")</f>
        <v/>
      </c>
      <c r="Y243">
        <f>HYPERLINK("https://klasma.github.io/Logging_2303/tillsynsmail/A 4157-2026 tillsynsbegäran mail.docx", "A 4157-2026")</f>
        <v/>
      </c>
    </row>
    <row r="244" ht="15" customHeight="1">
      <c r="A244" t="inlineStr">
        <is>
          <t>A 61324-2024</t>
        </is>
      </c>
      <c r="B244" s="1" t="n">
        <v>45646.34438657408</v>
      </c>
      <c r="C244" s="1" t="n">
        <v>46170</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32069-2024</t>
        </is>
      </c>
      <c r="B245" s="1" t="n">
        <v>45510</v>
      </c>
      <c r="C245" s="1" t="n">
        <v>46170</v>
      </c>
      <c r="D245" t="inlineStr">
        <is>
          <t>JÄMTLANDS LÄN</t>
        </is>
      </c>
      <c r="E245" t="inlineStr">
        <is>
          <t>RAGUNDA</t>
        </is>
      </c>
      <c r="F245" t="inlineStr">
        <is>
          <t>SCA</t>
        </is>
      </c>
      <c r="G245" t="n">
        <v>1.8</v>
      </c>
      <c r="H245" t="n">
        <v>0</v>
      </c>
      <c r="I245" t="n">
        <v>0</v>
      </c>
      <c r="J245" t="n">
        <v>1</v>
      </c>
      <c r="K245" t="n">
        <v>0</v>
      </c>
      <c r="L245" t="n">
        <v>0</v>
      </c>
      <c r="M245" t="n">
        <v>0</v>
      </c>
      <c r="N245" t="n">
        <v>0</v>
      </c>
      <c r="O245" t="n">
        <v>1</v>
      </c>
      <c r="P245" t="n">
        <v>0</v>
      </c>
      <c r="Q245" t="n">
        <v>1</v>
      </c>
      <c r="R245" s="2" t="inlineStr">
        <is>
          <t>Lunglav</t>
        </is>
      </c>
      <c r="S245">
        <f>HYPERLINK("https://klasma.github.io/Logging_2303/artfynd/A 32069-2024 artfynd.xlsx", "A 32069-2024")</f>
        <v/>
      </c>
      <c r="T245">
        <f>HYPERLINK("https://klasma.github.io/Logging_2303/kartor/A 32069-2024 karta.png", "A 32069-2024")</f>
        <v/>
      </c>
      <c r="V245">
        <f>HYPERLINK("https://klasma.github.io/Logging_2303/klagomål/A 32069-2024 FSC-klagomål.docx", "A 32069-2024")</f>
        <v/>
      </c>
      <c r="W245">
        <f>HYPERLINK("https://klasma.github.io/Logging_2303/klagomålsmail/A 32069-2024 FSC-klagomål mail.docx", "A 32069-2024")</f>
        <v/>
      </c>
      <c r="X245">
        <f>HYPERLINK("https://klasma.github.io/Logging_2303/tillsyn/A 32069-2024 tillsynsbegäran.docx", "A 32069-2024")</f>
        <v/>
      </c>
      <c r="Y245">
        <f>HYPERLINK("https://klasma.github.io/Logging_2303/tillsynsmail/A 32069-2024 tillsynsbegäran mail.docx", "A 32069-2024")</f>
        <v/>
      </c>
    </row>
    <row r="246" ht="15" customHeight="1">
      <c r="A246" t="inlineStr">
        <is>
          <t>A 19751-2025</t>
        </is>
      </c>
      <c r="B246" s="1" t="n">
        <v>45771.3859837963</v>
      </c>
      <c r="C246" s="1" t="n">
        <v>46170</v>
      </c>
      <c r="D246" t="inlineStr">
        <is>
          <t>JÄMTLANDS LÄN</t>
        </is>
      </c>
      <c r="E246" t="inlineStr">
        <is>
          <t>RAGUNDA</t>
        </is>
      </c>
      <c r="F246" t="inlineStr">
        <is>
          <t>SCA</t>
        </is>
      </c>
      <c r="G246" t="n">
        <v>1.1</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19751-2025 artfynd.xlsx", "A 19751-2025")</f>
        <v/>
      </c>
      <c r="T246">
        <f>HYPERLINK("https://klasma.github.io/Logging_2303/kartor/A 19751-2025 karta.png", "A 19751-2025")</f>
        <v/>
      </c>
      <c r="V246">
        <f>HYPERLINK("https://klasma.github.io/Logging_2303/klagomål/A 19751-2025 FSC-klagomål.docx", "A 19751-2025")</f>
        <v/>
      </c>
      <c r="W246">
        <f>HYPERLINK("https://klasma.github.io/Logging_2303/klagomålsmail/A 19751-2025 FSC-klagomål mail.docx", "A 19751-2025")</f>
        <v/>
      </c>
      <c r="X246">
        <f>HYPERLINK("https://klasma.github.io/Logging_2303/tillsyn/A 19751-2025 tillsynsbegäran.docx", "A 19751-2025")</f>
        <v/>
      </c>
      <c r="Y246">
        <f>HYPERLINK("https://klasma.github.io/Logging_2303/tillsynsmail/A 19751-2025 tillsynsbegäran mail.docx", "A 19751-2025")</f>
        <v/>
      </c>
      <c r="Z246">
        <f>HYPERLINK("https://klasma.github.io/Logging_2303/fåglar/A 19751-2025 prioriterade fågelarter.docx", "A 19751-2025")</f>
        <v/>
      </c>
    </row>
    <row r="247" ht="15" customHeight="1">
      <c r="A247" t="inlineStr">
        <is>
          <t>A 10358-2026</t>
        </is>
      </c>
      <c r="B247" s="1" t="n">
        <v>46076</v>
      </c>
      <c r="C247" s="1" t="n">
        <v>46170</v>
      </c>
      <c r="D247" t="inlineStr">
        <is>
          <t>JÄMTLANDS LÄN</t>
        </is>
      </c>
      <c r="E247" t="inlineStr">
        <is>
          <t>RAGUNDA</t>
        </is>
      </c>
      <c r="G247" t="n">
        <v>5.4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10358-2026 artfynd.xlsx", "A 10358-2026")</f>
        <v/>
      </c>
      <c r="T247">
        <f>HYPERLINK("https://klasma.github.io/Logging_2303/kartor/A 10358-2026 karta.png", "A 10358-2026")</f>
        <v/>
      </c>
      <c r="V247">
        <f>HYPERLINK("https://klasma.github.io/Logging_2303/klagomål/A 10358-2026 FSC-klagomål.docx", "A 10358-2026")</f>
        <v/>
      </c>
      <c r="W247">
        <f>HYPERLINK("https://klasma.github.io/Logging_2303/klagomålsmail/A 10358-2026 FSC-klagomål mail.docx", "A 10358-2026")</f>
        <v/>
      </c>
      <c r="X247">
        <f>HYPERLINK("https://klasma.github.io/Logging_2303/tillsyn/A 10358-2026 tillsynsbegäran.docx", "A 10358-2026")</f>
        <v/>
      </c>
      <c r="Y247">
        <f>HYPERLINK("https://klasma.github.io/Logging_2303/tillsynsmail/A 10358-2026 tillsynsbegäran mail.docx", "A 10358-2026")</f>
        <v/>
      </c>
      <c r="Z247">
        <f>HYPERLINK("https://klasma.github.io/Logging_2303/fåglar/A 10358-2026 prioriterade fågelarter.docx", "A 10358-2026")</f>
        <v/>
      </c>
    </row>
    <row r="248" ht="15" customHeight="1">
      <c r="A248" t="inlineStr">
        <is>
          <t>A 4348-2023</t>
        </is>
      </c>
      <c r="B248" s="1" t="n">
        <v>44953</v>
      </c>
      <c r="C248" s="1" t="n">
        <v>46170</v>
      </c>
      <c r="D248" t="inlineStr">
        <is>
          <t>JÄMTLANDS LÄN</t>
        </is>
      </c>
      <c r="E248" t="inlineStr">
        <is>
          <t>RAGUNDA</t>
        </is>
      </c>
      <c r="F248" t="inlineStr">
        <is>
          <t>SCA</t>
        </is>
      </c>
      <c r="G248" t="n">
        <v>1.4</v>
      </c>
      <c r="H248" t="n">
        <v>1</v>
      </c>
      <c r="I248" t="n">
        <v>0</v>
      </c>
      <c r="J248" t="n">
        <v>0</v>
      </c>
      <c r="K248" t="n">
        <v>0</v>
      </c>
      <c r="L248" t="n">
        <v>0</v>
      </c>
      <c r="M248" t="n">
        <v>0</v>
      </c>
      <c r="N248" t="n">
        <v>0</v>
      </c>
      <c r="O248" t="n">
        <v>0</v>
      </c>
      <c r="P248" t="n">
        <v>0</v>
      </c>
      <c r="Q248" t="n">
        <v>1</v>
      </c>
      <c r="R248" s="2" t="inlineStr">
        <is>
          <t>Revlummer</t>
        </is>
      </c>
      <c r="S248">
        <f>HYPERLINK("https://klasma.github.io/Logging_2303/artfynd/A 4348-2023 artfynd.xlsx", "A 4348-2023")</f>
        <v/>
      </c>
      <c r="T248">
        <f>HYPERLINK("https://klasma.github.io/Logging_2303/kartor/A 4348-2023 karta.png", "A 4348-2023")</f>
        <v/>
      </c>
      <c r="V248">
        <f>HYPERLINK("https://klasma.github.io/Logging_2303/klagomål/A 4348-2023 FSC-klagomål.docx", "A 4348-2023")</f>
        <v/>
      </c>
      <c r="W248">
        <f>HYPERLINK("https://klasma.github.io/Logging_2303/klagomålsmail/A 4348-2023 FSC-klagomål mail.docx", "A 4348-2023")</f>
        <v/>
      </c>
      <c r="X248">
        <f>HYPERLINK("https://klasma.github.io/Logging_2303/tillsyn/A 4348-2023 tillsynsbegäran.docx", "A 4348-2023")</f>
        <v/>
      </c>
      <c r="Y248">
        <f>HYPERLINK("https://klasma.github.io/Logging_2303/tillsynsmail/A 4348-2023 tillsynsbegäran mail.docx", "A 4348-2023")</f>
        <v/>
      </c>
    </row>
    <row r="249" ht="15" customHeight="1">
      <c r="A249" t="inlineStr">
        <is>
          <t>A 19387-2025</t>
        </is>
      </c>
      <c r="B249" s="1" t="n">
        <v>45769.65736111111</v>
      </c>
      <c r="C249" s="1" t="n">
        <v>46170</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2929-2024</t>
        </is>
      </c>
      <c r="B250" s="1" t="n">
        <v>45315</v>
      </c>
      <c r="C250" s="1" t="n">
        <v>46170</v>
      </c>
      <c r="D250" t="inlineStr">
        <is>
          <t>JÄMTLANDS LÄN</t>
        </is>
      </c>
      <c r="E250" t="inlineStr">
        <is>
          <t>RAGUNDA</t>
        </is>
      </c>
      <c r="G250" t="n">
        <v>1</v>
      </c>
      <c r="H250" t="n">
        <v>0</v>
      </c>
      <c r="I250" t="n">
        <v>0</v>
      </c>
      <c r="J250" t="n">
        <v>1</v>
      </c>
      <c r="K250" t="n">
        <v>0</v>
      </c>
      <c r="L250" t="n">
        <v>0</v>
      </c>
      <c r="M250" t="n">
        <v>0</v>
      </c>
      <c r="N250" t="n">
        <v>0</v>
      </c>
      <c r="O250" t="n">
        <v>1</v>
      </c>
      <c r="P250" t="n">
        <v>0</v>
      </c>
      <c r="Q250" t="n">
        <v>1</v>
      </c>
      <c r="R250" s="2" t="inlineStr">
        <is>
          <t>Klådris</t>
        </is>
      </c>
      <c r="S250">
        <f>HYPERLINK("https://klasma.github.io/Logging_2303/artfynd/A 2929-2024 artfynd.xlsx", "A 2929-2024")</f>
        <v/>
      </c>
      <c r="T250">
        <f>HYPERLINK("https://klasma.github.io/Logging_2303/kartor/A 2929-2024 karta.png", "A 2929-2024")</f>
        <v/>
      </c>
      <c r="V250">
        <f>HYPERLINK("https://klasma.github.io/Logging_2303/klagomål/A 2929-2024 FSC-klagomål.docx", "A 2929-2024")</f>
        <v/>
      </c>
      <c r="W250">
        <f>HYPERLINK("https://klasma.github.io/Logging_2303/klagomålsmail/A 2929-2024 FSC-klagomål mail.docx", "A 2929-2024")</f>
        <v/>
      </c>
      <c r="X250">
        <f>HYPERLINK("https://klasma.github.io/Logging_2303/tillsyn/A 2929-2024 tillsynsbegäran.docx", "A 2929-2024")</f>
        <v/>
      </c>
      <c r="Y250">
        <f>HYPERLINK("https://klasma.github.io/Logging_2303/tillsynsmail/A 2929-2024 tillsynsbegäran mail.docx", "A 2929-2024")</f>
        <v/>
      </c>
    </row>
    <row r="251" ht="15" customHeight="1">
      <c r="A251" t="inlineStr">
        <is>
          <t>A 58846-2024</t>
        </is>
      </c>
      <c r="B251" s="1" t="n">
        <v>45636.3863425926</v>
      </c>
      <c r="C251" s="1" t="n">
        <v>46170</v>
      </c>
      <c r="D251" t="inlineStr">
        <is>
          <t>JÄMTLANDS LÄN</t>
        </is>
      </c>
      <c r="E251" t="inlineStr">
        <is>
          <t>RAGUNDA</t>
        </is>
      </c>
      <c r="F251" t="inlineStr">
        <is>
          <t>SCA</t>
        </is>
      </c>
      <c r="G251" t="n">
        <v>1.5</v>
      </c>
      <c r="H251" t="n">
        <v>0</v>
      </c>
      <c r="I251" t="n">
        <v>0</v>
      </c>
      <c r="J251" t="n">
        <v>0</v>
      </c>
      <c r="K251" t="n">
        <v>1</v>
      </c>
      <c r="L251" t="n">
        <v>0</v>
      </c>
      <c r="M251" t="n">
        <v>0</v>
      </c>
      <c r="N251" t="n">
        <v>0</v>
      </c>
      <c r="O251" t="n">
        <v>1</v>
      </c>
      <c r="P251" t="n">
        <v>1</v>
      </c>
      <c r="Q251" t="n">
        <v>1</v>
      </c>
      <c r="R251" s="2" t="inlineStr">
        <is>
          <t>Rynkskinn</t>
        </is>
      </c>
      <c r="S251">
        <f>HYPERLINK("https://klasma.github.io/Logging_2303/artfynd/A 58846-2024 artfynd.xlsx", "A 58846-2024")</f>
        <v/>
      </c>
      <c r="T251">
        <f>HYPERLINK("https://klasma.github.io/Logging_2303/kartor/A 58846-2024 karta.png", "A 58846-2024")</f>
        <v/>
      </c>
      <c r="V251">
        <f>HYPERLINK("https://klasma.github.io/Logging_2303/klagomål/A 58846-2024 FSC-klagomål.docx", "A 58846-2024")</f>
        <v/>
      </c>
      <c r="W251">
        <f>HYPERLINK("https://klasma.github.io/Logging_2303/klagomålsmail/A 58846-2024 FSC-klagomål mail.docx", "A 58846-2024")</f>
        <v/>
      </c>
      <c r="X251">
        <f>HYPERLINK("https://klasma.github.io/Logging_2303/tillsyn/A 58846-2024 tillsynsbegäran.docx", "A 58846-2024")</f>
        <v/>
      </c>
      <c r="Y251">
        <f>HYPERLINK("https://klasma.github.io/Logging_2303/tillsynsmail/A 58846-2024 tillsynsbegäran mail.docx", "A 58846-2024")</f>
        <v/>
      </c>
    </row>
    <row r="252" ht="15" customHeight="1">
      <c r="A252" t="inlineStr">
        <is>
          <t>A 36854-2023</t>
        </is>
      </c>
      <c r="B252" s="1" t="n">
        <v>45153</v>
      </c>
      <c r="C252" s="1" t="n">
        <v>46170</v>
      </c>
      <c r="D252" t="inlineStr">
        <is>
          <t>JÄMTLANDS LÄN</t>
        </is>
      </c>
      <c r="E252" t="inlineStr">
        <is>
          <t>RAGUNDA</t>
        </is>
      </c>
      <c r="G252" t="n">
        <v>4</v>
      </c>
      <c r="H252" t="n">
        <v>1</v>
      </c>
      <c r="I252" t="n">
        <v>0</v>
      </c>
      <c r="J252" t="n">
        <v>1</v>
      </c>
      <c r="K252" t="n">
        <v>0</v>
      </c>
      <c r="L252" t="n">
        <v>0</v>
      </c>
      <c r="M252" t="n">
        <v>0</v>
      </c>
      <c r="N252" t="n">
        <v>0</v>
      </c>
      <c r="O252" t="n">
        <v>1</v>
      </c>
      <c r="P252" t="n">
        <v>0</v>
      </c>
      <c r="Q252" t="n">
        <v>1</v>
      </c>
      <c r="R252" s="2" t="inlineStr">
        <is>
          <t>Talltita</t>
        </is>
      </c>
      <c r="S252">
        <f>HYPERLINK("https://klasma.github.io/Logging_2303/artfynd/A 36854-2023 artfynd.xlsx", "A 36854-2023")</f>
        <v/>
      </c>
      <c r="T252">
        <f>HYPERLINK("https://klasma.github.io/Logging_2303/kartor/A 36854-2023 karta.png", "A 36854-2023")</f>
        <v/>
      </c>
      <c r="V252">
        <f>HYPERLINK("https://klasma.github.io/Logging_2303/klagomål/A 36854-2023 FSC-klagomål.docx", "A 36854-2023")</f>
        <v/>
      </c>
      <c r="W252">
        <f>HYPERLINK("https://klasma.github.io/Logging_2303/klagomålsmail/A 36854-2023 FSC-klagomål mail.docx", "A 36854-2023")</f>
        <v/>
      </c>
      <c r="X252">
        <f>HYPERLINK("https://klasma.github.io/Logging_2303/tillsyn/A 36854-2023 tillsynsbegäran.docx", "A 36854-2023")</f>
        <v/>
      </c>
      <c r="Y252">
        <f>HYPERLINK("https://klasma.github.io/Logging_2303/tillsynsmail/A 36854-2023 tillsynsbegäran mail.docx", "A 36854-2023")</f>
        <v/>
      </c>
      <c r="Z252">
        <f>HYPERLINK("https://klasma.github.io/Logging_2303/fåglar/A 36854-2023 prioriterade fågelarter.docx", "A 36854-2023")</f>
        <v/>
      </c>
    </row>
    <row r="253" ht="15" customHeight="1">
      <c r="A253" t="inlineStr">
        <is>
          <t>A 18985-2023</t>
        </is>
      </c>
      <c r="B253" s="1" t="n">
        <v>45044</v>
      </c>
      <c r="C253" s="1" t="n">
        <v>46170</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35750-2023</t>
        </is>
      </c>
      <c r="B254" s="1" t="n">
        <v>45147</v>
      </c>
      <c r="C254" s="1" t="n">
        <v>46170</v>
      </c>
      <c r="D254" t="inlineStr">
        <is>
          <t>JÄMTLANDS LÄN</t>
        </is>
      </c>
      <c r="E254" t="inlineStr">
        <is>
          <t>RAGUNDA</t>
        </is>
      </c>
      <c r="F254" t="inlineStr">
        <is>
          <t>SCA</t>
        </is>
      </c>
      <c r="G254" t="n">
        <v>4.8</v>
      </c>
      <c r="H254" t="n">
        <v>0</v>
      </c>
      <c r="I254" t="n">
        <v>0</v>
      </c>
      <c r="J254" t="n">
        <v>1</v>
      </c>
      <c r="K254" t="n">
        <v>0</v>
      </c>
      <c r="L254" t="n">
        <v>0</v>
      </c>
      <c r="M254" t="n">
        <v>0</v>
      </c>
      <c r="N254" t="n">
        <v>0</v>
      </c>
      <c r="O254" t="n">
        <v>1</v>
      </c>
      <c r="P254" t="n">
        <v>0</v>
      </c>
      <c r="Q254" t="n">
        <v>1</v>
      </c>
      <c r="R254" s="2" t="inlineStr">
        <is>
          <t>Grantaggsvamp</t>
        </is>
      </c>
      <c r="S254">
        <f>HYPERLINK("https://klasma.github.io/Logging_2303/artfynd/A 35750-2023 artfynd.xlsx", "A 35750-2023")</f>
        <v/>
      </c>
      <c r="T254">
        <f>HYPERLINK("https://klasma.github.io/Logging_2303/kartor/A 35750-2023 karta.png", "A 35750-2023")</f>
        <v/>
      </c>
      <c r="V254">
        <f>HYPERLINK("https://klasma.github.io/Logging_2303/klagomål/A 35750-2023 FSC-klagomål.docx", "A 35750-2023")</f>
        <v/>
      </c>
      <c r="W254">
        <f>HYPERLINK("https://klasma.github.io/Logging_2303/klagomålsmail/A 35750-2023 FSC-klagomål mail.docx", "A 35750-2023")</f>
        <v/>
      </c>
      <c r="X254">
        <f>HYPERLINK("https://klasma.github.io/Logging_2303/tillsyn/A 35750-2023 tillsynsbegäran.docx", "A 35750-2023")</f>
        <v/>
      </c>
      <c r="Y254">
        <f>HYPERLINK("https://klasma.github.io/Logging_2303/tillsynsmail/A 35750-2023 tillsynsbegäran mail.docx", "A 35750-2023")</f>
        <v/>
      </c>
    </row>
    <row r="255" ht="15" customHeight="1">
      <c r="A255" t="inlineStr">
        <is>
          <t>A 62072-2023</t>
        </is>
      </c>
      <c r="B255" s="1" t="n">
        <v>45266</v>
      </c>
      <c r="C255" s="1" t="n">
        <v>46170</v>
      </c>
      <c r="D255" t="inlineStr">
        <is>
          <t>JÄMTLANDS LÄN</t>
        </is>
      </c>
      <c r="E255" t="inlineStr">
        <is>
          <t>RAGUNDA</t>
        </is>
      </c>
      <c r="G255" t="n">
        <v>4.5</v>
      </c>
      <c r="H255" t="n">
        <v>1</v>
      </c>
      <c r="I255" t="n">
        <v>0</v>
      </c>
      <c r="J255" t="n">
        <v>0</v>
      </c>
      <c r="K255" t="n">
        <v>1</v>
      </c>
      <c r="L255" t="n">
        <v>0</v>
      </c>
      <c r="M255" t="n">
        <v>0</v>
      </c>
      <c r="N255" t="n">
        <v>0</v>
      </c>
      <c r="O255" t="n">
        <v>1</v>
      </c>
      <c r="P255" t="n">
        <v>1</v>
      </c>
      <c r="Q255" t="n">
        <v>1</v>
      </c>
      <c r="R255" s="2" t="inlineStr">
        <is>
          <t>Lappuggla</t>
        </is>
      </c>
      <c r="S255">
        <f>HYPERLINK("https://klasma.github.io/Logging_2303/artfynd/A 62072-2023 artfynd.xlsx", "A 62072-2023")</f>
        <v/>
      </c>
      <c r="T255">
        <f>HYPERLINK("https://klasma.github.io/Logging_2303/kartor/A 62072-2023 karta.png", "A 62072-2023")</f>
        <v/>
      </c>
      <c r="V255">
        <f>HYPERLINK("https://klasma.github.io/Logging_2303/klagomål/A 62072-2023 FSC-klagomål.docx", "A 62072-2023")</f>
        <v/>
      </c>
      <c r="W255">
        <f>HYPERLINK("https://klasma.github.io/Logging_2303/klagomålsmail/A 62072-2023 FSC-klagomål mail.docx", "A 62072-2023")</f>
        <v/>
      </c>
      <c r="X255">
        <f>HYPERLINK("https://klasma.github.io/Logging_2303/tillsyn/A 62072-2023 tillsynsbegäran.docx", "A 62072-2023")</f>
        <v/>
      </c>
      <c r="Y255">
        <f>HYPERLINK("https://klasma.github.io/Logging_2303/tillsynsmail/A 62072-2023 tillsynsbegäran mail.docx", "A 62072-2023")</f>
        <v/>
      </c>
      <c r="Z255">
        <f>HYPERLINK("https://klasma.github.io/Logging_2303/fåglar/A 62072-2023 prioriterade fågelarter.docx", "A 62072-2023")</f>
        <v/>
      </c>
    </row>
    <row r="256" ht="15" customHeight="1">
      <c r="A256" t="inlineStr">
        <is>
          <t>A 20774-2024</t>
        </is>
      </c>
      <c r="B256" s="1" t="n">
        <v>45436.94644675926</v>
      </c>
      <c r="C256" s="1" t="n">
        <v>46170</v>
      </c>
      <c r="D256" t="inlineStr">
        <is>
          <t>JÄMTLANDS LÄN</t>
        </is>
      </c>
      <c r="E256" t="inlineStr">
        <is>
          <t>RAGUNDA</t>
        </is>
      </c>
      <c r="F256" t="inlineStr">
        <is>
          <t>SCA</t>
        </is>
      </c>
      <c r="G256" t="n">
        <v>2.3</v>
      </c>
      <c r="H256" t="n">
        <v>0</v>
      </c>
      <c r="I256" t="n">
        <v>1</v>
      </c>
      <c r="J256" t="n">
        <v>0</v>
      </c>
      <c r="K256" t="n">
        <v>0</v>
      </c>
      <c r="L256" t="n">
        <v>0</v>
      </c>
      <c r="M256" t="n">
        <v>0</v>
      </c>
      <c r="N256" t="n">
        <v>0</v>
      </c>
      <c r="O256" t="n">
        <v>0</v>
      </c>
      <c r="P256" t="n">
        <v>0</v>
      </c>
      <c r="Q256" t="n">
        <v>1</v>
      </c>
      <c r="R256" s="2" t="inlineStr">
        <is>
          <t>Fjällig taggsvamp s.str.</t>
        </is>
      </c>
      <c r="S256">
        <f>HYPERLINK("https://klasma.github.io/Logging_2303/artfynd/A 20774-2024 artfynd.xlsx", "A 20774-2024")</f>
        <v/>
      </c>
      <c r="T256">
        <f>HYPERLINK("https://klasma.github.io/Logging_2303/kartor/A 20774-2024 karta.png", "A 20774-2024")</f>
        <v/>
      </c>
      <c r="V256">
        <f>HYPERLINK("https://klasma.github.io/Logging_2303/klagomål/A 20774-2024 FSC-klagomål.docx", "A 20774-2024")</f>
        <v/>
      </c>
      <c r="W256">
        <f>HYPERLINK("https://klasma.github.io/Logging_2303/klagomålsmail/A 20774-2024 FSC-klagomål mail.docx", "A 20774-2024")</f>
        <v/>
      </c>
      <c r="X256">
        <f>HYPERLINK("https://klasma.github.io/Logging_2303/tillsyn/A 20774-2024 tillsynsbegäran.docx", "A 20774-2024")</f>
        <v/>
      </c>
      <c r="Y256">
        <f>HYPERLINK("https://klasma.github.io/Logging_2303/tillsynsmail/A 20774-2024 tillsynsbegäran mail.docx", "A 20774-2024")</f>
        <v/>
      </c>
    </row>
    <row r="257" ht="15" customHeight="1">
      <c r="A257" t="inlineStr">
        <is>
          <t>A 36757-2023</t>
        </is>
      </c>
      <c r="B257" s="1" t="n">
        <v>45153</v>
      </c>
      <c r="C257" s="1" t="n">
        <v>46170</v>
      </c>
      <c r="D257" t="inlineStr">
        <is>
          <t>JÄMTLANDS LÄN</t>
        </is>
      </c>
      <c r="E257" t="inlineStr">
        <is>
          <t>RAGUNDA</t>
        </is>
      </c>
      <c r="G257" t="n">
        <v>0.7</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36757-2023 artfynd.xlsx", "A 36757-2023")</f>
        <v/>
      </c>
      <c r="T257">
        <f>HYPERLINK("https://klasma.github.io/Logging_2303/kartor/A 36757-2023 karta.png", "A 36757-2023")</f>
        <v/>
      </c>
      <c r="V257">
        <f>HYPERLINK("https://klasma.github.io/Logging_2303/klagomål/A 36757-2023 FSC-klagomål.docx", "A 36757-2023")</f>
        <v/>
      </c>
      <c r="W257">
        <f>HYPERLINK("https://klasma.github.io/Logging_2303/klagomålsmail/A 36757-2023 FSC-klagomål mail.docx", "A 36757-2023")</f>
        <v/>
      </c>
      <c r="X257">
        <f>HYPERLINK("https://klasma.github.io/Logging_2303/tillsyn/A 36757-2023 tillsynsbegäran.docx", "A 36757-2023")</f>
        <v/>
      </c>
      <c r="Y257">
        <f>HYPERLINK("https://klasma.github.io/Logging_2303/tillsynsmail/A 36757-2023 tillsynsbegäran mail.docx", "A 36757-2023")</f>
        <v/>
      </c>
      <c r="Z257">
        <f>HYPERLINK("https://klasma.github.io/Logging_2303/fåglar/A 36757-2023 prioriterade fågelarter.docx", "A 36757-2023")</f>
        <v/>
      </c>
    </row>
    <row r="258" ht="15" customHeight="1">
      <c r="A258" t="inlineStr">
        <is>
          <t>A 21212-2025</t>
        </is>
      </c>
      <c r="B258" s="1" t="n">
        <v>45779.48993055556</v>
      </c>
      <c r="C258" s="1" t="n">
        <v>46170</v>
      </c>
      <c r="D258" t="inlineStr">
        <is>
          <t>JÄMTLANDS LÄN</t>
        </is>
      </c>
      <c r="E258" t="inlineStr">
        <is>
          <t>RAGUNDA</t>
        </is>
      </c>
      <c r="F258" t="inlineStr">
        <is>
          <t>SCA</t>
        </is>
      </c>
      <c r="G258" t="n">
        <v>2.6</v>
      </c>
      <c r="H258" t="n">
        <v>0</v>
      </c>
      <c r="I258" t="n">
        <v>0</v>
      </c>
      <c r="J258" t="n">
        <v>1</v>
      </c>
      <c r="K258" t="n">
        <v>0</v>
      </c>
      <c r="L258" t="n">
        <v>0</v>
      </c>
      <c r="M258" t="n">
        <v>0</v>
      </c>
      <c r="N258" t="n">
        <v>0</v>
      </c>
      <c r="O258" t="n">
        <v>1</v>
      </c>
      <c r="P258" t="n">
        <v>0</v>
      </c>
      <c r="Q258" t="n">
        <v>1</v>
      </c>
      <c r="R258" s="2" t="inlineStr">
        <is>
          <t>Garnlav</t>
        </is>
      </c>
      <c r="S258">
        <f>HYPERLINK("https://klasma.github.io/Logging_2303/artfynd/A 21212-2025 artfynd.xlsx", "A 21212-2025")</f>
        <v/>
      </c>
      <c r="T258">
        <f>HYPERLINK("https://klasma.github.io/Logging_2303/kartor/A 21212-2025 karta.png", "A 21212-2025")</f>
        <v/>
      </c>
      <c r="V258">
        <f>HYPERLINK("https://klasma.github.io/Logging_2303/klagomål/A 21212-2025 FSC-klagomål.docx", "A 21212-2025")</f>
        <v/>
      </c>
      <c r="W258">
        <f>HYPERLINK("https://klasma.github.io/Logging_2303/klagomålsmail/A 21212-2025 FSC-klagomål mail.docx", "A 21212-2025")</f>
        <v/>
      </c>
      <c r="X258">
        <f>HYPERLINK("https://klasma.github.io/Logging_2303/tillsyn/A 21212-2025 tillsynsbegäran.docx", "A 21212-2025")</f>
        <v/>
      </c>
      <c r="Y258">
        <f>HYPERLINK("https://klasma.github.io/Logging_2303/tillsynsmail/A 21212-2025 tillsynsbegäran mail.docx", "A 21212-2025")</f>
        <v/>
      </c>
    </row>
    <row r="259" ht="15" customHeight="1">
      <c r="A259" t="inlineStr">
        <is>
          <t>A 46050-2022</t>
        </is>
      </c>
      <c r="B259" s="1" t="n">
        <v>44846</v>
      </c>
      <c r="C259" s="1" t="n">
        <v>46170</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46170</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46170</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46170</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46170</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46170</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46170</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46170</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46170</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46170</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46170</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46170</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46170</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46170</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46170</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46170</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46170</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46170</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46170</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46170</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46170</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46170</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46170</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46170</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46170</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46170</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46170</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46170</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46170</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46170</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46170</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46170</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46170</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46170</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46170</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46170</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69316-2021</t>
        </is>
      </c>
      <c r="B295" s="1" t="n">
        <v>44530</v>
      </c>
      <c r="C295" s="1" t="n">
        <v>46170</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46170</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40612-2022</t>
        </is>
      </c>
      <c r="B297" s="1" t="n">
        <v>44823.94993055556</v>
      </c>
      <c r="C297" s="1" t="n">
        <v>46170</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46170</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46170</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46170</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46170</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46170</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48832-2021</t>
        </is>
      </c>
      <c r="B303" s="1" t="n">
        <v>44452</v>
      </c>
      <c r="C303" s="1" t="n">
        <v>46170</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46170</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46170</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46170</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46170</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46170</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46170</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46170</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53288-2022</t>
        </is>
      </c>
      <c r="B311" s="1" t="n">
        <v>44876.95104166667</v>
      </c>
      <c r="C311" s="1" t="n">
        <v>46170</v>
      </c>
      <c r="D311" t="inlineStr">
        <is>
          <t>JÄMTLANDS LÄN</t>
        </is>
      </c>
      <c r="E311" t="inlineStr">
        <is>
          <t>RAGUNDA</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19010-2022</t>
        </is>
      </c>
      <c r="B312" s="1" t="n">
        <v>44690</v>
      </c>
      <c r="C312" s="1" t="n">
        <v>46170</v>
      </c>
      <c r="D312" t="inlineStr">
        <is>
          <t>JÄMTLANDS LÄN</t>
        </is>
      </c>
      <c r="E312" t="inlineStr">
        <is>
          <t>RAGUNDA</t>
        </is>
      </c>
      <c r="F312" t="inlineStr">
        <is>
          <t>SCA</t>
        </is>
      </c>
      <c r="G312" t="n">
        <v>19.6</v>
      </c>
      <c r="H312" t="n">
        <v>0</v>
      </c>
      <c r="I312" t="n">
        <v>0</v>
      </c>
      <c r="J312" t="n">
        <v>0</v>
      </c>
      <c r="K312" t="n">
        <v>0</v>
      </c>
      <c r="L312" t="n">
        <v>0</v>
      </c>
      <c r="M312" t="n">
        <v>0</v>
      </c>
      <c r="N312" t="n">
        <v>0</v>
      </c>
      <c r="O312" t="n">
        <v>0</v>
      </c>
      <c r="P312" t="n">
        <v>0</v>
      </c>
      <c r="Q312" t="n">
        <v>0</v>
      </c>
      <c r="R312" s="2" t="inlineStr"/>
    </row>
    <row r="313" ht="15" customHeight="1">
      <c r="A313" t="inlineStr">
        <is>
          <t>A 55932-2021</t>
        </is>
      </c>
      <c r="B313" s="1" t="n">
        <v>44476</v>
      </c>
      <c r="C313" s="1" t="n">
        <v>46170</v>
      </c>
      <c r="D313" t="inlineStr">
        <is>
          <t>JÄMTLANDS LÄN</t>
        </is>
      </c>
      <c r="E313" t="inlineStr">
        <is>
          <t>RAGUNDA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46170</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46170</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28887-2021</t>
        </is>
      </c>
      <c r="B316" s="1" t="n">
        <v>44357</v>
      </c>
      <c r="C316" s="1" t="n">
        <v>46170</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46170</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46170</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65424-2021</t>
        </is>
      </c>
      <c r="B319" s="1" t="n">
        <v>44515.93767361111</v>
      </c>
      <c r="C319" s="1" t="n">
        <v>46170</v>
      </c>
      <c r="D319" t="inlineStr">
        <is>
          <t>JÄMTLANDS LÄN</t>
        </is>
      </c>
      <c r="E319" t="inlineStr">
        <is>
          <t>RAGUNDA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46170</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46170</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46170</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46170</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46170</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46170</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46170</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46170</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46170</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46170</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46170</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46170</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46170</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46170</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46170</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46170</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46170</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46170</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46170</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46170</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46170</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46170</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46170</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46170</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46170</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46170</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46170</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46170</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46170</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46170</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46170</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46170</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46170</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46170</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46170</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46170</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32288-2022</t>
        </is>
      </c>
      <c r="B356" s="1" t="n">
        <v>44781</v>
      </c>
      <c r="C356" s="1" t="n">
        <v>46170</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47803-2022</t>
        </is>
      </c>
      <c r="B357" s="1" t="n">
        <v>44854.95390046296</v>
      </c>
      <c r="C357" s="1" t="n">
        <v>46170</v>
      </c>
      <c r="D357" t="inlineStr">
        <is>
          <t>JÄMTLANDS LÄN</t>
        </is>
      </c>
      <c r="E357" t="inlineStr">
        <is>
          <t>RAGUNDA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42652-2022</t>
        </is>
      </c>
      <c r="B358" s="1" t="n">
        <v>44831.94846064815</v>
      </c>
      <c r="C358" s="1" t="n">
        <v>46170</v>
      </c>
      <c r="D358" t="inlineStr">
        <is>
          <t>JÄMTLANDS LÄN</t>
        </is>
      </c>
      <c r="E358" t="inlineStr">
        <is>
          <t>RAGUNDA</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32986-2022</t>
        </is>
      </c>
      <c r="B359" s="1" t="n">
        <v>44784.94157407407</v>
      </c>
      <c r="C359" s="1" t="n">
        <v>46170</v>
      </c>
      <c r="D359" t="inlineStr">
        <is>
          <t>JÄMTLANDS LÄN</t>
        </is>
      </c>
      <c r="E359" t="inlineStr">
        <is>
          <t>RAGUNDA</t>
        </is>
      </c>
      <c r="F359" t="inlineStr">
        <is>
          <t>SCA</t>
        </is>
      </c>
      <c r="G359" t="n">
        <v>6.7</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46170</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42882-2022</t>
        </is>
      </c>
      <c r="B361" s="1" t="n">
        <v>44832.95300925926</v>
      </c>
      <c r="C361" s="1" t="n">
        <v>46170</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42267-2022</t>
        </is>
      </c>
      <c r="B362" s="1" t="n">
        <v>44830</v>
      </c>
      <c r="C362" s="1" t="n">
        <v>46170</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26945-2021</t>
        </is>
      </c>
      <c r="B363" s="1" t="n">
        <v>44349.91995370371</v>
      </c>
      <c r="C363" s="1" t="n">
        <v>46170</v>
      </c>
      <c r="D363" t="inlineStr">
        <is>
          <t>JÄMTLANDS LÄN</t>
        </is>
      </c>
      <c r="E363" t="inlineStr">
        <is>
          <t>RAGUNDA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46170</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46170</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43147-2022</t>
        </is>
      </c>
      <c r="B366" s="1" t="n">
        <v>44833.9519212963</v>
      </c>
      <c r="C366" s="1" t="n">
        <v>46170</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46170</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59996-2021</t>
        </is>
      </c>
      <c r="B368" s="1" t="n">
        <v>44494.93930555556</v>
      </c>
      <c r="C368" s="1" t="n">
        <v>46170</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37806-2021</t>
        </is>
      </c>
      <c r="B369" s="1" t="n">
        <v>44402.42243055555</v>
      </c>
      <c r="C369" s="1" t="n">
        <v>46170</v>
      </c>
      <c r="D369" t="inlineStr">
        <is>
          <t>JÄMTLANDS LÄN</t>
        </is>
      </c>
      <c r="E369" t="inlineStr">
        <is>
          <t>RAGUNDA</t>
        </is>
      </c>
      <c r="G369" t="n">
        <v>0.3</v>
      </c>
      <c r="H369" t="n">
        <v>0</v>
      </c>
      <c r="I369" t="n">
        <v>0</v>
      </c>
      <c r="J369" t="n">
        <v>0</v>
      </c>
      <c r="K369" t="n">
        <v>0</v>
      </c>
      <c r="L369" t="n">
        <v>0</v>
      </c>
      <c r="M369" t="n">
        <v>0</v>
      </c>
      <c r="N369" t="n">
        <v>0</v>
      </c>
      <c r="O369" t="n">
        <v>0</v>
      </c>
      <c r="P369" t="n">
        <v>0</v>
      </c>
      <c r="Q369" t="n">
        <v>0</v>
      </c>
      <c r="R369" s="2" t="inlineStr"/>
    </row>
    <row r="370" ht="15" customHeight="1">
      <c r="A370" t="inlineStr">
        <is>
          <t>A 31854-2022</t>
        </is>
      </c>
      <c r="B370" s="1" t="n">
        <v>44776</v>
      </c>
      <c r="C370" s="1" t="n">
        <v>46170</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65017-2021</t>
        </is>
      </c>
      <c r="B371" s="1" t="n">
        <v>44512</v>
      </c>
      <c r="C371" s="1" t="n">
        <v>46170</v>
      </c>
      <c r="D371" t="inlineStr">
        <is>
          <t>JÄMTLANDS LÄN</t>
        </is>
      </c>
      <c r="E371" t="inlineStr">
        <is>
          <t>RAGUNDA</t>
        </is>
      </c>
      <c r="G371" t="n">
        <v>2.3</v>
      </c>
      <c r="H371" t="n">
        <v>0</v>
      </c>
      <c r="I371" t="n">
        <v>0</v>
      </c>
      <c r="J371" t="n">
        <v>0</v>
      </c>
      <c r="K371" t="n">
        <v>0</v>
      </c>
      <c r="L371" t="n">
        <v>0</v>
      </c>
      <c r="M371" t="n">
        <v>0</v>
      </c>
      <c r="N371" t="n">
        <v>0</v>
      </c>
      <c r="O371" t="n">
        <v>0</v>
      </c>
      <c r="P371" t="n">
        <v>0</v>
      </c>
      <c r="Q371" t="n">
        <v>0</v>
      </c>
      <c r="R371" s="2" t="inlineStr"/>
    </row>
    <row r="372" ht="15" customHeight="1">
      <c r="A372" t="inlineStr">
        <is>
          <t>A 26948-2021</t>
        </is>
      </c>
      <c r="B372" s="1" t="n">
        <v>44349.92013888889</v>
      </c>
      <c r="C372" s="1" t="n">
        <v>46170</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16460-2022</t>
        </is>
      </c>
      <c r="B373" s="1" t="n">
        <v>44671</v>
      </c>
      <c r="C373" s="1" t="n">
        <v>46170</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21195-2022</t>
        </is>
      </c>
      <c r="B374" s="1" t="n">
        <v>44704.94229166667</v>
      </c>
      <c r="C374" s="1" t="n">
        <v>46170</v>
      </c>
      <c r="D374" t="inlineStr">
        <is>
          <t>JÄMTLANDS LÄN</t>
        </is>
      </c>
      <c r="E374" t="inlineStr">
        <is>
          <t>RAGUNDA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49531-2022</t>
        </is>
      </c>
      <c r="B375" s="1" t="n">
        <v>44861</v>
      </c>
      <c r="C375" s="1" t="n">
        <v>46170</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46170</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10120-2022</t>
        </is>
      </c>
      <c r="B377" s="1" t="n">
        <v>44621</v>
      </c>
      <c r="C377" s="1" t="n">
        <v>46170</v>
      </c>
      <c r="D377" t="inlineStr">
        <is>
          <t>JÄMTLANDS LÄN</t>
        </is>
      </c>
      <c r="E377" t="inlineStr">
        <is>
          <t>RAGUNDA</t>
        </is>
      </c>
      <c r="G377" t="n">
        <v>0.4</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46170</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6177-2022</t>
        </is>
      </c>
      <c r="B379" s="1" t="n">
        <v>44599.98685185185</v>
      </c>
      <c r="C379" s="1" t="n">
        <v>46170</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21194-2022</t>
        </is>
      </c>
      <c r="B380" s="1" t="n">
        <v>44704.9422337963</v>
      </c>
      <c r="C380" s="1" t="n">
        <v>46170</v>
      </c>
      <c r="D380" t="inlineStr">
        <is>
          <t>JÄMTLANDS LÄN</t>
        </is>
      </c>
      <c r="E380" t="inlineStr">
        <is>
          <t>RAGUNDA</t>
        </is>
      </c>
      <c r="F380" t="inlineStr">
        <is>
          <t>SCA</t>
        </is>
      </c>
      <c r="G380" t="n">
        <v>10.6</v>
      </c>
      <c r="H380" t="n">
        <v>0</v>
      </c>
      <c r="I380" t="n">
        <v>0</v>
      </c>
      <c r="J380" t="n">
        <v>0</v>
      </c>
      <c r="K380" t="n">
        <v>0</v>
      </c>
      <c r="L380" t="n">
        <v>0</v>
      </c>
      <c r="M380" t="n">
        <v>0</v>
      </c>
      <c r="N380" t="n">
        <v>0</v>
      </c>
      <c r="O380" t="n">
        <v>0</v>
      </c>
      <c r="P380" t="n">
        <v>0</v>
      </c>
      <c r="Q380" t="n">
        <v>0</v>
      </c>
      <c r="R380" s="2" t="inlineStr"/>
    </row>
    <row r="381" ht="15" customHeight="1">
      <c r="A381" t="inlineStr">
        <is>
          <t>A 60313-2021</t>
        </is>
      </c>
      <c r="B381" s="1" t="n">
        <v>44495</v>
      </c>
      <c r="C381" s="1" t="n">
        <v>46170</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26122-2022</t>
        </is>
      </c>
      <c r="B382" s="1" t="n">
        <v>44734.94193287037</v>
      </c>
      <c r="C382" s="1" t="n">
        <v>46170</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56193-2022</t>
        </is>
      </c>
      <c r="B383" s="1" t="n">
        <v>44889</v>
      </c>
      <c r="C383" s="1" t="n">
        <v>46170</v>
      </c>
      <c r="D383" t="inlineStr">
        <is>
          <t>JÄMTLANDS LÄN</t>
        </is>
      </c>
      <c r="E383" t="inlineStr">
        <is>
          <t>RAGUNDA</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5515-2022</t>
        </is>
      </c>
      <c r="B384" s="1" t="n">
        <v>44595</v>
      </c>
      <c r="C384" s="1" t="n">
        <v>46170</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60957-2021</t>
        </is>
      </c>
      <c r="B385" s="1" t="n">
        <v>44496</v>
      </c>
      <c r="C385" s="1" t="n">
        <v>46170</v>
      </c>
      <c r="D385" t="inlineStr">
        <is>
          <t>JÄMTLANDS LÄN</t>
        </is>
      </c>
      <c r="E385" t="inlineStr">
        <is>
          <t>RAGUNDA</t>
        </is>
      </c>
      <c r="G385" t="n">
        <v>1.6</v>
      </c>
      <c r="H385" t="n">
        <v>0</v>
      </c>
      <c r="I385" t="n">
        <v>0</v>
      </c>
      <c r="J385" t="n">
        <v>0</v>
      </c>
      <c r="K385" t="n">
        <v>0</v>
      </c>
      <c r="L385" t="n">
        <v>0</v>
      </c>
      <c r="M385" t="n">
        <v>0</v>
      </c>
      <c r="N385" t="n">
        <v>0</v>
      </c>
      <c r="O385" t="n">
        <v>0</v>
      </c>
      <c r="P385" t="n">
        <v>0</v>
      </c>
      <c r="Q385" t="n">
        <v>0</v>
      </c>
      <c r="R385" s="2" t="inlineStr"/>
    </row>
    <row r="386" ht="15" customHeight="1">
      <c r="A386" t="inlineStr">
        <is>
          <t>A 21193-2022</t>
        </is>
      </c>
      <c r="B386" s="1" t="n">
        <v>44704.94217592593</v>
      </c>
      <c r="C386" s="1" t="n">
        <v>46170</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5175-2023</t>
        </is>
      </c>
      <c r="B387" s="1" t="n">
        <v>44958.94298611111</v>
      </c>
      <c r="C387" s="1" t="n">
        <v>46170</v>
      </c>
      <c r="D387" t="inlineStr">
        <is>
          <t>JÄMTLANDS LÄN</t>
        </is>
      </c>
      <c r="E387" t="inlineStr">
        <is>
          <t>RAGUNDA</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14896-2022</t>
        </is>
      </c>
      <c r="B388" s="1" t="n">
        <v>44656</v>
      </c>
      <c r="C388" s="1" t="n">
        <v>46170</v>
      </c>
      <c r="D388" t="inlineStr">
        <is>
          <t>JÄMTLANDS LÄN</t>
        </is>
      </c>
      <c r="E388" t="inlineStr">
        <is>
          <t>RAGUNDA</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58537-2022</t>
        </is>
      </c>
      <c r="B389" s="1" t="n">
        <v>44894</v>
      </c>
      <c r="C389" s="1" t="n">
        <v>46170</v>
      </c>
      <c r="D389" t="inlineStr">
        <is>
          <t>JÄMTLANDS LÄN</t>
        </is>
      </c>
      <c r="E389" t="inlineStr">
        <is>
          <t>RAGUNDA</t>
        </is>
      </c>
      <c r="G389" t="n">
        <v>1.2</v>
      </c>
      <c r="H389" t="n">
        <v>0</v>
      </c>
      <c r="I389" t="n">
        <v>0</v>
      </c>
      <c r="J389" t="n">
        <v>0</v>
      </c>
      <c r="K389" t="n">
        <v>0</v>
      </c>
      <c r="L389" t="n">
        <v>0</v>
      </c>
      <c r="M389" t="n">
        <v>0</v>
      </c>
      <c r="N389" t="n">
        <v>0</v>
      </c>
      <c r="O389" t="n">
        <v>0</v>
      </c>
      <c r="P389" t="n">
        <v>0</v>
      </c>
      <c r="Q389" t="n">
        <v>0</v>
      </c>
      <c r="R389" s="2" t="inlineStr"/>
    </row>
    <row r="390" ht="15" customHeight="1">
      <c r="A390" t="inlineStr">
        <is>
          <t>A 24197-2024</t>
        </is>
      </c>
      <c r="B390" s="1" t="n">
        <v>45456.96601851852</v>
      </c>
      <c r="C390" s="1" t="n">
        <v>46170</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35153-2024</t>
        </is>
      </c>
      <c r="B391" s="1" t="n">
        <v>45530</v>
      </c>
      <c r="C391" s="1" t="n">
        <v>46170</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36246-2024</t>
        </is>
      </c>
      <c r="B392" s="1" t="n">
        <v>45534</v>
      </c>
      <c r="C392" s="1" t="n">
        <v>46170</v>
      </c>
      <c r="D392" t="inlineStr">
        <is>
          <t>JÄMTLANDS LÄN</t>
        </is>
      </c>
      <c r="E392" t="inlineStr">
        <is>
          <t>RAGUNDA</t>
        </is>
      </c>
      <c r="G392" t="n">
        <v>1.6</v>
      </c>
      <c r="H392" t="n">
        <v>0</v>
      </c>
      <c r="I392" t="n">
        <v>0</v>
      </c>
      <c r="J392" t="n">
        <v>0</v>
      </c>
      <c r="K392" t="n">
        <v>0</v>
      </c>
      <c r="L392" t="n">
        <v>0</v>
      </c>
      <c r="M392" t="n">
        <v>0</v>
      </c>
      <c r="N392" t="n">
        <v>0</v>
      </c>
      <c r="O392" t="n">
        <v>0</v>
      </c>
      <c r="P392" t="n">
        <v>0</v>
      </c>
      <c r="Q392" t="n">
        <v>0</v>
      </c>
      <c r="R392" s="2" t="inlineStr"/>
    </row>
    <row r="393" ht="15" customHeight="1">
      <c r="A393" t="inlineStr">
        <is>
          <t>A 24196-2024</t>
        </is>
      </c>
      <c r="B393" s="1" t="n">
        <v>45456.96569444444</v>
      </c>
      <c r="C393" s="1" t="n">
        <v>46170</v>
      </c>
      <c r="D393" t="inlineStr">
        <is>
          <t>JÄMTLANDS LÄN</t>
        </is>
      </c>
      <c r="E393" t="inlineStr">
        <is>
          <t>RAGUNDA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11558-2023</t>
        </is>
      </c>
      <c r="B394" s="1" t="n">
        <v>44993.94958333333</v>
      </c>
      <c r="C394" s="1" t="n">
        <v>46170</v>
      </c>
      <c r="D394" t="inlineStr">
        <is>
          <t>JÄMTLANDS LÄN</t>
        </is>
      </c>
      <c r="E394" t="inlineStr">
        <is>
          <t>RAGUNDA</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14156-2024</t>
        </is>
      </c>
      <c r="B395" s="1" t="n">
        <v>45392</v>
      </c>
      <c r="C395" s="1" t="n">
        <v>46170</v>
      </c>
      <c r="D395" t="inlineStr">
        <is>
          <t>JÄMTLANDS LÄN</t>
        </is>
      </c>
      <c r="E395" t="inlineStr">
        <is>
          <t>RAGUNDA</t>
        </is>
      </c>
      <c r="G395" t="n">
        <v>0.6</v>
      </c>
      <c r="H395" t="n">
        <v>0</v>
      </c>
      <c r="I395" t="n">
        <v>0</v>
      </c>
      <c r="J395" t="n">
        <v>0</v>
      </c>
      <c r="K395" t="n">
        <v>0</v>
      </c>
      <c r="L395" t="n">
        <v>0</v>
      </c>
      <c r="M395" t="n">
        <v>0</v>
      </c>
      <c r="N395" t="n">
        <v>0</v>
      </c>
      <c r="O395" t="n">
        <v>0</v>
      </c>
      <c r="P395" t="n">
        <v>0</v>
      </c>
      <c r="Q395" t="n">
        <v>0</v>
      </c>
      <c r="R395" s="2" t="inlineStr"/>
    </row>
    <row r="396" ht="15" customHeight="1">
      <c r="A396" t="inlineStr">
        <is>
          <t>A 14157-2024</t>
        </is>
      </c>
      <c r="B396" s="1" t="n">
        <v>45392.92903935185</v>
      </c>
      <c r="C396" s="1" t="n">
        <v>46170</v>
      </c>
      <c r="D396" t="inlineStr">
        <is>
          <t>JÄMTLANDS LÄN</t>
        </is>
      </c>
      <c r="E396" t="inlineStr">
        <is>
          <t>RAGUNDA</t>
        </is>
      </c>
      <c r="G396" t="n">
        <v>1.7</v>
      </c>
      <c r="H396" t="n">
        <v>0</v>
      </c>
      <c r="I396" t="n">
        <v>0</v>
      </c>
      <c r="J396" t="n">
        <v>0</v>
      </c>
      <c r="K396" t="n">
        <v>0</v>
      </c>
      <c r="L396" t="n">
        <v>0</v>
      </c>
      <c r="M396" t="n">
        <v>0</v>
      </c>
      <c r="N396" t="n">
        <v>0</v>
      </c>
      <c r="O396" t="n">
        <v>0</v>
      </c>
      <c r="P396" t="n">
        <v>0</v>
      </c>
      <c r="Q396" t="n">
        <v>0</v>
      </c>
      <c r="R396" s="2" t="inlineStr"/>
    </row>
    <row r="397" ht="15" customHeight="1">
      <c r="A397" t="inlineStr">
        <is>
          <t>A 4882-2023</t>
        </is>
      </c>
      <c r="B397" s="1" t="n">
        <v>44957.94075231482</v>
      </c>
      <c r="C397" s="1" t="n">
        <v>46170</v>
      </c>
      <c r="D397" t="inlineStr">
        <is>
          <t>JÄMTLANDS LÄN</t>
        </is>
      </c>
      <c r="E397" t="inlineStr">
        <is>
          <t>RAGUNDA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15554-2025</t>
        </is>
      </c>
      <c r="B398" s="1" t="n">
        <v>45747.67739583334</v>
      </c>
      <c r="C398" s="1" t="n">
        <v>46170</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13276-2025</t>
        </is>
      </c>
      <c r="B399" s="1" t="n">
        <v>45735.5517824074</v>
      </c>
      <c r="C399" s="1" t="n">
        <v>46170</v>
      </c>
      <c r="D399" t="inlineStr">
        <is>
          <t>JÄMTLANDS LÄN</t>
        </is>
      </c>
      <c r="E399" t="inlineStr">
        <is>
          <t>RAGUNDA</t>
        </is>
      </c>
      <c r="G399" t="n">
        <v>16.6</v>
      </c>
      <c r="H399" t="n">
        <v>0</v>
      </c>
      <c r="I399" t="n">
        <v>0</v>
      </c>
      <c r="J399" t="n">
        <v>0</v>
      </c>
      <c r="K399" t="n">
        <v>0</v>
      </c>
      <c r="L399" t="n">
        <v>0</v>
      </c>
      <c r="M399" t="n">
        <v>0</v>
      </c>
      <c r="N399" t="n">
        <v>0</v>
      </c>
      <c r="O399" t="n">
        <v>0</v>
      </c>
      <c r="P399" t="n">
        <v>0</v>
      </c>
      <c r="Q399" t="n">
        <v>0</v>
      </c>
      <c r="R399" s="2" t="inlineStr"/>
    </row>
    <row r="400" ht="15" customHeight="1">
      <c r="A400" t="inlineStr">
        <is>
          <t>A 65216-2023</t>
        </is>
      </c>
      <c r="B400" s="1" t="n">
        <v>45289</v>
      </c>
      <c r="C400" s="1" t="n">
        <v>46170</v>
      </c>
      <c r="D400" t="inlineStr">
        <is>
          <t>JÄMTLANDS LÄN</t>
        </is>
      </c>
      <c r="E400" t="inlineStr">
        <is>
          <t>RAGUNDA</t>
        </is>
      </c>
      <c r="G400" t="n">
        <v>2.9</v>
      </c>
      <c r="H400" t="n">
        <v>0</v>
      </c>
      <c r="I400" t="n">
        <v>0</v>
      </c>
      <c r="J400" t="n">
        <v>0</v>
      </c>
      <c r="K400" t="n">
        <v>0</v>
      </c>
      <c r="L400" t="n">
        <v>0</v>
      </c>
      <c r="M400" t="n">
        <v>0</v>
      </c>
      <c r="N400" t="n">
        <v>0</v>
      </c>
      <c r="O400" t="n">
        <v>0</v>
      </c>
      <c r="P400" t="n">
        <v>0</v>
      </c>
      <c r="Q400" t="n">
        <v>0</v>
      </c>
      <c r="R400" s="2" t="inlineStr"/>
    </row>
    <row r="401" ht="15" customHeight="1">
      <c r="A401" t="inlineStr">
        <is>
          <t>A 52148-2024</t>
        </is>
      </c>
      <c r="B401" s="1" t="n">
        <v>45608.52354166667</v>
      </c>
      <c r="C401" s="1" t="n">
        <v>46170</v>
      </c>
      <c r="D401" t="inlineStr">
        <is>
          <t>JÄMTLANDS LÄN</t>
        </is>
      </c>
      <c r="E401" t="inlineStr">
        <is>
          <t>RAGUNDA</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45335-2023</t>
        </is>
      </c>
      <c r="B402" s="1" t="n">
        <v>45191</v>
      </c>
      <c r="C402" s="1" t="n">
        <v>46170</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55487-2023</t>
        </is>
      </c>
      <c r="B403" s="1" t="n">
        <v>45238</v>
      </c>
      <c r="C403" s="1" t="n">
        <v>46170</v>
      </c>
      <c r="D403" t="inlineStr">
        <is>
          <t>JÄMTLANDS LÄN</t>
        </is>
      </c>
      <c r="E403" t="inlineStr">
        <is>
          <t>RAGUNDA</t>
        </is>
      </c>
      <c r="G403" t="n">
        <v>3</v>
      </c>
      <c r="H403" t="n">
        <v>0</v>
      </c>
      <c r="I403" t="n">
        <v>0</v>
      </c>
      <c r="J403" t="n">
        <v>0</v>
      </c>
      <c r="K403" t="n">
        <v>0</v>
      </c>
      <c r="L403" t="n">
        <v>0</v>
      </c>
      <c r="M403" t="n">
        <v>0</v>
      </c>
      <c r="N403" t="n">
        <v>0</v>
      </c>
      <c r="O403" t="n">
        <v>0</v>
      </c>
      <c r="P403" t="n">
        <v>0</v>
      </c>
      <c r="Q403" t="n">
        <v>0</v>
      </c>
      <c r="R403" s="2" t="inlineStr"/>
    </row>
    <row r="404" ht="15" customHeight="1">
      <c r="A404" t="inlineStr">
        <is>
          <t>A 44630-2023</t>
        </is>
      </c>
      <c r="B404" s="1" t="n">
        <v>45184</v>
      </c>
      <c r="C404" s="1" t="n">
        <v>46170</v>
      </c>
      <c r="D404" t="inlineStr">
        <is>
          <t>JÄMTLANDS LÄN</t>
        </is>
      </c>
      <c r="E404" t="inlineStr">
        <is>
          <t>RAGUNDA</t>
        </is>
      </c>
      <c r="G404" t="n">
        <v>3.4</v>
      </c>
      <c r="H404" t="n">
        <v>0</v>
      </c>
      <c r="I404" t="n">
        <v>0</v>
      </c>
      <c r="J404" t="n">
        <v>0</v>
      </c>
      <c r="K404" t="n">
        <v>0</v>
      </c>
      <c r="L404" t="n">
        <v>0</v>
      </c>
      <c r="M404" t="n">
        <v>0</v>
      </c>
      <c r="N404" t="n">
        <v>0</v>
      </c>
      <c r="O404" t="n">
        <v>0</v>
      </c>
      <c r="P404" t="n">
        <v>0</v>
      </c>
      <c r="Q404" t="n">
        <v>0</v>
      </c>
      <c r="R404" s="2" t="inlineStr"/>
    </row>
    <row r="405" ht="15" customHeight="1">
      <c r="A405" t="inlineStr">
        <is>
          <t>A 9360-2023</t>
        </is>
      </c>
      <c r="B405" s="1" t="n">
        <v>44980.93865740741</v>
      </c>
      <c r="C405" s="1" t="n">
        <v>46170</v>
      </c>
      <c r="D405" t="inlineStr">
        <is>
          <t>JÄMTLANDS LÄN</t>
        </is>
      </c>
      <c r="E405" t="inlineStr">
        <is>
          <t>RAGUNDA</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13767-2022</t>
        </is>
      </c>
      <c r="B406" s="1" t="n">
        <v>44649.47048611111</v>
      </c>
      <c r="C406" s="1" t="n">
        <v>46170</v>
      </c>
      <c r="D406" t="inlineStr">
        <is>
          <t>JÄMTLANDS LÄN</t>
        </is>
      </c>
      <c r="E406" t="inlineStr">
        <is>
          <t>RAGUNDA</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1308-2025</t>
        </is>
      </c>
      <c r="B407" s="1" t="n">
        <v>45667.55239583334</v>
      </c>
      <c r="C407" s="1" t="n">
        <v>46170</v>
      </c>
      <c r="D407" t="inlineStr">
        <is>
          <t>JÄMTLANDS LÄN</t>
        </is>
      </c>
      <c r="E407" t="inlineStr">
        <is>
          <t>RAGUNDA</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11252-2025</t>
        </is>
      </c>
      <c r="B408" s="1" t="n">
        <v>45726.38615740741</v>
      </c>
      <c r="C408" s="1" t="n">
        <v>46170</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22569-2023</t>
        </is>
      </c>
      <c r="B409" s="1" t="n">
        <v>45069</v>
      </c>
      <c r="C409" s="1" t="n">
        <v>46170</v>
      </c>
      <c r="D409" t="inlineStr">
        <is>
          <t>JÄMTLANDS LÄN</t>
        </is>
      </c>
      <c r="E409" t="inlineStr">
        <is>
          <t>RAGUNDA</t>
        </is>
      </c>
      <c r="G409" t="n">
        <v>6.6</v>
      </c>
      <c r="H409" t="n">
        <v>0</v>
      </c>
      <c r="I409" t="n">
        <v>0</v>
      </c>
      <c r="J409" t="n">
        <v>0</v>
      </c>
      <c r="K409" t="n">
        <v>0</v>
      </c>
      <c r="L409" t="n">
        <v>0</v>
      </c>
      <c r="M409" t="n">
        <v>0</v>
      </c>
      <c r="N409" t="n">
        <v>0</v>
      </c>
      <c r="O409" t="n">
        <v>0</v>
      </c>
      <c r="P409" t="n">
        <v>0</v>
      </c>
      <c r="Q409" t="n">
        <v>0</v>
      </c>
      <c r="R409" s="2" t="inlineStr"/>
    </row>
    <row r="410" ht="15" customHeight="1">
      <c r="A410" t="inlineStr">
        <is>
          <t>A 11048-2023</t>
        </is>
      </c>
      <c r="B410" s="1" t="n">
        <v>44991</v>
      </c>
      <c r="C410" s="1" t="n">
        <v>46170</v>
      </c>
      <c r="D410" t="inlineStr">
        <is>
          <t>JÄMTLANDS LÄN</t>
        </is>
      </c>
      <c r="E410" t="inlineStr">
        <is>
          <t>RAGUNDA</t>
        </is>
      </c>
      <c r="F410" t="inlineStr">
        <is>
          <t>SCA</t>
        </is>
      </c>
      <c r="G410" t="n">
        <v>13.5</v>
      </c>
      <c r="H410" t="n">
        <v>0</v>
      </c>
      <c r="I410" t="n">
        <v>0</v>
      </c>
      <c r="J410" t="n">
        <v>0</v>
      </c>
      <c r="K410" t="n">
        <v>0</v>
      </c>
      <c r="L410" t="n">
        <v>0</v>
      </c>
      <c r="M410" t="n">
        <v>0</v>
      </c>
      <c r="N410" t="n">
        <v>0</v>
      </c>
      <c r="O410" t="n">
        <v>0</v>
      </c>
      <c r="P410" t="n">
        <v>0</v>
      </c>
      <c r="Q410" t="n">
        <v>0</v>
      </c>
      <c r="R410" s="2" t="inlineStr"/>
    </row>
    <row r="411" ht="15" customHeight="1">
      <c r="A411" t="inlineStr">
        <is>
          <t>A 11062-2023</t>
        </is>
      </c>
      <c r="B411" s="1" t="n">
        <v>44991</v>
      </c>
      <c r="C411" s="1" t="n">
        <v>46170</v>
      </c>
      <c r="D411" t="inlineStr">
        <is>
          <t>JÄMTLANDS LÄN</t>
        </is>
      </c>
      <c r="E411" t="inlineStr">
        <is>
          <t>RAGUNDA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45629.35326388889</v>
      </c>
      <c r="C412" s="1" t="n">
        <v>46170</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50711-2025</t>
        </is>
      </c>
      <c r="B413" s="1" t="n">
        <v>45946.34431712963</v>
      </c>
      <c r="C413" s="1" t="n">
        <v>46170</v>
      </c>
      <c r="D413" t="inlineStr">
        <is>
          <t>JÄMTLANDS LÄN</t>
        </is>
      </c>
      <c r="E413" t="inlineStr">
        <is>
          <t>RAGUNDA</t>
        </is>
      </c>
      <c r="F413" t="inlineStr">
        <is>
          <t>SCA</t>
        </is>
      </c>
      <c r="G413" t="n">
        <v>8</v>
      </c>
      <c r="H413" t="n">
        <v>0</v>
      </c>
      <c r="I413" t="n">
        <v>0</v>
      </c>
      <c r="J413" t="n">
        <v>0</v>
      </c>
      <c r="K413" t="n">
        <v>0</v>
      </c>
      <c r="L413" t="n">
        <v>0</v>
      </c>
      <c r="M413" t="n">
        <v>0</v>
      </c>
      <c r="N413" t="n">
        <v>0</v>
      </c>
      <c r="O413" t="n">
        <v>0</v>
      </c>
      <c r="P413" t="n">
        <v>0</v>
      </c>
      <c r="Q413" t="n">
        <v>0</v>
      </c>
      <c r="R413" s="2" t="inlineStr"/>
    </row>
    <row r="414" ht="15" customHeight="1">
      <c r="A414" t="inlineStr">
        <is>
          <t>A 50716-2025</t>
        </is>
      </c>
      <c r="B414" s="1" t="n">
        <v>45946.34572916666</v>
      </c>
      <c r="C414" s="1" t="n">
        <v>46170</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57889-2024</t>
        </is>
      </c>
      <c r="B415" s="1" t="n">
        <v>45631.46665509259</v>
      </c>
      <c r="C415" s="1" t="n">
        <v>46170</v>
      </c>
      <c r="D415" t="inlineStr">
        <is>
          <t>JÄMTLANDS LÄN</t>
        </is>
      </c>
      <c r="E415" t="inlineStr">
        <is>
          <t>RAGUNDA</t>
        </is>
      </c>
      <c r="G415" t="n">
        <v>11.1</v>
      </c>
      <c r="H415" t="n">
        <v>0</v>
      </c>
      <c r="I415" t="n">
        <v>0</v>
      </c>
      <c r="J415" t="n">
        <v>0</v>
      </c>
      <c r="K415" t="n">
        <v>0</v>
      </c>
      <c r="L415" t="n">
        <v>0</v>
      </c>
      <c r="M415" t="n">
        <v>0</v>
      </c>
      <c r="N415" t="n">
        <v>0</v>
      </c>
      <c r="O415" t="n">
        <v>0</v>
      </c>
      <c r="P415" t="n">
        <v>0</v>
      </c>
      <c r="Q415" t="n">
        <v>0</v>
      </c>
      <c r="R415" s="2" t="inlineStr"/>
    </row>
    <row r="416" ht="15" customHeight="1">
      <c r="A416" t="inlineStr">
        <is>
          <t>A 55524-2024</t>
        </is>
      </c>
      <c r="B416" s="1" t="n">
        <v>45622.47435185185</v>
      </c>
      <c r="C416" s="1" t="n">
        <v>46170</v>
      </c>
      <c r="D416" t="inlineStr">
        <is>
          <t>JÄMTLANDS LÄN</t>
        </is>
      </c>
      <c r="E416" t="inlineStr">
        <is>
          <t>RAGUNDA</t>
        </is>
      </c>
      <c r="G416" t="n">
        <v>1.4</v>
      </c>
      <c r="H416" t="n">
        <v>0</v>
      </c>
      <c r="I416" t="n">
        <v>0</v>
      </c>
      <c r="J416" t="n">
        <v>0</v>
      </c>
      <c r="K416" t="n">
        <v>0</v>
      </c>
      <c r="L416" t="n">
        <v>0</v>
      </c>
      <c r="M416" t="n">
        <v>0</v>
      </c>
      <c r="N416" t="n">
        <v>0</v>
      </c>
      <c r="O416" t="n">
        <v>0</v>
      </c>
      <c r="P416" t="n">
        <v>0</v>
      </c>
      <c r="Q416" t="n">
        <v>0</v>
      </c>
      <c r="R416" s="2" t="inlineStr"/>
    </row>
    <row r="417" ht="15" customHeight="1">
      <c r="A417" t="inlineStr">
        <is>
          <t>A 50719-2025</t>
        </is>
      </c>
      <c r="B417" s="1" t="n">
        <v>45946.34642361111</v>
      </c>
      <c r="C417" s="1" t="n">
        <v>46170</v>
      </c>
      <c r="D417" t="inlineStr">
        <is>
          <t>JÄMTLANDS LÄN</t>
        </is>
      </c>
      <c r="E417" t="inlineStr">
        <is>
          <t>RAGUNDA</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25332-2023</t>
        </is>
      </c>
      <c r="B418" s="1" t="n">
        <v>45086.94010416666</v>
      </c>
      <c r="C418" s="1" t="n">
        <v>46170</v>
      </c>
      <c r="D418" t="inlineStr">
        <is>
          <t>JÄMTLANDS LÄN</t>
        </is>
      </c>
      <c r="E418" t="inlineStr">
        <is>
          <t>RAGUNDA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29920-2024</t>
        </is>
      </c>
      <c r="B419" s="1" t="n">
        <v>45487.92856481481</v>
      </c>
      <c r="C419" s="1" t="n">
        <v>46170</v>
      </c>
      <c r="D419" t="inlineStr">
        <is>
          <t>JÄMTLANDS LÄN</t>
        </is>
      </c>
      <c r="E419" t="inlineStr">
        <is>
          <t>RAGUNDA</t>
        </is>
      </c>
      <c r="G419" t="n">
        <v>3.4</v>
      </c>
      <c r="H419" t="n">
        <v>0</v>
      </c>
      <c r="I419" t="n">
        <v>0</v>
      </c>
      <c r="J419" t="n">
        <v>0</v>
      </c>
      <c r="K419" t="n">
        <v>0</v>
      </c>
      <c r="L419" t="n">
        <v>0</v>
      </c>
      <c r="M419" t="n">
        <v>0</v>
      </c>
      <c r="N419" t="n">
        <v>0</v>
      </c>
      <c r="O419" t="n">
        <v>0</v>
      </c>
      <c r="P419" t="n">
        <v>0</v>
      </c>
      <c r="Q419" t="n">
        <v>0</v>
      </c>
      <c r="R419" s="2" t="inlineStr"/>
    </row>
    <row r="420" ht="15" customHeight="1">
      <c r="A420" t="inlineStr">
        <is>
          <t>A 60629-2023</t>
        </is>
      </c>
      <c r="B420" s="1" t="n">
        <v>45259</v>
      </c>
      <c r="C420" s="1" t="n">
        <v>46170</v>
      </c>
      <c r="D420" t="inlineStr">
        <is>
          <t>JÄMTLANDS LÄN</t>
        </is>
      </c>
      <c r="E420" t="inlineStr">
        <is>
          <t>RAGUNDA</t>
        </is>
      </c>
      <c r="G420" t="n">
        <v>3.4</v>
      </c>
      <c r="H420" t="n">
        <v>0</v>
      </c>
      <c r="I420" t="n">
        <v>0</v>
      </c>
      <c r="J420" t="n">
        <v>0</v>
      </c>
      <c r="K420" t="n">
        <v>0</v>
      </c>
      <c r="L420" t="n">
        <v>0</v>
      </c>
      <c r="M420" t="n">
        <v>0</v>
      </c>
      <c r="N420" t="n">
        <v>0</v>
      </c>
      <c r="O420" t="n">
        <v>0</v>
      </c>
      <c r="P420" t="n">
        <v>0</v>
      </c>
      <c r="Q420" t="n">
        <v>0</v>
      </c>
      <c r="R420" s="2" t="inlineStr"/>
    </row>
    <row r="421" ht="15" customHeight="1">
      <c r="A421" t="inlineStr">
        <is>
          <t>A 3767-2025</t>
        </is>
      </c>
      <c r="B421" s="1" t="n">
        <v>45681.60203703704</v>
      </c>
      <c r="C421" s="1" t="n">
        <v>46170</v>
      </c>
      <c r="D421" t="inlineStr">
        <is>
          <t>JÄMTLANDS LÄN</t>
        </is>
      </c>
      <c r="E421" t="inlineStr">
        <is>
          <t>RAGUNDA</t>
        </is>
      </c>
      <c r="G421" t="n">
        <v>4.9</v>
      </c>
      <c r="H421" t="n">
        <v>0</v>
      </c>
      <c r="I421" t="n">
        <v>0</v>
      </c>
      <c r="J421" t="n">
        <v>0</v>
      </c>
      <c r="K421" t="n">
        <v>0</v>
      </c>
      <c r="L421" t="n">
        <v>0</v>
      </c>
      <c r="M421" t="n">
        <v>0</v>
      </c>
      <c r="N421" t="n">
        <v>0</v>
      </c>
      <c r="O421" t="n">
        <v>0</v>
      </c>
      <c r="P421" t="n">
        <v>0</v>
      </c>
      <c r="Q421" t="n">
        <v>0</v>
      </c>
      <c r="R421" s="2" t="inlineStr"/>
    </row>
    <row r="422" ht="15" customHeight="1">
      <c r="A422" t="inlineStr">
        <is>
          <t>A 7280-2024</t>
        </is>
      </c>
      <c r="B422" s="1" t="n">
        <v>45344</v>
      </c>
      <c r="C422" s="1" t="n">
        <v>46170</v>
      </c>
      <c r="D422" t="inlineStr">
        <is>
          <t>JÄMTLANDS LÄN</t>
        </is>
      </c>
      <c r="E422" t="inlineStr">
        <is>
          <t>RAGUNDA</t>
        </is>
      </c>
      <c r="G422" t="n">
        <v>1.6</v>
      </c>
      <c r="H422" t="n">
        <v>0</v>
      </c>
      <c r="I422" t="n">
        <v>0</v>
      </c>
      <c r="J422" t="n">
        <v>0</v>
      </c>
      <c r="K422" t="n">
        <v>0</v>
      </c>
      <c r="L422" t="n">
        <v>0</v>
      </c>
      <c r="M422" t="n">
        <v>0</v>
      </c>
      <c r="N422" t="n">
        <v>0</v>
      </c>
      <c r="O422" t="n">
        <v>0</v>
      </c>
      <c r="P422" t="n">
        <v>0</v>
      </c>
      <c r="Q422" t="n">
        <v>0</v>
      </c>
      <c r="R422" s="2" t="inlineStr"/>
    </row>
    <row r="423" ht="15" customHeight="1">
      <c r="A423" t="inlineStr">
        <is>
          <t>A 51019-2025</t>
        </is>
      </c>
      <c r="B423" s="1" t="n">
        <v>45947.38623842593</v>
      </c>
      <c r="C423" s="1" t="n">
        <v>46170</v>
      </c>
      <c r="D423" t="inlineStr">
        <is>
          <t>JÄMTLANDS LÄN</t>
        </is>
      </c>
      <c r="E423" t="inlineStr">
        <is>
          <t>RAGUNDA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44778-2024</t>
        </is>
      </c>
      <c r="B424" s="1" t="n">
        <v>45574.63355324074</v>
      </c>
      <c r="C424" s="1" t="n">
        <v>46170</v>
      </c>
      <c r="D424" t="inlineStr">
        <is>
          <t>JÄMTLANDS LÄN</t>
        </is>
      </c>
      <c r="E424" t="inlineStr">
        <is>
          <t>RAGUNDA</t>
        </is>
      </c>
      <c r="G424" t="n">
        <v>5.5</v>
      </c>
      <c r="H424" t="n">
        <v>0</v>
      </c>
      <c r="I424" t="n">
        <v>0</v>
      </c>
      <c r="J424" t="n">
        <v>0</v>
      </c>
      <c r="K424" t="n">
        <v>0</v>
      </c>
      <c r="L424" t="n">
        <v>0</v>
      </c>
      <c r="M424" t="n">
        <v>0</v>
      </c>
      <c r="N424" t="n">
        <v>0</v>
      </c>
      <c r="O424" t="n">
        <v>0</v>
      </c>
      <c r="P424" t="n">
        <v>0</v>
      </c>
      <c r="Q424" t="n">
        <v>0</v>
      </c>
      <c r="R424" s="2" t="inlineStr"/>
    </row>
    <row r="425" ht="15" customHeight="1">
      <c r="A425" t="inlineStr">
        <is>
          <t>A 2673-2024</t>
        </is>
      </c>
      <c r="B425" s="1" t="n">
        <v>45314</v>
      </c>
      <c r="C425" s="1" t="n">
        <v>46170</v>
      </c>
      <c r="D425" t="inlineStr">
        <is>
          <t>JÄMTLANDS LÄN</t>
        </is>
      </c>
      <c r="E425" t="inlineStr">
        <is>
          <t>RAGUNDA</t>
        </is>
      </c>
      <c r="G425" t="n">
        <v>0.9</v>
      </c>
      <c r="H425" t="n">
        <v>0</v>
      </c>
      <c r="I425" t="n">
        <v>0</v>
      </c>
      <c r="J425" t="n">
        <v>0</v>
      </c>
      <c r="K425" t="n">
        <v>0</v>
      </c>
      <c r="L425" t="n">
        <v>0</v>
      </c>
      <c r="M425" t="n">
        <v>0</v>
      </c>
      <c r="N425" t="n">
        <v>0</v>
      </c>
      <c r="O425" t="n">
        <v>0</v>
      </c>
      <c r="P425" t="n">
        <v>0</v>
      </c>
      <c r="Q425" t="n">
        <v>0</v>
      </c>
      <c r="R425" s="2" t="inlineStr"/>
    </row>
    <row r="426" ht="15" customHeight="1">
      <c r="A426" t="inlineStr">
        <is>
          <t>A 64492-2023</t>
        </is>
      </c>
      <c r="B426" s="1" t="n">
        <v>45280.92645833334</v>
      </c>
      <c r="C426" s="1" t="n">
        <v>46170</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22388-2025</t>
        </is>
      </c>
      <c r="B427" s="1" t="n">
        <v>45786.51077546296</v>
      </c>
      <c r="C427" s="1" t="n">
        <v>46170</v>
      </c>
      <c r="D427" t="inlineStr">
        <is>
          <t>JÄMTLANDS LÄN</t>
        </is>
      </c>
      <c r="E427" t="inlineStr">
        <is>
          <t>RAGUNDA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14368-2024</t>
        </is>
      </c>
      <c r="B428" s="1" t="n">
        <v>45393.94431712963</v>
      </c>
      <c r="C428" s="1" t="n">
        <v>46170</v>
      </c>
      <c r="D428" t="inlineStr">
        <is>
          <t>JÄMTLANDS LÄN</t>
        </is>
      </c>
      <c r="E428" t="inlineStr">
        <is>
          <t>RAGUNDA</t>
        </is>
      </c>
      <c r="F428" t="inlineStr">
        <is>
          <t>Naturvårdsverket</t>
        </is>
      </c>
      <c r="G428" t="n">
        <v>1.6</v>
      </c>
      <c r="H428" t="n">
        <v>0</v>
      </c>
      <c r="I428" t="n">
        <v>0</v>
      </c>
      <c r="J428" t="n">
        <v>0</v>
      </c>
      <c r="K428" t="n">
        <v>0</v>
      </c>
      <c r="L428" t="n">
        <v>0</v>
      </c>
      <c r="M428" t="n">
        <v>0</v>
      </c>
      <c r="N428" t="n">
        <v>0</v>
      </c>
      <c r="O428" t="n">
        <v>0</v>
      </c>
      <c r="P428" t="n">
        <v>0</v>
      </c>
      <c r="Q428" t="n">
        <v>0</v>
      </c>
      <c r="R428" s="2" t="inlineStr"/>
    </row>
    <row r="429" ht="15" customHeight="1">
      <c r="A429" t="inlineStr">
        <is>
          <t>A 50985-2025</t>
        </is>
      </c>
      <c r="B429" s="1" t="n">
        <v>45947.34506944445</v>
      </c>
      <c r="C429" s="1" t="n">
        <v>46170</v>
      </c>
      <c r="D429" t="inlineStr">
        <is>
          <t>JÄMTLANDS LÄN</t>
        </is>
      </c>
      <c r="E429" t="inlineStr">
        <is>
          <t>RAGUNDA</t>
        </is>
      </c>
      <c r="F429" t="inlineStr">
        <is>
          <t>SCA</t>
        </is>
      </c>
      <c r="G429" t="n">
        <v>8</v>
      </c>
      <c r="H429" t="n">
        <v>0</v>
      </c>
      <c r="I429" t="n">
        <v>0</v>
      </c>
      <c r="J429" t="n">
        <v>0</v>
      </c>
      <c r="K429" t="n">
        <v>0</v>
      </c>
      <c r="L429" t="n">
        <v>0</v>
      </c>
      <c r="M429" t="n">
        <v>0</v>
      </c>
      <c r="N429" t="n">
        <v>0</v>
      </c>
      <c r="O429" t="n">
        <v>0</v>
      </c>
      <c r="P429" t="n">
        <v>0</v>
      </c>
      <c r="Q429" t="n">
        <v>0</v>
      </c>
      <c r="R429" s="2" t="inlineStr"/>
    </row>
    <row r="430" ht="15" customHeight="1">
      <c r="A430" t="inlineStr">
        <is>
          <t>A 51034-2025</t>
        </is>
      </c>
      <c r="B430" s="1" t="n">
        <v>45947.40670138889</v>
      </c>
      <c r="C430" s="1" t="n">
        <v>46170</v>
      </c>
      <c r="D430" t="inlineStr">
        <is>
          <t>JÄMTLANDS LÄN</t>
        </is>
      </c>
      <c r="E430" t="inlineStr">
        <is>
          <t>RAGUNDA</t>
        </is>
      </c>
      <c r="F430" t="inlineStr">
        <is>
          <t>SCA</t>
        </is>
      </c>
      <c r="G430" t="n">
        <v>44.1</v>
      </c>
      <c r="H430" t="n">
        <v>0</v>
      </c>
      <c r="I430" t="n">
        <v>0</v>
      </c>
      <c r="J430" t="n">
        <v>0</v>
      </c>
      <c r="K430" t="n">
        <v>0</v>
      </c>
      <c r="L430" t="n">
        <v>0</v>
      </c>
      <c r="M430" t="n">
        <v>0</v>
      </c>
      <c r="N430" t="n">
        <v>0</v>
      </c>
      <c r="O430" t="n">
        <v>0</v>
      </c>
      <c r="P430" t="n">
        <v>0</v>
      </c>
      <c r="Q430" t="n">
        <v>0</v>
      </c>
      <c r="R430" s="2" t="inlineStr"/>
    </row>
    <row r="431" ht="15" customHeight="1">
      <c r="A431" t="inlineStr">
        <is>
          <t>A 51592-2025</t>
        </is>
      </c>
      <c r="B431" s="1" t="n">
        <v>45951.36541666667</v>
      </c>
      <c r="C431" s="1" t="n">
        <v>46170</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51395-2025</t>
        </is>
      </c>
      <c r="B432" s="1" t="n">
        <v>45950.46989583333</v>
      </c>
      <c r="C432" s="1" t="n">
        <v>46170</v>
      </c>
      <c r="D432" t="inlineStr">
        <is>
          <t>JÄMTLANDS LÄN</t>
        </is>
      </c>
      <c r="E432" t="inlineStr">
        <is>
          <t>RAGUNDA</t>
        </is>
      </c>
      <c r="F432" t="inlineStr">
        <is>
          <t>SCA</t>
        </is>
      </c>
      <c r="G432" t="n">
        <v>30.7</v>
      </c>
      <c r="H432" t="n">
        <v>0</v>
      </c>
      <c r="I432" t="n">
        <v>0</v>
      </c>
      <c r="J432" t="n">
        <v>0</v>
      </c>
      <c r="K432" t="n">
        <v>0</v>
      </c>
      <c r="L432" t="n">
        <v>0</v>
      </c>
      <c r="M432" t="n">
        <v>0</v>
      </c>
      <c r="N432" t="n">
        <v>0</v>
      </c>
      <c r="O432" t="n">
        <v>0</v>
      </c>
      <c r="P432" t="n">
        <v>0</v>
      </c>
      <c r="Q432" t="n">
        <v>0</v>
      </c>
      <c r="R432" s="2" t="inlineStr"/>
    </row>
    <row r="433" ht="15" customHeight="1">
      <c r="A433" t="inlineStr">
        <is>
          <t>A 12783-2023</t>
        </is>
      </c>
      <c r="B433" s="1" t="n">
        <v>45000</v>
      </c>
      <c r="C433" s="1" t="n">
        <v>46170</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53171-2024</t>
        </is>
      </c>
      <c r="B434" s="1" t="n">
        <v>45611.65679398148</v>
      </c>
      <c r="C434" s="1" t="n">
        <v>46170</v>
      </c>
      <c r="D434" t="inlineStr">
        <is>
          <t>JÄMTLANDS LÄN</t>
        </is>
      </c>
      <c r="E434" t="inlineStr">
        <is>
          <t>RAGUNDA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51678-2025</t>
        </is>
      </c>
      <c r="B435" s="1" t="n">
        <v>45951.51106481482</v>
      </c>
      <c r="C435" s="1" t="n">
        <v>46170</v>
      </c>
      <c r="D435" t="inlineStr">
        <is>
          <t>JÄMTLANDS LÄN</t>
        </is>
      </c>
      <c r="E435" t="inlineStr">
        <is>
          <t>RAGUNDA</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7279-2024</t>
        </is>
      </c>
      <c r="B436" s="1" t="n">
        <v>45344.92822916667</v>
      </c>
      <c r="C436" s="1" t="n">
        <v>46170</v>
      </c>
      <c r="D436" t="inlineStr">
        <is>
          <t>JÄMTLANDS LÄN</t>
        </is>
      </c>
      <c r="E436" t="inlineStr">
        <is>
          <t>RAGUNDA</t>
        </is>
      </c>
      <c r="G436" t="n">
        <v>2.1</v>
      </c>
      <c r="H436" t="n">
        <v>0</v>
      </c>
      <c r="I436" t="n">
        <v>0</v>
      </c>
      <c r="J436" t="n">
        <v>0</v>
      </c>
      <c r="K436" t="n">
        <v>0</v>
      </c>
      <c r="L436" t="n">
        <v>0</v>
      </c>
      <c r="M436" t="n">
        <v>0</v>
      </c>
      <c r="N436" t="n">
        <v>0</v>
      </c>
      <c r="O436" t="n">
        <v>0</v>
      </c>
      <c r="P436" t="n">
        <v>0</v>
      </c>
      <c r="Q436" t="n">
        <v>0</v>
      </c>
      <c r="R436" s="2" t="inlineStr"/>
    </row>
    <row r="437" ht="15" customHeight="1">
      <c r="A437" t="inlineStr">
        <is>
          <t>A 54599-2023</t>
        </is>
      </c>
      <c r="B437" s="1" t="n">
        <v>45233.92591435185</v>
      </c>
      <c r="C437" s="1" t="n">
        <v>46170</v>
      </c>
      <c r="D437" t="inlineStr">
        <is>
          <t>JÄMTLANDS LÄN</t>
        </is>
      </c>
      <c r="E437" t="inlineStr">
        <is>
          <t>RAGUNDA</t>
        </is>
      </c>
      <c r="G437" t="n">
        <v>3.7</v>
      </c>
      <c r="H437" t="n">
        <v>0</v>
      </c>
      <c r="I437" t="n">
        <v>0</v>
      </c>
      <c r="J437" t="n">
        <v>0</v>
      </c>
      <c r="K437" t="n">
        <v>0</v>
      </c>
      <c r="L437" t="n">
        <v>0</v>
      </c>
      <c r="M437" t="n">
        <v>0</v>
      </c>
      <c r="N437" t="n">
        <v>0</v>
      </c>
      <c r="O437" t="n">
        <v>0</v>
      </c>
      <c r="P437" t="n">
        <v>0</v>
      </c>
      <c r="Q437" t="n">
        <v>0</v>
      </c>
      <c r="R437" s="2" t="inlineStr"/>
    </row>
    <row r="438" ht="15" customHeight="1">
      <c r="A438" t="inlineStr">
        <is>
          <t>A 22898-2025</t>
        </is>
      </c>
      <c r="B438" s="1" t="n">
        <v>45790.40670138889</v>
      </c>
      <c r="C438" s="1" t="n">
        <v>46170</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51593-2025</t>
        </is>
      </c>
      <c r="B439" s="1" t="n">
        <v>45951.36548611111</v>
      </c>
      <c r="C439" s="1" t="n">
        <v>46170</v>
      </c>
      <c r="D439" t="inlineStr">
        <is>
          <t>JÄMTLANDS LÄN</t>
        </is>
      </c>
      <c r="E439" t="inlineStr">
        <is>
          <t>RAGUNDA</t>
        </is>
      </c>
      <c r="G439" t="n">
        <v>1.5</v>
      </c>
      <c r="H439" t="n">
        <v>0</v>
      </c>
      <c r="I439" t="n">
        <v>0</v>
      </c>
      <c r="J439" t="n">
        <v>0</v>
      </c>
      <c r="K439" t="n">
        <v>0</v>
      </c>
      <c r="L439" t="n">
        <v>0</v>
      </c>
      <c r="M439" t="n">
        <v>0</v>
      </c>
      <c r="N439" t="n">
        <v>0</v>
      </c>
      <c r="O439" t="n">
        <v>0</v>
      </c>
      <c r="P439" t="n">
        <v>0</v>
      </c>
      <c r="Q439" t="n">
        <v>0</v>
      </c>
      <c r="R439" s="2" t="inlineStr"/>
    </row>
    <row r="440" ht="15" customHeight="1">
      <c r="A440" t="inlineStr">
        <is>
          <t>A 51484-2025</t>
        </is>
      </c>
      <c r="B440" s="1" t="n">
        <v>45950.62196759259</v>
      </c>
      <c r="C440" s="1" t="n">
        <v>46170</v>
      </c>
      <c r="D440" t="inlineStr">
        <is>
          <t>JÄMTLANDS LÄN</t>
        </is>
      </c>
      <c r="E440" t="inlineStr">
        <is>
          <t>RAGUNDA</t>
        </is>
      </c>
      <c r="F440" t="inlineStr">
        <is>
          <t>SCA</t>
        </is>
      </c>
      <c r="G440" t="n">
        <v>23.1</v>
      </c>
      <c r="H440" t="n">
        <v>0</v>
      </c>
      <c r="I440" t="n">
        <v>0</v>
      </c>
      <c r="J440" t="n">
        <v>0</v>
      </c>
      <c r="K440" t="n">
        <v>0</v>
      </c>
      <c r="L440" t="n">
        <v>0</v>
      </c>
      <c r="M440" t="n">
        <v>0</v>
      </c>
      <c r="N440" t="n">
        <v>0</v>
      </c>
      <c r="O440" t="n">
        <v>0</v>
      </c>
      <c r="P440" t="n">
        <v>0</v>
      </c>
      <c r="Q440" t="n">
        <v>0</v>
      </c>
      <c r="R440" s="2" t="inlineStr"/>
    </row>
    <row r="441" ht="15" customHeight="1">
      <c r="A441" t="inlineStr">
        <is>
          <t>A 51491-2025</t>
        </is>
      </c>
      <c r="B441" s="1" t="n">
        <v>45950.63362268519</v>
      </c>
      <c r="C441" s="1" t="n">
        <v>46170</v>
      </c>
      <c r="D441" t="inlineStr">
        <is>
          <t>JÄMTLANDS LÄN</t>
        </is>
      </c>
      <c r="E441" t="inlineStr">
        <is>
          <t>RAGUNDA</t>
        </is>
      </c>
      <c r="G441" t="n">
        <v>1.1</v>
      </c>
      <c r="H441" t="n">
        <v>0</v>
      </c>
      <c r="I441" t="n">
        <v>0</v>
      </c>
      <c r="J441" t="n">
        <v>0</v>
      </c>
      <c r="K441" t="n">
        <v>0</v>
      </c>
      <c r="L441" t="n">
        <v>0</v>
      </c>
      <c r="M441" t="n">
        <v>0</v>
      </c>
      <c r="N441" t="n">
        <v>0</v>
      </c>
      <c r="O441" t="n">
        <v>0</v>
      </c>
      <c r="P441" t="n">
        <v>0</v>
      </c>
      <c r="Q441" t="n">
        <v>0</v>
      </c>
      <c r="R441" s="2" t="inlineStr"/>
    </row>
    <row r="442" ht="15" customHeight="1">
      <c r="A442" t="inlineStr">
        <is>
          <t>A 12660-2024</t>
        </is>
      </c>
      <c r="B442" s="1" t="n">
        <v>45384</v>
      </c>
      <c r="C442" s="1" t="n">
        <v>46170</v>
      </c>
      <c r="D442" t="inlineStr">
        <is>
          <t>JÄMTLANDS LÄN</t>
        </is>
      </c>
      <c r="E442" t="inlineStr">
        <is>
          <t>RAGUNDA</t>
        </is>
      </c>
      <c r="G442" t="n">
        <v>1.3</v>
      </c>
      <c r="H442" t="n">
        <v>0</v>
      </c>
      <c r="I442" t="n">
        <v>0</v>
      </c>
      <c r="J442" t="n">
        <v>0</v>
      </c>
      <c r="K442" t="n">
        <v>0</v>
      </c>
      <c r="L442" t="n">
        <v>0</v>
      </c>
      <c r="M442" t="n">
        <v>0</v>
      </c>
      <c r="N442" t="n">
        <v>0</v>
      </c>
      <c r="O442" t="n">
        <v>0</v>
      </c>
      <c r="P442" t="n">
        <v>0</v>
      </c>
      <c r="Q442" t="n">
        <v>0</v>
      </c>
      <c r="R442" s="2" t="inlineStr"/>
    </row>
    <row r="443" ht="15" customHeight="1">
      <c r="A443" t="inlineStr">
        <is>
          <t>A 55649-2023</t>
        </is>
      </c>
      <c r="B443" s="1" t="n">
        <v>45238</v>
      </c>
      <c r="C443" s="1" t="n">
        <v>46170</v>
      </c>
      <c r="D443" t="inlineStr">
        <is>
          <t>JÄMTLANDS LÄN</t>
        </is>
      </c>
      <c r="E443" t="inlineStr">
        <is>
          <t>RAGUNDA</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23253-2025</t>
        </is>
      </c>
      <c r="B444" s="1" t="n">
        <v>45791.53238425926</v>
      </c>
      <c r="C444" s="1" t="n">
        <v>46170</v>
      </c>
      <c r="D444" t="inlineStr">
        <is>
          <t>JÄMTLANDS LÄN</t>
        </is>
      </c>
      <c r="E444" t="inlineStr">
        <is>
          <t>RAGUNDA</t>
        </is>
      </c>
      <c r="G444" t="n">
        <v>0.7</v>
      </c>
      <c r="H444" t="n">
        <v>0</v>
      </c>
      <c r="I444" t="n">
        <v>0</v>
      </c>
      <c r="J444" t="n">
        <v>0</v>
      </c>
      <c r="K444" t="n">
        <v>0</v>
      </c>
      <c r="L444" t="n">
        <v>0</v>
      </c>
      <c r="M444" t="n">
        <v>0</v>
      </c>
      <c r="N444" t="n">
        <v>0</v>
      </c>
      <c r="O444" t="n">
        <v>0</v>
      </c>
      <c r="P444" t="n">
        <v>0</v>
      </c>
      <c r="Q444" t="n">
        <v>0</v>
      </c>
      <c r="R444" s="2" t="inlineStr"/>
    </row>
    <row r="445" ht="15" customHeight="1">
      <c r="A445" t="inlineStr">
        <is>
          <t>A 39192-2025</t>
        </is>
      </c>
      <c r="B445" s="1" t="n">
        <v>45888.6775</v>
      </c>
      <c r="C445" s="1" t="n">
        <v>46170</v>
      </c>
      <c r="D445" t="inlineStr">
        <is>
          <t>JÄMTLANDS LÄN</t>
        </is>
      </c>
      <c r="E445" t="inlineStr">
        <is>
          <t>RAGUNDA</t>
        </is>
      </c>
      <c r="F445" t="inlineStr">
        <is>
          <t>Naturvårdsverket</t>
        </is>
      </c>
      <c r="G445" t="n">
        <v>2.3</v>
      </c>
      <c r="H445" t="n">
        <v>0</v>
      </c>
      <c r="I445" t="n">
        <v>0</v>
      </c>
      <c r="J445" t="n">
        <v>0</v>
      </c>
      <c r="K445" t="n">
        <v>0</v>
      </c>
      <c r="L445" t="n">
        <v>0</v>
      </c>
      <c r="M445" t="n">
        <v>0</v>
      </c>
      <c r="N445" t="n">
        <v>0</v>
      </c>
      <c r="O445" t="n">
        <v>0</v>
      </c>
      <c r="P445" t="n">
        <v>0</v>
      </c>
      <c r="Q445" t="n">
        <v>0</v>
      </c>
      <c r="R445" s="2" t="inlineStr"/>
    </row>
    <row r="446" ht="15" customHeight="1">
      <c r="A446" t="inlineStr">
        <is>
          <t>A 51791-2025</t>
        </is>
      </c>
      <c r="B446" s="1" t="n">
        <v>45951.69833333333</v>
      </c>
      <c r="C446" s="1" t="n">
        <v>46170</v>
      </c>
      <c r="D446" t="inlineStr">
        <is>
          <t>JÄMTLANDS LÄN</t>
        </is>
      </c>
      <c r="E446" t="inlineStr">
        <is>
          <t>RAGUNDA</t>
        </is>
      </c>
      <c r="F446" t="inlineStr">
        <is>
          <t>SCA</t>
        </is>
      </c>
      <c r="G446" t="n">
        <v>43.3</v>
      </c>
      <c r="H446" t="n">
        <v>0</v>
      </c>
      <c r="I446" t="n">
        <v>0</v>
      </c>
      <c r="J446" t="n">
        <v>0</v>
      </c>
      <c r="K446" t="n">
        <v>0</v>
      </c>
      <c r="L446" t="n">
        <v>0</v>
      </c>
      <c r="M446" t="n">
        <v>0</v>
      </c>
      <c r="N446" t="n">
        <v>0</v>
      </c>
      <c r="O446" t="n">
        <v>0</v>
      </c>
      <c r="P446" t="n">
        <v>0</v>
      </c>
      <c r="Q446" t="n">
        <v>0</v>
      </c>
      <c r="R446" s="2" t="inlineStr"/>
    </row>
    <row r="447" ht="15" customHeight="1">
      <c r="A447" t="inlineStr">
        <is>
          <t>A 23413-2025</t>
        </is>
      </c>
      <c r="B447" s="1" t="n">
        <v>45792.34606481482</v>
      </c>
      <c r="C447" s="1" t="n">
        <v>46170</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51702-2025</t>
        </is>
      </c>
      <c r="B448" s="1" t="n">
        <v>45951.55305555555</v>
      </c>
      <c r="C448" s="1" t="n">
        <v>46170</v>
      </c>
      <c r="D448" t="inlineStr">
        <is>
          <t>JÄMTLANDS LÄN</t>
        </is>
      </c>
      <c r="E448" t="inlineStr">
        <is>
          <t>RAGUNDA</t>
        </is>
      </c>
      <c r="G448" t="n">
        <v>11.4</v>
      </c>
      <c r="H448" t="n">
        <v>0</v>
      </c>
      <c r="I448" t="n">
        <v>0</v>
      </c>
      <c r="J448" t="n">
        <v>0</v>
      </c>
      <c r="K448" t="n">
        <v>0</v>
      </c>
      <c r="L448" t="n">
        <v>0</v>
      </c>
      <c r="M448" t="n">
        <v>0</v>
      </c>
      <c r="N448" t="n">
        <v>0</v>
      </c>
      <c r="O448" t="n">
        <v>0</v>
      </c>
      <c r="P448" t="n">
        <v>0</v>
      </c>
      <c r="Q448" t="n">
        <v>0</v>
      </c>
      <c r="R448" s="2" t="inlineStr"/>
    </row>
    <row r="449" ht="15" customHeight="1">
      <c r="A449" t="inlineStr">
        <is>
          <t>A 23586-2025</t>
        </is>
      </c>
      <c r="B449" s="1" t="n">
        <v>45792.63584490741</v>
      </c>
      <c r="C449" s="1" t="n">
        <v>46170</v>
      </c>
      <c r="D449" t="inlineStr">
        <is>
          <t>JÄMTLANDS LÄN</t>
        </is>
      </c>
      <c r="E449" t="inlineStr">
        <is>
          <t>RAGUNDA</t>
        </is>
      </c>
      <c r="F449" t="inlineStr">
        <is>
          <t>SCA</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51394-2025</t>
        </is>
      </c>
      <c r="B450" s="1" t="n">
        <v>45950.46972222222</v>
      </c>
      <c r="C450" s="1" t="n">
        <v>46170</v>
      </c>
      <c r="D450" t="inlineStr">
        <is>
          <t>JÄMTLANDS LÄN</t>
        </is>
      </c>
      <c r="E450" t="inlineStr">
        <is>
          <t>RAGUNDA</t>
        </is>
      </c>
      <c r="F450" t="inlineStr">
        <is>
          <t>SCA</t>
        </is>
      </c>
      <c r="G450" t="n">
        <v>36.5</v>
      </c>
      <c r="H450" t="n">
        <v>0</v>
      </c>
      <c r="I450" t="n">
        <v>0</v>
      </c>
      <c r="J450" t="n">
        <v>0</v>
      </c>
      <c r="K450" t="n">
        <v>0</v>
      </c>
      <c r="L450" t="n">
        <v>0</v>
      </c>
      <c r="M450" t="n">
        <v>0</v>
      </c>
      <c r="N450" t="n">
        <v>0</v>
      </c>
      <c r="O450" t="n">
        <v>0</v>
      </c>
      <c r="P450" t="n">
        <v>0</v>
      </c>
      <c r="Q450" t="n">
        <v>0</v>
      </c>
      <c r="R450" s="2" t="inlineStr"/>
    </row>
    <row r="451" ht="15" customHeight="1">
      <c r="A451" t="inlineStr">
        <is>
          <t>A 23841-2025</t>
        </is>
      </c>
      <c r="B451" s="1" t="n">
        <v>45793.61523148148</v>
      </c>
      <c r="C451" s="1" t="n">
        <v>46170</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52317-2025</t>
        </is>
      </c>
      <c r="B452" s="1" t="n">
        <v>45953.65675925926</v>
      </c>
      <c r="C452" s="1" t="n">
        <v>46170</v>
      </c>
      <c r="D452" t="inlineStr">
        <is>
          <t>JÄMTLANDS LÄN</t>
        </is>
      </c>
      <c r="E452" t="inlineStr">
        <is>
          <t>RAGUNDA</t>
        </is>
      </c>
      <c r="F452" t="inlineStr">
        <is>
          <t>SCA</t>
        </is>
      </c>
      <c r="G452" t="n">
        <v>27.2</v>
      </c>
      <c r="H452" t="n">
        <v>0</v>
      </c>
      <c r="I452" t="n">
        <v>0</v>
      </c>
      <c r="J452" t="n">
        <v>0</v>
      </c>
      <c r="K452" t="n">
        <v>0</v>
      </c>
      <c r="L452" t="n">
        <v>0</v>
      </c>
      <c r="M452" t="n">
        <v>0</v>
      </c>
      <c r="N452" t="n">
        <v>0</v>
      </c>
      <c r="O452" t="n">
        <v>0</v>
      </c>
      <c r="P452" t="n">
        <v>0</v>
      </c>
      <c r="Q452" t="n">
        <v>0</v>
      </c>
      <c r="R452" s="2" t="inlineStr"/>
    </row>
    <row r="453" ht="15" customHeight="1">
      <c r="A453" t="inlineStr">
        <is>
          <t>A 52122-2025</t>
        </is>
      </c>
      <c r="B453" s="1" t="n">
        <v>45952.71946759259</v>
      </c>
      <c r="C453" s="1" t="n">
        <v>46170</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23507-2025</t>
        </is>
      </c>
      <c r="B454" s="1" t="n">
        <v>45792.49023148148</v>
      </c>
      <c r="C454" s="1" t="n">
        <v>46170</v>
      </c>
      <c r="D454" t="inlineStr">
        <is>
          <t>JÄMTLANDS LÄN</t>
        </is>
      </c>
      <c r="E454" t="inlineStr">
        <is>
          <t>RAGUNDA</t>
        </is>
      </c>
      <c r="F454" t="inlineStr">
        <is>
          <t>SCA</t>
        </is>
      </c>
      <c r="G454" t="n">
        <v>16.4</v>
      </c>
      <c r="H454" t="n">
        <v>0</v>
      </c>
      <c r="I454" t="n">
        <v>0</v>
      </c>
      <c r="J454" t="n">
        <v>0</v>
      </c>
      <c r="K454" t="n">
        <v>0</v>
      </c>
      <c r="L454" t="n">
        <v>0</v>
      </c>
      <c r="M454" t="n">
        <v>0</v>
      </c>
      <c r="N454" t="n">
        <v>0</v>
      </c>
      <c r="O454" t="n">
        <v>0</v>
      </c>
      <c r="P454" t="n">
        <v>0</v>
      </c>
      <c r="Q454" t="n">
        <v>0</v>
      </c>
      <c r="R454" s="2" t="inlineStr"/>
    </row>
    <row r="455" ht="15" customHeight="1">
      <c r="A455" t="inlineStr">
        <is>
          <t>A 23840-2025</t>
        </is>
      </c>
      <c r="B455" s="1" t="n">
        <v>45793</v>
      </c>
      <c r="C455" s="1" t="n">
        <v>46170</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23654-2025</t>
        </is>
      </c>
      <c r="B456" s="1" t="n">
        <v>45792.71905092592</v>
      </c>
      <c r="C456" s="1" t="n">
        <v>46170</v>
      </c>
      <c r="D456" t="inlineStr">
        <is>
          <t>JÄMTLANDS LÄN</t>
        </is>
      </c>
      <c r="E456" t="inlineStr">
        <is>
          <t>RAGUNDA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12521-2023</t>
        </is>
      </c>
      <c r="B457" s="1" t="n">
        <v>45000</v>
      </c>
      <c r="C457" s="1" t="n">
        <v>46170</v>
      </c>
      <c r="D457" t="inlineStr">
        <is>
          <t>JÄMTLANDS LÄN</t>
        </is>
      </c>
      <c r="E457" t="inlineStr">
        <is>
          <t>RAGUNDA</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23405-2025</t>
        </is>
      </c>
      <c r="B458" s="1" t="n">
        <v>45792.34527777778</v>
      </c>
      <c r="C458" s="1" t="n">
        <v>46170</v>
      </c>
      <c r="D458" t="inlineStr">
        <is>
          <t>JÄMTLANDS LÄN</t>
        </is>
      </c>
      <c r="E458" t="inlineStr">
        <is>
          <t>RAGUNDA</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18612-2024</t>
        </is>
      </c>
      <c r="B459" s="1" t="n">
        <v>45425.96239583333</v>
      </c>
      <c r="C459" s="1" t="n">
        <v>46170</v>
      </c>
      <c r="D459" t="inlineStr">
        <is>
          <t>JÄMTLANDS LÄN</t>
        </is>
      </c>
      <c r="E459" t="inlineStr">
        <is>
          <t>RAGUNDA</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18284-2025</t>
        </is>
      </c>
      <c r="B460" s="1" t="n">
        <v>45762.39876157408</v>
      </c>
      <c r="C460" s="1" t="n">
        <v>46170</v>
      </c>
      <c r="D460" t="inlineStr">
        <is>
          <t>JÄMTLANDS LÄN</t>
        </is>
      </c>
      <c r="E460" t="inlineStr">
        <is>
          <t>RAGUNDA</t>
        </is>
      </c>
      <c r="G460" t="n">
        <v>0.2</v>
      </c>
      <c r="H460" t="n">
        <v>0</v>
      </c>
      <c r="I460" t="n">
        <v>0</v>
      </c>
      <c r="J460" t="n">
        <v>0</v>
      </c>
      <c r="K460" t="n">
        <v>0</v>
      </c>
      <c r="L460" t="n">
        <v>0</v>
      </c>
      <c r="M460" t="n">
        <v>0</v>
      </c>
      <c r="N460" t="n">
        <v>0</v>
      </c>
      <c r="O460" t="n">
        <v>0</v>
      </c>
      <c r="P460" t="n">
        <v>0</v>
      </c>
      <c r="Q460" t="n">
        <v>0</v>
      </c>
      <c r="R460" s="2" t="inlineStr"/>
      <c r="U460">
        <f>HYPERLINK("https://klasma.github.io/Logging_2303/knärot/A 18284-2025 karta knärot.png", "A 18284-2025")</f>
        <v/>
      </c>
      <c r="V460">
        <f>HYPERLINK("https://klasma.github.io/Logging_2303/klagomål/A 18284-2025 FSC-klagomål.docx", "A 18284-2025")</f>
        <v/>
      </c>
      <c r="W460">
        <f>HYPERLINK("https://klasma.github.io/Logging_2303/klagomålsmail/A 18284-2025 FSC-klagomål mail.docx", "A 18284-2025")</f>
        <v/>
      </c>
      <c r="X460">
        <f>HYPERLINK("https://klasma.github.io/Logging_2303/tillsyn/A 18284-2025 tillsynsbegäran.docx", "A 18284-2025")</f>
        <v/>
      </c>
      <c r="Y460">
        <f>HYPERLINK("https://klasma.github.io/Logging_2303/tillsynsmail/A 18284-2025 tillsynsbegäran mail.docx", "A 18284-2025")</f>
        <v/>
      </c>
    </row>
    <row r="461" ht="15" customHeight="1">
      <c r="A461" t="inlineStr">
        <is>
          <t>A 39384-2025</t>
        </is>
      </c>
      <c r="B461" s="1" t="n">
        <v>45889.61517361111</v>
      </c>
      <c r="C461" s="1" t="n">
        <v>46170</v>
      </c>
      <c r="D461" t="inlineStr">
        <is>
          <t>JÄMTLANDS LÄN</t>
        </is>
      </c>
      <c r="E461" t="inlineStr">
        <is>
          <t>RAGUNDA</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28216-2025</t>
        </is>
      </c>
      <c r="B462" s="1" t="n">
        <v>45818.46898148148</v>
      </c>
      <c r="C462" s="1" t="n">
        <v>46170</v>
      </c>
      <c r="D462" t="inlineStr">
        <is>
          <t>JÄMTLANDS LÄN</t>
        </is>
      </c>
      <c r="E462" t="inlineStr">
        <is>
          <t>RAGUNDA</t>
        </is>
      </c>
      <c r="G462" t="n">
        <v>6.6</v>
      </c>
      <c r="H462" t="n">
        <v>0</v>
      </c>
      <c r="I462" t="n">
        <v>0</v>
      </c>
      <c r="J462" t="n">
        <v>0</v>
      </c>
      <c r="K462" t="n">
        <v>0</v>
      </c>
      <c r="L462" t="n">
        <v>0</v>
      </c>
      <c r="M462" t="n">
        <v>0</v>
      </c>
      <c r="N462" t="n">
        <v>0</v>
      </c>
      <c r="O462" t="n">
        <v>0</v>
      </c>
      <c r="P462" t="n">
        <v>0</v>
      </c>
      <c r="Q462" t="n">
        <v>0</v>
      </c>
      <c r="R462" s="2" t="inlineStr"/>
    </row>
    <row r="463" ht="15" customHeight="1">
      <c r="A463" t="inlineStr">
        <is>
          <t>A 464-2023</t>
        </is>
      </c>
      <c r="B463" s="1" t="n">
        <v>44929.92489583333</v>
      </c>
      <c r="C463" s="1" t="n">
        <v>46170</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19263-2025</t>
        </is>
      </c>
      <c r="B464" s="1" t="n">
        <v>45769.51075231482</v>
      </c>
      <c r="C464" s="1" t="n">
        <v>46170</v>
      </c>
      <c r="D464" t="inlineStr">
        <is>
          <t>JÄMTLANDS LÄN</t>
        </is>
      </c>
      <c r="E464" t="inlineStr">
        <is>
          <t>RAGUNDA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24158-2025</t>
        </is>
      </c>
      <c r="B465" s="1" t="n">
        <v>45796</v>
      </c>
      <c r="C465" s="1" t="n">
        <v>46170</v>
      </c>
      <c r="D465" t="inlineStr">
        <is>
          <t>JÄMTLANDS LÄN</t>
        </is>
      </c>
      <c r="E465" t="inlineStr">
        <is>
          <t>RAGUNDA</t>
        </is>
      </c>
      <c r="G465" t="n">
        <v>2.9</v>
      </c>
      <c r="H465" t="n">
        <v>0</v>
      </c>
      <c r="I465" t="n">
        <v>0</v>
      </c>
      <c r="J465" t="n">
        <v>0</v>
      </c>
      <c r="K465" t="n">
        <v>0</v>
      </c>
      <c r="L465" t="n">
        <v>0</v>
      </c>
      <c r="M465" t="n">
        <v>0</v>
      </c>
      <c r="N465" t="n">
        <v>0</v>
      </c>
      <c r="O465" t="n">
        <v>0</v>
      </c>
      <c r="P465" t="n">
        <v>0</v>
      </c>
      <c r="Q465" t="n">
        <v>0</v>
      </c>
      <c r="R465" s="2" t="inlineStr"/>
      <c r="U465">
        <f>HYPERLINK("https://klasma.github.io/Logging_2303/knärot/A 24158-2025 karta knärot.png", "A 24158-2025")</f>
        <v/>
      </c>
      <c r="V465">
        <f>HYPERLINK("https://klasma.github.io/Logging_2303/klagomål/A 24158-2025 FSC-klagomål.docx", "A 24158-2025")</f>
        <v/>
      </c>
      <c r="W465">
        <f>HYPERLINK("https://klasma.github.io/Logging_2303/klagomålsmail/A 24158-2025 FSC-klagomål mail.docx", "A 24158-2025")</f>
        <v/>
      </c>
      <c r="X465">
        <f>HYPERLINK("https://klasma.github.io/Logging_2303/tillsyn/A 24158-2025 tillsynsbegäran.docx", "A 24158-2025")</f>
        <v/>
      </c>
      <c r="Y465">
        <f>HYPERLINK("https://klasma.github.io/Logging_2303/tillsynsmail/A 24158-2025 tillsynsbegäran mail.docx", "A 24158-2025")</f>
        <v/>
      </c>
    </row>
    <row r="466" ht="15" customHeight="1">
      <c r="A466" t="inlineStr">
        <is>
          <t>A 24161-2025</t>
        </is>
      </c>
      <c r="B466" s="1" t="n">
        <v>45796</v>
      </c>
      <c r="C466" s="1" t="n">
        <v>46170</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53769-2023</t>
        </is>
      </c>
      <c r="B467" s="1" t="n">
        <v>45230</v>
      </c>
      <c r="C467" s="1" t="n">
        <v>46170</v>
      </c>
      <c r="D467" t="inlineStr">
        <is>
          <t>JÄMTLANDS LÄN</t>
        </is>
      </c>
      <c r="E467" t="inlineStr">
        <is>
          <t>RAGUNDA</t>
        </is>
      </c>
      <c r="F467" t="inlineStr">
        <is>
          <t>SCA</t>
        </is>
      </c>
      <c r="G467" t="n">
        <v>11.6</v>
      </c>
      <c r="H467" t="n">
        <v>0</v>
      </c>
      <c r="I467" t="n">
        <v>0</v>
      </c>
      <c r="J467" t="n">
        <v>0</v>
      </c>
      <c r="K467" t="n">
        <v>0</v>
      </c>
      <c r="L467" t="n">
        <v>0</v>
      </c>
      <c r="M467" t="n">
        <v>0</v>
      </c>
      <c r="N467" t="n">
        <v>0</v>
      </c>
      <c r="O467" t="n">
        <v>0</v>
      </c>
      <c r="P467" t="n">
        <v>0</v>
      </c>
      <c r="Q467" t="n">
        <v>0</v>
      </c>
      <c r="R467" s="2" t="inlineStr"/>
    </row>
    <row r="468" ht="15" customHeight="1">
      <c r="A468" t="inlineStr">
        <is>
          <t>A 52228-2024</t>
        </is>
      </c>
      <c r="B468" s="1" t="n">
        <v>45608.6078587963</v>
      </c>
      <c r="C468" s="1" t="n">
        <v>46170</v>
      </c>
      <c r="D468" t="inlineStr">
        <is>
          <t>JÄMTLANDS LÄN</t>
        </is>
      </c>
      <c r="E468" t="inlineStr">
        <is>
          <t>RAGUNDA</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24159-2025</t>
        </is>
      </c>
      <c r="B469" s="1" t="n">
        <v>45796</v>
      </c>
      <c r="C469" s="1" t="n">
        <v>46170</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24391-2025</t>
        </is>
      </c>
      <c r="B470" s="1" t="n">
        <v>45797.63627314815</v>
      </c>
      <c r="C470" s="1" t="n">
        <v>46170</v>
      </c>
      <c r="D470" t="inlineStr">
        <is>
          <t>JÄMTLANDS LÄN</t>
        </is>
      </c>
      <c r="E470" t="inlineStr">
        <is>
          <t>RAGUNDA</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2242-2024</t>
        </is>
      </c>
      <c r="B471" s="1" t="n">
        <v>45309</v>
      </c>
      <c r="C471" s="1" t="n">
        <v>46170</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2248-2024</t>
        </is>
      </c>
      <c r="B472" s="1" t="n">
        <v>45309</v>
      </c>
      <c r="C472" s="1" t="n">
        <v>46170</v>
      </c>
      <c r="D472" t="inlineStr">
        <is>
          <t>JÄMTLANDS LÄN</t>
        </is>
      </c>
      <c r="E472" t="inlineStr">
        <is>
          <t>RAGUNDA</t>
        </is>
      </c>
      <c r="G472" t="n">
        <v>4.2</v>
      </c>
      <c r="H472" t="n">
        <v>0</v>
      </c>
      <c r="I472" t="n">
        <v>0</v>
      </c>
      <c r="J472" t="n">
        <v>0</v>
      </c>
      <c r="K472" t="n">
        <v>0</v>
      </c>
      <c r="L472" t="n">
        <v>0</v>
      </c>
      <c r="M472" t="n">
        <v>0</v>
      </c>
      <c r="N472" t="n">
        <v>0</v>
      </c>
      <c r="O472" t="n">
        <v>0</v>
      </c>
      <c r="P472" t="n">
        <v>0</v>
      </c>
      <c r="Q472" t="n">
        <v>0</v>
      </c>
      <c r="R472" s="2" t="inlineStr"/>
    </row>
    <row r="473" ht="15" customHeight="1">
      <c r="A473" t="inlineStr">
        <is>
          <t>A 62407-2023</t>
        </is>
      </c>
      <c r="B473" s="1" t="n">
        <v>45266</v>
      </c>
      <c r="C473" s="1" t="n">
        <v>46170</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19264-2025</t>
        </is>
      </c>
      <c r="B474" s="1" t="n">
        <v>45769.51087962963</v>
      </c>
      <c r="C474" s="1" t="n">
        <v>46170</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52330-2025</t>
        </is>
      </c>
      <c r="B475" s="1" t="n">
        <v>45953.67752314815</v>
      </c>
      <c r="C475" s="1" t="n">
        <v>46170</v>
      </c>
      <c r="D475" t="inlineStr">
        <is>
          <t>JÄMTLANDS LÄN</t>
        </is>
      </c>
      <c r="E475" t="inlineStr">
        <is>
          <t>RAGUNDA</t>
        </is>
      </c>
      <c r="F475" t="inlineStr">
        <is>
          <t>SCA</t>
        </is>
      </c>
      <c r="G475" t="n">
        <v>10.1</v>
      </c>
      <c r="H475" t="n">
        <v>0</v>
      </c>
      <c r="I475" t="n">
        <v>0</v>
      </c>
      <c r="J475" t="n">
        <v>0</v>
      </c>
      <c r="K475" t="n">
        <v>0</v>
      </c>
      <c r="L475" t="n">
        <v>0</v>
      </c>
      <c r="M475" t="n">
        <v>0</v>
      </c>
      <c r="N475" t="n">
        <v>0</v>
      </c>
      <c r="O475" t="n">
        <v>0</v>
      </c>
      <c r="P475" t="n">
        <v>0</v>
      </c>
      <c r="Q475" t="n">
        <v>0</v>
      </c>
      <c r="R475" s="2" t="inlineStr"/>
    </row>
    <row r="476" ht="15" customHeight="1">
      <c r="A476" t="inlineStr">
        <is>
          <t>A 29263-2024</t>
        </is>
      </c>
      <c r="B476" s="1" t="n">
        <v>45482.94891203703</v>
      </c>
      <c r="C476" s="1" t="n">
        <v>46170</v>
      </c>
      <c r="D476" t="inlineStr">
        <is>
          <t>JÄMTLANDS LÄN</t>
        </is>
      </c>
      <c r="E476" t="inlineStr">
        <is>
          <t>RAGUNDA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8800-2025</t>
        </is>
      </c>
      <c r="B477" s="1" t="n">
        <v>45712.65671296296</v>
      </c>
      <c r="C477" s="1" t="n">
        <v>46170</v>
      </c>
      <c r="D477" t="inlineStr">
        <is>
          <t>JÄMTLANDS LÄN</t>
        </is>
      </c>
      <c r="E477" t="inlineStr">
        <is>
          <t>RAGUNDA</t>
        </is>
      </c>
      <c r="G477" t="n">
        <v>2.6</v>
      </c>
      <c r="H477" t="n">
        <v>0</v>
      </c>
      <c r="I477" t="n">
        <v>0</v>
      </c>
      <c r="J477" t="n">
        <v>0</v>
      </c>
      <c r="K477" t="n">
        <v>0</v>
      </c>
      <c r="L477" t="n">
        <v>0</v>
      </c>
      <c r="M477" t="n">
        <v>0</v>
      </c>
      <c r="N477" t="n">
        <v>0</v>
      </c>
      <c r="O477" t="n">
        <v>0</v>
      </c>
      <c r="P477" t="n">
        <v>0</v>
      </c>
      <c r="Q477" t="n">
        <v>0</v>
      </c>
      <c r="R477" s="2" t="inlineStr"/>
    </row>
    <row r="478" ht="15" customHeight="1">
      <c r="A478" t="inlineStr">
        <is>
          <t>A 39947-2025</t>
        </is>
      </c>
      <c r="B478" s="1" t="n">
        <v>45892.34438657408</v>
      </c>
      <c r="C478" s="1" t="n">
        <v>46170</v>
      </c>
      <c r="D478" t="inlineStr">
        <is>
          <t>JÄMTLANDS LÄN</t>
        </is>
      </c>
      <c r="E478" t="inlineStr">
        <is>
          <t>RAGUNDA</t>
        </is>
      </c>
      <c r="G478" t="n">
        <v>6.6</v>
      </c>
      <c r="H478" t="n">
        <v>0</v>
      </c>
      <c r="I478" t="n">
        <v>0</v>
      </c>
      <c r="J478" t="n">
        <v>0</v>
      </c>
      <c r="K478" t="n">
        <v>0</v>
      </c>
      <c r="L478" t="n">
        <v>0</v>
      </c>
      <c r="M478" t="n">
        <v>0</v>
      </c>
      <c r="N478" t="n">
        <v>0</v>
      </c>
      <c r="O478" t="n">
        <v>0</v>
      </c>
      <c r="P478" t="n">
        <v>0</v>
      </c>
      <c r="Q478" t="n">
        <v>0</v>
      </c>
      <c r="R478" s="2" t="inlineStr"/>
    </row>
    <row r="479" ht="15" customHeight="1">
      <c r="A479" t="inlineStr">
        <is>
          <t>A 39951-2025</t>
        </is>
      </c>
      <c r="B479" s="1" t="n">
        <v>45892.38657407407</v>
      </c>
      <c r="C479" s="1" t="n">
        <v>46170</v>
      </c>
      <c r="D479" t="inlineStr">
        <is>
          <t>JÄMTLANDS LÄN</t>
        </is>
      </c>
      <c r="E479" t="inlineStr">
        <is>
          <t>RAGUNDA</t>
        </is>
      </c>
      <c r="G479" t="n">
        <v>2.3</v>
      </c>
      <c r="H479" t="n">
        <v>0</v>
      </c>
      <c r="I479" t="n">
        <v>0</v>
      </c>
      <c r="J479" t="n">
        <v>0</v>
      </c>
      <c r="K479" t="n">
        <v>0</v>
      </c>
      <c r="L479" t="n">
        <v>0</v>
      </c>
      <c r="M479" t="n">
        <v>0</v>
      </c>
      <c r="N479" t="n">
        <v>0</v>
      </c>
      <c r="O479" t="n">
        <v>0</v>
      </c>
      <c r="P479" t="n">
        <v>0</v>
      </c>
      <c r="Q479" t="n">
        <v>0</v>
      </c>
      <c r="R479" s="2" t="inlineStr"/>
    </row>
    <row r="480" ht="15" customHeight="1">
      <c r="A480" t="inlineStr">
        <is>
          <t>A 39948-2025</t>
        </is>
      </c>
      <c r="B480" s="1" t="n">
        <v>45892.38591435185</v>
      </c>
      <c r="C480" s="1" t="n">
        <v>46170</v>
      </c>
      <c r="D480" t="inlineStr">
        <is>
          <t>JÄMTLANDS LÄN</t>
        </is>
      </c>
      <c r="E480" t="inlineStr">
        <is>
          <t>RAGUNDA</t>
        </is>
      </c>
      <c r="G480" t="n">
        <v>5</v>
      </c>
      <c r="H480" t="n">
        <v>0</v>
      </c>
      <c r="I480" t="n">
        <v>0</v>
      </c>
      <c r="J480" t="n">
        <v>0</v>
      </c>
      <c r="K480" t="n">
        <v>0</v>
      </c>
      <c r="L480" t="n">
        <v>0</v>
      </c>
      <c r="M480" t="n">
        <v>0</v>
      </c>
      <c r="N480" t="n">
        <v>0</v>
      </c>
      <c r="O480" t="n">
        <v>0</v>
      </c>
      <c r="P480" t="n">
        <v>0</v>
      </c>
      <c r="Q480" t="n">
        <v>0</v>
      </c>
      <c r="R480" s="2" t="inlineStr"/>
    </row>
    <row r="481" ht="15" customHeight="1">
      <c r="A481" t="inlineStr">
        <is>
          <t>A 39946-2025</t>
        </is>
      </c>
      <c r="B481" s="1" t="n">
        <v>45892.34423611111</v>
      </c>
      <c r="C481" s="1" t="n">
        <v>46170</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39950-2025</t>
        </is>
      </c>
      <c r="B482" s="1" t="n">
        <v>45892.38641203703</v>
      </c>
      <c r="C482" s="1" t="n">
        <v>46170</v>
      </c>
      <c r="D482" t="inlineStr">
        <is>
          <t>JÄMTLANDS LÄN</t>
        </is>
      </c>
      <c r="E482" t="inlineStr">
        <is>
          <t>RAGUNDA</t>
        </is>
      </c>
      <c r="G482" t="n">
        <v>1.1</v>
      </c>
      <c r="H482" t="n">
        <v>0</v>
      </c>
      <c r="I482" t="n">
        <v>0</v>
      </c>
      <c r="J482" t="n">
        <v>0</v>
      </c>
      <c r="K482" t="n">
        <v>0</v>
      </c>
      <c r="L482" t="n">
        <v>0</v>
      </c>
      <c r="M482" t="n">
        <v>0</v>
      </c>
      <c r="N482" t="n">
        <v>0</v>
      </c>
      <c r="O482" t="n">
        <v>0</v>
      </c>
      <c r="P482" t="n">
        <v>0</v>
      </c>
      <c r="Q482" t="n">
        <v>0</v>
      </c>
      <c r="R482" s="2" t="inlineStr"/>
    </row>
    <row r="483" ht="15" customHeight="1">
      <c r="A483" t="inlineStr">
        <is>
          <t>A 39955-2025</t>
        </is>
      </c>
      <c r="B483" s="1" t="n">
        <v>45892.44824074074</v>
      </c>
      <c r="C483" s="1" t="n">
        <v>46170</v>
      </c>
      <c r="D483" t="inlineStr">
        <is>
          <t>JÄMTLANDS LÄN</t>
        </is>
      </c>
      <c r="E483" t="inlineStr">
        <is>
          <t>RAGUNDA</t>
        </is>
      </c>
      <c r="G483" t="n">
        <v>1.4</v>
      </c>
      <c r="H483" t="n">
        <v>0</v>
      </c>
      <c r="I483" t="n">
        <v>0</v>
      </c>
      <c r="J483" t="n">
        <v>0</v>
      </c>
      <c r="K483" t="n">
        <v>0</v>
      </c>
      <c r="L483" t="n">
        <v>0</v>
      </c>
      <c r="M483" t="n">
        <v>0</v>
      </c>
      <c r="N483" t="n">
        <v>0</v>
      </c>
      <c r="O483" t="n">
        <v>0</v>
      </c>
      <c r="P483" t="n">
        <v>0</v>
      </c>
      <c r="Q483" t="n">
        <v>0</v>
      </c>
      <c r="R483" s="2" t="inlineStr"/>
    </row>
    <row r="484" ht="15" customHeight="1">
      <c r="A484" t="inlineStr">
        <is>
          <t>A 39956-2025</t>
        </is>
      </c>
      <c r="B484" s="1" t="n">
        <v>45892.44840277778</v>
      </c>
      <c r="C484" s="1" t="n">
        <v>46170</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21524-2024</t>
        </is>
      </c>
      <c r="B485" s="1" t="n">
        <v>45441</v>
      </c>
      <c r="C485" s="1" t="n">
        <v>46170</v>
      </c>
      <c r="D485" t="inlineStr">
        <is>
          <t>JÄMTLANDS LÄN</t>
        </is>
      </c>
      <c r="E485" t="inlineStr">
        <is>
          <t>RAGUNDA</t>
        </is>
      </c>
      <c r="G485" t="n">
        <v>1.6</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46170</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29265-2024</t>
        </is>
      </c>
      <c r="B487" s="1" t="n">
        <v>45482.9491087963</v>
      </c>
      <c r="C487" s="1" t="n">
        <v>46170</v>
      </c>
      <c r="D487" t="inlineStr">
        <is>
          <t>JÄMTLANDS LÄN</t>
        </is>
      </c>
      <c r="E487" t="inlineStr">
        <is>
          <t>RAGUNDA</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38191-2024</t>
        </is>
      </c>
      <c r="B488" s="1" t="n">
        <v>45545.49078703704</v>
      </c>
      <c r="C488" s="1" t="n">
        <v>46170</v>
      </c>
      <c r="D488" t="inlineStr">
        <is>
          <t>JÄMTLANDS LÄN</t>
        </is>
      </c>
      <c r="E488" t="inlineStr">
        <is>
          <t>RAGUNDA</t>
        </is>
      </c>
      <c r="G488" t="n">
        <v>1.6</v>
      </c>
      <c r="H488" t="n">
        <v>0</v>
      </c>
      <c r="I488" t="n">
        <v>0</v>
      </c>
      <c r="J488" t="n">
        <v>0</v>
      </c>
      <c r="K488" t="n">
        <v>0</v>
      </c>
      <c r="L488" t="n">
        <v>0</v>
      </c>
      <c r="M488" t="n">
        <v>0</v>
      </c>
      <c r="N488" t="n">
        <v>0</v>
      </c>
      <c r="O488" t="n">
        <v>0</v>
      </c>
      <c r="P488" t="n">
        <v>0</v>
      </c>
      <c r="Q488" t="n">
        <v>0</v>
      </c>
      <c r="R488" s="2" t="inlineStr"/>
    </row>
    <row r="489" ht="15" customHeight="1">
      <c r="A489" t="inlineStr">
        <is>
          <t>A 27291-2022</t>
        </is>
      </c>
      <c r="B489" s="1" t="n">
        <v>44741.94070601852</v>
      </c>
      <c r="C489" s="1" t="n">
        <v>46170</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52093-2025</t>
        </is>
      </c>
      <c r="B490" s="1" t="n">
        <v>45952.67865740741</v>
      </c>
      <c r="C490" s="1" t="n">
        <v>46170</v>
      </c>
      <c r="D490" t="inlineStr">
        <is>
          <t>JÄMTLANDS LÄN</t>
        </is>
      </c>
      <c r="E490" t="inlineStr">
        <is>
          <t>RAGUNDA</t>
        </is>
      </c>
      <c r="F490" t="inlineStr">
        <is>
          <t>SCA</t>
        </is>
      </c>
      <c r="G490" t="n">
        <v>22.7</v>
      </c>
      <c r="H490" t="n">
        <v>0</v>
      </c>
      <c r="I490" t="n">
        <v>0</v>
      </c>
      <c r="J490" t="n">
        <v>0</v>
      </c>
      <c r="K490" t="n">
        <v>0</v>
      </c>
      <c r="L490" t="n">
        <v>0</v>
      </c>
      <c r="M490" t="n">
        <v>0</v>
      </c>
      <c r="N490" t="n">
        <v>0</v>
      </c>
      <c r="O490" t="n">
        <v>0</v>
      </c>
      <c r="P490" t="n">
        <v>0</v>
      </c>
      <c r="Q490" t="n">
        <v>0</v>
      </c>
      <c r="R490" s="2" t="inlineStr"/>
    </row>
    <row r="491" ht="15" customHeight="1">
      <c r="A491" t="inlineStr">
        <is>
          <t>A 8776-2025</t>
        </is>
      </c>
      <c r="B491" s="1" t="n">
        <v>45712.61510416667</v>
      </c>
      <c r="C491" s="1" t="n">
        <v>46170</v>
      </c>
      <c r="D491" t="inlineStr">
        <is>
          <t>JÄMTLANDS LÄN</t>
        </is>
      </c>
      <c r="E491" t="inlineStr">
        <is>
          <t>RAGUNDA</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14821-2025</t>
        </is>
      </c>
      <c r="B492" s="1" t="n">
        <v>45743.36</v>
      </c>
      <c r="C492" s="1" t="n">
        <v>46170</v>
      </c>
      <c r="D492" t="inlineStr">
        <is>
          <t>JÄMTLANDS LÄN</t>
        </is>
      </c>
      <c r="E492" t="inlineStr">
        <is>
          <t>RAGUNDA</t>
        </is>
      </c>
      <c r="F492" t="inlineStr">
        <is>
          <t>Kyrkan</t>
        </is>
      </c>
      <c r="G492" t="n">
        <v>6.4</v>
      </c>
      <c r="H492" t="n">
        <v>0</v>
      </c>
      <c r="I492" t="n">
        <v>0</v>
      </c>
      <c r="J492" t="n">
        <v>0</v>
      </c>
      <c r="K492" t="n">
        <v>0</v>
      </c>
      <c r="L492" t="n">
        <v>0</v>
      </c>
      <c r="M492" t="n">
        <v>0</v>
      </c>
      <c r="N492" t="n">
        <v>0</v>
      </c>
      <c r="O492" t="n">
        <v>0</v>
      </c>
      <c r="P492" t="n">
        <v>0</v>
      </c>
      <c r="Q492" t="n">
        <v>0</v>
      </c>
      <c r="R492" s="2" t="inlineStr"/>
    </row>
    <row r="493" ht="15" customHeight="1">
      <c r="A493" t="inlineStr">
        <is>
          <t>A 51882-2025</t>
        </is>
      </c>
      <c r="B493" s="1" t="n">
        <v>45952.40685185185</v>
      </c>
      <c r="C493" s="1" t="n">
        <v>46170</v>
      </c>
      <c r="D493" t="inlineStr">
        <is>
          <t>JÄMTLANDS LÄN</t>
        </is>
      </c>
      <c r="E493" t="inlineStr">
        <is>
          <t>RAGUNDA</t>
        </is>
      </c>
      <c r="F493" t="inlineStr">
        <is>
          <t>SCA</t>
        </is>
      </c>
      <c r="G493" t="n">
        <v>11.9</v>
      </c>
      <c r="H493" t="n">
        <v>0</v>
      </c>
      <c r="I493" t="n">
        <v>0</v>
      </c>
      <c r="J493" t="n">
        <v>0</v>
      </c>
      <c r="K493" t="n">
        <v>0</v>
      </c>
      <c r="L493" t="n">
        <v>0</v>
      </c>
      <c r="M493" t="n">
        <v>0</v>
      </c>
      <c r="N493" t="n">
        <v>0</v>
      </c>
      <c r="O493" t="n">
        <v>0</v>
      </c>
      <c r="P493" t="n">
        <v>0</v>
      </c>
      <c r="Q493" t="n">
        <v>0</v>
      </c>
      <c r="R493" s="2" t="inlineStr"/>
    </row>
    <row r="494" ht="15" customHeight="1">
      <c r="A494" t="inlineStr">
        <is>
          <t>A 51903-2025</t>
        </is>
      </c>
      <c r="B494" s="1" t="n">
        <v>45952.44857638889</v>
      </c>
      <c r="C494" s="1" t="n">
        <v>46170</v>
      </c>
      <c r="D494" t="inlineStr">
        <is>
          <t>JÄMTLANDS LÄN</t>
        </is>
      </c>
      <c r="E494" t="inlineStr">
        <is>
          <t>RAGUNDA</t>
        </is>
      </c>
      <c r="F494" t="inlineStr">
        <is>
          <t>SCA</t>
        </is>
      </c>
      <c r="G494" t="n">
        <v>20.8</v>
      </c>
      <c r="H494" t="n">
        <v>0</v>
      </c>
      <c r="I494" t="n">
        <v>0</v>
      </c>
      <c r="J494" t="n">
        <v>0</v>
      </c>
      <c r="K494" t="n">
        <v>0</v>
      </c>
      <c r="L494" t="n">
        <v>0</v>
      </c>
      <c r="M494" t="n">
        <v>0</v>
      </c>
      <c r="N494" t="n">
        <v>0</v>
      </c>
      <c r="O494" t="n">
        <v>0</v>
      </c>
      <c r="P494" t="n">
        <v>0</v>
      </c>
      <c r="Q494" t="n">
        <v>0</v>
      </c>
      <c r="R494" s="2" t="inlineStr"/>
    </row>
    <row r="495" ht="15" customHeight="1">
      <c r="A495" t="inlineStr">
        <is>
          <t>A 40586-2025</t>
        </is>
      </c>
      <c r="B495" s="1" t="n">
        <v>45896.52478009259</v>
      </c>
      <c r="C495" s="1" t="n">
        <v>46170</v>
      </c>
      <c r="D495" t="inlineStr">
        <is>
          <t>JÄMTLANDS LÄN</t>
        </is>
      </c>
      <c r="E495" t="inlineStr">
        <is>
          <t>RAGUNDA</t>
        </is>
      </c>
      <c r="G495" t="n">
        <v>1.2</v>
      </c>
      <c r="H495" t="n">
        <v>0</v>
      </c>
      <c r="I495" t="n">
        <v>0</v>
      </c>
      <c r="J495" t="n">
        <v>0</v>
      </c>
      <c r="K495" t="n">
        <v>0</v>
      </c>
      <c r="L495" t="n">
        <v>0</v>
      </c>
      <c r="M495" t="n">
        <v>0</v>
      </c>
      <c r="N495" t="n">
        <v>0</v>
      </c>
      <c r="O495" t="n">
        <v>0</v>
      </c>
      <c r="P495" t="n">
        <v>0</v>
      </c>
      <c r="Q495" t="n">
        <v>0</v>
      </c>
      <c r="R495" s="2" t="inlineStr"/>
    </row>
    <row r="496" ht="15" customHeight="1">
      <c r="A496" t="inlineStr">
        <is>
          <t>A 25631-2025</t>
        </is>
      </c>
      <c r="B496" s="1" t="n">
        <v>45803.5946875</v>
      </c>
      <c r="C496" s="1" t="n">
        <v>46170</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36375-2022</t>
        </is>
      </c>
      <c r="B497" s="1" t="n">
        <v>44803.94351851852</v>
      </c>
      <c r="C497" s="1" t="n">
        <v>46170</v>
      </c>
      <c r="D497" t="inlineStr">
        <is>
          <t>JÄMTLANDS LÄN</t>
        </is>
      </c>
      <c r="E497" t="inlineStr">
        <is>
          <t>RAGUNDA</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51932-2025</t>
        </is>
      </c>
      <c r="B498" s="1" t="n">
        <v>45952.51094907407</v>
      </c>
      <c r="C498" s="1" t="n">
        <v>46170</v>
      </c>
      <c r="D498" t="inlineStr">
        <is>
          <t>JÄMTLANDS LÄN</t>
        </is>
      </c>
      <c r="E498" t="inlineStr">
        <is>
          <t>RAGUNDA</t>
        </is>
      </c>
      <c r="F498" t="inlineStr">
        <is>
          <t>SCA</t>
        </is>
      </c>
      <c r="G498" t="n">
        <v>39.2</v>
      </c>
      <c r="H498" t="n">
        <v>0</v>
      </c>
      <c r="I498" t="n">
        <v>0</v>
      </c>
      <c r="J498" t="n">
        <v>0</v>
      </c>
      <c r="K498" t="n">
        <v>0</v>
      </c>
      <c r="L498" t="n">
        <v>0</v>
      </c>
      <c r="M498" t="n">
        <v>0</v>
      </c>
      <c r="N498" t="n">
        <v>0</v>
      </c>
      <c r="O498" t="n">
        <v>0</v>
      </c>
      <c r="P498" t="n">
        <v>0</v>
      </c>
      <c r="Q498" t="n">
        <v>0</v>
      </c>
      <c r="R498" s="2" t="inlineStr"/>
    </row>
    <row r="499" ht="15" customHeight="1">
      <c r="A499" t="inlineStr">
        <is>
          <t>A 8679-2023</t>
        </is>
      </c>
      <c r="B499" s="1" t="n">
        <v>44977.98670138889</v>
      </c>
      <c r="C499" s="1" t="n">
        <v>46170</v>
      </c>
      <c r="D499" t="inlineStr">
        <is>
          <t>JÄMTLANDS LÄN</t>
        </is>
      </c>
      <c r="E499" t="inlineStr">
        <is>
          <t>RAGUNDA</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25376-2025</t>
        </is>
      </c>
      <c r="B500" s="1" t="n">
        <v>45800.63619212963</v>
      </c>
      <c r="C500" s="1" t="n">
        <v>46170</v>
      </c>
      <c r="D500" t="inlineStr">
        <is>
          <t>JÄMTLANDS LÄN</t>
        </is>
      </c>
      <c r="E500" t="inlineStr">
        <is>
          <t>RAGUNDA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9325-2024</t>
        </is>
      </c>
      <c r="B501" s="1" t="n">
        <v>45358.95813657407</v>
      </c>
      <c r="C501" s="1" t="n">
        <v>46170</v>
      </c>
      <c r="D501" t="inlineStr">
        <is>
          <t>JÄMTLANDS LÄN</t>
        </is>
      </c>
      <c r="E501" t="inlineStr">
        <is>
          <t>RAGUNDA</t>
        </is>
      </c>
      <c r="G501" t="n">
        <v>3.1</v>
      </c>
      <c r="H501" t="n">
        <v>0</v>
      </c>
      <c r="I501" t="n">
        <v>0</v>
      </c>
      <c r="J501" t="n">
        <v>0</v>
      </c>
      <c r="K501" t="n">
        <v>0</v>
      </c>
      <c r="L501" t="n">
        <v>0</v>
      </c>
      <c r="M501" t="n">
        <v>0</v>
      </c>
      <c r="N501" t="n">
        <v>0</v>
      </c>
      <c r="O501" t="n">
        <v>0</v>
      </c>
      <c r="P501" t="n">
        <v>0</v>
      </c>
      <c r="Q501" t="n">
        <v>0</v>
      </c>
      <c r="R501" s="2" t="inlineStr"/>
    </row>
    <row r="502" ht="15" customHeight="1">
      <c r="A502" t="inlineStr">
        <is>
          <t>A 41161-2025</t>
        </is>
      </c>
      <c r="B502" s="1" t="n">
        <v>45898.53193287037</v>
      </c>
      <c r="C502" s="1" t="n">
        <v>46170</v>
      </c>
      <c r="D502" t="inlineStr">
        <is>
          <t>JÄMTLANDS LÄN</t>
        </is>
      </c>
      <c r="E502" t="inlineStr">
        <is>
          <t>RAGUNDA</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5930-2025</t>
        </is>
      </c>
      <c r="B503" s="1" t="n">
        <v>45695.44724537037</v>
      </c>
      <c r="C503" s="1" t="n">
        <v>46170</v>
      </c>
      <c r="D503" t="inlineStr">
        <is>
          <t>JÄMTLANDS LÄN</t>
        </is>
      </c>
      <c r="E503" t="inlineStr">
        <is>
          <t>RAGUNDA</t>
        </is>
      </c>
      <c r="G503" t="n">
        <v>0.7</v>
      </c>
      <c r="H503" t="n">
        <v>0</v>
      </c>
      <c r="I503" t="n">
        <v>0</v>
      </c>
      <c r="J503" t="n">
        <v>0</v>
      </c>
      <c r="K503" t="n">
        <v>0</v>
      </c>
      <c r="L503" t="n">
        <v>0</v>
      </c>
      <c r="M503" t="n">
        <v>0</v>
      </c>
      <c r="N503" t="n">
        <v>0</v>
      </c>
      <c r="O503" t="n">
        <v>0</v>
      </c>
      <c r="P503" t="n">
        <v>0</v>
      </c>
      <c r="Q503" t="n">
        <v>0</v>
      </c>
      <c r="R503" s="2" t="inlineStr"/>
    </row>
    <row r="504" ht="15" customHeight="1">
      <c r="A504" t="inlineStr">
        <is>
          <t>A 25175-2025</t>
        </is>
      </c>
      <c r="B504" s="1" t="n">
        <v>45800.44822916666</v>
      </c>
      <c r="C504" s="1" t="n">
        <v>46170</v>
      </c>
      <c r="D504" t="inlineStr">
        <is>
          <t>JÄMTLANDS LÄN</t>
        </is>
      </c>
      <c r="E504" t="inlineStr">
        <is>
          <t>RAGUNDA</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25177-2025</t>
        </is>
      </c>
      <c r="B505" s="1" t="n">
        <v>45800.44862268519</v>
      </c>
      <c r="C505" s="1" t="n">
        <v>46170</v>
      </c>
      <c r="D505" t="inlineStr">
        <is>
          <t>JÄMTLANDS LÄN</t>
        </is>
      </c>
      <c r="E505" t="inlineStr">
        <is>
          <t>RAGUNDA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57170-2024</t>
        </is>
      </c>
      <c r="B506" s="1" t="n">
        <v>45629.42759259259</v>
      </c>
      <c r="C506" s="1" t="n">
        <v>46170</v>
      </c>
      <c r="D506" t="inlineStr">
        <is>
          <t>JÄMTLANDS LÄN</t>
        </is>
      </c>
      <c r="E506" t="inlineStr">
        <is>
          <t>RAGUNDA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41233-2025</t>
        </is>
      </c>
      <c r="B507" s="1" t="n">
        <v>45898.59295138889</v>
      </c>
      <c r="C507" s="1" t="n">
        <v>46170</v>
      </c>
      <c r="D507" t="inlineStr">
        <is>
          <t>JÄMTLANDS LÄN</t>
        </is>
      </c>
      <c r="E507" t="inlineStr">
        <is>
          <t>RAGUNDA</t>
        </is>
      </c>
      <c r="G507" t="n">
        <v>1.7</v>
      </c>
      <c r="H507" t="n">
        <v>0</v>
      </c>
      <c r="I507" t="n">
        <v>0</v>
      </c>
      <c r="J507" t="n">
        <v>0</v>
      </c>
      <c r="K507" t="n">
        <v>0</v>
      </c>
      <c r="L507" t="n">
        <v>0</v>
      </c>
      <c r="M507" t="n">
        <v>0</v>
      </c>
      <c r="N507" t="n">
        <v>0</v>
      </c>
      <c r="O507" t="n">
        <v>0</v>
      </c>
      <c r="P507" t="n">
        <v>0</v>
      </c>
      <c r="Q507" t="n">
        <v>0</v>
      </c>
      <c r="R507" s="2" t="inlineStr"/>
    </row>
    <row r="508" ht="15" customHeight="1">
      <c r="A508" t="inlineStr">
        <is>
          <t>A 25659-2025</t>
        </is>
      </c>
      <c r="B508" s="1" t="n">
        <v>45803.61552083334</v>
      </c>
      <c r="C508" s="1" t="n">
        <v>46170</v>
      </c>
      <c r="D508" t="inlineStr">
        <is>
          <t>JÄMTLANDS LÄN</t>
        </is>
      </c>
      <c r="E508" t="inlineStr">
        <is>
          <t>RAGUNDA</t>
        </is>
      </c>
      <c r="G508" t="n">
        <v>1.5</v>
      </c>
      <c r="H508" t="n">
        <v>0</v>
      </c>
      <c r="I508" t="n">
        <v>0</v>
      </c>
      <c r="J508" t="n">
        <v>0</v>
      </c>
      <c r="K508" t="n">
        <v>0</v>
      </c>
      <c r="L508" t="n">
        <v>0</v>
      </c>
      <c r="M508" t="n">
        <v>0</v>
      </c>
      <c r="N508" t="n">
        <v>0</v>
      </c>
      <c r="O508" t="n">
        <v>0</v>
      </c>
      <c r="P508" t="n">
        <v>0</v>
      </c>
      <c r="Q508" t="n">
        <v>0</v>
      </c>
      <c r="R508" s="2" t="inlineStr"/>
    </row>
    <row r="509" ht="15" customHeight="1">
      <c r="A509" t="inlineStr">
        <is>
          <t>A 25661-2025</t>
        </is>
      </c>
      <c r="B509" s="1" t="n">
        <v>45803.61557870371</v>
      </c>
      <c r="C509" s="1" t="n">
        <v>46170</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41262-2025</t>
        </is>
      </c>
      <c r="B510" s="1" t="n">
        <v>45898.61502314815</v>
      </c>
      <c r="C510" s="1" t="n">
        <v>46170</v>
      </c>
      <c r="D510" t="inlineStr">
        <is>
          <t>JÄMTLANDS LÄN</t>
        </is>
      </c>
      <c r="E510" t="inlineStr">
        <is>
          <t>RAGUNDA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25350-2025</t>
        </is>
      </c>
      <c r="B511" s="1" t="n">
        <v>45800</v>
      </c>
      <c r="C511" s="1" t="n">
        <v>46170</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25152-2025</t>
        </is>
      </c>
      <c r="B512" s="1" t="n">
        <v>45800.42743055556</v>
      </c>
      <c r="C512" s="1" t="n">
        <v>46170</v>
      </c>
      <c r="D512" t="inlineStr">
        <is>
          <t>JÄMTLANDS LÄN</t>
        </is>
      </c>
      <c r="E512" t="inlineStr">
        <is>
          <t>RAGUNDA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19613-2023</t>
        </is>
      </c>
      <c r="B513" s="1" t="n">
        <v>45050.94020833333</v>
      </c>
      <c r="C513" s="1" t="n">
        <v>46170</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41423-2025</t>
        </is>
      </c>
      <c r="B514" s="1" t="n">
        <v>45901.38578703703</v>
      </c>
      <c r="C514" s="1" t="n">
        <v>46170</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25814-2025</t>
        </is>
      </c>
      <c r="B515" s="1" t="n">
        <v>45804.42642361111</v>
      </c>
      <c r="C515" s="1" t="n">
        <v>46170</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51906-2025</t>
        </is>
      </c>
      <c r="B516" s="1" t="n">
        <v>45952.4615162037</v>
      </c>
      <c r="C516" s="1" t="n">
        <v>46170</v>
      </c>
      <c r="D516" t="inlineStr">
        <is>
          <t>JÄMTLANDS LÄN</t>
        </is>
      </c>
      <c r="E516" t="inlineStr">
        <is>
          <t>RAGUNDA</t>
        </is>
      </c>
      <c r="G516" t="n">
        <v>4.5</v>
      </c>
      <c r="H516" t="n">
        <v>0</v>
      </c>
      <c r="I516" t="n">
        <v>0</v>
      </c>
      <c r="J516" t="n">
        <v>0</v>
      </c>
      <c r="K516" t="n">
        <v>0</v>
      </c>
      <c r="L516" t="n">
        <v>0</v>
      </c>
      <c r="M516" t="n">
        <v>0</v>
      </c>
      <c r="N516" t="n">
        <v>0</v>
      </c>
      <c r="O516" t="n">
        <v>0</v>
      </c>
      <c r="P516" t="n">
        <v>0</v>
      </c>
      <c r="Q516" t="n">
        <v>0</v>
      </c>
      <c r="R516" s="2" t="inlineStr"/>
    </row>
    <row r="517" ht="15" customHeight="1">
      <c r="A517" t="inlineStr">
        <is>
          <t>A 25944-2025</t>
        </is>
      </c>
      <c r="B517" s="1" t="n">
        <v>45804.59487268519</v>
      </c>
      <c r="C517" s="1" t="n">
        <v>46170</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26283-2025</t>
        </is>
      </c>
      <c r="B518" s="1" t="n">
        <v>45805.61495370371</v>
      </c>
      <c r="C518" s="1" t="n">
        <v>46170</v>
      </c>
      <c r="D518" t="inlineStr">
        <is>
          <t>JÄMTLANDS LÄN</t>
        </is>
      </c>
      <c r="E518" t="inlineStr">
        <is>
          <t>RAGUNDA</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10788-2025</t>
        </is>
      </c>
      <c r="B519" s="1" t="n">
        <v>45722.48982638889</v>
      </c>
      <c r="C519" s="1" t="n">
        <v>46170</v>
      </c>
      <c r="D519" t="inlineStr">
        <is>
          <t>JÄMTLANDS LÄN</t>
        </is>
      </c>
      <c r="E519" t="inlineStr">
        <is>
          <t>RAGUNDA</t>
        </is>
      </c>
      <c r="G519" t="n">
        <v>3.5</v>
      </c>
      <c r="H519" t="n">
        <v>0</v>
      </c>
      <c r="I519" t="n">
        <v>0</v>
      </c>
      <c r="J519" t="n">
        <v>0</v>
      </c>
      <c r="K519" t="n">
        <v>0</v>
      </c>
      <c r="L519" t="n">
        <v>0</v>
      </c>
      <c r="M519" t="n">
        <v>0</v>
      </c>
      <c r="N519" t="n">
        <v>0</v>
      </c>
      <c r="O519" t="n">
        <v>0</v>
      </c>
      <c r="P519" t="n">
        <v>0</v>
      </c>
      <c r="Q519" t="n">
        <v>0</v>
      </c>
      <c r="R519" s="2" t="inlineStr"/>
    </row>
    <row r="520" ht="15" customHeight="1">
      <c r="A520" t="inlineStr">
        <is>
          <t>A 24258-2025</t>
        </is>
      </c>
      <c r="B520" s="1" t="n">
        <v>45797.40800925926</v>
      </c>
      <c r="C520" s="1" t="n">
        <v>46170</v>
      </c>
      <c r="D520" t="inlineStr">
        <is>
          <t>JÄMTLANDS LÄN</t>
        </is>
      </c>
      <c r="E520" t="inlineStr">
        <is>
          <t>RAGUNDA</t>
        </is>
      </c>
      <c r="G520" t="n">
        <v>1.2</v>
      </c>
      <c r="H520" t="n">
        <v>0</v>
      </c>
      <c r="I520" t="n">
        <v>0</v>
      </c>
      <c r="J520" t="n">
        <v>0</v>
      </c>
      <c r="K520" t="n">
        <v>0</v>
      </c>
      <c r="L520" t="n">
        <v>0</v>
      </c>
      <c r="M520" t="n">
        <v>0</v>
      </c>
      <c r="N520" t="n">
        <v>0</v>
      </c>
      <c r="O520" t="n">
        <v>0</v>
      </c>
      <c r="P520" t="n">
        <v>0</v>
      </c>
      <c r="Q520" t="n">
        <v>0</v>
      </c>
      <c r="R520" s="2" t="inlineStr"/>
    </row>
    <row r="521" ht="15" customHeight="1">
      <c r="A521" t="inlineStr">
        <is>
          <t>A 25994-2025</t>
        </is>
      </c>
      <c r="B521" s="1" t="n">
        <v>45804.65672453704</v>
      </c>
      <c r="C521" s="1" t="n">
        <v>46170</v>
      </c>
      <c r="D521" t="inlineStr">
        <is>
          <t>JÄMTLANDS LÄN</t>
        </is>
      </c>
      <c r="E521" t="inlineStr">
        <is>
          <t>RAGUNDA</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41424-2025</t>
        </is>
      </c>
      <c r="B522" s="1" t="n">
        <v>45901.38584490741</v>
      </c>
      <c r="C522" s="1" t="n">
        <v>46170</v>
      </c>
      <c r="D522" t="inlineStr">
        <is>
          <t>JÄMTLANDS LÄN</t>
        </is>
      </c>
      <c r="E522" t="inlineStr">
        <is>
          <t>RAGUNDA</t>
        </is>
      </c>
      <c r="G522" t="n">
        <v>3</v>
      </c>
      <c r="H522" t="n">
        <v>0</v>
      </c>
      <c r="I522" t="n">
        <v>0</v>
      </c>
      <c r="J522" t="n">
        <v>0</v>
      </c>
      <c r="K522" t="n">
        <v>0</v>
      </c>
      <c r="L522" t="n">
        <v>0</v>
      </c>
      <c r="M522" t="n">
        <v>0</v>
      </c>
      <c r="N522" t="n">
        <v>0</v>
      </c>
      <c r="O522" t="n">
        <v>0</v>
      </c>
      <c r="P522" t="n">
        <v>0</v>
      </c>
      <c r="Q522" t="n">
        <v>0</v>
      </c>
      <c r="R522" s="2" t="inlineStr"/>
    </row>
    <row r="523" ht="15" customHeight="1">
      <c r="A523" t="inlineStr">
        <is>
          <t>A 41140-2025</t>
        </is>
      </c>
      <c r="B523" s="1" t="n">
        <v>45898.49012731481</v>
      </c>
      <c r="C523" s="1" t="n">
        <v>46170</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41422-2025</t>
        </is>
      </c>
      <c r="B524" s="1" t="n">
        <v>45901.38572916666</v>
      </c>
      <c r="C524" s="1" t="n">
        <v>46170</v>
      </c>
      <c r="D524" t="inlineStr">
        <is>
          <t>JÄMTLANDS LÄN</t>
        </is>
      </c>
      <c r="E524" t="inlineStr">
        <is>
          <t>RAGUNDA</t>
        </is>
      </c>
      <c r="G524" t="n">
        <v>4.3</v>
      </c>
      <c r="H524" t="n">
        <v>0</v>
      </c>
      <c r="I524" t="n">
        <v>0</v>
      </c>
      <c r="J524" t="n">
        <v>0</v>
      </c>
      <c r="K524" t="n">
        <v>0</v>
      </c>
      <c r="L524" t="n">
        <v>0</v>
      </c>
      <c r="M524" t="n">
        <v>0</v>
      </c>
      <c r="N524" t="n">
        <v>0</v>
      </c>
      <c r="O524" t="n">
        <v>0</v>
      </c>
      <c r="P524" t="n">
        <v>0</v>
      </c>
      <c r="Q524" t="n">
        <v>0</v>
      </c>
      <c r="R524" s="2" t="inlineStr"/>
    </row>
    <row r="525" ht="15" customHeight="1">
      <c r="A525" t="inlineStr">
        <is>
          <t>A 26172-2025</t>
        </is>
      </c>
      <c r="B525" s="1" t="n">
        <v>45805.46613425926</v>
      </c>
      <c r="C525" s="1" t="n">
        <v>46170</v>
      </c>
      <c r="D525" t="inlineStr">
        <is>
          <t>JÄMTLANDS LÄN</t>
        </is>
      </c>
      <c r="E525" t="inlineStr">
        <is>
          <t>RAGUNDA</t>
        </is>
      </c>
      <c r="G525" t="n">
        <v>2.1</v>
      </c>
      <c r="H525" t="n">
        <v>0</v>
      </c>
      <c r="I525" t="n">
        <v>0</v>
      </c>
      <c r="J525" t="n">
        <v>0</v>
      </c>
      <c r="K525" t="n">
        <v>0</v>
      </c>
      <c r="L525" t="n">
        <v>0</v>
      </c>
      <c r="M525" t="n">
        <v>0</v>
      </c>
      <c r="N525" t="n">
        <v>0</v>
      </c>
      <c r="O525" t="n">
        <v>0</v>
      </c>
      <c r="P525" t="n">
        <v>0</v>
      </c>
      <c r="Q525" t="n">
        <v>0</v>
      </c>
      <c r="R525" s="2" t="inlineStr"/>
    </row>
    <row r="526" ht="15" customHeight="1">
      <c r="A526" t="inlineStr">
        <is>
          <t>A 8795-2022</t>
        </is>
      </c>
      <c r="B526" s="1" t="n">
        <v>44614</v>
      </c>
      <c r="C526" s="1" t="n">
        <v>46170</v>
      </c>
      <c r="D526" t="inlineStr">
        <is>
          <t>JÄMTLANDS LÄN</t>
        </is>
      </c>
      <c r="E526" t="inlineStr">
        <is>
          <t>RAGUNDA</t>
        </is>
      </c>
      <c r="G526" t="n">
        <v>3.9</v>
      </c>
      <c r="H526" t="n">
        <v>0</v>
      </c>
      <c r="I526" t="n">
        <v>0</v>
      </c>
      <c r="J526" t="n">
        <v>0</v>
      </c>
      <c r="K526" t="n">
        <v>0</v>
      </c>
      <c r="L526" t="n">
        <v>0</v>
      </c>
      <c r="M526" t="n">
        <v>0</v>
      </c>
      <c r="N526" t="n">
        <v>0</v>
      </c>
      <c r="O526" t="n">
        <v>0</v>
      </c>
      <c r="P526" t="n">
        <v>0</v>
      </c>
      <c r="Q526" t="n">
        <v>0</v>
      </c>
      <c r="R526" s="2" t="inlineStr"/>
    </row>
    <row r="527" ht="15" customHeight="1">
      <c r="A527" t="inlineStr">
        <is>
          <t>A 41876-2025</t>
        </is>
      </c>
      <c r="B527" s="1" t="n">
        <v>45903.34555555556</v>
      </c>
      <c r="C527" s="1" t="n">
        <v>46170</v>
      </c>
      <c r="D527" t="inlineStr">
        <is>
          <t>JÄMTLANDS LÄN</t>
        </is>
      </c>
      <c r="E527" t="inlineStr">
        <is>
          <t>RAGUNDA</t>
        </is>
      </c>
      <c r="G527" t="n">
        <v>2</v>
      </c>
      <c r="H527" t="n">
        <v>0</v>
      </c>
      <c r="I527" t="n">
        <v>0</v>
      </c>
      <c r="J527" t="n">
        <v>0</v>
      </c>
      <c r="K527" t="n">
        <v>0</v>
      </c>
      <c r="L527" t="n">
        <v>0</v>
      </c>
      <c r="M527" t="n">
        <v>0</v>
      </c>
      <c r="N527" t="n">
        <v>0</v>
      </c>
      <c r="O527" t="n">
        <v>0</v>
      </c>
      <c r="P527" t="n">
        <v>0</v>
      </c>
      <c r="Q527" t="n">
        <v>0</v>
      </c>
      <c r="R527" s="2" t="inlineStr"/>
    </row>
    <row r="528" ht="15" customHeight="1">
      <c r="A528" t="inlineStr">
        <is>
          <t>A 26246-2025</t>
        </is>
      </c>
      <c r="B528" s="1" t="n">
        <v>45805.57390046296</v>
      </c>
      <c r="C528" s="1" t="n">
        <v>46170</v>
      </c>
      <c r="D528" t="inlineStr">
        <is>
          <t>JÄMTLANDS LÄN</t>
        </is>
      </c>
      <c r="E528" t="inlineStr">
        <is>
          <t>RAGUNDA</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35265-2023</t>
        </is>
      </c>
      <c r="B529" s="1" t="n">
        <v>45145.95326388889</v>
      </c>
      <c r="C529" s="1" t="n">
        <v>46170</v>
      </c>
      <c r="D529" t="inlineStr">
        <is>
          <t>JÄMTLANDS LÄN</t>
        </is>
      </c>
      <c r="E529" t="inlineStr">
        <is>
          <t>RAGUNDA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5148-2023</t>
        </is>
      </c>
      <c r="B530" s="1" t="n">
        <v>44958</v>
      </c>
      <c r="C530" s="1" t="n">
        <v>46170</v>
      </c>
      <c r="D530" t="inlineStr">
        <is>
          <t>JÄMTLANDS LÄN</t>
        </is>
      </c>
      <c r="E530" t="inlineStr">
        <is>
          <t>RAGUNDA</t>
        </is>
      </c>
      <c r="G530" t="n">
        <v>2.9</v>
      </c>
      <c r="H530" t="n">
        <v>0</v>
      </c>
      <c r="I530" t="n">
        <v>0</v>
      </c>
      <c r="J530" t="n">
        <v>0</v>
      </c>
      <c r="K530" t="n">
        <v>0</v>
      </c>
      <c r="L530" t="n">
        <v>0</v>
      </c>
      <c r="M530" t="n">
        <v>0</v>
      </c>
      <c r="N530" t="n">
        <v>0</v>
      </c>
      <c r="O530" t="n">
        <v>0</v>
      </c>
      <c r="P530" t="n">
        <v>0</v>
      </c>
      <c r="Q530" t="n">
        <v>0</v>
      </c>
      <c r="R530" s="2" t="inlineStr"/>
    </row>
    <row r="531" ht="15" customHeight="1">
      <c r="A531" t="inlineStr">
        <is>
          <t>A 41656-2025</t>
        </is>
      </c>
      <c r="B531" s="1" t="n">
        <v>45902.34423611111</v>
      </c>
      <c r="C531" s="1" t="n">
        <v>46170</v>
      </c>
      <c r="D531" t="inlineStr">
        <is>
          <t>JÄMTLANDS LÄN</t>
        </is>
      </c>
      <c r="E531" t="inlineStr">
        <is>
          <t>RAGUNDA</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73278-2021</t>
        </is>
      </c>
      <c r="B532" s="1" t="n">
        <v>44550.92168981482</v>
      </c>
      <c r="C532" s="1" t="n">
        <v>46170</v>
      </c>
      <c r="D532" t="inlineStr">
        <is>
          <t>JÄMTLANDS LÄN</t>
        </is>
      </c>
      <c r="E532" t="inlineStr">
        <is>
          <t>RAGUNDA</t>
        </is>
      </c>
      <c r="G532" t="n">
        <v>4.4</v>
      </c>
      <c r="H532" t="n">
        <v>0</v>
      </c>
      <c r="I532" t="n">
        <v>0</v>
      </c>
      <c r="J532" t="n">
        <v>0</v>
      </c>
      <c r="K532" t="n">
        <v>0</v>
      </c>
      <c r="L532" t="n">
        <v>0</v>
      </c>
      <c r="M532" t="n">
        <v>0</v>
      </c>
      <c r="N532" t="n">
        <v>0</v>
      </c>
      <c r="O532" t="n">
        <v>0</v>
      </c>
      <c r="P532" t="n">
        <v>0</v>
      </c>
      <c r="Q532" t="n">
        <v>0</v>
      </c>
      <c r="R532" s="2" t="inlineStr"/>
    </row>
    <row r="533" ht="15" customHeight="1">
      <c r="A533" t="inlineStr">
        <is>
          <t>A 66471-2021</t>
        </is>
      </c>
      <c r="B533" s="1" t="n">
        <v>44518</v>
      </c>
      <c r="C533" s="1" t="n">
        <v>46170</v>
      </c>
      <c r="D533" t="inlineStr">
        <is>
          <t>JÄMTLANDS LÄN</t>
        </is>
      </c>
      <c r="E533" t="inlineStr">
        <is>
          <t>RAGUNDA</t>
        </is>
      </c>
      <c r="G533" t="n">
        <v>13.4</v>
      </c>
      <c r="H533" t="n">
        <v>0</v>
      </c>
      <c r="I533" t="n">
        <v>0</v>
      </c>
      <c r="J533" t="n">
        <v>0</v>
      </c>
      <c r="K533" t="n">
        <v>0</v>
      </c>
      <c r="L533" t="n">
        <v>0</v>
      </c>
      <c r="M533" t="n">
        <v>0</v>
      </c>
      <c r="N533" t="n">
        <v>0</v>
      </c>
      <c r="O533" t="n">
        <v>0</v>
      </c>
      <c r="P533" t="n">
        <v>0</v>
      </c>
      <c r="Q533" t="n">
        <v>0</v>
      </c>
      <c r="R533" s="2" t="inlineStr"/>
    </row>
    <row r="534" ht="15" customHeight="1">
      <c r="A534" t="inlineStr">
        <is>
          <t>A 18778-2024</t>
        </is>
      </c>
      <c r="B534" s="1" t="n">
        <v>45426</v>
      </c>
      <c r="C534" s="1" t="n">
        <v>46170</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59556-2024</t>
        </is>
      </c>
      <c r="B535" s="1" t="n">
        <v>45638.63600694444</v>
      </c>
      <c r="C535" s="1" t="n">
        <v>46170</v>
      </c>
      <c r="D535" t="inlineStr">
        <is>
          <t>JÄMTLANDS LÄN</t>
        </is>
      </c>
      <c r="E535" t="inlineStr">
        <is>
          <t>RAGUNDA</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51396-2024</t>
        </is>
      </c>
      <c r="B536" s="1" t="n">
        <v>45604.4190625</v>
      </c>
      <c r="C536" s="1" t="n">
        <v>46170</v>
      </c>
      <c r="D536" t="inlineStr">
        <is>
          <t>JÄMTLANDS LÄN</t>
        </is>
      </c>
      <c r="E536" t="inlineStr">
        <is>
          <t>RAGUNDA</t>
        </is>
      </c>
      <c r="G536" t="n">
        <v>0.8</v>
      </c>
      <c r="H536" t="n">
        <v>0</v>
      </c>
      <c r="I536" t="n">
        <v>0</v>
      </c>
      <c r="J536" t="n">
        <v>0</v>
      </c>
      <c r="K536" t="n">
        <v>0</v>
      </c>
      <c r="L536" t="n">
        <v>0</v>
      </c>
      <c r="M536" t="n">
        <v>0</v>
      </c>
      <c r="N536" t="n">
        <v>0</v>
      </c>
      <c r="O536" t="n">
        <v>0</v>
      </c>
      <c r="P536" t="n">
        <v>0</v>
      </c>
      <c r="Q536" t="n">
        <v>0</v>
      </c>
      <c r="R536" s="2" t="inlineStr"/>
    </row>
    <row r="537" ht="15" customHeight="1">
      <c r="A537" t="inlineStr">
        <is>
          <t>A 26640-2025</t>
        </is>
      </c>
      <c r="B537" s="1" t="n">
        <v>45810.36495370371</v>
      </c>
      <c r="C537" s="1" t="n">
        <v>46170</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52972-2025</t>
        </is>
      </c>
      <c r="B538" s="1" t="n">
        <v>45957.67783564814</v>
      </c>
      <c r="C538" s="1" t="n">
        <v>46170</v>
      </c>
      <c r="D538" t="inlineStr">
        <is>
          <t>JÄMTLANDS LÄN</t>
        </is>
      </c>
      <c r="E538" t="inlineStr">
        <is>
          <t>RAGUNDA</t>
        </is>
      </c>
      <c r="F538" t="inlineStr">
        <is>
          <t>SCA</t>
        </is>
      </c>
      <c r="G538" t="n">
        <v>53.4</v>
      </c>
      <c r="H538" t="n">
        <v>0</v>
      </c>
      <c r="I538" t="n">
        <v>0</v>
      </c>
      <c r="J538" t="n">
        <v>0</v>
      </c>
      <c r="K538" t="n">
        <v>0</v>
      </c>
      <c r="L538" t="n">
        <v>0</v>
      </c>
      <c r="M538" t="n">
        <v>0</v>
      </c>
      <c r="N538" t="n">
        <v>0</v>
      </c>
      <c r="O538" t="n">
        <v>0</v>
      </c>
      <c r="P538" t="n">
        <v>0</v>
      </c>
      <c r="Q538" t="n">
        <v>0</v>
      </c>
      <c r="R538" s="2" t="inlineStr"/>
    </row>
    <row r="539" ht="15" customHeight="1">
      <c r="A539" t="inlineStr">
        <is>
          <t>A 16529-2022</t>
        </is>
      </c>
      <c r="B539" s="1" t="n">
        <v>44671</v>
      </c>
      <c r="C539" s="1" t="n">
        <v>46170</v>
      </c>
      <c r="D539" t="inlineStr">
        <is>
          <t>JÄMTLANDS LÄN</t>
        </is>
      </c>
      <c r="E539" t="inlineStr">
        <is>
          <t>RAGUNDA</t>
        </is>
      </c>
      <c r="G539" t="n">
        <v>1.5</v>
      </c>
      <c r="H539" t="n">
        <v>0</v>
      </c>
      <c r="I539" t="n">
        <v>0</v>
      </c>
      <c r="J539" t="n">
        <v>0</v>
      </c>
      <c r="K539" t="n">
        <v>0</v>
      </c>
      <c r="L539" t="n">
        <v>0</v>
      </c>
      <c r="M539" t="n">
        <v>0</v>
      </c>
      <c r="N539" t="n">
        <v>0</v>
      </c>
      <c r="O539" t="n">
        <v>0</v>
      </c>
      <c r="P539" t="n">
        <v>0</v>
      </c>
      <c r="Q539" t="n">
        <v>0</v>
      </c>
      <c r="R539" s="2" t="inlineStr"/>
    </row>
    <row r="540" ht="15" customHeight="1">
      <c r="A540" t="inlineStr">
        <is>
          <t>A 2001-2025</t>
        </is>
      </c>
      <c r="B540" s="1" t="n">
        <v>45672.44898148148</v>
      </c>
      <c r="C540" s="1" t="n">
        <v>46170</v>
      </c>
      <c r="D540" t="inlineStr">
        <is>
          <t>JÄMTLANDS LÄN</t>
        </is>
      </c>
      <c r="E540" t="inlineStr">
        <is>
          <t>RAGUNDA</t>
        </is>
      </c>
      <c r="F540" t="inlineStr">
        <is>
          <t>SCA</t>
        </is>
      </c>
      <c r="G540" t="n">
        <v>16.2</v>
      </c>
      <c r="H540" t="n">
        <v>0</v>
      </c>
      <c r="I540" t="n">
        <v>0</v>
      </c>
      <c r="J540" t="n">
        <v>0</v>
      </c>
      <c r="K540" t="n">
        <v>0</v>
      </c>
      <c r="L540" t="n">
        <v>0</v>
      </c>
      <c r="M540" t="n">
        <v>0</v>
      </c>
      <c r="N540" t="n">
        <v>0</v>
      </c>
      <c r="O540" t="n">
        <v>0</v>
      </c>
      <c r="P540" t="n">
        <v>0</v>
      </c>
      <c r="Q540" t="n">
        <v>0</v>
      </c>
      <c r="R540" s="2" t="inlineStr"/>
    </row>
    <row r="541" ht="15" customHeight="1">
      <c r="A541" t="inlineStr">
        <is>
          <t>A 53762-2023</t>
        </is>
      </c>
      <c r="B541" s="1" t="n">
        <v>45230.96376157407</v>
      </c>
      <c r="C541" s="1" t="n">
        <v>46170</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52430-2025</t>
        </is>
      </c>
      <c r="B542" s="1" t="n">
        <v>45954.38592592593</v>
      </c>
      <c r="C542" s="1" t="n">
        <v>46170</v>
      </c>
      <c r="D542" t="inlineStr">
        <is>
          <t>JÄMTLANDS LÄN</t>
        </is>
      </c>
      <c r="E542" t="inlineStr">
        <is>
          <t>RAGUNDA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52875-2025</t>
        </is>
      </c>
      <c r="B543" s="1" t="n">
        <v>45957.53211805555</v>
      </c>
      <c r="C543" s="1" t="n">
        <v>46170</v>
      </c>
      <c r="D543" t="inlineStr">
        <is>
          <t>JÄMTLANDS LÄN</t>
        </is>
      </c>
      <c r="E543" t="inlineStr">
        <is>
          <t>RAGUNDA</t>
        </is>
      </c>
      <c r="F543" t="inlineStr">
        <is>
          <t>SCA</t>
        </is>
      </c>
      <c r="G543" t="n">
        <v>34.3</v>
      </c>
      <c r="H543" t="n">
        <v>0</v>
      </c>
      <c r="I543" t="n">
        <v>0</v>
      </c>
      <c r="J543" t="n">
        <v>0</v>
      </c>
      <c r="K543" t="n">
        <v>0</v>
      </c>
      <c r="L543" t="n">
        <v>0</v>
      </c>
      <c r="M543" t="n">
        <v>0</v>
      </c>
      <c r="N543" t="n">
        <v>0</v>
      </c>
      <c r="O543" t="n">
        <v>0</v>
      </c>
      <c r="P543" t="n">
        <v>0</v>
      </c>
      <c r="Q543" t="n">
        <v>0</v>
      </c>
      <c r="R543" s="2" t="inlineStr"/>
    </row>
    <row r="544" ht="15" customHeight="1">
      <c r="A544" t="inlineStr">
        <is>
          <t>A 52394-2025</t>
        </is>
      </c>
      <c r="B544" s="1" t="n">
        <v>45954.34466435185</v>
      </c>
      <c r="C544" s="1" t="n">
        <v>46170</v>
      </c>
      <c r="D544" t="inlineStr">
        <is>
          <t>JÄMTLANDS LÄN</t>
        </is>
      </c>
      <c r="E544" t="inlineStr">
        <is>
          <t>RAGUNDA</t>
        </is>
      </c>
      <c r="F544" t="inlineStr">
        <is>
          <t>SCA</t>
        </is>
      </c>
      <c r="G544" t="n">
        <v>53.8</v>
      </c>
      <c r="H544" t="n">
        <v>0</v>
      </c>
      <c r="I544" t="n">
        <v>0</v>
      </c>
      <c r="J544" t="n">
        <v>0</v>
      </c>
      <c r="K544" t="n">
        <v>0</v>
      </c>
      <c r="L544" t="n">
        <v>0</v>
      </c>
      <c r="M544" t="n">
        <v>0</v>
      </c>
      <c r="N544" t="n">
        <v>0</v>
      </c>
      <c r="O544" t="n">
        <v>0</v>
      </c>
      <c r="P544" t="n">
        <v>0</v>
      </c>
      <c r="Q544" t="n">
        <v>0</v>
      </c>
      <c r="R544" s="2" t="inlineStr"/>
    </row>
    <row r="545" ht="15" customHeight="1">
      <c r="A545" t="inlineStr">
        <is>
          <t>A 52395-2025</t>
        </is>
      </c>
      <c r="B545" s="1" t="n">
        <v>45954.34487268519</v>
      </c>
      <c r="C545" s="1" t="n">
        <v>46170</v>
      </c>
      <c r="D545" t="inlineStr">
        <is>
          <t>JÄMTLANDS LÄN</t>
        </is>
      </c>
      <c r="E545" t="inlineStr">
        <is>
          <t>RAGUNDA</t>
        </is>
      </c>
      <c r="F545" t="inlineStr">
        <is>
          <t>SCA</t>
        </is>
      </c>
      <c r="G545" t="n">
        <v>14.2</v>
      </c>
      <c r="H545" t="n">
        <v>0</v>
      </c>
      <c r="I545" t="n">
        <v>0</v>
      </c>
      <c r="J545" t="n">
        <v>0</v>
      </c>
      <c r="K545" t="n">
        <v>0</v>
      </c>
      <c r="L545" t="n">
        <v>0</v>
      </c>
      <c r="M545" t="n">
        <v>0</v>
      </c>
      <c r="N545" t="n">
        <v>0</v>
      </c>
      <c r="O545" t="n">
        <v>0</v>
      </c>
      <c r="P545" t="n">
        <v>0</v>
      </c>
      <c r="Q545" t="n">
        <v>0</v>
      </c>
      <c r="R545" s="2" t="inlineStr"/>
    </row>
    <row r="546" ht="15" customHeight="1">
      <c r="A546" t="inlineStr">
        <is>
          <t>A 42269-2025</t>
        </is>
      </c>
      <c r="B546" s="1" t="n">
        <v>45904.60431712963</v>
      </c>
      <c r="C546" s="1" t="n">
        <v>46170</v>
      </c>
      <c r="D546" t="inlineStr">
        <is>
          <t>JÄMTLANDS LÄN</t>
        </is>
      </c>
      <c r="E546" t="inlineStr">
        <is>
          <t>RAGUNDA</t>
        </is>
      </c>
      <c r="G546" t="n">
        <v>4.3</v>
      </c>
      <c r="H546" t="n">
        <v>0</v>
      </c>
      <c r="I546" t="n">
        <v>0</v>
      </c>
      <c r="J546" t="n">
        <v>0</v>
      </c>
      <c r="K546" t="n">
        <v>0</v>
      </c>
      <c r="L546" t="n">
        <v>0</v>
      </c>
      <c r="M546" t="n">
        <v>0</v>
      </c>
      <c r="N546" t="n">
        <v>0</v>
      </c>
      <c r="O546" t="n">
        <v>0</v>
      </c>
      <c r="P546" t="n">
        <v>0</v>
      </c>
      <c r="Q546" t="n">
        <v>0</v>
      </c>
      <c r="R546" s="2" t="inlineStr"/>
    </row>
    <row r="547" ht="15" customHeight="1">
      <c r="A547" t="inlineStr">
        <is>
          <t>A 53211-2025</t>
        </is>
      </c>
      <c r="B547" s="1" t="n">
        <v>45958.59490740741</v>
      </c>
      <c r="C547" s="1" t="n">
        <v>46170</v>
      </c>
      <c r="D547" t="inlineStr">
        <is>
          <t>JÄMTLANDS LÄN</t>
        </is>
      </c>
      <c r="E547" t="inlineStr">
        <is>
          <t>RAGUNDA</t>
        </is>
      </c>
      <c r="F547" t="inlineStr">
        <is>
          <t>SCA</t>
        </is>
      </c>
      <c r="G547" t="n">
        <v>7.4</v>
      </c>
      <c r="H547" t="n">
        <v>0</v>
      </c>
      <c r="I547" t="n">
        <v>0</v>
      </c>
      <c r="J547" t="n">
        <v>0</v>
      </c>
      <c r="K547" t="n">
        <v>0</v>
      </c>
      <c r="L547" t="n">
        <v>0</v>
      </c>
      <c r="M547" t="n">
        <v>0</v>
      </c>
      <c r="N547" t="n">
        <v>0</v>
      </c>
      <c r="O547" t="n">
        <v>0</v>
      </c>
      <c r="P547" t="n">
        <v>0</v>
      </c>
      <c r="Q547" t="n">
        <v>0</v>
      </c>
      <c r="R547" s="2" t="inlineStr"/>
    </row>
    <row r="548" ht="15" customHeight="1">
      <c r="A548" t="inlineStr">
        <is>
          <t>A 53032-2025</t>
        </is>
      </c>
      <c r="B548" s="1" t="n">
        <v>45958.34462962963</v>
      </c>
      <c r="C548" s="1" t="n">
        <v>46170</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53075-2025</t>
        </is>
      </c>
      <c r="B549" s="1" t="n">
        <v>45958.38584490741</v>
      </c>
      <c r="C549" s="1" t="n">
        <v>46170</v>
      </c>
      <c r="D549" t="inlineStr">
        <is>
          <t>JÄMTLANDS LÄN</t>
        </is>
      </c>
      <c r="E549" t="inlineStr">
        <is>
          <t>RAGUNDA</t>
        </is>
      </c>
      <c r="F549" t="inlineStr">
        <is>
          <t>SCA</t>
        </is>
      </c>
      <c r="G549" t="n">
        <v>28.9</v>
      </c>
      <c r="H549" t="n">
        <v>0</v>
      </c>
      <c r="I549" t="n">
        <v>0</v>
      </c>
      <c r="J549" t="n">
        <v>0</v>
      </c>
      <c r="K549" t="n">
        <v>0</v>
      </c>
      <c r="L549" t="n">
        <v>0</v>
      </c>
      <c r="M549" t="n">
        <v>0</v>
      </c>
      <c r="N549" t="n">
        <v>0</v>
      </c>
      <c r="O549" t="n">
        <v>0</v>
      </c>
      <c r="P549" t="n">
        <v>0</v>
      </c>
      <c r="Q549" t="n">
        <v>0</v>
      </c>
      <c r="R549" s="2" t="inlineStr"/>
    </row>
    <row r="550" ht="15" customHeight="1">
      <c r="A550" t="inlineStr">
        <is>
          <t>A 19089-2024</t>
        </is>
      </c>
      <c r="B550" s="1" t="n">
        <v>45428.00471064815</v>
      </c>
      <c r="C550" s="1" t="n">
        <v>46170</v>
      </c>
      <c r="D550" t="inlineStr">
        <is>
          <t>JÄMTLANDS LÄN</t>
        </is>
      </c>
      <c r="E550" t="inlineStr">
        <is>
          <t>RAGUNDA</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52578-2025</t>
        </is>
      </c>
      <c r="B551" s="1" t="n">
        <v>45954.61508101852</v>
      </c>
      <c r="C551" s="1" t="n">
        <v>46170</v>
      </c>
      <c r="D551" t="inlineStr">
        <is>
          <t>JÄMTLANDS LÄN</t>
        </is>
      </c>
      <c r="E551" t="inlineStr">
        <is>
          <t>RAGUNDA</t>
        </is>
      </c>
      <c r="F551" t="inlineStr">
        <is>
          <t>SCA</t>
        </is>
      </c>
      <c r="G551" t="n">
        <v>25.2</v>
      </c>
      <c r="H551" t="n">
        <v>0</v>
      </c>
      <c r="I551" t="n">
        <v>0</v>
      </c>
      <c r="J551" t="n">
        <v>0</v>
      </c>
      <c r="K551" t="n">
        <v>0</v>
      </c>
      <c r="L551" t="n">
        <v>0</v>
      </c>
      <c r="M551" t="n">
        <v>0</v>
      </c>
      <c r="N551" t="n">
        <v>0</v>
      </c>
      <c r="O551" t="n">
        <v>0</v>
      </c>
      <c r="P551" t="n">
        <v>0</v>
      </c>
      <c r="Q551" t="n">
        <v>0</v>
      </c>
      <c r="R551" s="2" t="inlineStr"/>
    </row>
    <row r="552" ht="15" customHeight="1">
      <c r="A552" t="inlineStr">
        <is>
          <t>A 61934-2022</t>
        </is>
      </c>
      <c r="B552" s="1" t="n">
        <v>44917</v>
      </c>
      <c r="C552" s="1" t="n">
        <v>46170</v>
      </c>
      <c r="D552" t="inlineStr">
        <is>
          <t>JÄMTLANDS LÄN</t>
        </is>
      </c>
      <c r="E552" t="inlineStr">
        <is>
          <t>RAGUNDA</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8678-2023</t>
        </is>
      </c>
      <c r="B553" s="1" t="n">
        <v>44977.98660879629</v>
      </c>
      <c r="C553" s="1" t="n">
        <v>46170</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53076-2025</t>
        </is>
      </c>
      <c r="B554" s="1" t="n">
        <v>45958.38604166666</v>
      </c>
      <c r="C554" s="1" t="n">
        <v>46170</v>
      </c>
      <c r="D554" t="inlineStr">
        <is>
          <t>JÄMTLANDS LÄN</t>
        </is>
      </c>
      <c r="E554" t="inlineStr">
        <is>
          <t>RAGUNDA</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25304-2023</t>
        </is>
      </c>
      <c r="B555" s="1" t="n">
        <v>45086</v>
      </c>
      <c r="C555" s="1" t="n">
        <v>46170</v>
      </c>
      <c r="D555" t="inlineStr">
        <is>
          <t>JÄMTLANDS LÄN</t>
        </is>
      </c>
      <c r="E555" t="inlineStr">
        <is>
          <t>RAGUNDA</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53986-2025</t>
        </is>
      </c>
      <c r="B556" s="1" t="n">
        <v>45961.57381944444</v>
      </c>
      <c r="C556" s="1" t="n">
        <v>46170</v>
      </c>
      <c r="D556" t="inlineStr">
        <is>
          <t>JÄMTLANDS LÄN</t>
        </is>
      </c>
      <c r="E556" t="inlineStr">
        <is>
          <t>RAGUNDA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53973-2025</t>
        </is>
      </c>
      <c r="B557" s="1" t="n">
        <v>45961.55246527777</v>
      </c>
      <c r="C557" s="1" t="n">
        <v>46170</v>
      </c>
      <c r="D557" t="inlineStr">
        <is>
          <t>JÄMTLANDS LÄN</t>
        </is>
      </c>
      <c r="E557" t="inlineStr">
        <is>
          <t>RAGUNDA</t>
        </is>
      </c>
      <c r="G557" t="n">
        <v>2.4</v>
      </c>
      <c r="H557" t="n">
        <v>0</v>
      </c>
      <c r="I557" t="n">
        <v>0</v>
      </c>
      <c r="J557" t="n">
        <v>0</v>
      </c>
      <c r="K557" t="n">
        <v>0</v>
      </c>
      <c r="L557" t="n">
        <v>0</v>
      </c>
      <c r="M557" t="n">
        <v>0</v>
      </c>
      <c r="N557" t="n">
        <v>0</v>
      </c>
      <c r="O557" t="n">
        <v>0</v>
      </c>
      <c r="P557" t="n">
        <v>0</v>
      </c>
      <c r="Q557" t="n">
        <v>0</v>
      </c>
      <c r="R557" s="2" t="inlineStr"/>
    </row>
    <row r="558" ht="15" customHeight="1">
      <c r="A558" t="inlineStr">
        <is>
          <t>A 53549-2025</t>
        </is>
      </c>
      <c r="B558" s="1" t="n">
        <v>45960.38576388889</v>
      </c>
      <c r="C558" s="1" t="n">
        <v>46170</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28742-2023</t>
        </is>
      </c>
      <c r="B559" s="1" t="n">
        <v>45103</v>
      </c>
      <c r="C559" s="1" t="n">
        <v>46170</v>
      </c>
      <c r="D559" t="inlineStr">
        <is>
          <t>JÄMTLANDS LÄN</t>
        </is>
      </c>
      <c r="E559" t="inlineStr">
        <is>
          <t>RAGUNDA</t>
        </is>
      </c>
      <c r="G559" t="n">
        <v>1.8</v>
      </c>
      <c r="H559" t="n">
        <v>0</v>
      </c>
      <c r="I559" t="n">
        <v>0</v>
      </c>
      <c r="J559" t="n">
        <v>0</v>
      </c>
      <c r="K559" t="n">
        <v>0</v>
      </c>
      <c r="L559" t="n">
        <v>0</v>
      </c>
      <c r="M559" t="n">
        <v>0</v>
      </c>
      <c r="N559" t="n">
        <v>0</v>
      </c>
      <c r="O559" t="n">
        <v>0</v>
      </c>
      <c r="P559" t="n">
        <v>0</v>
      </c>
      <c r="Q559" t="n">
        <v>0</v>
      </c>
      <c r="R559" s="2" t="inlineStr"/>
    </row>
    <row r="560" ht="15" customHeight="1">
      <c r="A560" t="inlineStr">
        <is>
          <t>A 53975-2025</t>
        </is>
      </c>
      <c r="B560" s="1" t="n">
        <v>45961.55277777778</v>
      </c>
      <c r="C560" s="1" t="n">
        <v>46170</v>
      </c>
      <c r="D560" t="inlineStr">
        <is>
          <t>JÄMTLANDS LÄN</t>
        </is>
      </c>
      <c r="E560" t="inlineStr">
        <is>
          <t>RAGUNDA</t>
        </is>
      </c>
      <c r="F560" t="inlineStr">
        <is>
          <t>SCA</t>
        </is>
      </c>
      <c r="G560" t="n">
        <v>21.9</v>
      </c>
      <c r="H560" t="n">
        <v>0</v>
      </c>
      <c r="I560" t="n">
        <v>0</v>
      </c>
      <c r="J560" t="n">
        <v>0</v>
      </c>
      <c r="K560" t="n">
        <v>0</v>
      </c>
      <c r="L560" t="n">
        <v>0</v>
      </c>
      <c r="M560" t="n">
        <v>0</v>
      </c>
      <c r="N560" t="n">
        <v>0</v>
      </c>
      <c r="O560" t="n">
        <v>0</v>
      </c>
      <c r="P560" t="n">
        <v>0</v>
      </c>
      <c r="Q560" t="n">
        <v>0</v>
      </c>
      <c r="R560" s="2" t="inlineStr"/>
    </row>
    <row r="561" ht="15" customHeight="1">
      <c r="A561" t="inlineStr">
        <is>
          <t>A 17323-2025</t>
        </is>
      </c>
      <c r="B561" s="1" t="n">
        <v>45756.63601851852</v>
      </c>
      <c r="C561" s="1" t="n">
        <v>46170</v>
      </c>
      <c r="D561" t="inlineStr">
        <is>
          <t>JÄMTLANDS LÄN</t>
        </is>
      </c>
      <c r="E561" t="inlineStr">
        <is>
          <t>RAGUNDA</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53726-2025</t>
        </is>
      </c>
      <c r="B562" s="1" t="n">
        <v>45960.63597222222</v>
      </c>
      <c r="C562" s="1" t="n">
        <v>46170</v>
      </c>
      <c r="D562" t="inlineStr">
        <is>
          <t>JÄMTLANDS LÄN</t>
        </is>
      </c>
      <c r="E562" t="inlineStr">
        <is>
          <t>RAGUNDA</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53748-2025</t>
        </is>
      </c>
      <c r="B563" s="1" t="n">
        <v>45960.65673611111</v>
      </c>
      <c r="C563" s="1" t="n">
        <v>46170</v>
      </c>
      <c r="D563" t="inlineStr">
        <is>
          <t>JÄMTLANDS LÄN</t>
        </is>
      </c>
      <c r="E563" t="inlineStr">
        <is>
          <t>RAGUNDA</t>
        </is>
      </c>
      <c r="F563" t="inlineStr">
        <is>
          <t>SCA</t>
        </is>
      </c>
      <c r="G563" t="n">
        <v>14.9</v>
      </c>
      <c r="H563" t="n">
        <v>0</v>
      </c>
      <c r="I563" t="n">
        <v>0</v>
      </c>
      <c r="J563" t="n">
        <v>0</v>
      </c>
      <c r="K563" t="n">
        <v>0</v>
      </c>
      <c r="L563" t="n">
        <v>0</v>
      </c>
      <c r="M563" t="n">
        <v>0</v>
      </c>
      <c r="N563" t="n">
        <v>0</v>
      </c>
      <c r="O563" t="n">
        <v>0</v>
      </c>
      <c r="P563" t="n">
        <v>0</v>
      </c>
      <c r="Q563" t="n">
        <v>0</v>
      </c>
      <c r="R563" s="2" t="inlineStr"/>
    </row>
    <row r="564" ht="15" customHeight="1">
      <c r="A564" t="inlineStr">
        <is>
          <t>A 27510-2025</t>
        </is>
      </c>
      <c r="B564" s="1" t="n">
        <v>45813.42790509259</v>
      </c>
      <c r="C564" s="1" t="n">
        <v>46170</v>
      </c>
      <c r="D564" t="inlineStr">
        <is>
          <t>JÄMTLANDS LÄN</t>
        </is>
      </c>
      <c r="E564" t="inlineStr">
        <is>
          <t>RAGUNDA</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33763-2025</t>
        </is>
      </c>
      <c r="B565" s="1" t="n">
        <v>45842.38579861111</v>
      </c>
      <c r="C565" s="1" t="n">
        <v>46170</v>
      </c>
      <c r="D565" t="inlineStr">
        <is>
          <t>JÄMTLANDS LÄN</t>
        </is>
      </c>
      <c r="E565" t="inlineStr">
        <is>
          <t>RAGUNDA</t>
        </is>
      </c>
      <c r="F565" t="inlineStr">
        <is>
          <t>SCA</t>
        </is>
      </c>
      <c r="G565" t="n">
        <v>13.4</v>
      </c>
      <c r="H565" t="n">
        <v>0</v>
      </c>
      <c r="I565" t="n">
        <v>0</v>
      </c>
      <c r="J565" t="n">
        <v>0</v>
      </c>
      <c r="K565" t="n">
        <v>0</v>
      </c>
      <c r="L565" t="n">
        <v>0</v>
      </c>
      <c r="M565" t="n">
        <v>0</v>
      </c>
      <c r="N565" t="n">
        <v>0</v>
      </c>
      <c r="O565" t="n">
        <v>0</v>
      </c>
      <c r="P565" t="n">
        <v>0</v>
      </c>
      <c r="Q565" t="n">
        <v>0</v>
      </c>
      <c r="R565" s="2" t="inlineStr"/>
    </row>
    <row r="566" ht="15" customHeight="1">
      <c r="A566" t="inlineStr">
        <is>
          <t>A 19404-2025</t>
        </is>
      </c>
      <c r="B566" s="1" t="n">
        <v>45769.67802083334</v>
      </c>
      <c r="C566" s="1" t="n">
        <v>46170</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c r="U566">
        <f>HYPERLINK("https://klasma.github.io/Logging_2303/knärot/A 19404-2025 karta knärot.png", "A 19404-2025")</f>
        <v/>
      </c>
      <c r="V566">
        <f>HYPERLINK("https://klasma.github.io/Logging_2303/klagomål/A 19404-2025 FSC-klagomål.docx", "A 19404-2025")</f>
        <v/>
      </c>
      <c r="W566">
        <f>HYPERLINK("https://klasma.github.io/Logging_2303/klagomålsmail/A 19404-2025 FSC-klagomål mail.docx", "A 19404-2025")</f>
        <v/>
      </c>
      <c r="X566">
        <f>HYPERLINK("https://klasma.github.io/Logging_2303/tillsyn/A 19404-2025 tillsynsbegäran.docx", "A 19404-2025")</f>
        <v/>
      </c>
      <c r="Y566">
        <f>HYPERLINK("https://klasma.github.io/Logging_2303/tillsynsmail/A 19404-2025 tillsynsbegäran mail.docx", "A 19404-2025")</f>
        <v/>
      </c>
    </row>
    <row r="567" ht="15" customHeight="1">
      <c r="A567" t="inlineStr">
        <is>
          <t>A 53765-2025</t>
        </is>
      </c>
      <c r="B567" s="1" t="n">
        <v>45960.67753472222</v>
      </c>
      <c r="C567" s="1" t="n">
        <v>46170</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53951-2025</t>
        </is>
      </c>
      <c r="B568" s="1" t="n">
        <v>45961.50200231482</v>
      </c>
      <c r="C568" s="1" t="n">
        <v>46170</v>
      </c>
      <c r="D568" t="inlineStr">
        <is>
          <t>JÄMTLANDS LÄN</t>
        </is>
      </c>
      <c r="E568" t="inlineStr">
        <is>
          <t>RAGUNDA</t>
        </is>
      </c>
      <c r="G568" t="n">
        <v>1.8</v>
      </c>
      <c r="H568" t="n">
        <v>0</v>
      </c>
      <c r="I568" t="n">
        <v>0</v>
      </c>
      <c r="J568" t="n">
        <v>0</v>
      </c>
      <c r="K568" t="n">
        <v>0</v>
      </c>
      <c r="L568" t="n">
        <v>0</v>
      </c>
      <c r="M568" t="n">
        <v>0</v>
      </c>
      <c r="N568" t="n">
        <v>0</v>
      </c>
      <c r="O568" t="n">
        <v>0</v>
      </c>
      <c r="P568" t="n">
        <v>0</v>
      </c>
      <c r="Q568" t="n">
        <v>0</v>
      </c>
      <c r="R568" s="2" t="inlineStr"/>
    </row>
    <row r="569" ht="15" customHeight="1">
      <c r="A569" t="inlineStr">
        <is>
          <t>A 53948-2025</t>
        </is>
      </c>
      <c r="B569" s="1" t="n">
        <v>45961.50033564815</v>
      </c>
      <c r="C569" s="1" t="n">
        <v>46170</v>
      </c>
      <c r="D569" t="inlineStr">
        <is>
          <t>JÄMTLANDS LÄN</t>
        </is>
      </c>
      <c r="E569" t="inlineStr">
        <is>
          <t>RAGUNDA</t>
        </is>
      </c>
      <c r="G569" t="n">
        <v>7.9</v>
      </c>
      <c r="H569" t="n">
        <v>0</v>
      </c>
      <c r="I569" t="n">
        <v>0</v>
      </c>
      <c r="J569" t="n">
        <v>0</v>
      </c>
      <c r="K569" t="n">
        <v>0</v>
      </c>
      <c r="L569" t="n">
        <v>0</v>
      </c>
      <c r="M569" t="n">
        <v>0</v>
      </c>
      <c r="N569" t="n">
        <v>0</v>
      </c>
      <c r="O569" t="n">
        <v>0</v>
      </c>
      <c r="P569" t="n">
        <v>0</v>
      </c>
      <c r="Q569" t="n">
        <v>0</v>
      </c>
      <c r="R569" s="2" t="inlineStr"/>
    </row>
    <row r="570" ht="15" customHeight="1">
      <c r="A570" t="inlineStr">
        <is>
          <t>A 54195-2025</t>
        </is>
      </c>
      <c r="B570" s="1" t="n">
        <v>45964.57413194444</v>
      </c>
      <c r="C570" s="1" t="n">
        <v>46170</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16364-2023</t>
        </is>
      </c>
      <c r="B571" s="1" t="n">
        <v>45028</v>
      </c>
      <c r="C571" s="1" t="n">
        <v>46170</v>
      </c>
      <c r="D571" t="inlineStr">
        <is>
          <t>JÄMTLANDS LÄN</t>
        </is>
      </c>
      <c r="E571" t="inlineStr">
        <is>
          <t>RAGUNDA</t>
        </is>
      </c>
      <c r="G571" t="n">
        <v>0.5</v>
      </c>
      <c r="H571" t="n">
        <v>0</v>
      </c>
      <c r="I571" t="n">
        <v>0</v>
      </c>
      <c r="J571" t="n">
        <v>0</v>
      </c>
      <c r="K571" t="n">
        <v>0</v>
      </c>
      <c r="L571" t="n">
        <v>0</v>
      </c>
      <c r="M571" t="n">
        <v>0</v>
      </c>
      <c r="N571" t="n">
        <v>0</v>
      </c>
      <c r="O571" t="n">
        <v>0</v>
      </c>
      <c r="P571" t="n">
        <v>0</v>
      </c>
      <c r="Q571" t="n">
        <v>0</v>
      </c>
      <c r="R571" s="2" t="inlineStr"/>
    </row>
    <row r="572" ht="15" customHeight="1">
      <c r="A572" t="inlineStr">
        <is>
          <t>A 59136-2023</t>
        </is>
      </c>
      <c r="B572" s="1" t="n">
        <v>45251</v>
      </c>
      <c r="C572" s="1" t="n">
        <v>46170</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43177-2025</t>
        </is>
      </c>
      <c r="B573" s="1" t="n">
        <v>45910.40667824074</v>
      </c>
      <c r="C573" s="1" t="n">
        <v>46170</v>
      </c>
      <c r="D573" t="inlineStr">
        <is>
          <t>JÄMTLANDS LÄN</t>
        </is>
      </c>
      <c r="E573" t="inlineStr">
        <is>
          <t>RAGUNDA</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43181-2025</t>
        </is>
      </c>
      <c r="B574" s="1" t="n">
        <v>45910.40721064815</v>
      </c>
      <c r="C574" s="1" t="n">
        <v>46170</v>
      </c>
      <c r="D574" t="inlineStr">
        <is>
          <t>JÄMTLANDS LÄN</t>
        </is>
      </c>
      <c r="E574" t="inlineStr">
        <is>
          <t>RAGUNDA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54396-2025</t>
        </is>
      </c>
      <c r="B575" s="1" t="n">
        <v>45965.44849537037</v>
      </c>
      <c r="C575" s="1" t="n">
        <v>46170</v>
      </c>
      <c r="D575" t="inlineStr">
        <is>
          <t>JÄMTLANDS LÄN</t>
        </is>
      </c>
      <c r="E575" t="inlineStr">
        <is>
          <t>RAGUNDA</t>
        </is>
      </c>
      <c r="F575" t="inlineStr">
        <is>
          <t>SCA</t>
        </is>
      </c>
      <c r="G575" t="n">
        <v>35.2</v>
      </c>
      <c r="H575" t="n">
        <v>0</v>
      </c>
      <c r="I575" t="n">
        <v>0</v>
      </c>
      <c r="J575" t="n">
        <v>0</v>
      </c>
      <c r="K575" t="n">
        <v>0</v>
      </c>
      <c r="L575" t="n">
        <v>0</v>
      </c>
      <c r="M575" t="n">
        <v>0</v>
      </c>
      <c r="N575" t="n">
        <v>0</v>
      </c>
      <c r="O575" t="n">
        <v>0</v>
      </c>
      <c r="P575" t="n">
        <v>0</v>
      </c>
      <c r="Q575" t="n">
        <v>0</v>
      </c>
      <c r="R575" s="2" t="inlineStr"/>
    </row>
    <row r="576" ht="15" customHeight="1">
      <c r="A576" t="inlineStr">
        <is>
          <t>A 18989-2025</t>
        </is>
      </c>
      <c r="B576" s="1" t="n">
        <v>45764</v>
      </c>
      <c r="C576" s="1" t="n">
        <v>46170</v>
      </c>
      <c r="D576" t="inlineStr">
        <is>
          <t>JÄMTLANDS LÄN</t>
        </is>
      </c>
      <c r="E576" t="inlineStr">
        <is>
          <t>RAGUNDA</t>
        </is>
      </c>
      <c r="G576" t="n">
        <v>0.9</v>
      </c>
      <c r="H576" t="n">
        <v>0</v>
      </c>
      <c r="I576" t="n">
        <v>0</v>
      </c>
      <c r="J576" t="n">
        <v>0</v>
      </c>
      <c r="K576" t="n">
        <v>0</v>
      </c>
      <c r="L576" t="n">
        <v>0</v>
      </c>
      <c r="M576" t="n">
        <v>0</v>
      </c>
      <c r="N576" t="n">
        <v>0</v>
      </c>
      <c r="O576" t="n">
        <v>0</v>
      </c>
      <c r="P576" t="n">
        <v>0</v>
      </c>
      <c r="Q576" t="n">
        <v>0</v>
      </c>
      <c r="R576" s="2" t="inlineStr"/>
    </row>
    <row r="577" ht="15" customHeight="1">
      <c r="A577" t="inlineStr">
        <is>
          <t>A 43330-2025</t>
        </is>
      </c>
      <c r="B577" s="1" t="n">
        <v>45910.67766203704</v>
      </c>
      <c r="C577" s="1" t="n">
        <v>46170</v>
      </c>
      <c r="D577" t="inlineStr">
        <is>
          <t>JÄMTLANDS LÄN</t>
        </is>
      </c>
      <c r="E577" t="inlineStr">
        <is>
          <t>RAGUNDA</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49659-2023</t>
        </is>
      </c>
      <c r="B578" s="1" t="n">
        <v>45211.95134259259</v>
      </c>
      <c r="C578" s="1" t="n">
        <v>46170</v>
      </c>
      <c r="D578" t="inlineStr">
        <is>
          <t>JÄMTLANDS LÄN</t>
        </is>
      </c>
      <c r="E578" t="inlineStr">
        <is>
          <t>RAGUNDA</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50521-2024</t>
        </is>
      </c>
      <c r="B579" s="1" t="n">
        <v>45601.55331018518</v>
      </c>
      <c r="C579" s="1" t="n">
        <v>46170</v>
      </c>
      <c r="D579" t="inlineStr">
        <is>
          <t>JÄMTLANDS LÄN</t>
        </is>
      </c>
      <c r="E579" t="inlineStr">
        <is>
          <t>RAGUNDA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4916-2025</t>
        </is>
      </c>
      <c r="B580" s="1" t="n">
        <v>45688.68196759259</v>
      </c>
      <c r="C580" s="1" t="n">
        <v>46170</v>
      </c>
      <c r="D580" t="inlineStr">
        <is>
          <t>JÄMTLANDS LÄN</t>
        </is>
      </c>
      <c r="E580" t="inlineStr">
        <is>
          <t>RAGUNDA</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59557-2023</t>
        </is>
      </c>
      <c r="B581" s="1" t="n">
        <v>45253</v>
      </c>
      <c r="C581" s="1" t="n">
        <v>46170</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43776-2025</t>
        </is>
      </c>
      <c r="B582" s="1" t="n">
        <v>45912.51086805556</v>
      </c>
      <c r="C582" s="1" t="n">
        <v>46170</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43971-2025</t>
        </is>
      </c>
      <c r="B583" s="1" t="n">
        <v>45915.40694444445</v>
      </c>
      <c r="C583" s="1" t="n">
        <v>46170</v>
      </c>
      <c r="D583" t="inlineStr">
        <is>
          <t>JÄMTLANDS LÄN</t>
        </is>
      </c>
      <c r="E583" t="inlineStr">
        <is>
          <t>RAGUNDA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57112-2024</t>
        </is>
      </c>
      <c r="B584" s="1" t="n">
        <v>45629.36486111111</v>
      </c>
      <c r="C584" s="1" t="n">
        <v>46170</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43804-2025</t>
        </is>
      </c>
      <c r="B585" s="1" t="n">
        <v>45912.57373842593</v>
      </c>
      <c r="C585" s="1" t="n">
        <v>46170</v>
      </c>
      <c r="D585" t="inlineStr">
        <is>
          <t>JÄMTLANDS LÄN</t>
        </is>
      </c>
      <c r="E585" t="inlineStr">
        <is>
          <t>RAGUNDA</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53136-2024</t>
        </is>
      </c>
      <c r="B586" s="1" t="n">
        <v>45611.5953125</v>
      </c>
      <c r="C586" s="1" t="n">
        <v>46170</v>
      </c>
      <c r="D586" t="inlineStr">
        <is>
          <t>JÄMTLANDS LÄN</t>
        </is>
      </c>
      <c r="E586" t="inlineStr">
        <is>
          <t>RAGUNDA</t>
        </is>
      </c>
      <c r="G586" t="n">
        <v>3.8</v>
      </c>
      <c r="H586" t="n">
        <v>0</v>
      </c>
      <c r="I586" t="n">
        <v>0</v>
      </c>
      <c r="J586" t="n">
        <v>0</v>
      </c>
      <c r="K586" t="n">
        <v>0</v>
      </c>
      <c r="L586" t="n">
        <v>0</v>
      </c>
      <c r="M586" t="n">
        <v>0</v>
      </c>
      <c r="N586" t="n">
        <v>0</v>
      </c>
      <c r="O586" t="n">
        <v>0</v>
      </c>
      <c r="P586" t="n">
        <v>0</v>
      </c>
      <c r="Q586" t="n">
        <v>0</v>
      </c>
      <c r="R586" s="2" t="inlineStr"/>
    </row>
    <row r="587" ht="15" customHeight="1">
      <c r="A587" t="inlineStr">
        <is>
          <t>A 33621-2023</t>
        </is>
      </c>
      <c r="B587" s="1" t="n">
        <v>45119</v>
      </c>
      <c r="C587" s="1" t="n">
        <v>46170</v>
      </c>
      <c r="D587" t="inlineStr">
        <is>
          <t>JÄMTLANDS LÄN</t>
        </is>
      </c>
      <c r="E587" t="inlineStr">
        <is>
          <t>RAGUNDA</t>
        </is>
      </c>
      <c r="G587" t="n">
        <v>0.5</v>
      </c>
      <c r="H587" t="n">
        <v>0</v>
      </c>
      <c r="I587" t="n">
        <v>0</v>
      </c>
      <c r="J587" t="n">
        <v>0</v>
      </c>
      <c r="K587" t="n">
        <v>0</v>
      </c>
      <c r="L587" t="n">
        <v>0</v>
      </c>
      <c r="M587" t="n">
        <v>0</v>
      </c>
      <c r="N587" t="n">
        <v>0</v>
      </c>
      <c r="O587" t="n">
        <v>0</v>
      </c>
      <c r="P587" t="n">
        <v>0</v>
      </c>
      <c r="Q587" t="n">
        <v>0</v>
      </c>
      <c r="R587" s="2" t="inlineStr"/>
    </row>
    <row r="588" ht="15" customHeight="1">
      <c r="A588" t="inlineStr">
        <is>
          <t>A 6694-2024</t>
        </is>
      </c>
      <c r="B588" s="1" t="n">
        <v>45341.95381944445</v>
      </c>
      <c r="C588" s="1" t="n">
        <v>46170</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28637-2025</t>
        </is>
      </c>
      <c r="B589" s="1" t="n">
        <v>45819.6359375</v>
      </c>
      <c r="C589" s="1" t="n">
        <v>46170</v>
      </c>
      <c r="D589" t="inlineStr">
        <is>
          <t>JÄMTLANDS LÄN</t>
        </is>
      </c>
      <c r="E589" t="inlineStr">
        <is>
          <t>RAGUNDA</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1537-2024</t>
        </is>
      </c>
      <c r="B590" s="1" t="n">
        <v>45306</v>
      </c>
      <c r="C590" s="1" t="n">
        <v>46170</v>
      </c>
      <c r="D590" t="inlineStr">
        <is>
          <t>JÄMTLANDS LÄN</t>
        </is>
      </c>
      <c r="E590" t="inlineStr">
        <is>
          <t>RAGUNDA</t>
        </is>
      </c>
      <c r="G590" t="n">
        <v>0.2</v>
      </c>
      <c r="H590" t="n">
        <v>0</v>
      </c>
      <c r="I590" t="n">
        <v>0</v>
      </c>
      <c r="J590" t="n">
        <v>0</v>
      </c>
      <c r="K590" t="n">
        <v>0</v>
      </c>
      <c r="L590" t="n">
        <v>0</v>
      </c>
      <c r="M590" t="n">
        <v>0</v>
      </c>
      <c r="N590" t="n">
        <v>0</v>
      </c>
      <c r="O590" t="n">
        <v>0</v>
      </c>
      <c r="P590" t="n">
        <v>0</v>
      </c>
      <c r="Q590" t="n">
        <v>0</v>
      </c>
      <c r="R590" s="2" t="inlineStr"/>
    </row>
    <row r="591" ht="15" customHeight="1">
      <c r="A591" t="inlineStr">
        <is>
          <t>A 28973-2025</t>
        </is>
      </c>
      <c r="B591" s="1" t="n">
        <v>45821.34513888889</v>
      </c>
      <c r="C591" s="1" t="n">
        <v>46170</v>
      </c>
      <c r="D591" t="inlineStr">
        <is>
          <t>JÄMTLANDS LÄN</t>
        </is>
      </c>
      <c r="E591" t="inlineStr">
        <is>
          <t>RAGUNDA</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60935-2024</t>
        </is>
      </c>
      <c r="B592" s="1" t="n">
        <v>45645.36740740741</v>
      </c>
      <c r="C592" s="1" t="n">
        <v>46170</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6257-2025</t>
        </is>
      </c>
      <c r="B593" s="1" t="n">
        <v>45698.59409722222</v>
      </c>
      <c r="C593" s="1" t="n">
        <v>46170</v>
      </c>
      <c r="D593" t="inlineStr">
        <is>
          <t>JÄMTLANDS LÄN</t>
        </is>
      </c>
      <c r="E593" t="inlineStr">
        <is>
          <t>RAGUNDA</t>
        </is>
      </c>
      <c r="F593" t="inlineStr">
        <is>
          <t>SCA</t>
        </is>
      </c>
      <c r="G593" t="n">
        <v>7</v>
      </c>
      <c r="H593" t="n">
        <v>0</v>
      </c>
      <c r="I593" t="n">
        <v>0</v>
      </c>
      <c r="J593" t="n">
        <v>0</v>
      </c>
      <c r="K593" t="n">
        <v>0</v>
      </c>
      <c r="L593" t="n">
        <v>0</v>
      </c>
      <c r="M593" t="n">
        <v>0</v>
      </c>
      <c r="N593" t="n">
        <v>0</v>
      </c>
      <c r="O593" t="n">
        <v>0</v>
      </c>
      <c r="P593" t="n">
        <v>0</v>
      </c>
      <c r="Q593" t="n">
        <v>0</v>
      </c>
      <c r="R593" s="2" t="inlineStr"/>
    </row>
    <row r="594" ht="15" customHeight="1">
      <c r="A594" t="inlineStr">
        <is>
          <t>A 14074-2023</t>
        </is>
      </c>
      <c r="B594" s="1" t="n">
        <v>45009.089375</v>
      </c>
      <c r="C594" s="1" t="n">
        <v>46170</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37265-2024</t>
        </is>
      </c>
      <c r="B595" s="1" t="n">
        <v>45540.38564814815</v>
      </c>
      <c r="C595" s="1" t="n">
        <v>46170</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29731-2025</t>
        </is>
      </c>
      <c r="B596" s="1" t="n">
        <v>45825.58252314815</v>
      </c>
      <c r="C596" s="1" t="n">
        <v>46170</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29723-2025</t>
        </is>
      </c>
      <c r="B597" s="1" t="n">
        <v>45825.57675925926</v>
      </c>
      <c r="C597" s="1" t="n">
        <v>46170</v>
      </c>
      <c r="D597" t="inlineStr">
        <is>
          <t>JÄMTLANDS LÄN</t>
        </is>
      </c>
      <c r="E597" t="inlineStr">
        <is>
          <t>RAGUNDA</t>
        </is>
      </c>
      <c r="G597" t="n">
        <v>3.1</v>
      </c>
      <c r="H597" t="n">
        <v>0</v>
      </c>
      <c r="I597" t="n">
        <v>0</v>
      </c>
      <c r="J597" t="n">
        <v>0</v>
      </c>
      <c r="K597" t="n">
        <v>0</v>
      </c>
      <c r="L597" t="n">
        <v>0</v>
      </c>
      <c r="M597" t="n">
        <v>0</v>
      </c>
      <c r="N597" t="n">
        <v>0</v>
      </c>
      <c r="O597" t="n">
        <v>0</v>
      </c>
      <c r="P597" t="n">
        <v>0</v>
      </c>
      <c r="Q597" t="n">
        <v>0</v>
      </c>
      <c r="R597" s="2" t="inlineStr"/>
    </row>
    <row r="598" ht="15" customHeight="1">
      <c r="A598" t="inlineStr">
        <is>
          <t>A 54794-2025</t>
        </is>
      </c>
      <c r="B598" s="1" t="n">
        <v>45966.63592592593</v>
      </c>
      <c r="C598" s="1" t="n">
        <v>46170</v>
      </c>
      <c r="D598" t="inlineStr">
        <is>
          <t>JÄMTLANDS LÄN</t>
        </is>
      </c>
      <c r="E598" t="inlineStr">
        <is>
          <t>RAGUNDA</t>
        </is>
      </c>
      <c r="G598" t="n">
        <v>4</v>
      </c>
      <c r="H598" t="n">
        <v>0</v>
      </c>
      <c r="I598" t="n">
        <v>0</v>
      </c>
      <c r="J598" t="n">
        <v>0</v>
      </c>
      <c r="K598" t="n">
        <v>0</v>
      </c>
      <c r="L598" t="n">
        <v>0</v>
      </c>
      <c r="M598" t="n">
        <v>0</v>
      </c>
      <c r="N598" t="n">
        <v>0</v>
      </c>
      <c r="O598" t="n">
        <v>0</v>
      </c>
      <c r="P598" t="n">
        <v>0</v>
      </c>
      <c r="Q598" t="n">
        <v>0</v>
      </c>
      <c r="R598" s="2" t="inlineStr"/>
    </row>
    <row r="599" ht="15" customHeight="1">
      <c r="A599" t="inlineStr">
        <is>
          <t>A 44954-2025</t>
        </is>
      </c>
      <c r="B599" s="1" t="n">
        <v>45918.61203703703</v>
      </c>
      <c r="C599" s="1" t="n">
        <v>46170</v>
      </c>
      <c r="D599" t="inlineStr">
        <is>
          <t>JÄMTLANDS LÄN</t>
        </is>
      </c>
      <c r="E599" t="inlineStr">
        <is>
          <t>RAGUNDA</t>
        </is>
      </c>
      <c r="G599" t="n">
        <v>3</v>
      </c>
      <c r="H599" t="n">
        <v>0</v>
      </c>
      <c r="I599" t="n">
        <v>0</v>
      </c>
      <c r="J599" t="n">
        <v>0</v>
      </c>
      <c r="K599" t="n">
        <v>0</v>
      </c>
      <c r="L599" t="n">
        <v>0</v>
      </c>
      <c r="M599" t="n">
        <v>0</v>
      </c>
      <c r="N599" t="n">
        <v>0</v>
      </c>
      <c r="O599" t="n">
        <v>0</v>
      </c>
      <c r="P599" t="n">
        <v>0</v>
      </c>
      <c r="Q599" t="n">
        <v>0</v>
      </c>
      <c r="R599" s="2" t="inlineStr"/>
    </row>
    <row r="600" ht="15" customHeight="1">
      <c r="A600" t="inlineStr">
        <is>
          <t>A 18777-2024</t>
        </is>
      </c>
      <c r="B600" s="1" t="n">
        <v>45426</v>
      </c>
      <c r="C600" s="1" t="n">
        <v>46170</v>
      </c>
      <c r="D600" t="inlineStr">
        <is>
          <t>JÄMTLANDS LÄN</t>
        </is>
      </c>
      <c r="E600" t="inlineStr">
        <is>
          <t>RAGUNDA</t>
        </is>
      </c>
      <c r="G600" t="n">
        <v>1.9</v>
      </c>
      <c r="H600" t="n">
        <v>0</v>
      </c>
      <c r="I600" t="n">
        <v>0</v>
      </c>
      <c r="J600" t="n">
        <v>0</v>
      </c>
      <c r="K600" t="n">
        <v>0</v>
      </c>
      <c r="L600" t="n">
        <v>0</v>
      </c>
      <c r="M600" t="n">
        <v>0</v>
      </c>
      <c r="N600" t="n">
        <v>0</v>
      </c>
      <c r="O600" t="n">
        <v>0</v>
      </c>
      <c r="P600" t="n">
        <v>0</v>
      </c>
      <c r="Q600" t="n">
        <v>0</v>
      </c>
      <c r="R600" s="2" t="inlineStr"/>
    </row>
    <row r="601" ht="15" customHeight="1">
      <c r="A601" t="inlineStr">
        <is>
          <t>A 58564-2024</t>
        </is>
      </c>
      <c r="B601" s="1" t="n">
        <v>45635.47243055556</v>
      </c>
      <c r="C601" s="1" t="n">
        <v>46170</v>
      </c>
      <c r="D601" t="inlineStr">
        <is>
          <t>JÄMTLANDS LÄN</t>
        </is>
      </c>
      <c r="E601" t="inlineStr">
        <is>
          <t>RAGUNDA</t>
        </is>
      </c>
      <c r="G601" t="n">
        <v>2.6</v>
      </c>
      <c r="H601" t="n">
        <v>0</v>
      </c>
      <c r="I601" t="n">
        <v>0</v>
      </c>
      <c r="J601" t="n">
        <v>0</v>
      </c>
      <c r="K601" t="n">
        <v>0</v>
      </c>
      <c r="L601" t="n">
        <v>0</v>
      </c>
      <c r="M601" t="n">
        <v>0</v>
      </c>
      <c r="N601" t="n">
        <v>0</v>
      </c>
      <c r="O601" t="n">
        <v>0</v>
      </c>
      <c r="P601" t="n">
        <v>0</v>
      </c>
      <c r="Q601" t="n">
        <v>0</v>
      </c>
      <c r="R601" s="2" t="inlineStr"/>
    </row>
    <row r="602" ht="15" customHeight="1">
      <c r="A602" t="inlineStr">
        <is>
          <t>A 30088-2025</t>
        </is>
      </c>
      <c r="B602" s="1" t="n">
        <v>45826.65759259259</v>
      </c>
      <c r="C602" s="1" t="n">
        <v>46170</v>
      </c>
      <c r="D602" t="inlineStr">
        <is>
          <t>JÄMTLANDS LÄN</t>
        </is>
      </c>
      <c r="E602" t="inlineStr">
        <is>
          <t>RAGUNDA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30348-2025</t>
        </is>
      </c>
      <c r="B603" s="1" t="n">
        <v>45827.53178240741</v>
      </c>
      <c r="C603" s="1" t="n">
        <v>46170</v>
      </c>
      <c r="D603" t="inlineStr">
        <is>
          <t>JÄMTLANDS LÄN</t>
        </is>
      </c>
      <c r="E603" t="inlineStr">
        <is>
          <t>RAGUNDA</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8243-2024</t>
        </is>
      </c>
      <c r="B604" s="1" t="n">
        <v>45351.98532407408</v>
      </c>
      <c r="C604" s="1" t="n">
        <v>46170</v>
      </c>
      <c r="D604" t="inlineStr">
        <is>
          <t>JÄMTLANDS LÄN</t>
        </is>
      </c>
      <c r="E604" t="inlineStr">
        <is>
          <t>RAGUNDA</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1325-2025</t>
        </is>
      </c>
      <c r="B605" s="1" t="n">
        <v>45667.57342592593</v>
      </c>
      <c r="C605" s="1" t="n">
        <v>46170</v>
      </c>
      <c r="D605" t="inlineStr">
        <is>
          <t>JÄMTLANDS LÄN</t>
        </is>
      </c>
      <c r="E605" t="inlineStr">
        <is>
          <t>RAGUNDA</t>
        </is>
      </c>
      <c r="F605" t="inlineStr">
        <is>
          <t>SCA</t>
        </is>
      </c>
      <c r="G605" t="n">
        <v>20.2</v>
      </c>
      <c r="H605" t="n">
        <v>0</v>
      </c>
      <c r="I605" t="n">
        <v>0</v>
      </c>
      <c r="J605" t="n">
        <v>0</v>
      </c>
      <c r="K605" t="n">
        <v>0</v>
      </c>
      <c r="L605" t="n">
        <v>0</v>
      </c>
      <c r="M605" t="n">
        <v>0</v>
      </c>
      <c r="N605" t="n">
        <v>0</v>
      </c>
      <c r="O605" t="n">
        <v>0</v>
      </c>
      <c r="P605" t="n">
        <v>0</v>
      </c>
      <c r="Q605" t="n">
        <v>0</v>
      </c>
      <c r="R605" s="2" t="inlineStr"/>
    </row>
    <row r="606" ht="15" customHeight="1">
      <c r="A606" t="inlineStr">
        <is>
          <t>A 30434-2025</t>
        </is>
      </c>
      <c r="B606" s="1" t="n">
        <v>45827.63582175926</v>
      </c>
      <c r="C606" s="1" t="n">
        <v>46170</v>
      </c>
      <c r="D606" t="inlineStr">
        <is>
          <t>JÄMTLANDS LÄN</t>
        </is>
      </c>
      <c r="E606" t="inlineStr">
        <is>
          <t>RAGUNDA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18159-2023</t>
        </is>
      </c>
      <c r="B607" s="1" t="n">
        <v>45040.94277777777</v>
      </c>
      <c r="C607" s="1" t="n">
        <v>46170</v>
      </c>
      <c r="D607" t="inlineStr">
        <is>
          <t>JÄMTLANDS LÄN</t>
        </is>
      </c>
      <c r="E607" t="inlineStr">
        <is>
          <t>RAGUNDA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54820-2025</t>
        </is>
      </c>
      <c r="B608" s="1" t="n">
        <v>45966.65728009259</v>
      </c>
      <c r="C608" s="1" t="n">
        <v>46170</v>
      </c>
      <c r="D608" t="inlineStr">
        <is>
          <t>JÄMTLANDS LÄN</t>
        </is>
      </c>
      <c r="E608" t="inlineStr">
        <is>
          <t>RAGUNDA</t>
        </is>
      </c>
      <c r="G608" t="n">
        <v>15.3</v>
      </c>
      <c r="H608" t="n">
        <v>0</v>
      </c>
      <c r="I608" t="n">
        <v>0</v>
      </c>
      <c r="J608" t="n">
        <v>0</v>
      </c>
      <c r="K608" t="n">
        <v>0</v>
      </c>
      <c r="L608" t="n">
        <v>0</v>
      </c>
      <c r="M608" t="n">
        <v>0</v>
      </c>
      <c r="N608" t="n">
        <v>0</v>
      </c>
      <c r="O608" t="n">
        <v>0</v>
      </c>
      <c r="P608" t="n">
        <v>0</v>
      </c>
      <c r="Q608" t="n">
        <v>0</v>
      </c>
      <c r="R608" s="2" t="inlineStr"/>
    </row>
    <row r="609" ht="15" customHeight="1">
      <c r="A609" t="inlineStr">
        <is>
          <t>A 31463-2024</t>
        </is>
      </c>
      <c r="B609" s="1" t="n">
        <v>45505</v>
      </c>
      <c r="C609" s="1" t="n">
        <v>46170</v>
      </c>
      <c r="D609" t="inlineStr">
        <is>
          <t>JÄMTLANDS LÄN</t>
        </is>
      </c>
      <c r="E609" t="inlineStr">
        <is>
          <t>RAGUNDA</t>
        </is>
      </c>
      <c r="F609" t="inlineStr">
        <is>
          <t>SCA</t>
        </is>
      </c>
      <c r="G609" t="n">
        <v>20.3</v>
      </c>
      <c r="H609" t="n">
        <v>0</v>
      </c>
      <c r="I609" t="n">
        <v>0</v>
      </c>
      <c r="J609" t="n">
        <v>0</v>
      </c>
      <c r="K609" t="n">
        <v>0</v>
      </c>
      <c r="L609" t="n">
        <v>0</v>
      </c>
      <c r="M609" t="n">
        <v>0</v>
      </c>
      <c r="N609" t="n">
        <v>0</v>
      </c>
      <c r="O609" t="n">
        <v>0</v>
      </c>
      <c r="P609" t="n">
        <v>0</v>
      </c>
      <c r="Q609" t="n">
        <v>0</v>
      </c>
      <c r="R609" s="2" t="inlineStr"/>
    </row>
    <row r="610" ht="15" customHeight="1">
      <c r="A610" t="inlineStr">
        <is>
          <t>A 19486-2024</t>
        </is>
      </c>
      <c r="B610" s="1" t="n">
        <v>45429</v>
      </c>
      <c r="C610" s="1" t="n">
        <v>46170</v>
      </c>
      <c r="D610" t="inlineStr">
        <is>
          <t>JÄMTLANDS LÄN</t>
        </is>
      </c>
      <c r="E610" t="inlineStr">
        <is>
          <t>RAGUNDA</t>
        </is>
      </c>
      <c r="G610" t="n">
        <v>2.3</v>
      </c>
      <c r="H610" t="n">
        <v>0</v>
      </c>
      <c r="I610" t="n">
        <v>0</v>
      </c>
      <c r="J610" t="n">
        <v>0</v>
      </c>
      <c r="K610" t="n">
        <v>0</v>
      </c>
      <c r="L610" t="n">
        <v>0</v>
      </c>
      <c r="M610" t="n">
        <v>0</v>
      </c>
      <c r="N610" t="n">
        <v>0</v>
      </c>
      <c r="O610" t="n">
        <v>0</v>
      </c>
      <c r="P610" t="n">
        <v>0</v>
      </c>
      <c r="Q610" t="n">
        <v>0</v>
      </c>
      <c r="R610" s="2" t="inlineStr"/>
    </row>
    <row r="611" ht="15" customHeight="1">
      <c r="A611" t="inlineStr">
        <is>
          <t>A 1326-2025</t>
        </is>
      </c>
      <c r="B611" s="1" t="n">
        <v>45667.57347222222</v>
      </c>
      <c r="C611" s="1" t="n">
        <v>46170</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45894-2025</t>
        </is>
      </c>
      <c r="B612" s="1" t="n">
        <v>45923.67765046296</v>
      </c>
      <c r="C612" s="1" t="n">
        <v>46170</v>
      </c>
      <c r="D612" t="inlineStr">
        <is>
          <t>JÄMTLANDS LÄN</t>
        </is>
      </c>
      <c r="E612" t="inlineStr">
        <is>
          <t>RAGUNDA</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30642-2024</t>
        </is>
      </c>
      <c r="B613" s="1" t="n">
        <v>45495.57677083334</v>
      </c>
      <c r="C613" s="1" t="n">
        <v>46170</v>
      </c>
      <c r="D613" t="inlineStr">
        <is>
          <t>JÄMTLANDS LÄN</t>
        </is>
      </c>
      <c r="E613" t="inlineStr">
        <is>
          <t>RAGUNDA</t>
        </is>
      </c>
      <c r="G613" t="n">
        <v>2.7</v>
      </c>
      <c r="H613" t="n">
        <v>0</v>
      </c>
      <c r="I613" t="n">
        <v>0</v>
      </c>
      <c r="J613" t="n">
        <v>0</v>
      </c>
      <c r="K613" t="n">
        <v>0</v>
      </c>
      <c r="L613" t="n">
        <v>0</v>
      </c>
      <c r="M613" t="n">
        <v>0</v>
      </c>
      <c r="N613" t="n">
        <v>0</v>
      </c>
      <c r="O613" t="n">
        <v>0</v>
      </c>
      <c r="P613" t="n">
        <v>0</v>
      </c>
      <c r="Q613" t="n">
        <v>0</v>
      </c>
      <c r="R613" s="2" t="inlineStr"/>
    </row>
    <row r="614" ht="15" customHeight="1">
      <c r="A614" t="inlineStr">
        <is>
          <t>A 58909-2025</t>
        </is>
      </c>
      <c r="B614" s="1" t="n">
        <v>45987</v>
      </c>
      <c r="C614" s="1" t="n">
        <v>46170</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46192-2025</t>
        </is>
      </c>
      <c r="B615" s="1" t="n">
        <v>45924.67789351852</v>
      </c>
      <c r="C615" s="1" t="n">
        <v>46170</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993-2025</t>
        </is>
      </c>
      <c r="B616" s="1" t="n">
        <v>45666.44943287037</v>
      </c>
      <c r="C616" s="1" t="n">
        <v>46170</v>
      </c>
      <c r="D616" t="inlineStr">
        <is>
          <t>JÄMTLANDS LÄN</t>
        </is>
      </c>
      <c r="E616" t="inlineStr">
        <is>
          <t>RAGUNDA</t>
        </is>
      </c>
      <c r="G616" t="n">
        <v>11.3</v>
      </c>
      <c r="H616" t="n">
        <v>0</v>
      </c>
      <c r="I616" t="n">
        <v>0</v>
      </c>
      <c r="J616" t="n">
        <v>0</v>
      </c>
      <c r="K616" t="n">
        <v>0</v>
      </c>
      <c r="L616" t="n">
        <v>0</v>
      </c>
      <c r="M616" t="n">
        <v>0</v>
      </c>
      <c r="N616" t="n">
        <v>0</v>
      </c>
      <c r="O616" t="n">
        <v>0</v>
      </c>
      <c r="P616" t="n">
        <v>0</v>
      </c>
      <c r="Q616" t="n">
        <v>0</v>
      </c>
      <c r="R616" s="2" t="inlineStr"/>
    </row>
    <row r="617" ht="15" customHeight="1">
      <c r="A617" t="inlineStr">
        <is>
          <t>A 58193-2022</t>
        </is>
      </c>
      <c r="B617" s="1" t="n">
        <v>44900.95700231481</v>
      </c>
      <c r="C617" s="1" t="n">
        <v>46170</v>
      </c>
      <c r="D617" t="inlineStr">
        <is>
          <t>JÄMTLANDS LÄN</t>
        </is>
      </c>
      <c r="E617" t="inlineStr">
        <is>
          <t>RAGUNDA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30887-2025</t>
        </is>
      </c>
      <c r="B618" s="1" t="n">
        <v>45832.3459375</v>
      </c>
      <c r="C618" s="1" t="n">
        <v>46170</v>
      </c>
      <c r="D618" t="inlineStr">
        <is>
          <t>JÄMTLANDS LÄN</t>
        </is>
      </c>
      <c r="E618" t="inlineStr">
        <is>
          <t>RAGUNDA</t>
        </is>
      </c>
      <c r="F618" t="inlineStr">
        <is>
          <t>SCA</t>
        </is>
      </c>
      <c r="G618" t="n">
        <v>10.1</v>
      </c>
      <c r="H618" t="n">
        <v>0</v>
      </c>
      <c r="I618" t="n">
        <v>0</v>
      </c>
      <c r="J618" t="n">
        <v>0</v>
      </c>
      <c r="K618" t="n">
        <v>0</v>
      </c>
      <c r="L618" t="n">
        <v>0</v>
      </c>
      <c r="M618" t="n">
        <v>0</v>
      </c>
      <c r="N618" t="n">
        <v>0</v>
      </c>
      <c r="O618" t="n">
        <v>0</v>
      </c>
      <c r="P618" t="n">
        <v>0</v>
      </c>
      <c r="Q618" t="n">
        <v>0</v>
      </c>
      <c r="R618" s="2" t="inlineStr"/>
    </row>
    <row r="619" ht="15" customHeight="1">
      <c r="A619" t="inlineStr">
        <is>
          <t>A 30883-2025</t>
        </is>
      </c>
      <c r="B619" s="1" t="n">
        <v>45832.34552083333</v>
      </c>
      <c r="C619" s="1" t="n">
        <v>46170</v>
      </c>
      <c r="D619" t="inlineStr">
        <is>
          <t>JÄMTLANDS LÄN</t>
        </is>
      </c>
      <c r="E619" t="inlineStr">
        <is>
          <t>RAGUNDA</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28081-2022</t>
        </is>
      </c>
      <c r="B620" s="1" t="n">
        <v>44746</v>
      </c>
      <c r="C620" s="1" t="n">
        <v>46170</v>
      </c>
      <c r="D620" t="inlineStr">
        <is>
          <t>JÄMTLANDS LÄN</t>
        </is>
      </c>
      <c r="E620" t="inlineStr">
        <is>
          <t>RAGUNDA</t>
        </is>
      </c>
      <c r="G620" t="n">
        <v>7.2</v>
      </c>
      <c r="H620" t="n">
        <v>0</v>
      </c>
      <c r="I620" t="n">
        <v>0</v>
      </c>
      <c r="J620" t="n">
        <v>0</v>
      </c>
      <c r="K620" t="n">
        <v>0</v>
      </c>
      <c r="L620" t="n">
        <v>0</v>
      </c>
      <c r="M620" t="n">
        <v>0</v>
      </c>
      <c r="N620" t="n">
        <v>0</v>
      </c>
      <c r="O620" t="n">
        <v>0</v>
      </c>
      <c r="P620" t="n">
        <v>0</v>
      </c>
      <c r="Q620" t="n">
        <v>0</v>
      </c>
      <c r="R620" s="2" t="inlineStr"/>
    </row>
    <row r="621" ht="15" customHeight="1">
      <c r="A621" t="inlineStr">
        <is>
          <t>A 46275-2025</t>
        </is>
      </c>
      <c r="B621" s="1" t="n">
        <v>45925.3711574074</v>
      </c>
      <c r="C621" s="1" t="n">
        <v>46170</v>
      </c>
      <c r="D621" t="inlineStr">
        <is>
          <t>JÄMTLANDS LÄN</t>
        </is>
      </c>
      <c r="E621" t="inlineStr">
        <is>
          <t>RAGUNDA</t>
        </is>
      </c>
      <c r="G621" t="n">
        <v>2.7</v>
      </c>
      <c r="H621" t="n">
        <v>0</v>
      </c>
      <c r="I621" t="n">
        <v>0</v>
      </c>
      <c r="J621" t="n">
        <v>0</v>
      </c>
      <c r="K621" t="n">
        <v>0</v>
      </c>
      <c r="L621" t="n">
        <v>0</v>
      </c>
      <c r="M621" t="n">
        <v>0</v>
      </c>
      <c r="N621" t="n">
        <v>0</v>
      </c>
      <c r="O621" t="n">
        <v>0</v>
      </c>
      <c r="P621" t="n">
        <v>0</v>
      </c>
      <c r="Q621" t="n">
        <v>0</v>
      </c>
      <c r="R621" s="2" t="inlineStr"/>
    </row>
    <row r="622" ht="15" customHeight="1">
      <c r="A622" t="inlineStr">
        <is>
          <t>A 51049-2024</t>
        </is>
      </c>
      <c r="B622" s="1" t="n">
        <v>45603.44644675926</v>
      </c>
      <c r="C622" s="1" t="n">
        <v>46170</v>
      </c>
      <c r="D622" t="inlineStr">
        <is>
          <t>JÄMTLANDS LÄN</t>
        </is>
      </c>
      <c r="E622" t="inlineStr">
        <is>
          <t>RAGUNDA</t>
        </is>
      </c>
      <c r="F622" t="inlineStr">
        <is>
          <t>SCA</t>
        </is>
      </c>
      <c r="G622" t="n">
        <v>6.9</v>
      </c>
      <c r="H622" t="n">
        <v>0</v>
      </c>
      <c r="I622" t="n">
        <v>0</v>
      </c>
      <c r="J622" t="n">
        <v>0</v>
      </c>
      <c r="K622" t="n">
        <v>0</v>
      </c>
      <c r="L622" t="n">
        <v>0</v>
      </c>
      <c r="M622" t="n">
        <v>0</v>
      </c>
      <c r="N622" t="n">
        <v>0</v>
      </c>
      <c r="O622" t="n">
        <v>0</v>
      </c>
      <c r="P622" t="n">
        <v>0</v>
      </c>
      <c r="Q622" t="n">
        <v>0</v>
      </c>
      <c r="R622" s="2" t="inlineStr"/>
    </row>
    <row r="623" ht="15" customHeight="1">
      <c r="A623" t="inlineStr">
        <is>
          <t>A 30880-2025</t>
        </is>
      </c>
      <c r="B623" s="1" t="n">
        <v>45832.34524305556</v>
      </c>
      <c r="C623" s="1" t="n">
        <v>46170</v>
      </c>
      <c r="D623" t="inlineStr">
        <is>
          <t>JÄMTLANDS LÄN</t>
        </is>
      </c>
      <c r="E623" t="inlineStr">
        <is>
          <t>RAGUNDA</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44759-2024</t>
        </is>
      </c>
      <c r="B624" s="1" t="n">
        <v>45574.61634259259</v>
      </c>
      <c r="C624" s="1" t="n">
        <v>46170</v>
      </c>
      <c r="D624" t="inlineStr">
        <is>
          <t>JÄMTLANDS LÄN</t>
        </is>
      </c>
      <c r="E624" t="inlineStr">
        <is>
          <t>RAGUNDA</t>
        </is>
      </c>
      <c r="G624" t="n">
        <v>1.9</v>
      </c>
      <c r="H624" t="n">
        <v>0</v>
      </c>
      <c r="I624" t="n">
        <v>0</v>
      </c>
      <c r="J624" t="n">
        <v>0</v>
      </c>
      <c r="K624" t="n">
        <v>0</v>
      </c>
      <c r="L624" t="n">
        <v>0</v>
      </c>
      <c r="M624" t="n">
        <v>0</v>
      </c>
      <c r="N624" t="n">
        <v>0</v>
      </c>
      <c r="O624" t="n">
        <v>0</v>
      </c>
      <c r="P624" t="n">
        <v>0</v>
      </c>
      <c r="Q624" t="n">
        <v>0</v>
      </c>
      <c r="R624" s="2" t="inlineStr"/>
    </row>
    <row r="625" ht="15" customHeight="1">
      <c r="A625" t="inlineStr">
        <is>
          <t>A 37324-2022</t>
        </is>
      </c>
      <c r="B625" s="1" t="n">
        <v>44806</v>
      </c>
      <c r="C625" s="1" t="n">
        <v>46170</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46825-2025</t>
        </is>
      </c>
      <c r="B626" s="1" t="n">
        <v>45926.92506944444</v>
      </c>
      <c r="C626" s="1" t="n">
        <v>46170</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46710-2025</t>
        </is>
      </c>
      <c r="B627" s="1" t="n">
        <v>45926.57337962963</v>
      </c>
      <c r="C627" s="1" t="n">
        <v>46170</v>
      </c>
      <c r="D627" t="inlineStr">
        <is>
          <t>JÄMTLANDS LÄN</t>
        </is>
      </c>
      <c r="E627" t="inlineStr">
        <is>
          <t>RAGUNDA</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41343-2024</t>
        </is>
      </c>
      <c r="B628" s="1" t="n">
        <v>45559.67745370371</v>
      </c>
      <c r="C628" s="1" t="n">
        <v>46170</v>
      </c>
      <c r="D628" t="inlineStr">
        <is>
          <t>JÄMTLANDS LÄN</t>
        </is>
      </c>
      <c r="E628" t="inlineStr">
        <is>
          <t>RAGUNDA</t>
        </is>
      </c>
      <c r="F628" t="inlineStr">
        <is>
          <t>SCA</t>
        </is>
      </c>
      <c r="G628" t="n">
        <v>25.1</v>
      </c>
      <c r="H628" t="n">
        <v>0</v>
      </c>
      <c r="I628" t="n">
        <v>0</v>
      </c>
      <c r="J628" t="n">
        <v>0</v>
      </c>
      <c r="K628" t="n">
        <v>0</v>
      </c>
      <c r="L628" t="n">
        <v>0</v>
      </c>
      <c r="M628" t="n">
        <v>0</v>
      </c>
      <c r="N628" t="n">
        <v>0</v>
      </c>
      <c r="O628" t="n">
        <v>0</v>
      </c>
      <c r="P628" t="n">
        <v>0</v>
      </c>
      <c r="Q628" t="n">
        <v>0</v>
      </c>
      <c r="R628" s="2" t="inlineStr"/>
    </row>
    <row r="629" ht="15" customHeight="1">
      <c r="A629" t="inlineStr">
        <is>
          <t>A 47075-2025</t>
        </is>
      </c>
      <c r="B629" s="1" t="n">
        <v>45929.63728009259</v>
      </c>
      <c r="C629" s="1" t="n">
        <v>46170</v>
      </c>
      <c r="D629" t="inlineStr">
        <is>
          <t>JÄMTLANDS LÄN</t>
        </is>
      </c>
      <c r="E629" t="inlineStr">
        <is>
          <t>RAGUNDA</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45953-2023</t>
        </is>
      </c>
      <c r="B630" s="1" t="n">
        <v>45195.94672453704</v>
      </c>
      <c r="C630" s="1" t="n">
        <v>46170</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47119-2025</t>
        </is>
      </c>
      <c r="B631" s="1" t="n">
        <v>45929.67795138889</v>
      </c>
      <c r="C631" s="1" t="n">
        <v>46170</v>
      </c>
      <c r="D631" t="inlineStr">
        <is>
          <t>JÄMTLANDS LÄN</t>
        </is>
      </c>
      <c r="E631" t="inlineStr">
        <is>
          <t>RAGUNDA</t>
        </is>
      </c>
      <c r="F631" t="inlineStr">
        <is>
          <t>SCA</t>
        </is>
      </c>
      <c r="G631" t="n">
        <v>22.7</v>
      </c>
      <c r="H631" t="n">
        <v>0</v>
      </c>
      <c r="I631" t="n">
        <v>0</v>
      </c>
      <c r="J631" t="n">
        <v>0</v>
      </c>
      <c r="K631" t="n">
        <v>0</v>
      </c>
      <c r="L631" t="n">
        <v>0</v>
      </c>
      <c r="M631" t="n">
        <v>0</v>
      </c>
      <c r="N631" t="n">
        <v>0</v>
      </c>
      <c r="O631" t="n">
        <v>0</v>
      </c>
      <c r="P631" t="n">
        <v>0</v>
      </c>
      <c r="Q631" t="n">
        <v>0</v>
      </c>
      <c r="R631" s="2" t="inlineStr"/>
    </row>
    <row r="632" ht="15" customHeight="1">
      <c r="A632" t="inlineStr">
        <is>
          <t>A 46689-2025</t>
        </is>
      </c>
      <c r="B632" s="1" t="n">
        <v>45926.55307870371</v>
      </c>
      <c r="C632" s="1" t="n">
        <v>46170</v>
      </c>
      <c r="D632" t="inlineStr">
        <is>
          <t>JÄMTLANDS LÄN</t>
        </is>
      </c>
      <c r="E632" t="inlineStr">
        <is>
          <t>RAGUNDA</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16982-2024</t>
        </is>
      </c>
      <c r="B633" s="1" t="n">
        <v>45412.02506944445</v>
      </c>
      <c r="C633" s="1" t="n">
        <v>46170</v>
      </c>
      <c r="D633" t="inlineStr">
        <is>
          <t>JÄMTLANDS LÄN</t>
        </is>
      </c>
      <c r="E633" t="inlineStr">
        <is>
          <t>RAGUNDA</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46909-2025</t>
        </is>
      </c>
      <c r="B634" s="1" t="n">
        <v>45929.40673611111</v>
      </c>
      <c r="C634" s="1" t="n">
        <v>46170</v>
      </c>
      <c r="D634" t="inlineStr">
        <is>
          <t>JÄMTLANDS LÄN</t>
        </is>
      </c>
      <c r="E634" t="inlineStr">
        <is>
          <t>RAGUNDA</t>
        </is>
      </c>
      <c r="G634" t="n">
        <v>5.7</v>
      </c>
      <c r="H634" t="n">
        <v>0</v>
      </c>
      <c r="I634" t="n">
        <v>0</v>
      </c>
      <c r="J634" t="n">
        <v>0</v>
      </c>
      <c r="K634" t="n">
        <v>0</v>
      </c>
      <c r="L634" t="n">
        <v>0</v>
      </c>
      <c r="M634" t="n">
        <v>0</v>
      </c>
      <c r="N634" t="n">
        <v>0</v>
      </c>
      <c r="O634" t="n">
        <v>0</v>
      </c>
      <c r="P634" t="n">
        <v>0</v>
      </c>
      <c r="Q634" t="n">
        <v>0</v>
      </c>
      <c r="R634" s="2" t="inlineStr"/>
    </row>
    <row r="635" ht="15" customHeight="1">
      <c r="A635" t="inlineStr">
        <is>
          <t>A 47122-2025</t>
        </is>
      </c>
      <c r="B635" s="1" t="n">
        <v>45929.67878472222</v>
      </c>
      <c r="C635" s="1" t="n">
        <v>46170</v>
      </c>
      <c r="D635" t="inlineStr">
        <is>
          <t>JÄMTLANDS LÄN</t>
        </is>
      </c>
      <c r="E635" t="inlineStr">
        <is>
          <t>RAGUNDA</t>
        </is>
      </c>
      <c r="F635" t="inlineStr">
        <is>
          <t>SCA</t>
        </is>
      </c>
      <c r="G635" t="n">
        <v>31.1</v>
      </c>
      <c r="H635" t="n">
        <v>0</v>
      </c>
      <c r="I635" t="n">
        <v>0</v>
      </c>
      <c r="J635" t="n">
        <v>0</v>
      </c>
      <c r="K635" t="n">
        <v>0</v>
      </c>
      <c r="L635" t="n">
        <v>0</v>
      </c>
      <c r="M635" t="n">
        <v>0</v>
      </c>
      <c r="N635" t="n">
        <v>0</v>
      </c>
      <c r="O635" t="n">
        <v>0</v>
      </c>
      <c r="P635" t="n">
        <v>0</v>
      </c>
      <c r="Q635" t="n">
        <v>0</v>
      </c>
      <c r="R635" s="2" t="inlineStr"/>
    </row>
    <row r="636" ht="15" customHeight="1">
      <c r="A636" t="inlineStr">
        <is>
          <t>A 46974-2025</t>
        </is>
      </c>
      <c r="B636" s="1" t="n">
        <v>45929.51104166666</v>
      </c>
      <c r="C636" s="1" t="n">
        <v>46170</v>
      </c>
      <c r="D636" t="inlineStr">
        <is>
          <t>JÄMTLANDS LÄN</t>
        </is>
      </c>
      <c r="E636" t="inlineStr">
        <is>
          <t>RAGUNDA</t>
        </is>
      </c>
      <c r="F636" t="inlineStr">
        <is>
          <t>SCA</t>
        </is>
      </c>
      <c r="G636" t="n">
        <v>12.1</v>
      </c>
      <c r="H636" t="n">
        <v>0</v>
      </c>
      <c r="I636" t="n">
        <v>0</v>
      </c>
      <c r="J636" t="n">
        <v>0</v>
      </c>
      <c r="K636" t="n">
        <v>0</v>
      </c>
      <c r="L636" t="n">
        <v>0</v>
      </c>
      <c r="M636" t="n">
        <v>0</v>
      </c>
      <c r="N636" t="n">
        <v>0</v>
      </c>
      <c r="O636" t="n">
        <v>0</v>
      </c>
      <c r="P636" t="n">
        <v>0</v>
      </c>
      <c r="Q636" t="n">
        <v>0</v>
      </c>
      <c r="R636" s="2" t="inlineStr"/>
    </row>
    <row r="637" ht="15" customHeight="1">
      <c r="A637" t="inlineStr">
        <is>
          <t>A 49650-2024</t>
        </is>
      </c>
      <c r="B637" s="1" t="n">
        <v>45596.61569444444</v>
      </c>
      <c r="C637" s="1" t="n">
        <v>46170</v>
      </c>
      <c r="D637" t="inlineStr">
        <is>
          <t>JÄMTLANDS LÄN</t>
        </is>
      </c>
      <c r="E637" t="inlineStr">
        <is>
          <t>RAGUNDA</t>
        </is>
      </c>
      <c r="F637" t="inlineStr">
        <is>
          <t>Naturvårdsverket</t>
        </is>
      </c>
      <c r="G637" t="n">
        <v>3</v>
      </c>
      <c r="H637" t="n">
        <v>0</v>
      </c>
      <c r="I637" t="n">
        <v>0</v>
      </c>
      <c r="J637" t="n">
        <v>0</v>
      </c>
      <c r="K637" t="n">
        <v>0</v>
      </c>
      <c r="L637" t="n">
        <v>0</v>
      </c>
      <c r="M637" t="n">
        <v>0</v>
      </c>
      <c r="N637" t="n">
        <v>0</v>
      </c>
      <c r="O637" t="n">
        <v>0</v>
      </c>
      <c r="P637" t="n">
        <v>0</v>
      </c>
      <c r="Q637" t="n">
        <v>0</v>
      </c>
      <c r="R637" s="2" t="inlineStr"/>
    </row>
    <row r="638" ht="15" customHeight="1">
      <c r="A638" t="inlineStr">
        <is>
          <t>A 49651-2024</t>
        </is>
      </c>
      <c r="B638" s="1" t="n">
        <v>45596.61582175926</v>
      </c>
      <c r="C638" s="1" t="n">
        <v>46170</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46751-2025</t>
        </is>
      </c>
      <c r="B639" s="1" t="n">
        <v>45926.6153125</v>
      </c>
      <c r="C639" s="1" t="n">
        <v>46170</v>
      </c>
      <c r="D639" t="inlineStr">
        <is>
          <t>JÄMTLANDS LÄN</t>
        </is>
      </c>
      <c r="E639" t="inlineStr">
        <is>
          <t>RAGUNDA</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46753-2025</t>
        </is>
      </c>
      <c r="B640" s="1" t="n">
        <v>45926.61552083334</v>
      </c>
      <c r="C640" s="1" t="n">
        <v>46170</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47037-2025</t>
        </is>
      </c>
      <c r="B641" s="1" t="n">
        <v>45929.59456018519</v>
      </c>
      <c r="C641" s="1" t="n">
        <v>46170</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32096-2025</t>
        </is>
      </c>
      <c r="B642" s="1" t="n">
        <v>45835.46334490741</v>
      </c>
      <c r="C642" s="1" t="n">
        <v>46170</v>
      </c>
      <c r="D642" t="inlineStr">
        <is>
          <t>JÄMTLANDS LÄN</t>
        </is>
      </c>
      <c r="E642" t="inlineStr">
        <is>
          <t>RAGUNDA</t>
        </is>
      </c>
      <c r="G642" t="n">
        <v>0.9</v>
      </c>
      <c r="H642" t="n">
        <v>0</v>
      </c>
      <c r="I642" t="n">
        <v>0</v>
      </c>
      <c r="J642" t="n">
        <v>0</v>
      </c>
      <c r="K642" t="n">
        <v>0</v>
      </c>
      <c r="L642" t="n">
        <v>0</v>
      </c>
      <c r="M642" t="n">
        <v>0</v>
      </c>
      <c r="N642" t="n">
        <v>0</v>
      </c>
      <c r="O642" t="n">
        <v>0</v>
      </c>
      <c r="P642" t="n">
        <v>0</v>
      </c>
      <c r="Q642" t="n">
        <v>0</v>
      </c>
      <c r="R642" s="2" t="inlineStr"/>
    </row>
    <row r="643" ht="15" customHeight="1">
      <c r="A643" t="inlineStr">
        <is>
          <t>A 32151-2025</t>
        </is>
      </c>
      <c r="B643" s="1" t="n">
        <v>45835.53166666667</v>
      </c>
      <c r="C643" s="1" t="n">
        <v>46170</v>
      </c>
      <c r="D643" t="inlineStr">
        <is>
          <t>JÄMTLANDS LÄN</t>
        </is>
      </c>
      <c r="E643" t="inlineStr">
        <is>
          <t>RAGUNDA</t>
        </is>
      </c>
      <c r="F643" t="inlineStr">
        <is>
          <t>SCA</t>
        </is>
      </c>
      <c r="G643" t="n">
        <v>12.3</v>
      </c>
      <c r="H643" t="n">
        <v>0</v>
      </c>
      <c r="I643" t="n">
        <v>0</v>
      </c>
      <c r="J643" t="n">
        <v>0</v>
      </c>
      <c r="K643" t="n">
        <v>0</v>
      </c>
      <c r="L643" t="n">
        <v>0</v>
      </c>
      <c r="M643" t="n">
        <v>0</v>
      </c>
      <c r="N643" t="n">
        <v>0</v>
      </c>
      <c r="O643" t="n">
        <v>0</v>
      </c>
      <c r="P643" t="n">
        <v>0</v>
      </c>
      <c r="Q643" t="n">
        <v>0</v>
      </c>
      <c r="R643" s="2" t="inlineStr"/>
    </row>
    <row r="644" ht="15" customHeight="1">
      <c r="A644" t="inlineStr">
        <is>
          <t>A 32306-2025</t>
        </is>
      </c>
      <c r="B644" s="1" t="n">
        <v>45835.72046296296</v>
      </c>
      <c r="C644" s="1" t="n">
        <v>46170</v>
      </c>
      <c r="D644" t="inlineStr">
        <is>
          <t>JÄMTLANDS LÄN</t>
        </is>
      </c>
      <c r="E644" t="inlineStr">
        <is>
          <t>RAGUNDA</t>
        </is>
      </c>
      <c r="G644" t="n">
        <v>10.2</v>
      </c>
      <c r="H644" t="n">
        <v>0</v>
      </c>
      <c r="I644" t="n">
        <v>0</v>
      </c>
      <c r="J644" t="n">
        <v>0</v>
      </c>
      <c r="K644" t="n">
        <v>0</v>
      </c>
      <c r="L644" t="n">
        <v>0</v>
      </c>
      <c r="M644" t="n">
        <v>0</v>
      </c>
      <c r="N644" t="n">
        <v>0</v>
      </c>
      <c r="O644" t="n">
        <v>0</v>
      </c>
      <c r="P644" t="n">
        <v>0</v>
      </c>
      <c r="Q644" t="n">
        <v>0</v>
      </c>
      <c r="R644" s="2" t="inlineStr"/>
    </row>
    <row r="645" ht="15" customHeight="1">
      <c r="A645" t="inlineStr">
        <is>
          <t>A 64264-2023</t>
        </is>
      </c>
      <c r="B645" s="1" t="n">
        <v>45279.94564814815</v>
      </c>
      <c r="C645" s="1" t="n">
        <v>46170</v>
      </c>
      <c r="D645" t="inlineStr">
        <is>
          <t>JÄMTLANDS LÄN</t>
        </is>
      </c>
      <c r="E645" t="inlineStr">
        <is>
          <t>RAGUNDA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32021-2025</t>
        </is>
      </c>
      <c r="B646" s="1" t="n">
        <v>45835.40668981482</v>
      </c>
      <c r="C646" s="1" t="n">
        <v>46170</v>
      </c>
      <c r="D646" t="inlineStr">
        <is>
          <t>JÄMTLANDS LÄN</t>
        </is>
      </c>
      <c r="E646" t="inlineStr">
        <is>
          <t>RAGUNDA</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31882-2025</t>
        </is>
      </c>
      <c r="B647" s="1" t="n">
        <v>45834.65662037037</v>
      </c>
      <c r="C647" s="1" t="n">
        <v>46170</v>
      </c>
      <c r="D647" t="inlineStr">
        <is>
          <t>JÄMTLANDS LÄN</t>
        </is>
      </c>
      <c r="E647" t="inlineStr">
        <is>
          <t>RAGUNDA</t>
        </is>
      </c>
      <c r="F647" t="inlineStr">
        <is>
          <t>SCA</t>
        </is>
      </c>
      <c r="G647" t="n">
        <v>5.5</v>
      </c>
      <c r="H647" t="n">
        <v>0</v>
      </c>
      <c r="I647" t="n">
        <v>0</v>
      </c>
      <c r="J647" t="n">
        <v>0</v>
      </c>
      <c r="K647" t="n">
        <v>0</v>
      </c>
      <c r="L647" t="n">
        <v>0</v>
      </c>
      <c r="M647" t="n">
        <v>0</v>
      </c>
      <c r="N647" t="n">
        <v>0</v>
      </c>
      <c r="O647" t="n">
        <v>0</v>
      </c>
      <c r="P647" t="n">
        <v>0</v>
      </c>
      <c r="Q647" t="n">
        <v>0</v>
      </c>
      <c r="R647" s="2" t="inlineStr"/>
    </row>
    <row r="648" ht="15" customHeight="1">
      <c r="A648" t="inlineStr">
        <is>
          <t>A 19438-2023</t>
        </is>
      </c>
      <c r="B648" s="1" t="n">
        <v>45049</v>
      </c>
      <c r="C648" s="1" t="n">
        <v>46170</v>
      </c>
      <c r="D648" t="inlineStr">
        <is>
          <t>JÄMTLANDS LÄN</t>
        </is>
      </c>
      <c r="E648" t="inlineStr">
        <is>
          <t>RAGUNDA</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47749-2025</t>
        </is>
      </c>
      <c r="B649" s="1" t="n">
        <v>45931.65711805555</v>
      </c>
      <c r="C649" s="1" t="n">
        <v>46170</v>
      </c>
      <c r="D649" t="inlineStr">
        <is>
          <t>JÄMTLANDS LÄN</t>
        </is>
      </c>
      <c r="E649" t="inlineStr">
        <is>
          <t>RAGUNDA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47228-2025</t>
        </is>
      </c>
      <c r="B650" s="1" t="n">
        <v>45930.3990162037</v>
      </c>
      <c r="C650" s="1" t="n">
        <v>46170</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32796-2025</t>
        </is>
      </c>
      <c r="B651" s="1" t="n">
        <v>45839.49082175926</v>
      </c>
      <c r="C651" s="1" t="n">
        <v>46170</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42893-2022</t>
        </is>
      </c>
      <c r="B652" s="1" t="n">
        <v>44832</v>
      </c>
      <c r="C652" s="1" t="n">
        <v>46170</v>
      </c>
      <c r="D652" t="inlineStr">
        <is>
          <t>JÄMTLANDS LÄN</t>
        </is>
      </c>
      <c r="E652" t="inlineStr">
        <is>
          <t>RAGUNDA</t>
        </is>
      </c>
      <c r="F652" t="inlineStr">
        <is>
          <t>SCA</t>
        </is>
      </c>
      <c r="G652" t="n">
        <v>28.4</v>
      </c>
      <c r="H652" t="n">
        <v>0</v>
      </c>
      <c r="I652" t="n">
        <v>0</v>
      </c>
      <c r="J652" t="n">
        <v>0</v>
      </c>
      <c r="K652" t="n">
        <v>0</v>
      </c>
      <c r="L652" t="n">
        <v>0</v>
      </c>
      <c r="M652" t="n">
        <v>0</v>
      </c>
      <c r="N652" t="n">
        <v>0</v>
      </c>
      <c r="O652" t="n">
        <v>0</v>
      </c>
      <c r="P652" t="n">
        <v>0</v>
      </c>
      <c r="Q652" t="n">
        <v>0</v>
      </c>
      <c r="R652" s="2" t="inlineStr"/>
    </row>
    <row r="653" ht="15" customHeight="1">
      <c r="A653" t="inlineStr">
        <is>
          <t>A 47229-2025</t>
        </is>
      </c>
      <c r="B653" s="1" t="n">
        <v>45930.40166666666</v>
      </c>
      <c r="C653" s="1" t="n">
        <v>46170</v>
      </c>
      <c r="D653" t="inlineStr">
        <is>
          <t>JÄMTLANDS LÄN</t>
        </is>
      </c>
      <c r="E653" t="inlineStr">
        <is>
          <t>RAGUNDA</t>
        </is>
      </c>
      <c r="G653" t="n">
        <v>1.8</v>
      </c>
      <c r="H653" t="n">
        <v>0</v>
      </c>
      <c r="I653" t="n">
        <v>0</v>
      </c>
      <c r="J653" t="n">
        <v>0</v>
      </c>
      <c r="K653" t="n">
        <v>0</v>
      </c>
      <c r="L653" t="n">
        <v>0</v>
      </c>
      <c r="M653" t="n">
        <v>0</v>
      </c>
      <c r="N653" t="n">
        <v>0</v>
      </c>
      <c r="O653" t="n">
        <v>0</v>
      </c>
      <c r="P653" t="n">
        <v>0</v>
      </c>
      <c r="Q653" t="n">
        <v>0</v>
      </c>
      <c r="R653" s="2" t="inlineStr"/>
    </row>
    <row r="654" ht="15" customHeight="1">
      <c r="A654" t="inlineStr">
        <is>
          <t>A 32655-2025</t>
        </is>
      </c>
      <c r="B654" s="1" t="n">
        <v>45838.67800925926</v>
      </c>
      <c r="C654" s="1" t="n">
        <v>46170</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32751-2025</t>
        </is>
      </c>
      <c r="B655" s="1" t="n">
        <v>45839.42864583333</v>
      </c>
      <c r="C655" s="1" t="n">
        <v>46170</v>
      </c>
      <c r="D655" t="inlineStr">
        <is>
          <t>JÄMTLANDS LÄN</t>
        </is>
      </c>
      <c r="E655" t="inlineStr">
        <is>
          <t>RAGUNDA</t>
        </is>
      </c>
      <c r="F655" t="inlineStr">
        <is>
          <t>SCA</t>
        </is>
      </c>
      <c r="G655" t="n">
        <v>10</v>
      </c>
      <c r="H655" t="n">
        <v>0</v>
      </c>
      <c r="I655" t="n">
        <v>0</v>
      </c>
      <c r="J655" t="n">
        <v>0</v>
      </c>
      <c r="K655" t="n">
        <v>0</v>
      </c>
      <c r="L655" t="n">
        <v>0</v>
      </c>
      <c r="M655" t="n">
        <v>0</v>
      </c>
      <c r="N655" t="n">
        <v>0</v>
      </c>
      <c r="O655" t="n">
        <v>0</v>
      </c>
      <c r="P655" t="n">
        <v>0</v>
      </c>
      <c r="Q655" t="n">
        <v>0</v>
      </c>
      <c r="R655" s="2" t="inlineStr"/>
    </row>
    <row r="656" ht="15" customHeight="1">
      <c r="A656" t="inlineStr">
        <is>
          <t>A 47748-2025</t>
        </is>
      </c>
      <c r="B656" s="1" t="n">
        <v>45931.65693287037</v>
      </c>
      <c r="C656" s="1" t="n">
        <v>46170</v>
      </c>
      <c r="D656" t="inlineStr">
        <is>
          <t>JÄMTLANDS LÄN</t>
        </is>
      </c>
      <c r="E656" t="inlineStr">
        <is>
          <t>RAGUNDA</t>
        </is>
      </c>
      <c r="F656" t="inlineStr">
        <is>
          <t>SCA</t>
        </is>
      </c>
      <c r="G656" t="n">
        <v>8.6</v>
      </c>
      <c r="H656" t="n">
        <v>0</v>
      </c>
      <c r="I656" t="n">
        <v>0</v>
      </c>
      <c r="J656" t="n">
        <v>0</v>
      </c>
      <c r="K656" t="n">
        <v>0</v>
      </c>
      <c r="L656" t="n">
        <v>0</v>
      </c>
      <c r="M656" t="n">
        <v>0</v>
      </c>
      <c r="N656" t="n">
        <v>0</v>
      </c>
      <c r="O656" t="n">
        <v>0</v>
      </c>
      <c r="P656" t="n">
        <v>0</v>
      </c>
      <c r="Q656" t="n">
        <v>0</v>
      </c>
      <c r="R656" s="2" t="inlineStr"/>
    </row>
    <row r="657" ht="15" customHeight="1">
      <c r="A657" t="inlineStr">
        <is>
          <t>A 32777-2025</t>
        </is>
      </c>
      <c r="B657" s="1" t="n">
        <v>45839.46915509259</v>
      </c>
      <c r="C657" s="1" t="n">
        <v>46170</v>
      </c>
      <c r="D657" t="inlineStr">
        <is>
          <t>JÄMTLANDS LÄN</t>
        </is>
      </c>
      <c r="E657" t="inlineStr">
        <is>
          <t>RAGUNDA</t>
        </is>
      </c>
      <c r="F657" t="inlineStr">
        <is>
          <t>SCA</t>
        </is>
      </c>
      <c r="G657" t="n">
        <v>21.7</v>
      </c>
      <c r="H657" t="n">
        <v>0</v>
      </c>
      <c r="I657" t="n">
        <v>0</v>
      </c>
      <c r="J657" t="n">
        <v>0</v>
      </c>
      <c r="K657" t="n">
        <v>0</v>
      </c>
      <c r="L657" t="n">
        <v>0</v>
      </c>
      <c r="M657" t="n">
        <v>0</v>
      </c>
      <c r="N657" t="n">
        <v>0</v>
      </c>
      <c r="O657" t="n">
        <v>0</v>
      </c>
      <c r="P657" t="n">
        <v>0</v>
      </c>
      <c r="Q657" t="n">
        <v>0</v>
      </c>
      <c r="R657" s="2" t="inlineStr"/>
    </row>
    <row r="658" ht="15" customHeight="1">
      <c r="A658" t="inlineStr">
        <is>
          <t>A 21332-2025</t>
        </is>
      </c>
      <c r="B658" s="1" t="n">
        <v>45782.36506944444</v>
      </c>
      <c r="C658" s="1" t="n">
        <v>46170</v>
      </c>
      <c r="D658" t="inlineStr">
        <is>
          <t>JÄMTLANDS LÄN</t>
        </is>
      </c>
      <c r="E658" t="inlineStr">
        <is>
          <t>RAGUNDA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32430-2025</t>
        </is>
      </c>
      <c r="B659" s="1" t="n">
        <v>45838.36532407408</v>
      </c>
      <c r="C659" s="1" t="n">
        <v>46170</v>
      </c>
      <c r="D659" t="inlineStr">
        <is>
          <t>JÄMTLANDS LÄN</t>
        </is>
      </c>
      <c r="E659" t="inlineStr">
        <is>
          <t>RAGUNDA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32747-2025</t>
        </is>
      </c>
      <c r="B660" s="1" t="n">
        <v>45839.42810185185</v>
      </c>
      <c r="C660" s="1" t="n">
        <v>46170</v>
      </c>
      <c r="D660" t="inlineStr">
        <is>
          <t>JÄMTLANDS LÄN</t>
        </is>
      </c>
      <c r="E660" t="inlineStr">
        <is>
          <t>RAGUNDA</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32757-2025</t>
        </is>
      </c>
      <c r="B661" s="1" t="n">
        <v>45838</v>
      </c>
      <c r="C661" s="1" t="n">
        <v>46170</v>
      </c>
      <c r="D661" t="inlineStr">
        <is>
          <t>JÄMTLANDS LÄN</t>
        </is>
      </c>
      <c r="E661" t="inlineStr">
        <is>
          <t>RAGUNDA</t>
        </is>
      </c>
      <c r="G661" t="n">
        <v>4.5</v>
      </c>
      <c r="H661" t="n">
        <v>0</v>
      </c>
      <c r="I661" t="n">
        <v>0</v>
      </c>
      <c r="J661" t="n">
        <v>0</v>
      </c>
      <c r="K661" t="n">
        <v>0</v>
      </c>
      <c r="L661" t="n">
        <v>0</v>
      </c>
      <c r="M661" t="n">
        <v>0</v>
      </c>
      <c r="N661" t="n">
        <v>0</v>
      </c>
      <c r="O661" t="n">
        <v>0</v>
      </c>
      <c r="P661" t="n">
        <v>0</v>
      </c>
      <c r="Q661" t="n">
        <v>0</v>
      </c>
      <c r="R661" s="2" t="inlineStr"/>
    </row>
    <row r="662" ht="15" customHeight="1">
      <c r="A662" t="inlineStr">
        <is>
          <t>A 32846-2025</t>
        </is>
      </c>
      <c r="B662" s="1" t="n">
        <v>45839.57331018519</v>
      </c>
      <c r="C662" s="1" t="n">
        <v>46170</v>
      </c>
      <c r="D662" t="inlineStr">
        <is>
          <t>JÄMTLANDS LÄN</t>
        </is>
      </c>
      <c r="E662" t="inlineStr">
        <is>
          <t>RAGUNDA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29940-2023</t>
        </is>
      </c>
      <c r="B663" s="1" t="n">
        <v>45107</v>
      </c>
      <c r="C663" s="1" t="n">
        <v>46170</v>
      </c>
      <c r="D663" t="inlineStr">
        <is>
          <t>JÄMTLANDS LÄN</t>
        </is>
      </c>
      <c r="E663" t="inlineStr">
        <is>
          <t>RAGUNDA</t>
        </is>
      </c>
      <c r="G663" t="n">
        <v>13.5</v>
      </c>
      <c r="H663" t="n">
        <v>0</v>
      </c>
      <c r="I663" t="n">
        <v>0</v>
      </c>
      <c r="J663" t="n">
        <v>0</v>
      </c>
      <c r="K663" t="n">
        <v>0</v>
      </c>
      <c r="L663" t="n">
        <v>0</v>
      </c>
      <c r="M663" t="n">
        <v>0</v>
      </c>
      <c r="N663" t="n">
        <v>0</v>
      </c>
      <c r="O663" t="n">
        <v>0</v>
      </c>
      <c r="P663" t="n">
        <v>0</v>
      </c>
      <c r="Q663" t="n">
        <v>0</v>
      </c>
      <c r="R663" s="2" t="inlineStr"/>
    </row>
    <row r="664" ht="15" customHeight="1">
      <c r="A664" t="inlineStr">
        <is>
          <t>A 32748-2025</t>
        </is>
      </c>
      <c r="B664" s="1" t="n">
        <v>45839.42822916667</v>
      </c>
      <c r="C664" s="1" t="n">
        <v>46170</v>
      </c>
      <c r="D664" t="inlineStr">
        <is>
          <t>JÄMTLANDS LÄN</t>
        </is>
      </c>
      <c r="E664" t="inlineStr">
        <is>
          <t>RAGUNDA</t>
        </is>
      </c>
      <c r="F664" t="inlineStr">
        <is>
          <t>SCA</t>
        </is>
      </c>
      <c r="G664" t="n">
        <v>4.4</v>
      </c>
      <c r="H664" t="n">
        <v>0</v>
      </c>
      <c r="I664" t="n">
        <v>0</v>
      </c>
      <c r="J664" t="n">
        <v>0</v>
      </c>
      <c r="K664" t="n">
        <v>0</v>
      </c>
      <c r="L664" t="n">
        <v>0</v>
      </c>
      <c r="M664" t="n">
        <v>0</v>
      </c>
      <c r="N664" t="n">
        <v>0</v>
      </c>
      <c r="O664" t="n">
        <v>0</v>
      </c>
      <c r="P664" t="n">
        <v>0</v>
      </c>
      <c r="Q664" t="n">
        <v>0</v>
      </c>
      <c r="R664" s="2" t="inlineStr"/>
    </row>
    <row r="665" ht="15" customHeight="1">
      <c r="A665" t="inlineStr">
        <is>
          <t>A 32762-2025</t>
        </is>
      </c>
      <c r="B665" s="1" t="n">
        <v>45838</v>
      </c>
      <c r="C665" s="1" t="n">
        <v>46170</v>
      </c>
      <c r="D665" t="inlineStr">
        <is>
          <t>JÄMTLANDS LÄN</t>
        </is>
      </c>
      <c r="E665" t="inlineStr">
        <is>
          <t>RAGUNDA</t>
        </is>
      </c>
      <c r="G665" t="n">
        <v>0.6</v>
      </c>
      <c r="H665" t="n">
        <v>0</v>
      </c>
      <c r="I665" t="n">
        <v>0</v>
      </c>
      <c r="J665" t="n">
        <v>0</v>
      </c>
      <c r="K665" t="n">
        <v>0</v>
      </c>
      <c r="L665" t="n">
        <v>0</v>
      </c>
      <c r="M665" t="n">
        <v>0</v>
      </c>
      <c r="N665" t="n">
        <v>0</v>
      </c>
      <c r="O665" t="n">
        <v>0</v>
      </c>
      <c r="P665" t="n">
        <v>0</v>
      </c>
      <c r="Q665" t="n">
        <v>0</v>
      </c>
      <c r="R665" s="2" t="inlineStr"/>
    </row>
    <row r="666" ht="15" customHeight="1">
      <c r="A666" t="inlineStr">
        <is>
          <t>A 32660-2025</t>
        </is>
      </c>
      <c r="B666" s="1" t="n">
        <v>45838.67887731481</v>
      </c>
      <c r="C666" s="1" t="n">
        <v>46170</v>
      </c>
      <c r="D666" t="inlineStr">
        <is>
          <t>JÄMTLANDS LÄN</t>
        </is>
      </c>
      <c r="E666" t="inlineStr">
        <is>
          <t>RAGUNDA</t>
        </is>
      </c>
      <c r="F666" t="inlineStr">
        <is>
          <t>SCA</t>
        </is>
      </c>
      <c r="G666" t="n">
        <v>10.3</v>
      </c>
      <c r="H666" t="n">
        <v>0</v>
      </c>
      <c r="I666" t="n">
        <v>0</v>
      </c>
      <c r="J666" t="n">
        <v>0</v>
      </c>
      <c r="K666" t="n">
        <v>0</v>
      </c>
      <c r="L666" t="n">
        <v>0</v>
      </c>
      <c r="M666" t="n">
        <v>0</v>
      </c>
      <c r="N666" t="n">
        <v>0</v>
      </c>
      <c r="O666" t="n">
        <v>0</v>
      </c>
      <c r="P666" t="n">
        <v>0</v>
      </c>
      <c r="Q666" t="n">
        <v>0</v>
      </c>
      <c r="R666" s="2" t="inlineStr"/>
    </row>
    <row r="667" ht="15" customHeight="1">
      <c r="A667" t="inlineStr">
        <is>
          <t>A 32527-2025</t>
        </is>
      </c>
      <c r="B667" s="1" t="n">
        <v>45838.48996527777</v>
      </c>
      <c r="C667" s="1" t="n">
        <v>46170</v>
      </c>
      <c r="D667" t="inlineStr">
        <is>
          <t>JÄMTLANDS LÄN</t>
        </is>
      </c>
      <c r="E667" t="inlineStr">
        <is>
          <t>RAGUNDA</t>
        </is>
      </c>
      <c r="G667" t="n">
        <v>5</v>
      </c>
      <c r="H667" t="n">
        <v>0</v>
      </c>
      <c r="I667" t="n">
        <v>0</v>
      </c>
      <c r="J667" t="n">
        <v>0</v>
      </c>
      <c r="K667" t="n">
        <v>0</v>
      </c>
      <c r="L667" t="n">
        <v>0</v>
      </c>
      <c r="M667" t="n">
        <v>0</v>
      </c>
      <c r="N667" t="n">
        <v>0</v>
      </c>
      <c r="O667" t="n">
        <v>0</v>
      </c>
      <c r="P667" t="n">
        <v>0</v>
      </c>
      <c r="Q667" t="n">
        <v>0</v>
      </c>
      <c r="R667" s="2" t="inlineStr"/>
    </row>
    <row r="668" ht="15" customHeight="1">
      <c r="A668" t="inlineStr">
        <is>
          <t>A 23303-2024</t>
        </is>
      </c>
      <c r="B668" s="1" t="n">
        <v>45453.4444212963</v>
      </c>
      <c r="C668" s="1" t="n">
        <v>46170</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179-2025</t>
        </is>
      </c>
      <c r="B669" s="1" t="n">
        <v>45659.69822916666</v>
      </c>
      <c r="C669" s="1" t="n">
        <v>46170</v>
      </c>
      <c r="D669" t="inlineStr">
        <is>
          <t>JÄMTLANDS LÄN</t>
        </is>
      </c>
      <c r="E669" t="inlineStr">
        <is>
          <t>RAGUNDA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33140-2025</t>
        </is>
      </c>
      <c r="B670" s="1" t="n">
        <v>45840.52225694444</v>
      </c>
      <c r="C670" s="1" t="n">
        <v>46170</v>
      </c>
      <c r="D670" t="inlineStr">
        <is>
          <t>JÄMTLANDS LÄN</t>
        </is>
      </c>
      <c r="E670" t="inlineStr">
        <is>
          <t>RAGUNDA</t>
        </is>
      </c>
      <c r="G670" t="n">
        <v>2</v>
      </c>
      <c r="H670" t="n">
        <v>0</v>
      </c>
      <c r="I670" t="n">
        <v>0</v>
      </c>
      <c r="J670" t="n">
        <v>0</v>
      </c>
      <c r="K670" t="n">
        <v>0</v>
      </c>
      <c r="L670" t="n">
        <v>0</v>
      </c>
      <c r="M670" t="n">
        <v>0</v>
      </c>
      <c r="N670" t="n">
        <v>0</v>
      </c>
      <c r="O670" t="n">
        <v>0</v>
      </c>
      <c r="P670" t="n">
        <v>0</v>
      </c>
      <c r="Q670" t="n">
        <v>0</v>
      </c>
      <c r="R670" s="2" t="inlineStr"/>
    </row>
    <row r="671" ht="15" customHeight="1">
      <c r="A671" t="inlineStr">
        <is>
          <t>A 22412-2024</t>
        </is>
      </c>
      <c r="B671" s="1" t="n">
        <v>45446.68947916666</v>
      </c>
      <c r="C671" s="1" t="n">
        <v>46170</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48748-2025</t>
        </is>
      </c>
      <c r="B672" s="1" t="n">
        <v>45936.67912037037</v>
      </c>
      <c r="C672" s="1" t="n">
        <v>46170</v>
      </c>
      <c r="D672" t="inlineStr">
        <is>
          <t>JÄMTLANDS LÄN</t>
        </is>
      </c>
      <c r="E672" t="inlineStr">
        <is>
          <t>RAGUNDA</t>
        </is>
      </c>
      <c r="F672" t="inlineStr">
        <is>
          <t>SCA</t>
        </is>
      </c>
      <c r="G672" t="n">
        <v>11.1</v>
      </c>
      <c r="H672" t="n">
        <v>0</v>
      </c>
      <c r="I672" t="n">
        <v>0</v>
      </c>
      <c r="J672" t="n">
        <v>0</v>
      </c>
      <c r="K672" t="n">
        <v>0</v>
      </c>
      <c r="L672" t="n">
        <v>0</v>
      </c>
      <c r="M672" t="n">
        <v>0</v>
      </c>
      <c r="N672" t="n">
        <v>0</v>
      </c>
      <c r="O672" t="n">
        <v>0</v>
      </c>
      <c r="P672" t="n">
        <v>0</v>
      </c>
      <c r="Q672" t="n">
        <v>0</v>
      </c>
      <c r="R672" s="2" t="inlineStr"/>
    </row>
    <row r="673" ht="15" customHeight="1">
      <c r="A673" t="inlineStr">
        <is>
          <t>A 33556-2025</t>
        </is>
      </c>
      <c r="B673" s="1" t="n">
        <v>45841.57427083333</v>
      </c>
      <c r="C673" s="1" t="n">
        <v>46170</v>
      </c>
      <c r="D673" t="inlineStr">
        <is>
          <t>JÄMTLANDS LÄN</t>
        </is>
      </c>
      <c r="E673" t="inlineStr">
        <is>
          <t>RAGUNDA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13334-2024</t>
        </is>
      </c>
      <c r="B674" s="1" t="n">
        <v>45386</v>
      </c>
      <c r="C674" s="1" t="n">
        <v>46170</v>
      </c>
      <c r="D674" t="inlineStr">
        <is>
          <t>JÄMTLANDS LÄN</t>
        </is>
      </c>
      <c r="E674" t="inlineStr">
        <is>
          <t>RAGUNDA</t>
        </is>
      </c>
      <c r="G674" t="n">
        <v>8.6</v>
      </c>
      <c r="H674" t="n">
        <v>0</v>
      </c>
      <c r="I674" t="n">
        <v>0</v>
      </c>
      <c r="J674" t="n">
        <v>0</v>
      </c>
      <c r="K674" t="n">
        <v>0</v>
      </c>
      <c r="L674" t="n">
        <v>0</v>
      </c>
      <c r="M674" t="n">
        <v>0</v>
      </c>
      <c r="N674" t="n">
        <v>0</v>
      </c>
      <c r="O674" t="n">
        <v>0</v>
      </c>
      <c r="P674" t="n">
        <v>0</v>
      </c>
      <c r="Q674" t="n">
        <v>0</v>
      </c>
      <c r="R674" s="2" t="inlineStr"/>
    </row>
    <row r="675" ht="15" customHeight="1">
      <c r="A675" t="inlineStr">
        <is>
          <t>A 48528-2025</t>
        </is>
      </c>
      <c r="B675" s="1" t="n">
        <v>45936.40758101852</v>
      </c>
      <c r="C675" s="1" t="n">
        <v>46170</v>
      </c>
      <c r="D675" t="inlineStr">
        <is>
          <t>JÄMTLANDS LÄN</t>
        </is>
      </c>
      <c r="E675" t="inlineStr">
        <is>
          <t>RAGUNDA</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60443-2023</t>
        </is>
      </c>
      <c r="B676" s="1" t="n">
        <v>45258</v>
      </c>
      <c r="C676" s="1" t="n">
        <v>46170</v>
      </c>
      <c r="D676" t="inlineStr">
        <is>
          <t>JÄMTLANDS LÄN</t>
        </is>
      </c>
      <c r="E676" t="inlineStr">
        <is>
          <t>RAGUNDA</t>
        </is>
      </c>
      <c r="G676" t="n">
        <v>2.9</v>
      </c>
      <c r="H676" t="n">
        <v>0</v>
      </c>
      <c r="I676" t="n">
        <v>0</v>
      </c>
      <c r="J676" t="n">
        <v>0</v>
      </c>
      <c r="K676" t="n">
        <v>0</v>
      </c>
      <c r="L676" t="n">
        <v>0</v>
      </c>
      <c r="M676" t="n">
        <v>0</v>
      </c>
      <c r="N676" t="n">
        <v>0</v>
      </c>
      <c r="O676" t="n">
        <v>0</v>
      </c>
      <c r="P676" t="n">
        <v>0</v>
      </c>
      <c r="Q676" t="n">
        <v>0</v>
      </c>
      <c r="R676" s="2" t="inlineStr"/>
    </row>
    <row r="677" ht="15" customHeight="1">
      <c r="A677" t="inlineStr">
        <is>
          <t>A 48742-2025</t>
        </is>
      </c>
      <c r="B677" s="1" t="n">
        <v>45936.67810185185</v>
      </c>
      <c r="C677" s="1" t="n">
        <v>46170</v>
      </c>
      <c r="D677" t="inlineStr">
        <is>
          <t>JÄMTLANDS LÄN</t>
        </is>
      </c>
      <c r="E677" t="inlineStr">
        <is>
          <t>RAGUNDA</t>
        </is>
      </c>
      <c r="F677" t="inlineStr">
        <is>
          <t>SCA</t>
        </is>
      </c>
      <c r="G677" t="n">
        <v>8.9</v>
      </c>
      <c r="H677" t="n">
        <v>0</v>
      </c>
      <c r="I677" t="n">
        <v>0</v>
      </c>
      <c r="J677" t="n">
        <v>0</v>
      </c>
      <c r="K677" t="n">
        <v>0</v>
      </c>
      <c r="L677" t="n">
        <v>0</v>
      </c>
      <c r="M677" t="n">
        <v>0</v>
      </c>
      <c r="N677" t="n">
        <v>0</v>
      </c>
      <c r="O677" t="n">
        <v>0</v>
      </c>
      <c r="P677" t="n">
        <v>0</v>
      </c>
      <c r="Q677" t="n">
        <v>0</v>
      </c>
      <c r="R677" s="2" t="inlineStr"/>
    </row>
    <row r="678" ht="15" customHeight="1">
      <c r="A678" t="inlineStr">
        <is>
          <t>A 21726-2023</t>
        </is>
      </c>
      <c r="B678" s="1" t="n">
        <v>45065.42894675926</v>
      </c>
      <c r="C678" s="1" t="n">
        <v>46170</v>
      </c>
      <c r="D678" t="inlineStr">
        <is>
          <t>JÄMTLANDS LÄN</t>
        </is>
      </c>
      <c r="E678" t="inlineStr">
        <is>
          <t>RAGUNDA</t>
        </is>
      </c>
      <c r="G678" t="n">
        <v>0.4</v>
      </c>
      <c r="H678" t="n">
        <v>0</v>
      </c>
      <c r="I678" t="n">
        <v>0</v>
      </c>
      <c r="J678" t="n">
        <v>0</v>
      </c>
      <c r="K678" t="n">
        <v>0</v>
      </c>
      <c r="L678" t="n">
        <v>0</v>
      </c>
      <c r="M678" t="n">
        <v>0</v>
      </c>
      <c r="N678" t="n">
        <v>0</v>
      </c>
      <c r="O678" t="n">
        <v>0</v>
      </c>
      <c r="P678" t="n">
        <v>0</v>
      </c>
      <c r="Q678" t="n">
        <v>0</v>
      </c>
      <c r="R678" s="2" t="inlineStr"/>
    </row>
    <row r="679" ht="15" customHeight="1">
      <c r="A679" t="inlineStr">
        <is>
          <t>A 48746-2025</t>
        </is>
      </c>
      <c r="B679" s="1" t="n">
        <v>45936.67878472222</v>
      </c>
      <c r="C679" s="1" t="n">
        <v>46170</v>
      </c>
      <c r="D679" t="inlineStr">
        <is>
          <t>JÄMTLANDS LÄN</t>
        </is>
      </c>
      <c r="E679" t="inlineStr">
        <is>
          <t>RAGUNDA</t>
        </is>
      </c>
      <c r="F679" t="inlineStr">
        <is>
          <t>SCA</t>
        </is>
      </c>
      <c r="G679" t="n">
        <v>6.5</v>
      </c>
      <c r="H679" t="n">
        <v>0</v>
      </c>
      <c r="I679" t="n">
        <v>0</v>
      </c>
      <c r="J679" t="n">
        <v>0</v>
      </c>
      <c r="K679" t="n">
        <v>0</v>
      </c>
      <c r="L679" t="n">
        <v>0</v>
      </c>
      <c r="M679" t="n">
        <v>0</v>
      </c>
      <c r="N679" t="n">
        <v>0</v>
      </c>
      <c r="O679" t="n">
        <v>0</v>
      </c>
      <c r="P679" t="n">
        <v>0</v>
      </c>
      <c r="Q679" t="n">
        <v>0</v>
      </c>
      <c r="R679" s="2" t="inlineStr"/>
    </row>
    <row r="680" ht="15" customHeight="1">
      <c r="A680" t="inlineStr">
        <is>
          <t>A 45952-2023</t>
        </is>
      </c>
      <c r="B680" s="1" t="n">
        <v>45195</v>
      </c>
      <c r="C680" s="1" t="n">
        <v>46170</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45954-2023</t>
        </is>
      </c>
      <c r="B681" s="1" t="n">
        <v>45195.94679398148</v>
      </c>
      <c r="C681" s="1" t="n">
        <v>46170</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45955-2023</t>
        </is>
      </c>
      <c r="B682" s="1" t="n">
        <v>45195.94685185186</v>
      </c>
      <c r="C682" s="1" t="n">
        <v>46170</v>
      </c>
      <c r="D682" t="inlineStr">
        <is>
          <t>JÄMTLANDS LÄN</t>
        </is>
      </c>
      <c r="E682" t="inlineStr">
        <is>
          <t>RAGUNDA</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60456-2023</t>
        </is>
      </c>
      <c r="B683" s="1" t="n">
        <v>45258</v>
      </c>
      <c r="C683" s="1" t="n">
        <v>46170</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16334-2025</t>
        </is>
      </c>
      <c r="B684" s="1" t="n">
        <v>45751.36490740741</v>
      </c>
      <c r="C684" s="1" t="n">
        <v>46170</v>
      </c>
      <c r="D684" t="inlineStr">
        <is>
          <t>JÄMTLANDS LÄN</t>
        </is>
      </c>
      <c r="E684" t="inlineStr">
        <is>
          <t>RAGUNDA</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58438-2022</t>
        </is>
      </c>
      <c r="B685" s="1" t="n">
        <v>44901</v>
      </c>
      <c r="C685" s="1" t="n">
        <v>46170</v>
      </c>
      <c r="D685" t="inlineStr">
        <is>
          <t>JÄMTLANDS LÄN</t>
        </is>
      </c>
      <c r="E685" t="inlineStr">
        <is>
          <t>RAGUNDA</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58442-2022</t>
        </is>
      </c>
      <c r="B686" s="1" t="n">
        <v>44901</v>
      </c>
      <c r="C686" s="1" t="n">
        <v>46170</v>
      </c>
      <c r="D686" t="inlineStr">
        <is>
          <t>JÄMTLANDS LÄN</t>
        </is>
      </c>
      <c r="E686" t="inlineStr">
        <is>
          <t>RAGUNDA</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5806-2025</t>
        </is>
      </c>
      <c r="B687" s="1" t="n">
        <v>45694.69826388889</v>
      </c>
      <c r="C687" s="1" t="n">
        <v>46170</v>
      </c>
      <c r="D687" t="inlineStr">
        <is>
          <t>JÄMTLANDS LÄN</t>
        </is>
      </c>
      <c r="E687" t="inlineStr">
        <is>
          <t>RAGUNDA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41179-2022</t>
        </is>
      </c>
      <c r="B688" s="1" t="n">
        <v>44825</v>
      </c>
      <c r="C688" s="1" t="n">
        <v>46170</v>
      </c>
      <c r="D688" t="inlineStr">
        <is>
          <t>JÄMTLANDS LÄN</t>
        </is>
      </c>
      <c r="E688" t="inlineStr">
        <is>
          <t>RAGUNDA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55897-2025</t>
        </is>
      </c>
      <c r="B689" s="1" t="n">
        <v>45973.38600694444</v>
      </c>
      <c r="C689" s="1" t="n">
        <v>46170</v>
      </c>
      <c r="D689" t="inlineStr">
        <is>
          <t>JÄMTLANDS LÄN</t>
        </is>
      </c>
      <c r="E689" t="inlineStr">
        <is>
          <t>RAGUNDA</t>
        </is>
      </c>
      <c r="F689" t="inlineStr">
        <is>
          <t>SCA</t>
        </is>
      </c>
      <c r="G689" t="n">
        <v>14.1</v>
      </c>
      <c r="H689" t="n">
        <v>0</v>
      </c>
      <c r="I689" t="n">
        <v>0</v>
      </c>
      <c r="J689" t="n">
        <v>0</v>
      </c>
      <c r="K689" t="n">
        <v>0</v>
      </c>
      <c r="L689" t="n">
        <v>0</v>
      </c>
      <c r="M689" t="n">
        <v>0</v>
      </c>
      <c r="N689" t="n">
        <v>0</v>
      </c>
      <c r="O689" t="n">
        <v>0</v>
      </c>
      <c r="P689" t="n">
        <v>0</v>
      </c>
      <c r="Q689" t="n">
        <v>0</v>
      </c>
      <c r="R689" s="2" t="inlineStr"/>
    </row>
    <row r="690" ht="15" customHeight="1">
      <c r="A690" t="inlineStr">
        <is>
          <t>A 49639-2025</t>
        </is>
      </c>
      <c r="B690" s="1" t="n">
        <v>45939.61253472222</v>
      </c>
      <c r="C690" s="1" t="n">
        <v>46170</v>
      </c>
      <c r="D690" t="inlineStr">
        <is>
          <t>JÄMTLANDS LÄN</t>
        </is>
      </c>
      <c r="E690" t="inlineStr">
        <is>
          <t>RAGUNDA</t>
        </is>
      </c>
      <c r="F690" t="inlineStr">
        <is>
          <t>Kommuner</t>
        </is>
      </c>
      <c r="G690" t="n">
        <v>13.6</v>
      </c>
      <c r="H690" t="n">
        <v>0</v>
      </c>
      <c r="I690" t="n">
        <v>0</v>
      </c>
      <c r="J690" t="n">
        <v>0</v>
      </c>
      <c r="K690" t="n">
        <v>0</v>
      </c>
      <c r="L690" t="n">
        <v>0</v>
      </c>
      <c r="M690" t="n">
        <v>0</v>
      </c>
      <c r="N690" t="n">
        <v>0</v>
      </c>
      <c r="O690" t="n">
        <v>0</v>
      </c>
      <c r="P690" t="n">
        <v>0</v>
      </c>
      <c r="Q690" t="n">
        <v>0</v>
      </c>
      <c r="R690" s="2" t="inlineStr"/>
    </row>
    <row r="691" ht="15" customHeight="1">
      <c r="A691" t="inlineStr">
        <is>
          <t>A 33790-2025</t>
        </is>
      </c>
      <c r="B691" s="1" t="n">
        <v>45842.42608796297</v>
      </c>
      <c r="C691" s="1" t="n">
        <v>46170</v>
      </c>
      <c r="D691" t="inlineStr">
        <is>
          <t>JÄMTLANDS LÄN</t>
        </is>
      </c>
      <c r="E691" t="inlineStr">
        <is>
          <t>RAGUNDA</t>
        </is>
      </c>
      <c r="G691" t="n">
        <v>0.3</v>
      </c>
      <c r="H691" t="n">
        <v>0</v>
      </c>
      <c r="I691" t="n">
        <v>0</v>
      </c>
      <c r="J691" t="n">
        <v>0</v>
      </c>
      <c r="K691" t="n">
        <v>0</v>
      </c>
      <c r="L691" t="n">
        <v>0</v>
      </c>
      <c r="M691" t="n">
        <v>0</v>
      </c>
      <c r="N691" t="n">
        <v>0</v>
      </c>
      <c r="O691" t="n">
        <v>0</v>
      </c>
      <c r="P691" t="n">
        <v>0</v>
      </c>
      <c r="Q691" t="n">
        <v>0</v>
      </c>
      <c r="R691" s="2" t="inlineStr"/>
    </row>
    <row r="692" ht="15" customHeight="1">
      <c r="A692" t="inlineStr">
        <is>
          <t>A 34607-2025</t>
        </is>
      </c>
      <c r="B692" s="1" t="n">
        <v>45847.65703703704</v>
      </c>
      <c r="C692" s="1" t="n">
        <v>46170</v>
      </c>
      <c r="D692" t="inlineStr">
        <is>
          <t>JÄMTLANDS LÄN</t>
        </is>
      </c>
      <c r="E692" t="inlineStr">
        <is>
          <t>RAGUNDA</t>
        </is>
      </c>
      <c r="F692" t="inlineStr">
        <is>
          <t>SCA</t>
        </is>
      </c>
      <c r="G692" t="n">
        <v>31.4</v>
      </c>
      <c r="H692" t="n">
        <v>0</v>
      </c>
      <c r="I692" t="n">
        <v>0</v>
      </c>
      <c r="J692" t="n">
        <v>0</v>
      </c>
      <c r="K692" t="n">
        <v>0</v>
      </c>
      <c r="L692" t="n">
        <v>0</v>
      </c>
      <c r="M692" t="n">
        <v>0</v>
      </c>
      <c r="N692" t="n">
        <v>0</v>
      </c>
      <c r="O692" t="n">
        <v>0</v>
      </c>
      <c r="P692" t="n">
        <v>0</v>
      </c>
      <c r="Q692" t="n">
        <v>0</v>
      </c>
      <c r="R692" s="2" t="inlineStr"/>
    </row>
    <row r="693" ht="15" customHeight="1">
      <c r="A693" t="inlineStr">
        <is>
          <t>A 49059-2025</t>
        </is>
      </c>
      <c r="B693" s="1" t="n">
        <v>45937.64123842592</v>
      </c>
      <c r="C693" s="1" t="n">
        <v>46170</v>
      </c>
      <c r="D693" t="inlineStr">
        <is>
          <t>JÄMTLANDS LÄN</t>
        </is>
      </c>
      <c r="E693" t="inlineStr">
        <is>
          <t>RAGUNDA</t>
        </is>
      </c>
      <c r="G693" t="n">
        <v>2.1</v>
      </c>
      <c r="H693" t="n">
        <v>0</v>
      </c>
      <c r="I693" t="n">
        <v>0</v>
      </c>
      <c r="J693" t="n">
        <v>0</v>
      </c>
      <c r="K693" t="n">
        <v>0</v>
      </c>
      <c r="L693" t="n">
        <v>0</v>
      </c>
      <c r="M693" t="n">
        <v>0</v>
      </c>
      <c r="N693" t="n">
        <v>0</v>
      </c>
      <c r="O693" t="n">
        <v>0</v>
      </c>
      <c r="P693" t="n">
        <v>0</v>
      </c>
      <c r="Q693" t="n">
        <v>0</v>
      </c>
      <c r="R693" s="2" t="inlineStr"/>
    </row>
    <row r="694" ht="15" customHeight="1">
      <c r="A694" t="inlineStr">
        <is>
          <t>A 34461-2025</t>
        </is>
      </c>
      <c r="B694" s="1" t="n">
        <v>45847.34474537037</v>
      </c>
      <c r="C694" s="1" t="n">
        <v>46170</v>
      </c>
      <c r="D694" t="inlineStr">
        <is>
          <t>JÄMTLANDS LÄN</t>
        </is>
      </c>
      <c r="E694" t="inlineStr">
        <is>
          <t>RAGUNDA</t>
        </is>
      </c>
      <c r="F694" t="inlineStr">
        <is>
          <t>SCA</t>
        </is>
      </c>
      <c r="G694" t="n">
        <v>44.8</v>
      </c>
      <c r="H694" t="n">
        <v>0</v>
      </c>
      <c r="I694" t="n">
        <v>0</v>
      </c>
      <c r="J694" t="n">
        <v>0</v>
      </c>
      <c r="K694" t="n">
        <v>0</v>
      </c>
      <c r="L694" t="n">
        <v>0</v>
      </c>
      <c r="M694" t="n">
        <v>0</v>
      </c>
      <c r="N694" t="n">
        <v>0</v>
      </c>
      <c r="O694" t="n">
        <v>0</v>
      </c>
      <c r="P694" t="n">
        <v>0</v>
      </c>
      <c r="Q694" t="n">
        <v>0</v>
      </c>
      <c r="R694" s="2" t="inlineStr"/>
    </row>
    <row r="695" ht="15" customHeight="1">
      <c r="A695" t="inlineStr">
        <is>
          <t>A 34464-2025</t>
        </is>
      </c>
      <c r="B695" s="1" t="n">
        <v>45847.34528935186</v>
      </c>
      <c r="C695" s="1" t="n">
        <v>46170</v>
      </c>
      <c r="D695" t="inlineStr">
        <is>
          <t>JÄMTLANDS LÄN</t>
        </is>
      </c>
      <c r="E695" t="inlineStr">
        <is>
          <t>RAGUNDA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34468-2025</t>
        </is>
      </c>
      <c r="B696" s="1" t="n">
        <v>45847.34597222223</v>
      </c>
      <c r="C696" s="1" t="n">
        <v>46170</v>
      </c>
      <c r="D696" t="inlineStr">
        <is>
          <t>JÄMTLANDS LÄN</t>
        </is>
      </c>
      <c r="E696" t="inlineStr">
        <is>
          <t>RAGUNDA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49193-2025</t>
        </is>
      </c>
      <c r="B697" s="1" t="n">
        <v>45938.40831018519</v>
      </c>
      <c r="C697" s="1" t="n">
        <v>46170</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34466-2025</t>
        </is>
      </c>
      <c r="B698" s="1" t="n">
        <v>45847.34565972222</v>
      </c>
      <c r="C698" s="1" t="n">
        <v>46170</v>
      </c>
      <c r="D698" t="inlineStr">
        <is>
          <t>JÄMTLANDS LÄN</t>
        </is>
      </c>
      <c r="E698" t="inlineStr">
        <is>
          <t>RAGUNDA</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34463-2025</t>
        </is>
      </c>
      <c r="B699" s="1" t="n">
        <v>45847.34515046296</v>
      </c>
      <c r="C699" s="1" t="n">
        <v>46170</v>
      </c>
      <c r="D699" t="inlineStr">
        <is>
          <t>JÄMTLANDS LÄN</t>
        </is>
      </c>
      <c r="E699" t="inlineStr">
        <is>
          <t>RAGUNDA</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61598-2024</t>
        </is>
      </c>
      <c r="B700" s="1" t="n">
        <v>45646.63605324074</v>
      </c>
      <c r="C700" s="1" t="n">
        <v>46170</v>
      </c>
      <c r="D700" t="inlineStr">
        <is>
          <t>JÄMTLANDS LÄN</t>
        </is>
      </c>
      <c r="E700" t="inlineStr">
        <is>
          <t>RAGUNDA</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17667-2025</t>
        </is>
      </c>
      <c r="B701" s="1" t="n">
        <v>45758.36487268518</v>
      </c>
      <c r="C701" s="1" t="n">
        <v>46170</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34586-2025</t>
        </is>
      </c>
      <c r="B702" s="1" t="n">
        <v>45847.61513888889</v>
      </c>
      <c r="C702" s="1" t="n">
        <v>46170</v>
      </c>
      <c r="D702" t="inlineStr">
        <is>
          <t>JÄMTLANDS LÄN</t>
        </is>
      </c>
      <c r="E702" t="inlineStr">
        <is>
          <t>RAGUNDA</t>
        </is>
      </c>
      <c r="G702" t="n">
        <v>1.6</v>
      </c>
      <c r="H702" t="n">
        <v>0</v>
      </c>
      <c r="I702" t="n">
        <v>0</v>
      </c>
      <c r="J702" t="n">
        <v>0</v>
      </c>
      <c r="K702" t="n">
        <v>0</v>
      </c>
      <c r="L702" t="n">
        <v>0</v>
      </c>
      <c r="M702" t="n">
        <v>0</v>
      </c>
      <c r="N702" t="n">
        <v>0</v>
      </c>
      <c r="O702" t="n">
        <v>0</v>
      </c>
      <c r="P702" t="n">
        <v>0</v>
      </c>
      <c r="Q702" t="n">
        <v>0</v>
      </c>
      <c r="R702" s="2" t="inlineStr"/>
    </row>
    <row r="703" ht="15" customHeight="1">
      <c r="A703" t="inlineStr">
        <is>
          <t>A 34588-2025</t>
        </is>
      </c>
      <c r="B703" s="1" t="n">
        <v>45847.61548611111</v>
      </c>
      <c r="C703" s="1" t="n">
        <v>46170</v>
      </c>
      <c r="D703" t="inlineStr">
        <is>
          <t>JÄMTLANDS LÄN</t>
        </is>
      </c>
      <c r="E703" t="inlineStr">
        <is>
          <t>RAGUNDA</t>
        </is>
      </c>
      <c r="G703" t="n">
        <v>32.3</v>
      </c>
      <c r="H703" t="n">
        <v>0</v>
      </c>
      <c r="I703" t="n">
        <v>0</v>
      </c>
      <c r="J703" t="n">
        <v>0</v>
      </c>
      <c r="K703" t="n">
        <v>0</v>
      </c>
      <c r="L703" t="n">
        <v>0</v>
      </c>
      <c r="M703" t="n">
        <v>0</v>
      </c>
      <c r="N703" t="n">
        <v>0</v>
      </c>
      <c r="O703" t="n">
        <v>0</v>
      </c>
      <c r="P703" t="n">
        <v>0</v>
      </c>
      <c r="Q703" t="n">
        <v>0</v>
      </c>
      <c r="R703" s="2" t="inlineStr"/>
    </row>
    <row r="704" ht="15" customHeight="1">
      <c r="A704" t="inlineStr">
        <is>
          <t>A 34296-2025</t>
        </is>
      </c>
      <c r="B704" s="1" t="n">
        <v>45846.34454861111</v>
      </c>
      <c r="C704" s="1" t="n">
        <v>46170</v>
      </c>
      <c r="D704" t="inlineStr">
        <is>
          <t>JÄMTLANDS LÄN</t>
        </is>
      </c>
      <c r="E704" t="inlineStr">
        <is>
          <t>RAGUNDA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34709-2025</t>
        </is>
      </c>
      <c r="B705" s="1" t="n">
        <v>45848.49761574074</v>
      </c>
      <c r="C705" s="1" t="n">
        <v>46170</v>
      </c>
      <c r="D705" t="inlineStr">
        <is>
          <t>JÄMTLANDS LÄN</t>
        </is>
      </c>
      <c r="E705" t="inlineStr">
        <is>
          <t>RAGUNDA</t>
        </is>
      </c>
      <c r="G705" t="n">
        <v>3.1</v>
      </c>
      <c r="H705" t="n">
        <v>0</v>
      </c>
      <c r="I705" t="n">
        <v>0</v>
      </c>
      <c r="J705" t="n">
        <v>0</v>
      </c>
      <c r="K705" t="n">
        <v>0</v>
      </c>
      <c r="L705" t="n">
        <v>0</v>
      </c>
      <c r="M705" t="n">
        <v>0</v>
      </c>
      <c r="N705" t="n">
        <v>0</v>
      </c>
      <c r="O705" t="n">
        <v>0</v>
      </c>
      <c r="P705" t="n">
        <v>0</v>
      </c>
      <c r="Q705" t="n">
        <v>0</v>
      </c>
      <c r="R705" s="2" t="inlineStr"/>
    </row>
    <row r="706" ht="15" customHeight="1">
      <c r="A706" t="inlineStr">
        <is>
          <t>A 34772-2025</t>
        </is>
      </c>
      <c r="B706" s="1" t="n">
        <v>45848.65658564815</v>
      </c>
      <c r="C706" s="1" t="n">
        <v>46170</v>
      </c>
      <c r="D706" t="inlineStr">
        <is>
          <t>JÄMTLANDS LÄN</t>
        </is>
      </c>
      <c r="E706" t="inlineStr">
        <is>
          <t>RAGUNDA</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12405-2025</t>
        </is>
      </c>
      <c r="B707" s="1" t="n">
        <v>45730.42738425926</v>
      </c>
      <c r="C707" s="1" t="n">
        <v>46170</v>
      </c>
      <c r="D707" t="inlineStr">
        <is>
          <t>JÄMTLANDS LÄN</t>
        </is>
      </c>
      <c r="E707" t="inlineStr">
        <is>
          <t>RAGUNDA</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49238-2025</t>
        </is>
      </c>
      <c r="B708" s="1" t="n">
        <v>45938.48231481481</v>
      </c>
      <c r="C708" s="1" t="n">
        <v>46170</v>
      </c>
      <c r="D708" t="inlineStr">
        <is>
          <t>JÄMTLANDS LÄN</t>
        </is>
      </c>
      <c r="E708" t="inlineStr">
        <is>
          <t>RAGUNDA</t>
        </is>
      </c>
      <c r="G708" t="n">
        <v>4.7</v>
      </c>
      <c r="H708" t="n">
        <v>0</v>
      </c>
      <c r="I708" t="n">
        <v>0</v>
      </c>
      <c r="J708" t="n">
        <v>0</v>
      </c>
      <c r="K708" t="n">
        <v>0</v>
      </c>
      <c r="L708" t="n">
        <v>0</v>
      </c>
      <c r="M708" t="n">
        <v>0</v>
      </c>
      <c r="N708" t="n">
        <v>0</v>
      </c>
      <c r="O708" t="n">
        <v>0</v>
      </c>
      <c r="P708" t="n">
        <v>0</v>
      </c>
      <c r="Q708" t="n">
        <v>0</v>
      </c>
      <c r="R708" s="2" t="inlineStr"/>
    </row>
    <row r="709" ht="15" customHeight="1">
      <c r="A709" t="inlineStr">
        <is>
          <t>A 34710-2025</t>
        </is>
      </c>
      <c r="B709" s="1" t="n">
        <v>45848.49774305556</v>
      </c>
      <c r="C709" s="1" t="n">
        <v>46170</v>
      </c>
      <c r="D709" t="inlineStr">
        <is>
          <t>JÄMTLANDS LÄN</t>
        </is>
      </c>
      <c r="E709" t="inlineStr">
        <is>
          <t>RAGUNDA</t>
        </is>
      </c>
      <c r="G709" t="n">
        <v>4.1</v>
      </c>
      <c r="H709" t="n">
        <v>0</v>
      </c>
      <c r="I709" t="n">
        <v>0</v>
      </c>
      <c r="J709" t="n">
        <v>0</v>
      </c>
      <c r="K709" t="n">
        <v>0</v>
      </c>
      <c r="L709" t="n">
        <v>0</v>
      </c>
      <c r="M709" t="n">
        <v>0</v>
      </c>
      <c r="N709" t="n">
        <v>0</v>
      </c>
      <c r="O709" t="n">
        <v>0</v>
      </c>
      <c r="P709" t="n">
        <v>0</v>
      </c>
      <c r="Q709" t="n">
        <v>0</v>
      </c>
      <c r="R709" s="2" t="inlineStr"/>
    </row>
    <row r="710" ht="15" customHeight="1">
      <c r="A710" t="inlineStr">
        <is>
          <t>A 49290-2025</t>
        </is>
      </c>
      <c r="B710" s="1" t="n">
        <v>45938.53168981482</v>
      </c>
      <c r="C710" s="1" t="n">
        <v>46170</v>
      </c>
      <c r="D710" t="inlineStr">
        <is>
          <t>JÄMTLANDS LÄN</t>
        </is>
      </c>
      <c r="E710" t="inlineStr">
        <is>
          <t>RAGUNDA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36986-2023</t>
        </is>
      </c>
      <c r="B711" s="1" t="n">
        <v>45154.95525462963</v>
      </c>
      <c r="C711" s="1" t="n">
        <v>46170</v>
      </c>
      <c r="D711" t="inlineStr">
        <is>
          <t>JÄMTLANDS LÄN</t>
        </is>
      </c>
      <c r="E711" t="inlineStr">
        <is>
          <t>RAGUNDA</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49092-2025</t>
        </is>
      </c>
      <c r="B712" s="1" t="n">
        <v>45937.67792824074</v>
      </c>
      <c r="C712" s="1" t="n">
        <v>46170</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34088-2025</t>
        </is>
      </c>
      <c r="B713" s="1" t="n">
        <v>45845</v>
      </c>
      <c r="C713" s="1" t="n">
        <v>46170</v>
      </c>
      <c r="D713" t="inlineStr">
        <is>
          <t>JÄMTLANDS LÄN</t>
        </is>
      </c>
      <c r="E713" t="inlineStr">
        <is>
          <t>RAGUNDA</t>
        </is>
      </c>
      <c r="G713" t="n">
        <v>1.4</v>
      </c>
      <c r="H713" t="n">
        <v>0</v>
      </c>
      <c r="I713" t="n">
        <v>0</v>
      </c>
      <c r="J713" t="n">
        <v>0</v>
      </c>
      <c r="K713" t="n">
        <v>0</v>
      </c>
      <c r="L713" t="n">
        <v>0</v>
      </c>
      <c r="M713" t="n">
        <v>0</v>
      </c>
      <c r="N713" t="n">
        <v>0</v>
      </c>
      <c r="O713" t="n">
        <v>0</v>
      </c>
      <c r="P713" t="n">
        <v>0</v>
      </c>
      <c r="Q713" t="n">
        <v>0</v>
      </c>
      <c r="R713" s="2" t="inlineStr"/>
    </row>
    <row r="714" ht="15" customHeight="1">
      <c r="A714" t="inlineStr">
        <is>
          <t>A 50215-2025</t>
        </is>
      </c>
      <c r="B714" s="1" t="n">
        <v>45943.67842592593</v>
      </c>
      <c r="C714" s="1" t="n">
        <v>46170</v>
      </c>
      <c r="D714" t="inlineStr">
        <is>
          <t>JÄMTLANDS LÄN</t>
        </is>
      </c>
      <c r="E714" t="inlineStr">
        <is>
          <t>RAGUNDA</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34968-2025</t>
        </is>
      </c>
      <c r="B715" s="1" t="n">
        <v>45849.65663194445</v>
      </c>
      <c r="C715" s="1" t="n">
        <v>46170</v>
      </c>
      <c r="D715" t="inlineStr">
        <is>
          <t>JÄMTLANDS LÄN</t>
        </is>
      </c>
      <c r="E715" t="inlineStr">
        <is>
          <t>RAGUNDA</t>
        </is>
      </c>
      <c r="F715" t="inlineStr">
        <is>
          <t>SCA</t>
        </is>
      </c>
      <c r="G715" t="n">
        <v>20.2</v>
      </c>
      <c r="H715" t="n">
        <v>0</v>
      </c>
      <c r="I715" t="n">
        <v>0</v>
      </c>
      <c r="J715" t="n">
        <v>0</v>
      </c>
      <c r="K715" t="n">
        <v>0</v>
      </c>
      <c r="L715" t="n">
        <v>0</v>
      </c>
      <c r="M715" t="n">
        <v>0</v>
      </c>
      <c r="N715" t="n">
        <v>0</v>
      </c>
      <c r="O715" t="n">
        <v>0</v>
      </c>
      <c r="P715" t="n">
        <v>0</v>
      </c>
      <c r="Q715" t="n">
        <v>0</v>
      </c>
      <c r="R715" s="2" t="inlineStr"/>
    </row>
    <row r="716" ht="15" customHeight="1">
      <c r="A716" t="inlineStr">
        <is>
          <t>A 34998-2025</t>
        </is>
      </c>
      <c r="B716" s="1" t="n">
        <v>45850.34434027778</v>
      </c>
      <c r="C716" s="1" t="n">
        <v>46170</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34999-2025</t>
        </is>
      </c>
      <c r="B717" s="1" t="n">
        <v>45850.34450231482</v>
      </c>
      <c r="C717" s="1" t="n">
        <v>46170</v>
      </c>
      <c r="D717" t="inlineStr">
        <is>
          <t>JÄMTLANDS LÄN</t>
        </is>
      </c>
      <c r="E717" t="inlineStr">
        <is>
          <t>RAGUNDA</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49991-2025</t>
        </is>
      </c>
      <c r="B718" s="1" t="n">
        <v>45942.91568287037</v>
      </c>
      <c r="C718" s="1" t="n">
        <v>46170</v>
      </c>
      <c r="D718" t="inlineStr">
        <is>
          <t>JÄMTLANDS LÄN</t>
        </is>
      </c>
      <c r="E718" t="inlineStr">
        <is>
          <t>RAGUNDA</t>
        </is>
      </c>
      <c r="G718" t="n">
        <v>9</v>
      </c>
      <c r="H718" t="n">
        <v>0</v>
      </c>
      <c r="I718" t="n">
        <v>0</v>
      </c>
      <c r="J718" t="n">
        <v>0</v>
      </c>
      <c r="K718" t="n">
        <v>0</v>
      </c>
      <c r="L718" t="n">
        <v>0</v>
      </c>
      <c r="M718" t="n">
        <v>0</v>
      </c>
      <c r="N718" t="n">
        <v>0</v>
      </c>
      <c r="O718" t="n">
        <v>0</v>
      </c>
      <c r="P718" t="n">
        <v>0</v>
      </c>
      <c r="Q718" t="n">
        <v>0</v>
      </c>
      <c r="R718" s="2" t="inlineStr"/>
    </row>
    <row r="719" ht="15" customHeight="1">
      <c r="A719" t="inlineStr">
        <is>
          <t>A 49993-2025</t>
        </is>
      </c>
      <c r="B719" s="1" t="n">
        <v>45942.94371527778</v>
      </c>
      <c r="C719" s="1" t="n">
        <v>46170</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49994-2025</t>
        </is>
      </c>
      <c r="B720" s="1" t="n">
        <v>45942.96922453704</v>
      </c>
      <c r="C720" s="1" t="n">
        <v>46170</v>
      </c>
      <c r="D720" t="inlineStr">
        <is>
          <t>JÄMTLANDS LÄN</t>
        </is>
      </c>
      <c r="E720" t="inlineStr">
        <is>
          <t>RAGUNDA</t>
        </is>
      </c>
      <c r="G720" t="n">
        <v>4.5</v>
      </c>
      <c r="H720" t="n">
        <v>0</v>
      </c>
      <c r="I720" t="n">
        <v>0</v>
      </c>
      <c r="J720" t="n">
        <v>0</v>
      </c>
      <c r="K720" t="n">
        <v>0</v>
      </c>
      <c r="L720" t="n">
        <v>0</v>
      </c>
      <c r="M720" t="n">
        <v>0</v>
      </c>
      <c r="N720" t="n">
        <v>0</v>
      </c>
      <c r="O720" t="n">
        <v>0</v>
      </c>
      <c r="P720" t="n">
        <v>0</v>
      </c>
      <c r="Q720" t="n">
        <v>0</v>
      </c>
      <c r="R720" s="2" t="inlineStr"/>
    </row>
    <row r="721" ht="15" customHeight="1">
      <c r="A721" t="inlineStr">
        <is>
          <t>A 49995-2025</t>
        </is>
      </c>
      <c r="B721" s="1" t="n">
        <v>45943.00986111111</v>
      </c>
      <c r="C721" s="1" t="n">
        <v>46170</v>
      </c>
      <c r="D721" t="inlineStr">
        <is>
          <t>JÄMTLANDS LÄN</t>
        </is>
      </c>
      <c r="E721" t="inlineStr">
        <is>
          <t>RAGUNDA</t>
        </is>
      </c>
      <c r="G721" t="n">
        <v>2.5</v>
      </c>
      <c r="H721" t="n">
        <v>0</v>
      </c>
      <c r="I721" t="n">
        <v>0</v>
      </c>
      <c r="J721" t="n">
        <v>0</v>
      </c>
      <c r="K721" t="n">
        <v>0</v>
      </c>
      <c r="L721" t="n">
        <v>0</v>
      </c>
      <c r="M721" t="n">
        <v>0</v>
      </c>
      <c r="N721" t="n">
        <v>0</v>
      </c>
      <c r="O721" t="n">
        <v>0</v>
      </c>
      <c r="P721" t="n">
        <v>0</v>
      </c>
      <c r="Q721" t="n">
        <v>0</v>
      </c>
      <c r="R721" s="2" t="inlineStr"/>
    </row>
    <row r="722" ht="15" customHeight="1">
      <c r="A722" t="inlineStr">
        <is>
          <t>A 35092-2025</t>
        </is>
      </c>
      <c r="B722" s="1" t="n">
        <v>45852.53185185185</v>
      </c>
      <c r="C722" s="1" t="n">
        <v>46170</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50126-2025</t>
        </is>
      </c>
      <c r="B723" s="1" t="n">
        <v>45943.55271990741</v>
      </c>
      <c r="C723" s="1" t="n">
        <v>46170</v>
      </c>
      <c r="D723" t="inlineStr">
        <is>
          <t>JÄMTLANDS LÄN</t>
        </is>
      </c>
      <c r="E723" t="inlineStr">
        <is>
          <t>RAGUNDA</t>
        </is>
      </c>
      <c r="G723" t="n">
        <v>1</v>
      </c>
      <c r="H723" t="n">
        <v>0</v>
      </c>
      <c r="I723" t="n">
        <v>0</v>
      </c>
      <c r="J723" t="n">
        <v>0</v>
      </c>
      <c r="K723" t="n">
        <v>0</v>
      </c>
      <c r="L723" t="n">
        <v>0</v>
      </c>
      <c r="M723" t="n">
        <v>0</v>
      </c>
      <c r="N723" t="n">
        <v>0</v>
      </c>
      <c r="O723" t="n">
        <v>0</v>
      </c>
      <c r="P723" t="n">
        <v>0</v>
      </c>
      <c r="Q723" t="n">
        <v>0</v>
      </c>
      <c r="R723" s="2" t="inlineStr"/>
    </row>
    <row r="724" ht="15" customHeight="1">
      <c r="A724" t="inlineStr">
        <is>
          <t>A 50098-2025</t>
        </is>
      </c>
      <c r="B724" s="1" t="n">
        <v>45943.51086805556</v>
      </c>
      <c r="C724" s="1" t="n">
        <v>46170</v>
      </c>
      <c r="D724" t="inlineStr">
        <is>
          <t>JÄMTLANDS LÄN</t>
        </is>
      </c>
      <c r="E724" t="inlineStr">
        <is>
          <t>RAGUNDA</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50125-2025</t>
        </is>
      </c>
      <c r="B725" s="1" t="n">
        <v>45943.55262731481</v>
      </c>
      <c r="C725" s="1" t="n">
        <v>46170</v>
      </c>
      <c r="D725" t="inlineStr">
        <is>
          <t>JÄMTLANDS LÄN</t>
        </is>
      </c>
      <c r="E725" t="inlineStr">
        <is>
          <t>RAGUNDA</t>
        </is>
      </c>
      <c r="F725" t="inlineStr">
        <is>
          <t>Sveaskog</t>
        </is>
      </c>
      <c r="G725" t="n">
        <v>23.2</v>
      </c>
      <c r="H725" t="n">
        <v>0</v>
      </c>
      <c r="I725" t="n">
        <v>0</v>
      </c>
      <c r="J725" t="n">
        <v>0</v>
      </c>
      <c r="K725" t="n">
        <v>0</v>
      </c>
      <c r="L725" t="n">
        <v>0</v>
      </c>
      <c r="M725" t="n">
        <v>0</v>
      </c>
      <c r="N725" t="n">
        <v>0</v>
      </c>
      <c r="O725" t="n">
        <v>0</v>
      </c>
      <c r="P725" t="n">
        <v>0</v>
      </c>
      <c r="Q725" t="n">
        <v>0</v>
      </c>
      <c r="R725" s="2" t="inlineStr"/>
    </row>
    <row r="726" ht="15" customHeight="1">
      <c r="A726" t="inlineStr">
        <is>
          <t>A 35091-2025</t>
        </is>
      </c>
      <c r="B726" s="1" t="n">
        <v>45852.53168981482</v>
      </c>
      <c r="C726" s="1" t="n">
        <v>46170</v>
      </c>
      <c r="D726" t="inlineStr">
        <is>
          <t>JÄMTLANDS LÄN</t>
        </is>
      </c>
      <c r="E726" t="inlineStr">
        <is>
          <t>RAGUNDA</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50081-2025</t>
        </is>
      </c>
      <c r="B727" s="1" t="n">
        <v>45943.46954861111</v>
      </c>
      <c r="C727" s="1" t="n">
        <v>46170</v>
      </c>
      <c r="D727" t="inlineStr">
        <is>
          <t>JÄMTLANDS LÄN</t>
        </is>
      </c>
      <c r="E727" t="inlineStr">
        <is>
          <t>RAGUNDA</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50080-2025</t>
        </is>
      </c>
      <c r="B728" s="1" t="n">
        <v>45943.469375</v>
      </c>
      <c r="C728" s="1" t="n">
        <v>46170</v>
      </c>
      <c r="D728" t="inlineStr">
        <is>
          <t>JÄMTLANDS LÄN</t>
        </is>
      </c>
      <c r="E728" t="inlineStr">
        <is>
          <t>RAGUNDA</t>
        </is>
      </c>
      <c r="F728" t="inlineStr">
        <is>
          <t>Naturvårdsverket</t>
        </is>
      </c>
      <c r="G728" t="n">
        <v>6.1</v>
      </c>
      <c r="H728" t="n">
        <v>0</v>
      </c>
      <c r="I728" t="n">
        <v>0</v>
      </c>
      <c r="J728" t="n">
        <v>0</v>
      </c>
      <c r="K728" t="n">
        <v>0</v>
      </c>
      <c r="L728" t="n">
        <v>0</v>
      </c>
      <c r="M728" t="n">
        <v>0</v>
      </c>
      <c r="N728" t="n">
        <v>0</v>
      </c>
      <c r="O728" t="n">
        <v>0</v>
      </c>
      <c r="P728" t="n">
        <v>0</v>
      </c>
      <c r="Q728" t="n">
        <v>0</v>
      </c>
      <c r="R728" s="2" t="inlineStr"/>
    </row>
    <row r="729" ht="15" customHeight="1">
      <c r="A729" t="inlineStr">
        <is>
          <t>A 2224-2024</t>
        </is>
      </c>
      <c r="B729" s="1" t="n">
        <v>45309.92524305556</v>
      </c>
      <c r="C729" s="1" t="n">
        <v>46170</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1523-2024</t>
        </is>
      </c>
      <c r="B730" s="1" t="n">
        <v>45306</v>
      </c>
      <c r="C730" s="1" t="n">
        <v>46170</v>
      </c>
      <c r="D730" t="inlineStr">
        <is>
          <t>JÄMTLANDS LÄN</t>
        </is>
      </c>
      <c r="E730" t="inlineStr">
        <is>
          <t>RAGUNDA</t>
        </is>
      </c>
      <c r="G730" t="n">
        <v>4.1</v>
      </c>
      <c r="H730" t="n">
        <v>0</v>
      </c>
      <c r="I730" t="n">
        <v>0</v>
      </c>
      <c r="J730" t="n">
        <v>0</v>
      </c>
      <c r="K730" t="n">
        <v>0</v>
      </c>
      <c r="L730" t="n">
        <v>0</v>
      </c>
      <c r="M730" t="n">
        <v>0</v>
      </c>
      <c r="N730" t="n">
        <v>0</v>
      </c>
      <c r="O730" t="n">
        <v>0</v>
      </c>
      <c r="P730" t="n">
        <v>0</v>
      </c>
      <c r="Q730" t="n">
        <v>0</v>
      </c>
      <c r="R730" s="2" t="inlineStr"/>
    </row>
    <row r="731" ht="15" customHeight="1">
      <c r="A731" t="inlineStr">
        <is>
          <t>A 50260-2025</t>
        </is>
      </c>
      <c r="B731" s="1" t="n">
        <v>45944.34515046296</v>
      </c>
      <c r="C731" s="1" t="n">
        <v>46170</v>
      </c>
      <c r="D731" t="inlineStr">
        <is>
          <t>JÄMTLANDS LÄN</t>
        </is>
      </c>
      <c r="E731" t="inlineStr">
        <is>
          <t>RAGUNDA</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35462-2025</t>
        </is>
      </c>
      <c r="B732" s="1" t="n">
        <v>45855.61523148148</v>
      </c>
      <c r="C732" s="1" t="n">
        <v>46170</v>
      </c>
      <c r="D732" t="inlineStr">
        <is>
          <t>JÄMTLANDS LÄN</t>
        </is>
      </c>
      <c r="E732" t="inlineStr">
        <is>
          <t>RAGUNDA</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35355-2025</t>
        </is>
      </c>
      <c r="B733" s="1" t="n">
        <v>45854.65663194445</v>
      </c>
      <c r="C733" s="1" t="n">
        <v>46170</v>
      </c>
      <c r="D733" t="inlineStr">
        <is>
          <t>JÄMTLANDS LÄN</t>
        </is>
      </c>
      <c r="E733" t="inlineStr">
        <is>
          <t>RAGUNDA</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35477-2025</t>
        </is>
      </c>
      <c r="B734" s="1" t="n">
        <v>45855.67899305555</v>
      </c>
      <c r="C734" s="1" t="n">
        <v>46170</v>
      </c>
      <c r="D734" t="inlineStr">
        <is>
          <t>JÄMTLANDS LÄN</t>
        </is>
      </c>
      <c r="E734" t="inlineStr">
        <is>
          <t>RAGUNDA</t>
        </is>
      </c>
      <c r="G734" t="n">
        <v>3.6</v>
      </c>
      <c r="H734" t="n">
        <v>0</v>
      </c>
      <c r="I734" t="n">
        <v>0</v>
      </c>
      <c r="J734" t="n">
        <v>0</v>
      </c>
      <c r="K734" t="n">
        <v>0</v>
      </c>
      <c r="L734" t="n">
        <v>0</v>
      </c>
      <c r="M734" t="n">
        <v>0</v>
      </c>
      <c r="N734" t="n">
        <v>0</v>
      </c>
      <c r="O734" t="n">
        <v>0</v>
      </c>
      <c r="P734" t="n">
        <v>0</v>
      </c>
      <c r="Q734" t="n">
        <v>0</v>
      </c>
      <c r="R734" s="2" t="inlineStr"/>
    </row>
    <row r="735" ht="15" customHeight="1">
      <c r="A735" t="inlineStr">
        <is>
          <t>A 50473-2025</t>
        </is>
      </c>
      <c r="B735" s="1" t="n">
        <v>45945.36520833334</v>
      </c>
      <c r="C735" s="1" t="n">
        <v>46170</v>
      </c>
      <c r="D735" t="inlineStr">
        <is>
          <t>JÄMTLANDS LÄN</t>
        </is>
      </c>
      <c r="E735" t="inlineStr">
        <is>
          <t>RAGUNDA</t>
        </is>
      </c>
      <c r="F735" t="inlineStr">
        <is>
          <t>SCA</t>
        </is>
      </c>
      <c r="G735" t="n">
        <v>11.2</v>
      </c>
      <c r="H735" t="n">
        <v>0</v>
      </c>
      <c r="I735" t="n">
        <v>0</v>
      </c>
      <c r="J735" t="n">
        <v>0</v>
      </c>
      <c r="K735" t="n">
        <v>0</v>
      </c>
      <c r="L735" t="n">
        <v>0</v>
      </c>
      <c r="M735" t="n">
        <v>0</v>
      </c>
      <c r="N735" t="n">
        <v>0</v>
      </c>
      <c r="O735" t="n">
        <v>0</v>
      </c>
      <c r="P735" t="n">
        <v>0</v>
      </c>
      <c r="Q735" t="n">
        <v>0</v>
      </c>
      <c r="R735" s="2" t="inlineStr"/>
    </row>
    <row r="736" ht="15" customHeight="1">
      <c r="A736" t="inlineStr">
        <is>
          <t>A 58630-2024</t>
        </is>
      </c>
      <c r="B736" s="1" t="n">
        <v>45635.57331018519</v>
      </c>
      <c r="C736" s="1" t="n">
        <v>46170</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46549-2023</t>
        </is>
      </c>
      <c r="B737" s="1" t="n">
        <v>45197.94171296297</v>
      </c>
      <c r="C737" s="1" t="n">
        <v>46170</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35541-2025</t>
        </is>
      </c>
      <c r="B738" s="1" t="n">
        <v>45856.46931712963</v>
      </c>
      <c r="C738" s="1" t="n">
        <v>46170</v>
      </c>
      <c r="D738" t="inlineStr">
        <is>
          <t>JÄMTLANDS LÄN</t>
        </is>
      </c>
      <c r="E738" t="inlineStr">
        <is>
          <t>RAGUNDA</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50504-2025</t>
        </is>
      </c>
      <c r="B739" s="1" t="n">
        <v>45945.4284837963</v>
      </c>
      <c r="C739" s="1" t="n">
        <v>46170</v>
      </c>
      <c r="D739" t="inlineStr">
        <is>
          <t>JÄMTLANDS LÄN</t>
        </is>
      </c>
      <c r="E739" t="inlineStr">
        <is>
          <t>RAGUNDA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32258-2024</t>
        </is>
      </c>
      <c r="B740" s="1" t="n">
        <v>45511</v>
      </c>
      <c r="C740" s="1" t="n">
        <v>46170</v>
      </c>
      <c r="D740" t="inlineStr">
        <is>
          <t>JÄMTLANDS LÄN</t>
        </is>
      </c>
      <c r="E740" t="inlineStr">
        <is>
          <t>RAGUNDA</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38270-2021</t>
        </is>
      </c>
      <c r="B741" s="1" t="n">
        <v>44405.92065972222</v>
      </c>
      <c r="C741" s="1" t="n">
        <v>46170</v>
      </c>
      <c r="D741" t="inlineStr">
        <is>
          <t>JÄMTLANDS LÄN</t>
        </is>
      </c>
      <c r="E741" t="inlineStr">
        <is>
          <t>RAGUNDA</t>
        </is>
      </c>
      <c r="G741" t="n">
        <v>1.3</v>
      </c>
      <c r="H741" t="n">
        <v>0</v>
      </c>
      <c r="I741" t="n">
        <v>0</v>
      </c>
      <c r="J741" t="n">
        <v>0</v>
      </c>
      <c r="K741" t="n">
        <v>0</v>
      </c>
      <c r="L741" t="n">
        <v>0</v>
      </c>
      <c r="M741" t="n">
        <v>0</v>
      </c>
      <c r="N741" t="n">
        <v>0</v>
      </c>
      <c r="O741" t="n">
        <v>0</v>
      </c>
      <c r="P741" t="n">
        <v>0</v>
      </c>
      <c r="Q741" t="n">
        <v>0</v>
      </c>
      <c r="R741" s="2" t="inlineStr"/>
    </row>
    <row r="742" ht="15" customHeight="1">
      <c r="A742" t="inlineStr">
        <is>
          <t>A 50503-2025</t>
        </is>
      </c>
      <c r="B742" s="1" t="n">
        <v>45945.42746527777</v>
      </c>
      <c r="C742" s="1" t="n">
        <v>46170</v>
      </c>
      <c r="D742" t="inlineStr">
        <is>
          <t>JÄMTLANDS LÄN</t>
        </is>
      </c>
      <c r="E742" t="inlineStr">
        <is>
          <t>RAGUNDA</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35658-2025</t>
        </is>
      </c>
      <c r="B743" s="1" t="n">
        <v>45859.594375</v>
      </c>
      <c r="C743" s="1" t="n">
        <v>46170</v>
      </c>
      <c r="D743" t="inlineStr">
        <is>
          <t>JÄMTLANDS LÄN</t>
        </is>
      </c>
      <c r="E743" t="inlineStr">
        <is>
          <t>RAGUNDA</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29257-2024</t>
        </is>
      </c>
      <c r="B744" s="1" t="n">
        <v>45482.94815972223</v>
      </c>
      <c r="C744" s="1" t="n">
        <v>46170</v>
      </c>
      <c r="D744" t="inlineStr">
        <is>
          <t>JÄMTLANDS LÄN</t>
        </is>
      </c>
      <c r="E744" t="inlineStr">
        <is>
          <t>RAGUNDA</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27373-2023</t>
        </is>
      </c>
      <c r="B745" s="1" t="n">
        <v>45096.93866898148</v>
      </c>
      <c r="C745" s="1" t="n">
        <v>46170</v>
      </c>
      <c r="D745" t="inlineStr">
        <is>
          <t>JÄMTLANDS LÄN</t>
        </is>
      </c>
      <c r="E745" t="inlineStr">
        <is>
          <t>RAGUNDA</t>
        </is>
      </c>
      <c r="F745" t="inlineStr">
        <is>
          <t>SCA</t>
        </is>
      </c>
      <c r="G745" t="n">
        <v>6.9</v>
      </c>
      <c r="H745" t="n">
        <v>0</v>
      </c>
      <c r="I745" t="n">
        <v>0</v>
      </c>
      <c r="J745" t="n">
        <v>0</v>
      </c>
      <c r="K745" t="n">
        <v>0</v>
      </c>
      <c r="L745" t="n">
        <v>0</v>
      </c>
      <c r="M745" t="n">
        <v>0</v>
      </c>
      <c r="N745" t="n">
        <v>0</v>
      </c>
      <c r="O745" t="n">
        <v>0</v>
      </c>
      <c r="P745" t="n">
        <v>0</v>
      </c>
      <c r="Q745" t="n">
        <v>0</v>
      </c>
      <c r="R745" s="2" t="inlineStr"/>
    </row>
    <row r="746" ht="15" customHeight="1">
      <c r="A746" t="inlineStr">
        <is>
          <t>A 62115-2024</t>
        </is>
      </c>
      <c r="B746" s="1" t="n">
        <v>45656</v>
      </c>
      <c r="C746" s="1" t="n">
        <v>46170</v>
      </c>
      <c r="D746" t="inlineStr">
        <is>
          <t>JÄMTLANDS LÄN</t>
        </is>
      </c>
      <c r="E746" t="inlineStr">
        <is>
          <t>RAGUNDA</t>
        </is>
      </c>
      <c r="G746" t="n">
        <v>3.3</v>
      </c>
      <c r="H746" t="n">
        <v>0</v>
      </c>
      <c r="I746" t="n">
        <v>0</v>
      </c>
      <c r="J746" t="n">
        <v>0</v>
      </c>
      <c r="K746" t="n">
        <v>0</v>
      </c>
      <c r="L746" t="n">
        <v>0</v>
      </c>
      <c r="M746" t="n">
        <v>0</v>
      </c>
      <c r="N746" t="n">
        <v>0</v>
      </c>
      <c r="O746" t="n">
        <v>0</v>
      </c>
      <c r="P746" t="n">
        <v>0</v>
      </c>
      <c r="Q746" t="n">
        <v>0</v>
      </c>
      <c r="R746" s="2" t="inlineStr"/>
    </row>
    <row r="747" ht="15" customHeight="1">
      <c r="A747" t="inlineStr">
        <is>
          <t>A 12653-2024</t>
        </is>
      </c>
      <c r="B747" s="1" t="n">
        <v>45384</v>
      </c>
      <c r="C747" s="1" t="n">
        <v>46170</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50211-2023</t>
        </is>
      </c>
      <c r="B748" s="1" t="n">
        <v>45215.94657407407</v>
      </c>
      <c r="C748" s="1" t="n">
        <v>46170</v>
      </c>
      <c r="D748" t="inlineStr">
        <is>
          <t>JÄMTLANDS LÄN</t>
        </is>
      </c>
      <c r="E748" t="inlineStr">
        <is>
          <t>RAGUNDA</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35689-2025</t>
        </is>
      </c>
      <c r="B749" s="1" t="n">
        <v>45860.30229166667</v>
      </c>
      <c r="C749" s="1" t="n">
        <v>46170</v>
      </c>
      <c r="D749" t="inlineStr">
        <is>
          <t>JÄMTLANDS LÄN</t>
        </is>
      </c>
      <c r="E749" t="inlineStr">
        <is>
          <t>RAGUNDA</t>
        </is>
      </c>
      <c r="G749" t="n">
        <v>1.9</v>
      </c>
      <c r="H749" t="n">
        <v>0</v>
      </c>
      <c r="I749" t="n">
        <v>0</v>
      </c>
      <c r="J749" t="n">
        <v>0</v>
      </c>
      <c r="K749" t="n">
        <v>0</v>
      </c>
      <c r="L749" t="n">
        <v>0</v>
      </c>
      <c r="M749" t="n">
        <v>0</v>
      </c>
      <c r="N749" t="n">
        <v>0</v>
      </c>
      <c r="O749" t="n">
        <v>0</v>
      </c>
      <c r="P749" t="n">
        <v>0</v>
      </c>
      <c r="Q749" t="n">
        <v>0</v>
      </c>
      <c r="R749" s="2" t="inlineStr"/>
    </row>
    <row r="750" ht="15" customHeight="1">
      <c r="A750" t="inlineStr">
        <is>
          <t>A 9232-2025</t>
        </is>
      </c>
      <c r="B750" s="1" t="n">
        <v>45714.55064814815</v>
      </c>
      <c r="C750" s="1" t="n">
        <v>46170</v>
      </c>
      <c r="D750" t="inlineStr">
        <is>
          <t>JÄMTLANDS LÄN</t>
        </is>
      </c>
      <c r="E750" t="inlineStr">
        <is>
          <t>RAGUNDA</t>
        </is>
      </c>
      <c r="G750" t="n">
        <v>1.9</v>
      </c>
      <c r="H750" t="n">
        <v>0</v>
      </c>
      <c r="I750" t="n">
        <v>0</v>
      </c>
      <c r="J750" t="n">
        <v>0</v>
      </c>
      <c r="K750" t="n">
        <v>0</v>
      </c>
      <c r="L750" t="n">
        <v>0</v>
      </c>
      <c r="M750" t="n">
        <v>0</v>
      </c>
      <c r="N750" t="n">
        <v>0</v>
      </c>
      <c r="O750" t="n">
        <v>0</v>
      </c>
      <c r="P750" t="n">
        <v>0</v>
      </c>
      <c r="Q750" t="n">
        <v>0</v>
      </c>
      <c r="R750" s="2" t="inlineStr"/>
    </row>
    <row r="751" ht="15" customHeight="1">
      <c r="A751" t="inlineStr">
        <is>
          <t>A 29775-2023</t>
        </is>
      </c>
      <c r="B751" s="1" t="n">
        <v>45098</v>
      </c>
      <c r="C751" s="1" t="n">
        <v>46170</v>
      </c>
      <c r="D751" t="inlineStr">
        <is>
          <t>JÄMTLANDS LÄN</t>
        </is>
      </c>
      <c r="E751" t="inlineStr">
        <is>
          <t>RAGUNDA</t>
        </is>
      </c>
      <c r="G751" t="n">
        <v>3.6</v>
      </c>
      <c r="H751" t="n">
        <v>0</v>
      </c>
      <c r="I751" t="n">
        <v>0</v>
      </c>
      <c r="J751" t="n">
        <v>0</v>
      </c>
      <c r="K751" t="n">
        <v>0</v>
      </c>
      <c r="L751" t="n">
        <v>0</v>
      </c>
      <c r="M751" t="n">
        <v>0</v>
      </c>
      <c r="N751" t="n">
        <v>0</v>
      </c>
      <c r="O751" t="n">
        <v>0</v>
      </c>
      <c r="P751" t="n">
        <v>0</v>
      </c>
      <c r="Q751" t="n">
        <v>0</v>
      </c>
      <c r="R751" s="2" t="inlineStr"/>
    </row>
    <row r="752" ht="15" customHeight="1">
      <c r="A752" t="inlineStr">
        <is>
          <t>A 44494-2024</t>
        </is>
      </c>
      <c r="B752" s="1" t="n">
        <v>45574.39081018518</v>
      </c>
      <c r="C752" s="1" t="n">
        <v>46170</v>
      </c>
      <c r="D752" t="inlineStr">
        <is>
          <t>JÄMTLANDS LÄN</t>
        </is>
      </c>
      <c r="E752" t="inlineStr">
        <is>
          <t>RAGUNDA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56435-2025</t>
        </is>
      </c>
      <c r="B753" s="1" t="n">
        <v>45975.34679398148</v>
      </c>
      <c r="C753" s="1" t="n">
        <v>46170</v>
      </c>
      <c r="D753" t="inlineStr">
        <is>
          <t>JÄMTLANDS LÄN</t>
        </is>
      </c>
      <c r="E753" t="inlineStr">
        <is>
          <t>RAGUNDA</t>
        </is>
      </c>
      <c r="F753" t="inlineStr">
        <is>
          <t>SCA</t>
        </is>
      </c>
      <c r="G753" t="n">
        <v>9.199999999999999</v>
      </c>
      <c r="H753" t="n">
        <v>0</v>
      </c>
      <c r="I753" t="n">
        <v>0</v>
      </c>
      <c r="J753" t="n">
        <v>0</v>
      </c>
      <c r="K753" t="n">
        <v>0</v>
      </c>
      <c r="L753" t="n">
        <v>0</v>
      </c>
      <c r="M753" t="n">
        <v>0</v>
      </c>
      <c r="N753" t="n">
        <v>0</v>
      </c>
      <c r="O753" t="n">
        <v>0</v>
      </c>
      <c r="P753" t="n">
        <v>0</v>
      </c>
      <c r="Q753" t="n">
        <v>0</v>
      </c>
      <c r="R753" s="2" t="inlineStr"/>
      <c r="U753">
        <f>HYPERLINK("https://klasma.github.io/Logging_2303/knärot/A 56435-2025 karta knärot.png", "A 56435-2025")</f>
        <v/>
      </c>
      <c r="V753">
        <f>HYPERLINK("https://klasma.github.io/Logging_2303/klagomål/A 56435-2025 FSC-klagomål.docx", "A 56435-2025")</f>
        <v/>
      </c>
      <c r="W753">
        <f>HYPERLINK("https://klasma.github.io/Logging_2303/klagomålsmail/A 56435-2025 FSC-klagomål mail.docx", "A 56435-2025")</f>
        <v/>
      </c>
      <c r="X753">
        <f>HYPERLINK("https://klasma.github.io/Logging_2303/tillsyn/A 56435-2025 tillsynsbegäran.docx", "A 56435-2025")</f>
        <v/>
      </c>
      <c r="Y753">
        <f>HYPERLINK("https://klasma.github.io/Logging_2303/tillsynsmail/A 56435-2025 tillsynsbegäran mail.docx", "A 56435-2025")</f>
        <v/>
      </c>
    </row>
    <row r="754" ht="15" customHeight="1">
      <c r="A754" t="inlineStr">
        <is>
          <t>A 54092-2024</t>
        </is>
      </c>
      <c r="B754" s="1" t="n">
        <v>45616.5108912037</v>
      </c>
      <c r="C754" s="1" t="n">
        <v>46170</v>
      </c>
      <c r="D754" t="inlineStr">
        <is>
          <t>JÄMTLANDS LÄN</t>
        </is>
      </c>
      <c r="E754" t="inlineStr">
        <is>
          <t>RAGUNDA</t>
        </is>
      </c>
      <c r="F754" t="inlineStr">
        <is>
          <t>Naturvårdsverket</t>
        </is>
      </c>
      <c r="G754" t="n">
        <v>1.3</v>
      </c>
      <c r="H754" t="n">
        <v>0</v>
      </c>
      <c r="I754" t="n">
        <v>0</v>
      </c>
      <c r="J754" t="n">
        <v>0</v>
      </c>
      <c r="K754" t="n">
        <v>0</v>
      </c>
      <c r="L754" t="n">
        <v>0</v>
      </c>
      <c r="M754" t="n">
        <v>0</v>
      </c>
      <c r="N754" t="n">
        <v>0</v>
      </c>
      <c r="O754" t="n">
        <v>0</v>
      </c>
      <c r="P754" t="n">
        <v>0</v>
      </c>
      <c r="Q754" t="n">
        <v>0</v>
      </c>
      <c r="R754" s="2" t="inlineStr"/>
    </row>
    <row r="755" ht="15" customHeight="1">
      <c r="A755" t="inlineStr">
        <is>
          <t>A 13898-2023</t>
        </is>
      </c>
      <c r="B755" s="1" t="n">
        <v>45008.01408564814</v>
      </c>
      <c r="C755" s="1" t="n">
        <v>46170</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56170-2025</t>
        </is>
      </c>
      <c r="B756" s="1" t="n">
        <v>45974.39398148148</v>
      </c>
      <c r="C756" s="1" t="n">
        <v>46170</v>
      </c>
      <c r="D756" t="inlineStr">
        <is>
          <t>JÄMTLANDS LÄN</t>
        </is>
      </c>
      <c r="E756" t="inlineStr">
        <is>
          <t>RAGUNDA</t>
        </is>
      </c>
      <c r="G756" t="n">
        <v>2</v>
      </c>
      <c r="H756" t="n">
        <v>0</v>
      </c>
      <c r="I756" t="n">
        <v>0</v>
      </c>
      <c r="J756" t="n">
        <v>0</v>
      </c>
      <c r="K756" t="n">
        <v>0</v>
      </c>
      <c r="L756" t="n">
        <v>0</v>
      </c>
      <c r="M756" t="n">
        <v>0</v>
      </c>
      <c r="N756" t="n">
        <v>0</v>
      </c>
      <c r="O756" t="n">
        <v>0</v>
      </c>
      <c r="P756" t="n">
        <v>0</v>
      </c>
      <c r="Q756" t="n">
        <v>0</v>
      </c>
      <c r="R756" s="2" t="inlineStr"/>
    </row>
    <row r="757" ht="15" customHeight="1">
      <c r="A757" t="inlineStr">
        <is>
          <t>A 36541-2025</t>
        </is>
      </c>
      <c r="B757" s="1" t="n">
        <v>45869.65666666667</v>
      </c>
      <c r="C757" s="1" t="n">
        <v>46170</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36544-2025</t>
        </is>
      </c>
      <c r="B758" s="1" t="n">
        <v>45869.67744212963</v>
      </c>
      <c r="C758" s="1" t="n">
        <v>46170</v>
      </c>
      <c r="D758" t="inlineStr">
        <is>
          <t>JÄMTLANDS LÄN</t>
        </is>
      </c>
      <c r="E758" t="inlineStr">
        <is>
          <t>RAGUNDA</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36553-2025</t>
        </is>
      </c>
      <c r="B759" s="1" t="n">
        <v>45870.34439814815</v>
      </c>
      <c r="C759" s="1" t="n">
        <v>46170</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26026-2024</t>
        </is>
      </c>
      <c r="B760" s="1" t="n">
        <v>45467.96207175926</v>
      </c>
      <c r="C760" s="1" t="n">
        <v>46170</v>
      </c>
      <c r="D760" t="inlineStr">
        <is>
          <t>JÄMTLANDS LÄN</t>
        </is>
      </c>
      <c r="E760" t="inlineStr">
        <is>
          <t>RAGUNDA</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5429-2024</t>
        </is>
      </c>
      <c r="B761" s="1" t="n">
        <v>45331.92746527777</v>
      </c>
      <c r="C761" s="1" t="n">
        <v>46170</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3720-2025</t>
        </is>
      </c>
      <c r="B762" s="1" t="n">
        <v>45681.5315625</v>
      </c>
      <c r="C762" s="1" t="n">
        <v>46170</v>
      </c>
      <c r="D762" t="inlineStr">
        <is>
          <t>JÄMTLANDS LÄN</t>
        </is>
      </c>
      <c r="E762" t="inlineStr">
        <is>
          <t>RAGUNDA</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3770-2025</t>
        </is>
      </c>
      <c r="B763" s="1" t="n">
        <v>45681.6050925926</v>
      </c>
      <c r="C763" s="1" t="n">
        <v>46170</v>
      </c>
      <c r="D763" t="inlineStr">
        <is>
          <t>JÄMTLANDS LÄN</t>
        </is>
      </c>
      <c r="E763" t="inlineStr">
        <is>
          <t>RAGUNDA</t>
        </is>
      </c>
      <c r="G763" t="n">
        <v>2.7</v>
      </c>
      <c r="H763" t="n">
        <v>0</v>
      </c>
      <c r="I763" t="n">
        <v>0</v>
      </c>
      <c r="J763" t="n">
        <v>0</v>
      </c>
      <c r="K763" t="n">
        <v>0</v>
      </c>
      <c r="L763" t="n">
        <v>0</v>
      </c>
      <c r="M763" t="n">
        <v>0</v>
      </c>
      <c r="N763" t="n">
        <v>0</v>
      </c>
      <c r="O763" t="n">
        <v>0</v>
      </c>
      <c r="P763" t="n">
        <v>0</v>
      </c>
      <c r="Q763" t="n">
        <v>0</v>
      </c>
      <c r="R763" s="2" t="inlineStr"/>
    </row>
    <row r="764" ht="15" customHeight="1">
      <c r="A764" t="inlineStr">
        <is>
          <t>A 32075-2025</t>
        </is>
      </c>
      <c r="B764" s="1" t="n">
        <v>45835.4506712963</v>
      </c>
      <c r="C764" s="1" t="n">
        <v>46170</v>
      </c>
      <c r="D764" t="inlineStr">
        <is>
          <t>JÄMTLANDS LÄN</t>
        </is>
      </c>
      <c r="E764" t="inlineStr">
        <is>
          <t>RAGUNDA</t>
        </is>
      </c>
      <c r="G764" t="n">
        <v>1.1</v>
      </c>
      <c r="H764" t="n">
        <v>0</v>
      </c>
      <c r="I764" t="n">
        <v>0</v>
      </c>
      <c r="J764" t="n">
        <v>0</v>
      </c>
      <c r="K764" t="n">
        <v>0</v>
      </c>
      <c r="L764" t="n">
        <v>0</v>
      </c>
      <c r="M764" t="n">
        <v>0</v>
      </c>
      <c r="N764" t="n">
        <v>0</v>
      </c>
      <c r="O764" t="n">
        <v>0</v>
      </c>
      <c r="P764" t="n">
        <v>0</v>
      </c>
      <c r="Q764" t="n">
        <v>0</v>
      </c>
      <c r="R764" s="2" t="inlineStr"/>
    </row>
    <row r="765" ht="15" customHeight="1">
      <c r="A765" t="inlineStr">
        <is>
          <t>A 51579-2024</t>
        </is>
      </c>
      <c r="B765" s="1" t="n">
        <v>45604.63575231482</v>
      </c>
      <c r="C765" s="1" t="n">
        <v>46170</v>
      </c>
      <c r="D765" t="inlineStr">
        <is>
          <t>JÄMTLANDS LÄN</t>
        </is>
      </c>
      <c r="E765" t="inlineStr">
        <is>
          <t>RAGUNDA</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8775-2025</t>
        </is>
      </c>
      <c r="B766" s="1" t="n">
        <v>45712.61502314815</v>
      </c>
      <c r="C766" s="1" t="n">
        <v>46170</v>
      </c>
      <c r="D766" t="inlineStr">
        <is>
          <t>JÄMTLANDS LÄN</t>
        </is>
      </c>
      <c r="E766" t="inlineStr">
        <is>
          <t>RAGUNDA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57111-2025</t>
        </is>
      </c>
      <c r="B767" s="1" t="n">
        <v>45978</v>
      </c>
      <c r="C767" s="1" t="n">
        <v>46170</v>
      </c>
      <c r="D767" t="inlineStr">
        <is>
          <t>JÄMTLANDS LÄN</t>
        </is>
      </c>
      <c r="E767" t="inlineStr">
        <is>
          <t>RAGUNDA</t>
        </is>
      </c>
      <c r="G767" t="n">
        <v>2.3</v>
      </c>
      <c r="H767" t="n">
        <v>0</v>
      </c>
      <c r="I767" t="n">
        <v>0</v>
      </c>
      <c r="J767" t="n">
        <v>0</v>
      </c>
      <c r="K767" t="n">
        <v>0</v>
      </c>
      <c r="L767" t="n">
        <v>0</v>
      </c>
      <c r="M767" t="n">
        <v>0</v>
      </c>
      <c r="N767" t="n">
        <v>0</v>
      </c>
      <c r="O767" t="n">
        <v>0</v>
      </c>
      <c r="P767" t="n">
        <v>0</v>
      </c>
      <c r="Q767" t="n">
        <v>0</v>
      </c>
      <c r="R767" s="2" t="inlineStr"/>
    </row>
    <row r="768" ht="15" customHeight="1">
      <c r="A768" t="inlineStr">
        <is>
          <t>A 57117-2025</t>
        </is>
      </c>
      <c r="B768" s="1" t="n">
        <v>45978</v>
      </c>
      <c r="C768" s="1" t="n">
        <v>46170</v>
      </c>
      <c r="D768" t="inlineStr">
        <is>
          <t>JÄMTLANDS LÄN</t>
        </is>
      </c>
      <c r="E768" t="inlineStr">
        <is>
          <t>RAGUNDA</t>
        </is>
      </c>
      <c r="G768" t="n">
        <v>4.2</v>
      </c>
      <c r="H768" t="n">
        <v>0</v>
      </c>
      <c r="I768" t="n">
        <v>0</v>
      </c>
      <c r="J768" t="n">
        <v>0</v>
      </c>
      <c r="K768" t="n">
        <v>0</v>
      </c>
      <c r="L768" t="n">
        <v>0</v>
      </c>
      <c r="M768" t="n">
        <v>0</v>
      </c>
      <c r="N768" t="n">
        <v>0</v>
      </c>
      <c r="O768" t="n">
        <v>0</v>
      </c>
      <c r="P768" t="n">
        <v>0</v>
      </c>
      <c r="Q768" t="n">
        <v>0</v>
      </c>
      <c r="R768" s="2" t="inlineStr"/>
    </row>
    <row r="769" ht="15" customHeight="1">
      <c r="A769" t="inlineStr">
        <is>
          <t>A 32874-2025</t>
        </is>
      </c>
      <c r="B769" s="1" t="n">
        <v>45839</v>
      </c>
      <c r="C769" s="1" t="n">
        <v>46170</v>
      </c>
      <c r="D769" t="inlineStr">
        <is>
          <t>JÄMTLANDS LÄN</t>
        </is>
      </c>
      <c r="E769" t="inlineStr">
        <is>
          <t>RAGUNDA</t>
        </is>
      </c>
      <c r="G769" t="n">
        <v>2.3</v>
      </c>
      <c r="H769" t="n">
        <v>0</v>
      </c>
      <c r="I769" t="n">
        <v>0</v>
      </c>
      <c r="J769" t="n">
        <v>0</v>
      </c>
      <c r="K769" t="n">
        <v>0</v>
      </c>
      <c r="L769" t="n">
        <v>0</v>
      </c>
      <c r="M769" t="n">
        <v>0</v>
      </c>
      <c r="N769" t="n">
        <v>0</v>
      </c>
      <c r="O769" t="n">
        <v>0</v>
      </c>
      <c r="P769" t="n">
        <v>0</v>
      </c>
      <c r="Q769" t="n">
        <v>0</v>
      </c>
      <c r="R769" s="2" t="inlineStr"/>
    </row>
    <row r="770" ht="15" customHeight="1">
      <c r="A770" t="inlineStr">
        <is>
          <t>A 36994-2025</t>
        </is>
      </c>
      <c r="B770" s="1" t="n">
        <v>45874.67746527777</v>
      </c>
      <c r="C770" s="1" t="n">
        <v>46170</v>
      </c>
      <c r="D770" t="inlineStr">
        <is>
          <t>JÄMTLANDS LÄN</t>
        </is>
      </c>
      <c r="E770" t="inlineStr">
        <is>
          <t>RAGUNDA</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2339-2025</t>
        </is>
      </c>
      <c r="B771" s="1" t="n">
        <v>45673.66358796296</v>
      </c>
      <c r="C771" s="1" t="n">
        <v>46170</v>
      </c>
      <c r="D771" t="inlineStr">
        <is>
          <t>JÄMTLANDS LÄN</t>
        </is>
      </c>
      <c r="E771" t="inlineStr">
        <is>
          <t>RAGUNDA</t>
        </is>
      </c>
      <c r="G771" t="n">
        <v>5</v>
      </c>
      <c r="H771" t="n">
        <v>0</v>
      </c>
      <c r="I771" t="n">
        <v>0</v>
      </c>
      <c r="J771" t="n">
        <v>0</v>
      </c>
      <c r="K771" t="n">
        <v>0</v>
      </c>
      <c r="L771" t="n">
        <v>0</v>
      </c>
      <c r="M771" t="n">
        <v>0</v>
      </c>
      <c r="N771" t="n">
        <v>0</v>
      </c>
      <c r="O771" t="n">
        <v>0</v>
      </c>
      <c r="P771" t="n">
        <v>0</v>
      </c>
      <c r="Q771" t="n">
        <v>0</v>
      </c>
      <c r="R771" s="2" t="inlineStr"/>
    </row>
    <row r="772" ht="15" customHeight="1">
      <c r="A772" t="inlineStr">
        <is>
          <t>A 56751-2025</t>
        </is>
      </c>
      <c r="B772" s="1" t="n">
        <v>45978.36538194444</v>
      </c>
      <c r="C772" s="1" t="n">
        <v>46170</v>
      </c>
      <c r="D772" t="inlineStr">
        <is>
          <t>JÄMTLANDS LÄN</t>
        </is>
      </c>
      <c r="E772" t="inlineStr">
        <is>
          <t>RAGUNDA</t>
        </is>
      </c>
      <c r="F772" t="inlineStr">
        <is>
          <t>SCA</t>
        </is>
      </c>
      <c r="G772" t="n">
        <v>34.5</v>
      </c>
      <c r="H772" t="n">
        <v>0</v>
      </c>
      <c r="I772" t="n">
        <v>0</v>
      </c>
      <c r="J772" t="n">
        <v>0</v>
      </c>
      <c r="K772" t="n">
        <v>0</v>
      </c>
      <c r="L772" t="n">
        <v>0</v>
      </c>
      <c r="M772" t="n">
        <v>0</v>
      </c>
      <c r="N772" t="n">
        <v>0</v>
      </c>
      <c r="O772" t="n">
        <v>0</v>
      </c>
      <c r="P772" t="n">
        <v>0</v>
      </c>
      <c r="Q772" t="n">
        <v>0</v>
      </c>
      <c r="R772" s="2" t="inlineStr"/>
    </row>
    <row r="773" ht="15" customHeight="1">
      <c r="A773" t="inlineStr">
        <is>
          <t>A 56806-2025</t>
        </is>
      </c>
      <c r="B773" s="1" t="n">
        <v>45978.44842592593</v>
      </c>
      <c r="C773" s="1" t="n">
        <v>46170</v>
      </c>
      <c r="D773" t="inlineStr">
        <is>
          <t>JÄMTLANDS LÄN</t>
        </is>
      </c>
      <c r="E773" t="inlineStr">
        <is>
          <t>RAGUNDA</t>
        </is>
      </c>
      <c r="F773" t="inlineStr">
        <is>
          <t>SCA</t>
        </is>
      </c>
      <c r="G773" t="n">
        <v>7.5</v>
      </c>
      <c r="H773" t="n">
        <v>0</v>
      </c>
      <c r="I773" t="n">
        <v>0</v>
      </c>
      <c r="J773" t="n">
        <v>0</v>
      </c>
      <c r="K773" t="n">
        <v>0</v>
      </c>
      <c r="L773" t="n">
        <v>0</v>
      </c>
      <c r="M773" t="n">
        <v>0</v>
      </c>
      <c r="N773" t="n">
        <v>0</v>
      </c>
      <c r="O773" t="n">
        <v>0</v>
      </c>
      <c r="P773" t="n">
        <v>0</v>
      </c>
      <c r="Q773" t="n">
        <v>0</v>
      </c>
      <c r="R773" s="2" t="inlineStr"/>
    </row>
    <row r="774" ht="15" customHeight="1">
      <c r="A774" t="inlineStr">
        <is>
          <t>A 37008-2025</t>
        </is>
      </c>
      <c r="B774" s="1" t="n">
        <v>45874.69844907407</v>
      </c>
      <c r="C774" s="1" t="n">
        <v>46170</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27499-2024</t>
        </is>
      </c>
      <c r="B775" s="1" t="n">
        <v>45474.50608796296</v>
      </c>
      <c r="C775" s="1" t="n">
        <v>46170</v>
      </c>
      <c r="D775" t="inlineStr">
        <is>
          <t>JÄMTLANDS LÄN</t>
        </is>
      </c>
      <c r="E775" t="inlineStr">
        <is>
          <t>RAGUNDA</t>
        </is>
      </c>
      <c r="G775" t="n">
        <v>1.3</v>
      </c>
      <c r="H775" t="n">
        <v>0</v>
      </c>
      <c r="I775" t="n">
        <v>0</v>
      </c>
      <c r="J775" t="n">
        <v>0</v>
      </c>
      <c r="K775" t="n">
        <v>0</v>
      </c>
      <c r="L775" t="n">
        <v>0</v>
      </c>
      <c r="M775" t="n">
        <v>0</v>
      </c>
      <c r="N775" t="n">
        <v>0</v>
      </c>
      <c r="O775" t="n">
        <v>0</v>
      </c>
      <c r="P775" t="n">
        <v>0</v>
      </c>
      <c r="Q775" t="n">
        <v>0</v>
      </c>
      <c r="R775" s="2" t="inlineStr"/>
    </row>
    <row r="776" ht="15" customHeight="1">
      <c r="A776" t="inlineStr">
        <is>
          <t>A 57078-2023</t>
        </is>
      </c>
      <c r="B776" s="1" t="n">
        <v>45244.96774305555</v>
      </c>
      <c r="C776" s="1" t="n">
        <v>46170</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36947-2025</t>
        </is>
      </c>
      <c r="B777" s="1" t="n">
        <v>45874.59496527778</v>
      </c>
      <c r="C777" s="1" t="n">
        <v>46170</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59368-2022</t>
        </is>
      </c>
      <c r="B778" s="1" t="n">
        <v>44904.94824074074</v>
      </c>
      <c r="C778" s="1" t="n">
        <v>46170</v>
      </c>
      <c r="D778" t="inlineStr">
        <is>
          <t>JÄMTLANDS LÄN</t>
        </is>
      </c>
      <c r="E778" t="inlineStr">
        <is>
          <t>RAGUNDA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6801-2023</t>
        </is>
      </c>
      <c r="B779" s="1" t="n">
        <v>44966.95328703704</v>
      </c>
      <c r="C779" s="1" t="n">
        <v>46170</v>
      </c>
      <c r="D779" t="inlineStr">
        <is>
          <t>JÄMTLANDS LÄN</t>
        </is>
      </c>
      <c r="E779" t="inlineStr">
        <is>
          <t>RAGUNDA</t>
        </is>
      </c>
      <c r="F779" t="inlineStr">
        <is>
          <t>SCA</t>
        </is>
      </c>
      <c r="G779" t="n">
        <v>10.6</v>
      </c>
      <c r="H779" t="n">
        <v>0</v>
      </c>
      <c r="I779" t="n">
        <v>0</v>
      </c>
      <c r="J779" t="n">
        <v>0</v>
      </c>
      <c r="K779" t="n">
        <v>0</v>
      </c>
      <c r="L779" t="n">
        <v>0</v>
      </c>
      <c r="M779" t="n">
        <v>0</v>
      </c>
      <c r="N779" t="n">
        <v>0</v>
      </c>
      <c r="O779" t="n">
        <v>0</v>
      </c>
      <c r="P779" t="n">
        <v>0</v>
      </c>
      <c r="Q779" t="n">
        <v>0</v>
      </c>
      <c r="R779" s="2" t="inlineStr"/>
    </row>
    <row r="780" ht="15" customHeight="1">
      <c r="A780" t="inlineStr">
        <is>
          <t>A 57184-2025</t>
        </is>
      </c>
      <c r="B780" s="1" t="n">
        <v>45979.57361111111</v>
      </c>
      <c r="C780" s="1" t="n">
        <v>46170</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37292-2025</t>
        </is>
      </c>
      <c r="B781" s="1" t="n">
        <v>45876.53188657408</v>
      </c>
      <c r="C781" s="1" t="n">
        <v>46170</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41656-2023</t>
        </is>
      </c>
      <c r="B782" s="1" t="n">
        <v>45175</v>
      </c>
      <c r="C782" s="1" t="n">
        <v>46170</v>
      </c>
      <c r="D782" t="inlineStr">
        <is>
          <t>JÄMTLANDS LÄN</t>
        </is>
      </c>
      <c r="E782" t="inlineStr">
        <is>
          <t>RAGUNDA</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57561-2025</t>
        </is>
      </c>
      <c r="B783" s="1" t="n">
        <v>45980.69885416667</v>
      </c>
      <c r="C783" s="1" t="n">
        <v>46170</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51646-2023</t>
        </is>
      </c>
      <c r="B784" s="1" t="n">
        <v>45215</v>
      </c>
      <c r="C784" s="1" t="n">
        <v>46170</v>
      </c>
      <c r="D784" t="inlineStr">
        <is>
          <t>JÄMTLANDS LÄN</t>
        </is>
      </c>
      <c r="E784" t="inlineStr">
        <is>
          <t>RAGUNDA</t>
        </is>
      </c>
      <c r="G784" t="n">
        <v>0.7</v>
      </c>
      <c r="H784" t="n">
        <v>0</v>
      </c>
      <c r="I784" t="n">
        <v>0</v>
      </c>
      <c r="J784" t="n">
        <v>0</v>
      </c>
      <c r="K784" t="n">
        <v>0</v>
      </c>
      <c r="L784" t="n">
        <v>0</v>
      </c>
      <c r="M784" t="n">
        <v>0</v>
      </c>
      <c r="N784" t="n">
        <v>0</v>
      </c>
      <c r="O784" t="n">
        <v>0</v>
      </c>
      <c r="P784" t="n">
        <v>0</v>
      </c>
      <c r="Q784" t="n">
        <v>0</v>
      </c>
      <c r="R784" s="2" t="inlineStr"/>
    </row>
    <row r="785" ht="15" customHeight="1">
      <c r="A785" t="inlineStr">
        <is>
          <t>A 37268-2024</t>
        </is>
      </c>
      <c r="B785" s="1" t="n">
        <v>45540.38586805556</v>
      </c>
      <c r="C785" s="1" t="n">
        <v>46170</v>
      </c>
      <c r="D785" t="inlineStr">
        <is>
          <t>JÄMTLANDS LÄN</t>
        </is>
      </c>
      <c r="E785" t="inlineStr">
        <is>
          <t>RAGUNDA</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57332-2025</t>
        </is>
      </c>
      <c r="B786" s="1" t="n">
        <v>45980.34467592592</v>
      </c>
      <c r="C786" s="1" t="n">
        <v>46170</v>
      </c>
      <c r="D786" t="inlineStr">
        <is>
          <t>JÄMTLANDS LÄN</t>
        </is>
      </c>
      <c r="E786" t="inlineStr">
        <is>
          <t>RAGUNDA</t>
        </is>
      </c>
      <c r="F786" t="inlineStr">
        <is>
          <t>SCA</t>
        </is>
      </c>
      <c r="G786" t="n">
        <v>22.6</v>
      </c>
      <c r="H786" t="n">
        <v>0</v>
      </c>
      <c r="I786" t="n">
        <v>0</v>
      </c>
      <c r="J786" t="n">
        <v>0</v>
      </c>
      <c r="K786" t="n">
        <v>0</v>
      </c>
      <c r="L786" t="n">
        <v>0</v>
      </c>
      <c r="M786" t="n">
        <v>0</v>
      </c>
      <c r="N786" t="n">
        <v>0</v>
      </c>
      <c r="O786" t="n">
        <v>0</v>
      </c>
      <c r="P786" t="n">
        <v>0</v>
      </c>
      <c r="Q786" t="n">
        <v>0</v>
      </c>
      <c r="R786" s="2" t="inlineStr"/>
    </row>
    <row r="787" ht="15" customHeight="1">
      <c r="A787" t="inlineStr">
        <is>
          <t>A 14512-2025</t>
        </is>
      </c>
      <c r="B787" s="1" t="n">
        <v>45741.63659722222</v>
      </c>
      <c r="C787" s="1" t="n">
        <v>46170</v>
      </c>
      <c r="D787" t="inlineStr">
        <is>
          <t>JÄMTLANDS LÄN</t>
        </is>
      </c>
      <c r="E787" t="inlineStr">
        <is>
          <t>RAGUNDA</t>
        </is>
      </c>
      <c r="F787" t="inlineStr">
        <is>
          <t>SCA</t>
        </is>
      </c>
      <c r="G787" t="n">
        <v>8.9</v>
      </c>
      <c r="H787" t="n">
        <v>0</v>
      </c>
      <c r="I787" t="n">
        <v>0</v>
      </c>
      <c r="J787" t="n">
        <v>0</v>
      </c>
      <c r="K787" t="n">
        <v>0</v>
      </c>
      <c r="L787" t="n">
        <v>0</v>
      </c>
      <c r="M787" t="n">
        <v>0</v>
      </c>
      <c r="N787" t="n">
        <v>0</v>
      </c>
      <c r="O787" t="n">
        <v>0</v>
      </c>
      <c r="P787" t="n">
        <v>0</v>
      </c>
      <c r="Q787" t="n">
        <v>0</v>
      </c>
      <c r="R787" s="2" t="inlineStr"/>
    </row>
    <row r="788" ht="15" customHeight="1">
      <c r="A788" t="inlineStr">
        <is>
          <t>A 57560-2025</t>
        </is>
      </c>
      <c r="B788" s="1" t="n">
        <v>45980.6987962963</v>
      </c>
      <c r="C788" s="1" t="n">
        <v>46170</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50649-2022</t>
        </is>
      </c>
      <c r="B789" s="1" t="n">
        <v>44866</v>
      </c>
      <c r="C789" s="1" t="n">
        <v>46170</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59759-2024</t>
        </is>
      </c>
      <c r="B790" s="1" t="n">
        <v>45639.55240740741</v>
      </c>
      <c r="C790" s="1" t="n">
        <v>46170</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35537-2021</t>
        </is>
      </c>
      <c r="B791" s="1" t="n">
        <v>44384</v>
      </c>
      <c r="C791" s="1" t="n">
        <v>46170</v>
      </c>
      <c r="D791" t="inlineStr">
        <is>
          <t>JÄMTLANDS LÄN</t>
        </is>
      </c>
      <c r="E791" t="inlineStr">
        <is>
          <t>RAGUNDA</t>
        </is>
      </c>
      <c r="G791" t="n">
        <v>3.1</v>
      </c>
      <c r="H791" t="n">
        <v>0</v>
      </c>
      <c r="I791" t="n">
        <v>0</v>
      </c>
      <c r="J791" t="n">
        <v>0</v>
      </c>
      <c r="K791" t="n">
        <v>0</v>
      </c>
      <c r="L791" t="n">
        <v>0</v>
      </c>
      <c r="M791" t="n">
        <v>0</v>
      </c>
      <c r="N791" t="n">
        <v>0</v>
      </c>
      <c r="O791" t="n">
        <v>0</v>
      </c>
      <c r="P791" t="n">
        <v>0</v>
      </c>
      <c r="Q791" t="n">
        <v>0</v>
      </c>
      <c r="R791" s="2" t="inlineStr"/>
    </row>
    <row r="792" ht="15" customHeight="1">
      <c r="A792" t="inlineStr">
        <is>
          <t>A 2819-2023</t>
        </is>
      </c>
      <c r="B792" s="1" t="n">
        <v>44944</v>
      </c>
      <c r="C792" s="1" t="n">
        <v>46170</v>
      </c>
      <c r="D792" t="inlineStr">
        <is>
          <t>JÄMTLANDS LÄN</t>
        </is>
      </c>
      <c r="E792" t="inlineStr">
        <is>
          <t>RAGUNDA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44536-2022</t>
        </is>
      </c>
      <c r="B793" s="1" t="n">
        <v>44839</v>
      </c>
      <c r="C793" s="1" t="n">
        <v>46170</v>
      </c>
      <c r="D793" t="inlineStr">
        <is>
          <t>JÄMTLANDS LÄN</t>
        </is>
      </c>
      <c r="E793" t="inlineStr">
        <is>
          <t>RAGUNDA</t>
        </is>
      </c>
      <c r="G793" t="n">
        <v>4</v>
      </c>
      <c r="H793" t="n">
        <v>0</v>
      </c>
      <c r="I793" t="n">
        <v>0</v>
      </c>
      <c r="J793" t="n">
        <v>0</v>
      </c>
      <c r="K793" t="n">
        <v>0</v>
      </c>
      <c r="L793" t="n">
        <v>0</v>
      </c>
      <c r="M793" t="n">
        <v>0</v>
      </c>
      <c r="N793" t="n">
        <v>0</v>
      </c>
      <c r="O793" t="n">
        <v>0</v>
      </c>
      <c r="P793" t="n">
        <v>0</v>
      </c>
      <c r="Q793" t="n">
        <v>0</v>
      </c>
      <c r="R793" s="2" t="inlineStr"/>
    </row>
    <row r="794" ht="15" customHeight="1">
      <c r="A794" t="inlineStr">
        <is>
          <t>A 57916-2025</t>
        </is>
      </c>
      <c r="B794" s="1" t="n">
        <v>45981</v>
      </c>
      <c r="C794" s="1" t="n">
        <v>46170</v>
      </c>
      <c r="D794" t="inlineStr">
        <is>
          <t>JÄMTLANDS LÄN</t>
        </is>
      </c>
      <c r="E794" t="inlineStr">
        <is>
          <t>RAGUNDA</t>
        </is>
      </c>
      <c r="G794" t="n">
        <v>5.3</v>
      </c>
      <c r="H794" t="n">
        <v>0</v>
      </c>
      <c r="I794" t="n">
        <v>0</v>
      </c>
      <c r="J794" t="n">
        <v>0</v>
      </c>
      <c r="K794" t="n">
        <v>0</v>
      </c>
      <c r="L794" t="n">
        <v>0</v>
      </c>
      <c r="M794" t="n">
        <v>0</v>
      </c>
      <c r="N794" t="n">
        <v>0</v>
      </c>
      <c r="O794" t="n">
        <v>0</v>
      </c>
      <c r="P794" t="n">
        <v>0</v>
      </c>
      <c r="Q794" t="n">
        <v>0</v>
      </c>
      <c r="R794" s="2" t="inlineStr"/>
    </row>
    <row r="795" ht="15" customHeight="1">
      <c r="A795" t="inlineStr">
        <is>
          <t>A 57914-2025</t>
        </is>
      </c>
      <c r="B795" s="1" t="n">
        <v>45981</v>
      </c>
      <c r="C795" s="1" t="n">
        <v>46170</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30459-2021</t>
        </is>
      </c>
      <c r="B796" s="1" t="n">
        <v>44362</v>
      </c>
      <c r="C796" s="1" t="n">
        <v>46170</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9504-2025</t>
        </is>
      </c>
      <c r="B797" s="1" t="n">
        <v>45714</v>
      </c>
      <c r="C797" s="1" t="n">
        <v>46170</v>
      </c>
      <c r="D797" t="inlineStr">
        <is>
          <t>JÄMTLANDS LÄN</t>
        </is>
      </c>
      <c r="E797" t="inlineStr">
        <is>
          <t>RAGUNDA</t>
        </is>
      </c>
      <c r="G797" t="n">
        <v>6</v>
      </c>
      <c r="H797" t="n">
        <v>0</v>
      </c>
      <c r="I797" t="n">
        <v>0</v>
      </c>
      <c r="J797" t="n">
        <v>0</v>
      </c>
      <c r="K797" t="n">
        <v>0</v>
      </c>
      <c r="L797" t="n">
        <v>0</v>
      </c>
      <c r="M797" t="n">
        <v>0</v>
      </c>
      <c r="N797" t="n">
        <v>0</v>
      </c>
      <c r="O797" t="n">
        <v>0</v>
      </c>
      <c r="P797" t="n">
        <v>0</v>
      </c>
      <c r="Q797" t="n">
        <v>0</v>
      </c>
      <c r="R797" s="2" t="inlineStr"/>
    </row>
    <row r="798" ht="15" customHeight="1">
      <c r="A798" t="inlineStr">
        <is>
          <t>A 37543-2023</t>
        </is>
      </c>
      <c r="B798" s="1" t="n">
        <v>45158.94231481481</v>
      </c>
      <c r="C798" s="1" t="n">
        <v>46170</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57833-2025</t>
        </is>
      </c>
      <c r="B799" s="1" t="n">
        <v>45981.61541666667</v>
      </c>
      <c r="C799" s="1" t="n">
        <v>46170</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57785-2025</t>
        </is>
      </c>
      <c r="B800" s="1" t="n">
        <v>45981.57393518519</v>
      </c>
      <c r="C800" s="1" t="n">
        <v>46170</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58093-2025</t>
        </is>
      </c>
      <c r="B801" s="1" t="n">
        <v>45982.5741087963</v>
      </c>
      <c r="C801" s="1" t="n">
        <v>46170</v>
      </c>
      <c r="D801" t="inlineStr">
        <is>
          <t>JÄMTLANDS LÄN</t>
        </is>
      </c>
      <c r="E801" t="inlineStr">
        <is>
          <t>RAGUNDA</t>
        </is>
      </c>
      <c r="G801" t="n">
        <v>22.2</v>
      </c>
      <c r="H801" t="n">
        <v>0</v>
      </c>
      <c r="I801" t="n">
        <v>0</v>
      </c>
      <c r="J801" t="n">
        <v>0</v>
      </c>
      <c r="K801" t="n">
        <v>0</v>
      </c>
      <c r="L801" t="n">
        <v>0</v>
      </c>
      <c r="M801" t="n">
        <v>0</v>
      </c>
      <c r="N801" t="n">
        <v>0</v>
      </c>
      <c r="O801" t="n">
        <v>0</v>
      </c>
      <c r="P801" t="n">
        <v>0</v>
      </c>
      <c r="Q801" t="n">
        <v>0</v>
      </c>
      <c r="R801" s="2" t="inlineStr"/>
    </row>
    <row r="802" ht="15" customHeight="1">
      <c r="A802" t="inlineStr">
        <is>
          <t>A 7668-2025</t>
        </is>
      </c>
      <c r="B802" s="1" t="n">
        <v>45706.34450231482</v>
      </c>
      <c r="C802" s="1" t="n">
        <v>46170</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57970-2025</t>
        </is>
      </c>
      <c r="B803" s="1" t="n">
        <v>45982.38582175926</v>
      </c>
      <c r="C803" s="1" t="n">
        <v>46170</v>
      </c>
      <c r="D803" t="inlineStr">
        <is>
          <t>JÄMTLANDS LÄN</t>
        </is>
      </c>
      <c r="E803" t="inlineStr">
        <is>
          <t>RAGUNDA</t>
        </is>
      </c>
      <c r="G803" t="n">
        <v>4.9</v>
      </c>
      <c r="H803" t="n">
        <v>0</v>
      </c>
      <c r="I803" t="n">
        <v>0</v>
      </c>
      <c r="J803" t="n">
        <v>0</v>
      </c>
      <c r="K803" t="n">
        <v>0</v>
      </c>
      <c r="L803" t="n">
        <v>0</v>
      </c>
      <c r="M803" t="n">
        <v>0</v>
      </c>
      <c r="N803" t="n">
        <v>0</v>
      </c>
      <c r="O803" t="n">
        <v>0</v>
      </c>
      <c r="P803" t="n">
        <v>0</v>
      </c>
      <c r="Q803" t="n">
        <v>0</v>
      </c>
      <c r="R803" s="2" t="inlineStr"/>
    </row>
    <row r="804" ht="15" customHeight="1">
      <c r="A804" t="inlineStr">
        <is>
          <t>A 36046-2023</t>
        </is>
      </c>
      <c r="B804" s="1" t="n">
        <v>45148</v>
      </c>
      <c r="C804" s="1" t="n">
        <v>46170</v>
      </c>
      <c r="D804" t="inlineStr">
        <is>
          <t>JÄMTLANDS LÄN</t>
        </is>
      </c>
      <c r="E804" t="inlineStr">
        <is>
          <t>RAGUNDA</t>
        </is>
      </c>
      <c r="G804" t="n">
        <v>1.9</v>
      </c>
      <c r="H804" t="n">
        <v>0</v>
      </c>
      <c r="I804" t="n">
        <v>0</v>
      </c>
      <c r="J804" t="n">
        <v>0</v>
      </c>
      <c r="K804" t="n">
        <v>0</v>
      </c>
      <c r="L804" t="n">
        <v>0</v>
      </c>
      <c r="M804" t="n">
        <v>0</v>
      </c>
      <c r="N804" t="n">
        <v>0</v>
      </c>
      <c r="O804" t="n">
        <v>0</v>
      </c>
      <c r="P804" t="n">
        <v>0</v>
      </c>
      <c r="Q804" t="n">
        <v>0</v>
      </c>
      <c r="R804" s="2" t="inlineStr"/>
    </row>
    <row r="805" ht="15" customHeight="1">
      <c r="A805" t="inlineStr">
        <is>
          <t>A 58076-2025</t>
        </is>
      </c>
      <c r="B805" s="1" t="n">
        <v>45982.55273148148</v>
      </c>
      <c r="C805" s="1" t="n">
        <v>46170</v>
      </c>
      <c r="D805" t="inlineStr">
        <is>
          <t>JÄMTLANDS LÄN</t>
        </is>
      </c>
      <c r="E805" t="inlineStr">
        <is>
          <t>RAGUNDA</t>
        </is>
      </c>
      <c r="G805" t="n">
        <v>0.1</v>
      </c>
      <c r="H805" t="n">
        <v>0</v>
      </c>
      <c r="I805" t="n">
        <v>0</v>
      </c>
      <c r="J805" t="n">
        <v>0</v>
      </c>
      <c r="K805" t="n">
        <v>0</v>
      </c>
      <c r="L805" t="n">
        <v>0</v>
      </c>
      <c r="M805" t="n">
        <v>0</v>
      </c>
      <c r="N805" t="n">
        <v>0</v>
      </c>
      <c r="O805" t="n">
        <v>0</v>
      </c>
      <c r="P805" t="n">
        <v>0</v>
      </c>
      <c r="Q805" t="n">
        <v>0</v>
      </c>
      <c r="R805" s="2" t="inlineStr"/>
    </row>
    <row r="806" ht="15" customHeight="1">
      <c r="A806" t="inlineStr">
        <is>
          <t>A 57963-2025</t>
        </is>
      </c>
      <c r="B806" s="1" t="n">
        <v>45982.37800925926</v>
      </c>
      <c r="C806" s="1" t="n">
        <v>46170</v>
      </c>
      <c r="D806" t="inlineStr">
        <is>
          <t>JÄMTLANDS LÄN</t>
        </is>
      </c>
      <c r="E806" t="inlineStr">
        <is>
          <t>RAGUNDA</t>
        </is>
      </c>
      <c r="G806" t="n">
        <v>1.7</v>
      </c>
      <c r="H806" t="n">
        <v>0</v>
      </c>
      <c r="I806" t="n">
        <v>0</v>
      </c>
      <c r="J806" t="n">
        <v>0</v>
      </c>
      <c r="K806" t="n">
        <v>0</v>
      </c>
      <c r="L806" t="n">
        <v>0</v>
      </c>
      <c r="M806" t="n">
        <v>0</v>
      </c>
      <c r="N806" t="n">
        <v>0</v>
      </c>
      <c r="O806" t="n">
        <v>0</v>
      </c>
      <c r="P806" t="n">
        <v>0</v>
      </c>
      <c r="Q806" t="n">
        <v>0</v>
      </c>
      <c r="R806" s="2" t="inlineStr"/>
    </row>
    <row r="807" ht="15" customHeight="1">
      <c r="A807" t="inlineStr">
        <is>
          <t>A 8654-2024</t>
        </is>
      </c>
      <c r="B807" s="1" t="n">
        <v>45356.03784722222</v>
      </c>
      <c r="C807" s="1" t="n">
        <v>46170</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53109-2025</t>
        </is>
      </c>
      <c r="B808" s="1" t="n">
        <v>45958</v>
      </c>
      <c r="C808" s="1" t="n">
        <v>46170</v>
      </c>
      <c r="D808" t="inlineStr">
        <is>
          <t>JÄMTLANDS LÄN</t>
        </is>
      </c>
      <c r="E808" t="inlineStr">
        <is>
          <t>RAGUNDA</t>
        </is>
      </c>
      <c r="G808" t="n">
        <v>2.1</v>
      </c>
      <c r="H808" t="n">
        <v>0</v>
      </c>
      <c r="I808" t="n">
        <v>0</v>
      </c>
      <c r="J808" t="n">
        <v>0</v>
      </c>
      <c r="K808" t="n">
        <v>0</v>
      </c>
      <c r="L808" t="n">
        <v>0</v>
      </c>
      <c r="M808" t="n">
        <v>0</v>
      </c>
      <c r="N808" t="n">
        <v>0</v>
      </c>
      <c r="O808" t="n">
        <v>0</v>
      </c>
      <c r="P808" t="n">
        <v>0</v>
      </c>
      <c r="Q808" t="n">
        <v>0</v>
      </c>
      <c r="R808" s="2" t="inlineStr"/>
    </row>
    <row r="809" ht="15" customHeight="1">
      <c r="A809" t="inlineStr">
        <is>
          <t>A 6902-2024</t>
        </is>
      </c>
      <c r="B809" s="1" t="n">
        <v>45342</v>
      </c>
      <c r="C809" s="1" t="n">
        <v>46170</v>
      </c>
      <c r="D809" t="inlineStr">
        <is>
          <t>JÄMTLANDS LÄN</t>
        </is>
      </c>
      <c r="E809" t="inlineStr">
        <is>
          <t>RAGUNDA</t>
        </is>
      </c>
      <c r="F809" t="inlineStr">
        <is>
          <t>SCA</t>
        </is>
      </c>
      <c r="G809" t="n">
        <v>18.7</v>
      </c>
      <c r="H809" t="n">
        <v>0</v>
      </c>
      <c r="I809" t="n">
        <v>0</v>
      </c>
      <c r="J809" t="n">
        <v>0</v>
      </c>
      <c r="K809" t="n">
        <v>0</v>
      </c>
      <c r="L809" t="n">
        <v>0</v>
      </c>
      <c r="M809" t="n">
        <v>0</v>
      </c>
      <c r="N809" t="n">
        <v>0</v>
      </c>
      <c r="O809" t="n">
        <v>0</v>
      </c>
      <c r="P809" t="n">
        <v>0</v>
      </c>
      <c r="Q809" t="n">
        <v>0</v>
      </c>
      <c r="R809" s="2" t="inlineStr"/>
    </row>
    <row r="810" ht="15" customHeight="1">
      <c r="A810" t="inlineStr">
        <is>
          <t>A 6905-2024</t>
        </is>
      </c>
      <c r="B810" s="1" t="n">
        <v>45342.9462037037</v>
      </c>
      <c r="C810" s="1" t="n">
        <v>46170</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22731-2023</t>
        </is>
      </c>
      <c r="B811" s="1" t="n">
        <v>45071</v>
      </c>
      <c r="C811" s="1" t="n">
        <v>46170</v>
      </c>
      <c r="D811" t="inlineStr">
        <is>
          <t>JÄMTLANDS LÄN</t>
        </is>
      </c>
      <c r="E811" t="inlineStr">
        <is>
          <t>RAGUNDA</t>
        </is>
      </c>
      <c r="G811" t="n">
        <v>1.5</v>
      </c>
      <c r="H811" t="n">
        <v>0</v>
      </c>
      <c r="I811" t="n">
        <v>0</v>
      </c>
      <c r="J811" t="n">
        <v>0</v>
      </c>
      <c r="K811" t="n">
        <v>0</v>
      </c>
      <c r="L811" t="n">
        <v>0</v>
      </c>
      <c r="M811" t="n">
        <v>0</v>
      </c>
      <c r="N811" t="n">
        <v>0</v>
      </c>
      <c r="O811" t="n">
        <v>0</v>
      </c>
      <c r="P811" t="n">
        <v>0</v>
      </c>
      <c r="Q811" t="n">
        <v>0</v>
      </c>
      <c r="R811" s="2" t="inlineStr"/>
    </row>
    <row r="812" ht="15" customHeight="1">
      <c r="A812" t="inlineStr">
        <is>
          <t>A 58918-2025</t>
        </is>
      </c>
      <c r="B812" s="1" t="n">
        <v>45987.52952546296</v>
      </c>
      <c r="C812" s="1" t="n">
        <v>46170</v>
      </c>
      <c r="D812" t="inlineStr">
        <is>
          <t>JÄMTLANDS LÄN</t>
        </is>
      </c>
      <c r="E812" t="inlineStr">
        <is>
          <t>RAGUNDA</t>
        </is>
      </c>
      <c r="G812" t="n">
        <v>2</v>
      </c>
      <c r="H812" t="n">
        <v>0</v>
      </c>
      <c r="I812" t="n">
        <v>0</v>
      </c>
      <c r="J812" t="n">
        <v>0</v>
      </c>
      <c r="K812" t="n">
        <v>0</v>
      </c>
      <c r="L812" t="n">
        <v>0</v>
      </c>
      <c r="M812" t="n">
        <v>0</v>
      </c>
      <c r="N812" t="n">
        <v>0</v>
      </c>
      <c r="O812" t="n">
        <v>0</v>
      </c>
      <c r="P812" t="n">
        <v>0</v>
      </c>
      <c r="Q812" t="n">
        <v>0</v>
      </c>
      <c r="R812" s="2" t="inlineStr"/>
    </row>
    <row r="813" ht="15" customHeight="1">
      <c r="A813" t="inlineStr">
        <is>
          <t>A 11245-2025</t>
        </is>
      </c>
      <c r="B813" s="1" t="n">
        <v>45726.38575231482</v>
      </c>
      <c r="C813" s="1" t="n">
        <v>46170</v>
      </c>
      <c r="D813" t="inlineStr">
        <is>
          <t>JÄMTLANDS LÄN</t>
        </is>
      </c>
      <c r="E813" t="inlineStr">
        <is>
          <t>RAGUNDA</t>
        </is>
      </c>
      <c r="G813" t="n">
        <v>2.3</v>
      </c>
      <c r="H813" t="n">
        <v>0</v>
      </c>
      <c r="I813" t="n">
        <v>0</v>
      </c>
      <c r="J813" t="n">
        <v>0</v>
      </c>
      <c r="K813" t="n">
        <v>0</v>
      </c>
      <c r="L813" t="n">
        <v>0</v>
      </c>
      <c r="M813" t="n">
        <v>0</v>
      </c>
      <c r="N813" t="n">
        <v>0</v>
      </c>
      <c r="O813" t="n">
        <v>0</v>
      </c>
      <c r="P813" t="n">
        <v>0</v>
      </c>
      <c r="Q813" t="n">
        <v>0</v>
      </c>
      <c r="R813" s="2" t="inlineStr"/>
    </row>
    <row r="814" ht="15" customHeight="1">
      <c r="A814" t="inlineStr">
        <is>
          <t>A 61923-2024</t>
        </is>
      </c>
      <c r="B814" s="1" t="n">
        <v>45653.44836805556</v>
      </c>
      <c r="C814" s="1" t="n">
        <v>46170</v>
      </c>
      <c r="D814" t="inlineStr">
        <is>
          <t>JÄMTLANDS LÄN</t>
        </is>
      </c>
      <c r="E814" t="inlineStr">
        <is>
          <t>RAGUNDA</t>
        </is>
      </c>
      <c r="F814" t="inlineStr">
        <is>
          <t>SCA</t>
        </is>
      </c>
      <c r="G814" t="n">
        <v>11.1</v>
      </c>
      <c r="H814" t="n">
        <v>0</v>
      </c>
      <c r="I814" t="n">
        <v>0</v>
      </c>
      <c r="J814" t="n">
        <v>0</v>
      </c>
      <c r="K814" t="n">
        <v>0</v>
      </c>
      <c r="L814" t="n">
        <v>0</v>
      </c>
      <c r="M814" t="n">
        <v>0</v>
      </c>
      <c r="N814" t="n">
        <v>0</v>
      </c>
      <c r="O814" t="n">
        <v>0</v>
      </c>
      <c r="P814" t="n">
        <v>0</v>
      </c>
      <c r="Q814" t="n">
        <v>0</v>
      </c>
      <c r="R814" s="2" t="inlineStr"/>
    </row>
    <row r="815" ht="15" customHeight="1">
      <c r="A815" t="inlineStr">
        <is>
          <t>A 23567-2024</t>
        </is>
      </c>
      <c r="B815" s="1" t="n">
        <v>45453.95538194444</v>
      </c>
      <c r="C815" s="1" t="n">
        <v>46170</v>
      </c>
      <c r="D815" t="inlineStr">
        <is>
          <t>JÄMTLANDS LÄN</t>
        </is>
      </c>
      <c r="E815" t="inlineStr">
        <is>
          <t>RAGUNDA</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19246-2023</t>
        </is>
      </c>
      <c r="B816" s="1" t="n">
        <v>45048.94340277778</v>
      </c>
      <c r="C816" s="1" t="n">
        <v>46170</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61109-2024</t>
        </is>
      </c>
      <c r="B817" s="1" t="n">
        <v>45645.55672453704</v>
      </c>
      <c r="C817" s="1" t="n">
        <v>46170</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58638-2025</t>
        </is>
      </c>
      <c r="B818" s="1" t="n">
        <v>45986.49016203704</v>
      </c>
      <c r="C818" s="1" t="n">
        <v>46170</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58955-2024</t>
        </is>
      </c>
      <c r="B819" s="1" t="n">
        <v>45636.57329861111</v>
      </c>
      <c r="C819" s="1" t="n">
        <v>46170</v>
      </c>
      <c r="D819" t="inlineStr">
        <is>
          <t>JÄMTLANDS LÄN</t>
        </is>
      </c>
      <c r="E819" t="inlineStr">
        <is>
          <t>RAGUNDA</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58559-2025</t>
        </is>
      </c>
      <c r="B820" s="1" t="n">
        <v>45986.34475694445</v>
      </c>
      <c r="C820" s="1" t="n">
        <v>46170</v>
      </c>
      <c r="D820" t="inlineStr">
        <is>
          <t>JÄMTLANDS LÄN</t>
        </is>
      </c>
      <c r="E820" t="inlineStr">
        <is>
          <t>RAGUNDA</t>
        </is>
      </c>
      <c r="F820" t="inlineStr">
        <is>
          <t>SCA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33877-2023</t>
        </is>
      </c>
      <c r="B821" s="1" t="n">
        <v>45133</v>
      </c>
      <c r="C821" s="1" t="n">
        <v>46170</v>
      </c>
      <c r="D821" t="inlineStr">
        <is>
          <t>JÄMTLANDS LÄN</t>
        </is>
      </c>
      <c r="E821" t="inlineStr">
        <is>
          <t>RAGUNDA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59214-2025</t>
        </is>
      </c>
      <c r="B822" s="1" t="n">
        <v>45988.61623842592</v>
      </c>
      <c r="C822" s="1" t="n">
        <v>46170</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59499-2025</t>
        </is>
      </c>
      <c r="B823" s="1" t="n">
        <v>45989.61846064815</v>
      </c>
      <c r="C823" s="1" t="n">
        <v>46170</v>
      </c>
      <c r="D823" t="inlineStr">
        <is>
          <t>JÄMTLANDS LÄN</t>
        </is>
      </c>
      <c r="E823" t="inlineStr">
        <is>
          <t>RAGUNDA</t>
        </is>
      </c>
      <c r="G823" t="n">
        <v>2</v>
      </c>
      <c r="H823" t="n">
        <v>0</v>
      </c>
      <c r="I823" t="n">
        <v>0</v>
      </c>
      <c r="J823" t="n">
        <v>0</v>
      </c>
      <c r="K823" t="n">
        <v>0</v>
      </c>
      <c r="L823" t="n">
        <v>0</v>
      </c>
      <c r="M823" t="n">
        <v>0</v>
      </c>
      <c r="N823" t="n">
        <v>0</v>
      </c>
      <c r="O823" t="n">
        <v>0</v>
      </c>
      <c r="P823" t="n">
        <v>0</v>
      </c>
      <c r="Q823" t="n">
        <v>0</v>
      </c>
      <c r="R823" s="2" t="inlineStr"/>
    </row>
    <row r="824" ht="15" customHeight="1">
      <c r="A824" t="inlineStr">
        <is>
          <t>A 62541-2022</t>
        </is>
      </c>
      <c r="B824" s="1" t="n">
        <v>44917</v>
      </c>
      <c r="C824" s="1" t="n">
        <v>46170</v>
      </c>
      <c r="D824" t="inlineStr">
        <is>
          <t>JÄMTLANDS LÄN</t>
        </is>
      </c>
      <c r="E824" t="inlineStr">
        <is>
          <t>RAGUNDA</t>
        </is>
      </c>
      <c r="G824" t="n">
        <v>2.6</v>
      </c>
      <c r="H824" t="n">
        <v>0</v>
      </c>
      <c r="I824" t="n">
        <v>0</v>
      </c>
      <c r="J824" t="n">
        <v>0</v>
      </c>
      <c r="K824" t="n">
        <v>0</v>
      </c>
      <c r="L824" t="n">
        <v>0</v>
      </c>
      <c r="M824" t="n">
        <v>0</v>
      </c>
      <c r="N824" t="n">
        <v>0</v>
      </c>
      <c r="O824" t="n">
        <v>0</v>
      </c>
      <c r="P824" t="n">
        <v>0</v>
      </c>
      <c r="Q824" t="n">
        <v>0</v>
      </c>
      <c r="R824" s="2" t="inlineStr"/>
    </row>
    <row r="825" ht="15" customHeight="1">
      <c r="A825" t="inlineStr">
        <is>
          <t>A 9567-2025</t>
        </is>
      </c>
      <c r="B825" s="1" t="n">
        <v>45715.61523148148</v>
      </c>
      <c r="C825" s="1" t="n">
        <v>46170</v>
      </c>
      <c r="D825" t="inlineStr">
        <is>
          <t>JÄMTLANDS LÄN</t>
        </is>
      </c>
      <c r="E825" t="inlineStr">
        <is>
          <t>RAGUNDA</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59491-2025</t>
        </is>
      </c>
      <c r="B826" s="1" t="n">
        <v>45989.60376157407</v>
      </c>
      <c r="C826" s="1" t="n">
        <v>46170</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21661-2023</t>
        </is>
      </c>
      <c r="B827" s="1" t="n">
        <v>45063</v>
      </c>
      <c r="C827" s="1" t="n">
        <v>46170</v>
      </c>
      <c r="D827" t="inlineStr">
        <is>
          <t>JÄMTLANDS LÄN</t>
        </is>
      </c>
      <c r="E827" t="inlineStr">
        <is>
          <t>RAGUNDA</t>
        </is>
      </c>
      <c r="G827" t="n">
        <v>1.5</v>
      </c>
      <c r="H827" t="n">
        <v>0</v>
      </c>
      <c r="I827" t="n">
        <v>0</v>
      </c>
      <c r="J827" t="n">
        <v>0</v>
      </c>
      <c r="K827" t="n">
        <v>0</v>
      </c>
      <c r="L827" t="n">
        <v>0</v>
      </c>
      <c r="M827" t="n">
        <v>0</v>
      </c>
      <c r="N827" t="n">
        <v>0</v>
      </c>
      <c r="O827" t="n">
        <v>0</v>
      </c>
      <c r="P827" t="n">
        <v>0</v>
      </c>
      <c r="Q827" t="n">
        <v>0</v>
      </c>
      <c r="R827" s="2" t="inlineStr"/>
    </row>
    <row r="828" ht="15" customHeight="1">
      <c r="A828" t="inlineStr">
        <is>
          <t>A 59503-2025</t>
        </is>
      </c>
      <c r="B828" s="1" t="n">
        <v>45989.62703703704</v>
      </c>
      <c r="C828" s="1" t="n">
        <v>46170</v>
      </c>
      <c r="D828" t="inlineStr">
        <is>
          <t>JÄMTLANDS LÄN</t>
        </is>
      </c>
      <c r="E828" t="inlineStr">
        <is>
          <t>RAGUNDA</t>
        </is>
      </c>
      <c r="G828" t="n">
        <v>0.6</v>
      </c>
      <c r="H828" t="n">
        <v>0</v>
      </c>
      <c r="I828" t="n">
        <v>0</v>
      </c>
      <c r="J828" t="n">
        <v>0</v>
      </c>
      <c r="K828" t="n">
        <v>0</v>
      </c>
      <c r="L828" t="n">
        <v>0</v>
      </c>
      <c r="M828" t="n">
        <v>0</v>
      </c>
      <c r="N828" t="n">
        <v>0</v>
      </c>
      <c r="O828" t="n">
        <v>0</v>
      </c>
      <c r="P828" t="n">
        <v>0</v>
      </c>
      <c r="Q828" t="n">
        <v>0</v>
      </c>
      <c r="R828" s="2" t="inlineStr"/>
    </row>
    <row r="829" ht="15" customHeight="1">
      <c r="A829" t="inlineStr">
        <is>
          <t>A 59692-2025</t>
        </is>
      </c>
      <c r="B829" s="1" t="n">
        <v>45992.49001157407</v>
      </c>
      <c r="C829" s="1" t="n">
        <v>46170</v>
      </c>
      <c r="D829" t="inlineStr">
        <is>
          <t>JÄMTLANDS LÄN</t>
        </is>
      </c>
      <c r="E829" t="inlineStr">
        <is>
          <t>RAGUNDA</t>
        </is>
      </c>
      <c r="G829" t="n">
        <v>2.7</v>
      </c>
      <c r="H829" t="n">
        <v>0</v>
      </c>
      <c r="I829" t="n">
        <v>0</v>
      </c>
      <c r="J829" t="n">
        <v>0</v>
      </c>
      <c r="K829" t="n">
        <v>0</v>
      </c>
      <c r="L829" t="n">
        <v>0</v>
      </c>
      <c r="M829" t="n">
        <v>0</v>
      </c>
      <c r="N829" t="n">
        <v>0</v>
      </c>
      <c r="O829" t="n">
        <v>0</v>
      </c>
      <c r="P829" t="n">
        <v>0</v>
      </c>
      <c r="Q829" t="n">
        <v>0</v>
      </c>
      <c r="R829" s="2" t="inlineStr"/>
    </row>
    <row r="830" ht="15" customHeight="1">
      <c r="A830" t="inlineStr">
        <is>
          <t>A 59738-2025</t>
        </is>
      </c>
      <c r="B830" s="1" t="n">
        <v>45992.57408564815</v>
      </c>
      <c r="C830" s="1" t="n">
        <v>46170</v>
      </c>
      <c r="D830" t="inlineStr">
        <is>
          <t>JÄMTLANDS LÄN</t>
        </is>
      </c>
      <c r="E830" t="inlineStr">
        <is>
          <t>RAGUNDA</t>
        </is>
      </c>
      <c r="F830" t="inlineStr">
        <is>
          <t>SCA</t>
        </is>
      </c>
      <c r="G830" t="n">
        <v>12.5</v>
      </c>
      <c r="H830" t="n">
        <v>0</v>
      </c>
      <c r="I830" t="n">
        <v>0</v>
      </c>
      <c r="J830" t="n">
        <v>0</v>
      </c>
      <c r="K830" t="n">
        <v>0</v>
      </c>
      <c r="L830" t="n">
        <v>0</v>
      </c>
      <c r="M830" t="n">
        <v>0</v>
      </c>
      <c r="N830" t="n">
        <v>0</v>
      </c>
      <c r="O830" t="n">
        <v>0</v>
      </c>
      <c r="P830" t="n">
        <v>0</v>
      </c>
      <c r="Q830" t="n">
        <v>0</v>
      </c>
      <c r="R830" s="2" t="inlineStr"/>
    </row>
    <row r="831" ht="15" customHeight="1">
      <c r="A831" t="inlineStr">
        <is>
          <t>A 59739-2025</t>
        </is>
      </c>
      <c r="B831" s="1" t="n">
        <v>45992.57417824074</v>
      </c>
      <c r="C831" s="1" t="n">
        <v>46170</v>
      </c>
      <c r="D831" t="inlineStr">
        <is>
          <t>JÄMTLANDS LÄN</t>
        </is>
      </c>
      <c r="E831" t="inlineStr">
        <is>
          <t>RAGUNDA</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59740-2025</t>
        </is>
      </c>
      <c r="B832" s="1" t="n">
        <v>45992.5743287037</v>
      </c>
      <c r="C832" s="1" t="n">
        <v>46170</v>
      </c>
      <c r="D832" t="inlineStr">
        <is>
          <t>JÄMTLANDS LÄN</t>
        </is>
      </c>
      <c r="E832" t="inlineStr">
        <is>
          <t>RAGUNDA</t>
        </is>
      </c>
      <c r="F832" t="inlineStr">
        <is>
          <t>SCA</t>
        </is>
      </c>
      <c r="G832" t="n">
        <v>14.1</v>
      </c>
      <c r="H832" t="n">
        <v>0</v>
      </c>
      <c r="I832" t="n">
        <v>0</v>
      </c>
      <c r="J832" t="n">
        <v>0</v>
      </c>
      <c r="K832" t="n">
        <v>0</v>
      </c>
      <c r="L832" t="n">
        <v>0</v>
      </c>
      <c r="M832" t="n">
        <v>0</v>
      </c>
      <c r="N832" t="n">
        <v>0</v>
      </c>
      <c r="O832" t="n">
        <v>0</v>
      </c>
      <c r="P832" t="n">
        <v>0</v>
      </c>
      <c r="Q832" t="n">
        <v>0</v>
      </c>
      <c r="R832" s="2" t="inlineStr"/>
    </row>
    <row r="833" ht="15" customHeight="1">
      <c r="A833" t="inlineStr">
        <is>
          <t>A 59931-2025</t>
        </is>
      </c>
      <c r="B833" s="1" t="n">
        <v>45993.40177083333</v>
      </c>
      <c r="C833" s="1" t="n">
        <v>46170</v>
      </c>
      <c r="D833" t="inlineStr">
        <is>
          <t>JÄMTLANDS LÄN</t>
        </is>
      </c>
      <c r="E833" t="inlineStr">
        <is>
          <t>RAGUNDA</t>
        </is>
      </c>
      <c r="G833" t="n">
        <v>4</v>
      </c>
      <c r="H833" t="n">
        <v>0</v>
      </c>
      <c r="I833" t="n">
        <v>0</v>
      </c>
      <c r="J833" t="n">
        <v>0</v>
      </c>
      <c r="K833" t="n">
        <v>0</v>
      </c>
      <c r="L833" t="n">
        <v>0</v>
      </c>
      <c r="M833" t="n">
        <v>0</v>
      </c>
      <c r="N833" t="n">
        <v>0</v>
      </c>
      <c r="O833" t="n">
        <v>0</v>
      </c>
      <c r="P833" t="n">
        <v>0</v>
      </c>
      <c r="Q833" t="n">
        <v>0</v>
      </c>
      <c r="R833" s="2" t="inlineStr"/>
    </row>
    <row r="834" ht="15" customHeight="1">
      <c r="A834" t="inlineStr">
        <is>
          <t>A 59693-2025</t>
        </is>
      </c>
      <c r="B834" s="1" t="n">
        <v>45992.49009259259</v>
      </c>
      <c r="C834" s="1" t="n">
        <v>46170</v>
      </c>
      <c r="D834" t="inlineStr">
        <is>
          <t>JÄMTLANDS LÄN</t>
        </is>
      </c>
      <c r="E834" t="inlineStr">
        <is>
          <t>RAGUNDA</t>
        </is>
      </c>
      <c r="G834" t="n">
        <v>0.7</v>
      </c>
      <c r="H834" t="n">
        <v>0</v>
      </c>
      <c r="I834" t="n">
        <v>0</v>
      </c>
      <c r="J834" t="n">
        <v>0</v>
      </c>
      <c r="K834" t="n">
        <v>0</v>
      </c>
      <c r="L834" t="n">
        <v>0</v>
      </c>
      <c r="M834" t="n">
        <v>0</v>
      </c>
      <c r="N834" t="n">
        <v>0</v>
      </c>
      <c r="O834" t="n">
        <v>0</v>
      </c>
      <c r="P834" t="n">
        <v>0</v>
      </c>
      <c r="Q834" t="n">
        <v>0</v>
      </c>
      <c r="R834" s="2" t="inlineStr"/>
    </row>
    <row r="835" ht="15" customHeight="1">
      <c r="A835" t="inlineStr">
        <is>
          <t>A 69153-2021</t>
        </is>
      </c>
      <c r="B835" s="1" t="n">
        <v>44530.94694444445</v>
      </c>
      <c r="C835" s="1" t="n">
        <v>46170</v>
      </c>
      <c r="D835" t="inlineStr">
        <is>
          <t>JÄMTLANDS LÄN</t>
        </is>
      </c>
      <c r="E835" t="inlineStr">
        <is>
          <t>RAGUNDA</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60062-2025</t>
        </is>
      </c>
      <c r="B836" s="1" t="n">
        <v>45993.65694444445</v>
      </c>
      <c r="C836" s="1" t="n">
        <v>46170</v>
      </c>
      <c r="D836" t="inlineStr">
        <is>
          <t>JÄMTLANDS LÄN</t>
        </is>
      </c>
      <c r="E836" t="inlineStr">
        <is>
          <t>RAGUNDA</t>
        </is>
      </c>
      <c r="F836" t="inlineStr">
        <is>
          <t>SCA</t>
        </is>
      </c>
      <c r="G836" t="n">
        <v>5.8</v>
      </c>
      <c r="H836" t="n">
        <v>0</v>
      </c>
      <c r="I836" t="n">
        <v>0</v>
      </c>
      <c r="J836" t="n">
        <v>0</v>
      </c>
      <c r="K836" t="n">
        <v>0</v>
      </c>
      <c r="L836" t="n">
        <v>0</v>
      </c>
      <c r="M836" t="n">
        <v>0</v>
      </c>
      <c r="N836" t="n">
        <v>0</v>
      </c>
      <c r="O836" t="n">
        <v>0</v>
      </c>
      <c r="P836" t="n">
        <v>0</v>
      </c>
      <c r="Q836" t="n">
        <v>0</v>
      </c>
      <c r="R836" s="2" t="inlineStr"/>
    </row>
    <row r="837" ht="15" customHeight="1">
      <c r="A837" t="inlineStr">
        <is>
          <t>A 12585-2024</t>
        </is>
      </c>
      <c r="B837" s="1" t="n">
        <v>45379.93637731481</v>
      </c>
      <c r="C837" s="1" t="n">
        <v>46170</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55489-2024</t>
        </is>
      </c>
      <c r="B838" s="1" t="n">
        <v>45622.44774305556</v>
      </c>
      <c r="C838" s="1" t="n">
        <v>46170</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18631-2024</t>
        </is>
      </c>
      <c r="B839" s="1" t="n">
        <v>45425.96494212963</v>
      </c>
      <c r="C839" s="1" t="n">
        <v>46170</v>
      </c>
      <c r="D839" t="inlineStr">
        <is>
          <t>JÄMTLANDS LÄN</t>
        </is>
      </c>
      <c r="E839" t="inlineStr">
        <is>
          <t>RAGUNDA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26646-2023</t>
        </is>
      </c>
      <c r="B840" s="1" t="n">
        <v>45092</v>
      </c>
      <c r="C840" s="1" t="n">
        <v>46170</v>
      </c>
      <c r="D840" t="inlineStr">
        <is>
          <t>JÄMTLANDS LÄN</t>
        </is>
      </c>
      <c r="E840" t="inlineStr">
        <is>
          <t>RAGUNDA</t>
        </is>
      </c>
      <c r="G840" t="n">
        <v>1.4</v>
      </c>
      <c r="H840" t="n">
        <v>0</v>
      </c>
      <c r="I840" t="n">
        <v>0</v>
      </c>
      <c r="J840" t="n">
        <v>0</v>
      </c>
      <c r="K840" t="n">
        <v>0</v>
      </c>
      <c r="L840" t="n">
        <v>0</v>
      </c>
      <c r="M840" t="n">
        <v>0</v>
      </c>
      <c r="N840" t="n">
        <v>0</v>
      </c>
      <c r="O840" t="n">
        <v>0</v>
      </c>
      <c r="P840" t="n">
        <v>0</v>
      </c>
      <c r="Q840" t="n">
        <v>0</v>
      </c>
      <c r="R840" s="2" t="inlineStr"/>
    </row>
    <row r="841" ht="15" customHeight="1">
      <c r="A841" t="inlineStr">
        <is>
          <t>A 43405-2023</t>
        </is>
      </c>
      <c r="B841" s="1" t="n">
        <v>45183.95563657407</v>
      </c>
      <c r="C841" s="1" t="n">
        <v>46170</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59496-2024</t>
        </is>
      </c>
      <c r="B842" s="1" t="n">
        <v>45638</v>
      </c>
      <c r="C842" s="1" t="n">
        <v>46170</v>
      </c>
      <c r="D842" t="inlineStr">
        <is>
          <t>JÄMTLANDS LÄN</t>
        </is>
      </c>
      <c r="E842" t="inlineStr">
        <is>
          <t>RAGUNDA</t>
        </is>
      </c>
      <c r="G842" t="n">
        <v>13.1</v>
      </c>
      <c r="H842" t="n">
        <v>0</v>
      </c>
      <c r="I842" t="n">
        <v>0</v>
      </c>
      <c r="J842" t="n">
        <v>0</v>
      </c>
      <c r="K842" t="n">
        <v>0</v>
      </c>
      <c r="L842" t="n">
        <v>0</v>
      </c>
      <c r="M842" t="n">
        <v>0</v>
      </c>
      <c r="N842" t="n">
        <v>0</v>
      </c>
      <c r="O842" t="n">
        <v>0</v>
      </c>
      <c r="P842" t="n">
        <v>0</v>
      </c>
      <c r="Q842" t="n">
        <v>0</v>
      </c>
      <c r="R842" s="2" t="inlineStr"/>
    </row>
    <row r="843" ht="15" customHeight="1">
      <c r="A843" t="inlineStr">
        <is>
          <t>A 60128-2025</t>
        </is>
      </c>
      <c r="B843" s="1" t="n">
        <v>45994.34456018519</v>
      </c>
      <c r="C843" s="1" t="n">
        <v>46170</v>
      </c>
      <c r="D843" t="inlineStr">
        <is>
          <t>JÄMTLANDS LÄN</t>
        </is>
      </c>
      <c r="E843" t="inlineStr">
        <is>
          <t>RAGUNDA</t>
        </is>
      </c>
      <c r="G843" t="n">
        <v>7.1</v>
      </c>
      <c r="H843" t="n">
        <v>0</v>
      </c>
      <c r="I843" t="n">
        <v>0</v>
      </c>
      <c r="J843" t="n">
        <v>0</v>
      </c>
      <c r="K843" t="n">
        <v>0</v>
      </c>
      <c r="L843" t="n">
        <v>0</v>
      </c>
      <c r="M843" t="n">
        <v>0</v>
      </c>
      <c r="N843" t="n">
        <v>0</v>
      </c>
      <c r="O843" t="n">
        <v>0</v>
      </c>
      <c r="P843" t="n">
        <v>0</v>
      </c>
      <c r="Q843" t="n">
        <v>0</v>
      </c>
      <c r="R843" s="2" t="inlineStr"/>
    </row>
    <row r="844" ht="15" customHeight="1">
      <c r="A844" t="inlineStr">
        <is>
          <t>A 60389-2025</t>
        </is>
      </c>
      <c r="B844" s="1" t="n">
        <v>45995.38628472222</v>
      </c>
      <c r="C844" s="1" t="n">
        <v>46170</v>
      </c>
      <c r="D844" t="inlineStr">
        <is>
          <t>JÄMTLANDS LÄN</t>
        </is>
      </c>
      <c r="E844" t="inlineStr">
        <is>
          <t>RAGUNDA</t>
        </is>
      </c>
      <c r="G844" t="n">
        <v>3.3</v>
      </c>
      <c r="H844" t="n">
        <v>0</v>
      </c>
      <c r="I844" t="n">
        <v>0</v>
      </c>
      <c r="J844" t="n">
        <v>0</v>
      </c>
      <c r="K844" t="n">
        <v>0</v>
      </c>
      <c r="L844" t="n">
        <v>0</v>
      </c>
      <c r="M844" t="n">
        <v>0</v>
      </c>
      <c r="N844" t="n">
        <v>0</v>
      </c>
      <c r="O844" t="n">
        <v>0</v>
      </c>
      <c r="P844" t="n">
        <v>0</v>
      </c>
      <c r="Q844" t="n">
        <v>0</v>
      </c>
      <c r="R844" s="2" t="inlineStr"/>
    </row>
    <row r="845" ht="15" customHeight="1">
      <c r="A845" t="inlineStr">
        <is>
          <t>A 62106-2023</t>
        </is>
      </c>
      <c r="B845" s="1" t="n">
        <v>45266.95082175926</v>
      </c>
      <c r="C845" s="1" t="n">
        <v>46170</v>
      </c>
      <c r="D845" t="inlineStr">
        <is>
          <t>JÄMTLANDS LÄN</t>
        </is>
      </c>
      <c r="E845" t="inlineStr">
        <is>
          <t>RAGUNDA</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18781-2024</t>
        </is>
      </c>
      <c r="B846" s="1" t="n">
        <v>45426</v>
      </c>
      <c r="C846" s="1" t="n">
        <v>46170</v>
      </c>
      <c r="D846" t="inlineStr">
        <is>
          <t>JÄMTLANDS LÄN</t>
        </is>
      </c>
      <c r="E846" t="inlineStr">
        <is>
          <t>RAGUNDA</t>
        </is>
      </c>
      <c r="G846" t="n">
        <v>0.9</v>
      </c>
      <c r="H846" t="n">
        <v>0</v>
      </c>
      <c r="I846" t="n">
        <v>0</v>
      </c>
      <c r="J846" t="n">
        <v>0</v>
      </c>
      <c r="K846" t="n">
        <v>0</v>
      </c>
      <c r="L846" t="n">
        <v>0</v>
      </c>
      <c r="M846" t="n">
        <v>0</v>
      </c>
      <c r="N846" t="n">
        <v>0</v>
      </c>
      <c r="O846" t="n">
        <v>0</v>
      </c>
      <c r="P846" t="n">
        <v>0</v>
      </c>
      <c r="Q846" t="n">
        <v>0</v>
      </c>
      <c r="R846" s="2" t="inlineStr"/>
    </row>
    <row r="847" ht="15" customHeight="1">
      <c r="A847" t="inlineStr">
        <is>
          <t>A 62081-2022</t>
        </is>
      </c>
      <c r="B847" s="1" t="n">
        <v>44918</v>
      </c>
      <c r="C847" s="1" t="n">
        <v>46170</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60387-2025</t>
        </is>
      </c>
      <c r="B848" s="1" t="n">
        <v>45995.38611111111</v>
      </c>
      <c r="C848" s="1" t="n">
        <v>46170</v>
      </c>
      <c r="D848" t="inlineStr">
        <is>
          <t>JÄMTLANDS LÄN</t>
        </is>
      </c>
      <c r="E848" t="inlineStr">
        <is>
          <t>RAGUNDA</t>
        </is>
      </c>
      <c r="G848" t="n">
        <v>8.5</v>
      </c>
      <c r="H848" t="n">
        <v>0</v>
      </c>
      <c r="I848" t="n">
        <v>0</v>
      </c>
      <c r="J848" t="n">
        <v>0</v>
      </c>
      <c r="K848" t="n">
        <v>0</v>
      </c>
      <c r="L848" t="n">
        <v>0</v>
      </c>
      <c r="M848" t="n">
        <v>0</v>
      </c>
      <c r="N848" t="n">
        <v>0</v>
      </c>
      <c r="O848" t="n">
        <v>0</v>
      </c>
      <c r="P848" t="n">
        <v>0</v>
      </c>
      <c r="Q848" t="n">
        <v>0</v>
      </c>
      <c r="R848" s="2" t="inlineStr"/>
    </row>
    <row r="849" ht="15" customHeight="1">
      <c r="A849" t="inlineStr">
        <is>
          <t>A 60307-2025</t>
        </is>
      </c>
      <c r="B849" s="1" t="n">
        <v>45994.6842824074</v>
      </c>
      <c r="C849" s="1" t="n">
        <v>46170</v>
      </c>
      <c r="D849" t="inlineStr">
        <is>
          <t>JÄMTLANDS LÄN</t>
        </is>
      </c>
      <c r="E849" t="inlineStr">
        <is>
          <t>RAGUNDA</t>
        </is>
      </c>
      <c r="G849" t="n">
        <v>4</v>
      </c>
      <c r="H849" t="n">
        <v>0</v>
      </c>
      <c r="I849" t="n">
        <v>0</v>
      </c>
      <c r="J849" t="n">
        <v>0</v>
      </c>
      <c r="K849" t="n">
        <v>0</v>
      </c>
      <c r="L849" t="n">
        <v>0</v>
      </c>
      <c r="M849" t="n">
        <v>0</v>
      </c>
      <c r="N849" t="n">
        <v>0</v>
      </c>
      <c r="O849" t="n">
        <v>0</v>
      </c>
      <c r="P849" t="n">
        <v>0</v>
      </c>
      <c r="Q849" t="n">
        <v>0</v>
      </c>
      <c r="R849" s="2" t="inlineStr"/>
    </row>
    <row r="850" ht="15" customHeight="1">
      <c r="A850" t="inlineStr">
        <is>
          <t>A 30826-2023</t>
        </is>
      </c>
      <c r="B850" s="1" t="n">
        <v>45112</v>
      </c>
      <c r="C850" s="1" t="n">
        <v>46170</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60130-2025</t>
        </is>
      </c>
      <c r="B851" s="1" t="n">
        <v>45994.34467592592</v>
      </c>
      <c r="C851" s="1" t="n">
        <v>46170</v>
      </c>
      <c r="D851" t="inlineStr">
        <is>
          <t>JÄMTLANDS LÄN</t>
        </is>
      </c>
      <c r="E851" t="inlineStr">
        <is>
          <t>RAGUNDA</t>
        </is>
      </c>
      <c r="G851" t="n">
        <v>4.9</v>
      </c>
      <c r="H851" t="n">
        <v>0</v>
      </c>
      <c r="I851" t="n">
        <v>0</v>
      </c>
      <c r="J851" t="n">
        <v>0</v>
      </c>
      <c r="K851" t="n">
        <v>0</v>
      </c>
      <c r="L851" t="n">
        <v>0</v>
      </c>
      <c r="M851" t="n">
        <v>0</v>
      </c>
      <c r="N851" t="n">
        <v>0</v>
      </c>
      <c r="O851" t="n">
        <v>0</v>
      </c>
      <c r="P851" t="n">
        <v>0</v>
      </c>
      <c r="Q851" t="n">
        <v>0</v>
      </c>
      <c r="R851" s="2" t="inlineStr"/>
    </row>
    <row r="852" ht="15" customHeight="1">
      <c r="A852" t="inlineStr">
        <is>
          <t>A 53263-2024</t>
        </is>
      </c>
      <c r="B852" s="1" t="n">
        <v>45614.34541666666</v>
      </c>
      <c r="C852" s="1" t="n">
        <v>46170</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60775-2025</t>
        </is>
      </c>
      <c r="B853" s="1" t="n">
        <v>45999.3905787037</v>
      </c>
      <c r="C853" s="1" t="n">
        <v>46170</v>
      </c>
      <c r="D853" t="inlineStr">
        <is>
          <t>JÄMTLANDS LÄN</t>
        </is>
      </c>
      <c r="E853" t="inlineStr">
        <is>
          <t>RAGUNDA</t>
        </is>
      </c>
      <c r="G853" t="n">
        <v>15.7</v>
      </c>
      <c r="H853" t="n">
        <v>0</v>
      </c>
      <c r="I853" t="n">
        <v>0</v>
      </c>
      <c r="J853" t="n">
        <v>0</v>
      </c>
      <c r="K853" t="n">
        <v>0</v>
      </c>
      <c r="L853" t="n">
        <v>0</v>
      </c>
      <c r="M853" t="n">
        <v>0</v>
      </c>
      <c r="N853" t="n">
        <v>0</v>
      </c>
      <c r="O853" t="n">
        <v>0</v>
      </c>
      <c r="P853" t="n">
        <v>0</v>
      </c>
      <c r="Q853" t="n">
        <v>0</v>
      </c>
      <c r="R853" s="2" t="inlineStr"/>
    </row>
    <row r="854" ht="15" customHeight="1">
      <c r="A854" t="inlineStr">
        <is>
          <t>A 26645-2024</t>
        </is>
      </c>
      <c r="B854" s="1" t="n">
        <v>45469.94667824074</v>
      </c>
      <c r="C854" s="1" t="n">
        <v>46170</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893-2025</t>
        </is>
      </c>
      <c r="B855" s="1" t="n">
        <v>45665.65684027778</v>
      </c>
      <c r="C855" s="1" t="n">
        <v>46170</v>
      </c>
      <c r="D855" t="inlineStr">
        <is>
          <t>JÄMTLANDS LÄN</t>
        </is>
      </c>
      <c r="E855" t="inlineStr">
        <is>
          <t>RAGUNDA</t>
        </is>
      </c>
      <c r="F855" t="inlineStr">
        <is>
          <t>SCA</t>
        </is>
      </c>
      <c r="G855" t="n">
        <v>45.1</v>
      </c>
      <c r="H855" t="n">
        <v>0</v>
      </c>
      <c r="I855" t="n">
        <v>0</v>
      </c>
      <c r="J855" t="n">
        <v>0</v>
      </c>
      <c r="K855" t="n">
        <v>0</v>
      </c>
      <c r="L855" t="n">
        <v>0</v>
      </c>
      <c r="M855" t="n">
        <v>0</v>
      </c>
      <c r="N855" t="n">
        <v>0</v>
      </c>
      <c r="O855" t="n">
        <v>0</v>
      </c>
      <c r="P855" t="n">
        <v>0</v>
      </c>
      <c r="Q855" t="n">
        <v>0</v>
      </c>
      <c r="R855" s="2" t="inlineStr"/>
    </row>
    <row r="856" ht="15" customHeight="1">
      <c r="A856" t="inlineStr">
        <is>
          <t>A 31135-2023</t>
        </is>
      </c>
      <c r="B856" s="1" t="n">
        <v>45103</v>
      </c>
      <c r="C856" s="1" t="n">
        <v>46170</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60760-2025</t>
        </is>
      </c>
      <c r="B857" s="1" t="n">
        <v>45999.38597222222</v>
      </c>
      <c r="C857" s="1" t="n">
        <v>46170</v>
      </c>
      <c r="D857" t="inlineStr">
        <is>
          <t>JÄMTLANDS LÄN</t>
        </is>
      </c>
      <c r="E857" t="inlineStr">
        <is>
          <t>RAGUNDA</t>
        </is>
      </c>
      <c r="F857" t="inlineStr">
        <is>
          <t>SCA</t>
        </is>
      </c>
      <c r="G857" t="n">
        <v>5.6</v>
      </c>
      <c r="H857" t="n">
        <v>0</v>
      </c>
      <c r="I857" t="n">
        <v>0</v>
      </c>
      <c r="J857" t="n">
        <v>0</v>
      </c>
      <c r="K857" t="n">
        <v>0</v>
      </c>
      <c r="L857" t="n">
        <v>0</v>
      </c>
      <c r="M857" t="n">
        <v>0</v>
      </c>
      <c r="N857" t="n">
        <v>0</v>
      </c>
      <c r="O857" t="n">
        <v>0</v>
      </c>
      <c r="P857" t="n">
        <v>0</v>
      </c>
      <c r="Q857" t="n">
        <v>0</v>
      </c>
      <c r="R857" s="2" t="inlineStr"/>
    </row>
    <row r="858" ht="15" customHeight="1">
      <c r="A858" t="inlineStr">
        <is>
          <t>A 60630-2025</t>
        </is>
      </c>
      <c r="B858" s="1" t="n">
        <v>45996.42120370371</v>
      </c>
      <c r="C858" s="1" t="n">
        <v>46170</v>
      </c>
      <c r="D858" t="inlineStr">
        <is>
          <t>JÄMTLANDS LÄN</t>
        </is>
      </c>
      <c r="E858" t="inlineStr">
        <is>
          <t>RAGUNDA</t>
        </is>
      </c>
      <c r="G858" t="n">
        <v>13.2</v>
      </c>
      <c r="H858" t="n">
        <v>0</v>
      </c>
      <c r="I858" t="n">
        <v>0</v>
      </c>
      <c r="J858" t="n">
        <v>0</v>
      </c>
      <c r="K858" t="n">
        <v>0</v>
      </c>
      <c r="L858" t="n">
        <v>0</v>
      </c>
      <c r="M858" t="n">
        <v>0</v>
      </c>
      <c r="N858" t="n">
        <v>0</v>
      </c>
      <c r="O858" t="n">
        <v>0</v>
      </c>
      <c r="P858" t="n">
        <v>0</v>
      </c>
      <c r="Q858" t="n">
        <v>0</v>
      </c>
      <c r="R858" s="2" t="inlineStr"/>
    </row>
    <row r="859" ht="15" customHeight="1">
      <c r="A859" t="inlineStr">
        <is>
          <t>A 61233-2025</t>
        </is>
      </c>
      <c r="B859" s="1" t="n">
        <v>46000.6359837963</v>
      </c>
      <c r="C859" s="1" t="n">
        <v>46170</v>
      </c>
      <c r="D859" t="inlineStr">
        <is>
          <t>JÄMTLANDS LÄN</t>
        </is>
      </c>
      <c r="E859" t="inlineStr">
        <is>
          <t>RAGUNDA</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43132-2023</t>
        </is>
      </c>
      <c r="B860" s="1" t="n">
        <v>45182</v>
      </c>
      <c r="C860" s="1" t="n">
        <v>46170</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61509-2025</t>
        </is>
      </c>
      <c r="B861" s="1" t="n">
        <v>46001.68189814815</v>
      </c>
      <c r="C861" s="1" t="n">
        <v>46170</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61266-2025</t>
        </is>
      </c>
      <c r="B862" s="1" t="n">
        <v>46000.67784722222</v>
      </c>
      <c r="C862" s="1" t="n">
        <v>46170</v>
      </c>
      <c r="D862" t="inlineStr">
        <is>
          <t>JÄMTLANDS LÄN</t>
        </is>
      </c>
      <c r="E862" t="inlineStr">
        <is>
          <t>RAGUNDA</t>
        </is>
      </c>
      <c r="G862" t="n">
        <v>7.9</v>
      </c>
      <c r="H862" t="n">
        <v>0</v>
      </c>
      <c r="I862" t="n">
        <v>0</v>
      </c>
      <c r="J862" t="n">
        <v>0</v>
      </c>
      <c r="K862" t="n">
        <v>0</v>
      </c>
      <c r="L862" t="n">
        <v>0</v>
      </c>
      <c r="M862" t="n">
        <v>0</v>
      </c>
      <c r="N862" t="n">
        <v>0</v>
      </c>
      <c r="O862" t="n">
        <v>0</v>
      </c>
      <c r="P862" t="n">
        <v>0</v>
      </c>
      <c r="Q862" t="n">
        <v>0</v>
      </c>
      <c r="R862" s="2" t="inlineStr"/>
    </row>
    <row r="863" ht="15" customHeight="1">
      <c r="A863" t="inlineStr">
        <is>
          <t>A 56284-2023</t>
        </is>
      </c>
      <c r="B863" s="1" t="n">
        <v>45241.95724537037</v>
      </c>
      <c r="C863" s="1" t="n">
        <v>46170</v>
      </c>
      <c r="D863" t="inlineStr">
        <is>
          <t>JÄMTLANDS LÄN</t>
        </is>
      </c>
      <c r="E863" t="inlineStr">
        <is>
          <t>RAGUNDA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61755-2025</t>
        </is>
      </c>
      <c r="B864" s="1" t="n">
        <v>46002</v>
      </c>
      <c r="C864" s="1" t="n">
        <v>46170</v>
      </c>
      <c r="D864" t="inlineStr">
        <is>
          <t>JÄMTLANDS LÄN</t>
        </is>
      </c>
      <c r="E864" t="inlineStr">
        <is>
          <t>RAGUNDA</t>
        </is>
      </c>
      <c r="G864" t="n">
        <v>0.9</v>
      </c>
      <c r="H864" t="n">
        <v>0</v>
      </c>
      <c r="I864" t="n">
        <v>0</v>
      </c>
      <c r="J864" t="n">
        <v>0</v>
      </c>
      <c r="K864" t="n">
        <v>0</v>
      </c>
      <c r="L864" t="n">
        <v>0</v>
      </c>
      <c r="M864" t="n">
        <v>0</v>
      </c>
      <c r="N864" t="n">
        <v>0</v>
      </c>
      <c r="O864" t="n">
        <v>0</v>
      </c>
      <c r="P864" t="n">
        <v>0</v>
      </c>
      <c r="Q864" t="n">
        <v>0</v>
      </c>
      <c r="R864" s="2" t="inlineStr"/>
    </row>
    <row r="865" ht="15" customHeight="1">
      <c r="A865" t="inlineStr">
        <is>
          <t>A 61045-2022</t>
        </is>
      </c>
      <c r="B865" s="1" t="n">
        <v>44914</v>
      </c>
      <c r="C865" s="1" t="n">
        <v>46170</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61197-2023</t>
        </is>
      </c>
      <c r="B866" s="1" t="n">
        <v>45260</v>
      </c>
      <c r="C866" s="1" t="n">
        <v>46170</v>
      </c>
      <c r="D866" t="inlineStr">
        <is>
          <t>JÄMTLANDS LÄN</t>
        </is>
      </c>
      <c r="E866" t="inlineStr">
        <is>
          <t>RAGUNDA</t>
        </is>
      </c>
      <c r="G866" t="n">
        <v>2.5</v>
      </c>
      <c r="H866" t="n">
        <v>0</v>
      </c>
      <c r="I866" t="n">
        <v>0</v>
      </c>
      <c r="J866" t="n">
        <v>0</v>
      </c>
      <c r="K866" t="n">
        <v>0</v>
      </c>
      <c r="L866" t="n">
        <v>0</v>
      </c>
      <c r="M866" t="n">
        <v>0</v>
      </c>
      <c r="N866" t="n">
        <v>0</v>
      </c>
      <c r="O866" t="n">
        <v>0</v>
      </c>
      <c r="P866" t="n">
        <v>0</v>
      </c>
      <c r="Q866" t="n">
        <v>0</v>
      </c>
      <c r="R866" s="2" t="inlineStr"/>
    </row>
    <row r="867" ht="15" customHeight="1">
      <c r="A867" t="inlineStr">
        <is>
          <t>A 13263-2025</t>
        </is>
      </c>
      <c r="B867" s="1" t="n">
        <v>45735.53177083333</v>
      </c>
      <c r="C867" s="1" t="n">
        <v>46170</v>
      </c>
      <c r="D867" t="inlineStr">
        <is>
          <t>JÄMTLANDS LÄN</t>
        </is>
      </c>
      <c r="E867" t="inlineStr">
        <is>
          <t>RAGUNDA</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48066-2022</t>
        </is>
      </c>
      <c r="B868" s="1" t="n">
        <v>44855</v>
      </c>
      <c r="C868" s="1" t="n">
        <v>46170</v>
      </c>
      <c r="D868" t="inlineStr">
        <is>
          <t>JÄMTLANDS LÄN</t>
        </is>
      </c>
      <c r="E868" t="inlineStr">
        <is>
          <t>RAGUNDA</t>
        </is>
      </c>
      <c r="F868" t="inlineStr">
        <is>
          <t>SCA</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3841-2026</t>
        </is>
      </c>
      <c r="B869" s="1" t="n">
        <v>46043</v>
      </c>
      <c r="C869" s="1" t="n">
        <v>46170</v>
      </c>
      <c r="D869" t="inlineStr">
        <is>
          <t>JÄMTLANDS LÄN</t>
        </is>
      </c>
      <c r="E869" t="inlineStr">
        <is>
          <t>RAGUNDA</t>
        </is>
      </c>
      <c r="F869" t="inlineStr">
        <is>
          <t>Kommuner</t>
        </is>
      </c>
      <c r="G869" t="n">
        <v>0.6</v>
      </c>
      <c r="H869" t="n">
        <v>0</v>
      </c>
      <c r="I869" t="n">
        <v>0</v>
      </c>
      <c r="J869" t="n">
        <v>0</v>
      </c>
      <c r="K869" t="n">
        <v>0</v>
      </c>
      <c r="L869" t="n">
        <v>0</v>
      </c>
      <c r="M869" t="n">
        <v>0</v>
      </c>
      <c r="N869" t="n">
        <v>0</v>
      </c>
      <c r="O869" t="n">
        <v>0</v>
      </c>
      <c r="P869" t="n">
        <v>0</v>
      </c>
      <c r="Q869" t="n">
        <v>0</v>
      </c>
      <c r="R869" s="2" t="inlineStr"/>
    </row>
    <row r="870" ht="15" customHeight="1">
      <c r="A870" t="inlineStr">
        <is>
          <t>A 64415-2023</t>
        </is>
      </c>
      <c r="B870" s="1" t="n">
        <v>45280</v>
      </c>
      <c r="C870" s="1" t="n">
        <v>46170</v>
      </c>
      <c r="D870" t="inlineStr">
        <is>
          <t>JÄMTLANDS LÄN</t>
        </is>
      </c>
      <c r="E870" t="inlineStr">
        <is>
          <t>RAGUNDA</t>
        </is>
      </c>
      <c r="G870" t="n">
        <v>5.1</v>
      </c>
      <c r="H870" t="n">
        <v>0</v>
      </c>
      <c r="I870" t="n">
        <v>0</v>
      </c>
      <c r="J870" t="n">
        <v>0</v>
      </c>
      <c r="K870" t="n">
        <v>0</v>
      </c>
      <c r="L870" t="n">
        <v>0</v>
      </c>
      <c r="M870" t="n">
        <v>0</v>
      </c>
      <c r="N870" t="n">
        <v>0</v>
      </c>
      <c r="O870" t="n">
        <v>0</v>
      </c>
      <c r="P870" t="n">
        <v>0</v>
      </c>
      <c r="Q870" t="n">
        <v>0</v>
      </c>
      <c r="R870" s="2" t="inlineStr"/>
    </row>
    <row r="871" ht="15" customHeight="1">
      <c r="A871" t="inlineStr">
        <is>
          <t>A 60225-2022</t>
        </is>
      </c>
      <c r="B871" s="1" t="n">
        <v>44903</v>
      </c>
      <c r="C871" s="1" t="n">
        <v>46170</v>
      </c>
      <c r="D871" t="inlineStr">
        <is>
          <t>JÄMTLANDS LÄN</t>
        </is>
      </c>
      <c r="E871" t="inlineStr">
        <is>
          <t>RAGUNDA</t>
        </is>
      </c>
      <c r="G871" t="n">
        <v>1</v>
      </c>
      <c r="H871" t="n">
        <v>0</v>
      </c>
      <c r="I871" t="n">
        <v>0</v>
      </c>
      <c r="J871" t="n">
        <v>0</v>
      </c>
      <c r="K871" t="n">
        <v>0</v>
      </c>
      <c r="L871" t="n">
        <v>0</v>
      </c>
      <c r="M871" t="n">
        <v>0</v>
      </c>
      <c r="N871" t="n">
        <v>0</v>
      </c>
      <c r="O871" t="n">
        <v>0</v>
      </c>
      <c r="P871" t="n">
        <v>0</v>
      </c>
      <c r="Q871" t="n">
        <v>0</v>
      </c>
      <c r="R871" s="2" t="inlineStr"/>
    </row>
    <row r="872" ht="15" customHeight="1">
      <c r="A872" t="inlineStr">
        <is>
          <t>A 15864-2024</t>
        </is>
      </c>
      <c r="B872" s="1" t="n">
        <v>45404.99792824074</v>
      </c>
      <c r="C872" s="1" t="n">
        <v>46170</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c r="U872">
        <f>HYPERLINK("https://klasma.github.io/Logging_2303/knärot/A 15864-2024 karta knärot.png", "A 15864-2024")</f>
        <v/>
      </c>
      <c r="V872">
        <f>HYPERLINK("https://klasma.github.io/Logging_2303/klagomål/A 15864-2024 FSC-klagomål.docx", "A 15864-2024")</f>
        <v/>
      </c>
      <c r="W872">
        <f>HYPERLINK("https://klasma.github.io/Logging_2303/klagomålsmail/A 15864-2024 FSC-klagomål mail.docx", "A 15864-2024")</f>
        <v/>
      </c>
      <c r="X872">
        <f>HYPERLINK("https://klasma.github.io/Logging_2303/tillsyn/A 15864-2024 tillsynsbegäran.docx", "A 15864-2024")</f>
        <v/>
      </c>
      <c r="Y872">
        <f>HYPERLINK("https://klasma.github.io/Logging_2303/tillsynsmail/A 15864-2024 tillsynsbegäran mail.docx", "A 15864-2024")</f>
        <v/>
      </c>
    </row>
    <row r="873" ht="15" customHeight="1">
      <c r="A873" t="inlineStr">
        <is>
          <t>A 61697-2025</t>
        </is>
      </c>
      <c r="B873" s="1" t="n">
        <v>46002</v>
      </c>
      <c r="C873" s="1" t="n">
        <v>46170</v>
      </c>
      <c r="D873" t="inlineStr">
        <is>
          <t>JÄMTLANDS LÄN</t>
        </is>
      </c>
      <c r="E873" t="inlineStr">
        <is>
          <t>RAGUNDA</t>
        </is>
      </c>
      <c r="G873" t="n">
        <v>1.3</v>
      </c>
      <c r="H873" t="n">
        <v>0</v>
      </c>
      <c r="I873" t="n">
        <v>0</v>
      </c>
      <c r="J873" t="n">
        <v>0</v>
      </c>
      <c r="K873" t="n">
        <v>0</v>
      </c>
      <c r="L873" t="n">
        <v>0</v>
      </c>
      <c r="M873" t="n">
        <v>0</v>
      </c>
      <c r="N873" t="n">
        <v>0</v>
      </c>
      <c r="O873" t="n">
        <v>0</v>
      </c>
      <c r="P873" t="n">
        <v>0</v>
      </c>
      <c r="Q873" t="n">
        <v>0</v>
      </c>
      <c r="R873" s="2" t="inlineStr"/>
    </row>
    <row r="874" ht="15" customHeight="1">
      <c r="A874" t="inlineStr">
        <is>
          <t>A 57749-2024</t>
        </is>
      </c>
      <c r="B874" s="1" t="n">
        <v>45630.7862037037</v>
      </c>
      <c r="C874" s="1" t="n">
        <v>46170</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8886-2024</t>
        </is>
      </c>
      <c r="B875" s="1" t="n">
        <v>45357.05300925926</v>
      </c>
      <c r="C875" s="1" t="n">
        <v>46170</v>
      </c>
      <c r="D875" t="inlineStr">
        <is>
          <t>JÄMTLANDS LÄN</t>
        </is>
      </c>
      <c r="E875" t="inlineStr">
        <is>
          <t>RAGUNDA</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28596-2021</t>
        </is>
      </c>
      <c r="B876" s="1" t="n">
        <v>44356</v>
      </c>
      <c r="C876" s="1" t="n">
        <v>46170</v>
      </c>
      <c r="D876" t="inlineStr">
        <is>
          <t>JÄMTLANDS LÄN</t>
        </is>
      </c>
      <c r="E876" t="inlineStr">
        <is>
          <t>RAGUNDA</t>
        </is>
      </c>
      <c r="G876" t="n">
        <v>5.4</v>
      </c>
      <c r="H876" t="n">
        <v>0</v>
      </c>
      <c r="I876" t="n">
        <v>0</v>
      </c>
      <c r="J876" t="n">
        <v>0</v>
      </c>
      <c r="K876" t="n">
        <v>0</v>
      </c>
      <c r="L876" t="n">
        <v>0</v>
      </c>
      <c r="M876" t="n">
        <v>0</v>
      </c>
      <c r="N876" t="n">
        <v>0</v>
      </c>
      <c r="O876" t="n">
        <v>0</v>
      </c>
      <c r="P876" t="n">
        <v>0</v>
      </c>
      <c r="Q876" t="n">
        <v>0</v>
      </c>
      <c r="R876" s="2" t="inlineStr"/>
    </row>
    <row r="877" ht="15" customHeight="1">
      <c r="A877" t="inlineStr">
        <is>
          <t>A 62490-2025</t>
        </is>
      </c>
      <c r="B877" s="1" t="n">
        <v>46007.5697337963</v>
      </c>
      <c r="C877" s="1" t="n">
        <v>46170</v>
      </c>
      <c r="D877" t="inlineStr">
        <is>
          <t>JÄMTLANDS LÄN</t>
        </is>
      </c>
      <c r="E877" t="inlineStr">
        <is>
          <t>RAGUNDA</t>
        </is>
      </c>
      <c r="F877" t="inlineStr">
        <is>
          <t>Kommuner</t>
        </is>
      </c>
      <c r="G877" t="n">
        <v>0.8</v>
      </c>
      <c r="H877" t="n">
        <v>0</v>
      </c>
      <c r="I877" t="n">
        <v>0</v>
      </c>
      <c r="J877" t="n">
        <v>0</v>
      </c>
      <c r="K877" t="n">
        <v>0</v>
      </c>
      <c r="L877" t="n">
        <v>0</v>
      </c>
      <c r="M877" t="n">
        <v>0</v>
      </c>
      <c r="N877" t="n">
        <v>0</v>
      </c>
      <c r="O877" t="n">
        <v>0</v>
      </c>
      <c r="P877" t="n">
        <v>0</v>
      </c>
      <c r="Q877" t="n">
        <v>0</v>
      </c>
      <c r="R877" s="2" t="inlineStr"/>
    </row>
    <row r="878" ht="15" customHeight="1">
      <c r="A878" t="inlineStr">
        <is>
          <t>A 11058-2025</t>
        </is>
      </c>
      <c r="B878" s="1" t="n">
        <v>45723.51079861111</v>
      </c>
      <c r="C878" s="1" t="n">
        <v>46170</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62436-2025</t>
        </is>
      </c>
      <c r="B879" s="1" t="n">
        <v>46007</v>
      </c>
      <c r="C879" s="1" t="n">
        <v>46170</v>
      </c>
      <c r="D879" t="inlineStr">
        <is>
          <t>JÄMTLANDS LÄN</t>
        </is>
      </c>
      <c r="E879" t="inlineStr">
        <is>
          <t>RAGUNDA</t>
        </is>
      </c>
      <c r="G879" t="n">
        <v>0.7</v>
      </c>
      <c r="H879" t="n">
        <v>0</v>
      </c>
      <c r="I879" t="n">
        <v>0</v>
      </c>
      <c r="J879" t="n">
        <v>0</v>
      </c>
      <c r="K879" t="n">
        <v>0</v>
      </c>
      <c r="L879" t="n">
        <v>0</v>
      </c>
      <c r="M879" t="n">
        <v>0</v>
      </c>
      <c r="N879" t="n">
        <v>0</v>
      </c>
      <c r="O879" t="n">
        <v>0</v>
      </c>
      <c r="P879" t="n">
        <v>0</v>
      </c>
      <c r="Q879" t="n">
        <v>0</v>
      </c>
      <c r="R879" s="2" t="inlineStr"/>
    </row>
    <row r="880" ht="15" customHeight="1">
      <c r="A880" t="inlineStr">
        <is>
          <t>A 38664-2022</t>
        </is>
      </c>
      <c r="B880" s="1" t="n">
        <v>44813</v>
      </c>
      <c r="C880" s="1" t="n">
        <v>46170</v>
      </c>
      <c r="D880" t="inlineStr">
        <is>
          <t>JÄMTLANDS LÄN</t>
        </is>
      </c>
      <c r="E880" t="inlineStr">
        <is>
          <t>RAGUNDA</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62467-2025</t>
        </is>
      </c>
      <c r="B881" s="1" t="n">
        <v>46007.5108912037</v>
      </c>
      <c r="C881" s="1" t="n">
        <v>46170</v>
      </c>
      <c r="D881" t="inlineStr">
        <is>
          <t>JÄMTLANDS LÄN</t>
        </is>
      </c>
      <c r="E881" t="inlineStr">
        <is>
          <t>RAGUNDA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63057-2025</t>
        </is>
      </c>
      <c r="B882" s="1" t="n">
        <v>46009.63837962963</v>
      </c>
      <c r="C882" s="1" t="n">
        <v>46170</v>
      </c>
      <c r="D882" t="inlineStr">
        <is>
          <t>JÄMTLANDS LÄN</t>
        </is>
      </c>
      <c r="E882" t="inlineStr">
        <is>
          <t>RAGUNDA</t>
        </is>
      </c>
      <c r="G882" t="n">
        <v>13.7</v>
      </c>
      <c r="H882" t="n">
        <v>0</v>
      </c>
      <c r="I882" t="n">
        <v>0</v>
      </c>
      <c r="J882" t="n">
        <v>0</v>
      </c>
      <c r="K882" t="n">
        <v>0</v>
      </c>
      <c r="L882" t="n">
        <v>0</v>
      </c>
      <c r="M882" t="n">
        <v>0</v>
      </c>
      <c r="N882" t="n">
        <v>0</v>
      </c>
      <c r="O882" t="n">
        <v>0</v>
      </c>
      <c r="P882" t="n">
        <v>0</v>
      </c>
      <c r="Q882" t="n">
        <v>0</v>
      </c>
      <c r="R882" s="2" t="inlineStr"/>
    </row>
    <row r="883" ht="15" customHeight="1">
      <c r="A883" t="inlineStr">
        <is>
          <t>A 24441-2024</t>
        </is>
      </c>
      <c r="B883" s="1" t="n">
        <v>45457.96372685185</v>
      </c>
      <c r="C883" s="1" t="n">
        <v>46170</v>
      </c>
      <c r="D883" t="inlineStr">
        <is>
          <t>JÄMTLANDS LÄN</t>
        </is>
      </c>
      <c r="E883" t="inlineStr">
        <is>
          <t>RAGUNDA</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62691-2025</t>
        </is>
      </c>
      <c r="B884" s="1" t="n">
        <v>46008.4759837963</v>
      </c>
      <c r="C884" s="1" t="n">
        <v>46170</v>
      </c>
      <c r="D884" t="inlineStr">
        <is>
          <t>JÄMTLANDS LÄN</t>
        </is>
      </c>
      <c r="E884" t="inlineStr">
        <is>
          <t>RAGUNDA</t>
        </is>
      </c>
      <c r="G884" t="n">
        <v>2.6</v>
      </c>
      <c r="H884" t="n">
        <v>0</v>
      </c>
      <c r="I884" t="n">
        <v>0</v>
      </c>
      <c r="J884" t="n">
        <v>0</v>
      </c>
      <c r="K884" t="n">
        <v>0</v>
      </c>
      <c r="L884" t="n">
        <v>0</v>
      </c>
      <c r="M884" t="n">
        <v>0</v>
      </c>
      <c r="N884" t="n">
        <v>0</v>
      </c>
      <c r="O884" t="n">
        <v>0</v>
      </c>
      <c r="P884" t="n">
        <v>0</v>
      </c>
      <c r="Q884" t="n">
        <v>0</v>
      </c>
      <c r="R884" s="2" t="inlineStr"/>
    </row>
    <row r="885" ht="15" customHeight="1">
      <c r="A885" t="inlineStr">
        <is>
          <t>A 40801-2023</t>
        </is>
      </c>
      <c r="B885" s="1" t="n">
        <v>45170</v>
      </c>
      <c r="C885" s="1" t="n">
        <v>46170</v>
      </c>
      <c r="D885" t="inlineStr">
        <is>
          <t>JÄMTLANDS LÄN</t>
        </is>
      </c>
      <c r="E885" t="inlineStr">
        <is>
          <t>RAGUNDA</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62927-2025</t>
        </is>
      </c>
      <c r="B886" s="1" t="n">
        <v>46009.38609953703</v>
      </c>
      <c r="C886" s="1" t="n">
        <v>46170</v>
      </c>
      <c r="D886" t="inlineStr">
        <is>
          <t>JÄMTLANDS LÄN</t>
        </is>
      </c>
      <c r="E886" t="inlineStr">
        <is>
          <t>RAGUNDA</t>
        </is>
      </c>
      <c r="G886" t="n">
        <v>6.3</v>
      </c>
      <c r="H886" t="n">
        <v>0</v>
      </c>
      <c r="I886" t="n">
        <v>0</v>
      </c>
      <c r="J886" t="n">
        <v>0</v>
      </c>
      <c r="K886" t="n">
        <v>0</v>
      </c>
      <c r="L886" t="n">
        <v>0</v>
      </c>
      <c r="M886" t="n">
        <v>0</v>
      </c>
      <c r="N886" t="n">
        <v>0</v>
      </c>
      <c r="O886" t="n">
        <v>0</v>
      </c>
      <c r="P886" t="n">
        <v>0</v>
      </c>
      <c r="Q886" t="n">
        <v>0</v>
      </c>
      <c r="R886" s="2" t="inlineStr"/>
      <c r="U886">
        <f>HYPERLINK("https://klasma.github.io/Logging_2303/knärot/A 62927-2025 karta knärot.png", "A 62927-2025")</f>
        <v/>
      </c>
      <c r="V886">
        <f>HYPERLINK("https://klasma.github.io/Logging_2303/klagomål/A 62927-2025 FSC-klagomål.docx", "A 62927-2025")</f>
        <v/>
      </c>
      <c r="W886">
        <f>HYPERLINK("https://klasma.github.io/Logging_2303/klagomålsmail/A 62927-2025 FSC-klagomål mail.docx", "A 62927-2025")</f>
        <v/>
      </c>
      <c r="X886">
        <f>HYPERLINK("https://klasma.github.io/Logging_2303/tillsyn/A 62927-2025 tillsynsbegäran.docx", "A 62927-2025")</f>
        <v/>
      </c>
      <c r="Y886">
        <f>HYPERLINK("https://klasma.github.io/Logging_2303/tillsynsmail/A 62927-2025 tillsynsbegäran mail.docx", "A 62927-2025")</f>
        <v/>
      </c>
    </row>
    <row r="887" ht="15" customHeight="1">
      <c r="A887" t="inlineStr">
        <is>
          <t>A 62638-2025</t>
        </is>
      </c>
      <c r="B887" s="1" t="n">
        <v>46008.36564814814</v>
      </c>
      <c r="C887" s="1" t="n">
        <v>46170</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63060-2025</t>
        </is>
      </c>
      <c r="B888" s="1" t="n">
        <v>46009.64414351852</v>
      </c>
      <c r="C888" s="1" t="n">
        <v>46170</v>
      </c>
      <c r="D888" t="inlineStr">
        <is>
          <t>JÄMTLANDS LÄN</t>
        </is>
      </c>
      <c r="E888" t="inlineStr">
        <is>
          <t>RAGUNDA</t>
        </is>
      </c>
      <c r="G888" t="n">
        <v>6.5</v>
      </c>
      <c r="H888" t="n">
        <v>0</v>
      </c>
      <c r="I888" t="n">
        <v>0</v>
      </c>
      <c r="J888" t="n">
        <v>0</v>
      </c>
      <c r="K888" t="n">
        <v>0</v>
      </c>
      <c r="L888" t="n">
        <v>0</v>
      </c>
      <c r="M888" t="n">
        <v>0</v>
      </c>
      <c r="N888" t="n">
        <v>0</v>
      </c>
      <c r="O888" t="n">
        <v>0</v>
      </c>
      <c r="P888" t="n">
        <v>0</v>
      </c>
      <c r="Q888" t="n">
        <v>0</v>
      </c>
      <c r="R888" s="2" t="inlineStr"/>
    </row>
    <row r="889" ht="15" customHeight="1">
      <c r="A889" t="inlineStr">
        <is>
          <t>A 62819-2025</t>
        </is>
      </c>
      <c r="B889" s="1" t="n">
        <v>46008</v>
      </c>
      <c r="C889" s="1" t="n">
        <v>46170</v>
      </c>
      <c r="D889" t="inlineStr">
        <is>
          <t>JÄMTLANDS LÄN</t>
        </is>
      </c>
      <c r="E889" t="inlineStr">
        <is>
          <t>RAGUNDA</t>
        </is>
      </c>
      <c r="G889" t="n">
        <v>3.5</v>
      </c>
      <c r="H889" t="n">
        <v>0</v>
      </c>
      <c r="I889" t="n">
        <v>0</v>
      </c>
      <c r="J889" t="n">
        <v>0</v>
      </c>
      <c r="K889" t="n">
        <v>0</v>
      </c>
      <c r="L889" t="n">
        <v>0</v>
      </c>
      <c r="M889" t="n">
        <v>0</v>
      </c>
      <c r="N889" t="n">
        <v>0</v>
      </c>
      <c r="O889" t="n">
        <v>0</v>
      </c>
      <c r="P889" t="n">
        <v>0</v>
      </c>
      <c r="Q889" t="n">
        <v>0</v>
      </c>
      <c r="R889" s="2" t="inlineStr"/>
    </row>
    <row r="890" ht="15" customHeight="1">
      <c r="A890" t="inlineStr">
        <is>
          <t>A 48065-2023</t>
        </is>
      </c>
      <c r="B890" s="1" t="n">
        <v>45204.94399305555</v>
      </c>
      <c r="C890" s="1" t="n">
        <v>46170</v>
      </c>
      <c r="D890" t="inlineStr">
        <is>
          <t>JÄMTLANDS LÄN</t>
        </is>
      </c>
      <c r="E890" t="inlineStr">
        <is>
          <t>RAGUNDA</t>
        </is>
      </c>
      <c r="F890" t="inlineStr">
        <is>
          <t>SCA</t>
        </is>
      </c>
      <c r="G890" t="n">
        <v>3.2</v>
      </c>
      <c r="H890" t="n">
        <v>0</v>
      </c>
      <c r="I890" t="n">
        <v>0</v>
      </c>
      <c r="J890" t="n">
        <v>0</v>
      </c>
      <c r="K890" t="n">
        <v>0</v>
      </c>
      <c r="L890" t="n">
        <v>0</v>
      </c>
      <c r="M890" t="n">
        <v>0</v>
      </c>
      <c r="N890" t="n">
        <v>0</v>
      </c>
      <c r="O890" t="n">
        <v>0</v>
      </c>
      <c r="P890" t="n">
        <v>0</v>
      </c>
      <c r="Q890" t="n">
        <v>0</v>
      </c>
      <c r="R890" s="2" t="inlineStr"/>
      <c r="U890">
        <f>HYPERLINK("https://klasma.github.io/Logging_2303/knärot/A 48065-2023 karta knärot.png", "A 48065-2023")</f>
        <v/>
      </c>
      <c r="V890">
        <f>HYPERLINK("https://klasma.github.io/Logging_2303/klagomål/A 48065-2023 FSC-klagomål.docx", "A 48065-2023")</f>
        <v/>
      </c>
      <c r="W890">
        <f>HYPERLINK("https://klasma.github.io/Logging_2303/klagomålsmail/A 48065-2023 FSC-klagomål mail.docx", "A 48065-2023")</f>
        <v/>
      </c>
      <c r="X890">
        <f>HYPERLINK("https://klasma.github.io/Logging_2303/tillsyn/A 48065-2023 tillsynsbegäran.docx", "A 48065-2023")</f>
        <v/>
      </c>
      <c r="Y890">
        <f>HYPERLINK("https://klasma.github.io/Logging_2303/tillsynsmail/A 48065-2023 tillsynsbegäran mail.docx", "A 48065-2023")</f>
        <v/>
      </c>
    </row>
    <row r="891" ht="15" customHeight="1">
      <c r="A891" t="inlineStr">
        <is>
          <t>A 4592-2024</t>
        </is>
      </c>
      <c r="B891" s="1" t="n">
        <v>45327.94443287037</v>
      </c>
      <c r="C891" s="1" t="n">
        <v>46170</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60195-2023</t>
        </is>
      </c>
      <c r="B892" s="1" t="n">
        <v>45257</v>
      </c>
      <c r="C892" s="1" t="n">
        <v>46170</v>
      </c>
      <c r="D892" t="inlineStr">
        <is>
          <t>JÄMTLANDS LÄN</t>
        </is>
      </c>
      <c r="E892" t="inlineStr">
        <is>
          <t>RAGUNDA</t>
        </is>
      </c>
      <c r="G892" t="n">
        <v>1.7</v>
      </c>
      <c r="H892" t="n">
        <v>0</v>
      </c>
      <c r="I892" t="n">
        <v>0</v>
      </c>
      <c r="J892" t="n">
        <v>0</v>
      </c>
      <c r="K892" t="n">
        <v>0</v>
      </c>
      <c r="L892" t="n">
        <v>0</v>
      </c>
      <c r="M892" t="n">
        <v>0</v>
      </c>
      <c r="N892" t="n">
        <v>0</v>
      </c>
      <c r="O892" t="n">
        <v>0</v>
      </c>
      <c r="P892" t="n">
        <v>0</v>
      </c>
      <c r="Q892" t="n">
        <v>0</v>
      </c>
      <c r="R892" s="2" t="inlineStr"/>
    </row>
    <row r="893" ht="15" customHeight="1">
      <c r="A893" t="inlineStr">
        <is>
          <t>A 63578-2025</t>
        </is>
      </c>
      <c r="B893" s="1" t="n">
        <v>46013.67690972222</v>
      </c>
      <c r="C893" s="1" t="n">
        <v>46170</v>
      </c>
      <c r="D893" t="inlineStr">
        <is>
          <t>JÄMTLANDS LÄN</t>
        </is>
      </c>
      <c r="E893" t="inlineStr">
        <is>
          <t>RAGUNDA</t>
        </is>
      </c>
      <c r="G893" t="n">
        <v>2.7</v>
      </c>
      <c r="H893" t="n">
        <v>0</v>
      </c>
      <c r="I893" t="n">
        <v>0</v>
      </c>
      <c r="J893" t="n">
        <v>0</v>
      </c>
      <c r="K893" t="n">
        <v>0</v>
      </c>
      <c r="L893" t="n">
        <v>0</v>
      </c>
      <c r="M893" t="n">
        <v>0</v>
      </c>
      <c r="N893" t="n">
        <v>0</v>
      </c>
      <c r="O893" t="n">
        <v>0</v>
      </c>
      <c r="P893" t="n">
        <v>0</v>
      </c>
      <c r="Q893" t="n">
        <v>0</v>
      </c>
      <c r="R893" s="2" t="inlineStr"/>
    </row>
    <row r="894" ht="15" customHeight="1">
      <c r="A894" t="inlineStr">
        <is>
          <t>A 22981-2023</t>
        </is>
      </c>
      <c r="B894" s="1" t="n">
        <v>45072.92737268518</v>
      </c>
      <c r="C894" s="1" t="n">
        <v>46170</v>
      </c>
      <c r="D894" t="inlineStr">
        <is>
          <t>JÄMTLANDS LÄN</t>
        </is>
      </c>
      <c r="E894" t="inlineStr">
        <is>
          <t>RAGUNDA</t>
        </is>
      </c>
      <c r="G894" t="n">
        <v>3.8</v>
      </c>
      <c r="H894" t="n">
        <v>0</v>
      </c>
      <c r="I894" t="n">
        <v>0</v>
      </c>
      <c r="J894" t="n">
        <v>0</v>
      </c>
      <c r="K894" t="n">
        <v>0</v>
      </c>
      <c r="L894" t="n">
        <v>0</v>
      </c>
      <c r="M894" t="n">
        <v>0</v>
      </c>
      <c r="N894" t="n">
        <v>0</v>
      </c>
      <c r="O894" t="n">
        <v>0</v>
      </c>
      <c r="P894" t="n">
        <v>0</v>
      </c>
      <c r="Q894" t="n">
        <v>0</v>
      </c>
      <c r="R894" s="2" t="inlineStr"/>
    </row>
    <row r="895" ht="15" customHeight="1">
      <c r="A895" t="inlineStr">
        <is>
          <t>A 63141-2025</t>
        </is>
      </c>
      <c r="B895" s="1" t="n">
        <v>46010.34440972222</v>
      </c>
      <c r="C895" s="1" t="n">
        <v>46170</v>
      </c>
      <c r="D895" t="inlineStr">
        <is>
          <t>JÄMTLANDS LÄN</t>
        </is>
      </c>
      <c r="E895" t="inlineStr">
        <is>
          <t>RAGUNDA</t>
        </is>
      </c>
      <c r="F895" t="inlineStr">
        <is>
          <t>SCA</t>
        </is>
      </c>
      <c r="G895" t="n">
        <v>24.4</v>
      </c>
      <c r="H895" t="n">
        <v>0</v>
      </c>
      <c r="I895" t="n">
        <v>0</v>
      </c>
      <c r="J895" t="n">
        <v>0</v>
      </c>
      <c r="K895" t="n">
        <v>0</v>
      </c>
      <c r="L895" t="n">
        <v>0</v>
      </c>
      <c r="M895" t="n">
        <v>0</v>
      </c>
      <c r="N895" t="n">
        <v>0</v>
      </c>
      <c r="O895" t="n">
        <v>0</v>
      </c>
      <c r="P895" t="n">
        <v>0</v>
      </c>
      <c r="Q895" t="n">
        <v>0</v>
      </c>
      <c r="R895" s="2" t="inlineStr"/>
    </row>
    <row r="896" ht="15" customHeight="1">
      <c r="A896" t="inlineStr">
        <is>
          <t>A 26942-2021</t>
        </is>
      </c>
      <c r="B896" s="1" t="n">
        <v>44349.91978009259</v>
      </c>
      <c r="C896" s="1" t="n">
        <v>46170</v>
      </c>
      <c r="D896" t="inlineStr">
        <is>
          <t>JÄMTLANDS LÄN</t>
        </is>
      </c>
      <c r="E896" t="inlineStr">
        <is>
          <t>RAGUNDA</t>
        </is>
      </c>
      <c r="G896" t="n">
        <v>6.2</v>
      </c>
      <c r="H896" t="n">
        <v>0</v>
      </c>
      <c r="I896" t="n">
        <v>0</v>
      </c>
      <c r="J896" t="n">
        <v>0</v>
      </c>
      <c r="K896" t="n">
        <v>0</v>
      </c>
      <c r="L896" t="n">
        <v>0</v>
      </c>
      <c r="M896" t="n">
        <v>0</v>
      </c>
      <c r="N896" t="n">
        <v>0</v>
      </c>
      <c r="O896" t="n">
        <v>0</v>
      </c>
      <c r="P896" t="n">
        <v>0</v>
      </c>
      <c r="Q896" t="n">
        <v>0</v>
      </c>
      <c r="R896" s="2" t="inlineStr"/>
    </row>
    <row r="897" ht="15" customHeight="1">
      <c r="A897" t="inlineStr">
        <is>
          <t>A 46546-2023</t>
        </is>
      </c>
      <c r="B897" s="1" t="n">
        <v>45197.94152777778</v>
      </c>
      <c r="C897" s="1" t="n">
        <v>46170</v>
      </c>
      <c r="D897" t="inlineStr">
        <is>
          <t>JÄMTLANDS LÄN</t>
        </is>
      </c>
      <c r="E897" t="inlineStr">
        <is>
          <t>RAGUNDA</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19865-2023</t>
        </is>
      </c>
      <c r="B898" s="1" t="n">
        <v>45053.94305555556</v>
      </c>
      <c r="C898" s="1" t="n">
        <v>46170</v>
      </c>
      <c r="D898" t="inlineStr">
        <is>
          <t>JÄMTLANDS LÄN</t>
        </is>
      </c>
      <c r="E898" t="inlineStr">
        <is>
          <t>RAGUNDA</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63672-2025</t>
        </is>
      </c>
      <c r="B899" s="1" t="n">
        <v>46014.47575231481</v>
      </c>
      <c r="C899" s="1" t="n">
        <v>46170</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63714-2025</t>
        </is>
      </c>
      <c r="B900" s="1" t="n">
        <v>46014</v>
      </c>
      <c r="C900" s="1" t="n">
        <v>46170</v>
      </c>
      <c r="D900" t="inlineStr">
        <is>
          <t>JÄMTLANDS LÄN</t>
        </is>
      </c>
      <c r="E900" t="inlineStr">
        <is>
          <t>RAGUNDA</t>
        </is>
      </c>
      <c r="F900" t="inlineStr">
        <is>
          <t>Sveaskog</t>
        </is>
      </c>
      <c r="G900" t="n">
        <v>8.5</v>
      </c>
      <c r="H900" t="n">
        <v>0</v>
      </c>
      <c r="I900" t="n">
        <v>0</v>
      </c>
      <c r="J900" t="n">
        <v>0</v>
      </c>
      <c r="K900" t="n">
        <v>0</v>
      </c>
      <c r="L900" t="n">
        <v>0</v>
      </c>
      <c r="M900" t="n">
        <v>0</v>
      </c>
      <c r="N900" t="n">
        <v>0</v>
      </c>
      <c r="O900" t="n">
        <v>0</v>
      </c>
      <c r="P900" t="n">
        <v>0</v>
      </c>
      <c r="Q900" t="n">
        <v>0</v>
      </c>
      <c r="R900" s="2" t="inlineStr"/>
    </row>
    <row r="901" ht="15" customHeight="1">
      <c r="A901" t="inlineStr">
        <is>
          <t>A 63671-2025</t>
        </is>
      </c>
      <c r="B901" s="1" t="n">
        <v>46014.46555555556</v>
      </c>
      <c r="C901" s="1" t="n">
        <v>46170</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55547-2025</t>
        </is>
      </c>
      <c r="B902" s="1" t="n">
        <v>45971</v>
      </c>
      <c r="C902" s="1" t="n">
        <v>46170</v>
      </c>
      <c r="D902" t="inlineStr">
        <is>
          <t>JÄMTLANDS LÄN</t>
        </is>
      </c>
      <c r="E902" t="inlineStr">
        <is>
          <t>RAGUNDA</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564-2025</t>
        </is>
      </c>
      <c r="B903" s="1" t="n">
        <v>45664.55241898148</v>
      </c>
      <c r="C903" s="1" t="n">
        <v>46170</v>
      </c>
      <c r="D903" t="inlineStr">
        <is>
          <t>JÄMTLANDS LÄN</t>
        </is>
      </c>
      <c r="E903" t="inlineStr">
        <is>
          <t>RAGUNDA</t>
        </is>
      </c>
      <c r="F903" t="inlineStr">
        <is>
          <t>SCA</t>
        </is>
      </c>
      <c r="G903" t="n">
        <v>7</v>
      </c>
      <c r="H903" t="n">
        <v>0</v>
      </c>
      <c r="I903" t="n">
        <v>0</v>
      </c>
      <c r="J903" t="n">
        <v>0</v>
      </c>
      <c r="K903" t="n">
        <v>0</v>
      </c>
      <c r="L903" t="n">
        <v>0</v>
      </c>
      <c r="M903" t="n">
        <v>0</v>
      </c>
      <c r="N903" t="n">
        <v>0</v>
      </c>
      <c r="O903" t="n">
        <v>0</v>
      </c>
      <c r="P903" t="n">
        <v>0</v>
      </c>
      <c r="Q903" t="n">
        <v>0</v>
      </c>
      <c r="R903" s="2" t="inlineStr"/>
    </row>
    <row r="904" ht="15" customHeight="1">
      <c r="A904" t="inlineStr">
        <is>
          <t>A 55633-2025</t>
        </is>
      </c>
      <c r="B904" s="1" t="n">
        <v>45972</v>
      </c>
      <c r="C904" s="1" t="n">
        <v>46170</v>
      </c>
      <c r="D904" t="inlineStr">
        <is>
          <t>JÄMTLANDS LÄN</t>
        </is>
      </c>
      <c r="E904" t="inlineStr">
        <is>
          <t>RAGUNDA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55671-2025</t>
        </is>
      </c>
      <c r="B905" s="1" t="n">
        <v>45972</v>
      </c>
      <c r="C905" s="1" t="n">
        <v>46170</v>
      </c>
      <c r="D905" t="inlineStr">
        <is>
          <t>JÄMTLANDS LÄN</t>
        </is>
      </c>
      <c r="E905" t="inlineStr">
        <is>
          <t>RAGUNDA</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55797-2025</t>
        </is>
      </c>
      <c r="B906" s="1" t="n">
        <v>45972.65693287037</v>
      </c>
      <c r="C906" s="1" t="n">
        <v>46170</v>
      </c>
      <c r="D906" t="inlineStr">
        <is>
          <t>JÄMTLANDS LÄN</t>
        </is>
      </c>
      <c r="E906" t="inlineStr">
        <is>
          <t>RAGUNDA</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53727-2025</t>
        </is>
      </c>
      <c r="B907" s="1" t="n">
        <v>45960.63630787037</v>
      </c>
      <c r="C907" s="1" t="n">
        <v>46170</v>
      </c>
      <c r="D907" t="inlineStr">
        <is>
          <t>JÄMTLANDS LÄN</t>
        </is>
      </c>
      <c r="E907" t="inlineStr">
        <is>
          <t>RAGUNDA</t>
        </is>
      </c>
      <c r="F907" t="inlineStr">
        <is>
          <t>SCA</t>
        </is>
      </c>
      <c r="G907" t="n">
        <v>6.4</v>
      </c>
      <c r="H907" t="n">
        <v>0</v>
      </c>
      <c r="I907" t="n">
        <v>0</v>
      </c>
      <c r="J907" t="n">
        <v>0</v>
      </c>
      <c r="K907" t="n">
        <v>0</v>
      </c>
      <c r="L907" t="n">
        <v>0</v>
      </c>
      <c r="M907" t="n">
        <v>0</v>
      </c>
      <c r="N907" t="n">
        <v>0</v>
      </c>
      <c r="O907" t="n">
        <v>0</v>
      </c>
      <c r="P907" t="n">
        <v>0</v>
      </c>
      <c r="Q907" t="n">
        <v>0</v>
      </c>
      <c r="R907" s="2" t="inlineStr"/>
    </row>
    <row r="908" ht="15" customHeight="1">
      <c r="A908" t="inlineStr">
        <is>
          <t>A 33650-2025</t>
        </is>
      </c>
      <c r="B908" s="1" t="n">
        <v>45841</v>
      </c>
      <c r="C908" s="1" t="n">
        <v>46170</v>
      </c>
      <c r="D908" t="inlineStr">
        <is>
          <t>JÄMTLANDS LÄN</t>
        </is>
      </c>
      <c r="E908" t="inlineStr">
        <is>
          <t>RAGUNDA</t>
        </is>
      </c>
      <c r="G908" t="n">
        <v>1.4</v>
      </c>
      <c r="H908" t="n">
        <v>0</v>
      </c>
      <c r="I908" t="n">
        <v>0</v>
      </c>
      <c r="J908" t="n">
        <v>0</v>
      </c>
      <c r="K908" t="n">
        <v>0</v>
      </c>
      <c r="L908" t="n">
        <v>0</v>
      </c>
      <c r="M908" t="n">
        <v>0</v>
      </c>
      <c r="N908" t="n">
        <v>0</v>
      </c>
      <c r="O908" t="n">
        <v>0</v>
      </c>
      <c r="P908" t="n">
        <v>0</v>
      </c>
      <c r="Q908" t="n">
        <v>0</v>
      </c>
      <c r="R908" s="2" t="inlineStr"/>
    </row>
    <row r="909" ht="15" customHeight="1">
      <c r="A909" t="inlineStr">
        <is>
          <t>A 50555-2024</t>
        </is>
      </c>
      <c r="B909" s="1" t="n">
        <v>45601.59518518519</v>
      </c>
      <c r="C909" s="1" t="n">
        <v>46170</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63828-2025</t>
        </is>
      </c>
      <c r="B910" s="1" t="n">
        <v>46020.37814814815</v>
      </c>
      <c r="C910" s="1" t="n">
        <v>46170</v>
      </c>
      <c r="D910" t="inlineStr">
        <is>
          <t>JÄMTLANDS LÄN</t>
        </is>
      </c>
      <c r="E910" t="inlineStr">
        <is>
          <t>RAGUNDA</t>
        </is>
      </c>
      <c r="G910" t="n">
        <v>4.7</v>
      </c>
      <c r="H910" t="n">
        <v>0</v>
      </c>
      <c r="I910" t="n">
        <v>0</v>
      </c>
      <c r="J910" t="n">
        <v>0</v>
      </c>
      <c r="K910" t="n">
        <v>0</v>
      </c>
      <c r="L910" t="n">
        <v>0</v>
      </c>
      <c r="M910" t="n">
        <v>0</v>
      </c>
      <c r="N910" t="n">
        <v>0</v>
      </c>
      <c r="O910" t="n">
        <v>0</v>
      </c>
      <c r="P910" t="n">
        <v>0</v>
      </c>
      <c r="Q910" t="n">
        <v>0</v>
      </c>
      <c r="R910" s="2" t="inlineStr"/>
    </row>
    <row r="911" ht="15" customHeight="1">
      <c r="A911" t="inlineStr">
        <is>
          <t>A 59658-2023</t>
        </is>
      </c>
      <c r="B911" s="1" t="n">
        <v>45254.96402777778</v>
      </c>
      <c r="C911" s="1" t="n">
        <v>46170</v>
      </c>
      <c r="D911" t="inlineStr">
        <is>
          <t>JÄMTLANDS LÄN</t>
        </is>
      </c>
      <c r="E911" t="inlineStr">
        <is>
          <t>RAGUNDA</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557-2026</t>
        </is>
      </c>
      <c r="B912" s="1" t="n">
        <v>46021</v>
      </c>
      <c r="C912" s="1" t="n">
        <v>46170</v>
      </c>
      <c r="D912" t="inlineStr">
        <is>
          <t>JÄMTLANDS LÄN</t>
        </is>
      </c>
      <c r="E912" t="inlineStr">
        <is>
          <t>RAGUNDA</t>
        </is>
      </c>
      <c r="G912" t="n">
        <v>1.5</v>
      </c>
      <c r="H912" t="n">
        <v>0</v>
      </c>
      <c r="I912" t="n">
        <v>0</v>
      </c>
      <c r="J912" t="n">
        <v>0</v>
      </c>
      <c r="K912" t="n">
        <v>0</v>
      </c>
      <c r="L912" t="n">
        <v>0</v>
      </c>
      <c r="M912" t="n">
        <v>0</v>
      </c>
      <c r="N912" t="n">
        <v>0</v>
      </c>
      <c r="O912" t="n">
        <v>0</v>
      </c>
      <c r="P912" t="n">
        <v>0</v>
      </c>
      <c r="Q912" t="n">
        <v>0</v>
      </c>
      <c r="R912" s="2" t="inlineStr"/>
    </row>
    <row r="913" ht="15" customHeight="1">
      <c r="A913" t="inlineStr">
        <is>
          <t>A 49649-2024</t>
        </is>
      </c>
      <c r="B913" s="1" t="n">
        <v>45596.61553240741</v>
      </c>
      <c r="C913" s="1" t="n">
        <v>46170</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2831-2024</t>
        </is>
      </c>
      <c r="B914" s="1" t="n">
        <v>45314.92758101852</v>
      </c>
      <c r="C914" s="1" t="n">
        <v>46170</v>
      </c>
      <c r="D914" t="inlineStr">
        <is>
          <t>JÄMTLANDS LÄN</t>
        </is>
      </c>
      <c r="E914" t="inlineStr">
        <is>
          <t>RAGUNDA</t>
        </is>
      </c>
      <c r="G914" t="n">
        <v>0.6</v>
      </c>
      <c r="H914" t="n">
        <v>0</v>
      </c>
      <c r="I914" t="n">
        <v>0</v>
      </c>
      <c r="J914" t="n">
        <v>0</v>
      </c>
      <c r="K914" t="n">
        <v>0</v>
      </c>
      <c r="L914" t="n">
        <v>0</v>
      </c>
      <c r="M914" t="n">
        <v>0</v>
      </c>
      <c r="N914" t="n">
        <v>0</v>
      </c>
      <c r="O914" t="n">
        <v>0</v>
      </c>
      <c r="P914" t="n">
        <v>0</v>
      </c>
      <c r="Q914" t="n">
        <v>0</v>
      </c>
      <c r="R914" s="2" t="inlineStr"/>
    </row>
    <row r="915" ht="15" customHeight="1">
      <c r="A915" t="inlineStr">
        <is>
          <t>A 222-2026</t>
        </is>
      </c>
      <c r="B915" s="1" t="n">
        <v>46026.84054398148</v>
      </c>
      <c r="C915" s="1" t="n">
        <v>46170</v>
      </c>
      <c r="D915" t="inlineStr">
        <is>
          <t>JÄMTLANDS LÄN</t>
        </is>
      </c>
      <c r="E915" t="inlineStr">
        <is>
          <t>RAGUNDA</t>
        </is>
      </c>
      <c r="G915" t="n">
        <v>10.6</v>
      </c>
      <c r="H915" t="n">
        <v>0</v>
      </c>
      <c r="I915" t="n">
        <v>0</v>
      </c>
      <c r="J915" t="n">
        <v>0</v>
      </c>
      <c r="K915" t="n">
        <v>0</v>
      </c>
      <c r="L915" t="n">
        <v>0</v>
      </c>
      <c r="M915" t="n">
        <v>0</v>
      </c>
      <c r="N915" t="n">
        <v>0</v>
      </c>
      <c r="O915" t="n">
        <v>0</v>
      </c>
      <c r="P915" t="n">
        <v>0</v>
      </c>
      <c r="Q915" t="n">
        <v>0</v>
      </c>
      <c r="R915" s="2" t="inlineStr"/>
    </row>
    <row r="916" ht="15" customHeight="1">
      <c r="A916" t="inlineStr">
        <is>
          <t>A 53740-2024</t>
        </is>
      </c>
      <c r="B916" s="1" t="n">
        <v>45615.47091435185</v>
      </c>
      <c r="C916" s="1" t="n">
        <v>46170</v>
      </c>
      <c r="D916" t="inlineStr">
        <is>
          <t>JÄMTLANDS LÄN</t>
        </is>
      </c>
      <c r="E916" t="inlineStr">
        <is>
          <t>RAGUNDA</t>
        </is>
      </c>
      <c r="G916" t="n">
        <v>2.7</v>
      </c>
      <c r="H916" t="n">
        <v>0</v>
      </c>
      <c r="I916" t="n">
        <v>0</v>
      </c>
      <c r="J916" t="n">
        <v>0</v>
      </c>
      <c r="K916" t="n">
        <v>0</v>
      </c>
      <c r="L916" t="n">
        <v>0</v>
      </c>
      <c r="M916" t="n">
        <v>0</v>
      </c>
      <c r="N916" t="n">
        <v>0</v>
      </c>
      <c r="O916" t="n">
        <v>0</v>
      </c>
      <c r="P916" t="n">
        <v>0</v>
      </c>
      <c r="Q916" t="n">
        <v>0</v>
      </c>
      <c r="R916" s="2" t="inlineStr"/>
    </row>
    <row r="917" ht="15" customHeight="1">
      <c r="A917" t="inlineStr">
        <is>
          <t>A 265-2026</t>
        </is>
      </c>
      <c r="B917" s="1" t="n">
        <v>46027.44956018519</v>
      </c>
      <c r="C917" s="1" t="n">
        <v>46170</v>
      </c>
      <c r="D917" t="inlineStr">
        <is>
          <t>JÄMTLANDS LÄN</t>
        </is>
      </c>
      <c r="E917" t="inlineStr">
        <is>
          <t>RAGUNDA</t>
        </is>
      </c>
      <c r="G917" t="n">
        <v>3.8</v>
      </c>
      <c r="H917" t="n">
        <v>0</v>
      </c>
      <c r="I917" t="n">
        <v>0</v>
      </c>
      <c r="J917" t="n">
        <v>0</v>
      </c>
      <c r="K917" t="n">
        <v>0</v>
      </c>
      <c r="L917" t="n">
        <v>0</v>
      </c>
      <c r="M917" t="n">
        <v>0</v>
      </c>
      <c r="N917" t="n">
        <v>0</v>
      </c>
      <c r="O917" t="n">
        <v>0</v>
      </c>
      <c r="P917" t="n">
        <v>0</v>
      </c>
      <c r="Q917" t="n">
        <v>0</v>
      </c>
      <c r="R917" s="2" t="inlineStr"/>
    </row>
    <row r="918" ht="15" customHeight="1">
      <c r="A918" t="inlineStr">
        <is>
          <t>A 59372-2024</t>
        </is>
      </c>
      <c r="B918" s="1" t="n">
        <v>45638.34431712963</v>
      </c>
      <c r="C918" s="1" t="n">
        <v>46170</v>
      </c>
      <c r="D918" t="inlineStr">
        <is>
          <t>JÄMTLANDS LÄN</t>
        </is>
      </c>
      <c r="E918" t="inlineStr">
        <is>
          <t>RAGUNDA</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122-2026</t>
        </is>
      </c>
      <c r="B919" s="1" t="n">
        <v>46024.57335648148</v>
      </c>
      <c r="C919" s="1" t="n">
        <v>46170</v>
      </c>
      <c r="D919" t="inlineStr">
        <is>
          <t>JÄMTLANDS LÄN</t>
        </is>
      </c>
      <c r="E919" t="inlineStr">
        <is>
          <t>RAGUNDA</t>
        </is>
      </c>
      <c r="F919" t="inlineStr">
        <is>
          <t>SCA</t>
        </is>
      </c>
      <c r="G919" t="n">
        <v>15.3</v>
      </c>
      <c r="H919" t="n">
        <v>0</v>
      </c>
      <c r="I919" t="n">
        <v>0</v>
      </c>
      <c r="J919" t="n">
        <v>0</v>
      </c>
      <c r="K919" t="n">
        <v>0</v>
      </c>
      <c r="L919" t="n">
        <v>0</v>
      </c>
      <c r="M919" t="n">
        <v>0</v>
      </c>
      <c r="N919" t="n">
        <v>0</v>
      </c>
      <c r="O919" t="n">
        <v>0</v>
      </c>
      <c r="P919" t="n">
        <v>0</v>
      </c>
      <c r="Q919" t="n">
        <v>0</v>
      </c>
      <c r="R919" s="2" t="inlineStr"/>
    </row>
    <row r="920" ht="15" customHeight="1">
      <c r="A920" t="inlineStr">
        <is>
          <t>A 647-2026</t>
        </is>
      </c>
      <c r="B920" s="1" t="n">
        <v>46029.57357638889</v>
      </c>
      <c r="C920" s="1" t="n">
        <v>46170</v>
      </c>
      <c r="D920" t="inlineStr">
        <is>
          <t>JÄMTLANDS LÄN</t>
        </is>
      </c>
      <c r="E920" t="inlineStr">
        <is>
          <t>RAGUNDA</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12522-2023</t>
        </is>
      </c>
      <c r="B921" s="1" t="n">
        <v>45000</v>
      </c>
      <c r="C921" s="1" t="n">
        <v>46170</v>
      </c>
      <c r="D921" t="inlineStr">
        <is>
          <t>JÄMTLANDS LÄN</t>
        </is>
      </c>
      <c r="E921" t="inlineStr">
        <is>
          <t>RAGUNDA</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12523-2023</t>
        </is>
      </c>
      <c r="B922" s="1" t="n">
        <v>45000</v>
      </c>
      <c r="C922" s="1" t="n">
        <v>46170</v>
      </c>
      <c r="D922" t="inlineStr">
        <is>
          <t>JÄMTLANDS LÄN</t>
        </is>
      </c>
      <c r="E922" t="inlineStr">
        <is>
          <t>RAGUNDA</t>
        </is>
      </c>
      <c r="F922" t="inlineStr">
        <is>
          <t>SCA</t>
        </is>
      </c>
      <c r="G922" t="n">
        <v>14.3</v>
      </c>
      <c r="H922" t="n">
        <v>0</v>
      </c>
      <c r="I922" t="n">
        <v>0</v>
      </c>
      <c r="J922" t="n">
        <v>0</v>
      </c>
      <c r="K922" t="n">
        <v>0</v>
      </c>
      <c r="L922" t="n">
        <v>0</v>
      </c>
      <c r="M922" t="n">
        <v>0</v>
      </c>
      <c r="N922" t="n">
        <v>0</v>
      </c>
      <c r="O922" t="n">
        <v>0</v>
      </c>
      <c r="P922" t="n">
        <v>0</v>
      </c>
      <c r="Q922" t="n">
        <v>0</v>
      </c>
      <c r="R922" s="2" t="inlineStr"/>
    </row>
    <row r="923" ht="15" customHeight="1">
      <c r="A923" t="inlineStr">
        <is>
          <t>A 24861-2023</t>
        </is>
      </c>
      <c r="B923" s="1" t="n">
        <v>45078</v>
      </c>
      <c r="C923" s="1" t="n">
        <v>46170</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13905-2025</t>
        </is>
      </c>
      <c r="B924" s="1" t="n">
        <v>45737.63574074074</v>
      </c>
      <c r="C924" s="1" t="n">
        <v>46170</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13941-2025</t>
        </is>
      </c>
      <c r="B925" s="1" t="n">
        <v>45737.69822916666</v>
      </c>
      <c r="C925" s="1" t="n">
        <v>46170</v>
      </c>
      <c r="D925" t="inlineStr">
        <is>
          <t>JÄMTLANDS LÄN</t>
        </is>
      </c>
      <c r="E925" t="inlineStr">
        <is>
          <t>RAGUNDA</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51245-2024</t>
        </is>
      </c>
      <c r="B926" s="1" t="n">
        <v>45603.67850694444</v>
      </c>
      <c r="C926" s="1" t="n">
        <v>46170</v>
      </c>
      <c r="D926" t="inlineStr">
        <is>
          <t>JÄMTLANDS LÄN</t>
        </is>
      </c>
      <c r="E926" t="inlineStr">
        <is>
          <t>RAGUNDA</t>
        </is>
      </c>
      <c r="G926" t="n">
        <v>0.9</v>
      </c>
      <c r="H926" t="n">
        <v>0</v>
      </c>
      <c r="I926" t="n">
        <v>0</v>
      </c>
      <c r="J926" t="n">
        <v>0</v>
      </c>
      <c r="K926" t="n">
        <v>0</v>
      </c>
      <c r="L926" t="n">
        <v>0</v>
      </c>
      <c r="M926" t="n">
        <v>0</v>
      </c>
      <c r="N926" t="n">
        <v>0</v>
      </c>
      <c r="O926" t="n">
        <v>0</v>
      </c>
      <c r="P926" t="n">
        <v>0</v>
      </c>
      <c r="Q926" t="n">
        <v>0</v>
      </c>
      <c r="R926" s="2" t="inlineStr"/>
    </row>
    <row r="927" ht="15" customHeight="1">
      <c r="A927" t="inlineStr">
        <is>
          <t>A 1333-2026</t>
        </is>
      </c>
      <c r="B927" s="1" t="n">
        <v>46031.57340277778</v>
      </c>
      <c r="C927" s="1" t="n">
        <v>46170</v>
      </c>
      <c r="D927" t="inlineStr">
        <is>
          <t>JÄMTLANDS LÄN</t>
        </is>
      </c>
      <c r="E927" t="inlineStr">
        <is>
          <t>RAGUNDA</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53955-2022</t>
        </is>
      </c>
      <c r="B928" s="1" t="n">
        <v>44880.95741898148</v>
      </c>
      <c r="C928" s="1" t="n">
        <v>46170</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41772-2024</t>
        </is>
      </c>
      <c r="B929" s="1" t="n">
        <v>45561.34663194444</v>
      </c>
      <c r="C929" s="1" t="n">
        <v>46170</v>
      </c>
      <c r="D929" t="inlineStr">
        <is>
          <t>JÄMTLANDS LÄN</t>
        </is>
      </c>
      <c r="E929" t="inlineStr">
        <is>
          <t>RAGUNDA</t>
        </is>
      </c>
      <c r="F929" t="inlineStr">
        <is>
          <t>SCA</t>
        </is>
      </c>
      <c r="G929" t="n">
        <v>0.4</v>
      </c>
      <c r="H929" t="n">
        <v>0</v>
      </c>
      <c r="I929" t="n">
        <v>0</v>
      </c>
      <c r="J929" t="n">
        <v>0</v>
      </c>
      <c r="K929" t="n">
        <v>0</v>
      </c>
      <c r="L929" t="n">
        <v>0</v>
      </c>
      <c r="M929" t="n">
        <v>0</v>
      </c>
      <c r="N929" t="n">
        <v>0</v>
      </c>
      <c r="O929" t="n">
        <v>0</v>
      </c>
      <c r="P929" t="n">
        <v>0</v>
      </c>
      <c r="Q929" t="n">
        <v>0</v>
      </c>
      <c r="R929" s="2" t="inlineStr"/>
    </row>
    <row r="930" ht="15" customHeight="1">
      <c r="A930" t="inlineStr">
        <is>
          <t>A 10972-2022</t>
        </is>
      </c>
      <c r="B930" s="1" t="n">
        <v>44628</v>
      </c>
      <c r="C930" s="1" t="n">
        <v>46170</v>
      </c>
      <c r="D930" t="inlineStr">
        <is>
          <t>JÄMTLANDS LÄN</t>
        </is>
      </c>
      <c r="E930" t="inlineStr">
        <is>
          <t>RAGUNDA</t>
        </is>
      </c>
      <c r="G930" t="n">
        <v>9.5</v>
      </c>
      <c r="H930" t="n">
        <v>0</v>
      </c>
      <c r="I930" t="n">
        <v>0</v>
      </c>
      <c r="J930" t="n">
        <v>0</v>
      </c>
      <c r="K930" t="n">
        <v>0</v>
      </c>
      <c r="L930" t="n">
        <v>0</v>
      </c>
      <c r="M930" t="n">
        <v>0</v>
      </c>
      <c r="N930" t="n">
        <v>0</v>
      </c>
      <c r="O930" t="n">
        <v>0</v>
      </c>
      <c r="P930" t="n">
        <v>0</v>
      </c>
      <c r="Q930" t="n">
        <v>0</v>
      </c>
      <c r="R930" s="2" t="inlineStr"/>
    </row>
    <row r="931" ht="15" customHeight="1">
      <c r="A931" t="inlineStr">
        <is>
          <t>A 11834-2023</t>
        </is>
      </c>
      <c r="B931" s="1" t="n">
        <v>44994.94296296296</v>
      </c>
      <c r="C931" s="1" t="n">
        <v>46170</v>
      </c>
      <c r="D931" t="inlineStr">
        <is>
          <t>JÄMTLANDS LÄN</t>
        </is>
      </c>
      <c r="E931" t="inlineStr">
        <is>
          <t>RAGUNDA</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17559-2023</t>
        </is>
      </c>
      <c r="B932" s="1" t="n">
        <v>45034</v>
      </c>
      <c r="C932" s="1" t="n">
        <v>46170</v>
      </c>
      <c r="D932" t="inlineStr">
        <is>
          <t>JÄMTLANDS LÄN</t>
        </is>
      </c>
      <c r="E932" t="inlineStr">
        <is>
          <t>RAGUNDA</t>
        </is>
      </c>
      <c r="G932" t="n">
        <v>7.5</v>
      </c>
      <c r="H932" t="n">
        <v>0</v>
      </c>
      <c r="I932" t="n">
        <v>0</v>
      </c>
      <c r="J932" t="n">
        <v>0</v>
      </c>
      <c r="K932" t="n">
        <v>0</v>
      </c>
      <c r="L932" t="n">
        <v>0</v>
      </c>
      <c r="M932" t="n">
        <v>0</v>
      </c>
      <c r="N932" t="n">
        <v>0</v>
      </c>
      <c r="O932" t="n">
        <v>0</v>
      </c>
      <c r="P932" t="n">
        <v>0</v>
      </c>
      <c r="Q932" t="n">
        <v>0</v>
      </c>
      <c r="R932" s="2" t="inlineStr"/>
    </row>
    <row r="933" ht="15" customHeight="1">
      <c r="A933" t="inlineStr">
        <is>
          <t>A 38312-2024</t>
        </is>
      </c>
      <c r="B933" s="1" t="n">
        <v>45545.64957175926</v>
      </c>
      <c r="C933" s="1" t="n">
        <v>46170</v>
      </c>
      <c r="D933" t="inlineStr">
        <is>
          <t>JÄMTLANDS LÄN</t>
        </is>
      </c>
      <c r="E933" t="inlineStr">
        <is>
          <t>RAGUNDA</t>
        </is>
      </c>
      <c r="G933" t="n">
        <v>1.2</v>
      </c>
      <c r="H933" t="n">
        <v>0</v>
      </c>
      <c r="I933" t="n">
        <v>0</v>
      </c>
      <c r="J933" t="n">
        <v>0</v>
      </c>
      <c r="K933" t="n">
        <v>0</v>
      </c>
      <c r="L933" t="n">
        <v>0</v>
      </c>
      <c r="M933" t="n">
        <v>0</v>
      </c>
      <c r="N933" t="n">
        <v>0</v>
      </c>
      <c r="O933" t="n">
        <v>0</v>
      </c>
      <c r="P933" t="n">
        <v>0</v>
      </c>
      <c r="Q933" t="n">
        <v>0</v>
      </c>
      <c r="R933" s="2" t="inlineStr"/>
    </row>
    <row r="934" ht="15" customHeight="1">
      <c r="A934" t="inlineStr">
        <is>
          <t>A 2123-2026</t>
        </is>
      </c>
      <c r="B934" s="1" t="n">
        <v>46036.38618055556</v>
      </c>
      <c r="C934" s="1" t="n">
        <v>46170</v>
      </c>
      <c r="D934" t="inlineStr">
        <is>
          <t>JÄMTLANDS LÄN</t>
        </is>
      </c>
      <c r="E934" t="inlineStr">
        <is>
          <t>RAGUNDA</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32832-2021</t>
        </is>
      </c>
      <c r="B935" s="1" t="n">
        <v>44375</v>
      </c>
      <c r="C935" s="1" t="n">
        <v>46170</v>
      </c>
      <c r="D935" t="inlineStr">
        <is>
          <t>JÄMTLANDS LÄN</t>
        </is>
      </c>
      <c r="E935" t="inlineStr">
        <is>
          <t>RAGUNDA</t>
        </is>
      </c>
      <c r="G935" t="n">
        <v>3</v>
      </c>
      <c r="H935" t="n">
        <v>0</v>
      </c>
      <c r="I935" t="n">
        <v>0</v>
      </c>
      <c r="J935" t="n">
        <v>0</v>
      </c>
      <c r="K935" t="n">
        <v>0</v>
      </c>
      <c r="L935" t="n">
        <v>0</v>
      </c>
      <c r="M935" t="n">
        <v>0</v>
      </c>
      <c r="N935" t="n">
        <v>0</v>
      </c>
      <c r="O935" t="n">
        <v>0</v>
      </c>
      <c r="P935" t="n">
        <v>0</v>
      </c>
      <c r="Q935" t="n">
        <v>0</v>
      </c>
      <c r="R935" s="2" t="inlineStr"/>
    </row>
    <row r="936" ht="15" customHeight="1">
      <c r="A936" t="inlineStr">
        <is>
          <t>A 22011-2023</t>
        </is>
      </c>
      <c r="B936" s="1" t="n">
        <v>45068</v>
      </c>
      <c r="C936" s="1" t="n">
        <v>46170</v>
      </c>
      <c r="D936" t="inlineStr">
        <is>
          <t>JÄMTLANDS LÄN</t>
        </is>
      </c>
      <c r="E936" t="inlineStr">
        <is>
          <t>RAGUNDA</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2233-2026</t>
        </is>
      </c>
      <c r="B937" s="1" t="n">
        <v>46036.53207175926</v>
      </c>
      <c r="C937" s="1" t="n">
        <v>46170</v>
      </c>
      <c r="D937" t="inlineStr">
        <is>
          <t>JÄMTLANDS LÄN</t>
        </is>
      </c>
      <c r="E937" t="inlineStr">
        <is>
          <t>RAGUNDA</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2156-2026</t>
        </is>
      </c>
      <c r="B938" s="1" t="n">
        <v>46036.42771990741</v>
      </c>
      <c r="C938" s="1" t="n">
        <v>46170</v>
      </c>
      <c r="D938" t="inlineStr">
        <is>
          <t>JÄMTLANDS LÄN</t>
        </is>
      </c>
      <c r="E938" t="inlineStr">
        <is>
          <t>RAGUNDA</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2271-2026</t>
        </is>
      </c>
      <c r="B939" s="1" t="n">
        <v>46036.57347222222</v>
      </c>
      <c r="C939" s="1" t="n">
        <v>46170</v>
      </c>
      <c r="D939" t="inlineStr">
        <is>
          <t>JÄMTLANDS LÄN</t>
        </is>
      </c>
      <c r="E939" t="inlineStr">
        <is>
          <t>RAGUNDA</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14158-2024</t>
        </is>
      </c>
      <c r="B940" s="1" t="n">
        <v>45392</v>
      </c>
      <c r="C940" s="1" t="n">
        <v>46170</v>
      </c>
      <c r="D940" t="inlineStr">
        <is>
          <t>JÄMTLANDS LÄN</t>
        </is>
      </c>
      <c r="E940" t="inlineStr">
        <is>
          <t>RAGUNDA</t>
        </is>
      </c>
      <c r="G940" t="n">
        <v>0.7</v>
      </c>
      <c r="H940" t="n">
        <v>0</v>
      </c>
      <c r="I940" t="n">
        <v>0</v>
      </c>
      <c r="J940" t="n">
        <v>0</v>
      </c>
      <c r="K940" t="n">
        <v>0</v>
      </c>
      <c r="L940" t="n">
        <v>0</v>
      </c>
      <c r="M940" t="n">
        <v>0</v>
      </c>
      <c r="N940" t="n">
        <v>0</v>
      </c>
      <c r="O940" t="n">
        <v>0</v>
      </c>
      <c r="P940" t="n">
        <v>0</v>
      </c>
      <c r="Q940" t="n">
        <v>0</v>
      </c>
      <c r="R940" s="2" t="inlineStr"/>
    </row>
    <row r="941" ht="15" customHeight="1">
      <c r="A941" t="inlineStr">
        <is>
          <t>A 2173-2026</t>
        </is>
      </c>
      <c r="B941" s="1" t="n">
        <v>46036.44984953704</v>
      </c>
      <c r="C941" s="1" t="n">
        <v>46170</v>
      </c>
      <c r="D941" t="inlineStr">
        <is>
          <t>JÄMTLANDS LÄN</t>
        </is>
      </c>
      <c r="E941" t="inlineStr">
        <is>
          <t>RAGUNDA</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42508-2023</t>
        </is>
      </c>
      <c r="B942" s="1" t="n">
        <v>45180.95907407408</v>
      </c>
      <c r="C942" s="1" t="n">
        <v>46170</v>
      </c>
      <c r="D942" t="inlineStr">
        <is>
          <t>JÄMTLANDS LÄN</t>
        </is>
      </c>
      <c r="E942" t="inlineStr">
        <is>
          <t>RAGUNDA</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35274-2023</t>
        </is>
      </c>
      <c r="B943" s="1" t="n">
        <v>45145</v>
      </c>
      <c r="C943" s="1" t="n">
        <v>46170</v>
      </c>
      <c r="D943" t="inlineStr">
        <is>
          <t>JÄMTLANDS LÄN</t>
        </is>
      </c>
      <c r="E943" t="inlineStr">
        <is>
          <t>RAGUNDA</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3065-2026</t>
        </is>
      </c>
      <c r="B944" s="1" t="n">
        <v>46040.47866898148</v>
      </c>
      <c r="C944" s="1" t="n">
        <v>46170</v>
      </c>
      <c r="D944" t="inlineStr">
        <is>
          <t>JÄMTLANDS LÄN</t>
        </is>
      </c>
      <c r="E944" t="inlineStr">
        <is>
          <t>RAGUNDA</t>
        </is>
      </c>
      <c r="G944" t="n">
        <v>2</v>
      </c>
      <c r="H944" t="n">
        <v>0</v>
      </c>
      <c r="I944" t="n">
        <v>0</v>
      </c>
      <c r="J944" t="n">
        <v>0</v>
      </c>
      <c r="K944" t="n">
        <v>0</v>
      </c>
      <c r="L944" t="n">
        <v>0</v>
      </c>
      <c r="M944" t="n">
        <v>0</v>
      </c>
      <c r="N944" t="n">
        <v>0</v>
      </c>
      <c r="O944" t="n">
        <v>0</v>
      </c>
      <c r="P944" t="n">
        <v>0</v>
      </c>
      <c r="Q944" t="n">
        <v>0</v>
      </c>
      <c r="R944" s="2" t="inlineStr"/>
    </row>
    <row r="945" ht="15" customHeight="1">
      <c r="A945" t="inlineStr">
        <is>
          <t>A 12983-2025</t>
        </is>
      </c>
      <c r="B945" s="1" t="n">
        <v>45734.4633912037</v>
      </c>
      <c r="C945" s="1" t="n">
        <v>46170</v>
      </c>
      <c r="D945" t="inlineStr">
        <is>
          <t>JÄMTLANDS LÄN</t>
        </is>
      </c>
      <c r="E945" t="inlineStr">
        <is>
          <t>RAGUNDA</t>
        </is>
      </c>
      <c r="G945" t="n">
        <v>5.2</v>
      </c>
      <c r="H945" t="n">
        <v>0</v>
      </c>
      <c r="I945" t="n">
        <v>0</v>
      </c>
      <c r="J945" t="n">
        <v>0</v>
      </c>
      <c r="K945" t="n">
        <v>0</v>
      </c>
      <c r="L945" t="n">
        <v>0</v>
      </c>
      <c r="M945" t="n">
        <v>0</v>
      </c>
      <c r="N945" t="n">
        <v>0</v>
      </c>
      <c r="O945" t="n">
        <v>0</v>
      </c>
      <c r="P945" t="n">
        <v>0</v>
      </c>
      <c r="Q945" t="n">
        <v>0</v>
      </c>
      <c r="R945" s="2" t="inlineStr"/>
    </row>
    <row r="946" ht="15" customHeight="1">
      <c r="A946" t="inlineStr">
        <is>
          <t>A 3938-2024</t>
        </is>
      </c>
      <c r="B946" s="1" t="n">
        <v>45322</v>
      </c>
      <c r="C946" s="1" t="n">
        <v>46170</v>
      </c>
      <c r="D946" t="inlineStr">
        <is>
          <t>JÄMTLANDS LÄN</t>
        </is>
      </c>
      <c r="E946" t="inlineStr">
        <is>
          <t>RAGUNDA</t>
        </is>
      </c>
      <c r="G946" t="n">
        <v>3.2</v>
      </c>
      <c r="H946" t="n">
        <v>0</v>
      </c>
      <c r="I946" t="n">
        <v>0</v>
      </c>
      <c r="J946" t="n">
        <v>0</v>
      </c>
      <c r="K946" t="n">
        <v>0</v>
      </c>
      <c r="L946" t="n">
        <v>0</v>
      </c>
      <c r="M946" t="n">
        <v>0</v>
      </c>
      <c r="N946" t="n">
        <v>0</v>
      </c>
      <c r="O946" t="n">
        <v>0</v>
      </c>
      <c r="P946" t="n">
        <v>0</v>
      </c>
      <c r="Q946" t="n">
        <v>0</v>
      </c>
      <c r="R946" s="2" t="inlineStr"/>
    </row>
    <row r="947" ht="15" customHeight="1">
      <c r="A947" t="inlineStr">
        <is>
          <t>A 53144-2024</t>
        </is>
      </c>
      <c r="B947" s="1" t="n">
        <v>45611</v>
      </c>
      <c r="C947" s="1" t="n">
        <v>46170</v>
      </c>
      <c r="D947" t="inlineStr">
        <is>
          <t>JÄMTLANDS LÄN</t>
        </is>
      </c>
      <c r="E947" t="inlineStr">
        <is>
          <t>RAGUNDA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3813-2026</t>
        </is>
      </c>
      <c r="B948" s="1" t="n">
        <v>46043.58447916667</v>
      </c>
      <c r="C948" s="1" t="n">
        <v>46170</v>
      </c>
      <c r="D948" t="inlineStr">
        <is>
          <t>JÄMTLANDS LÄN</t>
        </is>
      </c>
      <c r="E948" t="inlineStr">
        <is>
          <t>RAGUNDA</t>
        </is>
      </c>
      <c r="F948" t="inlineStr">
        <is>
          <t>SCA</t>
        </is>
      </c>
      <c r="G948" t="n">
        <v>23.2</v>
      </c>
      <c r="H948" t="n">
        <v>0</v>
      </c>
      <c r="I948" t="n">
        <v>0</v>
      </c>
      <c r="J948" t="n">
        <v>0</v>
      </c>
      <c r="K948" t="n">
        <v>0</v>
      </c>
      <c r="L948" t="n">
        <v>0</v>
      </c>
      <c r="M948" t="n">
        <v>0</v>
      </c>
      <c r="N948" t="n">
        <v>0</v>
      </c>
      <c r="O948" t="n">
        <v>0</v>
      </c>
      <c r="P948" t="n">
        <v>0</v>
      </c>
      <c r="Q948" t="n">
        <v>0</v>
      </c>
      <c r="R948" s="2" t="inlineStr"/>
    </row>
    <row r="949" ht="15" customHeight="1">
      <c r="A949" t="inlineStr">
        <is>
          <t>A 3561-2026</t>
        </is>
      </c>
      <c r="B949" s="1" t="n">
        <v>46042.67142361111</v>
      </c>
      <c r="C949" s="1" t="n">
        <v>46170</v>
      </c>
      <c r="D949" t="inlineStr">
        <is>
          <t>JÄMTLANDS LÄN</t>
        </is>
      </c>
      <c r="E949" t="inlineStr">
        <is>
          <t>RAGUNDA</t>
        </is>
      </c>
      <c r="G949" t="n">
        <v>3.8</v>
      </c>
      <c r="H949" t="n">
        <v>0</v>
      </c>
      <c r="I949" t="n">
        <v>0</v>
      </c>
      <c r="J949" t="n">
        <v>0</v>
      </c>
      <c r="K949" t="n">
        <v>0</v>
      </c>
      <c r="L949" t="n">
        <v>0</v>
      </c>
      <c r="M949" t="n">
        <v>0</v>
      </c>
      <c r="N949" t="n">
        <v>0</v>
      </c>
      <c r="O949" t="n">
        <v>0</v>
      </c>
      <c r="P949" t="n">
        <v>0</v>
      </c>
      <c r="Q949" t="n">
        <v>0</v>
      </c>
      <c r="R949" s="2" t="inlineStr"/>
    </row>
    <row r="950" ht="15" customHeight="1">
      <c r="A950" t="inlineStr">
        <is>
          <t>A 4237-2026</t>
        </is>
      </c>
      <c r="B950" s="1" t="n">
        <v>46044.92743055556</v>
      </c>
      <c r="C950" s="1" t="n">
        <v>46170</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4142-2026</t>
        </is>
      </c>
      <c r="B951" s="1" t="n">
        <v>46044.63607638889</v>
      </c>
      <c r="C951" s="1" t="n">
        <v>46170</v>
      </c>
      <c r="D951" t="inlineStr">
        <is>
          <t>JÄMTLANDS LÄN</t>
        </is>
      </c>
      <c r="E951" t="inlineStr">
        <is>
          <t>RAGUNDA</t>
        </is>
      </c>
      <c r="F951" t="inlineStr">
        <is>
          <t>SCA</t>
        </is>
      </c>
      <c r="G951" t="n">
        <v>19.3</v>
      </c>
      <c r="H951" t="n">
        <v>0</v>
      </c>
      <c r="I951" t="n">
        <v>0</v>
      </c>
      <c r="J951" t="n">
        <v>0</v>
      </c>
      <c r="K951" t="n">
        <v>0</v>
      </c>
      <c r="L951" t="n">
        <v>0</v>
      </c>
      <c r="M951" t="n">
        <v>0</v>
      </c>
      <c r="N951" t="n">
        <v>0</v>
      </c>
      <c r="O951" t="n">
        <v>0</v>
      </c>
      <c r="P951" t="n">
        <v>0</v>
      </c>
      <c r="Q951" t="n">
        <v>0</v>
      </c>
      <c r="R951" s="2" t="inlineStr"/>
    </row>
    <row r="952" ht="15" customHeight="1">
      <c r="A952" t="inlineStr">
        <is>
          <t>A 22311-2024</t>
        </is>
      </c>
      <c r="B952" s="1" t="n">
        <v>45446.57052083333</v>
      </c>
      <c r="C952" s="1" t="n">
        <v>46170</v>
      </c>
      <c r="D952" t="inlineStr">
        <is>
          <t>JÄMTLANDS LÄN</t>
        </is>
      </c>
      <c r="E952" t="inlineStr">
        <is>
          <t>RAGUNDA</t>
        </is>
      </c>
      <c r="G952" t="n">
        <v>1.3</v>
      </c>
      <c r="H952" t="n">
        <v>0</v>
      </c>
      <c r="I952" t="n">
        <v>0</v>
      </c>
      <c r="J952" t="n">
        <v>0</v>
      </c>
      <c r="K952" t="n">
        <v>0</v>
      </c>
      <c r="L952" t="n">
        <v>0</v>
      </c>
      <c r="M952" t="n">
        <v>0</v>
      </c>
      <c r="N952" t="n">
        <v>0</v>
      </c>
      <c r="O952" t="n">
        <v>0</v>
      </c>
      <c r="P952" t="n">
        <v>0</v>
      </c>
      <c r="Q952" t="n">
        <v>0</v>
      </c>
      <c r="R952" s="2" t="inlineStr"/>
    </row>
    <row r="953" ht="15" customHeight="1">
      <c r="A953" t="inlineStr">
        <is>
          <t>A 4046-2026</t>
        </is>
      </c>
      <c r="B953" s="1" t="n">
        <v>46044.46921296296</v>
      </c>
      <c r="C953" s="1" t="n">
        <v>46170</v>
      </c>
      <c r="D953" t="inlineStr">
        <is>
          <t>JÄMTLANDS LÄN</t>
        </is>
      </c>
      <c r="E953" t="inlineStr">
        <is>
          <t>RAGUNDA</t>
        </is>
      </c>
      <c r="G953" t="n">
        <v>5.3</v>
      </c>
      <c r="H953" t="n">
        <v>0</v>
      </c>
      <c r="I953" t="n">
        <v>0</v>
      </c>
      <c r="J953" t="n">
        <v>0</v>
      </c>
      <c r="K953" t="n">
        <v>0</v>
      </c>
      <c r="L953" t="n">
        <v>0</v>
      </c>
      <c r="M953" t="n">
        <v>0</v>
      </c>
      <c r="N953" t="n">
        <v>0</v>
      </c>
      <c r="O953" t="n">
        <v>0</v>
      </c>
      <c r="P953" t="n">
        <v>0</v>
      </c>
      <c r="Q953" t="n">
        <v>0</v>
      </c>
      <c r="R953" s="2" t="inlineStr"/>
    </row>
    <row r="954" ht="15" customHeight="1">
      <c r="A954" t="inlineStr">
        <is>
          <t>A 4073-2026</t>
        </is>
      </c>
      <c r="B954" s="1" t="n">
        <v>46044.53168981482</v>
      </c>
      <c r="C954" s="1" t="n">
        <v>46170</v>
      </c>
      <c r="D954" t="inlineStr">
        <is>
          <t>JÄMTLANDS LÄN</t>
        </is>
      </c>
      <c r="E954" t="inlineStr">
        <is>
          <t>RAGUNDA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19403-2025</t>
        </is>
      </c>
      <c r="B955" s="1" t="n">
        <v>45769.67790509259</v>
      </c>
      <c r="C955" s="1" t="n">
        <v>46170</v>
      </c>
      <c r="D955" t="inlineStr">
        <is>
          <t>JÄMTLANDS LÄN</t>
        </is>
      </c>
      <c r="E955" t="inlineStr">
        <is>
          <t>RAGUNDA</t>
        </is>
      </c>
      <c r="F955" t="inlineStr">
        <is>
          <t>SCA</t>
        </is>
      </c>
      <c r="G955" t="n">
        <v>0.5</v>
      </c>
      <c r="H955" t="n">
        <v>0</v>
      </c>
      <c r="I955" t="n">
        <v>0</v>
      </c>
      <c r="J955" t="n">
        <v>0</v>
      </c>
      <c r="K955" t="n">
        <v>0</v>
      </c>
      <c r="L955" t="n">
        <v>0</v>
      </c>
      <c r="M955" t="n">
        <v>0</v>
      </c>
      <c r="N955" t="n">
        <v>0</v>
      </c>
      <c r="O955" t="n">
        <v>0</v>
      </c>
      <c r="P955" t="n">
        <v>0</v>
      </c>
      <c r="Q955" t="n">
        <v>0</v>
      </c>
      <c r="R955" s="2" t="inlineStr"/>
    </row>
    <row r="956" ht="15" customHeight="1">
      <c r="A956" t="inlineStr">
        <is>
          <t>A 4047-2026</t>
        </is>
      </c>
      <c r="B956" s="1" t="n">
        <v>46044.46944444445</v>
      </c>
      <c r="C956" s="1" t="n">
        <v>46170</v>
      </c>
      <c r="D956" t="inlineStr">
        <is>
          <t>JÄMTLANDS LÄN</t>
        </is>
      </c>
      <c r="E956" t="inlineStr">
        <is>
          <t>RAGUNDA</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4099-2026</t>
        </is>
      </c>
      <c r="B957" s="1" t="n">
        <v>46044.57357638889</v>
      </c>
      <c r="C957" s="1" t="n">
        <v>46170</v>
      </c>
      <c r="D957" t="inlineStr">
        <is>
          <t>JÄMTLANDS LÄN</t>
        </is>
      </c>
      <c r="E957" t="inlineStr">
        <is>
          <t>RAGUNDA</t>
        </is>
      </c>
      <c r="G957" t="n">
        <v>8.4</v>
      </c>
      <c r="H957" t="n">
        <v>0</v>
      </c>
      <c r="I957" t="n">
        <v>0</v>
      </c>
      <c r="J957" t="n">
        <v>0</v>
      </c>
      <c r="K957" t="n">
        <v>0</v>
      </c>
      <c r="L957" t="n">
        <v>0</v>
      </c>
      <c r="M957" t="n">
        <v>0</v>
      </c>
      <c r="N957" t="n">
        <v>0</v>
      </c>
      <c r="O957" t="n">
        <v>0</v>
      </c>
      <c r="P957" t="n">
        <v>0</v>
      </c>
      <c r="Q957" t="n">
        <v>0</v>
      </c>
      <c r="R957" s="2" t="inlineStr"/>
    </row>
    <row r="958" ht="15" customHeight="1">
      <c r="A958" t="inlineStr">
        <is>
          <t>A 4627-2026</t>
        </is>
      </c>
      <c r="B958" s="1" t="n">
        <v>46048.3860300926</v>
      </c>
      <c r="C958" s="1" t="n">
        <v>46170</v>
      </c>
      <c r="D958" t="inlineStr">
        <is>
          <t>JÄMTLANDS LÄN</t>
        </is>
      </c>
      <c r="E958" t="inlineStr">
        <is>
          <t>RAGUNDA</t>
        </is>
      </c>
      <c r="G958" t="n">
        <v>0.5</v>
      </c>
      <c r="H958" t="n">
        <v>0</v>
      </c>
      <c r="I958" t="n">
        <v>0</v>
      </c>
      <c r="J958" t="n">
        <v>0</v>
      </c>
      <c r="K958" t="n">
        <v>0</v>
      </c>
      <c r="L958" t="n">
        <v>0</v>
      </c>
      <c r="M958" t="n">
        <v>0</v>
      </c>
      <c r="N958" t="n">
        <v>0</v>
      </c>
      <c r="O958" t="n">
        <v>0</v>
      </c>
      <c r="P958" t="n">
        <v>0</v>
      </c>
      <c r="Q958" t="n">
        <v>0</v>
      </c>
      <c r="R958" s="2" t="inlineStr"/>
    </row>
    <row r="959" ht="15" customHeight="1">
      <c r="A959" t="inlineStr">
        <is>
          <t>A 4628-2026</t>
        </is>
      </c>
      <c r="B959" s="1" t="n">
        <v>46048.3862037037</v>
      </c>
      <c r="C959" s="1" t="n">
        <v>46170</v>
      </c>
      <c r="D959" t="inlineStr">
        <is>
          <t>JÄMTLANDS LÄN</t>
        </is>
      </c>
      <c r="E959" t="inlineStr">
        <is>
          <t>RAGUNDA</t>
        </is>
      </c>
      <c r="G959" t="n">
        <v>0.3</v>
      </c>
      <c r="H959" t="n">
        <v>0</v>
      </c>
      <c r="I959" t="n">
        <v>0</v>
      </c>
      <c r="J959" t="n">
        <v>0</v>
      </c>
      <c r="K959" t="n">
        <v>0</v>
      </c>
      <c r="L959" t="n">
        <v>0</v>
      </c>
      <c r="M959" t="n">
        <v>0</v>
      </c>
      <c r="N959" t="n">
        <v>0</v>
      </c>
      <c r="O959" t="n">
        <v>0</v>
      </c>
      <c r="P959" t="n">
        <v>0</v>
      </c>
      <c r="Q959" t="n">
        <v>0</v>
      </c>
      <c r="R959" s="2" t="inlineStr"/>
    </row>
    <row r="960" ht="15" customHeight="1">
      <c r="A960" t="inlineStr">
        <is>
          <t>A 4616-2026</t>
        </is>
      </c>
      <c r="B960" s="1" t="n">
        <v>46048.37070601852</v>
      </c>
      <c r="C960" s="1" t="n">
        <v>46170</v>
      </c>
      <c r="D960" t="inlineStr">
        <is>
          <t>JÄMTLANDS LÄN</t>
        </is>
      </c>
      <c r="E960" t="inlineStr">
        <is>
          <t>RAGUNDA</t>
        </is>
      </c>
      <c r="G960" t="n">
        <v>2.4</v>
      </c>
      <c r="H960" t="n">
        <v>0</v>
      </c>
      <c r="I960" t="n">
        <v>0</v>
      </c>
      <c r="J960" t="n">
        <v>0</v>
      </c>
      <c r="K960" t="n">
        <v>0</v>
      </c>
      <c r="L960" t="n">
        <v>0</v>
      </c>
      <c r="M960" t="n">
        <v>0</v>
      </c>
      <c r="N960" t="n">
        <v>0</v>
      </c>
      <c r="O960" t="n">
        <v>0</v>
      </c>
      <c r="P960" t="n">
        <v>0</v>
      </c>
      <c r="Q960" t="n">
        <v>0</v>
      </c>
      <c r="R960" s="2" t="inlineStr"/>
    </row>
    <row r="961" ht="15" customHeight="1">
      <c r="A961" t="inlineStr">
        <is>
          <t>A 4629-2026</t>
        </is>
      </c>
      <c r="B961" s="1" t="n">
        <v>46048.38622685185</v>
      </c>
      <c r="C961" s="1" t="n">
        <v>46170</v>
      </c>
      <c r="D961" t="inlineStr">
        <is>
          <t>JÄMTLANDS LÄN</t>
        </is>
      </c>
      <c r="E961" t="inlineStr">
        <is>
          <t>RAGUNDA</t>
        </is>
      </c>
      <c r="G961" t="n">
        <v>1</v>
      </c>
      <c r="H961" t="n">
        <v>0</v>
      </c>
      <c r="I961" t="n">
        <v>0</v>
      </c>
      <c r="J961" t="n">
        <v>0</v>
      </c>
      <c r="K961" t="n">
        <v>0</v>
      </c>
      <c r="L961" t="n">
        <v>0</v>
      </c>
      <c r="M961" t="n">
        <v>0</v>
      </c>
      <c r="N961" t="n">
        <v>0</v>
      </c>
      <c r="O961" t="n">
        <v>0</v>
      </c>
      <c r="P961" t="n">
        <v>0</v>
      </c>
      <c r="Q961" t="n">
        <v>0</v>
      </c>
      <c r="R961" s="2" t="inlineStr"/>
    </row>
    <row r="962" ht="15" customHeight="1">
      <c r="A962" t="inlineStr">
        <is>
          <t>A 11147-2025</t>
        </is>
      </c>
      <c r="B962" s="1" t="n">
        <v>45723.67777777778</v>
      </c>
      <c r="C962" s="1" t="n">
        <v>46170</v>
      </c>
      <c r="D962" t="inlineStr">
        <is>
          <t>JÄMTLANDS LÄN</t>
        </is>
      </c>
      <c r="E962" t="inlineStr">
        <is>
          <t>RAGUNDA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5073-2026</t>
        </is>
      </c>
      <c r="B963" s="1" t="n">
        <v>46049.51126157407</v>
      </c>
      <c r="C963" s="1" t="n">
        <v>46170</v>
      </c>
      <c r="D963" t="inlineStr">
        <is>
          <t>JÄMTLANDS LÄN</t>
        </is>
      </c>
      <c r="E963" t="inlineStr">
        <is>
          <t>RAGUNDA</t>
        </is>
      </c>
      <c r="G963" t="n">
        <v>5.9</v>
      </c>
      <c r="H963" t="n">
        <v>0</v>
      </c>
      <c r="I963" t="n">
        <v>0</v>
      </c>
      <c r="J963" t="n">
        <v>0</v>
      </c>
      <c r="K963" t="n">
        <v>0</v>
      </c>
      <c r="L963" t="n">
        <v>0</v>
      </c>
      <c r="M963" t="n">
        <v>0</v>
      </c>
      <c r="N963" t="n">
        <v>0</v>
      </c>
      <c r="O963" t="n">
        <v>0</v>
      </c>
      <c r="P963" t="n">
        <v>0</v>
      </c>
      <c r="Q963" t="n">
        <v>0</v>
      </c>
      <c r="R963" s="2" t="inlineStr"/>
    </row>
    <row r="964" ht="15" customHeight="1">
      <c r="A964" t="inlineStr">
        <is>
          <t>A 5009-2026</t>
        </is>
      </c>
      <c r="B964" s="1" t="n">
        <v>46049.42839120371</v>
      </c>
      <c r="C964" s="1" t="n">
        <v>46170</v>
      </c>
      <c r="D964" t="inlineStr">
        <is>
          <t>JÄMTLANDS LÄN</t>
        </is>
      </c>
      <c r="E964" t="inlineStr">
        <is>
          <t>RAGUNDA</t>
        </is>
      </c>
      <c r="F964" t="inlineStr">
        <is>
          <t>SCA</t>
        </is>
      </c>
      <c r="G964" t="n">
        <v>37.4</v>
      </c>
      <c r="H964" t="n">
        <v>0</v>
      </c>
      <c r="I964" t="n">
        <v>0</v>
      </c>
      <c r="J964" t="n">
        <v>0</v>
      </c>
      <c r="K964" t="n">
        <v>0</v>
      </c>
      <c r="L964" t="n">
        <v>0</v>
      </c>
      <c r="M964" t="n">
        <v>0</v>
      </c>
      <c r="N964" t="n">
        <v>0</v>
      </c>
      <c r="O964" t="n">
        <v>0</v>
      </c>
      <c r="P964" t="n">
        <v>0</v>
      </c>
      <c r="Q964" t="n">
        <v>0</v>
      </c>
      <c r="R964" s="2" t="inlineStr"/>
    </row>
    <row r="965" ht="15" customHeight="1">
      <c r="A965" t="inlineStr">
        <is>
          <t>A 9847-2025</t>
        </is>
      </c>
      <c r="B965" s="1" t="n">
        <v>45716.61487268518</v>
      </c>
      <c r="C965" s="1" t="n">
        <v>46170</v>
      </c>
      <c r="D965" t="inlineStr">
        <is>
          <t>JÄMTLANDS LÄN</t>
        </is>
      </c>
      <c r="E965" t="inlineStr">
        <is>
          <t>RAGUNDA</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4839-2026</t>
        </is>
      </c>
      <c r="B966" s="1" t="n">
        <v>46048.61520833334</v>
      </c>
      <c r="C966" s="1" t="n">
        <v>46170</v>
      </c>
      <c r="D966" t="inlineStr">
        <is>
          <t>JÄMTLANDS LÄN</t>
        </is>
      </c>
      <c r="E966" t="inlineStr">
        <is>
          <t>RAGUNDA</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4841-2026</t>
        </is>
      </c>
      <c r="B967" s="1" t="n">
        <v>46048.61550925926</v>
      </c>
      <c r="C967" s="1" t="n">
        <v>46170</v>
      </c>
      <c r="D967" t="inlineStr">
        <is>
          <t>JÄMTLANDS LÄN</t>
        </is>
      </c>
      <c r="E967" t="inlineStr">
        <is>
          <t>RAGUNDA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28173-2024</t>
        </is>
      </c>
      <c r="B968" s="1" t="n">
        <v>45476.94533564815</v>
      </c>
      <c r="C968" s="1" t="n">
        <v>46170</v>
      </c>
      <c r="D968" t="inlineStr">
        <is>
          <t>JÄMTLANDS LÄN</t>
        </is>
      </c>
      <c r="E968" t="inlineStr">
        <is>
          <t>RAGUNDA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23734-2024</t>
        </is>
      </c>
      <c r="B969" s="1" t="n">
        <v>45454.95960648148</v>
      </c>
      <c r="C969" s="1" t="n">
        <v>46170</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38425-2022</t>
        </is>
      </c>
      <c r="B970" s="1" t="n">
        <v>44812.94709490741</v>
      </c>
      <c r="C970" s="1" t="n">
        <v>46170</v>
      </c>
      <c r="D970" t="inlineStr">
        <is>
          <t>JÄMTLANDS LÄN</t>
        </is>
      </c>
      <c r="E970" t="inlineStr">
        <is>
          <t>RAGUNDA</t>
        </is>
      </c>
      <c r="F970" t="inlineStr">
        <is>
          <t>SCA</t>
        </is>
      </c>
      <c r="G970" t="n">
        <v>6.1</v>
      </c>
      <c r="H970" t="n">
        <v>0</v>
      </c>
      <c r="I970" t="n">
        <v>0</v>
      </c>
      <c r="J970" t="n">
        <v>0</v>
      </c>
      <c r="K970" t="n">
        <v>0</v>
      </c>
      <c r="L970" t="n">
        <v>0</v>
      </c>
      <c r="M970" t="n">
        <v>0</v>
      </c>
      <c r="N970" t="n">
        <v>0</v>
      </c>
      <c r="O970" t="n">
        <v>0</v>
      </c>
      <c r="P970" t="n">
        <v>0</v>
      </c>
      <c r="Q970" t="n">
        <v>0</v>
      </c>
      <c r="R970" s="2" t="inlineStr"/>
    </row>
    <row r="971" ht="15" customHeight="1">
      <c r="A971" t="inlineStr">
        <is>
          <t>A 12995-2023</t>
        </is>
      </c>
      <c r="B971" s="1" t="n">
        <v>45002.0328125</v>
      </c>
      <c r="C971" s="1" t="n">
        <v>46170</v>
      </c>
      <c r="D971" t="inlineStr">
        <is>
          <t>JÄMTLANDS LÄN</t>
        </is>
      </c>
      <c r="E971" t="inlineStr">
        <is>
          <t>RAGUNDA</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44755-2024</t>
        </is>
      </c>
      <c r="B972" s="1" t="n">
        <v>45574.61184027778</v>
      </c>
      <c r="C972" s="1" t="n">
        <v>46170</v>
      </c>
      <c r="D972" t="inlineStr">
        <is>
          <t>JÄMTLANDS LÄN</t>
        </is>
      </c>
      <c r="E972" t="inlineStr">
        <is>
          <t>RAGUNDA</t>
        </is>
      </c>
      <c r="G972" t="n">
        <v>4.4</v>
      </c>
      <c r="H972" t="n">
        <v>0</v>
      </c>
      <c r="I972" t="n">
        <v>0</v>
      </c>
      <c r="J972" t="n">
        <v>0</v>
      </c>
      <c r="K972" t="n">
        <v>0</v>
      </c>
      <c r="L972" t="n">
        <v>0</v>
      </c>
      <c r="M972" t="n">
        <v>0</v>
      </c>
      <c r="N972" t="n">
        <v>0</v>
      </c>
      <c r="O972" t="n">
        <v>0</v>
      </c>
      <c r="P972" t="n">
        <v>0</v>
      </c>
      <c r="Q972" t="n">
        <v>0</v>
      </c>
      <c r="R972" s="2" t="inlineStr"/>
    </row>
    <row r="973" ht="15" customHeight="1">
      <c r="A973" t="inlineStr">
        <is>
          <t>A 44766-2024</t>
        </is>
      </c>
      <c r="B973" s="1" t="n">
        <v>45574.62297453704</v>
      </c>
      <c r="C973" s="1" t="n">
        <v>46170</v>
      </c>
      <c r="D973" t="inlineStr">
        <is>
          <t>JÄMTLANDS LÄN</t>
        </is>
      </c>
      <c r="E973" t="inlineStr">
        <is>
          <t>RAGUNDA</t>
        </is>
      </c>
      <c r="G973" t="n">
        <v>3.2</v>
      </c>
      <c r="H973" t="n">
        <v>0</v>
      </c>
      <c r="I973" t="n">
        <v>0</v>
      </c>
      <c r="J973" t="n">
        <v>0</v>
      </c>
      <c r="K973" t="n">
        <v>0</v>
      </c>
      <c r="L973" t="n">
        <v>0</v>
      </c>
      <c r="M973" t="n">
        <v>0</v>
      </c>
      <c r="N973" t="n">
        <v>0</v>
      </c>
      <c r="O973" t="n">
        <v>0</v>
      </c>
      <c r="P973" t="n">
        <v>0</v>
      </c>
      <c r="Q973" t="n">
        <v>0</v>
      </c>
      <c r="R973" s="2" t="inlineStr"/>
    </row>
    <row r="974" ht="15" customHeight="1">
      <c r="A974" t="inlineStr">
        <is>
          <t>A 16676-2022</t>
        </is>
      </c>
      <c r="B974" s="1" t="n">
        <v>44672.94018518519</v>
      </c>
      <c r="C974" s="1" t="n">
        <v>46170</v>
      </c>
      <c r="D974" t="inlineStr">
        <is>
          <t>JÄMTLANDS LÄN</t>
        </is>
      </c>
      <c r="E974" t="inlineStr">
        <is>
          <t>RAGUNDA</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5359-2026</t>
        </is>
      </c>
      <c r="B975" s="1" t="n">
        <v>46050.4484837963</v>
      </c>
      <c r="C975" s="1" t="n">
        <v>46170</v>
      </c>
      <c r="D975" t="inlineStr">
        <is>
          <t>JÄMTLANDS LÄN</t>
        </is>
      </c>
      <c r="E975" t="inlineStr">
        <is>
          <t>RAGUNDA</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55536-2024</t>
        </is>
      </c>
      <c r="B976" s="1" t="n">
        <v>45622</v>
      </c>
      <c r="C976" s="1" t="n">
        <v>46170</v>
      </c>
      <c r="D976" t="inlineStr">
        <is>
          <t>JÄMTLANDS LÄN</t>
        </is>
      </c>
      <c r="E976" t="inlineStr">
        <is>
          <t>RAGUNDA</t>
        </is>
      </c>
      <c r="G976" t="n">
        <v>0.8</v>
      </c>
      <c r="H976" t="n">
        <v>0</v>
      </c>
      <c r="I976" t="n">
        <v>0</v>
      </c>
      <c r="J976" t="n">
        <v>0</v>
      </c>
      <c r="K976" t="n">
        <v>0</v>
      </c>
      <c r="L976" t="n">
        <v>0</v>
      </c>
      <c r="M976" t="n">
        <v>0</v>
      </c>
      <c r="N976" t="n">
        <v>0</v>
      </c>
      <c r="O976" t="n">
        <v>0</v>
      </c>
      <c r="P976" t="n">
        <v>0</v>
      </c>
      <c r="Q976" t="n">
        <v>0</v>
      </c>
      <c r="R976" s="2" t="inlineStr"/>
    </row>
    <row r="977" ht="15" customHeight="1">
      <c r="A977" t="inlineStr">
        <is>
          <t>A 44597-2024</t>
        </is>
      </c>
      <c r="B977" s="1" t="n">
        <v>45574.51087962963</v>
      </c>
      <c r="C977" s="1" t="n">
        <v>46170</v>
      </c>
      <c r="D977" t="inlineStr">
        <is>
          <t>JÄMTLANDS LÄN</t>
        </is>
      </c>
      <c r="E977" t="inlineStr">
        <is>
          <t>RAGUNDA</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44598-2024</t>
        </is>
      </c>
      <c r="B978" s="1" t="n">
        <v>45574.51090277778</v>
      </c>
      <c r="C978" s="1" t="n">
        <v>46170</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6174-2026</t>
        </is>
      </c>
      <c r="B979" s="1" t="n">
        <v>46055.34457175926</v>
      </c>
      <c r="C979" s="1" t="n">
        <v>46170</v>
      </c>
      <c r="D979" t="inlineStr">
        <is>
          <t>JÄMTLANDS LÄN</t>
        </is>
      </c>
      <c r="E979" t="inlineStr">
        <is>
          <t>RAGUNDA</t>
        </is>
      </c>
      <c r="F979" t="inlineStr">
        <is>
          <t>SCA</t>
        </is>
      </c>
      <c r="G979" t="n">
        <v>24.3</v>
      </c>
      <c r="H979" t="n">
        <v>0</v>
      </c>
      <c r="I979" t="n">
        <v>0</v>
      </c>
      <c r="J979" t="n">
        <v>0</v>
      </c>
      <c r="K979" t="n">
        <v>0</v>
      </c>
      <c r="L979" t="n">
        <v>0</v>
      </c>
      <c r="M979" t="n">
        <v>0</v>
      </c>
      <c r="N979" t="n">
        <v>0</v>
      </c>
      <c r="O979" t="n">
        <v>0</v>
      </c>
      <c r="P979" t="n">
        <v>0</v>
      </c>
      <c r="Q979" t="n">
        <v>0</v>
      </c>
      <c r="R979" s="2" t="inlineStr"/>
    </row>
    <row r="980" ht="15" customHeight="1">
      <c r="A980" t="inlineStr">
        <is>
          <t>A 18610-2024</t>
        </is>
      </c>
      <c r="B980" s="1" t="n">
        <v>45425.96230324074</v>
      </c>
      <c r="C980" s="1" t="n">
        <v>46170</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57116-2024</t>
        </is>
      </c>
      <c r="B981" s="1" t="n">
        <v>45629.36513888889</v>
      </c>
      <c r="C981" s="1" t="n">
        <v>46170</v>
      </c>
      <c r="D981" t="inlineStr">
        <is>
          <t>JÄMTLANDS LÄN</t>
        </is>
      </c>
      <c r="E981" t="inlineStr">
        <is>
          <t>RAGUNDA</t>
        </is>
      </c>
      <c r="G981" t="n">
        <v>0.6</v>
      </c>
      <c r="H981" t="n">
        <v>0</v>
      </c>
      <c r="I981" t="n">
        <v>0</v>
      </c>
      <c r="J981" t="n">
        <v>0</v>
      </c>
      <c r="K981" t="n">
        <v>0</v>
      </c>
      <c r="L981" t="n">
        <v>0</v>
      </c>
      <c r="M981" t="n">
        <v>0</v>
      </c>
      <c r="N981" t="n">
        <v>0</v>
      </c>
      <c r="O981" t="n">
        <v>0</v>
      </c>
      <c r="P981" t="n">
        <v>0</v>
      </c>
      <c r="Q981" t="n">
        <v>0</v>
      </c>
      <c r="R981" s="2" t="inlineStr"/>
    </row>
    <row r="982" ht="15" customHeight="1">
      <c r="A982" t="inlineStr">
        <is>
          <t>A 3104-2025</t>
        </is>
      </c>
      <c r="B982" s="1" t="n">
        <v>45678.67761574074</v>
      </c>
      <c r="C982" s="1" t="n">
        <v>46170</v>
      </c>
      <c r="D982" t="inlineStr">
        <is>
          <t>JÄMTLANDS LÄN</t>
        </is>
      </c>
      <c r="E982" t="inlineStr">
        <is>
          <t>RAGUNDA</t>
        </is>
      </c>
      <c r="F982" t="inlineStr">
        <is>
          <t>SCA</t>
        </is>
      </c>
      <c r="G982" t="n">
        <v>46.2</v>
      </c>
      <c r="H982" t="n">
        <v>0</v>
      </c>
      <c r="I982" t="n">
        <v>0</v>
      </c>
      <c r="J982" t="n">
        <v>0</v>
      </c>
      <c r="K982" t="n">
        <v>0</v>
      </c>
      <c r="L982" t="n">
        <v>0</v>
      </c>
      <c r="M982" t="n">
        <v>0</v>
      </c>
      <c r="N982" t="n">
        <v>0</v>
      </c>
      <c r="O982" t="n">
        <v>0</v>
      </c>
      <c r="P982" t="n">
        <v>0</v>
      </c>
      <c r="Q982" t="n">
        <v>0</v>
      </c>
      <c r="R982" s="2" t="inlineStr"/>
    </row>
    <row r="983" ht="15" customHeight="1">
      <c r="A983" t="inlineStr">
        <is>
          <t>A 6569-2026</t>
        </is>
      </c>
      <c r="B983" s="1" t="n">
        <v>46052</v>
      </c>
      <c r="C983" s="1" t="n">
        <v>46170</v>
      </c>
      <c r="D983" t="inlineStr">
        <is>
          <t>JÄMTLANDS LÄN</t>
        </is>
      </c>
      <c r="E983" t="inlineStr">
        <is>
          <t>RAGUNDA</t>
        </is>
      </c>
      <c r="G983" t="n">
        <v>0.7</v>
      </c>
      <c r="H983" t="n">
        <v>0</v>
      </c>
      <c r="I983" t="n">
        <v>0</v>
      </c>
      <c r="J983" t="n">
        <v>0</v>
      </c>
      <c r="K983" t="n">
        <v>0</v>
      </c>
      <c r="L983" t="n">
        <v>0</v>
      </c>
      <c r="M983" t="n">
        <v>0</v>
      </c>
      <c r="N983" t="n">
        <v>0</v>
      </c>
      <c r="O983" t="n">
        <v>0</v>
      </c>
      <c r="P983" t="n">
        <v>0</v>
      </c>
      <c r="Q983" t="n">
        <v>0</v>
      </c>
      <c r="R983" s="2" t="inlineStr"/>
    </row>
    <row r="984" ht="15" customHeight="1">
      <c r="A984" t="inlineStr">
        <is>
          <t>A 40246-2024</t>
        </is>
      </c>
      <c r="B984" s="1" t="n">
        <v>45554.61583333334</v>
      </c>
      <c r="C984" s="1" t="n">
        <v>46170</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4878-2022</t>
        </is>
      </c>
      <c r="B985" s="1" t="n">
        <v>44593</v>
      </c>
      <c r="C985" s="1" t="n">
        <v>46170</v>
      </c>
      <c r="D985" t="inlineStr">
        <is>
          <t>JÄMTLANDS LÄN</t>
        </is>
      </c>
      <c r="E985" t="inlineStr">
        <is>
          <t>RAGUNDA</t>
        </is>
      </c>
      <c r="G985" t="n">
        <v>21.7</v>
      </c>
      <c r="H985" t="n">
        <v>0</v>
      </c>
      <c r="I985" t="n">
        <v>0</v>
      </c>
      <c r="J985" t="n">
        <v>0</v>
      </c>
      <c r="K985" t="n">
        <v>0</v>
      </c>
      <c r="L985" t="n">
        <v>0</v>
      </c>
      <c r="M985" t="n">
        <v>0</v>
      </c>
      <c r="N985" t="n">
        <v>0</v>
      </c>
      <c r="O985" t="n">
        <v>0</v>
      </c>
      <c r="P985" t="n">
        <v>0</v>
      </c>
      <c r="Q985" t="n">
        <v>0</v>
      </c>
      <c r="R985" s="2" t="inlineStr"/>
    </row>
    <row r="986" ht="15" customHeight="1">
      <c r="A986" t="inlineStr">
        <is>
          <t>A 6693-2026</t>
        </is>
      </c>
      <c r="B986" s="1" t="n">
        <v>46056</v>
      </c>
      <c r="C986" s="1" t="n">
        <v>46170</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57237-2022</t>
        </is>
      </c>
      <c r="B987" s="1" t="n">
        <v>44889</v>
      </c>
      <c r="C987" s="1" t="n">
        <v>46170</v>
      </c>
      <c r="D987" t="inlineStr">
        <is>
          <t>JÄMTLANDS LÄN</t>
        </is>
      </c>
      <c r="E987" t="inlineStr">
        <is>
          <t>RAGUNDA</t>
        </is>
      </c>
      <c r="G987" t="n">
        <v>2.2</v>
      </c>
      <c r="H987" t="n">
        <v>0</v>
      </c>
      <c r="I987" t="n">
        <v>0</v>
      </c>
      <c r="J987" t="n">
        <v>0</v>
      </c>
      <c r="K987" t="n">
        <v>0</v>
      </c>
      <c r="L987" t="n">
        <v>0</v>
      </c>
      <c r="M987" t="n">
        <v>0</v>
      </c>
      <c r="N987" t="n">
        <v>0</v>
      </c>
      <c r="O987" t="n">
        <v>0</v>
      </c>
      <c r="P987" t="n">
        <v>0</v>
      </c>
      <c r="Q987" t="n">
        <v>0</v>
      </c>
      <c r="R987" s="2" t="inlineStr"/>
    </row>
    <row r="988" ht="15" customHeight="1">
      <c r="A988" t="inlineStr">
        <is>
          <t>A 2133-2023</t>
        </is>
      </c>
      <c r="B988" s="1" t="n">
        <v>44939</v>
      </c>
      <c r="C988" s="1" t="n">
        <v>46170</v>
      </c>
      <c r="D988" t="inlineStr">
        <is>
          <t>JÄMTLANDS LÄN</t>
        </is>
      </c>
      <c r="E988" t="inlineStr">
        <is>
          <t>RAGUNDA</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19419-2024</t>
        </is>
      </c>
      <c r="B989" s="1" t="n">
        <v>45429</v>
      </c>
      <c r="C989" s="1" t="n">
        <v>46170</v>
      </c>
      <c r="D989" t="inlineStr">
        <is>
          <t>JÄMTLANDS LÄN</t>
        </is>
      </c>
      <c r="E989" t="inlineStr">
        <is>
          <t>RAGUNDA</t>
        </is>
      </c>
      <c r="G989" t="n">
        <v>3.5</v>
      </c>
      <c r="H989" t="n">
        <v>0</v>
      </c>
      <c r="I989" t="n">
        <v>0</v>
      </c>
      <c r="J989" t="n">
        <v>0</v>
      </c>
      <c r="K989" t="n">
        <v>0</v>
      </c>
      <c r="L989" t="n">
        <v>0</v>
      </c>
      <c r="M989" t="n">
        <v>0</v>
      </c>
      <c r="N989" t="n">
        <v>0</v>
      </c>
      <c r="O989" t="n">
        <v>0</v>
      </c>
      <c r="P989" t="n">
        <v>0</v>
      </c>
      <c r="Q989" t="n">
        <v>0</v>
      </c>
      <c r="R989" s="2" t="inlineStr"/>
    </row>
    <row r="990" ht="15" customHeight="1">
      <c r="A990" t="inlineStr">
        <is>
          <t>A 19383-2025</t>
        </is>
      </c>
      <c r="B990" s="1" t="n">
        <v>45769.65688657408</v>
      </c>
      <c r="C990" s="1" t="n">
        <v>46170</v>
      </c>
      <c r="D990" t="inlineStr">
        <is>
          <t>JÄMTLANDS LÄN</t>
        </is>
      </c>
      <c r="E990" t="inlineStr">
        <is>
          <t>RAGUNDA</t>
        </is>
      </c>
      <c r="F990" t="inlineStr">
        <is>
          <t>SCA</t>
        </is>
      </c>
      <c r="G990" t="n">
        <v>6</v>
      </c>
      <c r="H990" t="n">
        <v>0</v>
      </c>
      <c r="I990" t="n">
        <v>0</v>
      </c>
      <c r="J990" t="n">
        <v>0</v>
      </c>
      <c r="K990" t="n">
        <v>0</v>
      </c>
      <c r="L990" t="n">
        <v>0</v>
      </c>
      <c r="M990" t="n">
        <v>0</v>
      </c>
      <c r="N990" t="n">
        <v>0</v>
      </c>
      <c r="O990" t="n">
        <v>0</v>
      </c>
      <c r="P990" t="n">
        <v>0</v>
      </c>
      <c r="Q990" t="n">
        <v>0</v>
      </c>
      <c r="R990" s="2" t="inlineStr"/>
    </row>
    <row r="991" ht="15" customHeight="1">
      <c r="A991" t="inlineStr">
        <is>
          <t>A 49229-2024</t>
        </is>
      </c>
      <c r="B991" s="1" t="n">
        <v>45595.42738425926</v>
      </c>
      <c r="C991" s="1" t="n">
        <v>46170</v>
      </c>
      <c r="D991" t="inlineStr">
        <is>
          <t>JÄMTLANDS LÄN</t>
        </is>
      </c>
      <c r="E991" t="inlineStr">
        <is>
          <t>RAGUNDA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13700-2023</t>
        </is>
      </c>
      <c r="B992" s="1" t="n">
        <v>45006</v>
      </c>
      <c r="C992" s="1" t="n">
        <v>46170</v>
      </c>
      <c r="D992" t="inlineStr">
        <is>
          <t>JÄMTLANDS LÄN</t>
        </is>
      </c>
      <c r="E992" t="inlineStr">
        <is>
          <t>RAGUNDA</t>
        </is>
      </c>
      <c r="F992" t="inlineStr">
        <is>
          <t>SCA</t>
        </is>
      </c>
      <c r="G992" t="n">
        <v>50.3</v>
      </c>
      <c r="H992" t="n">
        <v>0</v>
      </c>
      <c r="I992" t="n">
        <v>0</v>
      </c>
      <c r="J992" t="n">
        <v>0</v>
      </c>
      <c r="K992" t="n">
        <v>0</v>
      </c>
      <c r="L992" t="n">
        <v>0</v>
      </c>
      <c r="M992" t="n">
        <v>0</v>
      </c>
      <c r="N992" t="n">
        <v>0</v>
      </c>
      <c r="O992" t="n">
        <v>0</v>
      </c>
      <c r="P992" t="n">
        <v>0</v>
      </c>
      <c r="Q992" t="n">
        <v>0</v>
      </c>
      <c r="R992" s="2" t="inlineStr"/>
    </row>
    <row r="993" ht="15" customHeight="1">
      <c r="A993" t="inlineStr">
        <is>
          <t>A 51389-2024</t>
        </is>
      </c>
      <c r="B993" s="1" t="n">
        <v>45604.40540509259</v>
      </c>
      <c r="C993" s="1" t="n">
        <v>46170</v>
      </c>
      <c r="D993" t="inlineStr">
        <is>
          <t>JÄMTLANDS LÄN</t>
        </is>
      </c>
      <c r="E993" t="inlineStr">
        <is>
          <t>RAGUNDA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51393-2024</t>
        </is>
      </c>
      <c r="B994" s="1" t="n">
        <v>45604.41625</v>
      </c>
      <c r="C994" s="1" t="n">
        <v>46170</v>
      </c>
      <c r="D994" t="inlineStr">
        <is>
          <t>JÄMTLANDS LÄN</t>
        </is>
      </c>
      <c r="E994" t="inlineStr">
        <is>
          <t>RAGUNDA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7777-2026</t>
        </is>
      </c>
      <c r="B995" s="1" t="n">
        <v>46062.57324074074</v>
      </c>
      <c r="C995" s="1" t="n">
        <v>46170</v>
      </c>
      <c r="D995" t="inlineStr">
        <is>
          <t>JÄMTLANDS LÄN</t>
        </is>
      </c>
      <c r="E995" t="inlineStr">
        <is>
          <t>RAGUNDA</t>
        </is>
      </c>
      <c r="G995" t="n">
        <v>6.4</v>
      </c>
      <c r="H995" t="n">
        <v>0</v>
      </c>
      <c r="I995" t="n">
        <v>0</v>
      </c>
      <c r="J995" t="n">
        <v>0</v>
      </c>
      <c r="K995" t="n">
        <v>0</v>
      </c>
      <c r="L995" t="n">
        <v>0</v>
      </c>
      <c r="M995" t="n">
        <v>0</v>
      </c>
      <c r="N995" t="n">
        <v>0</v>
      </c>
      <c r="O995" t="n">
        <v>0</v>
      </c>
      <c r="P995" t="n">
        <v>0</v>
      </c>
      <c r="Q995" t="n">
        <v>0</v>
      </c>
      <c r="R995" s="2" t="inlineStr"/>
    </row>
    <row r="996" ht="15" customHeight="1">
      <c r="A996" t="inlineStr">
        <is>
          <t>A 20987-2023</t>
        </is>
      </c>
      <c r="B996" s="1" t="n">
        <v>45056</v>
      </c>
      <c r="C996" s="1" t="n">
        <v>46170</v>
      </c>
      <c r="D996" t="inlineStr">
        <is>
          <t>JÄMTLANDS LÄN</t>
        </is>
      </c>
      <c r="E996" t="inlineStr">
        <is>
          <t>RAGUNDA</t>
        </is>
      </c>
      <c r="G996" t="n">
        <v>1.1</v>
      </c>
      <c r="H996" t="n">
        <v>0</v>
      </c>
      <c r="I996" t="n">
        <v>0</v>
      </c>
      <c r="J996" t="n">
        <v>0</v>
      </c>
      <c r="K996" t="n">
        <v>0</v>
      </c>
      <c r="L996" t="n">
        <v>0</v>
      </c>
      <c r="M996" t="n">
        <v>0</v>
      </c>
      <c r="N996" t="n">
        <v>0</v>
      </c>
      <c r="O996" t="n">
        <v>0</v>
      </c>
      <c r="P996" t="n">
        <v>0</v>
      </c>
      <c r="Q996" t="n">
        <v>0</v>
      </c>
      <c r="R996" s="2" t="inlineStr"/>
    </row>
    <row r="997" ht="15" customHeight="1">
      <c r="A997" t="inlineStr">
        <is>
          <t>A 20994-2023</t>
        </is>
      </c>
      <c r="B997" s="1" t="n">
        <v>45056</v>
      </c>
      <c r="C997" s="1" t="n">
        <v>46170</v>
      </c>
      <c r="D997" t="inlineStr">
        <is>
          <t>JÄMTLANDS LÄN</t>
        </is>
      </c>
      <c r="E997" t="inlineStr">
        <is>
          <t>RAGUNDA</t>
        </is>
      </c>
      <c r="G997" t="n">
        <v>1.3</v>
      </c>
      <c r="H997" t="n">
        <v>0</v>
      </c>
      <c r="I997" t="n">
        <v>0</v>
      </c>
      <c r="J997" t="n">
        <v>0</v>
      </c>
      <c r="K997" t="n">
        <v>0</v>
      </c>
      <c r="L997" t="n">
        <v>0</v>
      </c>
      <c r="M997" t="n">
        <v>0</v>
      </c>
      <c r="N997" t="n">
        <v>0</v>
      </c>
      <c r="O997" t="n">
        <v>0</v>
      </c>
      <c r="P997" t="n">
        <v>0</v>
      </c>
      <c r="Q997" t="n">
        <v>0</v>
      </c>
      <c r="R997" s="2" t="inlineStr"/>
    </row>
    <row r="998" ht="15" customHeight="1">
      <c r="A998" t="inlineStr">
        <is>
          <t>A 55669-2023</t>
        </is>
      </c>
      <c r="B998" s="1" t="n">
        <v>45238.96797453704</v>
      </c>
      <c r="C998" s="1" t="n">
        <v>46170</v>
      </c>
      <c r="D998" t="inlineStr">
        <is>
          <t>JÄMTLANDS LÄN</t>
        </is>
      </c>
      <c r="E998" t="inlineStr">
        <is>
          <t>RAGUNDA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32063-2024</t>
        </is>
      </c>
      <c r="B999" s="1" t="n">
        <v>45510</v>
      </c>
      <c r="C999" s="1" t="n">
        <v>46170</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10641-2024</t>
        </is>
      </c>
      <c r="B1000" s="1" t="n">
        <v>45367.69850694444</v>
      </c>
      <c r="C1000" s="1" t="n">
        <v>46170</v>
      </c>
      <c r="D1000" t="inlineStr">
        <is>
          <t>JÄMTLANDS LÄN</t>
        </is>
      </c>
      <c r="E1000" t="inlineStr">
        <is>
          <t>RAGUNDA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10644-2024</t>
        </is>
      </c>
      <c r="B1001" s="1" t="n">
        <v>45367.71348379629</v>
      </c>
      <c r="C1001" s="1" t="n">
        <v>46170</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20426-2024</t>
        </is>
      </c>
      <c r="B1002" s="1" t="n">
        <v>45435</v>
      </c>
      <c r="C1002" s="1" t="n">
        <v>46170</v>
      </c>
      <c r="D1002" t="inlineStr">
        <is>
          <t>JÄMTLANDS LÄN</t>
        </is>
      </c>
      <c r="E1002" t="inlineStr">
        <is>
          <t>RAGUNDA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8067-2026</t>
        </is>
      </c>
      <c r="B1003" s="1" t="n">
        <v>46063.6358912037</v>
      </c>
      <c r="C1003" s="1" t="n">
        <v>46170</v>
      </c>
      <c r="D1003" t="inlineStr">
        <is>
          <t>JÄMTLANDS LÄN</t>
        </is>
      </c>
      <c r="E1003" t="inlineStr">
        <is>
          <t>RAGUNDA</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17742-2022</t>
        </is>
      </c>
      <c r="B1004" s="1" t="n">
        <v>44680.95246527778</v>
      </c>
      <c r="C1004" s="1" t="n">
        <v>46170</v>
      </c>
      <c r="D1004" t="inlineStr">
        <is>
          <t>JÄMTLANDS LÄN</t>
        </is>
      </c>
      <c r="E1004" t="inlineStr">
        <is>
          <t>RAGUNDA</t>
        </is>
      </c>
      <c r="F1004" t="inlineStr">
        <is>
          <t>SCA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30825-2023</t>
        </is>
      </c>
      <c r="B1005" s="1" t="n">
        <v>45112.94310185185</v>
      </c>
      <c r="C1005" s="1" t="n">
        <v>46170</v>
      </c>
      <c r="D1005" t="inlineStr">
        <is>
          <t>JÄMTLANDS LÄN</t>
        </is>
      </c>
      <c r="E1005" t="inlineStr">
        <is>
          <t>RAGUNDA</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8312-2026</t>
        </is>
      </c>
      <c r="B1006" s="1" t="n">
        <v>46064</v>
      </c>
      <c r="C1006" s="1" t="n">
        <v>46170</v>
      </c>
      <c r="D1006" t="inlineStr">
        <is>
          <t>JÄMTLANDS LÄN</t>
        </is>
      </c>
      <c r="E1006" t="inlineStr">
        <is>
          <t>RAGUNDA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46170</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9097-2026</t>
        </is>
      </c>
      <c r="B1008" s="1" t="n">
        <v>46069.63592592593</v>
      </c>
      <c r="C1008" s="1" t="n">
        <v>46170</v>
      </c>
      <c r="D1008" t="inlineStr">
        <is>
          <t>JÄMTLANDS LÄN</t>
        </is>
      </c>
      <c r="E1008" t="inlineStr">
        <is>
          <t>RAGUNDA</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9326-2024</t>
        </is>
      </c>
      <c r="B1009" s="1" t="n">
        <v>45358.95818287037</v>
      </c>
      <c r="C1009" s="1" t="n">
        <v>46170</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7520-2023</t>
        </is>
      </c>
      <c r="B1010" s="1" t="n">
        <v>44971</v>
      </c>
      <c r="C1010" s="1" t="n">
        <v>46170</v>
      </c>
      <c r="D1010" t="inlineStr">
        <is>
          <t>JÄMTLANDS LÄN</t>
        </is>
      </c>
      <c r="E1010" t="inlineStr">
        <is>
          <t>RAGUNDA</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21662-2023</t>
        </is>
      </c>
      <c r="B1011" s="1" t="n">
        <v>45063</v>
      </c>
      <c r="C1011" s="1" t="n">
        <v>46170</v>
      </c>
      <c r="D1011" t="inlineStr">
        <is>
          <t>JÄMTLANDS LÄN</t>
        </is>
      </c>
      <c r="E1011" t="inlineStr">
        <is>
          <t>RAGUNDA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44727-2024</t>
        </is>
      </c>
      <c r="B1012" s="1" t="n">
        <v>45574.57967592592</v>
      </c>
      <c r="C1012" s="1" t="n">
        <v>46170</v>
      </c>
      <c r="D1012" t="inlineStr">
        <is>
          <t>JÄMTLANDS LÄN</t>
        </is>
      </c>
      <c r="E1012" t="inlineStr">
        <is>
          <t>RAGUNDA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9042-2026</t>
        </is>
      </c>
      <c r="B1013" s="1" t="n">
        <v>46069.54721064815</v>
      </c>
      <c r="C1013" s="1" t="n">
        <v>46170</v>
      </c>
      <c r="D1013" t="inlineStr">
        <is>
          <t>JÄMTLANDS LÄN</t>
        </is>
      </c>
      <c r="E1013" t="inlineStr">
        <is>
          <t>RAGUNDA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21083-2024</t>
        </is>
      </c>
      <c r="B1014" s="1" t="n">
        <v>45439.92752314815</v>
      </c>
      <c r="C1014" s="1" t="n">
        <v>46170</v>
      </c>
      <c r="D1014" t="inlineStr">
        <is>
          <t>JÄMTLANDS LÄN</t>
        </is>
      </c>
      <c r="E1014" t="inlineStr">
        <is>
          <t>RAGUNDA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462-2023</t>
        </is>
      </c>
      <c r="B1015" s="1" t="n">
        <v>44929</v>
      </c>
      <c r="C1015" s="1" t="n">
        <v>46170</v>
      </c>
      <c r="D1015" t="inlineStr">
        <is>
          <t>JÄMTLANDS LÄN</t>
        </is>
      </c>
      <c r="E1015" t="inlineStr">
        <is>
          <t>RAGUNDA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12050-2023</t>
        </is>
      </c>
      <c r="B1016" s="1" t="n">
        <v>44995.98644675926</v>
      </c>
      <c r="C1016" s="1" t="n">
        <v>46170</v>
      </c>
      <c r="D1016" t="inlineStr">
        <is>
          <t>JÄMTLANDS LÄN</t>
        </is>
      </c>
      <c r="E1016" t="inlineStr">
        <is>
          <t>RAGUNDA</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9316-2026</t>
        </is>
      </c>
      <c r="B1017" s="1" t="n">
        <v>46070.62200231481</v>
      </c>
      <c r="C1017" s="1" t="n">
        <v>46170</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62358-2023</t>
        </is>
      </c>
      <c r="B1018" s="1" t="n">
        <v>45267</v>
      </c>
      <c r="C1018" s="1" t="n">
        <v>46170</v>
      </c>
      <c r="D1018" t="inlineStr">
        <is>
          <t>JÄMTLANDS LÄN</t>
        </is>
      </c>
      <c r="E1018" t="inlineStr">
        <is>
          <t>RAGUNDA</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18820-2023</t>
        </is>
      </c>
      <c r="B1019" s="1" t="n">
        <v>45042</v>
      </c>
      <c r="C1019" s="1" t="n">
        <v>46170</v>
      </c>
      <c r="D1019" t="inlineStr">
        <is>
          <t>JÄMTLANDS LÄN</t>
        </is>
      </c>
      <c r="E1019" t="inlineStr">
        <is>
          <t>RAGUNDA</t>
        </is>
      </c>
      <c r="G1019" t="n">
        <v>18.8</v>
      </c>
      <c r="H1019" t="n">
        <v>0</v>
      </c>
      <c r="I1019" t="n">
        <v>0</v>
      </c>
      <c r="J1019" t="n">
        <v>0</v>
      </c>
      <c r="K1019" t="n">
        <v>0</v>
      </c>
      <c r="L1019" t="n">
        <v>0</v>
      </c>
      <c r="M1019" t="n">
        <v>0</v>
      </c>
      <c r="N1019" t="n">
        <v>0</v>
      </c>
      <c r="O1019" t="n">
        <v>0</v>
      </c>
      <c r="P1019" t="n">
        <v>0</v>
      </c>
      <c r="Q1019" t="n">
        <v>0</v>
      </c>
      <c r="R1019" s="2" t="inlineStr"/>
    </row>
    <row r="1020" ht="15" customHeight="1">
      <c r="A1020" t="inlineStr">
        <is>
          <t>A 9538-2026</t>
        </is>
      </c>
      <c r="B1020" s="1" t="n">
        <v>46071.61511574074</v>
      </c>
      <c r="C1020" s="1" t="n">
        <v>46170</v>
      </c>
      <c r="D1020" t="inlineStr">
        <is>
          <t>JÄMTLANDS LÄN</t>
        </is>
      </c>
      <c r="E1020" t="inlineStr">
        <is>
          <t>RAGUNDA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9537-2026</t>
        </is>
      </c>
      <c r="B1021" s="1" t="n">
        <v>46071.61503472222</v>
      </c>
      <c r="C1021" s="1" t="n">
        <v>46170</v>
      </c>
      <c r="D1021" t="inlineStr">
        <is>
          <t>JÄMTLANDS LÄN</t>
        </is>
      </c>
      <c r="E1021" t="inlineStr">
        <is>
          <t>RAGUNDA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9566-2026</t>
        </is>
      </c>
      <c r="B1022" s="1" t="n">
        <v>46071.65679398148</v>
      </c>
      <c r="C1022" s="1" t="n">
        <v>46170</v>
      </c>
      <c r="D1022" t="inlineStr">
        <is>
          <t>JÄMTLANDS LÄN</t>
        </is>
      </c>
      <c r="E1022" t="inlineStr">
        <is>
          <t>RAGUNDA</t>
        </is>
      </c>
      <c r="F1022" t="inlineStr">
        <is>
          <t>SCA</t>
        </is>
      </c>
      <c r="G1022" t="n">
        <v>18.9</v>
      </c>
      <c r="H1022" t="n">
        <v>0</v>
      </c>
      <c r="I1022" t="n">
        <v>0</v>
      </c>
      <c r="J1022" t="n">
        <v>0</v>
      </c>
      <c r="K1022" t="n">
        <v>0</v>
      </c>
      <c r="L1022" t="n">
        <v>0</v>
      </c>
      <c r="M1022" t="n">
        <v>0</v>
      </c>
      <c r="N1022" t="n">
        <v>0</v>
      </c>
      <c r="O1022" t="n">
        <v>0</v>
      </c>
      <c r="P1022" t="n">
        <v>0</v>
      </c>
      <c r="Q1022" t="n">
        <v>0</v>
      </c>
      <c r="R1022" s="2" t="inlineStr"/>
    </row>
    <row r="1023" ht="15" customHeight="1">
      <c r="A1023" t="inlineStr">
        <is>
          <t>A 9513-2026</t>
        </is>
      </c>
      <c r="B1023" s="1" t="n">
        <v>46071.59444444445</v>
      </c>
      <c r="C1023" s="1" t="n">
        <v>46170</v>
      </c>
      <c r="D1023" t="inlineStr">
        <is>
          <t>JÄMTLANDS LÄN</t>
        </is>
      </c>
      <c r="E1023" t="inlineStr">
        <is>
          <t>RAGUNDA</t>
        </is>
      </c>
      <c r="F1023" t="inlineStr">
        <is>
          <t>SCA</t>
        </is>
      </c>
      <c r="G1023" t="n">
        <v>26.1</v>
      </c>
      <c r="H1023" t="n">
        <v>0</v>
      </c>
      <c r="I1023" t="n">
        <v>0</v>
      </c>
      <c r="J1023" t="n">
        <v>0</v>
      </c>
      <c r="K1023" t="n">
        <v>0</v>
      </c>
      <c r="L1023" t="n">
        <v>0</v>
      </c>
      <c r="M1023" t="n">
        <v>0</v>
      </c>
      <c r="N1023" t="n">
        <v>0</v>
      </c>
      <c r="O1023" t="n">
        <v>0</v>
      </c>
      <c r="P1023" t="n">
        <v>0</v>
      </c>
      <c r="Q1023" t="n">
        <v>0</v>
      </c>
      <c r="R1023" s="2" t="inlineStr"/>
    </row>
    <row r="1024" ht="15" customHeight="1">
      <c r="A1024" t="inlineStr">
        <is>
          <t>A 49648-2023</t>
        </is>
      </c>
      <c r="B1024" s="1" t="n">
        <v>45211.95061342593</v>
      </c>
      <c r="C1024" s="1" t="n">
        <v>46170</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51537-2022</t>
        </is>
      </c>
      <c r="B1025" s="1" t="n">
        <v>44869</v>
      </c>
      <c r="C1025" s="1" t="n">
        <v>46170</v>
      </c>
      <c r="D1025" t="inlineStr">
        <is>
          <t>JÄMTLANDS LÄN</t>
        </is>
      </c>
      <c r="E1025" t="inlineStr">
        <is>
          <t>RAGUNDA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59044-2022</t>
        </is>
      </c>
      <c r="B1026" s="1" t="n">
        <v>44903</v>
      </c>
      <c r="C1026" s="1" t="n">
        <v>46170</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9736-2026</t>
        </is>
      </c>
      <c r="B1027" s="1" t="n">
        <v>46072.49005787037</v>
      </c>
      <c r="C1027" s="1" t="n">
        <v>46170</v>
      </c>
      <c r="D1027" t="inlineStr">
        <is>
          <t>JÄMTLANDS LÄN</t>
        </is>
      </c>
      <c r="E1027" t="inlineStr">
        <is>
          <t>RAGUNDA</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5958-2023</t>
        </is>
      </c>
      <c r="B1028" s="1" t="n">
        <v>44963</v>
      </c>
      <c r="C1028" s="1" t="n">
        <v>46170</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10090-2026</t>
        </is>
      </c>
      <c r="B1029" s="1" t="n">
        <v>46073.69875</v>
      </c>
      <c r="C1029" s="1" t="n">
        <v>46170</v>
      </c>
      <c r="D1029" t="inlineStr">
        <is>
          <t>JÄMTLANDS LÄN</t>
        </is>
      </c>
      <c r="E1029" t="inlineStr">
        <is>
          <t>RAGUNDA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8779-2025</t>
        </is>
      </c>
      <c r="B1030" s="1" t="n">
        <v>45712.61552083334</v>
      </c>
      <c r="C1030" s="1" t="n">
        <v>46170</v>
      </c>
      <c r="D1030" t="inlineStr">
        <is>
          <t>JÄMTLANDS LÄN</t>
        </is>
      </c>
      <c r="E1030" t="inlineStr">
        <is>
          <t>RAGUNDA</t>
        </is>
      </c>
      <c r="F1030" t="inlineStr">
        <is>
          <t>SCA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61400-2022</t>
        </is>
      </c>
      <c r="B1031" s="1" t="n">
        <v>44915</v>
      </c>
      <c r="C1031" s="1" t="n">
        <v>46170</v>
      </c>
      <c r="D1031" t="inlineStr">
        <is>
          <t>JÄMTLANDS LÄN</t>
        </is>
      </c>
      <c r="E1031" t="inlineStr">
        <is>
          <t>RAGUNDA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10344-2026</t>
        </is>
      </c>
      <c r="B1032" s="1" t="n">
        <v>46076.68523148148</v>
      </c>
      <c r="C1032" s="1" t="n">
        <v>46170</v>
      </c>
      <c r="D1032" t="inlineStr">
        <is>
          <t>JÄMTLANDS LÄN</t>
        </is>
      </c>
      <c r="E1032" t="inlineStr">
        <is>
          <t>RAGUNDA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10740-2026</t>
        </is>
      </c>
      <c r="B1033" s="1" t="n">
        <v>46078.5109375</v>
      </c>
      <c r="C1033" s="1" t="n">
        <v>46170</v>
      </c>
      <c r="D1033" t="inlineStr">
        <is>
          <t>JÄMTLANDS LÄN</t>
        </is>
      </c>
      <c r="E1033" t="inlineStr">
        <is>
          <t>RAGUNDA</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10649-2026</t>
        </is>
      </c>
      <c r="B1034" s="1" t="n">
        <v>46078.34486111111</v>
      </c>
      <c r="C1034" s="1" t="n">
        <v>46170</v>
      </c>
      <c r="D1034" t="inlineStr">
        <is>
          <t>JÄMTLANDS LÄN</t>
        </is>
      </c>
      <c r="E1034" t="inlineStr">
        <is>
          <t>RAGUNDA</t>
        </is>
      </c>
      <c r="F1034" t="inlineStr">
        <is>
          <t>SCA</t>
        </is>
      </c>
      <c r="G1034" t="n">
        <v>45.5</v>
      </c>
      <c r="H1034" t="n">
        <v>0</v>
      </c>
      <c r="I1034" t="n">
        <v>0</v>
      </c>
      <c r="J1034" t="n">
        <v>0</v>
      </c>
      <c r="K1034" t="n">
        <v>0</v>
      </c>
      <c r="L1034" t="n">
        <v>0</v>
      </c>
      <c r="M1034" t="n">
        <v>0</v>
      </c>
      <c r="N1034" t="n">
        <v>0</v>
      </c>
      <c r="O1034" t="n">
        <v>0</v>
      </c>
      <c r="P1034" t="n">
        <v>0</v>
      </c>
      <c r="Q1034" t="n">
        <v>0</v>
      </c>
      <c r="R1034" s="2" t="inlineStr"/>
    </row>
    <row r="1035" ht="15" customHeight="1">
      <c r="A1035" t="inlineStr">
        <is>
          <t>A 10570-2026</t>
        </is>
      </c>
      <c r="B1035" s="1" t="n">
        <v>46077.6568287037</v>
      </c>
      <c r="C1035" s="1" t="n">
        <v>46170</v>
      </c>
      <c r="D1035" t="inlineStr">
        <is>
          <t>JÄMTLANDS LÄN</t>
        </is>
      </c>
      <c r="E1035" t="inlineStr">
        <is>
          <t>RAGUNDA</t>
        </is>
      </c>
      <c r="F1035" t="inlineStr">
        <is>
          <t>SCA</t>
        </is>
      </c>
      <c r="G1035" t="n">
        <v>22.9</v>
      </c>
      <c r="H1035" t="n">
        <v>0</v>
      </c>
      <c r="I1035" t="n">
        <v>0</v>
      </c>
      <c r="J1035" t="n">
        <v>0</v>
      </c>
      <c r="K1035" t="n">
        <v>0</v>
      </c>
      <c r="L1035" t="n">
        <v>0</v>
      </c>
      <c r="M1035" t="n">
        <v>0</v>
      </c>
      <c r="N1035" t="n">
        <v>0</v>
      </c>
      <c r="O1035" t="n">
        <v>0</v>
      </c>
      <c r="P1035" t="n">
        <v>0</v>
      </c>
      <c r="Q1035" t="n">
        <v>0</v>
      </c>
      <c r="R1035" s="2" t="inlineStr"/>
    </row>
    <row r="1036" ht="15" customHeight="1">
      <c r="A1036" t="inlineStr">
        <is>
          <t>A 56286-2023</t>
        </is>
      </c>
      <c r="B1036" s="1" t="n">
        <v>45241.95741898148</v>
      </c>
      <c r="C1036" s="1" t="n">
        <v>46170</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56287-2023</t>
        </is>
      </c>
      <c r="B1037" s="1" t="n">
        <v>45241</v>
      </c>
      <c r="C1037" s="1" t="n">
        <v>46170</v>
      </c>
      <c r="D1037" t="inlineStr">
        <is>
          <t>JÄMTLANDS LÄN</t>
        </is>
      </c>
      <c r="E1037" t="inlineStr">
        <is>
          <t>RAGUNDA</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10410-2026</t>
        </is>
      </c>
      <c r="B1038" s="1" t="n">
        <v>46077.34527777778</v>
      </c>
      <c r="C1038" s="1" t="n">
        <v>46170</v>
      </c>
      <c r="D1038" t="inlineStr">
        <is>
          <t>JÄMTLANDS LÄN</t>
        </is>
      </c>
      <c r="E1038" t="inlineStr">
        <is>
          <t>RAGUNDA</t>
        </is>
      </c>
      <c r="F1038" t="inlineStr">
        <is>
          <t>SCA</t>
        </is>
      </c>
      <c r="G1038" t="n">
        <v>46.5</v>
      </c>
      <c r="H1038" t="n">
        <v>0</v>
      </c>
      <c r="I1038" t="n">
        <v>0</v>
      </c>
      <c r="J1038" t="n">
        <v>0</v>
      </c>
      <c r="K1038" t="n">
        <v>0</v>
      </c>
      <c r="L1038" t="n">
        <v>0</v>
      </c>
      <c r="M1038" t="n">
        <v>0</v>
      </c>
      <c r="N1038" t="n">
        <v>0</v>
      </c>
      <c r="O1038" t="n">
        <v>0</v>
      </c>
      <c r="P1038" t="n">
        <v>0</v>
      </c>
      <c r="Q1038" t="n">
        <v>0</v>
      </c>
      <c r="R1038" s="2" t="inlineStr"/>
    </row>
    <row r="1039" ht="15" customHeight="1">
      <c r="A1039" t="inlineStr">
        <is>
          <t>A 62135-2024</t>
        </is>
      </c>
      <c r="B1039" s="1" t="n">
        <v>45656.64223379629</v>
      </c>
      <c r="C1039" s="1" t="n">
        <v>46170</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18248-2023</t>
        </is>
      </c>
      <c r="B1040" s="1" t="n">
        <v>45040</v>
      </c>
      <c r="C1040" s="1" t="n">
        <v>46170</v>
      </c>
      <c r="D1040" t="inlineStr">
        <is>
          <t>JÄMTLANDS LÄN</t>
        </is>
      </c>
      <c r="E1040" t="inlineStr">
        <is>
          <t>RAGUNDA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8802-2022</t>
        </is>
      </c>
      <c r="B1041" s="1" t="n">
        <v>44614</v>
      </c>
      <c r="C1041" s="1" t="n">
        <v>46170</v>
      </c>
      <c r="D1041" t="inlineStr">
        <is>
          <t>JÄMTLANDS LÄN</t>
        </is>
      </c>
      <c r="E1041" t="inlineStr">
        <is>
          <t>RAGUNDA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39489-2023</t>
        </is>
      </c>
      <c r="B1042" s="1" t="n">
        <v>45166</v>
      </c>
      <c r="C1042" s="1" t="n">
        <v>46170</v>
      </c>
      <c r="D1042" t="inlineStr">
        <is>
          <t>JÄMTLANDS LÄN</t>
        </is>
      </c>
      <c r="E1042" t="inlineStr">
        <is>
          <t>RAGUNDA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55214-2022</t>
        </is>
      </c>
      <c r="B1043" s="1" t="n">
        <v>44886</v>
      </c>
      <c r="C1043" s="1" t="n">
        <v>46170</v>
      </c>
      <c r="D1043" t="inlineStr">
        <is>
          <t>JÄMTLANDS LÄN</t>
        </is>
      </c>
      <c r="E1043" t="inlineStr">
        <is>
          <t>RAGUNDA</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11243-2026</t>
        </is>
      </c>
      <c r="B1044" s="1" t="n">
        <v>46080.53181712963</v>
      </c>
      <c r="C1044" s="1" t="n">
        <v>46170</v>
      </c>
      <c r="D1044" t="inlineStr">
        <is>
          <t>JÄMTLANDS LÄN</t>
        </is>
      </c>
      <c r="E1044" t="inlineStr">
        <is>
          <t>RAGUNDA</t>
        </is>
      </c>
      <c r="F1044" t="inlineStr">
        <is>
          <t>SCA</t>
        </is>
      </c>
      <c r="G1044" t="n">
        <v>52.9</v>
      </c>
      <c r="H1044" t="n">
        <v>0</v>
      </c>
      <c r="I1044" t="n">
        <v>0</v>
      </c>
      <c r="J1044" t="n">
        <v>0</v>
      </c>
      <c r="K1044" t="n">
        <v>0</v>
      </c>
      <c r="L1044" t="n">
        <v>0</v>
      </c>
      <c r="M1044" t="n">
        <v>0</v>
      </c>
      <c r="N1044" t="n">
        <v>0</v>
      </c>
      <c r="O1044" t="n">
        <v>0</v>
      </c>
      <c r="P1044" t="n">
        <v>0</v>
      </c>
      <c r="Q1044" t="n">
        <v>0</v>
      </c>
      <c r="R1044" s="2" t="inlineStr"/>
    </row>
    <row r="1045" ht="15" customHeight="1">
      <c r="A1045" t="inlineStr">
        <is>
          <t>A 64108-2025</t>
        </is>
      </c>
      <c r="B1045" s="1" t="n">
        <v>46013</v>
      </c>
      <c r="C1045" s="1" t="n">
        <v>46170</v>
      </c>
      <c r="D1045" t="inlineStr">
        <is>
          <t>JÄMTLANDS LÄN</t>
        </is>
      </c>
      <c r="E1045" t="inlineStr">
        <is>
          <t>RAGUNDA</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7722-2023</t>
        </is>
      </c>
      <c r="B1046" s="1" t="n">
        <v>44972.94140046297</v>
      </c>
      <c r="C1046" s="1" t="n">
        <v>46170</v>
      </c>
      <c r="D1046" t="inlineStr">
        <is>
          <t>JÄMTLANDS LÄN</t>
        </is>
      </c>
      <c r="E1046" t="inlineStr">
        <is>
          <t>RAGUNDA</t>
        </is>
      </c>
      <c r="F1046" t="inlineStr">
        <is>
          <t>SCA</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12204-2025</t>
        </is>
      </c>
      <c r="B1047" s="1" t="n">
        <v>45729.51074074074</v>
      </c>
      <c r="C1047" s="1" t="n">
        <v>46170</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13299-2024</t>
        </is>
      </c>
      <c r="B1048" s="1" t="n">
        <v>45386.68003472222</v>
      </c>
      <c r="C1048" s="1" t="n">
        <v>46170</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15024-2022</t>
        </is>
      </c>
      <c r="B1049" s="1" t="n">
        <v>44657</v>
      </c>
      <c r="C1049" s="1" t="n">
        <v>46170</v>
      </c>
      <c r="D1049" t="inlineStr">
        <is>
          <t>JÄMTLANDS LÄN</t>
        </is>
      </c>
      <c r="E1049" t="inlineStr">
        <is>
          <t>RAGUNDA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891-2022</t>
        </is>
      </c>
      <c r="B1050" s="1" t="n">
        <v>44571</v>
      </c>
      <c r="C1050" s="1" t="n">
        <v>46170</v>
      </c>
      <c r="D1050" t="inlineStr">
        <is>
          <t>JÄMTLANDS LÄN</t>
        </is>
      </c>
      <c r="E1050" t="inlineStr">
        <is>
          <t>RAGUNDA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36371-2023</t>
        </is>
      </c>
      <c r="B1051" s="1" t="n">
        <v>45149</v>
      </c>
      <c r="C1051" s="1" t="n">
        <v>46170</v>
      </c>
      <c r="D1051" t="inlineStr">
        <is>
          <t>JÄMTLANDS LÄN</t>
        </is>
      </c>
      <c r="E1051" t="inlineStr">
        <is>
          <t>RAGUNDA</t>
        </is>
      </c>
      <c r="G1051" t="n">
        <v>25.7</v>
      </c>
      <c r="H1051" t="n">
        <v>0</v>
      </c>
      <c r="I1051" t="n">
        <v>0</v>
      </c>
      <c r="J1051" t="n">
        <v>0</v>
      </c>
      <c r="K1051" t="n">
        <v>0</v>
      </c>
      <c r="L1051" t="n">
        <v>0</v>
      </c>
      <c r="M1051" t="n">
        <v>0</v>
      </c>
      <c r="N1051" t="n">
        <v>0</v>
      </c>
      <c r="O1051" t="n">
        <v>0</v>
      </c>
      <c r="P1051" t="n">
        <v>0</v>
      </c>
      <c r="Q1051" t="n">
        <v>0</v>
      </c>
      <c r="R1051" s="2" t="inlineStr"/>
    </row>
    <row r="1052" ht="15" customHeight="1">
      <c r="A1052" t="inlineStr">
        <is>
          <t>A 56702-2023</t>
        </is>
      </c>
      <c r="B1052" s="1" t="n">
        <v>45243</v>
      </c>
      <c r="C1052" s="1" t="n">
        <v>46170</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12179-2026</t>
        </is>
      </c>
      <c r="B1053" s="1" t="n">
        <v>46086.69835648148</v>
      </c>
      <c r="C1053" s="1" t="n">
        <v>46170</v>
      </c>
      <c r="D1053" t="inlineStr">
        <is>
          <t>JÄMTLANDS LÄN</t>
        </is>
      </c>
      <c r="E1053" t="inlineStr">
        <is>
          <t>RAGUNDA</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11876-2026</t>
        </is>
      </c>
      <c r="B1054" s="1" t="n">
        <v>46085.50024305555</v>
      </c>
      <c r="C1054" s="1" t="n">
        <v>46170</v>
      </c>
      <c r="D1054" t="inlineStr">
        <is>
          <t>JÄMTLANDS LÄN</t>
        </is>
      </c>
      <c r="E1054" t="inlineStr">
        <is>
          <t>RAGUNDA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32259-2024</t>
        </is>
      </c>
      <c r="B1055" s="1" t="n">
        <v>45511</v>
      </c>
      <c r="C1055" s="1" t="n">
        <v>46170</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11882-2026</t>
        </is>
      </c>
      <c r="B1056" s="1" t="n">
        <v>46085.504375</v>
      </c>
      <c r="C1056" s="1" t="n">
        <v>46170</v>
      </c>
      <c r="D1056" t="inlineStr">
        <is>
          <t>JÄMTLANDS LÄN</t>
        </is>
      </c>
      <c r="E1056" t="inlineStr">
        <is>
          <t>RAGUNDA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11832-2026</t>
        </is>
      </c>
      <c r="B1057" s="1" t="n">
        <v>46085.42788194444</v>
      </c>
      <c r="C1057" s="1" t="n">
        <v>46170</v>
      </c>
      <c r="D1057" t="inlineStr">
        <is>
          <t>JÄMTLANDS LÄN</t>
        </is>
      </c>
      <c r="E1057" t="inlineStr">
        <is>
          <t>RAGUNDA</t>
        </is>
      </c>
      <c r="F1057" t="inlineStr">
        <is>
          <t>SCA</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11878-2026</t>
        </is>
      </c>
      <c r="B1058" s="1" t="n">
        <v>46085.50053240741</v>
      </c>
      <c r="C1058" s="1" t="n">
        <v>46170</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5313-2025</t>
        </is>
      </c>
      <c r="B1059" s="1" t="n">
        <v>45692.51069444444</v>
      </c>
      <c r="C1059" s="1" t="n">
        <v>46170</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5357-2025</t>
        </is>
      </c>
      <c r="B1060" s="1" t="n">
        <v>45692.57326388889</v>
      </c>
      <c r="C1060" s="1" t="n">
        <v>46170</v>
      </c>
      <c r="D1060" t="inlineStr">
        <is>
          <t>JÄMTLANDS LÄN</t>
        </is>
      </c>
      <c r="E1060" t="inlineStr">
        <is>
          <t>RAGUNDA</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3018-2024</t>
        </is>
      </c>
      <c r="B1061" s="1" t="n">
        <v>45315.9492824074</v>
      </c>
      <c r="C1061" s="1" t="n">
        <v>46170</v>
      </c>
      <c r="D1061" t="inlineStr">
        <is>
          <t>JÄMTLANDS LÄN</t>
        </is>
      </c>
      <c r="E1061" t="inlineStr">
        <is>
          <t>RAGUNDA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44605-2024</t>
        </is>
      </c>
      <c r="B1062" s="1" t="n">
        <v>45574.51185185185</v>
      </c>
      <c r="C1062" s="1" t="n">
        <v>46170</v>
      </c>
      <c r="D1062" t="inlineStr">
        <is>
          <t>JÄMTLANDS LÄN</t>
        </is>
      </c>
      <c r="E1062" t="inlineStr">
        <is>
          <t>RAGUNDA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11880-2026</t>
        </is>
      </c>
      <c r="B1063" s="1" t="n">
        <v>46085.50150462963</v>
      </c>
      <c r="C1063" s="1" t="n">
        <v>46170</v>
      </c>
      <c r="D1063" t="inlineStr">
        <is>
          <t>JÄMTLANDS LÄN</t>
        </is>
      </c>
      <c r="E1063" t="inlineStr">
        <is>
          <t>RAGUNDA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20773-2024</t>
        </is>
      </c>
      <c r="B1064" s="1" t="n">
        <v>45436.94636574074</v>
      </c>
      <c r="C1064" s="1" t="n">
        <v>46170</v>
      </c>
      <c r="D1064" t="inlineStr">
        <is>
          <t>JÄMTLANDS LÄN</t>
        </is>
      </c>
      <c r="E1064" t="inlineStr">
        <is>
          <t>RAGUNDA</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34323-2023</t>
        </is>
      </c>
      <c r="B1065" s="1" t="n">
        <v>45138.94925925926</v>
      </c>
      <c r="C1065" s="1" t="n">
        <v>46170</v>
      </c>
      <c r="D1065" t="inlineStr">
        <is>
          <t>JÄMTLANDS LÄN</t>
        </is>
      </c>
      <c r="E1065" t="inlineStr">
        <is>
          <t>RAGUNDA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50486-2023</t>
        </is>
      </c>
      <c r="B1066" s="1" t="n">
        <v>45216.92424768519</v>
      </c>
      <c r="C1066" s="1" t="n">
        <v>46170</v>
      </c>
      <c r="D1066" t="inlineStr">
        <is>
          <t>JÄMTLANDS LÄN</t>
        </is>
      </c>
      <c r="E1066" t="inlineStr">
        <is>
          <t>RAGUNDA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51538-2022</t>
        </is>
      </c>
      <c r="B1067" s="1" t="n">
        <v>44869</v>
      </c>
      <c r="C1067" s="1" t="n">
        <v>46170</v>
      </c>
      <c r="D1067" t="inlineStr">
        <is>
          <t>JÄMTLANDS LÄN</t>
        </is>
      </c>
      <c r="E1067" t="inlineStr">
        <is>
          <t>RAGUNDA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19854-2025</t>
        </is>
      </c>
      <c r="B1068" s="1" t="n">
        <v>45771.51074074074</v>
      </c>
      <c r="C1068" s="1" t="n">
        <v>46170</v>
      </c>
      <c r="D1068" t="inlineStr">
        <is>
          <t>JÄMTLANDS LÄN</t>
        </is>
      </c>
      <c r="E1068" t="inlineStr">
        <is>
          <t>RAGUNDA</t>
        </is>
      </c>
      <c r="F1068" t="inlineStr">
        <is>
          <t>SCA</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12344-2026</t>
        </is>
      </c>
      <c r="B1069" s="1" t="n">
        <v>46087.67763888889</v>
      </c>
      <c r="C1069" s="1" t="n">
        <v>46170</v>
      </c>
      <c r="D1069" t="inlineStr">
        <is>
          <t>JÄMTLANDS LÄN</t>
        </is>
      </c>
      <c r="E1069" t="inlineStr">
        <is>
          <t>RAGUNDA</t>
        </is>
      </c>
      <c r="F1069" t="inlineStr">
        <is>
          <t>SCA</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12346-2026</t>
        </is>
      </c>
      <c r="B1070" s="1" t="n">
        <v>46087.6778587963</v>
      </c>
      <c r="C1070" s="1" t="n">
        <v>46170</v>
      </c>
      <c r="D1070" t="inlineStr">
        <is>
          <t>JÄMTLANDS LÄN</t>
        </is>
      </c>
      <c r="E1070" t="inlineStr">
        <is>
          <t>RAGUNDA</t>
        </is>
      </c>
      <c r="F1070" t="inlineStr">
        <is>
          <t>SCA</t>
        </is>
      </c>
      <c r="G1070" t="n">
        <v>38.3</v>
      </c>
      <c r="H1070" t="n">
        <v>0</v>
      </c>
      <c r="I1070" t="n">
        <v>0</v>
      </c>
      <c r="J1070" t="n">
        <v>0</v>
      </c>
      <c r="K1070" t="n">
        <v>0</v>
      </c>
      <c r="L1070" t="n">
        <v>0</v>
      </c>
      <c r="M1070" t="n">
        <v>0</v>
      </c>
      <c r="N1070" t="n">
        <v>0</v>
      </c>
      <c r="O1070" t="n">
        <v>0</v>
      </c>
      <c r="P1070" t="n">
        <v>0</v>
      </c>
      <c r="Q1070" t="n">
        <v>0</v>
      </c>
      <c r="R1070" s="2" t="inlineStr"/>
    </row>
    <row r="1071" ht="15" customHeight="1">
      <c r="A1071" t="inlineStr">
        <is>
          <t>A 12347-2026</t>
        </is>
      </c>
      <c r="B1071" s="1" t="n">
        <v>46087.67805555555</v>
      </c>
      <c r="C1071" s="1" t="n">
        <v>46170</v>
      </c>
      <c r="D1071" t="inlineStr">
        <is>
          <t>JÄMTLANDS LÄN</t>
        </is>
      </c>
      <c r="E1071" t="inlineStr">
        <is>
          <t>RAGUNDA</t>
        </is>
      </c>
      <c r="F1071" t="inlineStr">
        <is>
          <t>SCA</t>
        </is>
      </c>
      <c r="G1071" t="n">
        <v>33.1</v>
      </c>
      <c r="H1071" t="n">
        <v>0</v>
      </c>
      <c r="I1071" t="n">
        <v>0</v>
      </c>
      <c r="J1071" t="n">
        <v>0</v>
      </c>
      <c r="K1071" t="n">
        <v>0</v>
      </c>
      <c r="L1071" t="n">
        <v>0</v>
      </c>
      <c r="M1071" t="n">
        <v>0</v>
      </c>
      <c r="N1071" t="n">
        <v>0</v>
      </c>
      <c r="O1071" t="n">
        <v>0</v>
      </c>
      <c r="P1071" t="n">
        <v>0</v>
      </c>
      <c r="Q1071" t="n">
        <v>0</v>
      </c>
      <c r="R1071" s="2" t="inlineStr"/>
    </row>
    <row r="1072" ht="15" customHeight="1">
      <c r="A1072" t="inlineStr">
        <is>
          <t>A 50503-2024</t>
        </is>
      </c>
      <c r="B1072" s="1" t="n">
        <v>45601.5315625</v>
      </c>
      <c r="C1072" s="1" t="n">
        <v>46170</v>
      </c>
      <c r="D1072" t="inlineStr">
        <is>
          <t>JÄMTLANDS LÄN</t>
        </is>
      </c>
      <c r="E1072" t="inlineStr">
        <is>
          <t>RAGUNDA</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10610-2024</t>
        </is>
      </c>
      <c r="B1073" s="1" t="n">
        <v>45367.04693287037</v>
      </c>
      <c r="C1073" s="1" t="n">
        <v>46170</v>
      </c>
      <c r="D1073" t="inlineStr">
        <is>
          <t>JÄMTLANDS LÄN</t>
        </is>
      </c>
      <c r="E1073" t="inlineStr">
        <is>
          <t>RAGUNDA</t>
        </is>
      </c>
      <c r="F1073" t="inlineStr">
        <is>
          <t>SCA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10706-2023</t>
        </is>
      </c>
      <c r="B1074" s="1" t="n">
        <v>44984</v>
      </c>
      <c r="C1074" s="1" t="n">
        <v>46170</v>
      </c>
      <c r="D1074" t="inlineStr">
        <is>
          <t>JÄMTLANDS LÄN</t>
        </is>
      </c>
      <c r="E1074" t="inlineStr">
        <is>
          <t>RAGUNDA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12499-2026</t>
        </is>
      </c>
      <c r="B1075" s="1" t="n">
        <v>46090.57364583333</v>
      </c>
      <c r="C1075" s="1" t="n">
        <v>46170</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63708-2023</t>
        </is>
      </c>
      <c r="B1076" s="1" t="n">
        <v>45275.95060185185</v>
      </c>
      <c r="C1076" s="1" t="n">
        <v>46170</v>
      </c>
      <c r="D1076" t="inlineStr">
        <is>
          <t>JÄMTLANDS LÄN</t>
        </is>
      </c>
      <c r="E1076" t="inlineStr">
        <is>
          <t>RAGUNDA</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16250-2022</t>
        </is>
      </c>
      <c r="B1077" s="1" t="n">
        <v>44670</v>
      </c>
      <c r="C1077" s="1" t="n">
        <v>46170</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60663-2022</t>
        </is>
      </c>
      <c r="B1078" s="1" t="n">
        <v>44911.93846064815</v>
      </c>
      <c r="C1078" s="1" t="n">
        <v>46170</v>
      </c>
      <c r="D1078" t="inlineStr">
        <is>
          <t>JÄMTLANDS LÄN</t>
        </is>
      </c>
      <c r="E1078" t="inlineStr">
        <is>
          <t>RAGUNDA</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58847-2024</t>
        </is>
      </c>
      <c r="B1079" s="1" t="n">
        <v>45636.3864699074</v>
      </c>
      <c r="C1079" s="1" t="n">
        <v>46170</v>
      </c>
      <c r="D1079" t="inlineStr">
        <is>
          <t>JÄMTLANDS LÄN</t>
        </is>
      </c>
      <c r="E1079" t="inlineStr">
        <is>
          <t>RAGUNDA</t>
        </is>
      </c>
      <c r="F1079" t="inlineStr">
        <is>
          <t>SCA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27777-2022</t>
        </is>
      </c>
      <c r="B1080" s="1" t="n">
        <v>44743</v>
      </c>
      <c r="C1080" s="1" t="n">
        <v>46170</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42875-2024</t>
        </is>
      </c>
      <c r="B1081" s="1" t="n">
        <v>45566.68125</v>
      </c>
      <c r="C1081" s="1" t="n">
        <v>46170</v>
      </c>
      <c r="D1081" t="inlineStr">
        <is>
          <t>JÄMTLANDS LÄN</t>
        </is>
      </c>
      <c r="E1081" t="inlineStr">
        <is>
          <t>RAGUNDA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53935-2022</t>
        </is>
      </c>
      <c r="B1082" s="1" t="n">
        <v>44880</v>
      </c>
      <c r="C1082" s="1" t="n">
        <v>46170</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12960-2026</t>
        </is>
      </c>
      <c r="B1083" s="1" t="n">
        <v>46092.64105324074</v>
      </c>
      <c r="C1083" s="1" t="n">
        <v>46170</v>
      </c>
      <c r="D1083" t="inlineStr">
        <is>
          <t>JÄMTLANDS LÄN</t>
        </is>
      </c>
      <c r="E1083" t="inlineStr">
        <is>
          <t>RAGUNDA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12985-2026</t>
        </is>
      </c>
      <c r="B1084" s="1" t="n">
        <v>46092.66290509259</v>
      </c>
      <c r="C1084" s="1" t="n">
        <v>46170</v>
      </c>
      <c r="D1084" t="inlineStr">
        <is>
          <t>JÄMTLANDS LÄN</t>
        </is>
      </c>
      <c r="E1084" t="inlineStr">
        <is>
          <t>RAGUNDA</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19394-2026</t>
        </is>
      </c>
      <c r="B1085" s="1" t="n">
        <v>46133.57736111111</v>
      </c>
      <c r="C1085" s="1" t="n">
        <v>46170</v>
      </c>
      <c r="D1085" t="inlineStr">
        <is>
          <t>JÄMTLANDS LÄN</t>
        </is>
      </c>
      <c r="E1085" t="inlineStr">
        <is>
          <t>RAGUNDA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41262-2021</t>
        </is>
      </c>
      <c r="B1086" s="1" t="n">
        <v>44424</v>
      </c>
      <c r="C1086" s="1" t="n">
        <v>46170</v>
      </c>
      <c r="D1086" t="inlineStr">
        <is>
          <t>JÄMTLANDS LÄN</t>
        </is>
      </c>
      <c r="E1086" t="inlineStr">
        <is>
          <t>RAGUNDA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19589-2026</t>
        </is>
      </c>
      <c r="B1087" s="1" t="n">
        <v>46134.46935185185</v>
      </c>
      <c r="C1087" s="1" t="n">
        <v>46170</v>
      </c>
      <c r="D1087" t="inlineStr">
        <is>
          <t>JÄMTLANDS LÄN</t>
        </is>
      </c>
      <c r="E1087" t="inlineStr">
        <is>
          <t>RAGUNDA</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19634-2026</t>
        </is>
      </c>
      <c r="B1088" s="1" t="n">
        <v>46134.56366898148</v>
      </c>
      <c r="C1088" s="1" t="n">
        <v>46170</v>
      </c>
      <c r="D1088" t="inlineStr">
        <is>
          <t>JÄMTLANDS LÄN</t>
        </is>
      </c>
      <c r="E1088" t="inlineStr">
        <is>
          <t>RAGUNDA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20221-2025</t>
        </is>
      </c>
      <c r="B1089" s="1" t="n">
        <v>45772.6565625</v>
      </c>
      <c r="C1089" s="1" t="n">
        <v>46170</v>
      </c>
      <c r="D1089" t="inlineStr">
        <is>
          <t>JÄMTLANDS LÄN</t>
        </is>
      </c>
      <c r="E1089" t="inlineStr">
        <is>
          <t>RAGUNDA</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19641-2026</t>
        </is>
      </c>
      <c r="B1090" s="1" t="n">
        <v>46134.57457175926</v>
      </c>
      <c r="C1090" s="1" t="n">
        <v>46170</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4015-2022</t>
        </is>
      </c>
      <c r="B1091" s="1" t="n">
        <v>44587.92149305555</v>
      </c>
      <c r="C1091" s="1" t="n">
        <v>46170</v>
      </c>
      <c r="D1091" t="inlineStr">
        <is>
          <t>JÄMTLANDS LÄN</t>
        </is>
      </c>
      <c r="E1091" t="inlineStr">
        <is>
          <t>RAGUNDA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8416-2023</t>
        </is>
      </c>
      <c r="B1092" s="1" t="n">
        <v>44977.44373842593</v>
      </c>
      <c r="C1092" s="1" t="n">
        <v>46170</v>
      </c>
      <c r="D1092" t="inlineStr">
        <is>
          <t>JÄMTLANDS LÄN</t>
        </is>
      </c>
      <c r="E1092" t="inlineStr">
        <is>
          <t>RAGUNDA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45253-2023</t>
        </is>
      </c>
      <c r="B1093" s="1" t="n">
        <v>45187</v>
      </c>
      <c r="C1093" s="1" t="n">
        <v>46170</v>
      </c>
      <c r="D1093" t="inlineStr">
        <is>
          <t>JÄMTLANDS LÄN</t>
        </is>
      </c>
      <c r="E1093" t="inlineStr">
        <is>
          <t>RAGUNDA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14369-2024</t>
        </is>
      </c>
      <c r="B1094" s="1" t="n">
        <v>45393.94459490741</v>
      </c>
      <c r="C1094" s="1" t="n">
        <v>46170</v>
      </c>
      <c r="D1094" t="inlineStr">
        <is>
          <t>JÄMTLANDS LÄN</t>
        </is>
      </c>
      <c r="E1094" t="inlineStr">
        <is>
          <t>RAGUNDA</t>
        </is>
      </c>
      <c r="F1094" t="inlineStr">
        <is>
          <t>Naturvårdsverket</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182-2023</t>
        </is>
      </c>
      <c r="B1095" s="1" t="n">
        <v>44922</v>
      </c>
      <c r="C1095" s="1" t="n">
        <v>46170</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12794-2026</t>
        </is>
      </c>
      <c r="B1096" s="1" t="n">
        <v>46092.34559027778</v>
      </c>
      <c r="C1096" s="1" t="n">
        <v>46170</v>
      </c>
      <c r="D1096" t="inlineStr">
        <is>
          <t>JÄMTLANDS LÄN</t>
        </is>
      </c>
      <c r="E1096" t="inlineStr">
        <is>
          <t>RAGUNDA</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13439-2026</t>
        </is>
      </c>
      <c r="B1097" s="1" t="n">
        <v>46094.49064814814</v>
      </c>
      <c r="C1097" s="1" t="n">
        <v>46170</v>
      </c>
      <c r="D1097" t="inlineStr">
        <is>
          <t>JÄMTLANDS LÄN</t>
        </is>
      </c>
      <c r="E1097" t="inlineStr">
        <is>
          <t>RAGUNDA</t>
        </is>
      </c>
      <c r="F1097" t="inlineStr">
        <is>
          <t>SCA</t>
        </is>
      </c>
      <c r="G1097" t="n">
        <v>31.2</v>
      </c>
      <c r="H1097" t="n">
        <v>0</v>
      </c>
      <c r="I1097" t="n">
        <v>0</v>
      </c>
      <c r="J1097" t="n">
        <v>0</v>
      </c>
      <c r="K1097" t="n">
        <v>0</v>
      </c>
      <c r="L1097" t="n">
        <v>0</v>
      </c>
      <c r="M1097" t="n">
        <v>0</v>
      </c>
      <c r="N1097" t="n">
        <v>0</v>
      </c>
      <c r="O1097" t="n">
        <v>0</v>
      </c>
      <c r="P1097" t="n">
        <v>0</v>
      </c>
      <c r="Q1097" t="n">
        <v>0</v>
      </c>
      <c r="R1097" s="2" t="inlineStr"/>
    </row>
    <row r="1098" ht="15" customHeight="1">
      <c r="A1098" t="inlineStr">
        <is>
          <t>A 6490-2022</t>
        </is>
      </c>
      <c r="B1098" s="1" t="n">
        <v>44601</v>
      </c>
      <c r="C1098" s="1" t="n">
        <v>46170</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19981-2026</t>
        </is>
      </c>
      <c r="B1099" s="1" t="n">
        <v>46136.44837962963</v>
      </c>
      <c r="C1099" s="1" t="n">
        <v>46170</v>
      </c>
      <c r="D1099" t="inlineStr">
        <is>
          <t>JÄMTLANDS LÄN</t>
        </is>
      </c>
      <c r="E1099" t="inlineStr">
        <is>
          <t>RAGUNDA</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6477-2024</t>
        </is>
      </c>
      <c r="B1100" s="1" t="n">
        <v>45338.95405092592</v>
      </c>
      <c r="C1100" s="1" t="n">
        <v>46170</v>
      </c>
      <c r="D1100" t="inlineStr">
        <is>
          <t>JÄMTLANDS LÄN</t>
        </is>
      </c>
      <c r="E1100" t="inlineStr">
        <is>
          <t>RAGUNDA</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13326-2026</t>
        </is>
      </c>
      <c r="B1101" s="1" t="n">
        <v>46094.35868055555</v>
      </c>
      <c r="C1101" s="1" t="n">
        <v>46170</v>
      </c>
      <c r="D1101" t="inlineStr">
        <is>
          <t>JÄMTLANDS LÄN</t>
        </is>
      </c>
      <c r="E1101" t="inlineStr">
        <is>
          <t>RAGUNDA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18193-2022</t>
        </is>
      </c>
      <c r="B1102" s="1" t="n">
        <v>44684.94032407407</v>
      </c>
      <c r="C1102" s="1" t="n">
        <v>46170</v>
      </c>
      <c r="D1102" t="inlineStr">
        <is>
          <t>JÄMTLANDS LÄN</t>
        </is>
      </c>
      <c r="E1102" t="inlineStr">
        <is>
          <t>RAGUNDA</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11551-2024</t>
        </is>
      </c>
      <c r="B1103" s="1" t="n">
        <v>45372.95762731481</v>
      </c>
      <c r="C1103" s="1" t="n">
        <v>46170</v>
      </c>
      <c r="D1103" t="inlineStr">
        <is>
          <t>JÄMTLANDS LÄN</t>
        </is>
      </c>
      <c r="E1103" t="inlineStr">
        <is>
          <t>RAGUNDA</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49647-2024</t>
        </is>
      </c>
      <c r="B1104" s="1" t="n">
        <v>45596.61533564814</v>
      </c>
      <c r="C1104" s="1" t="n">
        <v>46170</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20205-2026</t>
        </is>
      </c>
      <c r="B1105" s="1" t="n">
        <v>46139.40675925926</v>
      </c>
      <c r="C1105" s="1" t="n">
        <v>46170</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13719-2026</t>
        </is>
      </c>
      <c r="B1106" s="1" t="n">
        <v>46097.60271990741</v>
      </c>
      <c r="C1106" s="1" t="n">
        <v>46170</v>
      </c>
      <c r="D1106" t="inlineStr">
        <is>
          <t>JÄMTLANDS LÄN</t>
        </is>
      </c>
      <c r="E1106" t="inlineStr">
        <is>
          <t>RAGUNDA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20373-2026</t>
        </is>
      </c>
      <c r="B1107" s="1" t="n">
        <v>46139.67909722222</v>
      </c>
      <c r="C1107" s="1" t="n">
        <v>46170</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13751-2026</t>
        </is>
      </c>
      <c r="B1108" s="1" t="n">
        <v>46097.6374074074</v>
      </c>
      <c r="C1108" s="1" t="n">
        <v>46170</v>
      </c>
      <c r="D1108" t="inlineStr">
        <is>
          <t>JÄMTLANDS LÄN</t>
        </is>
      </c>
      <c r="E1108" t="inlineStr">
        <is>
          <t>RAGUNDA</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13752-2026</t>
        </is>
      </c>
      <c r="B1109" s="1" t="n">
        <v>46097.63755787037</v>
      </c>
      <c r="C1109" s="1" t="n">
        <v>46170</v>
      </c>
      <c r="D1109" t="inlineStr">
        <is>
          <t>JÄMTLANDS LÄN</t>
        </is>
      </c>
      <c r="E1109" t="inlineStr">
        <is>
          <t>RAGUNDA</t>
        </is>
      </c>
      <c r="F1109" t="inlineStr">
        <is>
          <t>SCA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53264-2024</t>
        </is>
      </c>
      <c r="B1110" s="1" t="n">
        <v>45614.34545138889</v>
      </c>
      <c r="C1110" s="1" t="n">
        <v>46170</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13620-2026</t>
        </is>
      </c>
      <c r="B1111" s="1" t="n">
        <v>46097.34435185185</v>
      </c>
      <c r="C1111" s="1" t="n">
        <v>46170</v>
      </c>
      <c r="D1111" t="inlineStr">
        <is>
          <t>JÄMTLANDS LÄN</t>
        </is>
      </c>
      <c r="E1111" t="inlineStr">
        <is>
          <t>RAGUNDA</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13389-2025</t>
        </is>
      </c>
      <c r="B1112" s="1" t="n">
        <v>45735.69842592593</v>
      </c>
      <c r="C1112" s="1" t="n">
        <v>46170</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20199-2026</t>
        </is>
      </c>
      <c r="B1113" s="1" t="n">
        <v>46139.3859837963</v>
      </c>
      <c r="C1113" s="1" t="n">
        <v>46170</v>
      </c>
      <c r="D1113" t="inlineStr">
        <is>
          <t>JÄMTLANDS LÄN</t>
        </is>
      </c>
      <c r="E1113" t="inlineStr">
        <is>
          <t>RAGUNDA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45631-2024</t>
        </is>
      </c>
      <c r="B1114" s="1" t="n">
        <v>45579.47052083333</v>
      </c>
      <c r="C1114" s="1" t="n">
        <v>46170</v>
      </c>
      <c r="D1114" t="inlineStr">
        <is>
          <t>JÄMTLANDS LÄN</t>
        </is>
      </c>
      <c r="E1114" t="inlineStr">
        <is>
          <t>RAGUNDA</t>
        </is>
      </c>
      <c r="G1114" t="n">
        <v>15.1</v>
      </c>
      <c r="H1114" t="n">
        <v>0</v>
      </c>
      <c r="I1114" t="n">
        <v>0</v>
      </c>
      <c r="J1114" t="n">
        <v>0</v>
      </c>
      <c r="K1114" t="n">
        <v>0</v>
      </c>
      <c r="L1114" t="n">
        <v>0</v>
      </c>
      <c r="M1114" t="n">
        <v>0</v>
      </c>
      <c r="N1114" t="n">
        <v>0</v>
      </c>
      <c r="O1114" t="n">
        <v>0</v>
      </c>
      <c r="P1114" t="n">
        <v>0</v>
      </c>
      <c r="Q1114" t="n">
        <v>0</v>
      </c>
      <c r="R1114" s="2" t="inlineStr"/>
    </row>
    <row r="1115" ht="15" customHeight="1">
      <c r="A1115" t="inlineStr">
        <is>
          <t>A 13712-2026</t>
        </is>
      </c>
      <c r="B1115" s="1" t="n">
        <v>46097.58015046296</v>
      </c>
      <c r="C1115" s="1" t="n">
        <v>46170</v>
      </c>
      <c r="D1115" t="inlineStr">
        <is>
          <t>JÄMTLANDS LÄN</t>
        </is>
      </c>
      <c r="E1115" t="inlineStr">
        <is>
          <t>RAGUNDA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13725-2026</t>
        </is>
      </c>
      <c r="B1116" s="1" t="n">
        <v>46097.61016203704</v>
      </c>
      <c r="C1116" s="1" t="n">
        <v>46170</v>
      </c>
      <c r="D1116" t="inlineStr">
        <is>
          <t>JÄMTLANDS LÄN</t>
        </is>
      </c>
      <c r="E1116" t="inlineStr">
        <is>
          <t>RAGUNDA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20206-2026</t>
        </is>
      </c>
      <c r="B1117" s="1" t="n">
        <v>46139.40681712963</v>
      </c>
      <c r="C1117" s="1" t="n">
        <v>46170</v>
      </c>
      <c r="D1117" t="inlineStr">
        <is>
          <t>JÄMTLANDS LÄN</t>
        </is>
      </c>
      <c r="E1117" t="inlineStr">
        <is>
          <t>RAGUNDA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55701-2021</t>
        </is>
      </c>
      <c r="B1118" s="1" t="n">
        <v>44475</v>
      </c>
      <c r="C1118" s="1" t="n">
        <v>46170</v>
      </c>
      <c r="D1118" t="inlineStr">
        <is>
          <t>JÄMTLANDS LÄN</t>
        </is>
      </c>
      <c r="E1118" t="inlineStr">
        <is>
          <t>RAGUNDA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14443-2026</t>
        </is>
      </c>
      <c r="B1119" s="1" t="n">
        <v>46100.50819444445</v>
      </c>
      <c r="C1119" s="1" t="n">
        <v>46170</v>
      </c>
      <c r="D1119" t="inlineStr">
        <is>
          <t>JÄMTLANDS LÄN</t>
        </is>
      </c>
      <c r="E1119" t="inlineStr">
        <is>
          <t>RAGUNDA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30484-2024</t>
        </is>
      </c>
      <c r="B1120" s="1" t="n">
        <v>45491</v>
      </c>
      <c r="C1120" s="1" t="n">
        <v>46170</v>
      </c>
      <c r="D1120" t="inlineStr">
        <is>
          <t>JÄMTLANDS LÄN</t>
        </is>
      </c>
      <c r="E1120" t="inlineStr">
        <is>
          <t>RAGUNDA</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19743-2026</t>
        </is>
      </c>
      <c r="B1121" s="1" t="n">
        <v>46133</v>
      </c>
      <c r="C1121" s="1" t="n">
        <v>46170</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14387-2026</t>
        </is>
      </c>
      <c r="B1122" s="1" t="n">
        <v>46100.38605324074</v>
      </c>
      <c r="C1122" s="1" t="n">
        <v>46170</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14412-2026</t>
        </is>
      </c>
      <c r="B1123" s="1" t="n">
        <v>46100.44820601852</v>
      </c>
      <c r="C1123" s="1" t="n">
        <v>46170</v>
      </c>
      <c r="D1123" t="inlineStr">
        <is>
          <t>JÄMTLANDS LÄN</t>
        </is>
      </c>
      <c r="E1123" t="inlineStr">
        <is>
          <t>RAGUNDA</t>
        </is>
      </c>
      <c r="G1123" t="n">
        <v>13.5</v>
      </c>
      <c r="H1123" t="n">
        <v>0</v>
      </c>
      <c r="I1123" t="n">
        <v>0</v>
      </c>
      <c r="J1123" t="n">
        <v>0</v>
      </c>
      <c r="K1123" t="n">
        <v>0</v>
      </c>
      <c r="L1123" t="n">
        <v>0</v>
      </c>
      <c r="M1123" t="n">
        <v>0</v>
      </c>
      <c r="N1123" t="n">
        <v>0</v>
      </c>
      <c r="O1123" t="n">
        <v>0</v>
      </c>
      <c r="P1123" t="n">
        <v>0</v>
      </c>
      <c r="Q1123" t="n">
        <v>0</v>
      </c>
      <c r="R1123" s="2" t="inlineStr"/>
    </row>
    <row r="1124" ht="15" customHeight="1">
      <c r="A1124" t="inlineStr">
        <is>
          <t>A 14513-2025</t>
        </is>
      </c>
      <c r="B1124" s="1" t="n">
        <v>45741.63675925926</v>
      </c>
      <c r="C1124" s="1" t="n">
        <v>46170</v>
      </c>
      <c r="D1124" t="inlineStr">
        <is>
          <t>JÄMTLANDS LÄN</t>
        </is>
      </c>
      <c r="E1124" t="inlineStr">
        <is>
          <t>RAGUNDA</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55904-2022</t>
        </is>
      </c>
      <c r="B1125" s="1" t="n">
        <v>44888</v>
      </c>
      <c r="C1125" s="1" t="n">
        <v>46170</v>
      </c>
      <c r="D1125" t="inlineStr">
        <is>
          <t>JÄMTLANDS LÄN</t>
        </is>
      </c>
      <c r="E1125" t="inlineStr">
        <is>
          <t>RAGUNDA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7281-2025</t>
        </is>
      </c>
      <c r="B1126" s="1" t="n">
        <v>45702.63572916666</v>
      </c>
      <c r="C1126" s="1" t="n">
        <v>46170</v>
      </c>
      <c r="D1126" t="inlineStr">
        <is>
          <t>JÄMTLANDS LÄN</t>
        </is>
      </c>
      <c r="E1126" t="inlineStr">
        <is>
          <t>RAGUNDA</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48192-2024</t>
        </is>
      </c>
      <c r="B1127" s="1" t="n">
        <v>45590</v>
      </c>
      <c r="C1127" s="1" t="n">
        <v>46170</v>
      </c>
      <c r="D1127" t="inlineStr">
        <is>
          <t>JÄMTLANDS LÄN</t>
        </is>
      </c>
      <c r="E1127" t="inlineStr">
        <is>
          <t>RAGUNDA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2599-2023</t>
        </is>
      </c>
      <c r="B1128" s="1" t="n">
        <v>44943.94802083333</v>
      </c>
      <c r="C1128" s="1" t="n">
        <v>46170</v>
      </c>
      <c r="D1128" t="inlineStr">
        <is>
          <t>JÄMTLANDS LÄN</t>
        </is>
      </c>
      <c r="E1128" t="inlineStr">
        <is>
          <t>RAGUNDA</t>
        </is>
      </c>
      <c r="F1128" t="inlineStr">
        <is>
          <t>SCA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48249-2024</t>
        </is>
      </c>
      <c r="B1129" s="1" t="n">
        <v>45590.40675925926</v>
      </c>
      <c r="C1129" s="1" t="n">
        <v>46170</v>
      </c>
      <c r="D1129" t="inlineStr">
        <is>
          <t>JÄMTLANDS LÄN</t>
        </is>
      </c>
      <c r="E1129" t="inlineStr">
        <is>
          <t>RAGUNDA</t>
        </is>
      </c>
      <c r="F1129" t="inlineStr">
        <is>
          <t>SCA</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64265-2023</t>
        </is>
      </c>
      <c r="B1130" s="1" t="n">
        <v>45279.94572916667</v>
      </c>
      <c r="C1130" s="1" t="n">
        <v>46170</v>
      </c>
      <c r="D1130" t="inlineStr">
        <is>
          <t>JÄMTLANDS LÄN</t>
        </is>
      </c>
      <c r="E1130" t="inlineStr">
        <is>
          <t>RAGUNDA</t>
        </is>
      </c>
      <c r="F1130" t="inlineStr">
        <is>
          <t>SCA</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66706-2021</t>
        </is>
      </c>
      <c r="B1131" s="1" t="n">
        <v>44519.94440972222</v>
      </c>
      <c r="C1131" s="1" t="n">
        <v>46170</v>
      </c>
      <c r="D1131" t="inlineStr">
        <is>
          <t>JÄMTLANDS LÄN</t>
        </is>
      </c>
      <c r="E1131" t="inlineStr">
        <is>
          <t>RAGUNDA</t>
        </is>
      </c>
      <c r="F1131" t="inlineStr">
        <is>
          <t>SCA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55222-2024</t>
        </is>
      </c>
      <c r="B1132" s="1" t="n">
        <v>45621.57395833333</v>
      </c>
      <c r="C1132" s="1" t="n">
        <v>46170</v>
      </c>
      <c r="D1132" t="inlineStr">
        <is>
          <t>JÄMTLANDS LÄN</t>
        </is>
      </c>
      <c r="E1132" t="inlineStr">
        <is>
          <t>RAGUNDA</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46211-2024</t>
        </is>
      </c>
      <c r="B1133" s="1" t="n">
        <v>45581.55260416667</v>
      </c>
      <c r="C1133" s="1" t="n">
        <v>46170</v>
      </c>
      <c r="D1133" t="inlineStr">
        <is>
          <t>JÄMTLANDS LÄN</t>
        </is>
      </c>
      <c r="E1133" t="inlineStr">
        <is>
          <t>RAGUNDA</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31435-2022</t>
        </is>
      </c>
      <c r="B1134" s="1" t="n">
        <v>44774</v>
      </c>
      <c r="C1134" s="1" t="n">
        <v>46170</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39608-2024</t>
        </is>
      </c>
      <c r="B1135" s="1" t="n">
        <v>45552.39113425926</v>
      </c>
      <c r="C1135" s="1" t="n">
        <v>46170</v>
      </c>
      <c r="D1135" t="inlineStr">
        <is>
          <t>JÄMTLANDS LÄN</t>
        </is>
      </c>
      <c r="E1135" t="inlineStr">
        <is>
          <t>RAGUNDA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39626-2024</t>
        </is>
      </c>
      <c r="B1136" s="1" t="n">
        <v>45552.44096064815</v>
      </c>
      <c r="C1136" s="1" t="n">
        <v>46170</v>
      </c>
      <c r="D1136" t="inlineStr">
        <is>
          <t>JÄMTLANDS LÄN</t>
        </is>
      </c>
      <c r="E1136" t="inlineStr">
        <is>
          <t>RAGUNDA</t>
        </is>
      </c>
      <c r="G1136" t="n">
        <v>23.5</v>
      </c>
      <c r="H1136" t="n">
        <v>0</v>
      </c>
      <c r="I1136" t="n">
        <v>0</v>
      </c>
      <c r="J1136" t="n">
        <v>0</v>
      </c>
      <c r="K1136" t="n">
        <v>0</v>
      </c>
      <c r="L1136" t="n">
        <v>0</v>
      </c>
      <c r="M1136" t="n">
        <v>0</v>
      </c>
      <c r="N1136" t="n">
        <v>0</v>
      </c>
      <c r="O1136" t="n">
        <v>0</v>
      </c>
      <c r="P1136" t="n">
        <v>0</v>
      </c>
      <c r="Q1136" t="n">
        <v>0</v>
      </c>
      <c r="R1136" s="2" t="inlineStr"/>
    </row>
    <row r="1137" ht="15" customHeight="1">
      <c r="A1137" t="inlineStr">
        <is>
          <t>A 14668-2026</t>
        </is>
      </c>
      <c r="B1137" s="1" t="n">
        <v>46101.4575462963</v>
      </c>
      <c r="C1137" s="1" t="n">
        <v>46170</v>
      </c>
      <c r="D1137" t="inlineStr">
        <is>
          <t>JÄMTLANDS LÄN</t>
        </is>
      </c>
      <c r="E1137" t="inlineStr">
        <is>
          <t>RAGUNDA</t>
        </is>
      </c>
      <c r="G1137" t="n">
        <v>12.8</v>
      </c>
      <c r="H1137" t="n">
        <v>0</v>
      </c>
      <c r="I1137" t="n">
        <v>0</v>
      </c>
      <c r="J1137" t="n">
        <v>0</v>
      </c>
      <c r="K1137" t="n">
        <v>0</v>
      </c>
      <c r="L1137" t="n">
        <v>0</v>
      </c>
      <c r="M1137" t="n">
        <v>0</v>
      </c>
      <c r="N1137" t="n">
        <v>0</v>
      </c>
      <c r="O1137" t="n">
        <v>0</v>
      </c>
      <c r="P1137" t="n">
        <v>0</v>
      </c>
      <c r="Q1137" t="n">
        <v>0</v>
      </c>
      <c r="R1137" s="2" t="inlineStr"/>
    </row>
    <row r="1138" ht="15" customHeight="1">
      <c r="A1138" t="inlineStr">
        <is>
          <t>A 56984-2022</t>
        </is>
      </c>
      <c r="B1138" s="1" t="n">
        <v>44894.79018518519</v>
      </c>
      <c r="C1138" s="1" t="n">
        <v>46170</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15652-2026</t>
        </is>
      </c>
      <c r="B1139" s="1" t="n">
        <v>46106.65717592592</v>
      </c>
      <c r="C1139" s="1" t="n">
        <v>46170</v>
      </c>
      <c r="D1139" t="inlineStr">
        <is>
          <t>JÄMTLANDS LÄN</t>
        </is>
      </c>
      <c r="E1139" t="inlineStr">
        <is>
          <t>RAGUNDA</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15565-2026</t>
        </is>
      </c>
      <c r="B1140" s="1" t="n">
        <v>46106.55313657408</v>
      </c>
      <c r="C1140" s="1" t="n">
        <v>46170</v>
      </c>
      <c r="D1140" t="inlineStr">
        <is>
          <t>JÄMTLANDS LÄN</t>
        </is>
      </c>
      <c r="E1140" t="inlineStr">
        <is>
          <t>RAGUNDA</t>
        </is>
      </c>
      <c r="F1140" t="inlineStr">
        <is>
          <t>SCA</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15563-2026</t>
        </is>
      </c>
      <c r="B1141" s="1" t="n">
        <v>46106.55273148148</v>
      </c>
      <c r="C1141" s="1" t="n">
        <v>46170</v>
      </c>
      <c r="D1141" t="inlineStr">
        <is>
          <t>JÄMTLANDS LÄN</t>
        </is>
      </c>
      <c r="E1141" t="inlineStr">
        <is>
          <t>RAGUNDA</t>
        </is>
      </c>
      <c r="F1141" t="inlineStr">
        <is>
          <t>SCA</t>
        </is>
      </c>
      <c r="G1141" t="n">
        <v>31.9</v>
      </c>
      <c r="H1141" t="n">
        <v>0</v>
      </c>
      <c r="I1141" t="n">
        <v>0</v>
      </c>
      <c r="J1141" t="n">
        <v>0</v>
      </c>
      <c r="K1141" t="n">
        <v>0</v>
      </c>
      <c r="L1141" t="n">
        <v>0</v>
      </c>
      <c r="M1141" t="n">
        <v>0</v>
      </c>
      <c r="N1141" t="n">
        <v>0</v>
      </c>
      <c r="O1141" t="n">
        <v>0</v>
      </c>
      <c r="P1141" t="n">
        <v>0</v>
      </c>
      <c r="Q1141" t="n">
        <v>0</v>
      </c>
      <c r="R1141" s="2" t="inlineStr"/>
    </row>
    <row r="1142" ht="15" customHeight="1">
      <c r="A1142" t="inlineStr">
        <is>
          <t>A 15564-2026</t>
        </is>
      </c>
      <c r="B1142" s="1" t="n">
        <v>46106.55290509259</v>
      </c>
      <c r="C1142" s="1" t="n">
        <v>46170</v>
      </c>
      <c r="D1142" t="inlineStr">
        <is>
          <t>JÄMTLANDS LÄN</t>
        </is>
      </c>
      <c r="E1142" t="inlineStr">
        <is>
          <t>RAGUNDA</t>
        </is>
      </c>
      <c r="F1142" t="inlineStr">
        <is>
          <t>SCA</t>
        </is>
      </c>
      <c r="G1142" t="n">
        <v>32.2</v>
      </c>
      <c r="H1142" t="n">
        <v>0</v>
      </c>
      <c r="I1142" t="n">
        <v>0</v>
      </c>
      <c r="J1142" t="n">
        <v>0</v>
      </c>
      <c r="K1142" t="n">
        <v>0</v>
      </c>
      <c r="L1142" t="n">
        <v>0</v>
      </c>
      <c r="M1142" t="n">
        <v>0</v>
      </c>
      <c r="N1142" t="n">
        <v>0</v>
      </c>
      <c r="O1142" t="n">
        <v>0</v>
      </c>
      <c r="P1142" t="n">
        <v>0</v>
      </c>
      <c r="Q1142" t="n">
        <v>0</v>
      </c>
      <c r="R1142" s="2" t="inlineStr"/>
    </row>
    <row r="1143" ht="15" customHeight="1">
      <c r="A1143" t="inlineStr">
        <is>
          <t>A 13264-2025</t>
        </is>
      </c>
      <c r="B1143" s="1" t="n">
        <v>45735</v>
      </c>
      <c r="C1143" s="1" t="n">
        <v>46170</v>
      </c>
      <c r="D1143" t="inlineStr">
        <is>
          <t>JÄMTLANDS LÄN</t>
        </is>
      </c>
      <c r="E1143" t="inlineStr">
        <is>
          <t>RAGUNDA</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5307-2025</t>
        </is>
      </c>
      <c r="B1144" s="1" t="n">
        <v>45692.48993055556</v>
      </c>
      <c r="C1144" s="1" t="n">
        <v>46170</v>
      </c>
      <c r="D1144" t="inlineStr">
        <is>
          <t>JÄMTLANDS LÄN</t>
        </is>
      </c>
      <c r="E1144" t="inlineStr">
        <is>
          <t>RAGUNDA</t>
        </is>
      </c>
      <c r="F1144" t="inlineStr">
        <is>
          <t>SCA</t>
        </is>
      </c>
      <c r="G1144" t="n">
        <v>20.9</v>
      </c>
      <c r="H1144" t="n">
        <v>0</v>
      </c>
      <c r="I1144" t="n">
        <v>0</v>
      </c>
      <c r="J1144" t="n">
        <v>0</v>
      </c>
      <c r="K1144" t="n">
        <v>0</v>
      </c>
      <c r="L1144" t="n">
        <v>0</v>
      </c>
      <c r="M1144" t="n">
        <v>0</v>
      </c>
      <c r="N1144" t="n">
        <v>0</v>
      </c>
      <c r="O1144" t="n">
        <v>0</v>
      </c>
      <c r="P1144" t="n">
        <v>0</v>
      </c>
      <c r="Q1144" t="n">
        <v>0</v>
      </c>
      <c r="R1144" s="2" t="inlineStr"/>
    </row>
    <row r="1145" ht="15" customHeight="1">
      <c r="A1145" t="inlineStr">
        <is>
          <t>A 38548-2024</t>
        </is>
      </c>
      <c r="B1145" s="1" t="n">
        <v>45546</v>
      </c>
      <c r="C1145" s="1" t="n">
        <v>46170</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2411-2023</t>
        </is>
      </c>
      <c r="B1146" s="1" t="n">
        <v>44942</v>
      </c>
      <c r="C1146" s="1" t="n">
        <v>46170</v>
      </c>
      <c r="D1146" t="inlineStr">
        <is>
          <t>JÄMTLANDS LÄN</t>
        </is>
      </c>
      <c r="E1146" t="inlineStr">
        <is>
          <t>RAGUNDA</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13935-2024</t>
        </is>
      </c>
      <c r="B1147" s="1" t="n">
        <v>45391.95329861111</v>
      </c>
      <c r="C1147" s="1" t="n">
        <v>46170</v>
      </c>
      <c r="D1147" t="inlineStr">
        <is>
          <t>JÄMTLANDS LÄN</t>
        </is>
      </c>
      <c r="E1147" t="inlineStr">
        <is>
          <t>RAGUNDA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5308-2025</t>
        </is>
      </c>
      <c r="B1148" s="1" t="n">
        <v>45692.49008101852</v>
      </c>
      <c r="C1148" s="1" t="n">
        <v>46170</v>
      </c>
      <c r="D1148" t="inlineStr">
        <is>
          <t>JÄMTLANDS LÄN</t>
        </is>
      </c>
      <c r="E1148" t="inlineStr">
        <is>
          <t>RAGUNDA</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15356-2026</t>
        </is>
      </c>
      <c r="B1149" s="1" t="n">
        <v>46105.69986111111</v>
      </c>
      <c r="C1149" s="1" t="n">
        <v>46170</v>
      </c>
      <c r="D1149" t="inlineStr">
        <is>
          <t>JÄMTLANDS LÄN</t>
        </is>
      </c>
      <c r="E1149" t="inlineStr">
        <is>
          <t>RAGUNDA</t>
        </is>
      </c>
      <c r="F1149" t="inlineStr">
        <is>
          <t>SCA</t>
        </is>
      </c>
      <c r="G1149" t="n">
        <v>35.2</v>
      </c>
      <c r="H1149" t="n">
        <v>0</v>
      </c>
      <c r="I1149" t="n">
        <v>0</v>
      </c>
      <c r="J1149" t="n">
        <v>0</v>
      </c>
      <c r="K1149" t="n">
        <v>0</v>
      </c>
      <c r="L1149" t="n">
        <v>0</v>
      </c>
      <c r="M1149" t="n">
        <v>0</v>
      </c>
      <c r="N1149" t="n">
        <v>0</v>
      </c>
      <c r="O1149" t="n">
        <v>0</v>
      </c>
      <c r="P1149" t="n">
        <v>0</v>
      </c>
      <c r="Q1149" t="n">
        <v>0</v>
      </c>
      <c r="R1149" s="2" t="inlineStr"/>
    </row>
    <row r="1150" ht="15" customHeight="1">
      <c r="A1150" t="inlineStr">
        <is>
          <t>A 58194-2022</t>
        </is>
      </c>
      <c r="B1150" s="1" t="n">
        <v>44900</v>
      </c>
      <c r="C1150" s="1" t="n">
        <v>46170</v>
      </c>
      <c r="D1150" t="inlineStr">
        <is>
          <t>JÄMTLANDS LÄN</t>
        </is>
      </c>
      <c r="E1150" t="inlineStr">
        <is>
          <t>RAGUNDA</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58843-2024</t>
        </is>
      </c>
      <c r="B1151" s="1" t="n">
        <v>45636.38599537037</v>
      </c>
      <c r="C1151" s="1" t="n">
        <v>46170</v>
      </c>
      <c r="D1151" t="inlineStr">
        <is>
          <t>JÄMTLANDS LÄN</t>
        </is>
      </c>
      <c r="E1151" t="inlineStr">
        <is>
          <t>RAGUNDA</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15349-2026</t>
        </is>
      </c>
      <c r="B1152" s="1" t="n">
        <v>46105.69865740741</v>
      </c>
      <c r="C1152" s="1" t="n">
        <v>46170</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21860-2026</t>
        </is>
      </c>
      <c r="B1153" s="1" t="n">
        <v>46150.55268518518</v>
      </c>
      <c r="C1153" s="1" t="n">
        <v>46170</v>
      </c>
      <c r="D1153" t="inlineStr">
        <is>
          <t>JÄMTLANDS LÄN</t>
        </is>
      </c>
      <c r="E1153" t="inlineStr">
        <is>
          <t>RAGUNDA</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15830-2026</t>
        </is>
      </c>
      <c r="B1154" s="1" t="n">
        <v>46107.55273148148</v>
      </c>
      <c r="C1154" s="1" t="n">
        <v>46170</v>
      </c>
      <c r="D1154" t="inlineStr">
        <is>
          <t>JÄMTLANDS LÄN</t>
        </is>
      </c>
      <c r="E1154" t="inlineStr">
        <is>
          <t>RAGUNDA</t>
        </is>
      </c>
      <c r="F1154" t="inlineStr">
        <is>
          <t>SCA</t>
        </is>
      </c>
      <c r="G1154" t="n">
        <v>49.5</v>
      </c>
      <c r="H1154" t="n">
        <v>0</v>
      </c>
      <c r="I1154" t="n">
        <v>0</v>
      </c>
      <c r="J1154" t="n">
        <v>0</v>
      </c>
      <c r="K1154" t="n">
        <v>0</v>
      </c>
      <c r="L1154" t="n">
        <v>0</v>
      </c>
      <c r="M1154" t="n">
        <v>0</v>
      </c>
      <c r="N1154" t="n">
        <v>0</v>
      </c>
      <c r="O1154" t="n">
        <v>0</v>
      </c>
      <c r="P1154" t="n">
        <v>0</v>
      </c>
      <c r="Q1154" t="n">
        <v>0</v>
      </c>
      <c r="R1154" s="2" t="inlineStr"/>
    </row>
    <row r="1155" ht="15" customHeight="1">
      <c r="A1155" t="inlineStr">
        <is>
          <t>A 21885-2026</t>
        </is>
      </c>
      <c r="B1155" s="1" t="n">
        <v>46150.59471064815</v>
      </c>
      <c r="C1155" s="1" t="n">
        <v>46170</v>
      </c>
      <c r="D1155" t="inlineStr">
        <is>
          <t>JÄMTLANDS LÄN</t>
        </is>
      </c>
      <c r="E1155" t="inlineStr">
        <is>
          <t>RAGUNDA</t>
        </is>
      </c>
      <c r="F1155" t="inlineStr">
        <is>
          <t>SCA</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21886-2026</t>
        </is>
      </c>
      <c r="B1156" s="1" t="n">
        <v>46150.59480324074</v>
      </c>
      <c r="C1156" s="1" t="n">
        <v>46170</v>
      </c>
      <c r="D1156" t="inlineStr">
        <is>
          <t>JÄMTLANDS LÄN</t>
        </is>
      </c>
      <c r="E1156" t="inlineStr">
        <is>
          <t>RAGUNDA</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21916-2026</t>
        </is>
      </c>
      <c r="B1157" s="1" t="n">
        <v>46150.63628472222</v>
      </c>
      <c r="C1157" s="1" t="n">
        <v>46170</v>
      </c>
      <c r="D1157" t="inlineStr">
        <is>
          <t>JÄMTLANDS LÄN</t>
        </is>
      </c>
      <c r="E1157" t="inlineStr">
        <is>
          <t>RAGUNDA</t>
        </is>
      </c>
      <c r="F1157" t="inlineStr">
        <is>
          <t>SCA</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15931-2026</t>
        </is>
      </c>
      <c r="B1158" s="1" t="n">
        <v>46107.66560185186</v>
      </c>
      <c r="C1158" s="1" t="n">
        <v>46170</v>
      </c>
      <c r="D1158" t="inlineStr">
        <is>
          <t>JÄMTLANDS LÄN</t>
        </is>
      </c>
      <c r="E1158" t="inlineStr">
        <is>
          <t>RAGUNDA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16129-2026</t>
        </is>
      </c>
      <c r="B1159" s="1" t="n">
        <v>46108.63652777778</v>
      </c>
      <c r="C1159" s="1" t="n">
        <v>46170</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15651-2026</t>
        </is>
      </c>
      <c r="B1160" s="1" t="n">
        <v>46106.65706018519</v>
      </c>
      <c r="C1160" s="1" t="n">
        <v>46170</v>
      </c>
      <c r="D1160" t="inlineStr">
        <is>
          <t>JÄMTLANDS LÄN</t>
        </is>
      </c>
      <c r="E1160" t="inlineStr">
        <is>
          <t>RAGUNDA</t>
        </is>
      </c>
      <c r="F1160" t="inlineStr">
        <is>
          <t>SCA</t>
        </is>
      </c>
      <c r="G1160" t="n">
        <v>34.8</v>
      </c>
      <c r="H1160" t="n">
        <v>0</v>
      </c>
      <c r="I1160" t="n">
        <v>0</v>
      </c>
      <c r="J1160" t="n">
        <v>0</v>
      </c>
      <c r="K1160" t="n">
        <v>0</v>
      </c>
      <c r="L1160" t="n">
        <v>0</v>
      </c>
      <c r="M1160" t="n">
        <v>0</v>
      </c>
      <c r="N1160" t="n">
        <v>0</v>
      </c>
      <c r="O1160" t="n">
        <v>0</v>
      </c>
      <c r="P1160" t="n">
        <v>0</v>
      </c>
      <c r="Q1160" t="n">
        <v>0</v>
      </c>
      <c r="R1160" s="2" t="inlineStr"/>
    </row>
    <row r="1161" ht="15" customHeight="1">
      <c r="A1161" t="inlineStr">
        <is>
          <t>A 53287-2022</t>
        </is>
      </c>
      <c r="B1161" s="1" t="n">
        <v>44876</v>
      </c>
      <c r="C1161" s="1" t="n">
        <v>46170</v>
      </c>
      <c r="D1161" t="inlineStr">
        <is>
          <t>JÄMTLANDS LÄN</t>
        </is>
      </c>
      <c r="E1161" t="inlineStr">
        <is>
          <t>RAGUNDA</t>
        </is>
      </c>
      <c r="F1161" t="inlineStr">
        <is>
          <t>SCA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16320-2025</t>
        </is>
      </c>
      <c r="B1162" s="1" t="n">
        <v>45751.34859953704</v>
      </c>
      <c r="C1162" s="1" t="n">
        <v>46170</v>
      </c>
      <c r="D1162" t="inlineStr">
        <is>
          <t>JÄMTLANDS LÄN</t>
        </is>
      </c>
      <c r="E1162" t="inlineStr">
        <is>
          <t>RAGUNDA</t>
        </is>
      </c>
      <c r="F1162" t="inlineStr">
        <is>
          <t>SCA</t>
        </is>
      </c>
      <c r="G1162" t="n">
        <v>16.2</v>
      </c>
      <c r="H1162" t="n">
        <v>0</v>
      </c>
      <c r="I1162" t="n">
        <v>0</v>
      </c>
      <c r="J1162" t="n">
        <v>0</v>
      </c>
      <c r="K1162" t="n">
        <v>0</v>
      </c>
      <c r="L1162" t="n">
        <v>0</v>
      </c>
      <c r="M1162" t="n">
        <v>0</v>
      </c>
      <c r="N1162" t="n">
        <v>0</v>
      </c>
      <c r="O1162" t="n">
        <v>0</v>
      </c>
      <c r="P1162" t="n">
        <v>0</v>
      </c>
      <c r="Q1162" t="n">
        <v>0</v>
      </c>
      <c r="R1162" s="2" t="inlineStr"/>
    </row>
    <row r="1163" ht="15" customHeight="1">
      <c r="A1163" t="inlineStr">
        <is>
          <t>A 16126-2026</t>
        </is>
      </c>
      <c r="B1163" s="1" t="n">
        <v>46108.63608796296</v>
      </c>
      <c r="C1163" s="1" t="n">
        <v>46170</v>
      </c>
      <c r="D1163" t="inlineStr">
        <is>
          <t>JÄMTLANDS LÄN</t>
        </is>
      </c>
      <c r="E1163" t="inlineStr">
        <is>
          <t>RAGUNDA</t>
        </is>
      </c>
      <c r="F1163" t="inlineStr">
        <is>
          <t>SCA</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16321-2025</t>
        </is>
      </c>
      <c r="B1164" s="1" t="n">
        <v>45751.34873842593</v>
      </c>
      <c r="C1164" s="1" t="n">
        <v>46170</v>
      </c>
      <c r="D1164" t="inlineStr">
        <is>
          <t>JÄMTLANDS LÄN</t>
        </is>
      </c>
      <c r="E1164" t="inlineStr">
        <is>
          <t>RAGUNDA</t>
        </is>
      </c>
      <c r="F1164" t="inlineStr">
        <is>
          <t>SCA</t>
        </is>
      </c>
      <c r="G1164" t="n">
        <v>63.3</v>
      </c>
      <c r="H1164" t="n">
        <v>0</v>
      </c>
      <c r="I1164" t="n">
        <v>0</v>
      </c>
      <c r="J1164" t="n">
        <v>0</v>
      </c>
      <c r="K1164" t="n">
        <v>0</v>
      </c>
      <c r="L1164" t="n">
        <v>0</v>
      </c>
      <c r="M1164" t="n">
        <v>0</v>
      </c>
      <c r="N1164" t="n">
        <v>0</v>
      </c>
      <c r="O1164" t="n">
        <v>0</v>
      </c>
      <c r="P1164" t="n">
        <v>0</v>
      </c>
      <c r="Q1164" t="n">
        <v>0</v>
      </c>
      <c r="R1164" s="2" t="inlineStr"/>
    </row>
    <row r="1165" ht="15" customHeight="1">
      <c r="A1165" t="inlineStr">
        <is>
          <t>A 21853-2026</t>
        </is>
      </c>
      <c r="B1165" s="1" t="n">
        <v>46150.53170138889</v>
      </c>
      <c r="C1165" s="1" t="n">
        <v>46170</v>
      </c>
      <c r="D1165" t="inlineStr">
        <is>
          <t>JÄMTLANDS LÄN</t>
        </is>
      </c>
      <c r="E1165" t="inlineStr">
        <is>
          <t>RAGUNDA</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55514-2024</t>
        </is>
      </c>
      <c r="B1166" s="1" t="n">
        <v>45622.46910879629</v>
      </c>
      <c r="C1166" s="1" t="n">
        <v>46170</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18375-2022</t>
        </is>
      </c>
      <c r="B1167" s="1" t="n">
        <v>44685</v>
      </c>
      <c r="C1167" s="1" t="n">
        <v>46170</v>
      </c>
      <c r="D1167" t="inlineStr">
        <is>
          <t>JÄMTLANDS LÄN</t>
        </is>
      </c>
      <c r="E1167" t="inlineStr">
        <is>
          <t>RAGUNDA</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17248-2023</t>
        </is>
      </c>
      <c r="B1168" s="1" t="n">
        <v>45033</v>
      </c>
      <c r="C1168" s="1" t="n">
        <v>46170</v>
      </c>
      <c r="D1168" t="inlineStr">
        <is>
          <t>JÄMTLANDS LÄN</t>
        </is>
      </c>
      <c r="E1168" t="inlineStr">
        <is>
          <t>RAGUNDA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62011-2022</t>
        </is>
      </c>
      <c r="B1169" s="1" t="n">
        <v>44914</v>
      </c>
      <c r="C1169" s="1" t="n">
        <v>46170</v>
      </c>
      <c r="D1169" t="inlineStr">
        <is>
          <t>JÄMTLANDS LÄN</t>
        </is>
      </c>
      <c r="E1169" t="inlineStr">
        <is>
          <t>RAGUNDA</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11557-2023</t>
        </is>
      </c>
      <c r="B1170" s="1" t="n">
        <v>44993.94950231481</v>
      </c>
      <c r="C1170" s="1" t="n">
        <v>46170</v>
      </c>
      <c r="D1170" t="inlineStr">
        <is>
          <t>JÄMTLANDS LÄN</t>
        </is>
      </c>
      <c r="E1170" t="inlineStr">
        <is>
          <t>RAGUNDA</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11562-2023</t>
        </is>
      </c>
      <c r="B1171" s="1" t="n">
        <v>44993</v>
      </c>
      <c r="C1171" s="1" t="n">
        <v>46170</v>
      </c>
      <c r="D1171" t="inlineStr">
        <is>
          <t>JÄMTLANDS LÄN</t>
        </is>
      </c>
      <c r="E1171" t="inlineStr">
        <is>
          <t>RAGUNDA</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5971-2025</t>
        </is>
      </c>
      <c r="B1172" s="1" t="n">
        <v>45695.51070601852</v>
      </c>
      <c r="C1172" s="1" t="n">
        <v>46170</v>
      </c>
      <c r="D1172" t="inlineStr">
        <is>
          <t>JÄMTLANDS LÄN</t>
        </is>
      </c>
      <c r="E1172" t="inlineStr">
        <is>
          <t>RAGUNDA</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15939-2026</t>
        </is>
      </c>
      <c r="B1173" s="1" t="n">
        <v>46107.6872337963</v>
      </c>
      <c r="C1173" s="1" t="n">
        <v>46170</v>
      </c>
      <c r="D1173" t="inlineStr">
        <is>
          <t>JÄMTLANDS LÄN</t>
        </is>
      </c>
      <c r="E1173" t="inlineStr">
        <is>
          <t>RAGUNDA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30563-2023</t>
        </is>
      </c>
      <c r="B1174" s="1" t="n">
        <v>45111.92793981481</v>
      </c>
      <c r="C1174" s="1" t="n">
        <v>46170</v>
      </c>
      <c r="D1174" t="inlineStr">
        <is>
          <t>JÄMTLANDS LÄN</t>
        </is>
      </c>
      <c r="E1174" t="inlineStr">
        <is>
          <t>RAGUNDA</t>
        </is>
      </c>
      <c r="F1174" t="inlineStr">
        <is>
          <t>Övriga Aktiebolag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16142-2026</t>
        </is>
      </c>
      <c r="B1175" s="1" t="n">
        <v>46108.65679398148</v>
      </c>
      <c r="C1175" s="1" t="n">
        <v>46170</v>
      </c>
      <c r="D1175" t="inlineStr">
        <is>
          <t>JÄMTLANDS LÄN</t>
        </is>
      </c>
      <c r="E1175" t="inlineStr">
        <is>
          <t>RAGUNDA</t>
        </is>
      </c>
      <c r="F1175" t="inlineStr">
        <is>
          <t>SCA</t>
        </is>
      </c>
      <c r="G1175" t="n">
        <v>52.5</v>
      </c>
      <c r="H1175" t="n">
        <v>0</v>
      </c>
      <c r="I1175" t="n">
        <v>0</v>
      </c>
      <c r="J1175" t="n">
        <v>0</v>
      </c>
      <c r="K1175" t="n">
        <v>0</v>
      </c>
      <c r="L1175" t="n">
        <v>0</v>
      </c>
      <c r="M1175" t="n">
        <v>0</v>
      </c>
      <c r="N1175" t="n">
        <v>0</v>
      </c>
      <c r="O1175" t="n">
        <v>0</v>
      </c>
      <c r="P1175" t="n">
        <v>0</v>
      </c>
      <c r="Q1175" t="n">
        <v>0</v>
      </c>
      <c r="R1175" s="2" t="inlineStr"/>
    </row>
    <row r="1176" ht="15" customHeight="1">
      <c r="A1176" t="inlineStr">
        <is>
          <t>A 16127-2026</t>
        </is>
      </c>
      <c r="B1176" s="1" t="n">
        <v>46108.63616898148</v>
      </c>
      <c r="C1176" s="1" t="n">
        <v>46170</v>
      </c>
      <c r="D1176" t="inlineStr">
        <is>
          <t>JÄMTLANDS LÄN</t>
        </is>
      </c>
      <c r="E1176" t="inlineStr">
        <is>
          <t>RAGUNDA</t>
        </is>
      </c>
      <c r="F1176" t="inlineStr">
        <is>
          <t>SCA</t>
        </is>
      </c>
      <c r="G1176" t="n">
        <v>16.7</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45149.95241898148</v>
      </c>
      <c r="C1177" s="1" t="n">
        <v>46170</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12768-2022</t>
        </is>
      </c>
      <c r="B1178" s="1" t="n">
        <v>44641</v>
      </c>
      <c r="C1178" s="1" t="n">
        <v>46170</v>
      </c>
      <c r="D1178" t="inlineStr">
        <is>
          <t>JÄMTLANDS LÄN</t>
        </is>
      </c>
      <c r="E1178" t="inlineStr">
        <is>
          <t>RAGUNDA</t>
        </is>
      </c>
      <c r="F1178" t="inlineStr">
        <is>
          <t>SCA</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12773-2022</t>
        </is>
      </c>
      <c r="B1179" s="1" t="n">
        <v>44641</v>
      </c>
      <c r="C1179" s="1" t="n">
        <v>46170</v>
      </c>
      <c r="D1179" t="inlineStr">
        <is>
          <t>JÄMTLANDS LÄN</t>
        </is>
      </c>
      <c r="E1179" t="inlineStr">
        <is>
          <t>RAGUNDA</t>
        </is>
      </c>
      <c r="F1179" t="inlineStr">
        <is>
          <t>SCA</t>
        </is>
      </c>
      <c r="G1179" t="n">
        <v>14.7</v>
      </c>
      <c r="H1179" t="n">
        <v>0</v>
      </c>
      <c r="I1179" t="n">
        <v>0</v>
      </c>
      <c r="J1179" t="n">
        <v>0</v>
      </c>
      <c r="K1179" t="n">
        <v>0</v>
      </c>
      <c r="L1179" t="n">
        <v>0</v>
      </c>
      <c r="M1179" t="n">
        <v>0</v>
      </c>
      <c r="N1179" t="n">
        <v>0</v>
      </c>
      <c r="O1179" t="n">
        <v>0</v>
      </c>
      <c r="P1179" t="n">
        <v>0</v>
      </c>
      <c r="Q1179" t="n">
        <v>0</v>
      </c>
      <c r="R1179" s="2" t="inlineStr"/>
    </row>
    <row r="1180" ht="15" customHeight="1">
      <c r="A1180" t="inlineStr">
        <is>
          <t>A 16298-2026</t>
        </is>
      </c>
      <c r="B1180" s="1" t="n">
        <v>46111.53591435185</v>
      </c>
      <c r="C1180" s="1" t="n">
        <v>46170</v>
      </c>
      <c r="D1180" t="inlineStr">
        <is>
          <t>JÄMTLANDS LÄN</t>
        </is>
      </c>
      <c r="E1180" t="inlineStr">
        <is>
          <t>RAGUNDA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16456-2026</t>
        </is>
      </c>
      <c r="B1181" s="1" t="n">
        <v>46112.34467592592</v>
      </c>
      <c r="C1181" s="1" t="n">
        <v>46170</v>
      </c>
      <c r="D1181" t="inlineStr">
        <is>
          <t>JÄMTLANDS LÄN</t>
        </is>
      </c>
      <c r="E1181" t="inlineStr">
        <is>
          <t>RAGUNDA</t>
        </is>
      </c>
      <c r="F1181" t="inlineStr">
        <is>
          <t>SCA</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22359-2026</t>
        </is>
      </c>
      <c r="B1182" s="1" t="n">
        <v>46154.5934375</v>
      </c>
      <c r="C1182" s="1" t="n">
        <v>46170</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5067-2024</t>
        </is>
      </c>
      <c r="B1183" s="1" t="n">
        <v>45329.95806712963</v>
      </c>
      <c r="C1183" s="1" t="n">
        <v>46170</v>
      </c>
      <c r="D1183" t="inlineStr">
        <is>
          <t>JÄMTLANDS LÄN</t>
        </is>
      </c>
      <c r="E1183" t="inlineStr">
        <is>
          <t>RAGUNDA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14905-2022</t>
        </is>
      </c>
      <c r="B1184" s="1" t="n">
        <v>44656.94708333333</v>
      </c>
      <c r="C1184" s="1" t="n">
        <v>46170</v>
      </c>
      <c r="D1184" t="inlineStr">
        <is>
          <t>JÄMTLANDS LÄN</t>
        </is>
      </c>
      <c r="E1184" t="inlineStr">
        <is>
          <t>RAGUNDA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22100-2026</t>
        </is>
      </c>
      <c r="B1185" s="1" t="n">
        <v>46153.55275462963</v>
      </c>
      <c r="C1185" s="1" t="n">
        <v>46170</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16320-2026</t>
        </is>
      </c>
      <c r="B1186" s="1" t="n">
        <v>46111.55797453703</v>
      </c>
      <c r="C1186" s="1" t="n">
        <v>46170</v>
      </c>
      <c r="D1186" t="inlineStr">
        <is>
          <t>JÄMTLANDS LÄN</t>
        </is>
      </c>
      <c r="E1186" t="inlineStr">
        <is>
          <t>RAGUNDA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16372-2026</t>
        </is>
      </c>
      <c r="B1187" s="1" t="n">
        <v>46111.61523148148</v>
      </c>
      <c r="C1187" s="1" t="n">
        <v>46170</v>
      </c>
      <c r="D1187" t="inlineStr">
        <is>
          <t>JÄMTLANDS LÄN</t>
        </is>
      </c>
      <c r="E1187" t="inlineStr">
        <is>
          <t>RAGUNDA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29766-2023</t>
        </is>
      </c>
      <c r="B1188" s="1" t="n">
        <v>45098</v>
      </c>
      <c r="C1188" s="1" t="n">
        <v>46170</v>
      </c>
      <c r="D1188" t="inlineStr">
        <is>
          <t>JÄMTLANDS LÄN</t>
        </is>
      </c>
      <c r="E1188" t="inlineStr">
        <is>
          <t>RAGUNDA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16311-2026</t>
        </is>
      </c>
      <c r="B1189" s="1" t="n">
        <v>46111.55025462963</v>
      </c>
      <c r="C1189" s="1" t="n">
        <v>46170</v>
      </c>
      <c r="D1189" t="inlineStr">
        <is>
          <t>JÄMTLANDS LÄN</t>
        </is>
      </c>
      <c r="E1189" t="inlineStr">
        <is>
          <t>RAGUNDA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61107-2024</t>
        </is>
      </c>
      <c r="B1190" s="1" t="n">
        <v>45645.55665509259</v>
      </c>
      <c r="C1190" s="1" t="n">
        <v>46170</v>
      </c>
      <c r="D1190" t="inlineStr">
        <is>
          <t>JÄMTLANDS LÄN</t>
        </is>
      </c>
      <c r="E1190" t="inlineStr">
        <is>
          <t>RAGUNDA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23287-2024</t>
        </is>
      </c>
      <c r="B1191" s="1" t="n">
        <v>45453.42041666667</v>
      </c>
      <c r="C1191" s="1" t="n">
        <v>46170</v>
      </c>
      <c r="D1191" t="inlineStr">
        <is>
          <t>JÄMTLANDS LÄN</t>
        </is>
      </c>
      <c r="E1191" t="inlineStr">
        <is>
          <t>RAGUNDA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36922-2022</t>
        </is>
      </c>
      <c r="B1192" s="1" t="n">
        <v>44805.94592592592</v>
      </c>
      <c r="C1192" s="1" t="n">
        <v>46170</v>
      </c>
      <c r="D1192" t="inlineStr">
        <is>
          <t>JÄMTLANDS LÄN</t>
        </is>
      </c>
      <c r="E1192" t="inlineStr">
        <is>
          <t>RAGUNDA</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26347-2023</t>
        </is>
      </c>
      <c r="B1193" s="1" t="n">
        <v>45091</v>
      </c>
      <c r="C1193" s="1" t="n">
        <v>46170</v>
      </c>
      <c r="D1193" t="inlineStr">
        <is>
          <t>JÄMTLANDS LÄN</t>
        </is>
      </c>
      <c r="E1193" t="inlineStr">
        <is>
          <t>RAGUNDA</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22710-2026</t>
        </is>
      </c>
      <c r="B1194" s="1" t="n">
        <v>46156.61515046296</v>
      </c>
      <c r="C1194" s="1" t="n">
        <v>46170</v>
      </c>
      <c r="D1194" t="inlineStr">
        <is>
          <t>JÄMTLANDS LÄN</t>
        </is>
      </c>
      <c r="E1194" t="inlineStr">
        <is>
          <t>RAGUNDA</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34483-2023</t>
        </is>
      </c>
      <c r="B1195" s="1" t="n">
        <v>45139.94681712963</v>
      </c>
      <c r="C1195" s="1" t="n">
        <v>46170</v>
      </c>
      <c r="D1195" t="inlineStr">
        <is>
          <t>JÄMTLANDS LÄN</t>
        </is>
      </c>
      <c r="E1195" t="inlineStr">
        <is>
          <t>RAGUNDA</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22948-2024</t>
        </is>
      </c>
      <c r="B1196" s="1" t="n">
        <v>45448.94600694445</v>
      </c>
      <c r="C1196" s="1" t="n">
        <v>46170</v>
      </c>
      <c r="D1196" t="inlineStr">
        <is>
          <t>JÄMTLANDS LÄN</t>
        </is>
      </c>
      <c r="E1196" t="inlineStr">
        <is>
          <t>RAGUNDA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16850-2026</t>
        </is>
      </c>
      <c r="B1197" s="1" t="n">
        <v>46113.55266203704</v>
      </c>
      <c r="C1197" s="1" t="n">
        <v>46170</v>
      </c>
      <c r="D1197" t="inlineStr">
        <is>
          <t>JÄMTLANDS LÄN</t>
        </is>
      </c>
      <c r="E1197" t="inlineStr">
        <is>
          <t>RAGUNDA</t>
        </is>
      </c>
      <c r="F1197" t="inlineStr">
        <is>
          <t>SCA</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16995-2026</t>
        </is>
      </c>
      <c r="B1198" s="1" t="n">
        <v>46114.42265046296</v>
      </c>
      <c r="C1198" s="1" t="n">
        <v>46170</v>
      </c>
      <c r="D1198" t="inlineStr">
        <is>
          <t>JÄMTLANDS LÄN</t>
        </is>
      </c>
      <c r="E1198" t="inlineStr">
        <is>
          <t>RAGUNDA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23304-2023</t>
        </is>
      </c>
      <c r="B1199" s="1" t="n">
        <v>45075.945</v>
      </c>
      <c r="C1199" s="1" t="n">
        <v>46170</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17034-2026</t>
        </is>
      </c>
      <c r="B1200" s="1" t="n">
        <v>46114.4699537037</v>
      </c>
      <c r="C1200" s="1" t="n">
        <v>46170</v>
      </c>
      <c r="D1200" t="inlineStr">
        <is>
          <t>JÄMTLANDS LÄN</t>
        </is>
      </c>
      <c r="E1200" t="inlineStr">
        <is>
          <t>RAGUNDA</t>
        </is>
      </c>
      <c r="F1200" t="inlineStr">
        <is>
          <t>SCA</t>
        </is>
      </c>
      <c r="G1200" t="n">
        <v>39.6</v>
      </c>
      <c r="H1200" t="n">
        <v>0</v>
      </c>
      <c r="I1200" t="n">
        <v>0</v>
      </c>
      <c r="J1200" t="n">
        <v>0</v>
      </c>
      <c r="K1200" t="n">
        <v>0</v>
      </c>
      <c r="L1200" t="n">
        <v>0</v>
      </c>
      <c r="M1200" t="n">
        <v>0</v>
      </c>
      <c r="N1200" t="n">
        <v>0</v>
      </c>
      <c r="O1200" t="n">
        <v>0</v>
      </c>
      <c r="P1200" t="n">
        <v>0</v>
      </c>
      <c r="Q1200" t="n">
        <v>0</v>
      </c>
      <c r="R1200" s="2" t="inlineStr"/>
    </row>
    <row r="1201" ht="15" customHeight="1">
      <c r="A1201" t="inlineStr">
        <is>
          <t>A 36226-2023</t>
        </is>
      </c>
      <c r="B1201" s="1" t="n">
        <v>45149.95372685185</v>
      </c>
      <c r="C1201" s="1" t="n">
        <v>46170</v>
      </c>
      <c r="D1201" t="inlineStr">
        <is>
          <t>JÄMTLANDS LÄN</t>
        </is>
      </c>
      <c r="E1201" t="inlineStr">
        <is>
          <t>RAGUNDA</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18615-2024</t>
        </is>
      </c>
      <c r="B1202" s="1" t="n">
        <v>45425.96275462963</v>
      </c>
      <c r="C1202" s="1" t="n">
        <v>46170</v>
      </c>
      <c r="D1202" t="inlineStr">
        <is>
          <t>JÄMTLANDS LÄN</t>
        </is>
      </c>
      <c r="E1202" t="inlineStr">
        <is>
          <t>RAGUNDA</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22739-2026</t>
        </is>
      </c>
      <c r="B1203" s="1" t="n">
        <v>46157.40678240741</v>
      </c>
      <c r="C1203" s="1" t="n">
        <v>46170</v>
      </c>
      <c r="D1203" t="inlineStr">
        <is>
          <t>JÄMTLANDS LÄN</t>
        </is>
      </c>
      <c r="E1203" t="inlineStr">
        <is>
          <t>RAGUNDA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40269-2022</t>
        </is>
      </c>
      <c r="B1204" s="1" t="n">
        <v>44820</v>
      </c>
      <c r="C1204" s="1" t="n">
        <v>46170</v>
      </c>
      <c r="D1204" t="inlineStr">
        <is>
          <t>JÄMTLANDS LÄN</t>
        </is>
      </c>
      <c r="E1204" t="inlineStr">
        <is>
          <t>RAGUNDA</t>
        </is>
      </c>
      <c r="F1204" t="inlineStr">
        <is>
          <t>SCA</t>
        </is>
      </c>
      <c r="G1204" t="n">
        <v>77.8</v>
      </c>
      <c r="H1204" t="n">
        <v>0</v>
      </c>
      <c r="I1204" t="n">
        <v>0</v>
      </c>
      <c r="J1204" t="n">
        <v>0</v>
      </c>
      <c r="K1204" t="n">
        <v>0</v>
      </c>
      <c r="L1204" t="n">
        <v>0</v>
      </c>
      <c r="M1204" t="n">
        <v>0</v>
      </c>
      <c r="N1204" t="n">
        <v>0</v>
      </c>
      <c r="O1204" t="n">
        <v>0</v>
      </c>
      <c r="P1204" t="n">
        <v>0</v>
      </c>
      <c r="Q1204" t="n">
        <v>0</v>
      </c>
      <c r="R1204" s="2" t="inlineStr"/>
    </row>
    <row r="1205" ht="15" customHeight="1">
      <c r="A1205" t="inlineStr">
        <is>
          <t>A 37242-2024</t>
        </is>
      </c>
      <c r="B1205" s="1" t="n">
        <v>45540.34428240741</v>
      </c>
      <c r="C1205" s="1" t="n">
        <v>46170</v>
      </c>
      <c r="D1205" t="inlineStr">
        <is>
          <t>JÄMTLANDS LÄN</t>
        </is>
      </c>
      <c r="E1205" t="inlineStr">
        <is>
          <t>RAGUNDA</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17150-2026</t>
        </is>
      </c>
      <c r="B1206" s="1" t="n">
        <v>46115.34434027778</v>
      </c>
      <c r="C1206" s="1" t="n">
        <v>46170</v>
      </c>
      <c r="D1206" t="inlineStr">
        <is>
          <t>JÄMTLANDS LÄN</t>
        </is>
      </c>
      <c r="E1206" t="inlineStr">
        <is>
          <t>RAGUNDA</t>
        </is>
      </c>
      <c r="F1206" t="inlineStr">
        <is>
          <t>SCA</t>
        </is>
      </c>
      <c r="G1206" t="n">
        <v>15.3</v>
      </c>
      <c r="H1206" t="n">
        <v>0</v>
      </c>
      <c r="I1206" t="n">
        <v>0</v>
      </c>
      <c r="J1206" t="n">
        <v>0</v>
      </c>
      <c r="K1206" t="n">
        <v>0</v>
      </c>
      <c r="L1206" t="n">
        <v>0</v>
      </c>
      <c r="M1206" t="n">
        <v>0</v>
      </c>
      <c r="N1206" t="n">
        <v>0</v>
      </c>
      <c r="O1206" t="n">
        <v>0</v>
      </c>
      <c r="P1206" t="n">
        <v>0</v>
      </c>
      <c r="Q1206" t="n">
        <v>0</v>
      </c>
      <c r="R1206" s="2" t="inlineStr"/>
    </row>
    <row r="1207" ht="15" customHeight="1">
      <c r="A1207" t="inlineStr">
        <is>
          <t>A 45438-2022</t>
        </is>
      </c>
      <c r="B1207" s="1" t="n">
        <v>44844.95368055555</v>
      </c>
      <c r="C1207" s="1" t="n">
        <v>46170</v>
      </c>
      <c r="D1207" t="inlineStr">
        <is>
          <t>JÄMTLANDS LÄN</t>
        </is>
      </c>
      <c r="E1207" t="inlineStr">
        <is>
          <t>RAGUNDA</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56191-2022</t>
        </is>
      </c>
      <c r="B1208" s="1" t="n">
        <v>44889.95015046297</v>
      </c>
      <c r="C1208" s="1" t="n">
        <v>46170</v>
      </c>
      <c r="D1208" t="inlineStr">
        <is>
          <t>JÄMTLANDS LÄN</t>
        </is>
      </c>
      <c r="E1208" t="inlineStr">
        <is>
          <t>RAGUNDA</t>
        </is>
      </c>
      <c r="F1208" t="inlineStr">
        <is>
          <t>Sveaskog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17410-2026</t>
        </is>
      </c>
      <c r="B1209" s="1" t="n">
        <v>46120.34474537037</v>
      </c>
      <c r="C1209" s="1" t="n">
        <v>46170</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30823-2023</t>
        </is>
      </c>
      <c r="B1210" s="1" t="n">
        <v>45112</v>
      </c>
      <c r="C1210" s="1" t="n">
        <v>46170</v>
      </c>
      <c r="D1210" t="inlineStr">
        <is>
          <t>JÄMTLANDS LÄN</t>
        </is>
      </c>
      <c r="E1210" t="inlineStr">
        <is>
          <t>RAGUNDA</t>
        </is>
      </c>
      <c r="F1210" t="inlineStr">
        <is>
          <t>SCA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43339-2024</t>
        </is>
      </c>
      <c r="B1211" s="1" t="n">
        <v>45568.51075231482</v>
      </c>
      <c r="C1211" s="1" t="n">
        <v>46170</v>
      </c>
      <c r="D1211" t="inlineStr">
        <is>
          <t>JÄMTLANDS LÄN</t>
        </is>
      </c>
      <c r="E1211" t="inlineStr">
        <is>
          <t>RAGUNDA</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43102-2023</t>
        </is>
      </c>
      <c r="B1212" s="1" t="n">
        <v>45182</v>
      </c>
      <c r="C1212" s="1" t="n">
        <v>46170</v>
      </c>
      <c r="D1212" t="inlineStr">
        <is>
          <t>JÄMTLANDS LÄN</t>
        </is>
      </c>
      <c r="E1212" t="inlineStr">
        <is>
          <t>RAGUNDA</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9823-2025</t>
        </is>
      </c>
      <c r="B1213" s="1" t="n">
        <v>45716</v>
      </c>
      <c r="C1213" s="1" t="n">
        <v>46170</v>
      </c>
      <c r="D1213" t="inlineStr">
        <is>
          <t>JÄMTLANDS LÄN</t>
        </is>
      </c>
      <c r="E1213" t="inlineStr">
        <is>
          <t>RAGUNDA</t>
        </is>
      </c>
      <c r="F1213" t="inlineStr">
        <is>
          <t>SCA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13917-2023</t>
        </is>
      </c>
      <c r="B1214" s="1" t="n">
        <v>45007</v>
      </c>
      <c r="C1214" s="1" t="n">
        <v>46170</v>
      </c>
      <c r="D1214" t="inlineStr">
        <is>
          <t>JÄMTLANDS LÄN</t>
        </is>
      </c>
      <c r="E1214" t="inlineStr">
        <is>
          <t>RAGUNDA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53019-2023</t>
        </is>
      </c>
      <c r="B1215" s="1" t="n">
        <v>45222</v>
      </c>
      <c r="C1215" s="1" t="n">
        <v>46170</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14212-2023</t>
        </is>
      </c>
      <c r="B1216" s="1" t="n">
        <v>45009</v>
      </c>
      <c r="C1216" s="1" t="n">
        <v>46170</v>
      </c>
      <c r="D1216" t="inlineStr">
        <is>
          <t>JÄMTLANDS LÄN</t>
        </is>
      </c>
      <c r="E1216" t="inlineStr">
        <is>
          <t>RAGUNDA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23107-2026</t>
        </is>
      </c>
      <c r="B1217" s="1" t="n">
        <v>46161.5733912037</v>
      </c>
      <c r="C1217" s="1" t="n">
        <v>46170</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59996-2023</t>
        </is>
      </c>
      <c r="B1218" s="1" t="n">
        <v>45257.92826388889</v>
      </c>
      <c r="C1218" s="1" t="n">
        <v>46170</v>
      </c>
      <c r="D1218" t="inlineStr">
        <is>
          <t>JÄMTLANDS LÄN</t>
        </is>
      </c>
      <c r="E1218" t="inlineStr">
        <is>
          <t>RAGUNDA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44980-2023</t>
        </is>
      </c>
      <c r="B1219" s="1" t="n">
        <v>45190</v>
      </c>
      <c r="C1219" s="1" t="n">
        <v>46170</v>
      </c>
      <c r="D1219" t="inlineStr">
        <is>
          <t>JÄMTLANDS LÄN</t>
        </is>
      </c>
      <c r="E1219" t="inlineStr">
        <is>
          <t>RAGUNDA</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14076-2023</t>
        </is>
      </c>
      <c r="B1220" s="1" t="n">
        <v>45009.0897337963</v>
      </c>
      <c r="C1220" s="1" t="n">
        <v>46170</v>
      </c>
      <c r="D1220" t="inlineStr">
        <is>
          <t>JÄMTLANDS LÄN</t>
        </is>
      </c>
      <c r="E1220" t="inlineStr">
        <is>
          <t>RAGUNDA</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12805-2025</t>
        </is>
      </c>
      <c r="B1221" s="1" t="n">
        <v>45733.61497685185</v>
      </c>
      <c r="C1221" s="1" t="n">
        <v>46170</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12808-2025</t>
        </is>
      </c>
      <c r="B1222" s="1" t="n">
        <v>45733.61554398148</v>
      </c>
      <c r="C1222" s="1" t="n">
        <v>46170</v>
      </c>
      <c r="D1222" t="inlineStr">
        <is>
          <t>JÄMTLANDS LÄN</t>
        </is>
      </c>
      <c r="E1222" t="inlineStr">
        <is>
          <t>RAGUNDA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4615-2023</t>
        </is>
      </c>
      <c r="B1223" s="1" t="n">
        <v>44956.93924768519</v>
      </c>
      <c r="C1223" s="1" t="n">
        <v>46170</v>
      </c>
      <c r="D1223" t="inlineStr">
        <is>
          <t>JÄMTLANDS LÄN</t>
        </is>
      </c>
      <c r="E1223" t="inlineStr">
        <is>
          <t>RAGUNDA</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5938-2025</t>
        </is>
      </c>
      <c r="B1224" s="1" t="n">
        <v>45695.45868055556</v>
      </c>
      <c r="C1224" s="1" t="n">
        <v>46170</v>
      </c>
      <c r="D1224" t="inlineStr">
        <is>
          <t>JÄMTLANDS LÄN</t>
        </is>
      </c>
      <c r="E1224" t="inlineStr">
        <is>
          <t>RAGUNDA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4125-2024</t>
        </is>
      </c>
      <c r="B1225" s="1" t="n">
        <v>45323</v>
      </c>
      <c r="C1225" s="1" t="n">
        <v>46170</v>
      </c>
      <c r="D1225" t="inlineStr">
        <is>
          <t>JÄMTLANDS LÄN</t>
        </is>
      </c>
      <c r="E1225" t="inlineStr">
        <is>
          <t>RAGUNDA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53549-2024</t>
        </is>
      </c>
      <c r="B1226" s="1" t="n">
        <v>45614.63869212963</v>
      </c>
      <c r="C1226" s="1" t="n">
        <v>46170</v>
      </c>
      <c r="D1226" t="inlineStr">
        <is>
          <t>JÄMTLANDS LÄN</t>
        </is>
      </c>
      <c r="E1226" t="inlineStr">
        <is>
          <t>RAGUNDA</t>
        </is>
      </c>
      <c r="F1226" t="inlineStr">
        <is>
          <t>Kyrkan</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7284-2025</t>
        </is>
      </c>
      <c r="B1227" s="1" t="n">
        <v>45702.63604166666</v>
      </c>
      <c r="C1227" s="1" t="n">
        <v>46170</v>
      </c>
      <c r="D1227" t="inlineStr">
        <is>
          <t>JÄMTLANDS LÄN</t>
        </is>
      </c>
      <c r="E1227" t="inlineStr">
        <is>
          <t>RAGUNDA</t>
        </is>
      </c>
      <c r="F1227" t="inlineStr">
        <is>
          <t>SCA</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31506-2024</t>
        </is>
      </c>
      <c r="B1228" s="1" t="n">
        <v>45505</v>
      </c>
      <c r="C1228" s="1" t="n">
        <v>46170</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19382-2025</t>
        </is>
      </c>
      <c r="B1229" s="1" t="n">
        <v>45769.65659722222</v>
      </c>
      <c r="C1229" s="1" t="n">
        <v>46170</v>
      </c>
      <c r="D1229" t="inlineStr">
        <is>
          <t>JÄMTLANDS LÄN</t>
        </is>
      </c>
      <c r="E1229" t="inlineStr">
        <is>
          <t>RAGUNDA</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37479-2023</t>
        </is>
      </c>
      <c r="B1230" s="1" t="n">
        <v>45156</v>
      </c>
      <c r="C1230" s="1" t="n">
        <v>46170</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18076-2026</t>
        </is>
      </c>
      <c r="B1231" s="1" t="n">
        <v>46125.50758101852</v>
      </c>
      <c r="C1231" s="1" t="n">
        <v>46170</v>
      </c>
      <c r="D1231" t="inlineStr">
        <is>
          <t>JÄMTLANDS LÄN</t>
        </is>
      </c>
      <c r="E1231" t="inlineStr">
        <is>
          <t>RAGUNDA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4866-2025</t>
        </is>
      </c>
      <c r="B1232" s="1" t="n">
        <v>45688.67542824074</v>
      </c>
      <c r="C1232" s="1" t="n">
        <v>46170</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18145-2026</t>
        </is>
      </c>
      <c r="B1233" s="1" t="n">
        <v>46125.61621527778</v>
      </c>
      <c r="C1233" s="1" t="n">
        <v>46170</v>
      </c>
      <c r="D1233" t="inlineStr">
        <is>
          <t>JÄMTLANDS LÄN</t>
        </is>
      </c>
      <c r="E1233" t="inlineStr">
        <is>
          <t>RAGUNDA</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11780-2024</t>
        </is>
      </c>
      <c r="B1234" s="1" t="n">
        <v>45374</v>
      </c>
      <c r="C1234" s="1" t="n">
        <v>46170</v>
      </c>
      <c r="D1234" t="inlineStr">
        <is>
          <t>JÄMTLANDS LÄN</t>
        </is>
      </c>
      <c r="E1234" t="inlineStr">
        <is>
          <t>RAGUNDA</t>
        </is>
      </c>
      <c r="G1234" t="n">
        <v>14.6</v>
      </c>
      <c r="H1234" t="n">
        <v>0</v>
      </c>
      <c r="I1234" t="n">
        <v>0</v>
      </c>
      <c r="J1234" t="n">
        <v>0</v>
      </c>
      <c r="K1234" t="n">
        <v>0</v>
      </c>
      <c r="L1234" t="n">
        <v>0</v>
      </c>
      <c r="M1234" t="n">
        <v>0</v>
      </c>
      <c r="N1234" t="n">
        <v>0</v>
      </c>
      <c r="O1234" t="n">
        <v>0</v>
      </c>
      <c r="P1234" t="n">
        <v>0</v>
      </c>
      <c r="Q1234" t="n">
        <v>0</v>
      </c>
      <c r="R1234" s="2" t="inlineStr"/>
    </row>
    <row r="1235" ht="15" customHeight="1">
      <c r="A1235" t="inlineStr">
        <is>
          <t>A 11288-2022</t>
        </is>
      </c>
      <c r="B1235" s="1" t="n">
        <v>44629</v>
      </c>
      <c r="C1235" s="1" t="n">
        <v>46170</v>
      </c>
      <c r="D1235" t="inlineStr">
        <is>
          <t>JÄMTLANDS LÄN</t>
        </is>
      </c>
      <c r="E1235" t="inlineStr">
        <is>
          <t>RAGUNDA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18984-2023</t>
        </is>
      </c>
      <c r="B1236" s="1" t="n">
        <v>45044</v>
      </c>
      <c r="C1236" s="1" t="n">
        <v>46170</v>
      </c>
      <c r="D1236" t="inlineStr">
        <is>
          <t>JÄMTLANDS LÄN</t>
        </is>
      </c>
      <c r="E1236" t="inlineStr">
        <is>
          <t>RAGUNDA</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66011-2021</t>
        </is>
      </c>
      <c r="B1237" s="1" t="n">
        <v>44517.58137731482</v>
      </c>
      <c r="C1237" s="1" t="n">
        <v>46170</v>
      </c>
      <c r="D1237" t="inlineStr">
        <is>
          <t>JÄMTLANDS LÄN</t>
        </is>
      </c>
      <c r="E1237" t="inlineStr">
        <is>
          <t>RAGUNDA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23926-2026</t>
        </is>
      </c>
      <c r="B1238" s="1" t="n">
        <v>46167.53224537037</v>
      </c>
      <c r="C1238" s="1" t="n">
        <v>46170</v>
      </c>
      <c r="D1238" t="inlineStr">
        <is>
          <t>JÄMTLANDS LÄN</t>
        </is>
      </c>
      <c r="E1238" t="inlineStr">
        <is>
          <t>RAGUNDA</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42509-2023</t>
        </is>
      </c>
      <c r="B1239" s="1" t="n">
        <v>45180</v>
      </c>
      <c r="C1239" s="1" t="n">
        <v>46170</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18131-2026</t>
        </is>
      </c>
      <c r="B1240" s="1" t="n">
        <v>46125.59457175926</v>
      </c>
      <c r="C1240" s="1" t="n">
        <v>46170</v>
      </c>
      <c r="D1240" t="inlineStr">
        <is>
          <t>JÄMTLANDS LÄN</t>
        </is>
      </c>
      <c r="E1240" t="inlineStr">
        <is>
          <t>RAGUNDA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18149-2026</t>
        </is>
      </c>
      <c r="B1241" s="1" t="n">
        <v>46125.62142361111</v>
      </c>
      <c r="C1241" s="1" t="n">
        <v>46170</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24242-2026</t>
        </is>
      </c>
      <c r="B1242" s="1" t="n">
        <v>46168.68386574074</v>
      </c>
      <c r="C1242" s="1" t="n">
        <v>46170</v>
      </c>
      <c r="D1242" t="inlineStr">
        <is>
          <t>JÄMTLANDS LÄN</t>
        </is>
      </c>
      <c r="E1242" t="inlineStr">
        <is>
          <t>RAGUNDA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33615-2023</t>
        </is>
      </c>
      <c r="B1243" s="1" t="n">
        <v>45119</v>
      </c>
      <c r="C1243" s="1" t="n">
        <v>46170</v>
      </c>
      <c r="D1243" t="inlineStr">
        <is>
          <t>JÄMTLANDS LÄN</t>
        </is>
      </c>
      <c r="E1243" t="inlineStr">
        <is>
          <t>RAGUNDA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42510-2023</t>
        </is>
      </c>
      <c r="B1244" s="1" t="n">
        <v>45180.95927083334</v>
      </c>
      <c r="C1244" s="1" t="n">
        <v>46170</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53860-2023</t>
        </is>
      </c>
      <c r="B1245" s="1" t="n">
        <v>45224</v>
      </c>
      <c r="C1245" s="1" t="n">
        <v>46170</v>
      </c>
      <c r="D1245" t="inlineStr">
        <is>
          <t>JÄMTLANDS LÄN</t>
        </is>
      </c>
      <c r="E1245" t="inlineStr">
        <is>
          <t>RAGUNDA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12039-2023</t>
        </is>
      </c>
      <c r="B1246" s="1" t="n">
        <v>44995.98341435185</v>
      </c>
      <c r="C1246" s="1" t="n">
        <v>46170</v>
      </c>
      <c r="D1246" t="inlineStr">
        <is>
          <t>JÄMTLANDS LÄN</t>
        </is>
      </c>
      <c r="E1246" t="inlineStr">
        <is>
          <t>RAGUNDA</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26991-2023</t>
        </is>
      </c>
      <c r="B1247" s="1" t="n">
        <v>45093.92207175926</v>
      </c>
      <c r="C1247" s="1" t="n">
        <v>46170</v>
      </c>
      <c r="D1247" t="inlineStr">
        <is>
          <t>JÄMTLANDS LÄN</t>
        </is>
      </c>
      <c r="E1247" t="inlineStr">
        <is>
          <t>RAGUNDA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13302-2022</t>
        </is>
      </c>
      <c r="B1248" s="1" t="n">
        <v>44644</v>
      </c>
      <c r="C1248" s="1" t="n">
        <v>46170</v>
      </c>
      <c r="D1248" t="inlineStr">
        <is>
          <t>JÄMTLANDS LÄN</t>
        </is>
      </c>
      <c r="E1248" t="inlineStr">
        <is>
          <t>RAGUNDA</t>
        </is>
      </c>
      <c r="F1248" t="inlineStr">
        <is>
          <t>SCA</t>
        </is>
      </c>
      <c r="G1248" t="n">
        <v>35.6</v>
      </c>
      <c r="H1248" t="n">
        <v>0</v>
      </c>
      <c r="I1248" t="n">
        <v>0</v>
      </c>
      <c r="J1248" t="n">
        <v>0</v>
      </c>
      <c r="K1248" t="n">
        <v>0</v>
      </c>
      <c r="L1248" t="n">
        <v>0</v>
      </c>
      <c r="M1248" t="n">
        <v>0</v>
      </c>
      <c r="N1248" t="n">
        <v>0</v>
      </c>
      <c r="O1248" t="n">
        <v>0</v>
      </c>
      <c r="P1248" t="n">
        <v>0</v>
      </c>
      <c r="Q1248" t="n">
        <v>0</v>
      </c>
      <c r="R1248" s="2" t="inlineStr"/>
    </row>
    <row r="1249" ht="15" customHeight="1">
      <c r="A1249" t="inlineStr">
        <is>
          <t>A 26651-2024</t>
        </is>
      </c>
      <c r="B1249" s="1" t="n">
        <v>45469.94876157407</v>
      </c>
      <c r="C1249" s="1" t="n">
        <v>46170</v>
      </c>
      <c r="D1249" t="inlineStr">
        <is>
          <t>JÄMTLANDS LÄN</t>
        </is>
      </c>
      <c r="E1249" t="inlineStr">
        <is>
          <t>RAGUNDA</t>
        </is>
      </c>
      <c r="F1249" t="inlineStr">
        <is>
          <t>SCA</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40919-2024</t>
        </is>
      </c>
      <c r="B1250" s="1" t="n">
        <v>45558.63575231482</v>
      </c>
      <c r="C1250" s="1" t="n">
        <v>46170</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3186-2025</t>
        </is>
      </c>
      <c r="B1251" s="1" t="n">
        <v>45679.40362268518</v>
      </c>
      <c r="C1251" s="1" t="n">
        <v>46170</v>
      </c>
      <c r="D1251" t="inlineStr">
        <is>
          <t>JÄMTLANDS LÄN</t>
        </is>
      </c>
      <c r="E1251" t="inlineStr">
        <is>
          <t>RAGUNDA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465-2023</t>
        </is>
      </c>
      <c r="B1252" s="1" t="n">
        <v>44929</v>
      </c>
      <c r="C1252" s="1" t="n">
        <v>46170</v>
      </c>
      <c r="D1252" t="inlineStr">
        <is>
          <t>JÄMTLANDS LÄN</t>
        </is>
      </c>
      <c r="E1252" t="inlineStr">
        <is>
          <t>RAGUNDA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26455-2023</t>
        </is>
      </c>
      <c r="B1253" s="1" t="n">
        <v>45092</v>
      </c>
      <c r="C1253" s="1" t="n">
        <v>46170</v>
      </c>
      <c r="D1253" t="inlineStr">
        <is>
          <t>JÄMTLANDS LÄN</t>
        </is>
      </c>
      <c r="E1253" t="inlineStr">
        <is>
          <t>RAGUNDA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10639-2024</t>
        </is>
      </c>
      <c r="B1254" s="1" t="n">
        <v>45367.67256944445</v>
      </c>
      <c r="C1254" s="1" t="n">
        <v>46170</v>
      </c>
      <c r="D1254" t="inlineStr">
        <is>
          <t>JÄMTLANDS LÄN</t>
        </is>
      </c>
      <c r="E1254" t="inlineStr">
        <is>
          <t>RAGUNDA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2751-2024</t>
        </is>
      </c>
      <c r="B1255" s="1" t="n">
        <v>45314</v>
      </c>
      <c r="C1255" s="1" t="n">
        <v>46170</v>
      </c>
      <c r="D1255" t="inlineStr">
        <is>
          <t>JÄMTLANDS LÄN</t>
        </is>
      </c>
      <c r="E1255" t="inlineStr">
        <is>
          <t>RAGUNDA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36317-2024</t>
        </is>
      </c>
      <c r="B1256" s="1" t="n">
        <v>45534.63537037037</v>
      </c>
      <c r="C1256" s="1" t="n">
        <v>46170</v>
      </c>
      <c r="D1256" t="inlineStr">
        <is>
          <t>JÄMTLANDS LÄN</t>
        </is>
      </c>
      <c r="E1256" t="inlineStr">
        <is>
          <t>RAGUNDA</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18614-2024</t>
        </is>
      </c>
      <c r="B1257" s="1" t="n">
        <v>45425.96263888889</v>
      </c>
      <c r="C1257" s="1" t="n">
        <v>46170</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8787-2022</t>
        </is>
      </c>
      <c r="B1258" s="1" t="n">
        <v>44614</v>
      </c>
      <c r="C1258" s="1" t="n">
        <v>46170</v>
      </c>
      <c r="D1258" t="inlineStr">
        <is>
          <t>JÄMTLANDS LÄN</t>
        </is>
      </c>
      <c r="E1258" t="inlineStr">
        <is>
          <t>RAGUNDA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50431-2024</t>
        </is>
      </c>
      <c r="B1259" s="1" t="n">
        <v>45601.40686342592</v>
      </c>
      <c r="C1259" s="1" t="n">
        <v>46170</v>
      </c>
      <c r="D1259" t="inlineStr">
        <is>
          <t>JÄMTLANDS LÄN</t>
        </is>
      </c>
      <c r="E1259" t="inlineStr">
        <is>
          <t>RAGUNDA</t>
        </is>
      </c>
      <c r="F1259" t="inlineStr">
        <is>
          <t>SCA</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60936-2024</t>
        </is>
      </c>
      <c r="B1260" s="1" t="n">
        <v>45645.36743055555</v>
      </c>
      <c r="C1260" s="1" t="n">
        <v>46170</v>
      </c>
      <c r="D1260" t="inlineStr">
        <is>
          <t>JÄMTLANDS LÄN</t>
        </is>
      </c>
      <c r="E1260" t="inlineStr">
        <is>
          <t>RAGUNDA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4212-2024</t>
        </is>
      </c>
      <c r="B1261" s="1" t="n">
        <v>45324</v>
      </c>
      <c r="C1261" s="1" t="n">
        <v>46170</v>
      </c>
      <c r="D1261" t="inlineStr">
        <is>
          <t>JÄMTLANDS LÄN</t>
        </is>
      </c>
      <c r="E1261" t="inlineStr">
        <is>
          <t>RAGUNDA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9262-2025</t>
        </is>
      </c>
      <c r="B1262" s="1" t="n">
        <v>45714.60649305556</v>
      </c>
      <c r="C1262" s="1" t="n">
        <v>46170</v>
      </c>
      <c r="D1262" t="inlineStr">
        <is>
          <t>JÄMTLANDS LÄN</t>
        </is>
      </c>
      <c r="E1262" t="inlineStr">
        <is>
          <t>RAGUNDA</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60012-2023</t>
        </is>
      </c>
      <c r="B1263" s="1" t="n">
        <v>45257</v>
      </c>
      <c r="C1263" s="1" t="n">
        <v>46170</v>
      </c>
      <c r="D1263" t="inlineStr">
        <is>
          <t>JÄMTLANDS LÄN</t>
        </is>
      </c>
      <c r="E1263" t="inlineStr">
        <is>
          <t>RAGUNDA</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53676-2022</t>
        </is>
      </c>
      <c r="B1264" s="1" t="n">
        <v>44879</v>
      </c>
      <c r="C1264" s="1" t="n">
        <v>46170</v>
      </c>
      <c r="D1264" t="inlineStr">
        <is>
          <t>JÄMTLANDS LÄN</t>
        </is>
      </c>
      <c r="E1264" t="inlineStr">
        <is>
          <t>RAGUNDA</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56504-2024</t>
        </is>
      </c>
      <c r="B1265" s="1" t="n">
        <v>45625.51068287037</v>
      </c>
      <c r="C1265" s="1" t="n">
        <v>46170</v>
      </c>
      <c r="D1265" t="inlineStr">
        <is>
          <t>JÄMTLANDS LÄN</t>
        </is>
      </c>
      <c r="E1265" t="inlineStr">
        <is>
          <t>RAGUNDA</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934-2023</t>
        </is>
      </c>
      <c r="B1266" s="1" t="n">
        <v>44932.93927083333</v>
      </c>
      <c r="C1266" s="1" t="n">
        <v>46170</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36106-2022</t>
        </is>
      </c>
      <c r="B1267" s="1" t="n">
        <v>44802.94811342593</v>
      </c>
      <c r="C1267" s="1" t="n">
        <v>46170</v>
      </c>
      <c r="D1267" t="inlineStr">
        <is>
          <t>JÄMTLANDS LÄN</t>
        </is>
      </c>
      <c r="E1267" t="inlineStr">
        <is>
          <t>RAGUNDA</t>
        </is>
      </c>
      <c r="F1267" t="inlineStr">
        <is>
          <t>SCA</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57839-2022</t>
        </is>
      </c>
      <c r="B1268" s="1" t="n">
        <v>44897</v>
      </c>
      <c r="C1268" s="1" t="n">
        <v>46170</v>
      </c>
      <c r="D1268" t="inlineStr">
        <is>
          <t>JÄMTLANDS LÄN</t>
        </is>
      </c>
      <c r="E1268" t="inlineStr">
        <is>
          <t>RAGUNDA</t>
        </is>
      </c>
      <c r="F1268" t="inlineStr">
        <is>
          <t>SCA</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41693-2023</t>
        </is>
      </c>
      <c r="B1269" s="1" t="n">
        <v>45176</v>
      </c>
      <c r="C1269" s="1" t="n">
        <v>46170</v>
      </c>
      <c r="D1269" t="inlineStr">
        <is>
          <t>JÄMTLANDS LÄN</t>
        </is>
      </c>
      <c r="E1269" t="inlineStr">
        <is>
          <t>RAGUNDA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53678-2022</t>
        </is>
      </c>
      <c r="B1270" s="1" t="n">
        <v>44879.95768518518</v>
      </c>
      <c r="C1270" s="1" t="n">
        <v>46170</v>
      </c>
      <c r="D1270" t="inlineStr">
        <is>
          <t>JÄMTLANDS LÄN</t>
        </is>
      </c>
      <c r="E1270" t="inlineStr">
        <is>
          <t>RAGUNDA</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23305-2023</t>
        </is>
      </c>
      <c r="B1271" s="1" t="n">
        <v>45075.94506944445</v>
      </c>
      <c r="C1271" s="1" t="n">
        <v>46170</v>
      </c>
      <c r="D1271" t="inlineStr">
        <is>
          <t>JÄMTLANDS LÄN</t>
        </is>
      </c>
      <c r="E1271" t="inlineStr">
        <is>
          <t>RAGUNDA</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18194-2025</t>
        </is>
      </c>
      <c r="B1272" s="1" t="n">
        <v>45761.67744212963</v>
      </c>
      <c r="C1272" s="1" t="n">
        <v>46170</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18225-2024</t>
        </is>
      </c>
      <c r="B1273" s="1" t="n">
        <v>45420</v>
      </c>
      <c r="C1273" s="1" t="n">
        <v>46170</v>
      </c>
      <c r="D1273" t="inlineStr">
        <is>
          <t>JÄMTLANDS LÄN</t>
        </is>
      </c>
      <c r="E1273" t="inlineStr">
        <is>
          <t>RAGUNDA</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54764-2024</t>
        </is>
      </c>
      <c r="B1274" s="1" t="n">
        <v>45618.46921296296</v>
      </c>
      <c r="C1274" s="1" t="n">
        <v>46170</v>
      </c>
      <c r="D1274" t="inlineStr">
        <is>
          <t>JÄMTLANDS LÄN</t>
        </is>
      </c>
      <c r="E1274" t="inlineStr">
        <is>
          <t>RAGUNDA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32904-2024</t>
        </is>
      </c>
      <c r="B1275" s="1" t="n">
        <v>45516.94732638889</v>
      </c>
      <c r="C1275" s="1" t="n">
        <v>46170</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12976-2025</t>
        </is>
      </c>
      <c r="B1276" s="1" t="n">
        <v>45734.45268518518</v>
      </c>
      <c r="C1276" s="1" t="n">
        <v>46170</v>
      </c>
      <c r="D1276" t="inlineStr">
        <is>
          <t>JÄMTLANDS LÄN</t>
        </is>
      </c>
      <c r="E1276" t="inlineStr">
        <is>
          <t>RAGUNDA</t>
        </is>
      </c>
      <c r="G1276" t="n">
        <v>24.2</v>
      </c>
      <c r="H1276" t="n">
        <v>0</v>
      </c>
      <c r="I1276" t="n">
        <v>0</v>
      </c>
      <c r="J1276" t="n">
        <v>0</v>
      </c>
      <c r="K1276" t="n">
        <v>0</v>
      </c>
      <c r="L1276" t="n">
        <v>0</v>
      </c>
      <c r="M1276" t="n">
        <v>0</v>
      </c>
      <c r="N1276" t="n">
        <v>0</v>
      </c>
      <c r="O1276" t="n">
        <v>0</v>
      </c>
      <c r="P1276" t="n">
        <v>0</v>
      </c>
      <c r="Q1276" t="n">
        <v>0</v>
      </c>
      <c r="R1276" s="2" t="inlineStr"/>
    </row>
    <row r="1277" ht="15" customHeight="1">
      <c r="A1277" t="inlineStr">
        <is>
          <t>A 59286-2023</t>
        </is>
      </c>
      <c r="B1277" s="1" t="n">
        <v>45253</v>
      </c>
      <c r="C1277" s="1" t="n">
        <v>46170</v>
      </c>
      <c r="D1277" t="inlineStr">
        <is>
          <t>JÄMTLANDS LÄN</t>
        </is>
      </c>
      <c r="E1277" t="inlineStr">
        <is>
          <t>RAGUNDA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6688-2024</t>
        </is>
      </c>
      <c r="B1278" s="1" t="n">
        <v>45341</v>
      </c>
      <c r="C1278" s="1" t="n">
        <v>46170</v>
      </c>
      <c r="D1278" t="inlineStr">
        <is>
          <t>JÄMTLANDS LÄN</t>
        </is>
      </c>
      <c r="E1278" t="inlineStr">
        <is>
          <t>RAGUNDA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50650-2023</t>
        </is>
      </c>
      <c r="B1279" s="1" t="n">
        <v>45210</v>
      </c>
      <c r="C1279" s="1" t="n">
        <v>46170</v>
      </c>
      <c r="D1279" t="inlineStr">
        <is>
          <t>JÄMTLANDS LÄN</t>
        </is>
      </c>
      <c r="E1279" t="inlineStr">
        <is>
          <t>RAGUNDA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41344-2024</t>
        </is>
      </c>
      <c r="B1280" s="1" t="n">
        <v>45559.67759259259</v>
      </c>
      <c r="C1280" s="1" t="n">
        <v>46170</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59670-2023</t>
        </is>
      </c>
      <c r="B1281" s="1" t="n">
        <v>45254.96516203704</v>
      </c>
      <c r="C1281" s="1" t="n">
        <v>46170</v>
      </c>
      <c r="D1281" t="inlineStr">
        <is>
          <t>JÄMTLANDS LÄN</t>
        </is>
      </c>
      <c r="E1281" t="inlineStr">
        <is>
          <t>RAGUNDA</t>
        </is>
      </c>
      <c r="F1281" t="inlineStr">
        <is>
          <t>SCA</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55508-2024</t>
        </is>
      </c>
      <c r="B1282" s="1" t="n">
        <v>45622.46200231482</v>
      </c>
      <c r="C1282" s="1" t="n">
        <v>46170</v>
      </c>
      <c r="D1282" t="inlineStr">
        <is>
          <t>JÄMTLANDS LÄN</t>
        </is>
      </c>
      <c r="E1282" t="inlineStr">
        <is>
          <t>RAGUNDA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59492-2024</t>
        </is>
      </c>
      <c r="B1283" s="1" t="n">
        <v>45638</v>
      </c>
      <c r="C1283" s="1" t="n">
        <v>46170</v>
      </c>
      <c r="D1283" t="inlineStr">
        <is>
          <t>JÄMTLANDS LÄN</t>
        </is>
      </c>
      <c r="E1283" t="inlineStr">
        <is>
          <t>RAGUNDA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20772-2024</t>
        </is>
      </c>
      <c r="B1284" s="1" t="n">
        <v>45436.94628472222</v>
      </c>
      <c r="C1284" s="1" t="n">
        <v>46170</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53757-2024</t>
        </is>
      </c>
      <c r="B1285" s="1" t="n">
        <v>45615.50034722222</v>
      </c>
      <c r="C1285" s="1" t="n">
        <v>46170</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6716-2025</t>
        </is>
      </c>
      <c r="B1286" s="1" t="n">
        <v>45700.57324074074</v>
      </c>
      <c r="C1286" s="1" t="n">
        <v>46170</v>
      </c>
      <c r="D1286" t="inlineStr">
        <is>
          <t>JÄMTLANDS LÄN</t>
        </is>
      </c>
      <c r="E1286" t="inlineStr">
        <is>
          <t>RAGUNDA</t>
        </is>
      </c>
      <c r="F1286" t="inlineStr">
        <is>
          <t>SCA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19866-2023</t>
        </is>
      </c>
      <c r="B1287" s="1" t="n">
        <v>45053.94313657407</v>
      </c>
      <c r="C1287" s="1" t="n">
        <v>46170</v>
      </c>
      <c r="D1287" t="inlineStr">
        <is>
          <t>JÄMTLANDS LÄN</t>
        </is>
      </c>
      <c r="E1287" t="inlineStr">
        <is>
          <t>RAGUNDA</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21853-2024</t>
        </is>
      </c>
      <c r="B1288" s="1" t="n">
        <v>45442.96296296296</v>
      </c>
      <c r="C1288" s="1" t="n">
        <v>46170</v>
      </c>
      <c r="D1288" t="inlineStr">
        <is>
          <t>JÄMTLANDS LÄN</t>
        </is>
      </c>
      <c r="E1288" t="inlineStr">
        <is>
          <t>RAGUNDA</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8241-2024</t>
        </is>
      </c>
      <c r="B1289" s="1" t="n">
        <v>45351.98496527778</v>
      </c>
      <c r="C1289" s="1" t="n">
        <v>46170</v>
      </c>
      <c r="D1289" t="inlineStr">
        <is>
          <t>JÄMTLANDS LÄN</t>
        </is>
      </c>
      <c r="E1289" t="inlineStr">
        <is>
          <t>RAGUNDA</t>
        </is>
      </c>
      <c r="F1289" t="inlineStr">
        <is>
          <t>SCA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40365-2024</t>
        </is>
      </c>
      <c r="B1290" s="1" t="n">
        <v>45555.38509259259</v>
      </c>
      <c r="C1290" s="1" t="n">
        <v>46170</v>
      </c>
      <c r="D1290" t="inlineStr">
        <is>
          <t>JÄMTLANDS LÄN</t>
        </is>
      </c>
      <c r="E1290" t="inlineStr">
        <is>
          <t>RAGUNDA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20770-2024</t>
        </is>
      </c>
      <c r="B1291" s="1" t="n">
        <v>45436.94613425926</v>
      </c>
      <c r="C1291" s="1" t="n">
        <v>46170</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7281-2024</t>
        </is>
      </c>
      <c r="B1292" s="1" t="n">
        <v>45344</v>
      </c>
      <c r="C1292" s="1" t="n">
        <v>46170</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7284-2024</t>
        </is>
      </c>
      <c r="B1293" s="1" t="n">
        <v>45344.92865740741</v>
      </c>
      <c r="C1293" s="1" t="n">
        <v>46170</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7285-2024</t>
        </is>
      </c>
      <c r="B1294" s="1" t="n">
        <v>45344.92873842592</v>
      </c>
      <c r="C1294" s="1" t="n">
        <v>46170</v>
      </c>
      <c r="D1294" t="inlineStr">
        <is>
          <t>JÄMTLANDS LÄN</t>
        </is>
      </c>
      <c r="E1294" t="inlineStr">
        <is>
          <t>RAGUNDA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46170</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60838-2023</t>
        </is>
      </c>
      <c r="B1296" s="1" t="n">
        <v>45260.92561342593</v>
      </c>
      <c r="C1296" s="1" t="n">
        <v>46170</v>
      </c>
      <c r="D1296" t="inlineStr">
        <is>
          <t>JÄMTLANDS LÄN</t>
        </is>
      </c>
      <c r="E1296" t="inlineStr">
        <is>
          <t>RAGUNDA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9548-2025</t>
        </is>
      </c>
      <c r="B1297" s="1" t="n">
        <v>45715.59405092592</v>
      </c>
      <c r="C1297" s="1" t="n">
        <v>46170</v>
      </c>
      <c r="D1297" t="inlineStr">
        <is>
          <t>JÄMTLANDS LÄN</t>
        </is>
      </c>
      <c r="E1297" t="inlineStr">
        <is>
          <t>RAGUNDA</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53989-2024</t>
        </is>
      </c>
      <c r="B1298" s="1" t="n">
        <v>45616.34479166667</v>
      </c>
      <c r="C1298" s="1" t="n">
        <v>46170</v>
      </c>
      <c r="D1298" t="inlineStr">
        <is>
          <t>JÄMTLANDS LÄN</t>
        </is>
      </c>
      <c r="E1298" t="inlineStr">
        <is>
          <t>RAGUNDA</t>
        </is>
      </c>
      <c r="F1298" t="inlineStr">
        <is>
          <t>SCA</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15581-2024</t>
        </is>
      </c>
      <c r="B1299" s="1" t="n">
        <v>45401</v>
      </c>
      <c r="C1299" s="1" t="n">
        <v>46170</v>
      </c>
      <c r="D1299" t="inlineStr">
        <is>
          <t>JÄMTLANDS LÄN</t>
        </is>
      </c>
      <c r="E1299" t="inlineStr">
        <is>
          <t>RAGUNDA</t>
        </is>
      </c>
      <c r="F1299" t="inlineStr">
        <is>
          <t>Kommuner</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15611-2024</t>
        </is>
      </c>
      <c r="B1300" s="1" t="n">
        <v>45401</v>
      </c>
      <c r="C1300" s="1" t="n">
        <v>46170</v>
      </c>
      <c r="D1300" t="inlineStr">
        <is>
          <t>JÄMTLANDS LÄN</t>
        </is>
      </c>
      <c r="E1300" t="inlineStr">
        <is>
          <t>RAGUNDA</t>
        </is>
      </c>
      <c r="F1300" t="inlineStr">
        <is>
          <t>SCA</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23528-2024</t>
        </is>
      </c>
      <c r="B1301" s="1" t="n">
        <v>45453.95016203704</v>
      </c>
      <c r="C1301" s="1" t="n">
        <v>46170</v>
      </c>
      <c r="D1301" t="inlineStr">
        <is>
          <t>JÄMTLANDS LÄN</t>
        </is>
      </c>
      <c r="E1301" t="inlineStr">
        <is>
          <t>RAGUNDA</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4594-2024</t>
        </is>
      </c>
      <c r="B1302" s="1" t="n">
        <v>45327.94459490741</v>
      </c>
      <c r="C1302" s="1" t="n">
        <v>46170</v>
      </c>
      <c r="D1302" t="inlineStr">
        <is>
          <t>JÄMTLANDS LÄN</t>
        </is>
      </c>
      <c r="E1302" t="inlineStr">
        <is>
          <t>RAGUNDA</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30824-2023</t>
        </is>
      </c>
      <c r="B1303" s="1" t="n">
        <v>45112.94303240741</v>
      </c>
      <c r="C1303" s="1" t="n">
        <v>46170</v>
      </c>
      <c r="D1303" t="inlineStr">
        <is>
          <t>JÄMTLANDS LÄN</t>
        </is>
      </c>
      <c r="E1303" t="inlineStr">
        <is>
          <t>RAGUNDA</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16635-2025</t>
        </is>
      </c>
      <c r="B1304" s="1" t="n">
        <v>45754</v>
      </c>
      <c r="C1304" s="1" t="n">
        <v>46170</v>
      </c>
      <c r="D1304" t="inlineStr">
        <is>
          <t>JÄMTLANDS LÄN</t>
        </is>
      </c>
      <c r="E1304" t="inlineStr">
        <is>
          <t>RAGUNDA</t>
        </is>
      </c>
      <c r="F1304" t="inlineStr">
        <is>
          <t>SCA</t>
        </is>
      </c>
      <c r="G1304" t="n">
        <v>55.4</v>
      </c>
      <c r="H1304" t="n">
        <v>0</v>
      </c>
      <c r="I1304" t="n">
        <v>0</v>
      </c>
      <c r="J1304" t="n">
        <v>0</v>
      </c>
      <c r="K1304" t="n">
        <v>0</v>
      </c>
      <c r="L1304" t="n">
        <v>0</v>
      </c>
      <c r="M1304" t="n">
        <v>0</v>
      </c>
      <c r="N1304" t="n">
        <v>0</v>
      </c>
      <c r="O1304" t="n">
        <v>0</v>
      </c>
      <c r="P1304" t="n">
        <v>0</v>
      </c>
      <c r="Q1304" t="n">
        <v>0</v>
      </c>
      <c r="R1304" s="2" t="inlineStr"/>
    </row>
    <row r="1305" ht="15" customHeight="1">
      <c r="A1305" t="inlineStr">
        <is>
          <t>A 4014-2022</t>
        </is>
      </c>
      <c r="B1305" s="1" t="n">
        <v>44587.92144675926</v>
      </c>
      <c r="C1305" s="1" t="n">
        <v>46170</v>
      </c>
      <c r="D1305" t="inlineStr">
        <is>
          <t>JÄMTLANDS LÄN</t>
        </is>
      </c>
      <c r="E1305" t="inlineStr">
        <is>
          <t>RAGUNDA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1554-2024</t>
        </is>
      </c>
      <c r="B1306" s="1" t="n">
        <v>45306</v>
      </c>
      <c r="C1306" s="1" t="n">
        <v>46170</v>
      </c>
      <c r="D1306" t="inlineStr">
        <is>
          <t>JÄMTLANDS LÄN</t>
        </is>
      </c>
      <c r="E1306" t="inlineStr">
        <is>
          <t>RAGUNDA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38782-2021</t>
        </is>
      </c>
      <c r="B1307" s="1" t="n">
        <v>44410</v>
      </c>
      <c r="C1307" s="1" t="n">
        <v>46170</v>
      </c>
      <c r="D1307" t="inlineStr">
        <is>
          <t>JÄMTLANDS LÄN</t>
        </is>
      </c>
      <c r="E1307" t="inlineStr">
        <is>
          <t>RAGUNDA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20728-2025</t>
        </is>
      </c>
      <c r="B1308" s="1" t="n">
        <v>45776.51130787037</v>
      </c>
      <c r="C1308" s="1" t="n">
        <v>46170</v>
      </c>
      <c r="D1308" t="inlineStr">
        <is>
          <t>JÄMTLANDS LÄN</t>
        </is>
      </c>
      <c r="E1308" t="inlineStr">
        <is>
          <t>RAGUNDA</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20653-2025</t>
        </is>
      </c>
      <c r="B1309" s="1" t="n">
        <v>45776.40311342593</v>
      </c>
      <c r="C1309" s="1" t="n">
        <v>46170</v>
      </c>
      <c r="D1309" t="inlineStr">
        <is>
          <t>JÄMTLANDS LÄN</t>
        </is>
      </c>
      <c r="E1309" t="inlineStr">
        <is>
          <t>RAGUNDA</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20722-2025</t>
        </is>
      </c>
      <c r="B1310" s="1" t="n">
        <v>45776.50651620371</v>
      </c>
      <c r="C1310" s="1" t="n">
        <v>46170</v>
      </c>
      <c r="D1310" t="inlineStr">
        <is>
          <t>JÄMTLANDS LÄN</t>
        </is>
      </c>
      <c r="E1310" t="inlineStr">
        <is>
          <t>RAGUNDA</t>
        </is>
      </c>
      <c r="F1310" t="inlineStr">
        <is>
          <t>Kommuner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20777-2025</t>
        </is>
      </c>
      <c r="B1311" s="1" t="n">
        <v>45776.59422453704</v>
      </c>
      <c r="C1311" s="1" t="n">
        <v>46170</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21150-2025</t>
        </is>
      </c>
      <c r="B1312" s="1" t="n">
        <v>45779.34417824074</v>
      </c>
      <c r="C1312" s="1" t="n">
        <v>46170</v>
      </c>
      <c r="D1312" t="inlineStr">
        <is>
          <t>JÄMTLANDS LÄN</t>
        </is>
      </c>
      <c r="E1312" t="inlineStr">
        <is>
          <t>RAGUNDA</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21214-2025</t>
        </is>
      </c>
      <c r="B1313" s="1" t="n">
        <v>45779.49025462963</v>
      </c>
      <c r="C1313" s="1" t="n">
        <v>46170</v>
      </c>
      <c r="D1313" t="inlineStr">
        <is>
          <t>JÄMTLANDS LÄN</t>
        </is>
      </c>
      <c r="E1313" t="inlineStr">
        <is>
          <t>RAGUNDA</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22941-2024</t>
        </is>
      </c>
      <c r="B1314" s="1" t="n">
        <v>45448.94520833333</v>
      </c>
      <c r="C1314" s="1" t="n">
        <v>46170</v>
      </c>
      <c r="D1314" t="inlineStr">
        <is>
          <t>JÄMTLANDS LÄN</t>
        </is>
      </c>
      <c r="E1314" t="inlineStr">
        <is>
          <t>RAGUNDA</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21430-2025</t>
        </is>
      </c>
      <c r="B1315" s="1" t="n">
        <v>45782.51099537037</v>
      </c>
      <c r="C1315" s="1" t="n">
        <v>46170</v>
      </c>
      <c r="D1315" t="inlineStr">
        <is>
          <t>JÄMTLANDS LÄN</t>
        </is>
      </c>
      <c r="E1315" t="inlineStr">
        <is>
          <t>RAGUNDA</t>
        </is>
      </c>
      <c r="F1315" t="inlineStr">
        <is>
          <t>SCA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44881-2023</t>
        </is>
      </c>
      <c r="B1316" s="1" t="n">
        <v>45187</v>
      </c>
      <c r="C1316" s="1" t="n">
        <v>46170</v>
      </c>
      <c r="D1316" t="inlineStr">
        <is>
          <t>JÄMTLANDS LÄN</t>
        </is>
      </c>
      <c r="E1316" t="inlineStr">
        <is>
          <t>RAGUNDA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21451-2025</t>
        </is>
      </c>
      <c r="B1317" s="1" t="n">
        <v>45782.55287037037</v>
      </c>
      <c r="C1317" s="1" t="n">
        <v>46170</v>
      </c>
      <c r="D1317" t="inlineStr">
        <is>
          <t>JÄMTLANDS LÄN</t>
        </is>
      </c>
      <c r="E1317" t="inlineStr">
        <is>
          <t>RAGUNDA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21432-2025</t>
        </is>
      </c>
      <c r="B1318" s="1" t="n">
        <v>45782.51109953703</v>
      </c>
      <c r="C1318" s="1" t="n">
        <v>46170</v>
      </c>
      <c r="D1318" t="inlineStr">
        <is>
          <t>JÄMTLANDS LÄN</t>
        </is>
      </c>
      <c r="E1318" t="inlineStr">
        <is>
          <t>RAGUNDA</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21331-2025</t>
        </is>
      </c>
      <c r="B1319" s="1" t="n">
        <v>45782.36494212963</v>
      </c>
      <c r="C1319" s="1" t="n">
        <v>46170</v>
      </c>
      <c r="D1319" t="inlineStr">
        <is>
          <t>JÄMTLANDS LÄN</t>
        </is>
      </c>
      <c r="E1319" t="inlineStr">
        <is>
          <t>RAGUNDA</t>
        </is>
      </c>
      <c r="F1319" t="inlineStr">
        <is>
          <t>SCA</t>
        </is>
      </c>
      <c r="G1319" t="n">
        <v>23.1</v>
      </c>
      <c r="H1319" t="n">
        <v>0</v>
      </c>
      <c r="I1319" t="n">
        <v>0</v>
      </c>
      <c r="J1319" t="n">
        <v>0</v>
      </c>
      <c r="K1319" t="n">
        <v>0</v>
      </c>
      <c r="L1319" t="n">
        <v>0</v>
      </c>
      <c r="M1319" t="n">
        <v>0</v>
      </c>
      <c r="N1319" t="n">
        <v>0</v>
      </c>
      <c r="O1319" t="n">
        <v>0</v>
      </c>
      <c r="P1319" t="n">
        <v>0</v>
      </c>
      <c r="Q1319" t="n">
        <v>0</v>
      </c>
      <c r="R1319" s="2" t="inlineStr"/>
      <c r="U1319">
        <f>HYPERLINK("https://klasma.github.io/Logging_2303/knärot/A 21331-2025 karta knärot.png", "A 21331-2025")</f>
        <v/>
      </c>
      <c r="V1319">
        <f>HYPERLINK("https://klasma.github.io/Logging_2303/klagomål/A 21331-2025 FSC-klagomål.docx", "A 21331-2025")</f>
        <v/>
      </c>
      <c r="W1319">
        <f>HYPERLINK("https://klasma.github.io/Logging_2303/klagomålsmail/A 21331-2025 FSC-klagomål mail.docx", "A 21331-2025")</f>
        <v/>
      </c>
      <c r="X1319">
        <f>HYPERLINK("https://klasma.github.io/Logging_2303/tillsyn/A 21331-2025 tillsynsbegäran.docx", "A 21331-2025")</f>
        <v/>
      </c>
      <c r="Y1319">
        <f>HYPERLINK("https://klasma.github.io/Logging_2303/tillsynsmail/A 21331-2025 tillsynsbegäran mail.docx", "A 21331-2025")</f>
        <v/>
      </c>
    </row>
    <row r="1320">
      <c r="A1320" t="inlineStr">
        <is>
          <t>A 21550-2025</t>
        </is>
      </c>
      <c r="B1320" s="1" t="n">
        <v>45782.67758101852</v>
      </c>
      <c r="C1320" s="1" t="n">
        <v>46170</v>
      </c>
      <c r="D1320" t="inlineStr">
        <is>
          <t>JÄMTLANDS LÄN</t>
        </is>
      </c>
      <c r="E1320" t="inlineStr">
        <is>
          <t>RAGUNDA</t>
        </is>
      </c>
      <c r="F1320" t="inlineStr">
        <is>
          <t>SCA</t>
        </is>
      </c>
      <c r="G1320" t="n">
        <v>1.3</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2026-05-28T10:54:32Z</dcterms:created>
  <dcterms:modified xmlns:dcterms="http://purl.org/dc/terms/" xmlns:xsi="http://www.w3.org/2001/XMLSchema-instance" xsi:type="dcterms:W3CDTF">2026-05-28T10:54:33Z</dcterms:modified>
</cp:coreProperties>
</file>