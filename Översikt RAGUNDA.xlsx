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46051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46051</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46051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46051</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46051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46051</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46051</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46051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46051</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46051</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46051</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46051</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46051</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46051</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46051</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46051</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43533-2025</t>
        </is>
      </c>
      <c r="B18" s="1" t="n">
        <v>45911</v>
      </c>
      <c r="C18" s="1" t="n">
        <v>46051</v>
      </c>
      <c r="D18" t="inlineStr">
        <is>
          <t>JÄMTLANDS LÄN</t>
        </is>
      </c>
      <c r="E18" t="inlineStr">
        <is>
          <t>RAGUNDA</t>
        </is>
      </c>
      <c r="G18" t="n">
        <v>19</v>
      </c>
      <c r="H18" t="n">
        <v>5</v>
      </c>
      <c r="I18" t="n">
        <v>5</v>
      </c>
      <c r="J18" t="n">
        <v>4</v>
      </c>
      <c r="K18" t="n">
        <v>2</v>
      </c>
      <c r="L18" t="n">
        <v>0</v>
      </c>
      <c r="M18" t="n">
        <v>0</v>
      </c>
      <c r="N18" t="n">
        <v>0</v>
      </c>
      <c r="O18" t="n">
        <v>6</v>
      </c>
      <c r="P18" t="n">
        <v>2</v>
      </c>
      <c r="Q18" t="n">
        <v>13</v>
      </c>
      <c r="R18" s="2" t="inlineStr">
        <is>
          <t>Doftticka
Knärot
Garnlav
Lunglav
Skrovellav
Tretåig hackspett
Fjällig taggsvamp s.str.
Kransrams
Stuplav
Svavelriska
Tibast
Lavskrika
Blåsippa</t>
        </is>
      </c>
      <c r="S18">
        <f>HYPERLINK("https://klasma.github.io/Logging_2303/artfynd/A 43533-2025 artfynd.xlsx", "A 43533-2025")</f>
        <v/>
      </c>
      <c r="T18">
        <f>HYPERLINK("https://klasma.github.io/Logging_2303/kartor/A 43533-2025 karta.png", "A 43533-2025")</f>
        <v/>
      </c>
      <c r="U18">
        <f>HYPERLINK("https://klasma.github.io/Logging_2303/knärot/A 43533-2025 karta knärot.png", "A 43533-2025")</f>
        <v/>
      </c>
      <c r="V18">
        <f>HYPERLINK("https://klasma.github.io/Logging_2303/klagomål/A 43533-2025 FSC-klagomål.docx", "A 43533-2025")</f>
        <v/>
      </c>
      <c r="W18">
        <f>HYPERLINK("https://klasma.github.io/Logging_2303/klagomålsmail/A 43533-2025 FSC-klagomål mail.docx", "A 43533-2025")</f>
        <v/>
      </c>
      <c r="X18">
        <f>HYPERLINK("https://klasma.github.io/Logging_2303/tillsyn/A 43533-2025 tillsynsbegäran.docx", "A 43533-2025")</f>
        <v/>
      </c>
      <c r="Y18">
        <f>HYPERLINK("https://klasma.github.io/Logging_2303/tillsynsmail/A 43533-2025 tillsynsbegäran mail.docx", "A 43533-2025")</f>
        <v/>
      </c>
      <c r="Z18">
        <f>HYPERLINK("https://klasma.github.io/Logging_2303/fåglar/A 43533-2025 prioriterade fågelarter.docx", "A 43533-2025")</f>
        <v/>
      </c>
    </row>
    <row r="19" ht="15" customHeight="1">
      <c r="A19" t="inlineStr">
        <is>
          <t>A 55404-2024</t>
        </is>
      </c>
      <c r="B19" s="1" t="n">
        <v>45622</v>
      </c>
      <c r="C19" s="1" t="n">
        <v>46051</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59762-2024</t>
        </is>
      </c>
      <c r="B20" s="1" t="n">
        <v>45639.55269675926</v>
      </c>
      <c r="C20" s="1" t="n">
        <v>46051</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46051</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46051</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46051</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46051</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25632-2025</t>
        </is>
      </c>
      <c r="B25" s="1" t="n">
        <v>45803.59474537037</v>
      </c>
      <c r="C25" s="1" t="n">
        <v>46051</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46051</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46051</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46051</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46051</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46051</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46051</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4591-2024</t>
        </is>
      </c>
      <c r="B32" s="1" t="n">
        <v>45327</v>
      </c>
      <c r="C32" s="1" t="n">
        <v>46051</v>
      </c>
      <c r="D32" t="inlineStr">
        <is>
          <t>JÄMTLANDS LÄN</t>
        </is>
      </c>
      <c r="E32" t="inlineStr">
        <is>
          <t>RAGUNDA</t>
        </is>
      </c>
      <c r="F32" t="inlineStr">
        <is>
          <t>SCA</t>
        </is>
      </c>
      <c r="G32" t="n">
        <v>5.8</v>
      </c>
      <c r="H32" t="n">
        <v>6</v>
      </c>
      <c r="I32" t="n">
        <v>3</v>
      </c>
      <c r="J32" t="n">
        <v>7</v>
      </c>
      <c r="K32" t="n">
        <v>0</v>
      </c>
      <c r="L32" t="n">
        <v>0</v>
      </c>
      <c r="M32" t="n">
        <v>0</v>
      </c>
      <c r="N32" t="n">
        <v>0</v>
      </c>
      <c r="O32" t="n">
        <v>7</v>
      </c>
      <c r="P32" t="n">
        <v>0</v>
      </c>
      <c r="Q32" t="n">
        <v>10</v>
      </c>
      <c r="R32" s="2" t="inlineStr">
        <is>
          <t>Garnlav
Granticka
Harticka
Lunglav
Spillkråka
Talltita
Tretåig hackspett
Grönkulla
Spindelblomster
Tvåblad</t>
        </is>
      </c>
      <c r="S32">
        <f>HYPERLINK("https://klasma.github.io/Logging_2303/artfynd/A 4591-2024 artfynd.xlsx", "A 4591-2024")</f>
        <v/>
      </c>
      <c r="T32">
        <f>HYPERLINK("https://klasma.github.io/Logging_2303/kartor/A 4591-2024 karta.png", "A 4591-2024")</f>
        <v/>
      </c>
      <c r="V32">
        <f>HYPERLINK("https://klasma.github.io/Logging_2303/klagomål/A 4591-2024 FSC-klagomål.docx", "A 4591-2024")</f>
        <v/>
      </c>
      <c r="W32">
        <f>HYPERLINK("https://klasma.github.io/Logging_2303/klagomålsmail/A 4591-2024 FSC-klagomål mail.docx", "A 4591-2024")</f>
        <v/>
      </c>
      <c r="X32">
        <f>HYPERLINK("https://klasma.github.io/Logging_2303/tillsyn/A 4591-2024 tillsynsbegäran.docx", "A 4591-2024")</f>
        <v/>
      </c>
      <c r="Y32">
        <f>HYPERLINK("https://klasma.github.io/Logging_2303/tillsynsmail/A 4591-2024 tillsynsbegäran mail.docx", "A 4591-2024")</f>
        <v/>
      </c>
      <c r="Z32">
        <f>HYPERLINK("https://klasma.github.io/Logging_2303/fåglar/A 4591-2024 prioriterade fågelarter.docx", "A 4591-2024")</f>
        <v/>
      </c>
    </row>
    <row r="33" ht="15" customHeight="1">
      <c r="A33" t="inlineStr">
        <is>
          <t>A 10982-2025</t>
        </is>
      </c>
      <c r="B33" s="1" t="n">
        <v>45723.40688657408</v>
      </c>
      <c r="C33" s="1" t="n">
        <v>46051</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55894-2022</t>
        </is>
      </c>
      <c r="B34" s="1" t="n">
        <v>44888</v>
      </c>
      <c r="C34" s="1" t="n">
        <v>46051</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46051</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30876-2025</t>
        </is>
      </c>
      <c r="B36" s="1" t="n">
        <v>45832.34461805555</v>
      </c>
      <c r="C36" s="1" t="n">
        <v>46051</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62948-2021</t>
        </is>
      </c>
      <c r="B37" s="1" t="n">
        <v>44504</v>
      </c>
      <c r="C37" s="1" t="n">
        <v>46051</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58876-2025</t>
        </is>
      </c>
      <c r="B38" s="1" t="n">
        <v>45987.46929398148</v>
      </c>
      <c r="C38" s="1" t="n">
        <v>46051</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42393-2025</t>
        </is>
      </c>
      <c r="B39" s="1" t="n">
        <v>45905</v>
      </c>
      <c r="C39" s="1" t="n">
        <v>46051</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32068-2024</t>
        </is>
      </c>
      <c r="B40" s="1" t="n">
        <v>45510</v>
      </c>
      <c r="C40" s="1" t="n">
        <v>46051</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41406-2023</t>
        </is>
      </c>
      <c r="B41" s="1" t="n">
        <v>45174</v>
      </c>
      <c r="C41" s="1" t="n">
        <v>46051</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33822-2023</t>
        </is>
      </c>
      <c r="B42" s="1" t="n">
        <v>45121</v>
      </c>
      <c r="C42" s="1" t="n">
        <v>46051</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45190.96092592592</v>
      </c>
      <c r="C43" s="1" t="n">
        <v>46051</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4146-2025</t>
        </is>
      </c>
      <c r="B44" s="1" t="n">
        <v>45685.36501157407</v>
      </c>
      <c r="C44" s="1" t="n">
        <v>46051</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25016-2025</t>
        </is>
      </c>
      <c r="B45" s="1" t="n">
        <v>45799.63574074074</v>
      </c>
      <c r="C45" s="1" t="n">
        <v>46051</v>
      </c>
      <c r="D45" t="inlineStr">
        <is>
          <t>JÄMTLANDS LÄN</t>
        </is>
      </c>
      <c r="E45" t="inlineStr">
        <is>
          <t>RAGUNDA</t>
        </is>
      </c>
      <c r="F45" t="inlineStr">
        <is>
          <t>SCA</t>
        </is>
      </c>
      <c r="G45" t="n">
        <v>17.9</v>
      </c>
      <c r="H45" t="n">
        <v>2</v>
      </c>
      <c r="I45" t="n">
        <v>3</v>
      </c>
      <c r="J45" t="n">
        <v>6</v>
      </c>
      <c r="K45" t="n">
        <v>0</v>
      </c>
      <c r="L45" t="n">
        <v>0</v>
      </c>
      <c r="M45" t="n">
        <v>0</v>
      </c>
      <c r="N45" t="n">
        <v>0</v>
      </c>
      <c r="O45" t="n">
        <v>6</v>
      </c>
      <c r="P45" t="n">
        <v>0</v>
      </c>
      <c r="Q45" t="n">
        <v>9</v>
      </c>
      <c r="R45" s="2" t="inlineStr">
        <is>
          <t>Garnlav
Granticka
Lunglav
Spillkråka
Tretåig hackspett
Ullticka
Bårdlav
Stuplav
Vedticka</t>
        </is>
      </c>
      <c r="S45">
        <f>HYPERLINK("https://klasma.github.io/Logging_2303/artfynd/A 25016-2025 artfynd.xlsx", "A 25016-2025")</f>
        <v/>
      </c>
      <c r="T45">
        <f>HYPERLINK("https://klasma.github.io/Logging_2303/kartor/A 25016-2025 karta.png", "A 25016-2025")</f>
        <v/>
      </c>
      <c r="V45">
        <f>HYPERLINK("https://klasma.github.io/Logging_2303/klagomål/A 25016-2025 FSC-klagomål.docx", "A 25016-2025")</f>
        <v/>
      </c>
      <c r="W45">
        <f>HYPERLINK("https://klasma.github.io/Logging_2303/klagomålsmail/A 25016-2025 FSC-klagomål mail.docx", "A 25016-2025")</f>
        <v/>
      </c>
      <c r="X45">
        <f>HYPERLINK("https://klasma.github.io/Logging_2303/tillsyn/A 25016-2025 tillsynsbegäran.docx", "A 25016-2025")</f>
        <v/>
      </c>
      <c r="Y45">
        <f>HYPERLINK("https://klasma.github.io/Logging_2303/tillsynsmail/A 25016-2025 tillsynsbegäran mail.docx", "A 25016-2025")</f>
        <v/>
      </c>
      <c r="Z45">
        <f>HYPERLINK("https://klasma.github.io/Logging_2303/fåglar/A 25016-2025 prioriterade fågelarter.docx", "A 25016-2025")</f>
        <v/>
      </c>
    </row>
    <row r="46" ht="15" customHeight="1">
      <c r="A46" t="inlineStr">
        <is>
          <t>A 24735-2025</t>
        </is>
      </c>
      <c r="B46" s="1" t="n">
        <v>45799.34461805555</v>
      </c>
      <c r="C46" s="1" t="n">
        <v>46051</v>
      </c>
      <c r="D46" t="inlineStr">
        <is>
          <t>JÄMTLANDS LÄN</t>
        </is>
      </c>
      <c r="E46" t="inlineStr">
        <is>
          <t>RAGUNDA</t>
        </is>
      </c>
      <c r="F46" t="inlineStr">
        <is>
          <t>SCA</t>
        </is>
      </c>
      <c r="G46" t="n">
        <v>7.1</v>
      </c>
      <c r="H46" t="n">
        <v>1</v>
      </c>
      <c r="I46" t="n">
        <v>4</v>
      </c>
      <c r="J46" t="n">
        <v>5</v>
      </c>
      <c r="K46" t="n">
        <v>0</v>
      </c>
      <c r="L46" t="n">
        <v>0</v>
      </c>
      <c r="M46" t="n">
        <v>0</v>
      </c>
      <c r="N46" t="n">
        <v>0</v>
      </c>
      <c r="O46" t="n">
        <v>5</v>
      </c>
      <c r="P46" t="n">
        <v>0</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30335-2025</t>
        </is>
      </c>
      <c r="B47" s="1" t="n">
        <v>45827.5110300926</v>
      </c>
      <c r="C47" s="1" t="n">
        <v>46051</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3634-2024</t>
        </is>
      </c>
      <c r="B48" s="1" t="n">
        <v>45320</v>
      </c>
      <c r="C48" s="1" t="n">
        <v>46051</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51037-2025</t>
        </is>
      </c>
      <c r="B49" s="1" t="n">
        <v>45947.40729166667</v>
      </c>
      <c r="C49" s="1" t="n">
        <v>46051</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59107-2025</t>
        </is>
      </c>
      <c r="B50" s="1" t="n">
        <v>45988.46924768519</v>
      </c>
      <c r="C50" s="1" t="n">
        <v>46051</v>
      </c>
      <c r="D50" t="inlineStr">
        <is>
          <t>JÄMTLANDS LÄN</t>
        </is>
      </c>
      <c r="E50" t="inlineStr">
        <is>
          <t>RAGUNDA</t>
        </is>
      </c>
      <c r="F50" t="inlineStr">
        <is>
          <t>SCA</t>
        </is>
      </c>
      <c r="G50" t="n">
        <v>22.6</v>
      </c>
      <c r="H50" t="n">
        <v>1</v>
      </c>
      <c r="I50" t="n">
        <v>4</v>
      </c>
      <c r="J50" t="n">
        <v>4</v>
      </c>
      <c r="K50" t="n">
        <v>0</v>
      </c>
      <c r="L50" t="n">
        <v>0</v>
      </c>
      <c r="M50" t="n">
        <v>0</v>
      </c>
      <c r="N50" t="n">
        <v>0</v>
      </c>
      <c r="O50" t="n">
        <v>4</v>
      </c>
      <c r="P50" t="n">
        <v>0</v>
      </c>
      <c r="Q50" t="n">
        <v>8</v>
      </c>
      <c r="R50" s="2" t="inlineStr">
        <is>
          <t>Garnlav
Lunglav
Skrovellav
Tretåig hackspett
Bårdlav
Luddlav
Skinnlav
Stuplav</t>
        </is>
      </c>
      <c r="S50">
        <f>HYPERLINK("https://klasma.github.io/Logging_2303/artfynd/A 59107-2025 artfynd.xlsx", "A 59107-2025")</f>
        <v/>
      </c>
      <c r="T50">
        <f>HYPERLINK("https://klasma.github.io/Logging_2303/kartor/A 59107-2025 karta.png", "A 59107-2025")</f>
        <v/>
      </c>
      <c r="V50">
        <f>HYPERLINK("https://klasma.github.io/Logging_2303/klagomål/A 59107-2025 FSC-klagomål.docx", "A 59107-2025")</f>
        <v/>
      </c>
      <c r="W50">
        <f>HYPERLINK("https://klasma.github.io/Logging_2303/klagomålsmail/A 59107-2025 FSC-klagomål mail.docx", "A 59107-2025")</f>
        <v/>
      </c>
      <c r="X50">
        <f>HYPERLINK("https://klasma.github.io/Logging_2303/tillsyn/A 59107-2025 tillsynsbegäran.docx", "A 59107-2025")</f>
        <v/>
      </c>
      <c r="Y50">
        <f>HYPERLINK("https://klasma.github.io/Logging_2303/tillsynsmail/A 59107-2025 tillsynsbegäran mail.docx", "A 59107-2025")</f>
        <v/>
      </c>
      <c r="Z50">
        <f>HYPERLINK("https://klasma.github.io/Logging_2303/fåglar/A 59107-2025 prioriterade fågelarter.docx", "A 59107-2025")</f>
        <v/>
      </c>
    </row>
    <row r="51" ht="15" customHeight="1">
      <c r="A51" t="inlineStr">
        <is>
          <t>A 60129-2025</t>
        </is>
      </c>
      <c r="B51" s="1" t="n">
        <v>45994.34461805555</v>
      </c>
      <c r="C51" s="1" t="n">
        <v>46051</v>
      </c>
      <c r="D51" t="inlineStr">
        <is>
          <t>JÄMTLANDS LÄN</t>
        </is>
      </c>
      <c r="E51" t="inlineStr">
        <is>
          <t>RAGUNDA</t>
        </is>
      </c>
      <c r="G51" t="n">
        <v>5.9</v>
      </c>
      <c r="H51" t="n">
        <v>2</v>
      </c>
      <c r="I51" t="n">
        <v>4</v>
      </c>
      <c r="J51" t="n">
        <v>3</v>
      </c>
      <c r="K51" t="n">
        <v>0</v>
      </c>
      <c r="L51" t="n">
        <v>0</v>
      </c>
      <c r="M51" t="n">
        <v>0</v>
      </c>
      <c r="N51" t="n">
        <v>0</v>
      </c>
      <c r="O51" t="n">
        <v>3</v>
      </c>
      <c r="P51" t="n">
        <v>0</v>
      </c>
      <c r="Q51" t="n">
        <v>8</v>
      </c>
      <c r="R51" s="2" t="inlineStr">
        <is>
          <t>Garnlav
Lunglav
Spillkråka
Luddlav
Skinnlav
Stor aspticka
Stuplav
Revlummer</t>
        </is>
      </c>
      <c r="S51">
        <f>HYPERLINK("https://klasma.github.io/Logging_2303/artfynd/A 60129-2025 artfynd.xlsx", "A 60129-2025")</f>
        <v/>
      </c>
      <c r="T51">
        <f>HYPERLINK("https://klasma.github.io/Logging_2303/kartor/A 60129-2025 karta.png", "A 60129-2025")</f>
        <v/>
      </c>
      <c r="V51">
        <f>HYPERLINK("https://klasma.github.io/Logging_2303/klagomål/A 60129-2025 FSC-klagomål.docx", "A 60129-2025")</f>
        <v/>
      </c>
      <c r="W51">
        <f>HYPERLINK("https://klasma.github.io/Logging_2303/klagomålsmail/A 60129-2025 FSC-klagomål mail.docx", "A 60129-2025")</f>
        <v/>
      </c>
      <c r="X51">
        <f>HYPERLINK("https://klasma.github.io/Logging_2303/tillsyn/A 60129-2025 tillsynsbegäran.docx", "A 60129-2025")</f>
        <v/>
      </c>
      <c r="Y51">
        <f>HYPERLINK("https://klasma.github.io/Logging_2303/tillsynsmail/A 60129-2025 tillsynsbegäran mail.docx", "A 60129-2025")</f>
        <v/>
      </c>
      <c r="Z51">
        <f>HYPERLINK("https://klasma.github.io/Logging_2303/fåglar/A 60129-2025 prioriterade fågelarter.docx", "A 60129-2025")</f>
        <v/>
      </c>
    </row>
    <row r="52" ht="15" customHeight="1">
      <c r="A52" t="inlineStr">
        <is>
          <t>A 32475-2023</t>
        </is>
      </c>
      <c r="B52" s="1" t="n">
        <v>45120</v>
      </c>
      <c r="C52" s="1" t="n">
        <v>46051</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62738-2025</t>
        </is>
      </c>
      <c r="B53" s="1" t="n">
        <v>46008.57341435185</v>
      </c>
      <c r="C53" s="1" t="n">
        <v>46051</v>
      </c>
      <c r="D53" t="inlineStr">
        <is>
          <t>JÄMTLANDS LÄN</t>
        </is>
      </c>
      <c r="E53" t="inlineStr">
        <is>
          <t>RAGUNDA</t>
        </is>
      </c>
      <c r="F53" t="inlineStr">
        <is>
          <t>SCA</t>
        </is>
      </c>
      <c r="G53" t="n">
        <v>2.2</v>
      </c>
      <c r="H53" t="n">
        <v>1</v>
      </c>
      <c r="I53" t="n">
        <v>3</v>
      </c>
      <c r="J53" t="n">
        <v>4</v>
      </c>
      <c r="K53" t="n">
        <v>1</v>
      </c>
      <c r="L53" t="n">
        <v>0</v>
      </c>
      <c r="M53" t="n">
        <v>0</v>
      </c>
      <c r="N53" t="n">
        <v>0</v>
      </c>
      <c r="O53" t="n">
        <v>5</v>
      </c>
      <c r="P53" t="n">
        <v>1</v>
      </c>
      <c r="Q53" t="n">
        <v>8</v>
      </c>
      <c r="R53" s="2" t="inlineStr">
        <is>
          <t>Knärot
Garnlav
Ullticka
Vedflamlav
Vedtrappmossa
Dropptaggsvamp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24732-2025</t>
        </is>
      </c>
      <c r="B54" s="1" t="n">
        <v>45799.34421296296</v>
      </c>
      <c r="C54" s="1" t="n">
        <v>46051</v>
      </c>
      <c r="D54" t="inlineStr">
        <is>
          <t>JÄMTLANDS LÄN</t>
        </is>
      </c>
      <c r="E54" t="inlineStr">
        <is>
          <t>RAGUNDA</t>
        </is>
      </c>
      <c r="F54" t="inlineStr">
        <is>
          <t>SCA</t>
        </is>
      </c>
      <c r="G54" t="n">
        <v>16.2</v>
      </c>
      <c r="H54" t="n">
        <v>1</v>
      </c>
      <c r="I54" t="n">
        <v>3</v>
      </c>
      <c r="J54" t="n">
        <v>4</v>
      </c>
      <c r="K54" t="n">
        <v>1</v>
      </c>
      <c r="L54" t="n">
        <v>0</v>
      </c>
      <c r="M54" t="n">
        <v>0</v>
      </c>
      <c r="N54" t="n">
        <v>0</v>
      </c>
      <c r="O54" t="n">
        <v>5</v>
      </c>
      <c r="P54" t="n">
        <v>1</v>
      </c>
      <c r="Q54" t="n">
        <v>8</v>
      </c>
      <c r="R54" s="2" t="inlineStr">
        <is>
          <t>Knärot
Gammelgransskål
Garnlav
Lunglav
Vitgrynig nållav
Bollvitmossa
Skarp dropptaggsvamp
Svavelriska</t>
        </is>
      </c>
      <c r="S54">
        <f>HYPERLINK("https://klasma.github.io/Logging_2303/artfynd/A 24732-2025 artfynd.xlsx", "A 24732-2025")</f>
        <v/>
      </c>
      <c r="T54">
        <f>HYPERLINK("https://klasma.github.io/Logging_2303/kartor/A 24732-2025 karta.png", "A 24732-2025")</f>
        <v/>
      </c>
      <c r="U54">
        <f>HYPERLINK("https://klasma.github.io/Logging_2303/knärot/A 24732-2025 karta knärot.png", "A 24732-2025")</f>
        <v/>
      </c>
      <c r="V54">
        <f>HYPERLINK("https://klasma.github.io/Logging_2303/klagomål/A 24732-2025 FSC-klagomål.docx", "A 24732-2025")</f>
        <v/>
      </c>
      <c r="W54">
        <f>HYPERLINK("https://klasma.github.io/Logging_2303/klagomålsmail/A 24732-2025 FSC-klagomål mail.docx", "A 24732-2025")</f>
        <v/>
      </c>
      <c r="X54">
        <f>HYPERLINK("https://klasma.github.io/Logging_2303/tillsyn/A 24732-2025 tillsynsbegäran.docx", "A 24732-2025")</f>
        <v/>
      </c>
      <c r="Y54">
        <f>HYPERLINK("https://klasma.github.io/Logging_2303/tillsynsmail/A 24732-2025 tillsynsbegäran mail.docx", "A 24732-2025")</f>
        <v/>
      </c>
    </row>
    <row r="55" ht="15" customHeight="1">
      <c r="A55" t="inlineStr">
        <is>
          <t>A 15665-2022</t>
        </is>
      </c>
      <c r="B55" s="1" t="n">
        <v>44662</v>
      </c>
      <c r="C55" s="1" t="n">
        <v>46051</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46051</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46051</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19399-2025</t>
        </is>
      </c>
      <c r="B58" s="1" t="n">
        <v>45769.67740740741</v>
      </c>
      <c r="C58" s="1" t="n">
        <v>46051</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46051</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46051</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33806-2023</t>
        </is>
      </c>
      <c r="B61" s="1" t="n">
        <v>45121</v>
      </c>
      <c r="C61" s="1" t="n">
        <v>46051</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46051</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46051</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46051</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46051</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46051</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46051</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27322-2024</t>
        </is>
      </c>
      <c r="B68" s="1" t="n">
        <v>45471.94783564815</v>
      </c>
      <c r="C68" s="1" t="n">
        <v>46051</v>
      </c>
      <c r="D68" t="inlineStr">
        <is>
          <t>JÄMTLANDS LÄN</t>
        </is>
      </c>
      <c r="E68" t="inlineStr">
        <is>
          <t>RAGUNDA</t>
        </is>
      </c>
      <c r="G68" t="n">
        <v>2.3</v>
      </c>
      <c r="H68" t="n">
        <v>1</v>
      </c>
      <c r="I68" t="n">
        <v>0</v>
      </c>
      <c r="J68" t="n">
        <v>5</v>
      </c>
      <c r="K68" t="n">
        <v>1</v>
      </c>
      <c r="L68" t="n">
        <v>0</v>
      </c>
      <c r="M68" t="n">
        <v>0</v>
      </c>
      <c r="N68" t="n">
        <v>0</v>
      </c>
      <c r="O68" t="n">
        <v>6</v>
      </c>
      <c r="P68" t="n">
        <v>1</v>
      </c>
      <c r="Q68" t="n">
        <v>6</v>
      </c>
      <c r="R68" s="2" t="inlineStr">
        <is>
          <t>Knärot
Gammelgransskål
Garnlav
Lunglav
Skrovellav
Vedtrappmossa</t>
        </is>
      </c>
      <c r="S68">
        <f>HYPERLINK("https://klasma.github.io/Logging_2303/artfynd/A 27322-2024 artfynd.xlsx", "A 27322-2024")</f>
        <v/>
      </c>
      <c r="T68">
        <f>HYPERLINK("https://klasma.github.io/Logging_2303/kartor/A 27322-2024 karta.png", "A 27322-2024")</f>
        <v/>
      </c>
      <c r="U68">
        <f>HYPERLINK("https://klasma.github.io/Logging_2303/knärot/A 27322-2024 karta knärot.png", "A 27322-2024")</f>
        <v/>
      </c>
      <c r="V68">
        <f>HYPERLINK("https://klasma.github.io/Logging_2303/klagomål/A 27322-2024 FSC-klagomål.docx", "A 27322-2024")</f>
        <v/>
      </c>
      <c r="W68">
        <f>HYPERLINK("https://klasma.github.io/Logging_2303/klagomålsmail/A 27322-2024 FSC-klagomål mail.docx", "A 27322-2024")</f>
        <v/>
      </c>
      <c r="X68">
        <f>HYPERLINK("https://klasma.github.io/Logging_2303/tillsyn/A 27322-2024 tillsynsbegäran.docx", "A 27322-2024")</f>
        <v/>
      </c>
      <c r="Y68">
        <f>HYPERLINK("https://klasma.github.io/Logging_2303/tillsynsmail/A 27322-2024 tillsynsbegäran mail.docx", "A 27322-2024")</f>
        <v/>
      </c>
    </row>
    <row r="69" ht="15" customHeight="1">
      <c r="A69" t="inlineStr">
        <is>
          <t>A 53021-2022</t>
        </is>
      </c>
      <c r="B69" s="1" t="n">
        <v>44875</v>
      </c>
      <c r="C69" s="1" t="n">
        <v>46051</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39973-2025</t>
        </is>
      </c>
      <c r="B70" s="1" t="n">
        <v>45893.38584490741</v>
      </c>
      <c r="C70" s="1" t="n">
        <v>46051</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30884-2025</t>
        </is>
      </c>
      <c r="B71" s="1" t="n">
        <v>45832.34564814815</v>
      </c>
      <c r="C71" s="1" t="n">
        <v>46051</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19402-2025</t>
        </is>
      </c>
      <c r="B72" s="1" t="n">
        <v>45769.67778935185</v>
      </c>
      <c r="C72" s="1" t="n">
        <v>46051</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36276-2025</t>
        </is>
      </c>
      <c r="B73" s="1" t="n">
        <v>45867.63619212963</v>
      </c>
      <c r="C73" s="1" t="n">
        <v>46051</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49291-2025</t>
        </is>
      </c>
      <c r="B74" s="1" t="n">
        <v>45938.53188657408</v>
      </c>
      <c r="C74" s="1" t="n">
        <v>46051</v>
      </c>
      <c r="D74" t="inlineStr">
        <is>
          <t>JÄMTLANDS LÄN</t>
        </is>
      </c>
      <c r="E74" t="inlineStr">
        <is>
          <t>RAGUNDA</t>
        </is>
      </c>
      <c r="F74" t="inlineStr">
        <is>
          <t>SCA</t>
        </is>
      </c>
      <c r="G74" t="n">
        <v>4.2</v>
      </c>
      <c r="H74" t="n">
        <v>1</v>
      </c>
      <c r="I74" t="n">
        <v>3</v>
      </c>
      <c r="J74" t="n">
        <v>2</v>
      </c>
      <c r="K74" t="n">
        <v>0</v>
      </c>
      <c r="L74" t="n">
        <v>0</v>
      </c>
      <c r="M74" t="n">
        <v>0</v>
      </c>
      <c r="N74" t="n">
        <v>0</v>
      </c>
      <c r="O74" t="n">
        <v>2</v>
      </c>
      <c r="P74" t="n">
        <v>0</v>
      </c>
      <c r="Q74" t="n">
        <v>6</v>
      </c>
      <c r="R74" s="2" t="inlineStr">
        <is>
          <t>Kolflarnlav
Lunglav
Korallblylav
Skinnlav
Vårärt
Blåsippa</t>
        </is>
      </c>
      <c r="S74">
        <f>HYPERLINK("https://klasma.github.io/Logging_2303/artfynd/A 49291-2025 artfynd.xlsx", "A 49291-2025")</f>
        <v/>
      </c>
      <c r="T74">
        <f>HYPERLINK("https://klasma.github.io/Logging_2303/kartor/A 49291-2025 karta.png", "A 49291-2025")</f>
        <v/>
      </c>
      <c r="V74">
        <f>HYPERLINK("https://klasma.github.io/Logging_2303/klagomål/A 49291-2025 FSC-klagomål.docx", "A 49291-2025")</f>
        <v/>
      </c>
      <c r="W74">
        <f>HYPERLINK("https://klasma.github.io/Logging_2303/klagomålsmail/A 49291-2025 FSC-klagomål mail.docx", "A 49291-2025")</f>
        <v/>
      </c>
      <c r="X74">
        <f>HYPERLINK("https://klasma.github.io/Logging_2303/tillsyn/A 49291-2025 tillsynsbegäran.docx", "A 49291-2025")</f>
        <v/>
      </c>
      <c r="Y74">
        <f>HYPERLINK("https://klasma.github.io/Logging_2303/tillsynsmail/A 49291-2025 tillsynsbegäran mail.docx", "A 49291-2025")</f>
        <v/>
      </c>
    </row>
    <row r="75" ht="15" customHeight="1">
      <c r="A75" t="inlineStr">
        <is>
          <t>A 11828-2023</t>
        </is>
      </c>
      <c r="B75" s="1" t="n">
        <v>44994</v>
      </c>
      <c r="C75" s="1" t="n">
        <v>46051</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26326-2024</t>
        </is>
      </c>
      <c r="B76" s="1" t="n">
        <v>45468.97528935185</v>
      </c>
      <c r="C76" s="1" t="n">
        <v>46051</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24431-2024</t>
        </is>
      </c>
      <c r="B77" s="1" t="n">
        <v>45457</v>
      </c>
      <c r="C77" s="1" t="n">
        <v>46051</v>
      </c>
      <c r="D77" t="inlineStr">
        <is>
          <t>JÄMTLANDS LÄN</t>
        </is>
      </c>
      <c r="E77" t="inlineStr">
        <is>
          <t>RAGUNDA</t>
        </is>
      </c>
      <c r="F77" t="inlineStr">
        <is>
          <t>SCA</t>
        </is>
      </c>
      <c r="G77" t="n">
        <v>3.6</v>
      </c>
      <c r="H77" t="n">
        <v>1</v>
      </c>
      <c r="I77" t="n">
        <v>0</v>
      </c>
      <c r="J77" t="n">
        <v>6</v>
      </c>
      <c r="K77" t="n">
        <v>0</v>
      </c>
      <c r="L77" t="n">
        <v>0</v>
      </c>
      <c r="M77" t="n">
        <v>0</v>
      </c>
      <c r="N77" t="n">
        <v>0</v>
      </c>
      <c r="O77" t="n">
        <v>6</v>
      </c>
      <c r="P77" t="n">
        <v>0</v>
      </c>
      <c r="Q77" t="n">
        <v>6</v>
      </c>
      <c r="R77" s="2" t="inlineStr">
        <is>
          <t>Doftskinn
Gammelgransskål
Rosenticka
Tretåig hackspett
Ullticka
Vitgrynig nållav</t>
        </is>
      </c>
      <c r="S77">
        <f>HYPERLINK("https://klasma.github.io/Logging_2303/artfynd/A 24431-2024 artfynd.xlsx", "A 24431-2024")</f>
        <v/>
      </c>
      <c r="T77">
        <f>HYPERLINK("https://klasma.github.io/Logging_2303/kartor/A 24431-2024 karta.png", "A 24431-2024")</f>
        <v/>
      </c>
      <c r="V77">
        <f>HYPERLINK("https://klasma.github.io/Logging_2303/klagomål/A 24431-2024 FSC-klagomål.docx", "A 24431-2024")</f>
        <v/>
      </c>
      <c r="W77">
        <f>HYPERLINK("https://klasma.github.io/Logging_2303/klagomålsmail/A 24431-2024 FSC-klagomål mail.docx", "A 24431-2024")</f>
        <v/>
      </c>
      <c r="X77">
        <f>HYPERLINK("https://klasma.github.io/Logging_2303/tillsyn/A 24431-2024 tillsynsbegäran.docx", "A 24431-2024")</f>
        <v/>
      </c>
      <c r="Y77">
        <f>HYPERLINK("https://klasma.github.io/Logging_2303/tillsynsmail/A 24431-2024 tillsynsbegäran mail.docx", "A 24431-2024")</f>
        <v/>
      </c>
      <c r="Z77">
        <f>HYPERLINK("https://klasma.github.io/Logging_2303/fåglar/A 24431-2024 prioriterade fågelarter.docx", "A 24431-2024")</f>
        <v/>
      </c>
    </row>
    <row r="78" ht="15" customHeight="1">
      <c r="A78" t="inlineStr">
        <is>
          <t>A 2193-2026</t>
        </is>
      </c>
      <c r="B78" s="1" t="n">
        <v>46036.46946759259</v>
      </c>
      <c r="C78" s="1" t="n">
        <v>46051</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55646-2023</t>
        </is>
      </c>
      <c r="B79" s="1" t="n">
        <v>45238</v>
      </c>
      <c r="C79" s="1" t="n">
        <v>46051</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34317-2025</t>
        </is>
      </c>
      <c r="B80" s="1" t="n">
        <v>45846.41361111111</v>
      </c>
      <c r="C80" s="1" t="n">
        <v>46051</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30637-2024</t>
        </is>
      </c>
      <c r="B81" s="1" t="n">
        <v>45495.56244212963</v>
      </c>
      <c r="C81" s="1" t="n">
        <v>46051</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47115-2025</t>
        </is>
      </c>
      <c r="B82" s="1" t="n">
        <v>45929</v>
      </c>
      <c r="C82" s="1" t="n">
        <v>46051</v>
      </c>
      <c r="D82" t="inlineStr">
        <is>
          <t>JÄMTLANDS LÄN</t>
        </is>
      </c>
      <c r="E82" t="inlineStr">
        <is>
          <t>RAGUNDA</t>
        </is>
      </c>
      <c r="G82" t="n">
        <v>6.4</v>
      </c>
      <c r="H82" t="n">
        <v>4</v>
      </c>
      <c r="I82" t="n">
        <v>0</v>
      </c>
      <c r="J82" t="n">
        <v>3</v>
      </c>
      <c r="K82" t="n">
        <v>2</v>
      </c>
      <c r="L82" t="n">
        <v>0</v>
      </c>
      <c r="M82" t="n">
        <v>0</v>
      </c>
      <c r="N82" t="n">
        <v>0</v>
      </c>
      <c r="O82" t="n">
        <v>5</v>
      </c>
      <c r="P82" t="n">
        <v>2</v>
      </c>
      <c r="Q82" t="n">
        <v>6</v>
      </c>
      <c r="R82" s="2" t="inlineStr">
        <is>
          <t>Doftticka
Knärot
Garnlav
Lunglav
Tretåig hackspett
Lavskrika</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933-2023</t>
        </is>
      </c>
      <c r="B83" s="1" t="n">
        <v>44932</v>
      </c>
      <c r="C83" s="1" t="n">
        <v>46051</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46051</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46051</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46051</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46051</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30886-2025</t>
        </is>
      </c>
      <c r="B88" s="1" t="n">
        <v>45832.34578703704</v>
      </c>
      <c r="C88" s="1" t="n">
        <v>46051</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35344-2025</t>
        </is>
      </c>
      <c r="B89" s="1" t="n">
        <v>45854.61494212963</v>
      </c>
      <c r="C89" s="1" t="n">
        <v>46051</v>
      </c>
      <c r="D89" t="inlineStr">
        <is>
          <t>JÄMTLANDS LÄN</t>
        </is>
      </c>
      <c r="E89" t="inlineStr">
        <is>
          <t>RAGUNDA</t>
        </is>
      </c>
      <c r="F89" t="inlineStr">
        <is>
          <t>SCA</t>
        </is>
      </c>
      <c r="G89" t="n">
        <v>6.1</v>
      </c>
      <c r="H89" t="n">
        <v>0</v>
      </c>
      <c r="I89" t="n">
        <v>0</v>
      </c>
      <c r="J89" t="n">
        <v>5</v>
      </c>
      <c r="K89" t="n">
        <v>0</v>
      </c>
      <c r="L89" t="n">
        <v>0</v>
      </c>
      <c r="M89" t="n">
        <v>0</v>
      </c>
      <c r="N89" t="n">
        <v>0</v>
      </c>
      <c r="O89" t="n">
        <v>5</v>
      </c>
      <c r="P89" t="n">
        <v>0</v>
      </c>
      <c r="Q89" t="n">
        <v>5</v>
      </c>
      <c r="R89" s="2" t="inlineStr">
        <is>
          <t>Blå taggsvamp
Garnlav
Lunglav
Svart taggsvamp
Vedtrappmossa</t>
        </is>
      </c>
      <c r="S89">
        <f>HYPERLINK("https://klasma.github.io/Logging_2303/artfynd/A 35344-2025 artfynd.xlsx", "A 35344-2025")</f>
        <v/>
      </c>
      <c r="T89">
        <f>HYPERLINK("https://klasma.github.io/Logging_2303/kartor/A 35344-2025 karta.png", "A 35344-2025")</f>
        <v/>
      </c>
      <c r="V89">
        <f>HYPERLINK("https://klasma.github.io/Logging_2303/klagomål/A 35344-2025 FSC-klagomål.docx", "A 35344-2025")</f>
        <v/>
      </c>
      <c r="W89">
        <f>HYPERLINK("https://klasma.github.io/Logging_2303/klagomålsmail/A 35344-2025 FSC-klagomål mail.docx", "A 35344-2025")</f>
        <v/>
      </c>
      <c r="X89">
        <f>HYPERLINK("https://klasma.github.io/Logging_2303/tillsyn/A 35344-2025 tillsynsbegäran.docx", "A 35344-2025")</f>
        <v/>
      </c>
      <c r="Y89">
        <f>HYPERLINK("https://klasma.github.io/Logging_2303/tillsynsmail/A 35344-2025 tillsynsbegäran mail.docx", "A 35344-2025")</f>
        <v/>
      </c>
    </row>
    <row r="90" ht="15" customHeight="1">
      <c r="A90" t="inlineStr">
        <is>
          <t>A 2579-2025</t>
        </is>
      </c>
      <c r="B90" s="1" t="n">
        <v>45674.67744212963</v>
      </c>
      <c r="C90" s="1" t="n">
        <v>46051</v>
      </c>
      <c r="D90" t="inlineStr">
        <is>
          <t>JÄMTLANDS LÄN</t>
        </is>
      </c>
      <c r="E90" t="inlineStr">
        <is>
          <t>RAGUNDA</t>
        </is>
      </c>
      <c r="F90" t="inlineStr">
        <is>
          <t>SCA</t>
        </is>
      </c>
      <c r="G90" t="n">
        <v>5.5</v>
      </c>
      <c r="H90" t="n">
        <v>3</v>
      </c>
      <c r="I90" t="n">
        <v>0</v>
      </c>
      <c r="J90" t="n">
        <v>4</v>
      </c>
      <c r="K90" t="n">
        <v>0</v>
      </c>
      <c r="L90" t="n">
        <v>0</v>
      </c>
      <c r="M90" t="n">
        <v>0</v>
      </c>
      <c r="N90" t="n">
        <v>0</v>
      </c>
      <c r="O90" t="n">
        <v>4</v>
      </c>
      <c r="P90" t="n">
        <v>0</v>
      </c>
      <c r="Q90" t="n">
        <v>5</v>
      </c>
      <c r="R90" s="2" t="inlineStr">
        <is>
          <t>Granticka
Rosenticka
Rördrom
Spillkråka
Revlummer</t>
        </is>
      </c>
      <c r="S90">
        <f>HYPERLINK("https://klasma.github.io/Logging_2303/artfynd/A 2579-2025 artfynd.xlsx", "A 2579-2025")</f>
        <v/>
      </c>
      <c r="T90">
        <f>HYPERLINK("https://klasma.github.io/Logging_2303/kartor/A 2579-2025 karta.png", "A 2579-2025")</f>
        <v/>
      </c>
      <c r="V90">
        <f>HYPERLINK("https://klasma.github.io/Logging_2303/klagomål/A 2579-2025 FSC-klagomål.docx", "A 2579-2025")</f>
        <v/>
      </c>
      <c r="W90">
        <f>HYPERLINK("https://klasma.github.io/Logging_2303/klagomålsmail/A 2579-2025 FSC-klagomål mail.docx", "A 2579-2025")</f>
        <v/>
      </c>
      <c r="X90">
        <f>HYPERLINK("https://klasma.github.io/Logging_2303/tillsyn/A 2579-2025 tillsynsbegäran.docx", "A 2579-2025")</f>
        <v/>
      </c>
      <c r="Y90">
        <f>HYPERLINK("https://klasma.github.io/Logging_2303/tillsynsmail/A 2579-2025 tillsynsbegäran mail.docx", "A 2579-2025")</f>
        <v/>
      </c>
      <c r="Z90">
        <f>HYPERLINK("https://klasma.github.io/Logging_2303/fåglar/A 2579-2025 prioriterade fågelarter.docx", "A 2579-2025")</f>
        <v/>
      </c>
    </row>
    <row r="91" ht="15" customHeight="1">
      <c r="A91" t="inlineStr">
        <is>
          <t>A 18629-2024</t>
        </is>
      </c>
      <c r="B91" s="1" t="n">
        <v>45425.96472222222</v>
      </c>
      <c r="C91" s="1" t="n">
        <v>46051</v>
      </c>
      <c r="D91" t="inlineStr">
        <is>
          <t>JÄMTLANDS LÄN</t>
        </is>
      </c>
      <c r="E91" t="inlineStr">
        <is>
          <t>RAGUNDA</t>
        </is>
      </c>
      <c r="F91" t="inlineStr">
        <is>
          <t>SCA</t>
        </is>
      </c>
      <c r="G91" t="n">
        <v>1.6</v>
      </c>
      <c r="H91" t="n">
        <v>2</v>
      </c>
      <c r="I91" t="n">
        <v>1</v>
      </c>
      <c r="J91" t="n">
        <v>3</v>
      </c>
      <c r="K91" t="n">
        <v>0</v>
      </c>
      <c r="L91" t="n">
        <v>0</v>
      </c>
      <c r="M91" t="n">
        <v>0</v>
      </c>
      <c r="N91" t="n">
        <v>0</v>
      </c>
      <c r="O91" t="n">
        <v>3</v>
      </c>
      <c r="P91" t="n">
        <v>0</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43106-2023</t>
        </is>
      </c>
      <c r="B92" s="1" t="n">
        <v>45182</v>
      </c>
      <c r="C92" s="1" t="n">
        <v>46051</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27313-2024</t>
        </is>
      </c>
      <c r="B93" s="1" t="n">
        <v>45471.94623842592</v>
      </c>
      <c r="C93" s="1" t="n">
        <v>46051</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60683-2022</t>
        </is>
      </c>
      <c r="B94" s="1" t="n">
        <v>44911</v>
      </c>
      <c r="C94" s="1" t="n">
        <v>46051</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46051</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57073-2023</t>
        </is>
      </c>
      <c r="B96" s="1" t="n">
        <v>45244</v>
      </c>
      <c r="C96" s="1" t="n">
        <v>46051</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13266-2023</t>
        </is>
      </c>
      <c r="B97" s="1" t="n">
        <v>45002.94356481481</v>
      </c>
      <c r="C97" s="1" t="n">
        <v>46051</v>
      </c>
      <c r="D97" t="inlineStr">
        <is>
          <t>JÄMTLANDS LÄN</t>
        </is>
      </c>
      <c r="E97" t="inlineStr">
        <is>
          <t>RAGUNDA</t>
        </is>
      </c>
      <c r="F97" t="inlineStr">
        <is>
          <t>SCA</t>
        </is>
      </c>
      <c r="G97" t="n">
        <v>4.1</v>
      </c>
      <c r="H97" t="n">
        <v>1</v>
      </c>
      <c r="I97" t="n">
        <v>0</v>
      </c>
      <c r="J97" t="n">
        <v>4</v>
      </c>
      <c r="K97" t="n">
        <v>0</v>
      </c>
      <c r="L97" t="n">
        <v>0</v>
      </c>
      <c r="M97" t="n">
        <v>0</v>
      </c>
      <c r="N97" t="n">
        <v>0</v>
      </c>
      <c r="O97" t="n">
        <v>4</v>
      </c>
      <c r="P97" t="n">
        <v>0</v>
      </c>
      <c r="Q97" t="n">
        <v>5</v>
      </c>
      <c r="R97" s="2" t="inlineStr">
        <is>
          <t>Gammelgransskål
Garnlav
Granticka
Lunglav
Revlummer</t>
        </is>
      </c>
      <c r="S97">
        <f>HYPERLINK("https://klasma.github.io/Logging_2303/artfynd/A 13266-2023 artfynd.xlsx", "A 13266-2023")</f>
        <v/>
      </c>
      <c r="T97">
        <f>HYPERLINK("https://klasma.github.io/Logging_2303/kartor/A 13266-2023 karta.png", "A 13266-2023")</f>
        <v/>
      </c>
      <c r="V97">
        <f>HYPERLINK("https://klasma.github.io/Logging_2303/klagomål/A 13266-2023 FSC-klagomål.docx", "A 13266-2023")</f>
        <v/>
      </c>
      <c r="W97">
        <f>HYPERLINK("https://klasma.github.io/Logging_2303/klagomålsmail/A 13266-2023 FSC-klagomål mail.docx", "A 13266-2023")</f>
        <v/>
      </c>
      <c r="X97">
        <f>HYPERLINK("https://klasma.github.io/Logging_2303/tillsyn/A 13266-2023 tillsynsbegäran.docx", "A 13266-2023")</f>
        <v/>
      </c>
      <c r="Y97">
        <f>HYPERLINK("https://klasma.github.io/Logging_2303/tillsynsmail/A 13266-2023 tillsynsbegäran mail.docx", "A 13266-2023")</f>
        <v/>
      </c>
    </row>
    <row r="98" ht="15" customHeight="1">
      <c r="A98" t="inlineStr">
        <is>
          <t>A 22469-2024</t>
        </is>
      </c>
      <c r="B98" s="1" t="n">
        <v>45446.95087962963</v>
      </c>
      <c r="C98" s="1" t="n">
        <v>46051</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45969-2023</t>
        </is>
      </c>
      <c r="B99" s="1" t="n">
        <v>45195</v>
      </c>
      <c r="C99" s="1" t="n">
        <v>46051</v>
      </c>
      <c r="D99" t="inlineStr">
        <is>
          <t>JÄMTLANDS LÄN</t>
        </is>
      </c>
      <c r="E99" t="inlineStr">
        <is>
          <t>RAGUNDA</t>
        </is>
      </c>
      <c r="F99" t="inlineStr">
        <is>
          <t>SCA</t>
        </is>
      </c>
      <c r="G99" t="n">
        <v>9.300000000000001</v>
      </c>
      <c r="H99" t="n">
        <v>1</v>
      </c>
      <c r="I99" t="n">
        <v>4</v>
      </c>
      <c r="J99" t="n">
        <v>1</v>
      </c>
      <c r="K99" t="n">
        <v>0</v>
      </c>
      <c r="L99" t="n">
        <v>0</v>
      </c>
      <c r="M99" t="n">
        <v>0</v>
      </c>
      <c r="N99" t="n">
        <v>0</v>
      </c>
      <c r="O99" t="n">
        <v>1</v>
      </c>
      <c r="P99" t="n">
        <v>0</v>
      </c>
      <c r="Q99" t="n">
        <v>5</v>
      </c>
      <c r="R99" s="2" t="inlineStr">
        <is>
          <t>Lunglav
Dropptaggsvamp
Grönpyrola
Plattlummer
Skarp dropptaggsvamp</t>
        </is>
      </c>
      <c r="S99">
        <f>HYPERLINK("https://klasma.github.io/Logging_2303/artfynd/A 45969-2023 artfynd.xlsx", "A 45969-2023")</f>
        <v/>
      </c>
      <c r="T99">
        <f>HYPERLINK("https://klasma.github.io/Logging_2303/kartor/A 45969-2023 karta.png", "A 45969-2023")</f>
        <v/>
      </c>
      <c r="V99">
        <f>HYPERLINK("https://klasma.github.io/Logging_2303/klagomål/A 45969-2023 FSC-klagomål.docx", "A 45969-2023")</f>
        <v/>
      </c>
      <c r="W99">
        <f>HYPERLINK("https://klasma.github.io/Logging_2303/klagomålsmail/A 45969-2023 FSC-klagomål mail.docx", "A 45969-2023")</f>
        <v/>
      </c>
      <c r="X99">
        <f>HYPERLINK("https://klasma.github.io/Logging_2303/tillsyn/A 45969-2023 tillsynsbegäran.docx", "A 45969-2023")</f>
        <v/>
      </c>
      <c r="Y99">
        <f>HYPERLINK("https://klasma.github.io/Logging_2303/tillsynsmail/A 45969-2023 tillsynsbegäran mail.docx", "A 45969-2023")</f>
        <v/>
      </c>
    </row>
    <row r="100" ht="15" customHeight="1">
      <c r="A100" t="inlineStr">
        <is>
          <t>A 12024-2022</t>
        </is>
      </c>
      <c r="B100" s="1" t="n">
        <v>44635</v>
      </c>
      <c r="C100" s="1" t="n">
        <v>46051</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46051</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46051</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46051</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46051</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46051</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32903-2024</t>
        </is>
      </c>
      <c r="B106" s="1" t="n">
        <v>45516.94723379629</v>
      </c>
      <c r="C106" s="1" t="n">
        <v>46051</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23931-2024</t>
        </is>
      </c>
      <c r="B107" s="1" t="n">
        <v>45455.96195601852</v>
      </c>
      <c r="C107" s="1" t="n">
        <v>46051</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26082-2025</t>
        </is>
      </c>
      <c r="B108" s="1" t="n">
        <v>45805.34415509259</v>
      </c>
      <c r="C108" s="1" t="n">
        <v>46051</v>
      </c>
      <c r="D108" t="inlineStr">
        <is>
          <t>JÄMTLANDS LÄN</t>
        </is>
      </c>
      <c r="E108" t="inlineStr">
        <is>
          <t>RAGUNDA</t>
        </is>
      </c>
      <c r="F108" t="inlineStr">
        <is>
          <t>SCA</t>
        </is>
      </c>
      <c r="G108" t="n">
        <v>5</v>
      </c>
      <c r="H108" t="n">
        <v>1</v>
      </c>
      <c r="I108" t="n">
        <v>0</v>
      </c>
      <c r="J108" t="n">
        <v>3</v>
      </c>
      <c r="K108" t="n">
        <v>1</v>
      </c>
      <c r="L108" t="n">
        <v>0</v>
      </c>
      <c r="M108" t="n">
        <v>0</v>
      </c>
      <c r="N108" t="n">
        <v>0</v>
      </c>
      <c r="O108" t="n">
        <v>4</v>
      </c>
      <c r="P108" t="n">
        <v>1</v>
      </c>
      <c r="Q108" t="n">
        <v>4</v>
      </c>
      <c r="R108" s="2" t="inlineStr">
        <is>
          <t>Knärot
Gammelgransskål
Lunglav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23682-2021</t>
        </is>
      </c>
      <c r="B109" s="1" t="n">
        <v>44334</v>
      </c>
      <c r="C109" s="1" t="n">
        <v>46051</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46051</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40653-2025</t>
        </is>
      </c>
      <c r="B111" s="1" t="n">
        <v>45896.63618055556</v>
      </c>
      <c r="C111" s="1" t="n">
        <v>46051</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32067-2024</t>
        </is>
      </c>
      <c r="B112" s="1" t="n">
        <v>45510</v>
      </c>
      <c r="C112" s="1" t="n">
        <v>46051</v>
      </c>
      <c r="D112" t="inlineStr">
        <is>
          <t>JÄMTLANDS LÄN</t>
        </is>
      </c>
      <c r="E112" t="inlineStr">
        <is>
          <t>RAGUNDA</t>
        </is>
      </c>
      <c r="F112" t="inlineStr">
        <is>
          <t>SCA</t>
        </is>
      </c>
      <c r="G112" t="n">
        <v>4.1</v>
      </c>
      <c r="H112" t="n">
        <v>0</v>
      </c>
      <c r="I112" t="n">
        <v>2</v>
      </c>
      <c r="J112" t="n">
        <v>2</v>
      </c>
      <c r="K112" t="n">
        <v>0</v>
      </c>
      <c r="L112" t="n">
        <v>0</v>
      </c>
      <c r="M112" t="n">
        <v>0</v>
      </c>
      <c r="N112" t="n">
        <v>0</v>
      </c>
      <c r="O112" t="n">
        <v>2</v>
      </c>
      <c r="P112" t="n">
        <v>0</v>
      </c>
      <c r="Q112" t="n">
        <v>4</v>
      </c>
      <c r="R112" s="2" t="inlineStr">
        <is>
          <t>Vedflikmossa
Vedtrappmossa
Stor aspticka
Vedticka</t>
        </is>
      </c>
      <c r="S112">
        <f>HYPERLINK("https://klasma.github.io/Logging_2303/artfynd/A 32067-2024 artfynd.xlsx", "A 32067-2024")</f>
        <v/>
      </c>
      <c r="T112">
        <f>HYPERLINK("https://klasma.github.io/Logging_2303/kartor/A 32067-2024 karta.png", "A 32067-2024")</f>
        <v/>
      </c>
      <c r="U112">
        <f>HYPERLINK("https://klasma.github.io/Logging_2303/knärot/A 32067-2024 karta knärot.png", "A 32067-2024")</f>
        <v/>
      </c>
      <c r="V112">
        <f>HYPERLINK("https://klasma.github.io/Logging_2303/klagomål/A 32067-2024 FSC-klagomål.docx", "A 32067-2024")</f>
        <v/>
      </c>
      <c r="W112">
        <f>HYPERLINK("https://klasma.github.io/Logging_2303/klagomålsmail/A 32067-2024 FSC-klagomål mail.docx", "A 32067-2024")</f>
        <v/>
      </c>
      <c r="X112">
        <f>HYPERLINK("https://klasma.github.io/Logging_2303/tillsyn/A 32067-2024 tillsynsbegäran.docx", "A 32067-2024")</f>
        <v/>
      </c>
      <c r="Y112">
        <f>HYPERLINK("https://klasma.github.io/Logging_2303/tillsynsmail/A 32067-2024 tillsynsbegäran mail.docx", "A 32067-2024")</f>
        <v/>
      </c>
    </row>
    <row r="113" ht="15" customHeight="1">
      <c r="A113" t="inlineStr">
        <is>
          <t>A 15836-2024</t>
        </is>
      </c>
      <c r="B113" s="1" t="n">
        <v>45404</v>
      </c>
      <c r="C113" s="1" t="n">
        <v>46051</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30465-2024</t>
        </is>
      </c>
      <c r="B114" s="1" t="n">
        <v>45491</v>
      </c>
      <c r="C114" s="1" t="n">
        <v>46051</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52168-2025</t>
        </is>
      </c>
      <c r="B115" s="1" t="n">
        <v>45953.365625</v>
      </c>
      <c r="C115" s="1" t="n">
        <v>46051</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50342-2025</t>
        </is>
      </c>
      <c r="B116" s="1" t="n">
        <v>45944.53186342592</v>
      </c>
      <c r="C116" s="1" t="n">
        <v>46051</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60670-2022</t>
        </is>
      </c>
      <c r="B117" s="1" t="n">
        <v>44911</v>
      </c>
      <c r="C117" s="1" t="n">
        <v>46051</v>
      </c>
      <c r="D117" t="inlineStr">
        <is>
          <t>JÄMTLANDS LÄN</t>
        </is>
      </c>
      <c r="E117" t="inlineStr">
        <is>
          <t>RAGUNDA</t>
        </is>
      </c>
      <c r="F117" t="inlineStr">
        <is>
          <t>SCA</t>
        </is>
      </c>
      <c r="G117" t="n">
        <v>5.1</v>
      </c>
      <c r="H117" t="n">
        <v>0</v>
      </c>
      <c r="I117" t="n">
        <v>0</v>
      </c>
      <c r="J117" t="n">
        <v>4</v>
      </c>
      <c r="K117" t="n">
        <v>0</v>
      </c>
      <c r="L117" t="n">
        <v>0</v>
      </c>
      <c r="M117" t="n">
        <v>0</v>
      </c>
      <c r="N117" t="n">
        <v>0</v>
      </c>
      <c r="O117" t="n">
        <v>4</v>
      </c>
      <c r="P117" t="n">
        <v>0</v>
      </c>
      <c r="Q117" t="n">
        <v>4</v>
      </c>
      <c r="R117" s="2" t="inlineStr">
        <is>
          <t>Doftskinn
Gammelgransskål
Lunglav
Ullticka</t>
        </is>
      </c>
      <c r="S117">
        <f>HYPERLINK("https://klasma.github.io/Logging_2303/artfynd/A 60670-2022 artfynd.xlsx", "A 60670-2022")</f>
        <v/>
      </c>
      <c r="T117">
        <f>HYPERLINK("https://klasma.github.io/Logging_2303/kartor/A 60670-2022 karta.png", "A 60670-2022")</f>
        <v/>
      </c>
      <c r="V117">
        <f>HYPERLINK("https://klasma.github.io/Logging_2303/klagomål/A 60670-2022 FSC-klagomål.docx", "A 60670-2022")</f>
        <v/>
      </c>
      <c r="W117">
        <f>HYPERLINK("https://klasma.github.io/Logging_2303/klagomålsmail/A 60670-2022 FSC-klagomål mail.docx", "A 60670-2022")</f>
        <v/>
      </c>
      <c r="X117">
        <f>HYPERLINK("https://klasma.github.io/Logging_2303/tillsyn/A 60670-2022 tillsynsbegäran.docx", "A 60670-2022")</f>
        <v/>
      </c>
      <c r="Y117">
        <f>HYPERLINK("https://klasma.github.io/Logging_2303/tillsynsmail/A 60670-2022 tillsynsbegäran mail.docx", "A 60670-2022")</f>
        <v/>
      </c>
    </row>
    <row r="118" ht="15" customHeight="1">
      <c r="A118" t="inlineStr">
        <is>
          <t>A 3809-2026</t>
        </is>
      </c>
      <c r="B118" s="1" t="n">
        <v>46043.58364583334</v>
      </c>
      <c r="C118" s="1" t="n">
        <v>46051</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52644-2024</t>
        </is>
      </c>
      <c r="B119" s="1" t="n">
        <v>45610.34415509259</v>
      </c>
      <c r="C119" s="1" t="n">
        <v>46051</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17092-2022</t>
        </is>
      </c>
      <c r="B120" s="1" t="n">
        <v>44677</v>
      </c>
      <c r="C120" s="1" t="n">
        <v>46051</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30483-2024</t>
        </is>
      </c>
      <c r="B121" s="1" t="n">
        <v>45491</v>
      </c>
      <c r="C121" s="1" t="n">
        <v>46051</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43960-2023</t>
        </is>
      </c>
      <c r="B122" s="1" t="n">
        <v>45187</v>
      </c>
      <c r="C122" s="1" t="n">
        <v>46051</v>
      </c>
      <c r="D122" t="inlineStr">
        <is>
          <t>JÄMTLANDS LÄN</t>
        </is>
      </c>
      <c r="E122" t="inlineStr">
        <is>
          <t>RAGUNDA</t>
        </is>
      </c>
      <c r="F122" t="inlineStr">
        <is>
          <t>SCA</t>
        </is>
      </c>
      <c r="G122" t="n">
        <v>5.5</v>
      </c>
      <c r="H122" t="n">
        <v>0</v>
      </c>
      <c r="I122" t="n">
        <v>1</v>
      </c>
      <c r="J122" t="n">
        <v>3</v>
      </c>
      <c r="K122" t="n">
        <v>0</v>
      </c>
      <c r="L122" t="n">
        <v>0</v>
      </c>
      <c r="M122" t="n">
        <v>0</v>
      </c>
      <c r="N122" t="n">
        <v>0</v>
      </c>
      <c r="O122" t="n">
        <v>3</v>
      </c>
      <c r="P122" t="n">
        <v>0</v>
      </c>
      <c r="Q122" t="n">
        <v>4</v>
      </c>
      <c r="R122" s="2" t="inlineStr">
        <is>
          <t>Granticka
Vedflikmossa
Vedtrappmossa
Vedticka</t>
        </is>
      </c>
      <c r="S122">
        <f>HYPERLINK("https://klasma.github.io/Logging_2303/artfynd/A 43960-2023 artfynd.xlsx", "A 43960-2023")</f>
        <v/>
      </c>
      <c r="T122">
        <f>HYPERLINK("https://klasma.github.io/Logging_2303/kartor/A 43960-2023 karta.png", "A 43960-2023")</f>
        <v/>
      </c>
      <c r="V122">
        <f>HYPERLINK("https://klasma.github.io/Logging_2303/klagomål/A 43960-2023 FSC-klagomål.docx", "A 43960-2023")</f>
        <v/>
      </c>
      <c r="W122">
        <f>HYPERLINK("https://klasma.github.io/Logging_2303/klagomålsmail/A 43960-2023 FSC-klagomål mail.docx", "A 43960-2023")</f>
        <v/>
      </c>
      <c r="X122">
        <f>HYPERLINK("https://klasma.github.io/Logging_2303/tillsyn/A 43960-2023 tillsynsbegäran.docx", "A 43960-2023")</f>
        <v/>
      </c>
      <c r="Y122">
        <f>HYPERLINK("https://klasma.github.io/Logging_2303/tillsynsmail/A 43960-2023 tillsynsbegäran mail.docx", "A 43960-2023")</f>
        <v/>
      </c>
    </row>
    <row r="123" ht="15" customHeight="1">
      <c r="A123" t="inlineStr">
        <is>
          <t>A 19401-2025</t>
        </is>
      </c>
      <c r="B123" s="1" t="n">
        <v>45769.67767361111</v>
      </c>
      <c r="C123" s="1" t="n">
        <v>46051</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21372-2025</t>
        </is>
      </c>
      <c r="B124" s="1" t="n">
        <v>45782.44871527778</v>
      </c>
      <c r="C124" s="1" t="n">
        <v>46051</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46051</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12268-2024</t>
        </is>
      </c>
      <c r="B126" s="1" t="n">
        <v>45378</v>
      </c>
      <c r="C126" s="1" t="n">
        <v>46051</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48052-2022</t>
        </is>
      </c>
      <c r="B127" s="1" t="n">
        <v>44855</v>
      </c>
      <c r="C127" s="1" t="n">
        <v>46051</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46051</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46051</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46051</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61790-2023</t>
        </is>
      </c>
      <c r="B131" s="1" t="n">
        <v>45265</v>
      </c>
      <c r="C131" s="1" t="n">
        <v>46051</v>
      </c>
      <c r="D131" t="inlineStr">
        <is>
          <t>JÄMTLANDS LÄN</t>
        </is>
      </c>
      <c r="E131" t="inlineStr">
        <is>
          <t>RAGUNDA</t>
        </is>
      </c>
      <c r="F131" t="inlineStr">
        <is>
          <t>SCA</t>
        </is>
      </c>
      <c r="G131" t="n">
        <v>6.1</v>
      </c>
      <c r="H131" t="n">
        <v>0</v>
      </c>
      <c r="I131" t="n">
        <v>0</v>
      </c>
      <c r="J131" t="n">
        <v>3</v>
      </c>
      <c r="K131" t="n">
        <v>0</v>
      </c>
      <c r="L131" t="n">
        <v>0</v>
      </c>
      <c r="M131" t="n">
        <v>0</v>
      </c>
      <c r="N131" t="n">
        <v>0</v>
      </c>
      <c r="O131" t="n">
        <v>3</v>
      </c>
      <c r="P131" t="n">
        <v>0</v>
      </c>
      <c r="Q131" t="n">
        <v>3</v>
      </c>
      <c r="R131" s="2" t="inlineStr">
        <is>
          <t>Gammelgransskål
Lunglav
Skrovellav</t>
        </is>
      </c>
      <c r="S131">
        <f>HYPERLINK("https://klasma.github.io/Logging_2303/artfynd/A 61790-2023 artfynd.xlsx", "A 61790-2023")</f>
        <v/>
      </c>
      <c r="T131">
        <f>HYPERLINK("https://klasma.github.io/Logging_2303/kartor/A 61790-2023 karta.png", "A 61790-2023")</f>
        <v/>
      </c>
      <c r="V131">
        <f>HYPERLINK("https://klasma.github.io/Logging_2303/klagomål/A 61790-2023 FSC-klagomål.docx", "A 61790-2023")</f>
        <v/>
      </c>
      <c r="W131">
        <f>HYPERLINK("https://klasma.github.io/Logging_2303/klagomålsmail/A 61790-2023 FSC-klagomål mail.docx", "A 61790-2023")</f>
        <v/>
      </c>
      <c r="X131">
        <f>HYPERLINK("https://klasma.github.io/Logging_2303/tillsyn/A 61790-2023 tillsynsbegäran.docx", "A 61790-2023")</f>
        <v/>
      </c>
      <c r="Y131">
        <f>HYPERLINK("https://klasma.github.io/Logging_2303/tillsynsmail/A 61790-2023 tillsynsbegäran mail.docx", "A 61790-2023")</f>
        <v/>
      </c>
    </row>
    <row r="132" ht="15" customHeight="1">
      <c r="A132" t="inlineStr">
        <is>
          <t>A 48054-2022</t>
        </is>
      </c>
      <c r="B132" s="1" t="n">
        <v>44855</v>
      </c>
      <c r="C132" s="1" t="n">
        <v>46051</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58737-2022</t>
        </is>
      </c>
      <c r="B133" s="1" t="n">
        <v>44902</v>
      </c>
      <c r="C133" s="1" t="n">
        <v>46051</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14814-2024</t>
        </is>
      </c>
      <c r="B134" s="1" t="n">
        <v>45397.95748842593</v>
      </c>
      <c r="C134" s="1" t="n">
        <v>46051</v>
      </c>
      <c r="D134" t="inlineStr">
        <is>
          <t>JÄMTLANDS LÄN</t>
        </is>
      </c>
      <c r="E134" t="inlineStr">
        <is>
          <t>RAGUNDA</t>
        </is>
      </c>
      <c r="F134" t="inlineStr">
        <is>
          <t>SCA</t>
        </is>
      </c>
      <c r="G134" t="n">
        <v>10.5</v>
      </c>
      <c r="H134" t="n">
        <v>0</v>
      </c>
      <c r="I134" t="n">
        <v>2</v>
      </c>
      <c r="J134" t="n">
        <v>1</v>
      </c>
      <c r="K134" t="n">
        <v>0</v>
      </c>
      <c r="L134" t="n">
        <v>0</v>
      </c>
      <c r="M134" t="n">
        <v>0</v>
      </c>
      <c r="N134" t="n">
        <v>0</v>
      </c>
      <c r="O134" t="n">
        <v>1</v>
      </c>
      <c r="P134" t="n">
        <v>0</v>
      </c>
      <c r="Q134" t="n">
        <v>3</v>
      </c>
      <c r="R134" s="2" t="inlineStr">
        <is>
          <t>Rosenticka
Svart trolldruva
Tibast</t>
        </is>
      </c>
      <c r="S134">
        <f>HYPERLINK("https://klasma.github.io/Logging_2303/artfynd/A 14814-2024 artfynd.xlsx", "A 14814-2024")</f>
        <v/>
      </c>
      <c r="T134">
        <f>HYPERLINK("https://klasma.github.io/Logging_2303/kartor/A 14814-2024 karta.png", "A 14814-2024")</f>
        <v/>
      </c>
      <c r="V134">
        <f>HYPERLINK("https://klasma.github.io/Logging_2303/klagomål/A 14814-2024 FSC-klagomål.docx", "A 14814-2024")</f>
        <v/>
      </c>
      <c r="W134">
        <f>HYPERLINK("https://klasma.github.io/Logging_2303/klagomålsmail/A 14814-2024 FSC-klagomål mail.docx", "A 14814-2024")</f>
        <v/>
      </c>
      <c r="X134">
        <f>HYPERLINK("https://klasma.github.io/Logging_2303/tillsyn/A 14814-2024 tillsynsbegäran.docx", "A 14814-2024")</f>
        <v/>
      </c>
      <c r="Y134">
        <f>HYPERLINK("https://klasma.github.io/Logging_2303/tillsynsmail/A 14814-2024 tillsynsbegäran mail.docx", "A 14814-2024")</f>
        <v/>
      </c>
    </row>
    <row r="135" ht="15" customHeight="1">
      <c r="A135" t="inlineStr">
        <is>
          <t>A 25769-2025</t>
        </is>
      </c>
      <c r="B135" s="1" t="n">
        <v>45804.34474537037</v>
      </c>
      <c r="C135" s="1" t="n">
        <v>46051</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20776-2024</t>
        </is>
      </c>
      <c r="B136" s="1" t="n">
        <v>45436.94686342592</v>
      </c>
      <c r="C136" s="1" t="n">
        <v>46051</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22571-2025</t>
        </is>
      </c>
      <c r="B137" s="1" t="n">
        <v>45789.36503472222</v>
      </c>
      <c r="C137" s="1" t="n">
        <v>46051</v>
      </c>
      <c r="D137" t="inlineStr">
        <is>
          <t>JÄMTLANDS LÄN</t>
        </is>
      </c>
      <c r="E137" t="inlineStr">
        <is>
          <t>RAGUNDA</t>
        </is>
      </c>
      <c r="F137" t="inlineStr">
        <is>
          <t>SCA</t>
        </is>
      </c>
      <c r="G137" t="n">
        <v>18.2</v>
      </c>
      <c r="H137" t="n">
        <v>2</v>
      </c>
      <c r="I137" t="n">
        <v>0</v>
      </c>
      <c r="J137" t="n">
        <v>2</v>
      </c>
      <c r="K137" t="n">
        <v>0</v>
      </c>
      <c r="L137" t="n">
        <v>0</v>
      </c>
      <c r="M137" t="n">
        <v>0</v>
      </c>
      <c r="N137" t="n">
        <v>0</v>
      </c>
      <c r="O137" t="n">
        <v>2</v>
      </c>
      <c r="P137" t="n">
        <v>0</v>
      </c>
      <c r="Q137" t="n">
        <v>3</v>
      </c>
      <c r="R137" s="2" t="inlineStr">
        <is>
          <t>Garnlav
Tretåig hackspett
Nattviol</t>
        </is>
      </c>
      <c r="S137">
        <f>HYPERLINK("https://klasma.github.io/Logging_2303/artfynd/A 22571-2025 artfynd.xlsx", "A 22571-2025")</f>
        <v/>
      </c>
      <c r="T137">
        <f>HYPERLINK("https://klasma.github.io/Logging_2303/kartor/A 22571-2025 karta.png", "A 22571-2025")</f>
        <v/>
      </c>
      <c r="V137">
        <f>HYPERLINK("https://klasma.github.io/Logging_2303/klagomål/A 22571-2025 FSC-klagomål.docx", "A 22571-2025")</f>
        <v/>
      </c>
      <c r="W137">
        <f>HYPERLINK("https://klasma.github.io/Logging_2303/klagomålsmail/A 22571-2025 FSC-klagomål mail.docx", "A 22571-2025")</f>
        <v/>
      </c>
      <c r="X137">
        <f>HYPERLINK("https://klasma.github.io/Logging_2303/tillsyn/A 22571-2025 tillsynsbegäran.docx", "A 22571-2025")</f>
        <v/>
      </c>
      <c r="Y137">
        <f>HYPERLINK("https://klasma.github.io/Logging_2303/tillsynsmail/A 22571-2025 tillsynsbegäran mail.docx", "A 22571-2025")</f>
        <v/>
      </c>
      <c r="Z137">
        <f>HYPERLINK("https://klasma.github.io/Logging_2303/fåglar/A 22571-2025 prioriterade fågelarter.docx", "A 22571-2025")</f>
        <v/>
      </c>
    </row>
    <row r="138" ht="15" customHeight="1">
      <c r="A138" t="inlineStr">
        <is>
          <t>A 7519-2023</t>
        </is>
      </c>
      <c r="B138" s="1" t="n">
        <v>44971</v>
      </c>
      <c r="C138" s="1" t="n">
        <v>46051</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58368-2024</t>
        </is>
      </c>
      <c r="B139" s="1" t="n">
        <v>45632.69822916666</v>
      </c>
      <c r="C139" s="1" t="n">
        <v>46051</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34585-2025</t>
        </is>
      </c>
      <c r="B140" s="1" t="n">
        <v>45847.61498842593</v>
      </c>
      <c r="C140" s="1" t="n">
        <v>46051</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34585-2025 artfynd.xlsx", "A 34585-2025")</f>
        <v/>
      </c>
      <c r="T140">
        <f>HYPERLINK("https://klasma.github.io/Logging_2303/kartor/A 34585-2025 karta.png", "A 34585-2025")</f>
        <v/>
      </c>
      <c r="V140">
        <f>HYPERLINK("https://klasma.github.io/Logging_2303/klagomål/A 34585-2025 FSC-klagomål.docx", "A 34585-2025")</f>
        <v/>
      </c>
      <c r="W140">
        <f>HYPERLINK("https://klasma.github.io/Logging_2303/klagomålsmail/A 34585-2025 FSC-klagomål mail.docx", "A 34585-2025")</f>
        <v/>
      </c>
      <c r="X140">
        <f>HYPERLINK("https://klasma.github.io/Logging_2303/tillsyn/A 34585-2025 tillsynsbegäran.docx", "A 34585-2025")</f>
        <v/>
      </c>
      <c r="Y140">
        <f>HYPERLINK("https://klasma.github.io/Logging_2303/tillsynsmail/A 34585-2025 tillsynsbegäran mail.docx", "A 34585-2025")</f>
        <v/>
      </c>
    </row>
    <row r="141" ht="15" customHeight="1">
      <c r="A141" t="inlineStr">
        <is>
          <t>A 32416-2025</t>
        </is>
      </c>
      <c r="B141" s="1" t="n">
        <v>45838</v>
      </c>
      <c r="C141" s="1" t="n">
        <v>46051</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33432-2023</t>
        </is>
      </c>
      <c r="B142" s="1" t="n">
        <v>45128</v>
      </c>
      <c r="C142" s="1" t="n">
        <v>46051</v>
      </c>
      <c r="D142" t="inlineStr">
        <is>
          <t>JÄMTLANDS LÄN</t>
        </is>
      </c>
      <c r="E142" t="inlineStr">
        <is>
          <t>RAGUNDA</t>
        </is>
      </c>
      <c r="F142" t="inlineStr">
        <is>
          <t>SCA</t>
        </is>
      </c>
      <c r="G142" t="n">
        <v>10</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33432-2023 artfynd.xlsx", "A 33432-2023")</f>
        <v/>
      </c>
      <c r="T142">
        <f>HYPERLINK("https://klasma.github.io/Logging_2303/kartor/A 33432-2023 karta.png", "A 33432-2023")</f>
        <v/>
      </c>
      <c r="V142">
        <f>HYPERLINK("https://klasma.github.io/Logging_2303/klagomål/A 33432-2023 FSC-klagomål.docx", "A 33432-2023")</f>
        <v/>
      </c>
      <c r="W142">
        <f>HYPERLINK("https://klasma.github.io/Logging_2303/klagomålsmail/A 33432-2023 FSC-klagomål mail.docx", "A 33432-2023")</f>
        <v/>
      </c>
      <c r="X142">
        <f>HYPERLINK("https://klasma.github.io/Logging_2303/tillsyn/A 33432-2023 tillsynsbegäran.docx", "A 33432-2023")</f>
        <v/>
      </c>
      <c r="Y142">
        <f>HYPERLINK("https://klasma.github.io/Logging_2303/tillsynsmail/A 33432-2023 tillsynsbegäran mail.docx", "A 33432-2023")</f>
        <v/>
      </c>
      <c r="Z142">
        <f>HYPERLINK("https://klasma.github.io/Logging_2303/fåglar/A 33432-2023 prioriterade fågelarter.docx", "A 33432-2023")</f>
        <v/>
      </c>
    </row>
    <row r="143" ht="15" customHeight="1">
      <c r="A143" t="inlineStr">
        <is>
          <t>A 57941-2024</t>
        </is>
      </c>
      <c r="B143" s="1" t="n">
        <v>45631</v>
      </c>
      <c r="C143" s="1" t="n">
        <v>46051</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57667-2025</t>
        </is>
      </c>
      <c r="B144" s="1" t="n">
        <v>45981.42767361111</v>
      </c>
      <c r="C144" s="1" t="n">
        <v>46051</v>
      </c>
      <c r="D144" t="inlineStr">
        <is>
          <t>JÄMTLANDS LÄN</t>
        </is>
      </c>
      <c r="E144" t="inlineStr">
        <is>
          <t>RAGUNDA</t>
        </is>
      </c>
      <c r="F144" t="inlineStr">
        <is>
          <t>SCA</t>
        </is>
      </c>
      <c r="G144" t="n">
        <v>1.7</v>
      </c>
      <c r="H144" t="n">
        <v>0</v>
      </c>
      <c r="I144" t="n">
        <v>2</v>
      </c>
      <c r="J144" t="n">
        <v>1</v>
      </c>
      <c r="K144" t="n">
        <v>0</v>
      </c>
      <c r="L144" t="n">
        <v>0</v>
      </c>
      <c r="M144" t="n">
        <v>0</v>
      </c>
      <c r="N144" t="n">
        <v>0</v>
      </c>
      <c r="O144" t="n">
        <v>1</v>
      </c>
      <c r="P144" t="n">
        <v>0</v>
      </c>
      <c r="Q144" t="n">
        <v>3</v>
      </c>
      <c r="R144" s="2" t="inlineStr">
        <is>
          <t>Lunglav
Korallblylav
Luddlav</t>
        </is>
      </c>
      <c r="S144">
        <f>HYPERLINK("https://klasma.github.io/Logging_2303/artfynd/A 57667-2025 artfynd.xlsx", "A 57667-2025")</f>
        <v/>
      </c>
      <c r="T144">
        <f>HYPERLINK("https://klasma.github.io/Logging_2303/kartor/A 57667-2025 karta.png", "A 57667-2025")</f>
        <v/>
      </c>
      <c r="V144">
        <f>HYPERLINK("https://klasma.github.io/Logging_2303/klagomål/A 57667-2025 FSC-klagomål.docx", "A 57667-2025")</f>
        <v/>
      </c>
      <c r="W144">
        <f>HYPERLINK("https://klasma.github.io/Logging_2303/klagomålsmail/A 57667-2025 FSC-klagomål mail.docx", "A 57667-2025")</f>
        <v/>
      </c>
      <c r="X144">
        <f>HYPERLINK("https://klasma.github.io/Logging_2303/tillsyn/A 57667-2025 tillsynsbegäran.docx", "A 57667-2025")</f>
        <v/>
      </c>
      <c r="Y144">
        <f>HYPERLINK("https://klasma.github.io/Logging_2303/tillsynsmail/A 57667-2025 tillsynsbegäran mail.docx", "A 57667-2025")</f>
        <v/>
      </c>
    </row>
    <row r="145" ht="15" customHeight="1">
      <c r="A145" t="inlineStr">
        <is>
          <t>A 59179-2025</t>
        </is>
      </c>
      <c r="B145" s="1" t="n">
        <v>45988.57350694444</v>
      </c>
      <c r="C145" s="1" t="n">
        <v>46051</v>
      </c>
      <c r="D145" t="inlineStr">
        <is>
          <t>JÄMTLANDS LÄN</t>
        </is>
      </c>
      <c r="E145" t="inlineStr">
        <is>
          <t>RAGUNDA</t>
        </is>
      </c>
      <c r="F145" t="inlineStr">
        <is>
          <t>SCA</t>
        </is>
      </c>
      <c r="G145" t="n">
        <v>2.3</v>
      </c>
      <c r="H145" t="n">
        <v>0</v>
      </c>
      <c r="I145" t="n">
        <v>0</v>
      </c>
      <c r="J145" t="n">
        <v>3</v>
      </c>
      <c r="K145" t="n">
        <v>0</v>
      </c>
      <c r="L145" t="n">
        <v>0</v>
      </c>
      <c r="M145" t="n">
        <v>0</v>
      </c>
      <c r="N145" t="n">
        <v>0</v>
      </c>
      <c r="O145" t="n">
        <v>3</v>
      </c>
      <c r="P145" t="n">
        <v>0</v>
      </c>
      <c r="Q145" t="n">
        <v>3</v>
      </c>
      <c r="R145" s="2" t="inlineStr">
        <is>
          <t>Garnlav
Kolflarnlav
Lunglav</t>
        </is>
      </c>
      <c r="S145">
        <f>HYPERLINK("https://klasma.github.io/Logging_2303/artfynd/A 59179-2025 artfynd.xlsx", "A 59179-2025")</f>
        <v/>
      </c>
      <c r="T145">
        <f>HYPERLINK("https://klasma.github.io/Logging_2303/kartor/A 59179-2025 karta.png", "A 59179-2025")</f>
        <v/>
      </c>
      <c r="V145">
        <f>HYPERLINK("https://klasma.github.io/Logging_2303/klagomål/A 59179-2025 FSC-klagomål.docx", "A 59179-2025")</f>
        <v/>
      </c>
      <c r="W145">
        <f>HYPERLINK("https://klasma.github.io/Logging_2303/klagomålsmail/A 59179-2025 FSC-klagomål mail.docx", "A 59179-2025")</f>
        <v/>
      </c>
      <c r="X145">
        <f>HYPERLINK("https://klasma.github.io/Logging_2303/tillsyn/A 59179-2025 tillsynsbegäran.docx", "A 59179-2025")</f>
        <v/>
      </c>
      <c r="Y145">
        <f>HYPERLINK("https://klasma.github.io/Logging_2303/tillsynsmail/A 59179-2025 tillsynsbegäran mail.docx", "A 59179-2025")</f>
        <v/>
      </c>
    </row>
    <row r="146" ht="15" customHeight="1">
      <c r="A146" t="inlineStr">
        <is>
          <t>A 61954-2025</t>
        </is>
      </c>
      <c r="B146" s="1" t="n">
        <v>46003.57381944444</v>
      </c>
      <c r="C146" s="1" t="n">
        <v>46051</v>
      </c>
      <c r="D146" t="inlineStr">
        <is>
          <t>JÄMTLANDS LÄN</t>
        </is>
      </c>
      <c r="E146" t="inlineStr">
        <is>
          <t>RAGUNDA</t>
        </is>
      </c>
      <c r="F146" t="inlineStr">
        <is>
          <t>SCA</t>
        </is>
      </c>
      <c r="G146" t="n">
        <v>6.5</v>
      </c>
      <c r="H146" t="n">
        <v>0</v>
      </c>
      <c r="I146" t="n">
        <v>1</v>
      </c>
      <c r="J146" t="n">
        <v>2</v>
      </c>
      <c r="K146" t="n">
        <v>0</v>
      </c>
      <c r="L146" t="n">
        <v>0</v>
      </c>
      <c r="M146" t="n">
        <v>0</v>
      </c>
      <c r="N146" t="n">
        <v>0</v>
      </c>
      <c r="O146" t="n">
        <v>2</v>
      </c>
      <c r="P146" t="n">
        <v>0</v>
      </c>
      <c r="Q146" t="n">
        <v>3</v>
      </c>
      <c r="R146" s="2" t="inlineStr">
        <is>
          <t>Garnlav
Lunglav
Trådticka</t>
        </is>
      </c>
      <c r="S146">
        <f>HYPERLINK("https://klasma.github.io/Logging_2303/artfynd/A 61954-2025 artfynd.xlsx", "A 61954-2025")</f>
        <v/>
      </c>
      <c r="T146">
        <f>HYPERLINK("https://klasma.github.io/Logging_2303/kartor/A 61954-2025 karta.png", "A 61954-2025")</f>
        <v/>
      </c>
      <c r="V146">
        <f>HYPERLINK("https://klasma.github.io/Logging_2303/klagomål/A 61954-2025 FSC-klagomål.docx", "A 61954-2025")</f>
        <v/>
      </c>
      <c r="W146">
        <f>HYPERLINK("https://klasma.github.io/Logging_2303/klagomålsmail/A 61954-2025 FSC-klagomål mail.docx", "A 61954-2025")</f>
        <v/>
      </c>
      <c r="X146">
        <f>HYPERLINK("https://klasma.github.io/Logging_2303/tillsyn/A 61954-2025 tillsynsbegäran.docx", "A 61954-2025")</f>
        <v/>
      </c>
      <c r="Y146">
        <f>HYPERLINK("https://klasma.github.io/Logging_2303/tillsynsmail/A 61954-2025 tillsynsbegäran mail.docx", "A 61954-2025")</f>
        <v/>
      </c>
    </row>
    <row r="147" ht="15" customHeight="1">
      <c r="A147" t="inlineStr">
        <is>
          <t>A 30470-2024</t>
        </is>
      </c>
      <c r="B147" s="1" t="n">
        <v>45491</v>
      </c>
      <c r="C147" s="1" t="n">
        <v>46051</v>
      </c>
      <c r="D147" t="inlineStr">
        <is>
          <t>JÄMTLANDS LÄN</t>
        </is>
      </c>
      <c r="E147" t="inlineStr">
        <is>
          <t>RAGUNDA</t>
        </is>
      </c>
      <c r="F147" t="inlineStr">
        <is>
          <t>SCA</t>
        </is>
      </c>
      <c r="G147" t="n">
        <v>1.4</v>
      </c>
      <c r="H147" t="n">
        <v>2</v>
      </c>
      <c r="I147" t="n">
        <v>0</v>
      </c>
      <c r="J147" t="n">
        <v>2</v>
      </c>
      <c r="K147" t="n">
        <v>1</v>
      </c>
      <c r="L147" t="n">
        <v>0</v>
      </c>
      <c r="M147" t="n">
        <v>0</v>
      </c>
      <c r="N147" t="n">
        <v>0</v>
      </c>
      <c r="O147" t="n">
        <v>3</v>
      </c>
      <c r="P147" t="n">
        <v>1</v>
      </c>
      <c r="Q147" t="n">
        <v>3</v>
      </c>
      <c r="R147" s="2" t="inlineStr">
        <is>
          <t>Knärot
Lunglav
Tretåig hackspett</t>
        </is>
      </c>
      <c r="S147">
        <f>HYPERLINK("https://klasma.github.io/Logging_2303/artfynd/A 30470-2024 artfynd.xlsx", "A 30470-2024")</f>
        <v/>
      </c>
      <c r="T147">
        <f>HYPERLINK("https://klasma.github.io/Logging_2303/kartor/A 30470-2024 karta.png", "A 30470-2024")</f>
        <v/>
      </c>
      <c r="U147">
        <f>HYPERLINK("https://klasma.github.io/Logging_2303/knärot/A 30470-2024 karta knärot.png", "A 30470-2024")</f>
        <v/>
      </c>
      <c r="V147">
        <f>HYPERLINK("https://klasma.github.io/Logging_2303/klagomål/A 30470-2024 FSC-klagomål.docx", "A 30470-2024")</f>
        <v/>
      </c>
      <c r="W147">
        <f>HYPERLINK("https://klasma.github.io/Logging_2303/klagomålsmail/A 30470-2024 FSC-klagomål mail.docx", "A 30470-2024")</f>
        <v/>
      </c>
      <c r="X147">
        <f>HYPERLINK("https://klasma.github.io/Logging_2303/tillsyn/A 30470-2024 tillsynsbegäran.docx", "A 30470-2024")</f>
        <v/>
      </c>
      <c r="Y147">
        <f>HYPERLINK("https://klasma.github.io/Logging_2303/tillsynsmail/A 30470-2024 tillsynsbegäran mail.docx", "A 30470-2024")</f>
        <v/>
      </c>
      <c r="Z147">
        <f>HYPERLINK("https://klasma.github.io/Logging_2303/fåglar/A 30470-2024 prioriterade fågelarter.docx", "A 30470-2024")</f>
        <v/>
      </c>
    </row>
    <row r="148" ht="15" customHeight="1">
      <c r="A148" t="inlineStr">
        <is>
          <t>A 16305-2025</t>
        </is>
      </c>
      <c r="B148" s="1" t="n">
        <v>45751.34650462963</v>
      </c>
      <c r="C148" s="1" t="n">
        <v>46051</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28178-2023</t>
        </is>
      </c>
      <c r="B149" s="1" t="n">
        <v>45093</v>
      </c>
      <c r="C149" s="1" t="n">
        <v>46051</v>
      </c>
      <c r="D149" t="inlineStr">
        <is>
          <t>JÄMTLANDS LÄN</t>
        </is>
      </c>
      <c r="E149" t="inlineStr">
        <is>
          <t>RAGUNDA</t>
        </is>
      </c>
      <c r="G149" t="n">
        <v>5.6</v>
      </c>
      <c r="H149" t="n">
        <v>0</v>
      </c>
      <c r="I149" t="n">
        <v>0</v>
      </c>
      <c r="J149" t="n">
        <v>3</v>
      </c>
      <c r="K149" t="n">
        <v>0</v>
      </c>
      <c r="L149" t="n">
        <v>0</v>
      </c>
      <c r="M149" t="n">
        <v>0</v>
      </c>
      <c r="N149" t="n">
        <v>0</v>
      </c>
      <c r="O149" t="n">
        <v>3</v>
      </c>
      <c r="P149" t="n">
        <v>0</v>
      </c>
      <c r="Q149" t="n">
        <v>3</v>
      </c>
      <c r="R149" s="2" t="inlineStr">
        <is>
          <t>Garnlav
Gultoppig fingersvamp
Violettgrå tagellav</t>
        </is>
      </c>
      <c r="S149">
        <f>HYPERLINK("https://klasma.github.io/Logging_2303/artfynd/A 28178-2023 artfynd.xlsx", "A 28178-2023")</f>
        <v/>
      </c>
      <c r="T149">
        <f>HYPERLINK("https://klasma.github.io/Logging_2303/kartor/A 28178-2023 karta.png", "A 28178-2023")</f>
        <v/>
      </c>
      <c r="V149">
        <f>HYPERLINK("https://klasma.github.io/Logging_2303/klagomål/A 28178-2023 FSC-klagomål.docx", "A 28178-2023")</f>
        <v/>
      </c>
      <c r="W149">
        <f>HYPERLINK("https://klasma.github.io/Logging_2303/klagomålsmail/A 28178-2023 FSC-klagomål mail.docx", "A 28178-2023")</f>
        <v/>
      </c>
      <c r="X149">
        <f>HYPERLINK("https://klasma.github.io/Logging_2303/tillsyn/A 28178-2023 tillsynsbegäran.docx", "A 28178-2023")</f>
        <v/>
      </c>
      <c r="Y149">
        <f>HYPERLINK("https://klasma.github.io/Logging_2303/tillsynsmail/A 28178-2023 tillsynsbegäran mail.docx", "A 28178-2023")</f>
        <v/>
      </c>
    </row>
    <row r="150" ht="15" customHeight="1">
      <c r="A150" t="inlineStr">
        <is>
          <t>A 52345-2024</t>
        </is>
      </c>
      <c r="B150" s="1" t="n">
        <v>45609.34412037037</v>
      </c>
      <c r="C150" s="1" t="n">
        <v>46051</v>
      </c>
      <c r="D150" t="inlineStr">
        <is>
          <t>JÄMTLANDS LÄN</t>
        </is>
      </c>
      <c r="E150" t="inlineStr">
        <is>
          <t>RAGUNDA</t>
        </is>
      </c>
      <c r="F150" t="inlineStr">
        <is>
          <t>SCA</t>
        </is>
      </c>
      <c r="G150" t="n">
        <v>10.3</v>
      </c>
      <c r="H150" t="n">
        <v>1</v>
      </c>
      <c r="I150" t="n">
        <v>0</v>
      </c>
      <c r="J150" t="n">
        <v>2</v>
      </c>
      <c r="K150" t="n">
        <v>0</v>
      </c>
      <c r="L150" t="n">
        <v>0</v>
      </c>
      <c r="M150" t="n">
        <v>0</v>
      </c>
      <c r="N150" t="n">
        <v>0</v>
      </c>
      <c r="O150" t="n">
        <v>2</v>
      </c>
      <c r="P150" t="n">
        <v>0</v>
      </c>
      <c r="Q150" t="n">
        <v>3</v>
      </c>
      <c r="R150" s="2" t="inlineStr">
        <is>
          <t>Doftskinn
Koralltaggsvamp
Blåsippa</t>
        </is>
      </c>
      <c r="S150">
        <f>HYPERLINK("https://klasma.github.io/Logging_2303/artfynd/A 52345-2024 artfynd.xlsx", "A 52345-2024")</f>
        <v/>
      </c>
      <c r="T150">
        <f>HYPERLINK("https://klasma.github.io/Logging_2303/kartor/A 52345-2024 karta.png", "A 52345-2024")</f>
        <v/>
      </c>
      <c r="V150">
        <f>HYPERLINK("https://klasma.github.io/Logging_2303/klagomål/A 52345-2024 FSC-klagomål.docx", "A 52345-2024")</f>
        <v/>
      </c>
      <c r="W150">
        <f>HYPERLINK("https://klasma.github.io/Logging_2303/klagomålsmail/A 52345-2024 FSC-klagomål mail.docx", "A 52345-2024")</f>
        <v/>
      </c>
      <c r="X150">
        <f>HYPERLINK("https://klasma.github.io/Logging_2303/tillsyn/A 52345-2024 tillsynsbegäran.docx", "A 52345-2024")</f>
        <v/>
      </c>
      <c r="Y150">
        <f>HYPERLINK("https://klasma.github.io/Logging_2303/tillsynsmail/A 52345-2024 tillsynsbegäran mail.docx", "A 52345-2024")</f>
        <v/>
      </c>
    </row>
    <row r="151" ht="15" customHeight="1">
      <c r="A151" t="inlineStr">
        <is>
          <t>A 49047-2023</t>
        </is>
      </c>
      <c r="B151" s="1" t="n">
        <v>45209</v>
      </c>
      <c r="C151" s="1" t="n">
        <v>46051</v>
      </c>
      <c r="D151" t="inlineStr">
        <is>
          <t>JÄMTLANDS LÄN</t>
        </is>
      </c>
      <c r="E151" t="inlineStr">
        <is>
          <t>RAGUNDA</t>
        </is>
      </c>
      <c r="F151" t="inlineStr">
        <is>
          <t>SCA</t>
        </is>
      </c>
      <c r="G151" t="n">
        <v>6.9</v>
      </c>
      <c r="H151" t="n">
        <v>0</v>
      </c>
      <c r="I151" t="n">
        <v>0</v>
      </c>
      <c r="J151" t="n">
        <v>3</v>
      </c>
      <c r="K151" t="n">
        <v>0</v>
      </c>
      <c r="L151" t="n">
        <v>0</v>
      </c>
      <c r="M151" t="n">
        <v>0</v>
      </c>
      <c r="N151" t="n">
        <v>0</v>
      </c>
      <c r="O151" t="n">
        <v>3</v>
      </c>
      <c r="P151" t="n">
        <v>0</v>
      </c>
      <c r="Q151" t="n">
        <v>3</v>
      </c>
      <c r="R151" s="2" t="inlineStr">
        <is>
          <t>Lunglav
Rosenticka
Skrovellav</t>
        </is>
      </c>
      <c r="S151">
        <f>HYPERLINK("https://klasma.github.io/Logging_2303/artfynd/A 49047-2023 artfynd.xlsx", "A 49047-2023")</f>
        <v/>
      </c>
      <c r="T151">
        <f>HYPERLINK("https://klasma.github.io/Logging_2303/kartor/A 49047-2023 karta.png", "A 49047-2023")</f>
        <v/>
      </c>
      <c r="V151">
        <f>HYPERLINK("https://klasma.github.io/Logging_2303/klagomål/A 49047-2023 FSC-klagomål.docx", "A 49047-2023")</f>
        <v/>
      </c>
      <c r="W151">
        <f>HYPERLINK("https://klasma.github.io/Logging_2303/klagomålsmail/A 49047-2023 FSC-klagomål mail.docx", "A 49047-2023")</f>
        <v/>
      </c>
      <c r="X151">
        <f>HYPERLINK("https://klasma.github.io/Logging_2303/tillsyn/A 49047-2023 tillsynsbegäran.docx", "A 49047-2023")</f>
        <v/>
      </c>
      <c r="Y151">
        <f>HYPERLINK("https://klasma.github.io/Logging_2303/tillsynsmail/A 49047-2023 tillsynsbegäran mail.docx", "A 49047-2023")</f>
        <v/>
      </c>
    </row>
    <row r="152" ht="15" customHeight="1">
      <c r="A152" t="inlineStr">
        <is>
          <t>A 36504-2023</t>
        </is>
      </c>
      <c r="B152" s="1" t="n">
        <v>45152</v>
      </c>
      <c r="C152" s="1" t="n">
        <v>46051</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33278-2022</t>
        </is>
      </c>
      <c r="B153" s="1" t="n">
        <v>44788</v>
      </c>
      <c r="C153" s="1" t="n">
        <v>46051</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53022-2022</t>
        </is>
      </c>
      <c r="B154" s="1" t="n">
        <v>44875</v>
      </c>
      <c r="C154" s="1" t="n">
        <v>46051</v>
      </c>
      <c r="D154" t="inlineStr">
        <is>
          <t>JÄMTLANDS LÄN</t>
        </is>
      </c>
      <c r="E154" t="inlineStr">
        <is>
          <t>RAGUNDA</t>
        </is>
      </c>
      <c r="F154" t="inlineStr">
        <is>
          <t>SCA</t>
        </is>
      </c>
      <c r="G154" t="n">
        <v>2.7</v>
      </c>
      <c r="H154" t="n">
        <v>0</v>
      </c>
      <c r="I154" t="n">
        <v>1</v>
      </c>
      <c r="J154" t="n">
        <v>2</v>
      </c>
      <c r="K154" t="n">
        <v>0</v>
      </c>
      <c r="L154" t="n">
        <v>0</v>
      </c>
      <c r="M154" t="n">
        <v>0</v>
      </c>
      <c r="N154" t="n">
        <v>0</v>
      </c>
      <c r="O154" t="n">
        <v>2</v>
      </c>
      <c r="P154" t="n">
        <v>0</v>
      </c>
      <c r="Q154" t="n">
        <v>3</v>
      </c>
      <c r="R154" s="2" t="inlineStr">
        <is>
          <t>Garnlav
Lunglav
Dropptaggsvamp</t>
        </is>
      </c>
      <c r="S154">
        <f>HYPERLINK("https://klasma.github.io/Logging_2303/artfynd/A 53022-2022 artfynd.xlsx", "A 53022-2022")</f>
        <v/>
      </c>
      <c r="T154">
        <f>HYPERLINK("https://klasma.github.io/Logging_2303/kartor/A 53022-2022 karta.png", "A 53022-2022")</f>
        <v/>
      </c>
      <c r="V154">
        <f>HYPERLINK("https://klasma.github.io/Logging_2303/klagomål/A 53022-2022 FSC-klagomål.docx", "A 53022-2022")</f>
        <v/>
      </c>
      <c r="W154">
        <f>HYPERLINK("https://klasma.github.io/Logging_2303/klagomålsmail/A 53022-2022 FSC-klagomål mail.docx", "A 53022-2022")</f>
        <v/>
      </c>
      <c r="X154">
        <f>HYPERLINK("https://klasma.github.io/Logging_2303/tillsyn/A 53022-2022 tillsynsbegäran.docx", "A 53022-2022")</f>
        <v/>
      </c>
      <c r="Y154">
        <f>HYPERLINK("https://klasma.github.io/Logging_2303/tillsynsmail/A 53022-2022 tillsynsbegäran mail.docx", "A 53022-2022")</f>
        <v/>
      </c>
    </row>
    <row r="155" ht="15" customHeight="1">
      <c r="A155" t="inlineStr">
        <is>
          <t>A 18616-2024</t>
        </is>
      </c>
      <c r="B155" s="1" t="n">
        <v>45425.96285879629</v>
      </c>
      <c r="C155" s="1" t="n">
        <v>46051</v>
      </c>
      <c r="D155" t="inlineStr">
        <is>
          <t>JÄMTLANDS LÄN</t>
        </is>
      </c>
      <c r="E155" t="inlineStr">
        <is>
          <t>RAGUNDA</t>
        </is>
      </c>
      <c r="F155" t="inlineStr">
        <is>
          <t>SCA</t>
        </is>
      </c>
      <c r="G155" t="n">
        <v>3.4</v>
      </c>
      <c r="H155" t="n">
        <v>0</v>
      </c>
      <c r="I155" t="n">
        <v>0</v>
      </c>
      <c r="J155" t="n">
        <v>3</v>
      </c>
      <c r="K155" t="n">
        <v>0</v>
      </c>
      <c r="L155" t="n">
        <v>0</v>
      </c>
      <c r="M155" t="n">
        <v>0</v>
      </c>
      <c r="N155" t="n">
        <v>0</v>
      </c>
      <c r="O155" t="n">
        <v>3</v>
      </c>
      <c r="P155" t="n">
        <v>0</v>
      </c>
      <c r="Q155" t="n">
        <v>3</v>
      </c>
      <c r="R155" s="2" t="inlineStr">
        <is>
          <t>Granticka
Orange taggsvamp
Ullticka</t>
        </is>
      </c>
      <c r="S155">
        <f>HYPERLINK("https://klasma.github.io/Logging_2303/artfynd/A 18616-2024 artfynd.xlsx", "A 18616-2024")</f>
        <v/>
      </c>
      <c r="T155">
        <f>HYPERLINK("https://klasma.github.io/Logging_2303/kartor/A 18616-2024 karta.png", "A 18616-2024")</f>
        <v/>
      </c>
      <c r="V155">
        <f>HYPERLINK("https://klasma.github.io/Logging_2303/klagomål/A 18616-2024 FSC-klagomål.docx", "A 18616-2024")</f>
        <v/>
      </c>
      <c r="W155">
        <f>HYPERLINK("https://klasma.github.io/Logging_2303/klagomålsmail/A 18616-2024 FSC-klagomål mail.docx", "A 18616-2024")</f>
        <v/>
      </c>
      <c r="X155">
        <f>HYPERLINK("https://klasma.github.io/Logging_2303/tillsyn/A 18616-2024 tillsynsbegäran.docx", "A 18616-2024")</f>
        <v/>
      </c>
      <c r="Y155">
        <f>HYPERLINK("https://klasma.github.io/Logging_2303/tillsynsmail/A 18616-2024 tillsynsbegäran mail.docx", "A 18616-2024")</f>
        <v/>
      </c>
    </row>
    <row r="156" ht="15" customHeight="1">
      <c r="A156" t="inlineStr">
        <is>
          <t>A 5048-2025</t>
        </is>
      </c>
      <c r="B156" s="1" t="n">
        <v>45691.44769675926</v>
      </c>
      <c r="C156" s="1" t="n">
        <v>46051</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21248-2025</t>
        </is>
      </c>
      <c r="B157" s="1" t="n">
        <v>45779.57392361111</v>
      </c>
      <c r="C157" s="1" t="n">
        <v>46051</v>
      </c>
      <c r="D157" t="inlineStr">
        <is>
          <t>JÄMTLANDS LÄN</t>
        </is>
      </c>
      <c r="E157" t="inlineStr">
        <is>
          <t>RAGUNDA</t>
        </is>
      </c>
      <c r="F157" t="inlineStr">
        <is>
          <t>SCA</t>
        </is>
      </c>
      <c r="G157" t="n">
        <v>2.9</v>
      </c>
      <c r="H157" t="n">
        <v>1</v>
      </c>
      <c r="I157" t="n">
        <v>1</v>
      </c>
      <c r="J157" t="n">
        <v>2</v>
      </c>
      <c r="K157" t="n">
        <v>0</v>
      </c>
      <c r="L157" t="n">
        <v>0</v>
      </c>
      <c r="M157" t="n">
        <v>0</v>
      </c>
      <c r="N157" t="n">
        <v>0</v>
      </c>
      <c r="O157" t="n">
        <v>2</v>
      </c>
      <c r="P157" t="n">
        <v>0</v>
      </c>
      <c r="Q157" t="n">
        <v>3</v>
      </c>
      <c r="R157" s="2" t="inlineStr">
        <is>
          <t>Garnlav
Tretåig hackspett
Vedticka</t>
        </is>
      </c>
      <c r="S157">
        <f>HYPERLINK("https://klasma.github.io/Logging_2303/artfynd/A 21248-2025 artfynd.xlsx", "A 21248-2025")</f>
        <v/>
      </c>
      <c r="T157">
        <f>HYPERLINK("https://klasma.github.io/Logging_2303/kartor/A 21248-2025 karta.png", "A 21248-2025")</f>
        <v/>
      </c>
      <c r="V157">
        <f>HYPERLINK("https://klasma.github.io/Logging_2303/klagomål/A 21248-2025 FSC-klagomål.docx", "A 21248-2025")</f>
        <v/>
      </c>
      <c r="W157">
        <f>HYPERLINK("https://klasma.github.io/Logging_2303/klagomålsmail/A 21248-2025 FSC-klagomål mail.docx", "A 21248-2025")</f>
        <v/>
      </c>
      <c r="X157">
        <f>HYPERLINK("https://klasma.github.io/Logging_2303/tillsyn/A 21248-2025 tillsynsbegäran.docx", "A 21248-2025")</f>
        <v/>
      </c>
      <c r="Y157">
        <f>HYPERLINK("https://klasma.github.io/Logging_2303/tillsynsmail/A 21248-2025 tillsynsbegäran mail.docx", "A 21248-2025")</f>
        <v/>
      </c>
      <c r="Z157">
        <f>HYPERLINK("https://klasma.github.io/Logging_2303/fåglar/A 21248-2025 prioriterade fågelarter.docx", "A 21248-2025")</f>
        <v/>
      </c>
    </row>
    <row r="158" ht="15" customHeight="1">
      <c r="A158" t="inlineStr">
        <is>
          <t>A 17043-2022</t>
        </is>
      </c>
      <c r="B158" s="1" t="n">
        <v>44676</v>
      </c>
      <c r="C158" s="1" t="n">
        <v>46051</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46051</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3838-2024</t>
        </is>
      </c>
      <c r="B160" s="1" t="n">
        <v>45321</v>
      </c>
      <c r="C160" s="1" t="n">
        <v>46051</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12271-2024</t>
        </is>
      </c>
      <c r="B161" s="1" t="n">
        <v>45378</v>
      </c>
      <c r="C161" s="1" t="n">
        <v>46051</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39495-2024</t>
        </is>
      </c>
      <c r="B162" s="1" t="n">
        <v>45551.65726851852</v>
      </c>
      <c r="C162" s="1" t="n">
        <v>46051</v>
      </c>
      <c r="D162" t="inlineStr">
        <is>
          <t>JÄMTLANDS LÄN</t>
        </is>
      </c>
      <c r="E162" t="inlineStr">
        <is>
          <t>RAGUNDA</t>
        </is>
      </c>
      <c r="F162" t="inlineStr">
        <is>
          <t>SCA</t>
        </is>
      </c>
      <c r="G162" t="n">
        <v>6.6</v>
      </c>
      <c r="H162" t="n">
        <v>0</v>
      </c>
      <c r="I162" t="n">
        <v>0</v>
      </c>
      <c r="J162" t="n">
        <v>2</v>
      </c>
      <c r="K162" t="n">
        <v>0</v>
      </c>
      <c r="L162" t="n">
        <v>0</v>
      </c>
      <c r="M162" t="n">
        <v>0</v>
      </c>
      <c r="N162" t="n">
        <v>0</v>
      </c>
      <c r="O162" t="n">
        <v>2</v>
      </c>
      <c r="P162" t="n">
        <v>0</v>
      </c>
      <c r="Q162" t="n">
        <v>2</v>
      </c>
      <c r="R162" s="2" t="inlineStr">
        <is>
          <t>Garnlav
Ullticka</t>
        </is>
      </c>
      <c r="S162">
        <f>HYPERLINK("https://klasma.github.io/Logging_2303/artfynd/A 39495-2024 artfynd.xlsx", "A 39495-2024")</f>
        <v/>
      </c>
      <c r="T162">
        <f>HYPERLINK("https://klasma.github.io/Logging_2303/kartor/A 39495-2024 karta.png", "A 39495-2024")</f>
        <v/>
      </c>
      <c r="V162">
        <f>HYPERLINK("https://klasma.github.io/Logging_2303/klagomål/A 39495-2024 FSC-klagomål.docx", "A 39495-2024")</f>
        <v/>
      </c>
      <c r="W162">
        <f>HYPERLINK("https://klasma.github.io/Logging_2303/klagomålsmail/A 39495-2024 FSC-klagomål mail.docx", "A 39495-2024")</f>
        <v/>
      </c>
      <c r="X162">
        <f>HYPERLINK("https://klasma.github.io/Logging_2303/tillsyn/A 39495-2024 tillsynsbegäran.docx", "A 39495-2024")</f>
        <v/>
      </c>
      <c r="Y162">
        <f>HYPERLINK("https://klasma.github.io/Logging_2303/tillsynsmail/A 39495-2024 tillsynsbegäran mail.docx", "A 39495-2024")</f>
        <v/>
      </c>
    </row>
    <row r="163" ht="15" customHeight="1">
      <c r="A163" t="inlineStr">
        <is>
          <t>A 47267-2022</t>
        </is>
      </c>
      <c r="B163" s="1" t="n">
        <v>44852</v>
      </c>
      <c r="C163" s="1" t="n">
        <v>46051</v>
      </c>
      <c r="D163" t="inlineStr">
        <is>
          <t>JÄMTLANDS LÄN</t>
        </is>
      </c>
      <c r="E163" t="inlineStr">
        <is>
          <t>RAGUNDA</t>
        </is>
      </c>
      <c r="F163" t="inlineStr">
        <is>
          <t>SCA</t>
        </is>
      </c>
      <c r="G163" t="n">
        <v>82.8</v>
      </c>
      <c r="H163" t="n">
        <v>0</v>
      </c>
      <c r="I163" t="n">
        <v>0</v>
      </c>
      <c r="J163" t="n">
        <v>2</v>
      </c>
      <c r="K163" t="n">
        <v>0</v>
      </c>
      <c r="L163" t="n">
        <v>0</v>
      </c>
      <c r="M163" t="n">
        <v>0</v>
      </c>
      <c r="N163" t="n">
        <v>0</v>
      </c>
      <c r="O163" t="n">
        <v>2</v>
      </c>
      <c r="P163" t="n">
        <v>0</v>
      </c>
      <c r="Q163" t="n">
        <v>2</v>
      </c>
      <c r="R163" s="2" t="inlineStr">
        <is>
          <t>Dvärgbägarlav
Garnlav</t>
        </is>
      </c>
      <c r="S163">
        <f>HYPERLINK("https://klasma.github.io/Logging_2303/artfynd/A 47267-2022 artfynd.xlsx", "A 47267-2022")</f>
        <v/>
      </c>
      <c r="T163">
        <f>HYPERLINK("https://klasma.github.io/Logging_2303/kartor/A 47267-2022 karta.png", "A 47267-2022")</f>
        <v/>
      </c>
      <c r="V163">
        <f>HYPERLINK("https://klasma.github.io/Logging_2303/klagomål/A 47267-2022 FSC-klagomål.docx", "A 47267-2022")</f>
        <v/>
      </c>
      <c r="W163">
        <f>HYPERLINK("https://klasma.github.io/Logging_2303/klagomålsmail/A 47267-2022 FSC-klagomål mail.docx", "A 47267-2022")</f>
        <v/>
      </c>
      <c r="X163">
        <f>HYPERLINK("https://klasma.github.io/Logging_2303/tillsyn/A 47267-2022 tillsynsbegäran.docx", "A 47267-2022")</f>
        <v/>
      </c>
      <c r="Y163">
        <f>HYPERLINK("https://klasma.github.io/Logging_2303/tillsynsmail/A 47267-2022 tillsynsbegäran mail.docx", "A 47267-2022")</f>
        <v/>
      </c>
    </row>
    <row r="164" ht="15" customHeight="1">
      <c r="A164" t="inlineStr">
        <is>
          <t>A 30053-2024</t>
        </is>
      </c>
      <c r="B164" s="1" t="n">
        <v>45488.94747685185</v>
      </c>
      <c r="C164" s="1" t="n">
        <v>46051</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46051</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48427-2023</t>
        </is>
      </c>
      <c r="B166" s="1" t="n">
        <v>45205</v>
      </c>
      <c r="C166" s="1" t="n">
        <v>46051</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31960-2025</t>
        </is>
      </c>
      <c r="B167" s="1" t="n">
        <v>45835.344375</v>
      </c>
      <c r="C167" s="1" t="n">
        <v>46051</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35131-2025</t>
        </is>
      </c>
      <c r="B168" s="1" t="n">
        <v>45852.63597222222</v>
      </c>
      <c r="C168" s="1" t="n">
        <v>46051</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14502-2024</t>
        </is>
      </c>
      <c r="B169" s="1" t="n">
        <v>45394</v>
      </c>
      <c r="C169" s="1" t="n">
        <v>46051</v>
      </c>
      <c r="D169" t="inlineStr">
        <is>
          <t>JÄMTLANDS LÄN</t>
        </is>
      </c>
      <c r="E169" t="inlineStr">
        <is>
          <t>RAGUNDA</t>
        </is>
      </c>
      <c r="G169" t="n">
        <v>11.6</v>
      </c>
      <c r="H169" t="n">
        <v>0</v>
      </c>
      <c r="I169" t="n">
        <v>0</v>
      </c>
      <c r="J169" t="n">
        <v>2</v>
      </c>
      <c r="K169" t="n">
        <v>0</v>
      </c>
      <c r="L169" t="n">
        <v>0</v>
      </c>
      <c r="M169" t="n">
        <v>0</v>
      </c>
      <c r="N169" t="n">
        <v>0</v>
      </c>
      <c r="O169" t="n">
        <v>2</v>
      </c>
      <c r="P169" t="n">
        <v>0</v>
      </c>
      <c r="Q169" t="n">
        <v>2</v>
      </c>
      <c r="R169" s="2" t="inlineStr">
        <is>
          <t>Garnlav
Stjärntagging</t>
        </is>
      </c>
      <c r="S169">
        <f>HYPERLINK("https://klasma.github.io/Logging_2303/artfynd/A 14502-2024 artfynd.xlsx", "A 14502-2024")</f>
        <v/>
      </c>
      <c r="T169">
        <f>HYPERLINK("https://klasma.github.io/Logging_2303/kartor/A 14502-2024 karta.png", "A 14502-2024")</f>
        <v/>
      </c>
      <c r="V169">
        <f>HYPERLINK("https://klasma.github.io/Logging_2303/klagomål/A 14502-2024 FSC-klagomål.docx", "A 14502-2024")</f>
        <v/>
      </c>
      <c r="W169">
        <f>HYPERLINK("https://klasma.github.io/Logging_2303/klagomålsmail/A 14502-2024 FSC-klagomål mail.docx", "A 14502-2024")</f>
        <v/>
      </c>
      <c r="X169">
        <f>HYPERLINK("https://klasma.github.io/Logging_2303/tillsyn/A 14502-2024 tillsynsbegäran.docx", "A 14502-2024")</f>
        <v/>
      </c>
      <c r="Y169">
        <f>HYPERLINK("https://klasma.github.io/Logging_2303/tillsynsmail/A 14502-2024 tillsynsbegäran mail.docx", "A 14502-2024")</f>
        <v/>
      </c>
    </row>
    <row r="170" ht="15" customHeight="1">
      <c r="A170" t="inlineStr">
        <is>
          <t>A 47850-2025</t>
        </is>
      </c>
      <c r="B170" s="1" t="n">
        <v>45932.38626157407</v>
      </c>
      <c r="C170" s="1" t="n">
        <v>46051</v>
      </c>
      <c r="D170" t="inlineStr">
        <is>
          <t>JÄMTLANDS LÄN</t>
        </is>
      </c>
      <c r="E170" t="inlineStr">
        <is>
          <t>RAGUNDA</t>
        </is>
      </c>
      <c r="F170" t="inlineStr">
        <is>
          <t>SCA</t>
        </is>
      </c>
      <c r="G170" t="n">
        <v>2.4</v>
      </c>
      <c r="H170" t="n">
        <v>1</v>
      </c>
      <c r="I170" t="n">
        <v>0</v>
      </c>
      <c r="J170" t="n">
        <v>1</v>
      </c>
      <c r="K170" t="n">
        <v>0</v>
      </c>
      <c r="L170" t="n">
        <v>0</v>
      </c>
      <c r="M170" t="n">
        <v>0</v>
      </c>
      <c r="N170" t="n">
        <v>0</v>
      </c>
      <c r="O170" t="n">
        <v>1</v>
      </c>
      <c r="P170" t="n">
        <v>0</v>
      </c>
      <c r="Q170" t="n">
        <v>2</v>
      </c>
      <c r="R170" s="2" t="inlineStr">
        <is>
          <t>Kolflarnlav
Blåsippa</t>
        </is>
      </c>
      <c r="S170">
        <f>HYPERLINK("https://klasma.github.io/Logging_2303/artfynd/A 47850-2025 artfynd.xlsx", "A 47850-2025")</f>
        <v/>
      </c>
      <c r="T170">
        <f>HYPERLINK("https://klasma.github.io/Logging_2303/kartor/A 47850-2025 karta.png", "A 47850-2025")</f>
        <v/>
      </c>
      <c r="V170">
        <f>HYPERLINK("https://klasma.github.io/Logging_2303/klagomål/A 47850-2025 FSC-klagomål.docx", "A 47850-2025")</f>
        <v/>
      </c>
      <c r="W170">
        <f>HYPERLINK("https://klasma.github.io/Logging_2303/klagomålsmail/A 47850-2025 FSC-klagomål mail.docx", "A 47850-2025")</f>
        <v/>
      </c>
      <c r="X170">
        <f>HYPERLINK("https://klasma.github.io/Logging_2303/tillsyn/A 47850-2025 tillsynsbegäran.docx", "A 47850-2025")</f>
        <v/>
      </c>
      <c r="Y170">
        <f>HYPERLINK("https://klasma.github.io/Logging_2303/tillsynsmail/A 47850-2025 tillsynsbegäran mail.docx", "A 47850-2025")</f>
        <v/>
      </c>
    </row>
    <row r="171" ht="15" customHeight="1">
      <c r="A171" t="inlineStr">
        <is>
          <t>A 26482-2023</t>
        </is>
      </c>
      <c r="B171" s="1" t="n">
        <v>45089</v>
      </c>
      <c r="C171" s="1" t="n">
        <v>46051</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46051</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57940-2024</t>
        </is>
      </c>
      <c r="B173" s="1" t="n">
        <v>45631</v>
      </c>
      <c r="C173" s="1" t="n">
        <v>46051</v>
      </c>
      <c r="D173" t="inlineStr">
        <is>
          <t>JÄMTLANDS LÄN</t>
        </is>
      </c>
      <c r="E173" t="inlineStr">
        <is>
          <t>RAGUNDA</t>
        </is>
      </c>
      <c r="F173" t="inlineStr">
        <is>
          <t>SCA</t>
        </is>
      </c>
      <c r="G173" t="n">
        <v>1.9</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HYPERLINK("https://klasma.github.io/Logging_2303/artfynd/A 57940-2024 artfynd.xlsx", "A 57940-2024")</f>
        <v/>
      </c>
      <c r="T173">
        <f>HYPERLINK("https://klasma.github.io/Logging_2303/kartor/A 57940-2024 karta.png", "A 57940-2024")</f>
        <v/>
      </c>
      <c r="V173">
        <f>HYPERLINK("https://klasma.github.io/Logging_2303/klagomål/A 57940-2024 FSC-klagomål.docx", "A 57940-2024")</f>
        <v/>
      </c>
      <c r="W173">
        <f>HYPERLINK("https://klasma.github.io/Logging_2303/klagomålsmail/A 57940-2024 FSC-klagomål mail.docx", "A 57940-2024")</f>
        <v/>
      </c>
      <c r="X173">
        <f>HYPERLINK("https://klasma.github.io/Logging_2303/tillsyn/A 57940-2024 tillsynsbegäran.docx", "A 57940-2024")</f>
        <v/>
      </c>
      <c r="Y173">
        <f>HYPERLINK("https://klasma.github.io/Logging_2303/tillsynsmail/A 57940-2024 tillsynsbegäran mail.docx", "A 57940-2024")</f>
        <v/>
      </c>
      <c r="Z173">
        <f>HYPERLINK("https://klasma.github.io/Logging_2303/fåglar/A 57940-2024 prioriterade fågelarter.docx", "A 57940-2024")</f>
        <v/>
      </c>
    </row>
    <row r="174" ht="15" customHeight="1">
      <c r="A174" t="inlineStr">
        <is>
          <t>A 10866-2025</t>
        </is>
      </c>
      <c r="B174" s="1" t="n">
        <v>45722.61543981481</v>
      </c>
      <c r="C174" s="1" t="n">
        <v>46051</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46051</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48084-2022</t>
        </is>
      </c>
      <c r="B176" s="1" t="n">
        <v>44855</v>
      </c>
      <c r="C176" s="1" t="n">
        <v>46051</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56634-2025</t>
        </is>
      </c>
      <c r="B177" s="1" t="n">
        <v>45975.61619212963</v>
      </c>
      <c r="C177" s="1" t="n">
        <v>46051</v>
      </c>
      <c r="D177" t="inlineStr">
        <is>
          <t>JÄMTLANDS LÄN</t>
        </is>
      </c>
      <c r="E177" t="inlineStr">
        <is>
          <t>RAGUNDA</t>
        </is>
      </c>
      <c r="F177" t="inlineStr">
        <is>
          <t>SCA</t>
        </is>
      </c>
      <c r="G177" t="n">
        <v>86.59999999999999</v>
      </c>
      <c r="H177" t="n">
        <v>0</v>
      </c>
      <c r="I177" t="n">
        <v>1</v>
      </c>
      <c r="J177" t="n">
        <v>1</v>
      </c>
      <c r="K177" t="n">
        <v>0</v>
      </c>
      <c r="L177" t="n">
        <v>0</v>
      </c>
      <c r="M177" t="n">
        <v>0</v>
      </c>
      <c r="N177" t="n">
        <v>0</v>
      </c>
      <c r="O177" t="n">
        <v>1</v>
      </c>
      <c r="P177" t="n">
        <v>0</v>
      </c>
      <c r="Q177" t="n">
        <v>2</v>
      </c>
      <c r="R177" s="2" t="inlineStr">
        <is>
          <t>Garnlav
Skuggblåslav</t>
        </is>
      </c>
      <c r="S177">
        <f>HYPERLINK("https://klasma.github.io/Logging_2303/artfynd/A 56634-2025 artfynd.xlsx", "A 56634-2025")</f>
        <v/>
      </c>
      <c r="T177">
        <f>HYPERLINK("https://klasma.github.io/Logging_2303/kartor/A 56634-2025 karta.png", "A 56634-2025")</f>
        <v/>
      </c>
      <c r="V177">
        <f>HYPERLINK("https://klasma.github.io/Logging_2303/klagomål/A 56634-2025 FSC-klagomål.docx", "A 56634-2025")</f>
        <v/>
      </c>
      <c r="W177">
        <f>HYPERLINK("https://klasma.github.io/Logging_2303/klagomålsmail/A 56634-2025 FSC-klagomål mail.docx", "A 56634-2025")</f>
        <v/>
      </c>
      <c r="X177">
        <f>HYPERLINK("https://klasma.github.io/Logging_2303/tillsyn/A 56634-2025 tillsynsbegäran.docx", "A 56634-2025")</f>
        <v/>
      </c>
      <c r="Y177">
        <f>HYPERLINK("https://klasma.github.io/Logging_2303/tillsynsmail/A 56634-2025 tillsynsbegäran mail.docx", "A 56634-2025")</f>
        <v/>
      </c>
    </row>
    <row r="178" ht="15" customHeight="1">
      <c r="A178" t="inlineStr">
        <is>
          <t>A 19384-2025</t>
        </is>
      </c>
      <c r="B178" s="1" t="n">
        <v>45769.65692129629</v>
      </c>
      <c r="C178" s="1" t="n">
        <v>46051</v>
      </c>
      <c r="D178" t="inlineStr">
        <is>
          <t>JÄMTLANDS LÄN</t>
        </is>
      </c>
      <c r="E178" t="inlineStr">
        <is>
          <t>RAGUNDA</t>
        </is>
      </c>
      <c r="F178" t="inlineStr">
        <is>
          <t>SCA</t>
        </is>
      </c>
      <c r="G178" t="n">
        <v>2.8</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19384-2025 artfynd.xlsx", "A 19384-2025")</f>
        <v/>
      </c>
      <c r="T178">
        <f>HYPERLINK("https://klasma.github.io/Logging_2303/kartor/A 19384-2025 karta.png", "A 19384-2025")</f>
        <v/>
      </c>
      <c r="V178">
        <f>HYPERLINK("https://klasma.github.io/Logging_2303/klagomål/A 19384-2025 FSC-klagomål.docx", "A 19384-2025")</f>
        <v/>
      </c>
      <c r="W178">
        <f>HYPERLINK("https://klasma.github.io/Logging_2303/klagomålsmail/A 19384-2025 FSC-klagomål mail.docx", "A 19384-2025")</f>
        <v/>
      </c>
      <c r="X178">
        <f>HYPERLINK("https://klasma.github.io/Logging_2303/tillsyn/A 19384-2025 tillsynsbegäran.docx", "A 19384-2025")</f>
        <v/>
      </c>
      <c r="Y178">
        <f>HYPERLINK("https://klasma.github.io/Logging_2303/tillsynsmail/A 19384-2025 tillsynsbegäran mail.docx", "A 19384-2025")</f>
        <v/>
      </c>
      <c r="Z178">
        <f>HYPERLINK("https://klasma.github.io/Logging_2303/fåglar/A 19384-2025 prioriterade fågelarter.docx", "A 19384-2025")</f>
        <v/>
      </c>
    </row>
    <row r="179" ht="15" customHeight="1">
      <c r="A179" t="inlineStr">
        <is>
          <t>A 55647-2023</t>
        </is>
      </c>
      <c r="B179" s="1" t="n">
        <v>45238</v>
      </c>
      <c r="C179" s="1" t="n">
        <v>46051</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62636-2025</t>
        </is>
      </c>
      <c r="B180" s="1" t="n">
        <v>46008.3653587963</v>
      </c>
      <c r="C180" s="1" t="n">
        <v>46051</v>
      </c>
      <c r="D180" t="inlineStr">
        <is>
          <t>JÄMTLANDS LÄN</t>
        </is>
      </c>
      <c r="E180" t="inlineStr">
        <is>
          <t>RAGUNDA</t>
        </is>
      </c>
      <c r="G180" t="n">
        <v>3.1</v>
      </c>
      <c r="H180" t="n">
        <v>1</v>
      </c>
      <c r="I180" t="n">
        <v>0</v>
      </c>
      <c r="J180" t="n">
        <v>2</v>
      </c>
      <c r="K180" t="n">
        <v>0</v>
      </c>
      <c r="L180" t="n">
        <v>0</v>
      </c>
      <c r="M180" t="n">
        <v>0</v>
      </c>
      <c r="N180" t="n">
        <v>0</v>
      </c>
      <c r="O180" t="n">
        <v>2</v>
      </c>
      <c r="P180" t="n">
        <v>0</v>
      </c>
      <c r="Q180" t="n">
        <v>2</v>
      </c>
      <c r="R180" s="2" t="inlineStr">
        <is>
          <t>Garnlav
Talltita</t>
        </is>
      </c>
      <c r="S180">
        <f>HYPERLINK("https://klasma.github.io/Logging_2303/artfynd/A 62636-2025 artfynd.xlsx", "A 62636-2025")</f>
        <v/>
      </c>
      <c r="T180">
        <f>HYPERLINK("https://klasma.github.io/Logging_2303/kartor/A 62636-2025 karta.png", "A 62636-2025")</f>
        <v/>
      </c>
      <c r="V180">
        <f>HYPERLINK("https://klasma.github.io/Logging_2303/klagomål/A 62636-2025 FSC-klagomål.docx", "A 62636-2025")</f>
        <v/>
      </c>
      <c r="W180">
        <f>HYPERLINK("https://klasma.github.io/Logging_2303/klagomålsmail/A 62636-2025 FSC-klagomål mail.docx", "A 62636-2025")</f>
        <v/>
      </c>
      <c r="X180">
        <f>HYPERLINK("https://klasma.github.io/Logging_2303/tillsyn/A 62636-2025 tillsynsbegäran.docx", "A 62636-2025")</f>
        <v/>
      </c>
      <c r="Y180">
        <f>HYPERLINK("https://klasma.github.io/Logging_2303/tillsynsmail/A 62636-2025 tillsynsbegäran mail.docx", "A 62636-2025")</f>
        <v/>
      </c>
      <c r="Z180">
        <f>HYPERLINK("https://klasma.github.io/Logging_2303/fåglar/A 62636-2025 prioriterade fågelarter.docx", "A 62636-2025")</f>
        <v/>
      </c>
    </row>
    <row r="181" ht="15" customHeight="1">
      <c r="A181" t="inlineStr">
        <is>
          <t>A 50089-2022</t>
        </is>
      </c>
      <c r="B181" s="1" t="n">
        <v>44865</v>
      </c>
      <c r="C181" s="1" t="n">
        <v>46051</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46051</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46051</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46051</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46051</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46051</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45035-2023</t>
        </is>
      </c>
      <c r="B187" s="1" t="n">
        <v>45191</v>
      </c>
      <c r="C187" s="1" t="n">
        <v>46051</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46051</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46051</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46051</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46051</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46051</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46051</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46051</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46051</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46051</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25155-2025</t>
        </is>
      </c>
      <c r="B197" s="1" t="n">
        <v>45800.42782407408</v>
      </c>
      <c r="C197" s="1" t="n">
        <v>46051</v>
      </c>
      <c r="D197" t="inlineStr">
        <is>
          <t>JÄMTLANDS LÄN</t>
        </is>
      </c>
      <c r="E197" t="inlineStr">
        <is>
          <t>RAGUNDA</t>
        </is>
      </c>
      <c r="F197" t="inlineStr">
        <is>
          <t>SCA</t>
        </is>
      </c>
      <c r="G197" t="n">
        <v>1.7</v>
      </c>
      <c r="H197" t="n">
        <v>1</v>
      </c>
      <c r="I197" t="n">
        <v>0</v>
      </c>
      <c r="J197" t="n">
        <v>1</v>
      </c>
      <c r="K197" t="n">
        <v>0</v>
      </c>
      <c r="L197" t="n">
        <v>0</v>
      </c>
      <c r="M197" t="n">
        <v>0</v>
      </c>
      <c r="N197" t="n">
        <v>0</v>
      </c>
      <c r="O197" t="n">
        <v>1</v>
      </c>
      <c r="P197" t="n">
        <v>0</v>
      </c>
      <c r="Q197" t="n">
        <v>2</v>
      </c>
      <c r="R197" s="2" t="inlineStr">
        <is>
          <t>Leptoporus mollis
Fläcknycklar</t>
        </is>
      </c>
      <c r="S197">
        <f>HYPERLINK("https://klasma.github.io/Logging_2303/artfynd/A 25155-2025 artfynd.xlsx", "A 25155-2025")</f>
        <v/>
      </c>
      <c r="T197">
        <f>HYPERLINK("https://klasma.github.io/Logging_2303/kartor/A 25155-2025 karta.png", "A 25155-2025")</f>
        <v/>
      </c>
      <c r="V197">
        <f>HYPERLINK("https://klasma.github.io/Logging_2303/klagomål/A 25155-2025 FSC-klagomål.docx", "A 25155-2025")</f>
        <v/>
      </c>
      <c r="W197">
        <f>HYPERLINK("https://klasma.github.io/Logging_2303/klagomålsmail/A 25155-2025 FSC-klagomål mail.docx", "A 25155-2025")</f>
        <v/>
      </c>
      <c r="X197">
        <f>HYPERLINK("https://klasma.github.io/Logging_2303/tillsyn/A 25155-2025 tillsynsbegäran.docx", "A 25155-2025")</f>
        <v/>
      </c>
      <c r="Y197">
        <f>HYPERLINK("https://klasma.github.io/Logging_2303/tillsynsmail/A 25155-2025 tillsynsbegäran mail.docx", "A 25155-2025")</f>
        <v/>
      </c>
    </row>
    <row r="198" ht="15" customHeight="1">
      <c r="A198" t="inlineStr">
        <is>
          <t>A 51916-2021</t>
        </is>
      </c>
      <c r="B198" s="1" t="n">
        <v>44462</v>
      </c>
      <c r="C198" s="1" t="n">
        <v>46051</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46051</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46051</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46051</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46051</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46051</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16316-2025</t>
        </is>
      </c>
      <c r="B204" s="1" t="n">
        <v>45751.34795138889</v>
      </c>
      <c r="C204" s="1" t="n">
        <v>46051</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1057-2024</t>
        </is>
      </c>
      <c r="B205" s="1" t="n">
        <v>45301</v>
      </c>
      <c r="C205" s="1" t="n">
        <v>46051</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46051</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59104-2023</t>
        </is>
      </c>
      <c r="B207" s="1" t="n">
        <v>45252</v>
      </c>
      <c r="C207" s="1" t="n">
        <v>46051</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23930-2024</t>
        </is>
      </c>
      <c r="B208" s="1" t="n">
        <v>45455.96184027778</v>
      </c>
      <c r="C208" s="1" t="n">
        <v>46051</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6703-2024</t>
        </is>
      </c>
      <c r="B209" s="1" t="n">
        <v>45341</v>
      </c>
      <c r="C209" s="1" t="n">
        <v>46051</v>
      </c>
      <c r="D209" t="inlineStr">
        <is>
          <t>JÄMTLANDS LÄN</t>
        </is>
      </c>
      <c r="E209" t="inlineStr">
        <is>
          <t>RAGUNDA</t>
        </is>
      </c>
      <c r="F209" t="inlineStr">
        <is>
          <t>SCA</t>
        </is>
      </c>
      <c r="G209" t="n">
        <v>2.4</v>
      </c>
      <c r="H209" t="n">
        <v>0</v>
      </c>
      <c r="I209" t="n">
        <v>0</v>
      </c>
      <c r="J209" t="n">
        <v>1</v>
      </c>
      <c r="K209" t="n">
        <v>0</v>
      </c>
      <c r="L209" t="n">
        <v>0</v>
      </c>
      <c r="M209" t="n">
        <v>0</v>
      </c>
      <c r="N209" t="n">
        <v>0</v>
      </c>
      <c r="O209" t="n">
        <v>1</v>
      </c>
      <c r="P209" t="n">
        <v>0</v>
      </c>
      <c r="Q209" t="n">
        <v>1</v>
      </c>
      <c r="R209" s="2" t="inlineStr">
        <is>
          <t>Vitgrynig nållav</t>
        </is>
      </c>
      <c r="S209">
        <f>HYPERLINK("https://klasma.github.io/Logging_2303/artfynd/A 6703-2024 artfynd.xlsx", "A 6703-2024")</f>
        <v/>
      </c>
      <c r="T209">
        <f>HYPERLINK("https://klasma.github.io/Logging_2303/kartor/A 6703-2024 karta.png", "A 6703-2024")</f>
        <v/>
      </c>
      <c r="V209">
        <f>HYPERLINK("https://klasma.github.io/Logging_2303/klagomål/A 6703-2024 FSC-klagomål.docx", "A 6703-2024")</f>
        <v/>
      </c>
      <c r="W209">
        <f>HYPERLINK("https://klasma.github.io/Logging_2303/klagomålsmail/A 6703-2024 FSC-klagomål mail.docx", "A 6703-2024")</f>
        <v/>
      </c>
      <c r="X209">
        <f>HYPERLINK("https://klasma.github.io/Logging_2303/tillsyn/A 6703-2024 tillsynsbegäran.docx", "A 6703-2024")</f>
        <v/>
      </c>
      <c r="Y209">
        <f>HYPERLINK("https://klasma.github.io/Logging_2303/tillsynsmail/A 6703-2024 tillsynsbegäran mail.docx", "A 6703-2024")</f>
        <v/>
      </c>
    </row>
    <row r="210" ht="15" customHeight="1">
      <c r="A210" t="inlineStr">
        <is>
          <t>A 24443-2024</t>
        </is>
      </c>
      <c r="B210" s="1" t="n">
        <v>45457.9640625</v>
      </c>
      <c r="C210" s="1" t="n">
        <v>46051</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27573-2025</t>
        </is>
      </c>
      <c r="B211" s="1" t="n">
        <v>45813.49061342593</v>
      </c>
      <c r="C211" s="1" t="n">
        <v>46051</v>
      </c>
      <c r="D211" t="inlineStr">
        <is>
          <t>JÄMTLANDS LÄN</t>
        </is>
      </c>
      <c r="E211" t="inlineStr">
        <is>
          <t>RAGUNDA</t>
        </is>
      </c>
      <c r="F211" t="inlineStr">
        <is>
          <t>SCA</t>
        </is>
      </c>
      <c r="G211" t="n">
        <v>14.9</v>
      </c>
      <c r="H211" t="n">
        <v>0</v>
      </c>
      <c r="I211" t="n">
        <v>1</v>
      </c>
      <c r="J211" t="n">
        <v>0</v>
      </c>
      <c r="K211" t="n">
        <v>0</v>
      </c>
      <c r="L211" t="n">
        <v>0</v>
      </c>
      <c r="M211" t="n">
        <v>0</v>
      </c>
      <c r="N211" t="n">
        <v>0</v>
      </c>
      <c r="O211" t="n">
        <v>0</v>
      </c>
      <c r="P211" t="n">
        <v>0</v>
      </c>
      <c r="Q211" t="n">
        <v>1</v>
      </c>
      <c r="R211" s="2" t="inlineStr">
        <is>
          <t>Skinnlav</t>
        </is>
      </c>
      <c r="S211">
        <f>HYPERLINK("https://klasma.github.io/Logging_2303/artfynd/A 27573-2025 artfynd.xlsx", "A 27573-2025")</f>
        <v/>
      </c>
      <c r="T211">
        <f>HYPERLINK("https://klasma.github.io/Logging_2303/kartor/A 27573-2025 karta.png", "A 27573-2025")</f>
        <v/>
      </c>
      <c r="U211">
        <f>HYPERLINK("https://klasma.github.io/Logging_2303/knärot/A 27573-2025 karta knärot.png", "A 27573-2025")</f>
        <v/>
      </c>
      <c r="V211">
        <f>HYPERLINK("https://klasma.github.io/Logging_2303/klagomål/A 27573-2025 FSC-klagomål.docx", "A 27573-2025")</f>
        <v/>
      </c>
      <c r="W211">
        <f>HYPERLINK("https://klasma.github.io/Logging_2303/klagomålsmail/A 27573-2025 FSC-klagomål mail.docx", "A 27573-2025")</f>
        <v/>
      </c>
      <c r="X211">
        <f>HYPERLINK("https://klasma.github.io/Logging_2303/tillsyn/A 27573-2025 tillsynsbegäran.docx", "A 27573-2025")</f>
        <v/>
      </c>
      <c r="Y211">
        <f>HYPERLINK("https://klasma.github.io/Logging_2303/tillsynsmail/A 27573-2025 tillsynsbegäran mail.docx", "A 27573-2025")</f>
        <v/>
      </c>
    </row>
    <row r="212" ht="15" customHeight="1">
      <c r="A212" t="inlineStr">
        <is>
          <t>A 48429-2023</t>
        </is>
      </c>
      <c r="B212" s="1" t="n">
        <v>45205</v>
      </c>
      <c r="C212" s="1" t="n">
        <v>46051</v>
      </c>
      <c r="D212" t="inlineStr">
        <is>
          <t>JÄMTLANDS LÄN</t>
        </is>
      </c>
      <c r="E212" t="inlineStr">
        <is>
          <t>RAGUNDA</t>
        </is>
      </c>
      <c r="F212" t="inlineStr">
        <is>
          <t>SCA</t>
        </is>
      </c>
      <c r="G212" t="n">
        <v>1.8</v>
      </c>
      <c r="H212" t="n">
        <v>0</v>
      </c>
      <c r="I212" t="n">
        <v>1</v>
      </c>
      <c r="J212" t="n">
        <v>0</v>
      </c>
      <c r="K212" t="n">
        <v>0</v>
      </c>
      <c r="L212" t="n">
        <v>0</v>
      </c>
      <c r="M212" t="n">
        <v>0</v>
      </c>
      <c r="N212" t="n">
        <v>0</v>
      </c>
      <c r="O212" t="n">
        <v>0</v>
      </c>
      <c r="P212" t="n">
        <v>0</v>
      </c>
      <c r="Q212" t="n">
        <v>1</v>
      </c>
      <c r="R212" s="2" t="inlineStr">
        <is>
          <t>Dropptaggsvamp</t>
        </is>
      </c>
      <c r="S212">
        <f>HYPERLINK("https://klasma.github.io/Logging_2303/artfynd/A 48429-2023 artfynd.xlsx", "A 48429-2023")</f>
        <v/>
      </c>
      <c r="T212">
        <f>HYPERLINK("https://klasma.github.io/Logging_2303/kartor/A 48429-2023 karta.png", "A 48429-2023")</f>
        <v/>
      </c>
      <c r="V212">
        <f>HYPERLINK("https://klasma.github.io/Logging_2303/klagomål/A 48429-2023 FSC-klagomål.docx", "A 48429-2023")</f>
        <v/>
      </c>
      <c r="W212">
        <f>HYPERLINK("https://klasma.github.io/Logging_2303/klagomålsmail/A 48429-2023 FSC-klagomål mail.docx", "A 48429-2023")</f>
        <v/>
      </c>
      <c r="X212">
        <f>HYPERLINK("https://klasma.github.io/Logging_2303/tillsyn/A 48429-2023 tillsynsbegäran.docx", "A 48429-2023")</f>
        <v/>
      </c>
      <c r="Y212">
        <f>HYPERLINK("https://klasma.github.io/Logging_2303/tillsynsmail/A 48429-2023 tillsynsbegäran mail.docx", "A 48429-2023")</f>
        <v/>
      </c>
    </row>
    <row r="213" ht="15" customHeight="1">
      <c r="A213" t="inlineStr">
        <is>
          <t>A 40841-2025</t>
        </is>
      </c>
      <c r="B213" s="1" t="n">
        <v>45897.531875</v>
      </c>
      <c r="C213" s="1" t="n">
        <v>46051</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11040-2023</t>
        </is>
      </c>
      <c r="B214" s="1" t="n">
        <v>44991</v>
      </c>
      <c r="C214" s="1" t="n">
        <v>46051</v>
      </c>
      <c r="D214" t="inlineStr">
        <is>
          <t>JÄMTLANDS LÄN</t>
        </is>
      </c>
      <c r="E214" t="inlineStr">
        <is>
          <t>RAGUNDA</t>
        </is>
      </c>
      <c r="F214" t="inlineStr">
        <is>
          <t>SCA</t>
        </is>
      </c>
      <c r="G214" t="n">
        <v>10.2</v>
      </c>
      <c r="H214" t="n">
        <v>0</v>
      </c>
      <c r="I214" t="n">
        <v>0</v>
      </c>
      <c r="J214" t="n">
        <v>1</v>
      </c>
      <c r="K214" t="n">
        <v>0</v>
      </c>
      <c r="L214" t="n">
        <v>0</v>
      </c>
      <c r="M214" t="n">
        <v>0</v>
      </c>
      <c r="N214" t="n">
        <v>0</v>
      </c>
      <c r="O214" t="n">
        <v>1</v>
      </c>
      <c r="P214" t="n">
        <v>0</v>
      </c>
      <c r="Q214" t="n">
        <v>1</v>
      </c>
      <c r="R214" s="2" t="inlineStr">
        <is>
          <t>Lunglav</t>
        </is>
      </c>
      <c r="S214">
        <f>HYPERLINK("https://klasma.github.io/Logging_2303/artfynd/A 11040-2023 artfynd.xlsx", "A 11040-2023")</f>
        <v/>
      </c>
      <c r="T214">
        <f>HYPERLINK("https://klasma.github.io/Logging_2303/kartor/A 11040-2023 karta.png", "A 11040-2023")</f>
        <v/>
      </c>
      <c r="V214">
        <f>HYPERLINK("https://klasma.github.io/Logging_2303/klagomål/A 11040-2023 FSC-klagomål.docx", "A 11040-2023")</f>
        <v/>
      </c>
      <c r="W214">
        <f>HYPERLINK("https://klasma.github.io/Logging_2303/klagomålsmail/A 11040-2023 FSC-klagomål mail.docx", "A 11040-2023")</f>
        <v/>
      </c>
      <c r="X214">
        <f>HYPERLINK("https://klasma.github.io/Logging_2303/tillsyn/A 11040-2023 tillsynsbegäran.docx", "A 11040-2023")</f>
        <v/>
      </c>
      <c r="Y214">
        <f>HYPERLINK("https://klasma.github.io/Logging_2303/tillsynsmail/A 11040-2023 tillsynsbegäran mail.docx", "A 11040-2023")</f>
        <v/>
      </c>
    </row>
    <row r="215" ht="15" customHeight="1">
      <c r="A215" t="inlineStr">
        <is>
          <t>A 30390-2025</t>
        </is>
      </c>
      <c r="B215" s="1" t="n">
        <v>45827.57371527778</v>
      </c>
      <c r="C215" s="1" t="n">
        <v>46051</v>
      </c>
      <c r="D215" t="inlineStr">
        <is>
          <t>JÄMTLANDS LÄN</t>
        </is>
      </c>
      <c r="E215" t="inlineStr">
        <is>
          <t>RAGUNDA</t>
        </is>
      </c>
      <c r="F215" t="inlineStr">
        <is>
          <t>SCA</t>
        </is>
      </c>
      <c r="G215" t="n">
        <v>11.2</v>
      </c>
      <c r="H215" t="n">
        <v>0</v>
      </c>
      <c r="I215" t="n">
        <v>0</v>
      </c>
      <c r="J215" t="n">
        <v>1</v>
      </c>
      <c r="K215" t="n">
        <v>0</v>
      </c>
      <c r="L215" t="n">
        <v>0</v>
      </c>
      <c r="M215" t="n">
        <v>0</v>
      </c>
      <c r="N215" t="n">
        <v>0</v>
      </c>
      <c r="O215" t="n">
        <v>1</v>
      </c>
      <c r="P215" t="n">
        <v>0</v>
      </c>
      <c r="Q215" t="n">
        <v>1</v>
      </c>
      <c r="R215" s="2" t="inlineStr">
        <is>
          <t>Lunglav</t>
        </is>
      </c>
      <c r="S215">
        <f>HYPERLINK("https://klasma.github.io/Logging_2303/artfynd/A 30390-2025 artfynd.xlsx", "A 30390-2025")</f>
        <v/>
      </c>
      <c r="T215">
        <f>HYPERLINK("https://klasma.github.io/Logging_2303/kartor/A 30390-2025 karta.png", "A 30390-2025")</f>
        <v/>
      </c>
      <c r="U215">
        <f>HYPERLINK("https://klasma.github.io/Logging_2303/knärot/A 30390-2025 karta knärot.png", "A 30390-2025")</f>
        <v/>
      </c>
      <c r="V215">
        <f>HYPERLINK("https://klasma.github.io/Logging_2303/klagomål/A 30390-2025 FSC-klagomål.docx", "A 30390-2025")</f>
        <v/>
      </c>
      <c r="W215">
        <f>HYPERLINK("https://klasma.github.io/Logging_2303/klagomålsmail/A 30390-2025 FSC-klagomål mail.docx", "A 30390-2025")</f>
        <v/>
      </c>
      <c r="X215">
        <f>HYPERLINK("https://klasma.github.io/Logging_2303/tillsyn/A 30390-2025 tillsynsbegäran.docx", "A 30390-2025")</f>
        <v/>
      </c>
      <c r="Y215">
        <f>HYPERLINK("https://klasma.github.io/Logging_2303/tillsynsmail/A 30390-2025 tillsynsbegäran mail.docx", "A 30390-2025")</f>
        <v/>
      </c>
    </row>
    <row r="216" ht="15" customHeight="1">
      <c r="A216" t="inlineStr">
        <is>
          <t>A 22054-2025</t>
        </is>
      </c>
      <c r="B216" s="1" t="n">
        <v>45785.36525462963</v>
      </c>
      <c r="C216" s="1" t="n">
        <v>46051</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32445-2025</t>
        </is>
      </c>
      <c r="B217" s="1" t="n">
        <v>45838.38627314815</v>
      </c>
      <c r="C217" s="1" t="n">
        <v>46051</v>
      </c>
      <c r="D217" t="inlineStr">
        <is>
          <t>JÄMTLANDS LÄN</t>
        </is>
      </c>
      <c r="E217" t="inlineStr">
        <is>
          <t>RAGUNDA</t>
        </is>
      </c>
      <c r="F217" t="inlineStr">
        <is>
          <t>SCA</t>
        </is>
      </c>
      <c r="G217" t="n">
        <v>1.6</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32445-2025 artfynd.xlsx", "A 32445-2025")</f>
        <v/>
      </c>
      <c r="T217">
        <f>HYPERLINK("https://klasma.github.io/Logging_2303/kartor/A 32445-2025 karta.png", "A 32445-2025")</f>
        <v/>
      </c>
      <c r="V217">
        <f>HYPERLINK("https://klasma.github.io/Logging_2303/klagomål/A 32445-2025 FSC-klagomål.docx", "A 32445-2025")</f>
        <v/>
      </c>
      <c r="W217">
        <f>HYPERLINK("https://klasma.github.io/Logging_2303/klagomålsmail/A 32445-2025 FSC-klagomål mail.docx", "A 32445-2025")</f>
        <v/>
      </c>
      <c r="X217">
        <f>HYPERLINK("https://klasma.github.io/Logging_2303/tillsyn/A 32445-2025 tillsynsbegäran.docx", "A 32445-2025")</f>
        <v/>
      </c>
      <c r="Y217">
        <f>HYPERLINK("https://klasma.github.io/Logging_2303/tillsynsmail/A 32445-2025 tillsynsbegäran mail.docx", "A 32445-2025")</f>
        <v/>
      </c>
      <c r="Z217">
        <f>HYPERLINK("https://klasma.github.io/Logging_2303/fåglar/A 32445-2025 prioriterade fågelarter.docx", "A 32445-2025")</f>
        <v/>
      </c>
    </row>
    <row r="218" ht="15" customHeight="1">
      <c r="A218" t="inlineStr">
        <is>
          <t>A 49091-2022</t>
        </is>
      </c>
      <c r="B218" s="1" t="n">
        <v>44860</v>
      </c>
      <c r="C218" s="1" t="n">
        <v>46051</v>
      </c>
      <c r="D218" t="inlineStr">
        <is>
          <t>JÄMTLANDS LÄN</t>
        </is>
      </c>
      <c r="E218" t="inlineStr">
        <is>
          <t>RAGUNDA</t>
        </is>
      </c>
      <c r="G218" t="n">
        <v>3.5</v>
      </c>
      <c r="H218" t="n">
        <v>1</v>
      </c>
      <c r="I218" t="n">
        <v>0</v>
      </c>
      <c r="J218" t="n">
        <v>0</v>
      </c>
      <c r="K218" t="n">
        <v>1</v>
      </c>
      <c r="L218" t="n">
        <v>0</v>
      </c>
      <c r="M218" t="n">
        <v>0</v>
      </c>
      <c r="N218" t="n">
        <v>0</v>
      </c>
      <c r="O218" t="n">
        <v>1</v>
      </c>
      <c r="P218" t="n">
        <v>1</v>
      </c>
      <c r="Q218" t="n">
        <v>1</v>
      </c>
      <c r="R218" s="2" t="inlineStr">
        <is>
          <t>Doftticka</t>
        </is>
      </c>
      <c r="S218">
        <f>HYPERLINK("https://klasma.github.io/Logging_2303/artfynd/A 49091-2022 artfynd.xlsx", "A 49091-2022")</f>
        <v/>
      </c>
      <c r="T218">
        <f>HYPERLINK("https://klasma.github.io/Logging_2303/kartor/A 49091-2022 karta.png", "A 49091-2022")</f>
        <v/>
      </c>
      <c r="V218">
        <f>HYPERLINK("https://klasma.github.io/Logging_2303/klagomål/A 49091-2022 FSC-klagomål.docx", "A 49091-2022")</f>
        <v/>
      </c>
      <c r="W218">
        <f>HYPERLINK("https://klasma.github.io/Logging_2303/klagomålsmail/A 49091-2022 FSC-klagomål mail.docx", "A 49091-2022")</f>
        <v/>
      </c>
      <c r="X218">
        <f>HYPERLINK("https://klasma.github.io/Logging_2303/tillsyn/A 49091-2022 tillsynsbegäran.docx", "A 49091-2022")</f>
        <v/>
      </c>
      <c r="Y218">
        <f>HYPERLINK("https://klasma.github.io/Logging_2303/tillsynsmail/A 49091-2022 tillsynsbegäran mail.docx", "A 49091-2022")</f>
        <v/>
      </c>
    </row>
    <row r="219" ht="15" customHeight="1">
      <c r="A219" t="inlineStr">
        <is>
          <t>A 43526-2025</t>
        </is>
      </c>
      <c r="B219" s="1" t="n">
        <v>45911</v>
      </c>
      <c r="C219" s="1" t="n">
        <v>46051</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34474-2025</t>
        </is>
      </c>
      <c r="B220" s="1" t="n">
        <v>45847.36528935185</v>
      </c>
      <c r="C220" s="1" t="n">
        <v>46051</v>
      </c>
      <c r="D220" t="inlineStr">
        <is>
          <t>JÄMTLANDS LÄN</t>
        </is>
      </c>
      <c r="E220" t="inlineStr">
        <is>
          <t>RAGUNDA</t>
        </is>
      </c>
      <c r="F220" t="inlineStr">
        <is>
          <t>SCA</t>
        </is>
      </c>
      <c r="G220" t="n">
        <v>9.699999999999999</v>
      </c>
      <c r="H220" t="n">
        <v>1</v>
      </c>
      <c r="I220" t="n">
        <v>0</v>
      </c>
      <c r="J220" t="n">
        <v>1</v>
      </c>
      <c r="K220" t="n">
        <v>0</v>
      </c>
      <c r="L220" t="n">
        <v>0</v>
      </c>
      <c r="M220" t="n">
        <v>0</v>
      </c>
      <c r="N220" t="n">
        <v>0</v>
      </c>
      <c r="O220" t="n">
        <v>1</v>
      </c>
      <c r="P220" t="n">
        <v>0</v>
      </c>
      <c r="Q220" t="n">
        <v>1</v>
      </c>
      <c r="R220" s="2" t="inlineStr">
        <is>
          <t>Fjällvråk</t>
        </is>
      </c>
      <c r="S220">
        <f>HYPERLINK("https://klasma.github.io/Logging_2303/artfynd/A 34474-2025 artfynd.xlsx", "A 34474-2025")</f>
        <v/>
      </c>
      <c r="T220">
        <f>HYPERLINK("https://klasma.github.io/Logging_2303/kartor/A 34474-2025 karta.png", "A 34474-2025")</f>
        <v/>
      </c>
      <c r="V220">
        <f>HYPERLINK("https://klasma.github.io/Logging_2303/klagomål/A 34474-2025 FSC-klagomål.docx", "A 34474-2025")</f>
        <v/>
      </c>
      <c r="W220">
        <f>HYPERLINK("https://klasma.github.io/Logging_2303/klagomålsmail/A 34474-2025 FSC-klagomål mail.docx", "A 34474-2025")</f>
        <v/>
      </c>
      <c r="X220">
        <f>HYPERLINK("https://klasma.github.io/Logging_2303/tillsyn/A 34474-2025 tillsynsbegäran.docx", "A 34474-2025")</f>
        <v/>
      </c>
      <c r="Y220">
        <f>HYPERLINK("https://klasma.github.io/Logging_2303/tillsynsmail/A 34474-2025 tillsynsbegäran mail.docx", "A 34474-2025")</f>
        <v/>
      </c>
      <c r="Z220">
        <f>HYPERLINK("https://klasma.github.io/Logging_2303/fåglar/A 34474-2025 prioriterade fågelarter.docx", "A 34474-2025")</f>
        <v/>
      </c>
    </row>
    <row r="221" ht="15" customHeight="1">
      <c r="A221" t="inlineStr">
        <is>
          <t>A 49053-2025</t>
        </is>
      </c>
      <c r="B221" s="1" t="n">
        <v>45937.64009259259</v>
      </c>
      <c r="C221" s="1" t="n">
        <v>46051</v>
      </c>
      <c r="D221" t="inlineStr">
        <is>
          <t>JÄMTLANDS LÄN</t>
        </is>
      </c>
      <c r="E221" t="inlineStr">
        <is>
          <t>RAGUNDA</t>
        </is>
      </c>
      <c r="F221" t="inlineStr">
        <is>
          <t>SCA</t>
        </is>
      </c>
      <c r="G221" t="n">
        <v>7</v>
      </c>
      <c r="H221" t="n">
        <v>1</v>
      </c>
      <c r="I221" t="n">
        <v>1</v>
      </c>
      <c r="J221" t="n">
        <v>0</v>
      </c>
      <c r="K221" t="n">
        <v>0</v>
      </c>
      <c r="L221" t="n">
        <v>0</v>
      </c>
      <c r="M221" t="n">
        <v>0</v>
      </c>
      <c r="N221" t="n">
        <v>0</v>
      </c>
      <c r="O221" t="n">
        <v>0</v>
      </c>
      <c r="P221" t="n">
        <v>0</v>
      </c>
      <c r="Q221" t="n">
        <v>1</v>
      </c>
      <c r="R221" s="2" t="inlineStr">
        <is>
          <t>Guckusko</t>
        </is>
      </c>
      <c r="S221">
        <f>HYPERLINK("https://klasma.github.io/Logging_2303/artfynd/A 49053-2025 artfynd.xlsx", "A 49053-2025")</f>
        <v/>
      </c>
      <c r="T221">
        <f>HYPERLINK("https://klasma.github.io/Logging_2303/kartor/A 49053-2025 karta.png", "A 49053-2025")</f>
        <v/>
      </c>
      <c r="V221">
        <f>HYPERLINK("https://klasma.github.io/Logging_2303/klagomål/A 49053-2025 FSC-klagomål.docx", "A 49053-2025")</f>
        <v/>
      </c>
      <c r="W221">
        <f>HYPERLINK("https://klasma.github.io/Logging_2303/klagomålsmail/A 49053-2025 FSC-klagomål mail.docx", "A 49053-2025")</f>
        <v/>
      </c>
      <c r="X221">
        <f>HYPERLINK("https://klasma.github.io/Logging_2303/tillsyn/A 49053-2025 tillsynsbegäran.docx", "A 49053-2025")</f>
        <v/>
      </c>
      <c r="Y221">
        <f>HYPERLINK("https://klasma.github.io/Logging_2303/tillsynsmail/A 49053-2025 tillsynsbegäran mail.docx", "A 49053-2025")</f>
        <v/>
      </c>
    </row>
    <row r="222" ht="15" customHeight="1">
      <c r="A222" t="inlineStr">
        <is>
          <t>A 51912-2025</t>
        </is>
      </c>
      <c r="B222" s="1" t="n">
        <v>45952.46939814815</v>
      </c>
      <c r="C222" s="1" t="n">
        <v>46051</v>
      </c>
      <c r="D222" t="inlineStr">
        <is>
          <t>JÄMTLANDS LÄN</t>
        </is>
      </c>
      <c r="E222" t="inlineStr">
        <is>
          <t>RAGUNDA</t>
        </is>
      </c>
      <c r="F222" t="inlineStr">
        <is>
          <t>SCA</t>
        </is>
      </c>
      <c r="G222" t="n">
        <v>24.2</v>
      </c>
      <c r="H222" t="n">
        <v>1</v>
      </c>
      <c r="I222" t="n">
        <v>0</v>
      </c>
      <c r="J222" t="n">
        <v>0</v>
      </c>
      <c r="K222" t="n">
        <v>1</v>
      </c>
      <c r="L222" t="n">
        <v>0</v>
      </c>
      <c r="M222" t="n">
        <v>0</v>
      </c>
      <c r="N222" t="n">
        <v>0</v>
      </c>
      <c r="O222" t="n">
        <v>1</v>
      </c>
      <c r="P222" t="n">
        <v>1</v>
      </c>
      <c r="Q222" t="n">
        <v>1</v>
      </c>
      <c r="R222" s="2" t="inlineStr">
        <is>
          <t>Norna</t>
        </is>
      </c>
      <c r="S222">
        <f>HYPERLINK("https://klasma.github.io/Logging_2303/artfynd/A 51912-2025 artfynd.xlsx", "A 51912-2025")</f>
        <v/>
      </c>
      <c r="T222">
        <f>HYPERLINK("https://klasma.github.io/Logging_2303/kartor/A 51912-2025 karta.png", "A 51912-2025")</f>
        <v/>
      </c>
      <c r="V222">
        <f>HYPERLINK("https://klasma.github.io/Logging_2303/klagomål/A 51912-2025 FSC-klagomål.docx", "A 51912-2025")</f>
        <v/>
      </c>
      <c r="W222">
        <f>HYPERLINK("https://klasma.github.io/Logging_2303/klagomålsmail/A 51912-2025 FSC-klagomål mail.docx", "A 51912-2025")</f>
        <v/>
      </c>
      <c r="X222">
        <f>HYPERLINK("https://klasma.github.io/Logging_2303/tillsyn/A 51912-2025 tillsynsbegäran.docx", "A 51912-2025")</f>
        <v/>
      </c>
      <c r="Y222">
        <f>HYPERLINK("https://klasma.github.io/Logging_2303/tillsynsmail/A 51912-2025 tillsynsbegäran mail.docx", "A 51912-2025")</f>
        <v/>
      </c>
    </row>
    <row r="223" ht="15" customHeight="1">
      <c r="A223" t="inlineStr">
        <is>
          <t>A 50164-2023</t>
        </is>
      </c>
      <c r="B223" s="1" t="n">
        <v>45208</v>
      </c>
      <c r="C223" s="1" t="n">
        <v>46051</v>
      </c>
      <c r="D223" t="inlineStr">
        <is>
          <t>JÄMTLANDS LÄN</t>
        </is>
      </c>
      <c r="E223" t="inlineStr">
        <is>
          <t>RAGUNDA</t>
        </is>
      </c>
      <c r="G223" t="n">
        <v>2.9</v>
      </c>
      <c r="H223" t="n">
        <v>0</v>
      </c>
      <c r="I223" t="n">
        <v>0</v>
      </c>
      <c r="J223" t="n">
        <v>0</v>
      </c>
      <c r="K223" t="n">
        <v>1</v>
      </c>
      <c r="L223" t="n">
        <v>0</v>
      </c>
      <c r="M223" t="n">
        <v>0</v>
      </c>
      <c r="N223" t="n">
        <v>0</v>
      </c>
      <c r="O223" t="n">
        <v>1</v>
      </c>
      <c r="P223" t="n">
        <v>1</v>
      </c>
      <c r="Q223" t="n">
        <v>1</v>
      </c>
      <c r="R223" s="2" t="inlineStr">
        <is>
          <t>Mindre barkplattbagge</t>
        </is>
      </c>
      <c r="S223">
        <f>HYPERLINK("https://klasma.github.io/Logging_2303/artfynd/A 50164-2023 artfynd.xlsx", "A 50164-2023")</f>
        <v/>
      </c>
      <c r="T223">
        <f>HYPERLINK("https://klasma.github.io/Logging_2303/kartor/A 50164-2023 karta.png", "A 50164-2023")</f>
        <v/>
      </c>
      <c r="V223">
        <f>HYPERLINK("https://klasma.github.io/Logging_2303/klagomål/A 50164-2023 FSC-klagomål.docx", "A 50164-2023")</f>
        <v/>
      </c>
      <c r="W223">
        <f>HYPERLINK("https://klasma.github.io/Logging_2303/klagomålsmail/A 50164-2023 FSC-klagomål mail.docx", "A 50164-2023")</f>
        <v/>
      </c>
      <c r="X223">
        <f>HYPERLINK("https://klasma.github.io/Logging_2303/tillsyn/A 50164-2023 tillsynsbegäran.docx", "A 50164-2023")</f>
        <v/>
      </c>
      <c r="Y223">
        <f>HYPERLINK("https://klasma.github.io/Logging_2303/tillsynsmail/A 50164-2023 tillsynsbegäran mail.docx", "A 50164-2023")</f>
        <v/>
      </c>
    </row>
    <row r="224" ht="15" customHeight="1">
      <c r="A224" t="inlineStr">
        <is>
          <t>A 36854-2023</t>
        </is>
      </c>
      <c r="B224" s="1" t="n">
        <v>45153</v>
      </c>
      <c r="C224" s="1" t="n">
        <v>46051</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36975-2023</t>
        </is>
      </c>
      <c r="B225" s="1" t="n">
        <v>45154</v>
      </c>
      <c r="C225" s="1" t="n">
        <v>46051</v>
      </c>
      <c r="D225" t="inlineStr">
        <is>
          <t>JÄMTLANDS LÄN</t>
        </is>
      </c>
      <c r="E225" t="inlineStr">
        <is>
          <t>RAGUNDA</t>
        </is>
      </c>
      <c r="F225" t="inlineStr">
        <is>
          <t>SCA</t>
        </is>
      </c>
      <c r="G225" t="n">
        <v>3.8</v>
      </c>
      <c r="H225" t="n">
        <v>0</v>
      </c>
      <c r="I225" t="n">
        <v>0</v>
      </c>
      <c r="J225" t="n">
        <v>0</v>
      </c>
      <c r="K225" t="n">
        <v>1</v>
      </c>
      <c r="L225" t="n">
        <v>0</v>
      </c>
      <c r="M225" t="n">
        <v>0</v>
      </c>
      <c r="N225" t="n">
        <v>0</v>
      </c>
      <c r="O225" t="n">
        <v>1</v>
      </c>
      <c r="P225" t="n">
        <v>1</v>
      </c>
      <c r="Q225" t="n">
        <v>1</v>
      </c>
      <c r="R225" s="2" t="inlineStr">
        <is>
          <t>Gräddporing</t>
        </is>
      </c>
      <c r="S225">
        <f>HYPERLINK("https://klasma.github.io/Logging_2303/artfynd/A 36975-2023 artfynd.xlsx", "A 36975-2023")</f>
        <v/>
      </c>
      <c r="T225">
        <f>HYPERLINK("https://klasma.github.io/Logging_2303/kartor/A 36975-2023 karta.png", "A 36975-2023")</f>
        <v/>
      </c>
      <c r="V225">
        <f>HYPERLINK("https://klasma.github.io/Logging_2303/klagomål/A 36975-2023 FSC-klagomål.docx", "A 36975-2023")</f>
        <v/>
      </c>
      <c r="W225">
        <f>HYPERLINK("https://klasma.github.io/Logging_2303/klagomålsmail/A 36975-2023 FSC-klagomål mail.docx", "A 36975-2023")</f>
        <v/>
      </c>
      <c r="X225">
        <f>HYPERLINK("https://klasma.github.io/Logging_2303/tillsyn/A 36975-2023 tillsynsbegäran.docx", "A 36975-2023")</f>
        <v/>
      </c>
      <c r="Y225">
        <f>HYPERLINK("https://klasma.github.io/Logging_2303/tillsynsmail/A 36975-2023 tillsynsbegäran mail.docx", "A 36975-2023")</f>
        <v/>
      </c>
    </row>
    <row r="226" ht="15" customHeight="1">
      <c r="A226" t="inlineStr">
        <is>
          <t>A 35750-2023</t>
        </is>
      </c>
      <c r="B226" s="1" t="n">
        <v>45147</v>
      </c>
      <c r="C226" s="1" t="n">
        <v>46051</v>
      </c>
      <c r="D226" t="inlineStr">
        <is>
          <t>JÄMTLANDS LÄN</t>
        </is>
      </c>
      <c r="E226" t="inlineStr">
        <is>
          <t>RAGUNDA</t>
        </is>
      </c>
      <c r="F226" t="inlineStr">
        <is>
          <t>SCA</t>
        </is>
      </c>
      <c r="G226" t="n">
        <v>4.8</v>
      </c>
      <c r="H226" t="n">
        <v>0</v>
      </c>
      <c r="I226" t="n">
        <v>0</v>
      </c>
      <c r="J226" t="n">
        <v>1</v>
      </c>
      <c r="K226" t="n">
        <v>0</v>
      </c>
      <c r="L226" t="n">
        <v>0</v>
      </c>
      <c r="M226" t="n">
        <v>0</v>
      </c>
      <c r="N226" t="n">
        <v>0</v>
      </c>
      <c r="O226" t="n">
        <v>1</v>
      </c>
      <c r="P226" t="n">
        <v>0</v>
      </c>
      <c r="Q226" t="n">
        <v>1</v>
      </c>
      <c r="R226" s="2" t="inlineStr">
        <is>
          <t>Grantaggsvamp</t>
        </is>
      </c>
      <c r="S226">
        <f>HYPERLINK("https://klasma.github.io/Logging_2303/artfynd/A 35750-2023 artfynd.xlsx", "A 35750-2023")</f>
        <v/>
      </c>
      <c r="T226">
        <f>HYPERLINK("https://klasma.github.io/Logging_2303/kartor/A 35750-2023 karta.png", "A 35750-2023")</f>
        <v/>
      </c>
      <c r="V226">
        <f>HYPERLINK("https://klasma.github.io/Logging_2303/klagomål/A 35750-2023 FSC-klagomål.docx", "A 35750-2023")</f>
        <v/>
      </c>
      <c r="W226">
        <f>HYPERLINK("https://klasma.github.io/Logging_2303/klagomålsmail/A 35750-2023 FSC-klagomål mail.docx", "A 35750-2023")</f>
        <v/>
      </c>
      <c r="X226">
        <f>HYPERLINK("https://klasma.github.io/Logging_2303/tillsyn/A 35750-2023 tillsynsbegäran.docx", "A 35750-2023")</f>
        <v/>
      </c>
      <c r="Y226">
        <f>HYPERLINK("https://klasma.github.io/Logging_2303/tillsynsmail/A 35750-2023 tillsynsbegäran mail.docx", "A 35750-2023")</f>
        <v/>
      </c>
    </row>
    <row r="227" ht="15" customHeight="1">
      <c r="A227" t="inlineStr">
        <is>
          <t>A 55756-2025</t>
        </is>
      </c>
      <c r="B227" s="1" t="n">
        <v>45972.59438657408</v>
      </c>
      <c r="C227" s="1" t="n">
        <v>46051</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Garnlav</t>
        </is>
      </c>
      <c r="S227">
        <f>HYPERLINK("https://klasma.github.io/Logging_2303/artfynd/A 55756-2025 artfynd.xlsx", "A 55756-2025")</f>
        <v/>
      </c>
      <c r="T227">
        <f>HYPERLINK("https://klasma.github.io/Logging_2303/kartor/A 55756-2025 karta.png", "A 55756-2025")</f>
        <v/>
      </c>
      <c r="V227">
        <f>HYPERLINK("https://klasma.github.io/Logging_2303/klagomål/A 55756-2025 FSC-klagomål.docx", "A 55756-2025")</f>
        <v/>
      </c>
      <c r="W227">
        <f>HYPERLINK("https://klasma.github.io/Logging_2303/klagomålsmail/A 55756-2025 FSC-klagomål mail.docx", "A 55756-2025")</f>
        <v/>
      </c>
      <c r="X227">
        <f>HYPERLINK("https://klasma.github.io/Logging_2303/tillsyn/A 55756-2025 tillsynsbegäran.docx", "A 55756-2025")</f>
        <v/>
      </c>
      <c r="Y227">
        <f>HYPERLINK("https://klasma.github.io/Logging_2303/tillsynsmail/A 55756-2025 tillsynsbegäran mail.docx", "A 55756-2025")</f>
        <v/>
      </c>
    </row>
    <row r="228" ht="15" customHeight="1">
      <c r="A228" t="inlineStr">
        <is>
          <t>A 32069-2024</t>
        </is>
      </c>
      <c r="B228" s="1" t="n">
        <v>45510</v>
      </c>
      <c r="C228" s="1" t="n">
        <v>46051</v>
      </c>
      <c r="D228" t="inlineStr">
        <is>
          <t>JÄMTLANDS LÄN</t>
        </is>
      </c>
      <c r="E228" t="inlineStr">
        <is>
          <t>RAGUNDA</t>
        </is>
      </c>
      <c r="F228" t="inlineStr">
        <is>
          <t>SCA</t>
        </is>
      </c>
      <c r="G228" t="n">
        <v>1.8</v>
      </c>
      <c r="H228" t="n">
        <v>0</v>
      </c>
      <c r="I228" t="n">
        <v>0</v>
      </c>
      <c r="J228" t="n">
        <v>1</v>
      </c>
      <c r="K228" t="n">
        <v>0</v>
      </c>
      <c r="L228" t="n">
        <v>0</v>
      </c>
      <c r="M228" t="n">
        <v>0</v>
      </c>
      <c r="N228" t="n">
        <v>0</v>
      </c>
      <c r="O228" t="n">
        <v>1</v>
      </c>
      <c r="P228" t="n">
        <v>0</v>
      </c>
      <c r="Q228" t="n">
        <v>1</v>
      </c>
      <c r="R228" s="2" t="inlineStr">
        <is>
          <t>Lunglav</t>
        </is>
      </c>
      <c r="S228">
        <f>HYPERLINK("https://klasma.github.io/Logging_2303/artfynd/A 32069-2024 artfynd.xlsx", "A 32069-2024")</f>
        <v/>
      </c>
      <c r="T228">
        <f>HYPERLINK("https://klasma.github.io/Logging_2303/kartor/A 32069-2024 karta.png", "A 32069-2024")</f>
        <v/>
      </c>
      <c r="V228">
        <f>HYPERLINK("https://klasma.github.io/Logging_2303/klagomål/A 32069-2024 FSC-klagomål.docx", "A 32069-2024")</f>
        <v/>
      </c>
      <c r="W228">
        <f>HYPERLINK("https://klasma.github.io/Logging_2303/klagomålsmail/A 32069-2024 FSC-klagomål mail.docx", "A 32069-2024")</f>
        <v/>
      </c>
      <c r="X228">
        <f>HYPERLINK("https://klasma.github.io/Logging_2303/tillsyn/A 32069-2024 tillsynsbegäran.docx", "A 32069-2024")</f>
        <v/>
      </c>
      <c r="Y228">
        <f>HYPERLINK("https://klasma.github.io/Logging_2303/tillsynsmail/A 32069-2024 tillsynsbegäran mail.docx", "A 32069-2024")</f>
        <v/>
      </c>
    </row>
    <row r="229" ht="15" customHeight="1">
      <c r="A229" t="inlineStr">
        <is>
          <t>A 56599-2025</t>
        </is>
      </c>
      <c r="B229" s="1" t="n">
        <v>45975.5734837963</v>
      </c>
      <c r="C229" s="1" t="n">
        <v>46051</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HYPERLINK("https://klasma.github.io/Logging_2303/artfynd/A 56599-2025 artfynd.xlsx", "A 56599-2025")</f>
        <v/>
      </c>
      <c r="T229">
        <f>HYPERLINK("https://klasma.github.io/Logging_2303/kartor/A 56599-2025 karta.png", "A 56599-2025")</f>
        <v/>
      </c>
      <c r="V229">
        <f>HYPERLINK("https://klasma.github.io/Logging_2303/klagomål/A 56599-2025 FSC-klagomål.docx", "A 56599-2025")</f>
        <v/>
      </c>
      <c r="W229">
        <f>HYPERLINK("https://klasma.github.io/Logging_2303/klagomålsmail/A 56599-2025 FSC-klagomål mail.docx", "A 56599-2025")</f>
        <v/>
      </c>
      <c r="X229">
        <f>HYPERLINK("https://klasma.github.io/Logging_2303/tillsyn/A 56599-2025 tillsynsbegäran.docx", "A 56599-2025")</f>
        <v/>
      </c>
      <c r="Y229">
        <f>HYPERLINK("https://klasma.github.io/Logging_2303/tillsynsmail/A 56599-2025 tillsynsbegäran mail.docx", "A 56599-2025")</f>
        <v/>
      </c>
    </row>
    <row r="230" ht="15" customHeight="1">
      <c r="A230" t="inlineStr">
        <is>
          <t>A 57478-2025</t>
        </is>
      </c>
      <c r="B230" s="1" t="n">
        <v>45980.57349537037</v>
      </c>
      <c r="C230" s="1" t="n">
        <v>46051</v>
      </c>
      <c r="D230" t="inlineStr">
        <is>
          <t>JÄMTLANDS LÄN</t>
        </is>
      </c>
      <c r="E230" t="inlineStr">
        <is>
          <t>RAGUNDA</t>
        </is>
      </c>
      <c r="F230" t="inlineStr">
        <is>
          <t>SCA</t>
        </is>
      </c>
      <c r="G230" t="n">
        <v>3.3</v>
      </c>
      <c r="H230" t="n">
        <v>0</v>
      </c>
      <c r="I230" t="n">
        <v>0</v>
      </c>
      <c r="J230" t="n">
        <v>1</v>
      </c>
      <c r="K230" t="n">
        <v>0</v>
      </c>
      <c r="L230" t="n">
        <v>0</v>
      </c>
      <c r="M230" t="n">
        <v>0</v>
      </c>
      <c r="N230" t="n">
        <v>0</v>
      </c>
      <c r="O230" t="n">
        <v>1</v>
      </c>
      <c r="P230" t="n">
        <v>0</v>
      </c>
      <c r="Q230" t="n">
        <v>1</v>
      </c>
      <c r="R230" s="2" t="inlineStr">
        <is>
          <t>Lunglav</t>
        </is>
      </c>
      <c r="S230">
        <f>HYPERLINK("https://klasma.github.io/Logging_2303/artfynd/A 57478-2025 artfynd.xlsx", "A 57478-2025")</f>
        <v/>
      </c>
      <c r="T230">
        <f>HYPERLINK("https://klasma.github.io/Logging_2303/kartor/A 57478-2025 karta.png", "A 57478-2025")</f>
        <v/>
      </c>
      <c r="V230">
        <f>HYPERLINK("https://klasma.github.io/Logging_2303/klagomål/A 57478-2025 FSC-klagomål.docx", "A 57478-2025")</f>
        <v/>
      </c>
      <c r="W230">
        <f>HYPERLINK("https://klasma.github.io/Logging_2303/klagomålsmail/A 57478-2025 FSC-klagomål mail.docx", "A 57478-2025")</f>
        <v/>
      </c>
      <c r="X230">
        <f>HYPERLINK("https://klasma.github.io/Logging_2303/tillsyn/A 57478-2025 tillsynsbegäran.docx", "A 57478-2025")</f>
        <v/>
      </c>
      <c r="Y230">
        <f>HYPERLINK("https://klasma.github.io/Logging_2303/tillsynsmail/A 57478-2025 tillsynsbegäran mail.docx", "A 57478-2025")</f>
        <v/>
      </c>
    </row>
    <row r="231" ht="15" customHeight="1">
      <c r="A231" t="inlineStr">
        <is>
          <t>A 57253-2025</t>
        </is>
      </c>
      <c r="B231" s="1" t="n">
        <v>45979.64381944444</v>
      </c>
      <c r="C231" s="1" t="n">
        <v>46051</v>
      </c>
      <c r="D231" t="inlineStr">
        <is>
          <t>JÄMTLANDS LÄN</t>
        </is>
      </c>
      <c r="E231" t="inlineStr">
        <is>
          <t>RAGUNDA</t>
        </is>
      </c>
      <c r="G231" t="n">
        <v>1.2</v>
      </c>
      <c r="H231" t="n">
        <v>0</v>
      </c>
      <c r="I231" t="n">
        <v>1</v>
      </c>
      <c r="J231" t="n">
        <v>0</v>
      </c>
      <c r="K231" t="n">
        <v>0</v>
      </c>
      <c r="L231" t="n">
        <v>0</v>
      </c>
      <c r="M231" t="n">
        <v>0</v>
      </c>
      <c r="N231" t="n">
        <v>0</v>
      </c>
      <c r="O231" t="n">
        <v>0</v>
      </c>
      <c r="P231" t="n">
        <v>0</v>
      </c>
      <c r="Q231" t="n">
        <v>1</v>
      </c>
      <c r="R231" s="2" t="inlineStr">
        <is>
          <t>Skinnlav</t>
        </is>
      </c>
      <c r="S231">
        <f>HYPERLINK("https://klasma.github.io/Logging_2303/artfynd/A 57253-2025 artfynd.xlsx", "A 57253-2025")</f>
        <v/>
      </c>
      <c r="T231">
        <f>HYPERLINK("https://klasma.github.io/Logging_2303/kartor/A 57253-2025 karta.png", "A 57253-2025")</f>
        <v/>
      </c>
      <c r="V231">
        <f>HYPERLINK("https://klasma.github.io/Logging_2303/klagomål/A 57253-2025 FSC-klagomål.docx", "A 57253-2025")</f>
        <v/>
      </c>
      <c r="W231">
        <f>HYPERLINK("https://klasma.github.io/Logging_2303/klagomålsmail/A 57253-2025 FSC-klagomål mail.docx", "A 57253-2025")</f>
        <v/>
      </c>
      <c r="X231">
        <f>HYPERLINK("https://klasma.github.io/Logging_2303/tillsyn/A 57253-2025 tillsynsbegäran.docx", "A 57253-2025")</f>
        <v/>
      </c>
      <c r="Y231">
        <f>HYPERLINK("https://klasma.github.io/Logging_2303/tillsynsmail/A 57253-2025 tillsynsbegäran mail.docx", "A 57253-2025")</f>
        <v/>
      </c>
    </row>
    <row r="232" ht="15" customHeight="1">
      <c r="A232" t="inlineStr">
        <is>
          <t>A 57479-2025</t>
        </is>
      </c>
      <c r="B232" s="1" t="n">
        <v>45980.5737037037</v>
      </c>
      <c r="C232" s="1" t="n">
        <v>46051</v>
      </c>
      <c r="D232" t="inlineStr">
        <is>
          <t>JÄMTLANDS LÄN</t>
        </is>
      </c>
      <c r="E232" t="inlineStr">
        <is>
          <t>RAGUNDA</t>
        </is>
      </c>
      <c r="F232" t="inlineStr">
        <is>
          <t>SCA</t>
        </is>
      </c>
      <c r="G232" t="n">
        <v>12</v>
      </c>
      <c r="H232" t="n">
        <v>0</v>
      </c>
      <c r="I232" t="n">
        <v>0</v>
      </c>
      <c r="J232" t="n">
        <v>1</v>
      </c>
      <c r="K232" t="n">
        <v>0</v>
      </c>
      <c r="L232" t="n">
        <v>0</v>
      </c>
      <c r="M232" t="n">
        <v>0</v>
      </c>
      <c r="N232" t="n">
        <v>0</v>
      </c>
      <c r="O232" t="n">
        <v>1</v>
      </c>
      <c r="P232" t="n">
        <v>0</v>
      </c>
      <c r="Q232" t="n">
        <v>1</v>
      </c>
      <c r="R232" s="2" t="inlineStr">
        <is>
          <t>Kolflarnlav</t>
        </is>
      </c>
      <c r="S232">
        <f>HYPERLINK("https://klasma.github.io/Logging_2303/artfynd/A 57479-2025 artfynd.xlsx", "A 57479-2025")</f>
        <v/>
      </c>
      <c r="T232">
        <f>HYPERLINK("https://klasma.github.io/Logging_2303/kartor/A 57479-2025 karta.png", "A 57479-2025")</f>
        <v/>
      </c>
      <c r="V232">
        <f>HYPERLINK("https://klasma.github.io/Logging_2303/klagomål/A 57479-2025 FSC-klagomål.docx", "A 57479-2025")</f>
        <v/>
      </c>
      <c r="W232">
        <f>HYPERLINK("https://klasma.github.io/Logging_2303/klagomålsmail/A 57479-2025 FSC-klagomål mail.docx", "A 57479-2025")</f>
        <v/>
      </c>
      <c r="X232">
        <f>HYPERLINK("https://klasma.github.io/Logging_2303/tillsyn/A 57479-2025 tillsynsbegäran.docx", "A 57479-2025")</f>
        <v/>
      </c>
      <c r="Y232">
        <f>HYPERLINK("https://klasma.github.io/Logging_2303/tillsynsmail/A 57479-2025 tillsynsbegäran mail.docx", "A 57479-2025")</f>
        <v/>
      </c>
    </row>
    <row r="233" ht="15" customHeight="1">
      <c r="A233" t="inlineStr">
        <is>
          <t>A 58990-2025</t>
        </is>
      </c>
      <c r="B233" s="1" t="n">
        <v>45987</v>
      </c>
      <c r="C233" s="1" t="n">
        <v>46051</v>
      </c>
      <c r="D233" t="inlineStr">
        <is>
          <t>JÄMTLANDS LÄN</t>
        </is>
      </c>
      <c r="E233" t="inlineStr">
        <is>
          <t>RAGUNDA</t>
        </is>
      </c>
      <c r="F233" t="inlineStr">
        <is>
          <t>SCA</t>
        </is>
      </c>
      <c r="G233" t="n">
        <v>4.6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58990-2025 artfynd.xlsx", "A 58990-2025")</f>
        <v/>
      </c>
      <c r="T233">
        <f>HYPERLINK("https://klasma.github.io/Logging_2303/kartor/A 58990-2025 karta.png", "A 58990-2025")</f>
        <v/>
      </c>
      <c r="V233">
        <f>HYPERLINK("https://klasma.github.io/Logging_2303/klagomål/A 58990-2025 FSC-klagomål.docx", "A 58990-2025")</f>
        <v/>
      </c>
      <c r="W233">
        <f>HYPERLINK("https://klasma.github.io/Logging_2303/klagomålsmail/A 58990-2025 FSC-klagomål mail.docx", "A 58990-2025")</f>
        <v/>
      </c>
      <c r="X233">
        <f>HYPERLINK("https://klasma.github.io/Logging_2303/tillsyn/A 58990-2025 tillsynsbegäran.docx", "A 58990-2025")</f>
        <v/>
      </c>
      <c r="Y233">
        <f>HYPERLINK("https://klasma.github.io/Logging_2303/tillsynsmail/A 58990-2025 tillsynsbegäran mail.docx", "A 58990-2025")</f>
        <v/>
      </c>
      <c r="Z233">
        <f>HYPERLINK("https://klasma.github.io/Logging_2303/fåglar/A 58990-2025 prioriterade fågelarter.docx", "A 58990-2025")</f>
        <v/>
      </c>
    </row>
    <row r="234" ht="15" customHeight="1">
      <c r="A234" t="inlineStr">
        <is>
          <t>A 30485-2024</t>
        </is>
      </c>
      <c r="B234" s="1" t="n">
        <v>45491.95008101852</v>
      </c>
      <c r="C234" s="1" t="n">
        <v>46051</v>
      </c>
      <c r="D234" t="inlineStr">
        <is>
          <t>JÄMTLANDS LÄN</t>
        </is>
      </c>
      <c r="E234" t="inlineStr">
        <is>
          <t>RAGUNDA</t>
        </is>
      </c>
      <c r="F234" t="inlineStr">
        <is>
          <t>SCA</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HYPERLINK("https://klasma.github.io/Logging_2303/artfynd/A 30485-2024 artfynd.xlsx", "A 30485-2024")</f>
        <v/>
      </c>
      <c r="T234">
        <f>HYPERLINK("https://klasma.github.io/Logging_2303/kartor/A 30485-2024 karta.png", "A 30485-2024")</f>
        <v/>
      </c>
      <c r="V234">
        <f>HYPERLINK("https://klasma.github.io/Logging_2303/klagomål/A 30485-2024 FSC-klagomål.docx", "A 30485-2024")</f>
        <v/>
      </c>
      <c r="W234">
        <f>HYPERLINK("https://klasma.github.io/Logging_2303/klagomålsmail/A 30485-2024 FSC-klagomål mail.docx", "A 30485-2024")</f>
        <v/>
      </c>
      <c r="X234">
        <f>HYPERLINK("https://klasma.github.io/Logging_2303/tillsyn/A 30485-2024 tillsynsbegäran.docx", "A 30485-2024")</f>
        <v/>
      </c>
      <c r="Y234">
        <f>HYPERLINK("https://klasma.github.io/Logging_2303/tillsynsmail/A 30485-2024 tillsynsbegäran mail.docx", "A 30485-2024")</f>
        <v/>
      </c>
    </row>
    <row r="235" ht="15" customHeight="1">
      <c r="A235" t="inlineStr">
        <is>
          <t>A 29921-2024</t>
        </is>
      </c>
      <c r="B235" s="1" t="n">
        <v>45487.92863425926</v>
      </c>
      <c r="C235" s="1" t="n">
        <v>46051</v>
      </c>
      <c r="D235" t="inlineStr">
        <is>
          <t>JÄMTLANDS LÄN</t>
        </is>
      </c>
      <c r="E235" t="inlineStr">
        <is>
          <t>RAGUNDA</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HYPERLINK("https://klasma.github.io/Logging_2303/artfynd/A 29921-2024 artfynd.xlsx", "A 29921-2024")</f>
        <v/>
      </c>
      <c r="T235">
        <f>HYPERLINK("https://klasma.github.io/Logging_2303/kartor/A 29921-2024 karta.png", "A 29921-2024")</f>
        <v/>
      </c>
      <c r="U235">
        <f>HYPERLINK("https://klasma.github.io/Logging_2303/knärot/A 29921-2024 karta knärot.png", "A 29921-2024")</f>
        <v/>
      </c>
      <c r="V235">
        <f>HYPERLINK("https://klasma.github.io/Logging_2303/klagomål/A 29921-2024 FSC-klagomål.docx", "A 29921-2024")</f>
        <v/>
      </c>
      <c r="W235">
        <f>HYPERLINK("https://klasma.github.io/Logging_2303/klagomålsmail/A 29921-2024 FSC-klagomål mail.docx", "A 29921-2024")</f>
        <v/>
      </c>
      <c r="X235">
        <f>HYPERLINK("https://klasma.github.io/Logging_2303/tillsyn/A 29921-2024 tillsynsbegäran.docx", "A 29921-2024")</f>
        <v/>
      </c>
      <c r="Y235">
        <f>HYPERLINK("https://klasma.github.io/Logging_2303/tillsynsmail/A 29921-2024 tillsynsbegäran mail.docx", "A 29921-2024")</f>
        <v/>
      </c>
    </row>
    <row r="236" ht="15" customHeight="1">
      <c r="A236" t="inlineStr">
        <is>
          <t>A 2097-2026</t>
        </is>
      </c>
      <c r="B236" s="1" t="n">
        <v>46036.36556712963</v>
      </c>
      <c r="C236" s="1" t="n">
        <v>46051</v>
      </c>
      <c r="D236" t="inlineStr">
        <is>
          <t>JÄMTLANDS LÄN</t>
        </is>
      </c>
      <c r="E236" t="inlineStr">
        <is>
          <t>RAGUNDA</t>
        </is>
      </c>
      <c r="F236" t="inlineStr">
        <is>
          <t>SCA</t>
        </is>
      </c>
      <c r="G236" t="n">
        <v>0.9</v>
      </c>
      <c r="H236" t="n">
        <v>0</v>
      </c>
      <c r="I236" t="n">
        <v>0</v>
      </c>
      <c r="J236" t="n">
        <v>0</v>
      </c>
      <c r="K236" t="n">
        <v>0</v>
      </c>
      <c r="L236" t="n">
        <v>1</v>
      </c>
      <c r="M236" t="n">
        <v>0</v>
      </c>
      <c r="N236" t="n">
        <v>0</v>
      </c>
      <c r="O236" t="n">
        <v>1</v>
      </c>
      <c r="P236" t="n">
        <v>1</v>
      </c>
      <c r="Q236" t="n">
        <v>1</v>
      </c>
      <c r="R236" s="2" t="inlineStr">
        <is>
          <t>Trolldruvemätare</t>
        </is>
      </c>
      <c r="S236">
        <f>HYPERLINK("https://klasma.github.io/Logging_2303/artfynd/A 2097-2026 artfynd.xlsx", "A 2097-2026")</f>
        <v/>
      </c>
      <c r="T236">
        <f>HYPERLINK("https://klasma.github.io/Logging_2303/kartor/A 2097-2026 karta.png", "A 2097-2026")</f>
        <v/>
      </c>
      <c r="V236">
        <f>HYPERLINK("https://klasma.github.io/Logging_2303/klagomål/A 2097-2026 FSC-klagomål.docx", "A 2097-2026")</f>
        <v/>
      </c>
      <c r="W236">
        <f>HYPERLINK("https://klasma.github.io/Logging_2303/klagomålsmail/A 2097-2026 FSC-klagomål mail.docx", "A 2097-2026")</f>
        <v/>
      </c>
      <c r="X236">
        <f>HYPERLINK("https://klasma.github.io/Logging_2303/tillsyn/A 2097-2026 tillsynsbegäran.docx", "A 2097-2026")</f>
        <v/>
      </c>
      <c r="Y236">
        <f>HYPERLINK("https://klasma.github.io/Logging_2303/tillsynsmail/A 2097-2026 tillsynsbegäran mail.docx", "A 2097-2026")</f>
        <v/>
      </c>
    </row>
    <row r="237" ht="15" customHeight="1">
      <c r="A237" t="inlineStr">
        <is>
          <t>A 2929-2024</t>
        </is>
      </c>
      <c r="B237" s="1" t="n">
        <v>45315</v>
      </c>
      <c r="C237" s="1" t="n">
        <v>46051</v>
      </c>
      <c r="D237" t="inlineStr">
        <is>
          <t>JÄMTLANDS LÄN</t>
        </is>
      </c>
      <c r="E237" t="inlineStr">
        <is>
          <t>RAGUNDA</t>
        </is>
      </c>
      <c r="G237" t="n">
        <v>1</v>
      </c>
      <c r="H237" t="n">
        <v>0</v>
      </c>
      <c r="I237" t="n">
        <v>0</v>
      </c>
      <c r="J237" t="n">
        <v>1</v>
      </c>
      <c r="K237" t="n">
        <v>0</v>
      </c>
      <c r="L237" t="n">
        <v>0</v>
      </c>
      <c r="M237" t="n">
        <v>0</v>
      </c>
      <c r="N237" t="n">
        <v>0</v>
      </c>
      <c r="O237" t="n">
        <v>1</v>
      </c>
      <c r="P237" t="n">
        <v>0</v>
      </c>
      <c r="Q237" t="n">
        <v>1</v>
      </c>
      <c r="R237" s="2" t="inlineStr">
        <is>
          <t>Klådris</t>
        </is>
      </c>
      <c r="S237">
        <f>HYPERLINK("https://klasma.github.io/Logging_2303/artfynd/A 2929-2024 artfynd.xlsx", "A 2929-2024")</f>
        <v/>
      </c>
      <c r="T237">
        <f>HYPERLINK("https://klasma.github.io/Logging_2303/kartor/A 2929-2024 karta.png", "A 2929-2024")</f>
        <v/>
      </c>
      <c r="V237">
        <f>HYPERLINK("https://klasma.github.io/Logging_2303/klagomål/A 2929-2024 FSC-klagomål.docx", "A 2929-2024")</f>
        <v/>
      </c>
      <c r="W237">
        <f>HYPERLINK("https://klasma.github.io/Logging_2303/klagomålsmail/A 2929-2024 FSC-klagomål mail.docx", "A 2929-2024")</f>
        <v/>
      </c>
      <c r="X237">
        <f>HYPERLINK("https://klasma.github.io/Logging_2303/tillsyn/A 2929-2024 tillsynsbegäran.docx", "A 2929-2024")</f>
        <v/>
      </c>
      <c r="Y237">
        <f>HYPERLINK("https://klasma.github.io/Logging_2303/tillsynsmail/A 2929-2024 tillsynsbegäran mail.docx", "A 2929-2024")</f>
        <v/>
      </c>
    </row>
    <row r="238" ht="15" customHeight="1">
      <c r="A238" t="inlineStr">
        <is>
          <t>A 50233-2024</t>
        </is>
      </c>
      <c r="B238" s="1" t="n">
        <v>45600.55265046296</v>
      </c>
      <c r="C238" s="1" t="n">
        <v>46051</v>
      </c>
      <c r="D238" t="inlineStr">
        <is>
          <t>JÄMTLANDS LÄN</t>
        </is>
      </c>
      <c r="E238" t="inlineStr">
        <is>
          <t>RAGUNDA</t>
        </is>
      </c>
      <c r="F238" t="inlineStr">
        <is>
          <t>SCA</t>
        </is>
      </c>
      <c r="G238" t="n">
        <v>5.6</v>
      </c>
      <c r="H238" t="n">
        <v>0</v>
      </c>
      <c r="I238" t="n">
        <v>0</v>
      </c>
      <c r="J238" t="n">
        <v>1</v>
      </c>
      <c r="K238" t="n">
        <v>0</v>
      </c>
      <c r="L238" t="n">
        <v>0</v>
      </c>
      <c r="M238" t="n">
        <v>0</v>
      </c>
      <c r="N238" t="n">
        <v>0</v>
      </c>
      <c r="O238" t="n">
        <v>1</v>
      </c>
      <c r="P238" t="n">
        <v>0</v>
      </c>
      <c r="Q238" t="n">
        <v>1</v>
      </c>
      <c r="R238" s="2" t="inlineStr">
        <is>
          <t>Granticka</t>
        </is>
      </c>
      <c r="S238">
        <f>HYPERLINK("https://klasma.github.io/Logging_2303/artfynd/A 50233-2024 artfynd.xlsx", "A 50233-2024")</f>
        <v/>
      </c>
      <c r="T238">
        <f>HYPERLINK("https://klasma.github.io/Logging_2303/kartor/A 50233-2024 karta.png", "A 50233-2024")</f>
        <v/>
      </c>
      <c r="V238">
        <f>HYPERLINK("https://klasma.github.io/Logging_2303/klagomål/A 50233-2024 FSC-klagomål.docx", "A 50233-2024")</f>
        <v/>
      </c>
      <c r="W238">
        <f>HYPERLINK("https://klasma.github.io/Logging_2303/klagomålsmail/A 50233-2024 FSC-klagomål mail.docx", "A 50233-2024")</f>
        <v/>
      </c>
      <c r="X238">
        <f>HYPERLINK("https://klasma.github.io/Logging_2303/tillsyn/A 50233-2024 tillsynsbegäran.docx", "A 50233-2024")</f>
        <v/>
      </c>
      <c r="Y238">
        <f>HYPERLINK("https://klasma.github.io/Logging_2303/tillsynsmail/A 50233-2024 tillsynsbegäran mail.docx", "A 50233-2024")</f>
        <v/>
      </c>
    </row>
    <row r="239" ht="15" customHeight="1">
      <c r="A239" t="inlineStr">
        <is>
          <t>A 4157-2026</t>
        </is>
      </c>
      <c r="B239" s="1" t="n">
        <v>46044.65694444445</v>
      </c>
      <c r="C239" s="1" t="n">
        <v>46051</v>
      </c>
      <c r="D239" t="inlineStr">
        <is>
          <t>JÄMTLANDS LÄN</t>
        </is>
      </c>
      <c r="E239" t="inlineStr">
        <is>
          <t>RAGUNDA</t>
        </is>
      </c>
      <c r="F239" t="inlineStr">
        <is>
          <t>SCA</t>
        </is>
      </c>
      <c r="G239" t="n">
        <v>2.6</v>
      </c>
      <c r="H239" t="n">
        <v>1</v>
      </c>
      <c r="I239" t="n">
        <v>1</v>
      </c>
      <c r="J239" t="n">
        <v>0</v>
      </c>
      <c r="K239" t="n">
        <v>0</v>
      </c>
      <c r="L239" t="n">
        <v>0</v>
      </c>
      <c r="M239" t="n">
        <v>0</v>
      </c>
      <c r="N239" t="n">
        <v>0</v>
      </c>
      <c r="O239" t="n">
        <v>0</v>
      </c>
      <c r="P239" t="n">
        <v>0</v>
      </c>
      <c r="Q239" t="n">
        <v>1</v>
      </c>
      <c r="R239" s="2" t="inlineStr">
        <is>
          <t>Tvåblad</t>
        </is>
      </c>
      <c r="S239">
        <f>HYPERLINK("https://klasma.github.io/Logging_2303/artfynd/A 4157-2026 artfynd.xlsx", "A 4157-2026")</f>
        <v/>
      </c>
      <c r="T239">
        <f>HYPERLINK("https://klasma.github.io/Logging_2303/kartor/A 4157-2026 karta.png", "A 4157-2026")</f>
        <v/>
      </c>
      <c r="V239">
        <f>HYPERLINK("https://klasma.github.io/Logging_2303/klagomål/A 4157-2026 FSC-klagomål.docx", "A 4157-2026")</f>
        <v/>
      </c>
      <c r="W239">
        <f>HYPERLINK("https://klasma.github.io/Logging_2303/klagomålsmail/A 4157-2026 FSC-klagomål mail.docx", "A 4157-2026")</f>
        <v/>
      </c>
      <c r="X239">
        <f>HYPERLINK("https://klasma.github.io/Logging_2303/tillsyn/A 4157-2026 tillsynsbegäran.docx", "A 4157-2026")</f>
        <v/>
      </c>
      <c r="Y239">
        <f>HYPERLINK("https://klasma.github.io/Logging_2303/tillsynsmail/A 4157-2026 tillsynsbegäran mail.docx", "A 4157-2026")</f>
        <v/>
      </c>
    </row>
    <row r="240" ht="15" customHeight="1">
      <c r="A240" t="inlineStr">
        <is>
          <t>A 19751-2025</t>
        </is>
      </c>
      <c r="B240" s="1" t="n">
        <v>45771.3859837963</v>
      </c>
      <c r="C240" s="1" t="n">
        <v>46051</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36224-2023</t>
        </is>
      </c>
      <c r="B241" s="1" t="n">
        <v>45149</v>
      </c>
      <c r="C241" s="1" t="n">
        <v>46051</v>
      </c>
      <c r="D241" t="inlineStr">
        <is>
          <t>JÄMTLANDS LÄN</t>
        </is>
      </c>
      <c r="E241" t="inlineStr">
        <is>
          <t>RAGUNDA</t>
        </is>
      </c>
      <c r="F241" t="inlineStr">
        <is>
          <t>SCA</t>
        </is>
      </c>
      <c r="G241" t="n">
        <v>8.1</v>
      </c>
      <c r="H241" t="n">
        <v>0</v>
      </c>
      <c r="I241" t="n">
        <v>0</v>
      </c>
      <c r="J241" t="n">
        <v>1</v>
      </c>
      <c r="K241" t="n">
        <v>0</v>
      </c>
      <c r="L241" t="n">
        <v>0</v>
      </c>
      <c r="M241" t="n">
        <v>0</v>
      </c>
      <c r="N241" t="n">
        <v>0</v>
      </c>
      <c r="O241" t="n">
        <v>1</v>
      </c>
      <c r="P241" t="n">
        <v>0</v>
      </c>
      <c r="Q241" t="n">
        <v>1</v>
      </c>
      <c r="R241" s="2" t="inlineStr">
        <is>
          <t>Garnlav</t>
        </is>
      </c>
      <c r="S241">
        <f>HYPERLINK("https://klasma.github.io/Logging_2303/artfynd/A 36224-2023 artfynd.xlsx", "A 36224-2023")</f>
        <v/>
      </c>
      <c r="T241">
        <f>HYPERLINK("https://klasma.github.io/Logging_2303/kartor/A 36224-2023 karta.png", "A 36224-2023")</f>
        <v/>
      </c>
      <c r="V241">
        <f>HYPERLINK("https://klasma.github.io/Logging_2303/klagomål/A 36224-2023 FSC-klagomål.docx", "A 36224-2023")</f>
        <v/>
      </c>
      <c r="W241">
        <f>HYPERLINK("https://klasma.github.io/Logging_2303/klagomålsmail/A 36224-2023 FSC-klagomål mail.docx", "A 36224-2023")</f>
        <v/>
      </c>
      <c r="X241">
        <f>HYPERLINK("https://klasma.github.io/Logging_2303/tillsyn/A 36224-2023 tillsynsbegäran.docx", "A 36224-2023")</f>
        <v/>
      </c>
      <c r="Y241">
        <f>HYPERLINK("https://klasma.github.io/Logging_2303/tillsynsmail/A 36224-2023 tillsynsbegäran mail.docx", "A 36224-2023")</f>
        <v/>
      </c>
    </row>
    <row r="242" ht="15" customHeight="1">
      <c r="A242" t="inlineStr">
        <is>
          <t>A 17340-2023</t>
        </is>
      </c>
      <c r="B242" s="1" t="n">
        <v>45033</v>
      </c>
      <c r="C242" s="1" t="n">
        <v>46051</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16724-2025</t>
        </is>
      </c>
      <c r="B243" s="1" t="n">
        <v>45754.51064814815</v>
      </c>
      <c r="C243" s="1" t="n">
        <v>46051</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62072-2023</t>
        </is>
      </c>
      <c r="B244" s="1" t="n">
        <v>45266</v>
      </c>
      <c r="C244" s="1" t="n">
        <v>46051</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25694-2023</t>
        </is>
      </c>
      <c r="B245" s="1" t="n">
        <v>45089</v>
      </c>
      <c r="C245" s="1" t="n">
        <v>46051</v>
      </c>
      <c r="D245" t="inlineStr">
        <is>
          <t>JÄMTLANDS LÄN</t>
        </is>
      </c>
      <c r="E245" t="inlineStr">
        <is>
          <t>RAGUNDA</t>
        </is>
      </c>
      <c r="F245" t="inlineStr">
        <is>
          <t>SCA</t>
        </is>
      </c>
      <c r="G245" t="n">
        <v>1.5</v>
      </c>
      <c r="H245" t="n">
        <v>0</v>
      </c>
      <c r="I245" t="n">
        <v>0</v>
      </c>
      <c r="J245" t="n">
        <v>1</v>
      </c>
      <c r="K245" t="n">
        <v>0</v>
      </c>
      <c r="L245" t="n">
        <v>0</v>
      </c>
      <c r="M245" t="n">
        <v>0</v>
      </c>
      <c r="N245" t="n">
        <v>0</v>
      </c>
      <c r="O245" t="n">
        <v>1</v>
      </c>
      <c r="P245" t="n">
        <v>0</v>
      </c>
      <c r="Q245" t="n">
        <v>1</v>
      </c>
      <c r="R245" s="2" t="inlineStr">
        <is>
          <t>Ullticka</t>
        </is>
      </c>
      <c r="S245">
        <f>HYPERLINK("https://klasma.github.io/Logging_2303/artfynd/A 25694-2023 artfynd.xlsx", "A 25694-2023")</f>
        <v/>
      </c>
      <c r="T245">
        <f>HYPERLINK("https://klasma.github.io/Logging_2303/kartor/A 25694-2023 karta.png", "A 25694-2023")</f>
        <v/>
      </c>
      <c r="V245">
        <f>HYPERLINK("https://klasma.github.io/Logging_2303/klagomål/A 25694-2023 FSC-klagomål.docx", "A 25694-2023")</f>
        <v/>
      </c>
      <c r="W245">
        <f>HYPERLINK("https://klasma.github.io/Logging_2303/klagomålsmail/A 25694-2023 FSC-klagomål mail.docx", "A 25694-2023")</f>
        <v/>
      </c>
      <c r="X245">
        <f>HYPERLINK("https://klasma.github.io/Logging_2303/tillsyn/A 25694-2023 tillsynsbegäran.docx", "A 25694-2023")</f>
        <v/>
      </c>
      <c r="Y245">
        <f>HYPERLINK("https://klasma.github.io/Logging_2303/tillsynsmail/A 25694-2023 tillsynsbegäran mail.docx", "A 25694-2023")</f>
        <v/>
      </c>
    </row>
    <row r="246" ht="15" customHeight="1">
      <c r="A246" t="inlineStr">
        <is>
          <t>A 49770-2024</t>
        </is>
      </c>
      <c r="B246" s="1" t="n">
        <v>45597.34461805555</v>
      </c>
      <c r="C246" s="1" t="n">
        <v>46051</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36757-2023</t>
        </is>
      </c>
      <c r="B247" s="1" t="n">
        <v>45153</v>
      </c>
      <c r="C247" s="1" t="n">
        <v>46051</v>
      </c>
      <c r="D247" t="inlineStr">
        <is>
          <t>JÄMTLANDS LÄN</t>
        </is>
      </c>
      <c r="E247" t="inlineStr">
        <is>
          <t>RAGUNDA</t>
        </is>
      </c>
      <c r="G247" t="n">
        <v>0.7</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36757-2023 artfynd.xlsx", "A 36757-2023")</f>
        <v/>
      </c>
      <c r="T247">
        <f>HYPERLINK("https://klasma.github.io/Logging_2303/kartor/A 36757-2023 karta.png", "A 36757-2023")</f>
        <v/>
      </c>
      <c r="V247">
        <f>HYPERLINK("https://klasma.github.io/Logging_2303/klagomål/A 36757-2023 FSC-klagomål.docx", "A 36757-2023")</f>
        <v/>
      </c>
      <c r="W247">
        <f>HYPERLINK("https://klasma.github.io/Logging_2303/klagomålsmail/A 36757-2023 FSC-klagomål mail.docx", "A 36757-2023")</f>
        <v/>
      </c>
      <c r="X247">
        <f>HYPERLINK("https://klasma.github.io/Logging_2303/tillsyn/A 36757-2023 tillsynsbegäran.docx", "A 36757-2023")</f>
        <v/>
      </c>
      <c r="Y247">
        <f>HYPERLINK("https://klasma.github.io/Logging_2303/tillsynsmail/A 36757-2023 tillsynsbegäran mail.docx", "A 36757-2023")</f>
        <v/>
      </c>
      <c r="Z247">
        <f>HYPERLINK("https://klasma.github.io/Logging_2303/fåglar/A 36757-2023 prioriterade fågelarter.docx", "A 36757-2023")</f>
        <v/>
      </c>
    </row>
    <row r="248" ht="15" customHeight="1">
      <c r="A248" t="inlineStr">
        <is>
          <t>A 43404-2023</t>
        </is>
      </c>
      <c r="B248" s="1" t="n">
        <v>45183</v>
      </c>
      <c r="C248" s="1" t="n">
        <v>46051</v>
      </c>
      <c r="D248" t="inlineStr">
        <is>
          <t>JÄMTLANDS LÄN</t>
        </is>
      </c>
      <c r="E248" t="inlineStr">
        <is>
          <t>RAGUNDA</t>
        </is>
      </c>
      <c r="F248" t="inlineStr">
        <is>
          <t>SCA</t>
        </is>
      </c>
      <c r="G248" t="n">
        <v>0.9</v>
      </c>
      <c r="H248" t="n">
        <v>0</v>
      </c>
      <c r="I248" t="n">
        <v>1</v>
      </c>
      <c r="J248" t="n">
        <v>0</v>
      </c>
      <c r="K248" t="n">
        <v>0</v>
      </c>
      <c r="L248" t="n">
        <v>0</v>
      </c>
      <c r="M248" t="n">
        <v>0</v>
      </c>
      <c r="N248" t="n">
        <v>0</v>
      </c>
      <c r="O248" t="n">
        <v>0</v>
      </c>
      <c r="P248" t="n">
        <v>0</v>
      </c>
      <c r="Q248" t="n">
        <v>1</v>
      </c>
      <c r="R248" s="2" t="inlineStr">
        <is>
          <t>Kryddspindling</t>
        </is>
      </c>
      <c r="S248">
        <f>HYPERLINK("https://klasma.github.io/Logging_2303/artfynd/A 43404-2023 artfynd.xlsx", "A 43404-2023")</f>
        <v/>
      </c>
      <c r="T248">
        <f>HYPERLINK("https://klasma.github.io/Logging_2303/kartor/A 43404-2023 karta.png", "A 43404-2023")</f>
        <v/>
      </c>
      <c r="V248">
        <f>HYPERLINK("https://klasma.github.io/Logging_2303/klagomål/A 43404-2023 FSC-klagomål.docx", "A 43404-2023")</f>
        <v/>
      </c>
      <c r="W248">
        <f>HYPERLINK("https://klasma.github.io/Logging_2303/klagomålsmail/A 43404-2023 FSC-klagomål mail.docx", "A 43404-2023")</f>
        <v/>
      </c>
      <c r="X248">
        <f>HYPERLINK("https://klasma.github.io/Logging_2303/tillsyn/A 43404-2023 tillsynsbegäran.docx", "A 43404-2023")</f>
        <v/>
      </c>
      <c r="Y248">
        <f>HYPERLINK("https://klasma.github.io/Logging_2303/tillsynsmail/A 43404-2023 tillsynsbegäran mail.docx", "A 43404-2023")</f>
        <v/>
      </c>
    </row>
    <row r="249" ht="15" customHeight="1">
      <c r="A249" t="inlineStr">
        <is>
          <t>A 61324-2024</t>
        </is>
      </c>
      <c r="B249" s="1" t="n">
        <v>45646.34438657408</v>
      </c>
      <c r="C249" s="1" t="n">
        <v>46051</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19387-2025</t>
        </is>
      </c>
      <c r="B250" s="1" t="n">
        <v>45769.65736111111</v>
      </c>
      <c r="C250" s="1" t="n">
        <v>46051</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20575-2025</t>
        </is>
      </c>
      <c r="B251" s="1" t="n">
        <v>45775.67769675926</v>
      </c>
      <c r="C251" s="1" t="n">
        <v>46051</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20774-2024</t>
        </is>
      </c>
      <c r="B252" s="1" t="n">
        <v>45436.94644675926</v>
      </c>
      <c r="C252" s="1" t="n">
        <v>46051</v>
      </c>
      <c r="D252" t="inlineStr">
        <is>
          <t>JÄMTLANDS LÄN</t>
        </is>
      </c>
      <c r="E252" t="inlineStr">
        <is>
          <t>RAGUNDA</t>
        </is>
      </c>
      <c r="F252" t="inlineStr">
        <is>
          <t>SCA</t>
        </is>
      </c>
      <c r="G252" t="n">
        <v>2.3</v>
      </c>
      <c r="H252" t="n">
        <v>0</v>
      </c>
      <c r="I252" t="n">
        <v>1</v>
      </c>
      <c r="J252" t="n">
        <v>0</v>
      </c>
      <c r="K252" t="n">
        <v>0</v>
      </c>
      <c r="L252" t="n">
        <v>0</v>
      </c>
      <c r="M252" t="n">
        <v>0</v>
      </c>
      <c r="N252" t="n">
        <v>0</v>
      </c>
      <c r="O252" t="n">
        <v>0</v>
      </c>
      <c r="P252" t="n">
        <v>0</v>
      </c>
      <c r="Q252" t="n">
        <v>1</v>
      </c>
      <c r="R252" s="2" t="inlineStr">
        <is>
          <t>Fjällig taggsvamp s.str.</t>
        </is>
      </c>
      <c r="S252">
        <f>HYPERLINK("https://klasma.github.io/Logging_2303/artfynd/A 20774-2024 artfynd.xlsx", "A 20774-2024")</f>
        <v/>
      </c>
      <c r="T252">
        <f>HYPERLINK("https://klasma.github.io/Logging_2303/kartor/A 20774-2024 karta.png", "A 20774-2024")</f>
        <v/>
      </c>
      <c r="V252">
        <f>HYPERLINK("https://klasma.github.io/Logging_2303/klagomål/A 20774-2024 FSC-klagomål.docx", "A 20774-2024")</f>
        <v/>
      </c>
      <c r="W252">
        <f>HYPERLINK("https://klasma.github.io/Logging_2303/klagomålsmail/A 20774-2024 FSC-klagomål mail.docx", "A 20774-2024")</f>
        <v/>
      </c>
      <c r="X252">
        <f>HYPERLINK("https://klasma.github.io/Logging_2303/tillsyn/A 20774-2024 tillsynsbegäran.docx", "A 20774-2024")</f>
        <v/>
      </c>
      <c r="Y252">
        <f>HYPERLINK("https://klasma.github.io/Logging_2303/tillsynsmail/A 20774-2024 tillsynsbegäran mail.docx", "A 20774-2024")</f>
        <v/>
      </c>
    </row>
    <row r="253" ht="15" customHeight="1">
      <c r="A253" t="inlineStr">
        <is>
          <t>A 26317-2024</t>
        </is>
      </c>
      <c r="B253" s="1" t="n">
        <v>45468</v>
      </c>
      <c r="C253" s="1" t="n">
        <v>46051</v>
      </c>
      <c r="D253" t="inlineStr">
        <is>
          <t>JÄMTLANDS LÄN</t>
        </is>
      </c>
      <c r="E253" t="inlineStr">
        <is>
          <t>RAGUNDA</t>
        </is>
      </c>
      <c r="F253" t="inlineStr">
        <is>
          <t>SCA</t>
        </is>
      </c>
      <c r="G253" t="n">
        <v>3.8</v>
      </c>
      <c r="H253" t="n">
        <v>0</v>
      </c>
      <c r="I253" t="n">
        <v>0</v>
      </c>
      <c r="J253" t="n">
        <v>1</v>
      </c>
      <c r="K253" t="n">
        <v>0</v>
      </c>
      <c r="L253" t="n">
        <v>0</v>
      </c>
      <c r="M253" t="n">
        <v>0</v>
      </c>
      <c r="N253" t="n">
        <v>0</v>
      </c>
      <c r="O253" t="n">
        <v>1</v>
      </c>
      <c r="P253" t="n">
        <v>0</v>
      </c>
      <c r="Q253" t="n">
        <v>1</v>
      </c>
      <c r="R253" s="2" t="inlineStr">
        <is>
          <t>Kortskaftad ärgspik</t>
        </is>
      </c>
      <c r="S253">
        <f>HYPERLINK("https://klasma.github.io/Logging_2303/artfynd/A 26317-2024 artfynd.xlsx", "A 26317-2024")</f>
        <v/>
      </c>
      <c r="T253">
        <f>HYPERLINK("https://klasma.github.io/Logging_2303/kartor/A 26317-2024 karta.png", "A 26317-2024")</f>
        <v/>
      </c>
      <c r="V253">
        <f>HYPERLINK("https://klasma.github.io/Logging_2303/klagomål/A 26317-2024 FSC-klagomål.docx", "A 26317-2024")</f>
        <v/>
      </c>
      <c r="W253">
        <f>HYPERLINK("https://klasma.github.io/Logging_2303/klagomålsmail/A 26317-2024 FSC-klagomål mail.docx", "A 26317-2024")</f>
        <v/>
      </c>
      <c r="X253">
        <f>HYPERLINK("https://klasma.github.io/Logging_2303/tillsyn/A 26317-2024 tillsynsbegäran.docx", "A 26317-2024")</f>
        <v/>
      </c>
      <c r="Y253">
        <f>HYPERLINK("https://klasma.github.io/Logging_2303/tillsynsmail/A 26317-2024 tillsynsbegäran mail.docx", "A 26317-2024")</f>
        <v/>
      </c>
    </row>
    <row r="254" ht="15" customHeight="1">
      <c r="A254" t="inlineStr">
        <is>
          <t>A 31773-2021</t>
        </is>
      </c>
      <c r="B254" s="1" t="n">
        <v>44369</v>
      </c>
      <c r="C254" s="1" t="n">
        <v>46051</v>
      </c>
      <c r="D254" t="inlineStr">
        <is>
          <t>JÄMTLANDS LÄN</t>
        </is>
      </c>
      <c r="E254" t="inlineStr">
        <is>
          <t>RAGUNDA</t>
        </is>
      </c>
      <c r="G254" t="n">
        <v>0.8</v>
      </c>
      <c r="H254" t="n">
        <v>0</v>
      </c>
      <c r="I254" t="n">
        <v>0</v>
      </c>
      <c r="J254" t="n">
        <v>0</v>
      </c>
      <c r="K254" t="n">
        <v>1</v>
      </c>
      <c r="L254" t="n">
        <v>0</v>
      </c>
      <c r="M254" t="n">
        <v>0</v>
      </c>
      <c r="N254" t="n">
        <v>0</v>
      </c>
      <c r="O254" t="n">
        <v>1</v>
      </c>
      <c r="P254" t="n">
        <v>1</v>
      </c>
      <c r="Q254" t="n">
        <v>1</v>
      </c>
      <c r="R254" s="2" t="inlineStr">
        <is>
          <t>Strandsandjägare</t>
        </is>
      </c>
      <c r="S254">
        <f>HYPERLINK("https://klasma.github.io/Logging_2303/artfynd/A 31773-2021 artfynd.xlsx", "A 31773-2021")</f>
        <v/>
      </c>
      <c r="T254">
        <f>HYPERLINK("https://klasma.github.io/Logging_2303/kartor/A 31773-2021 karta.png", "A 31773-2021")</f>
        <v/>
      </c>
      <c r="V254">
        <f>HYPERLINK("https://klasma.github.io/Logging_2303/klagomål/A 31773-2021 FSC-klagomål.docx", "A 31773-2021")</f>
        <v/>
      </c>
      <c r="W254">
        <f>HYPERLINK("https://klasma.github.io/Logging_2303/klagomålsmail/A 31773-2021 FSC-klagomål mail.docx", "A 31773-2021")</f>
        <v/>
      </c>
      <c r="X254">
        <f>HYPERLINK("https://klasma.github.io/Logging_2303/tillsyn/A 31773-2021 tillsynsbegäran.docx", "A 31773-2021")</f>
        <v/>
      </c>
      <c r="Y254">
        <f>HYPERLINK("https://klasma.github.io/Logging_2303/tillsynsmail/A 31773-2021 tillsynsbegäran mail.docx", "A 31773-2021")</f>
        <v/>
      </c>
    </row>
    <row r="255" ht="15" customHeight="1">
      <c r="A255" t="inlineStr">
        <is>
          <t>A 48477-2023</t>
        </is>
      </c>
      <c r="B255" s="1" t="n">
        <v>45206</v>
      </c>
      <c r="C255" s="1" t="n">
        <v>46051</v>
      </c>
      <c r="D255" t="inlineStr">
        <is>
          <t>JÄMTLANDS LÄN</t>
        </is>
      </c>
      <c r="E255" t="inlineStr">
        <is>
          <t>RAGUNDA</t>
        </is>
      </c>
      <c r="F255" t="inlineStr">
        <is>
          <t>SCA</t>
        </is>
      </c>
      <c r="G255" t="n">
        <v>1.8</v>
      </c>
      <c r="H255" t="n">
        <v>0</v>
      </c>
      <c r="I255" t="n">
        <v>1</v>
      </c>
      <c r="J255" t="n">
        <v>0</v>
      </c>
      <c r="K255" t="n">
        <v>0</v>
      </c>
      <c r="L255" t="n">
        <v>0</v>
      </c>
      <c r="M255" t="n">
        <v>0</v>
      </c>
      <c r="N255" t="n">
        <v>0</v>
      </c>
      <c r="O255" t="n">
        <v>0</v>
      </c>
      <c r="P255" t="n">
        <v>0</v>
      </c>
      <c r="Q255" t="n">
        <v>1</v>
      </c>
      <c r="R255" s="2" t="inlineStr">
        <is>
          <t>Dropptaggsvamp</t>
        </is>
      </c>
      <c r="S255">
        <f>HYPERLINK("https://klasma.github.io/Logging_2303/artfynd/A 48477-2023 artfynd.xlsx", "A 48477-2023")</f>
        <v/>
      </c>
      <c r="T255">
        <f>HYPERLINK("https://klasma.github.io/Logging_2303/kartor/A 48477-2023 karta.png", "A 48477-2023")</f>
        <v/>
      </c>
      <c r="V255">
        <f>HYPERLINK("https://klasma.github.io/Logging_2303/klagomål/A 48477-2023 FSC-klagomål.docx", "A 48477-2023")</f>
        <v/>
      </c>
      <c r="W255">
        <f>HYPERLINK("https://klasma.github.io/Logging_2303/klagomålsmail/A 48477-2023 FSC-klagomål mail.docx", "A 48477-2023")</f>
        <v/>
      </c>
      <c r="X255">
        <f>HYPERLINK("https://klasma.github.io/Logging_2303/tillsyn/A 48477-2023 tillsynsbegäran.docx", "A 48477-2023")</f>
        <v/>
      </c>
      <c r="Y255">
        <f>HYPERLINK("https://klasma.github.io/Logging_2303/tillsynsmail/A 48477-2023 tillsynsbegäran mail.docx", "A 48477-2023")</f>
        <v/>
      </c>
    </row>
    <row r="256" ht="15" customHeight="1">
      <c r="A256" t="inlineStr">
        <is>
          <t>A 18985-2023</t>
        </is>
      </c>
      <c r="B256" s="1" t="n">
        <v>45044</v>
      </c>
      <c r="C256" s="1" t="n">
        <v>46051</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58846-2024</t>
        </is>
      </c>
      <c r="B257" s="1" t="n">
        <v>45636.3863425926</v>
      </c>
      <c r="C257" s="1" t="n">
        <v>46051</v>
      </c>
      <c r="D257" t="inlineStr">
        <is>
          <t>JÄMTLANDS LÄN</t>
        </is>
      </c>
      <c r="E257" t="inlineStr">
        <is>
          <t>RAGUNDA</t>
        </is>
      </c>
      <c r="F257" t="inlineStr">
        <is>
          <t>SCA</t>
        </is>
      </c>
      <c r="G257" t="n">
        <v>1.5</v>
      </c>
      <c r="H257" t="n">
        <v>0</v>
      </c>
      <c r="I257" t="n">
        <v>0</v>
      </c>
      <c r="J257" t="n">
        <v>0</v>
      </c>
      <c r="K257" t="n">
        <v>1</v>
      </c>
      <c r="L257" t="n">
        <v>0</v>
      </c>
      <c r="M257" t="n">
        <v>0</v>
      </c>
      <c r="N257" t="n">
        <v>0</v>
      </c>
      <c r="O257" t="n">
        <v>1</v>
      </c>
      <c r="P257" t="n">
        <v>1</v>
      </c>
      <c r="Q257" t="n">
        <v>1</v>
      </c>
      <c r="R257" s="2" t="inlineStr">
        <is>
          <t>Rynkskinn</t>
        </is>
      </c>
      <c r="S257">
        <f>HYPERLINK("https://klasma.github.io/Logging_2303/artfynd/A 58846-2024 artfynd.xlsx", "A 58846-2024")</f>
        <v/>
      </c>
      <c r="T257">
        <f>HYPERLINK("https://klasma.github.io/Logging_2303/kartor/A 58846-2024 karta.png", "A 58846-2024")</f>
        <v/>
      </c>
      <c r="V257">
        <f>HYPERLINK("https://klasma.github.io/Logging_2303/klagomål/A 58846-2024 FSC-klagomål.docx", "A 58846-2024")</f>
        <v/>
      </c>
      <c r="W257">
        <f>HYPERLINK("https://klasma.github.io/Logging_2303/klagomålsmail/A 58846-2024 FSC-klagomål mail.docx", "A 58846-2024")</f>
        <v/>
      </c>
      <c r="X257">
        <f>HYPERLINK("https://klasma.github.io/Logging_2303/tillsyn/A 58846-2024 tillsynsbegäran.docx", "A 58846-2024")</f>
        <v/>
      </c>
      <c r="Y257">
        <f>HYPERLINK("https://klasma.github.io/Logging_2303/tillsynsmail/A 58846-2024 tillsynsbegäran mail.docx", "A 58846-2024")</f>
        <v/>
      </c>
    </row>
    <row r="258" ht="15" customHeight="1">
      <c r="A258" t="inlineStr">
        <is>
          <t>A 26322-2024</t>
        </is>
      </c>
      <c r="B258" s="1" t="n">
        <v>45468.97461805555</v>
      </c>
      <c r="C258" s="1" t="n">
        <v>46051</v>
      </c>
      <c r="D258" t="inlineStr">
        <is>
          <t>JÄMTLANDS LÄN</t>
        </is>
      </c>
      <c r="E258" t="inlineStr">
        <is>
          <t>RAGUNDA</t>
        </is>
      </c>
      <c r="F258" t="inlineStr">
        <is>
          <t>SCA</t>
        </is>
      </c>
      <c r="G258" t="n">
        <v>9.6</v>
      </c>
      <c r="H258" t="n">
        <v>0</v>
      </c>
      <c r="I258" t="n">
        <v>0</v>
      </c>
      <c r="J258" t="n">
        <v>1</v>
      </c>
      <c r="K258" t="n">
        <v>0</v>
      </c>
      <c r="L258" t="n">
        <v>0</v>
      </c>
      <c r="M258" t="n">
        <v>0</v>
      </c>
      <c r="N258" t="n">
        <v>0</v>
      </c>
      <c r="O258" t="n">
        <v>1</v>
      </c>
      <c r="P258" t="n">
        <v>0</v>
      </c>
      <c r="Q258" t="n">
        <v>1</v>
      </c>
      <c r="R258" s="2" t="inlineStr">
        <is>
          <t>Rosenticka</t>
        </is>
      </c>
      <c r="S258">
        <f>HYPERLINK("https://klasma.github.io/Logging_2303/artfynd/A 26322-2024 artfynd.xlsx", "A 26322-2024")</f>
        <v/>
      </c>
      <c r="T258">
        <f>HYPERLINK("https://klasma.github.io/Logging_2303/kartor/A 26322-2024 karta.png", "A 26322-2024")</f>
        <v/>
      </c>
      <c r="U258">
        <f>HYPERLINK("https://klasma.github.io/Logging_2303/knärot/A 26322-2024 karta knärot.png", "A 26322-2024")</f>
        <v/>
      </c>
      <c r="V258">
        <f>HYPERLINK("https://klasma.github.io/Logging_2303/klagomål/A 26322-2024 FSC-klagomål.docx", "A 26322-2024")</f>
        <v/>
      </c>
      <c r="W258">
        <f>HYPERLINK("https://klasma.github.io/Logging_2303/klagomålsmail/A 26322-2024 FSC-klagomål mail.docx", "A 26322-2024")</f>
        <v/>
      </c>
      <c r="X258">
        <f>HYPERLINK("https://klasma.github.io/Logging_2303/tillsyn/A 26322-2024 tillsynsbegäran.docx", "A 26322-2024")</f>
        <v/>
      </c>
      <c r="Y258">
        <f>HYPERLINK("https://klasma.github.io/Logging_2303/tillsynsmail/A 26322-2024 tillsynsbegäran mail.docx", "A 26322-2024")</f>
        <v/>
      </c>
    </row>
    <row r="259" ht="15" customHeight="1">
      <c r="A259" t="inlineStr">
        <is>
          <t>A 21212-2025</t>
        </is>
      </c>
      <c r="B259" s="1" t="n">
        <v>45779.48993055556</v>
      </c>
      <c r="C259" s="1" t="n">
        <v>46051</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46051</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46051</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46051</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46051</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46051</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46051</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46051</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46051</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46051</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46051</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46051</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46051</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46051</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46051</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46051</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46051</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46051</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46051</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46051</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46051</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46051</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46047-2022</t>
        </is>
      </c>
      <c r="B281" s="1" t="n">
        <v>44846.9522337963</v>
      </c>
      <c r="C281" s="1" t="n">
        <v>46051</v>
      </c>
      <c r="D281" t="inlineStr">
        <is>
          <t>JÄMTLANDS LÄN</t>
        </is>
      </c>
      <c r="E281" t="inlineStr">
        <is>
          <t>RAGUNDA</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46051</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46051</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46051</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46051</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46051</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46051</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46051</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46051</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46051</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46051</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46051</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43794-2022</t>
        </is>
      </c>
      <c r="B293" s="1" t="n">
        <v>44837</v>
      </c>
      <c r="C293" s="1" t="n">
        <v>46051</v>
      </c>
      <c r="D293" t="inlineStr">
        <is>
          <t>JÄMTLANDS LÄN</t>
        </is>
      </c>
      <c r="E293" t="inlineStr">
        <is>
          <t>RAGUNDA</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46051</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46051</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46051</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46051</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46051</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46051</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46051</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46051</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46051</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46051</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46051</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46051</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46051</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46051</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46051</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46051</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46051</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46051</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46051</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46051</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46051</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46051</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46051</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25028-2022</t>
        </is>
      </c>
      <c r="B317" s="1" t="n">
        <v>44728.94398148148</v>
      </c>
      <c r="C317" s="1" t="n">
        <v>46051</v>
      </c>
      <c r="D317" t="inlineStr">
        <is>
          <t>JÄMTLANDS LÄN</t>
        </is>
      </c>
      <c r="E317" t="inlineStr">
        <is>
          <t>RAGUNDA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46051</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46051</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46051</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46051</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46051</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46051</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46051</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46051</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46051</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46051</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46051</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46051</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46051</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46051</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46051</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46051</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46051</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46051</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19850-2022</t>
        </is>
      </c>
      <c r="B336" s="1" t="n">
        <v>44696.93986111111</v>
      </c>
      <c r="C336" s="1" t="n">
        <v>46051</v>
      </c>
      <c r="D336" t="inlineStr">
        <is>
          <t>JÄMTLANDS LÄN</t>
        </is>
      </c>
      <c r="E336" t="inlineStr">
        <is>
          <t>RAGUNDA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46051</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46051</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46051</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46051</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46051</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46051</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46051</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1858-2022</t>
        </is>
      </c>
      <c r="B344" s="1" t="n">
        <v>44574</v>
      </c>
      <c r="C344" s="1" t="n">
        <v>46051</v>
      </c>
      <c r="D344" t="inlineStr">
        <is>
          <t>JÄMTLANDS LÄN</t>
        </is>
      </c>
      <c r="E344" t="inlineStr">
        <is>
          <t>RAGUNDA</t>
        </is>
      </c>
      <c r="G344" t="n">
        <v>5.7</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46051</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54836-2022</t>
        </is>
      </c>
      <c r="B346" s="1" t="n">
        <v>44883.94918981481</v>
      </c>
      <c r="C346" s="1" t="n">
        <v>46051</v>
      </c>
      <c r="D346" t="inlineStr">
        <is>
          <t>JÄMTLANDS LÄN</t>
        </is>
      </c>
      <c r="E346" t="inlineStr">
        <is>
          <t>RAGUNDA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46051</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46051</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46051</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46051</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46051</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29409-2021</t>
        </is>
      </c>
      <c r="B352" s="1" t="n">
        <v>44361.55445601852</v>
      </c>
      <c r="C352" s="1" t="n">
        <v>46051</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25027-2022</t>
        </is>
      </c>
      <c r="B353" s="1" t="n">
        <v>44728.94392361111</v>
      </c>
      <c r="C353" s="1" t="n">
        <v>46051</v>
      </c>
      <c r="D353" t="inlineStr">
        <is>
          <t>JÄMTLANDS LÄN</t>
        </is>
      </c>
      <c r="E353" t="inlineStr">
        <is>
          <t>RAGUNDA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28597-2021</t>
        </is>
      </c>
      <c r="B354" s="1" t="n">
        <v>44356.91935185185</v>
      </c>
      <c r="C354" s="1" t="n">
        <v>46051</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46051</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46051</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20548-2021</t>
        </is>
      </c>
      <c r="B357" s="1" t="n">
        <v>44315</v>
      </c>
      <c r="C357" s="1" t="n">
        <v>46051</v>
      </c>
      <c r="D357" t="inlineStr">
        <is>
          <t>JÄMTLANDS LÄN</t>
        </is>
      </c>
      <c r="E357" t="inlineStr">
        <is>
          <t>RAGUNDA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46051</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46051</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46051</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46051</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15664-2022</t>
        </is>
      </c>
      <c r="B362" s="1" t="n">
        <v>44662</v>
      </c>
      <c r="C362" s="1" t="n">
        <v>46051</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46051</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46051</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40213-2021</t>
        </is>
      </c>
      <c r="B365" s="1" t="n">
        <v>44418.9369212963</v>
      </c>
      <c r="C365" s="1" t="n">
        <v>46051</v>
      </c>
      <c r="D365" t="inlineStr">
        <is>
          <t>JÄMTLANDS LÄN</t>
        </is>
      </c>
      <c r="E365" t="inlineStr">
        <is>
          <t>RAGUNDA</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46051</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46051</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46051</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46051</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46051</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46051</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46051</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46051</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46051</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46051</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32986-2022</t>
        </is>
      </c>
      <c r="B376" s="1" t="n">
        <v>44784.94157407407</v>
      </c>
      <c r="C376" s="1" t="n">
        <v>46051</v>
      </c>
      <c r="D376" t="inlineStr">
        <is>
          <t>JÄMTLANDS LÄN</t>
        </is>
      </c>
      <c r="E376" t="inlineStr">
        <is>
          <t>RAGUNDA</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46051</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46051</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46051</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44241-2021</t>
        </is>
      </c>
      <c r="B380" s="1" t="n">
        <v>44434.94517361111</v>
      </c>
      <c r="C380" s="1" t="n">
        <v>46051</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46051</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44833.9519212963</v>
      </c>
      <c r="C382" s="1" t="n">
        <v>46051</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52334-2021</t>
        </is>
      </c>
      <c r="B383" s="1" t="n">
        <v>44463.94077546296</v>
      </c>
      <c r="C383" s="1" t="n">
        <v>46051</v>
      </c>
      <c r="D383" t="inlineStr">
        <is>
          <t>JÄMTLANDS LÄN</t>
        </is>
      </c>
      <c r="E383" t="inlineStr">
        <is>
          <t>RAGUNDA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46051</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46051</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46051</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65017-2021</t>
        </is>
      </c>
      <c r="B387" s="1" t="n">
        <v>44512</v>
      </c>
      <c r="C387" s="1" t="n">
        <v>46051</v>
      </c>
      <c r="D387" t="inlineStr">
        <is>
          <t>JÄMTLANDS LÄN</t>
        </is>
      </c>
      <c r="E387" t="inlineStr">
        <is>
          <t>RAGUNDA</t>
        </is>
      </c>
      <c r="G387" t="n">
        <v>2.3</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46051</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46051</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46051</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46051</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46051</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46051</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46051</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9187-2022</t>
        </is>
      </c>
      <c r="B395" s="1" t="n">
        <v>44615</v>
      </c>
      <c r="C395" s="1" t="n">
        <v>46051</v>
      </c>
      <c r="D395" t="inlineStr">
        <is>
          <t>JÄMTLANDS LÄN</t>
        </is>
      </c>
      <c r="E395" t="inlineStr">
        <is>
          <t>RAGUNDA</t>
        </is>
      </c>
      <c r="G395" t="n">
        <v>2</v>
      </c>
      <c r="H395" t="n">
        <v>0</v>
      </c>
      <c r="I395" t="n">
        <v>0</v>
      </c>
      <c r="J395" t="n">
        <v>0</v>
      </c>
      <c r="K395" t="n">
        <v>0</v>
      </c>
      <c r="L395" t="n">
        <v>0</v>
      </c>
      <c r="M395" t="n">
        <v>0</v>
      </c>
      <c r="N395" t="n">
        <v>0</v>
      </c>
      <c r="O395" t="n">
        <v>0</v>
      </c>
      <c r="P395" t="n">
        <v>0</v>
      </c>
      <c r="Q395" t="n">
        <v>0</v>
      </c>
      <c r="R395" s="2" t="inlineStr"/>
    </row>
    <row r="396" ht="15" customHeight="1">
      <c r="A396" t="inlineStr">
        <is>
          <t>A 6177-2022</t>
        </is>
      </c>
      <c r="B396" s="1" t="n">
        <v>44599.98685185185</v>
      </c>
      <c r="C396" s="1" t="n">
        <v>46051</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46051</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21194-2022</t>
        </is>
      </c>
      <c r="B398" s="1" t="n">
        <v>44704.9422337963</v>
      </c>
      <c r="C398" s="1" t="n">
        <v>46051</v>
      </c>
      <c r="D398" t="inlineStr">
        <is>
          <t>JÄMTLANDS LÄN</t>
        </is>
      </c>
      <c r="E398" t="inlineStr">
        <is>
          <t>RAGUNDA</t>
        </is>
      </c>
      <c r="F398" t="inlineStr">
        <is>
          <t>SCA</t>
        </is>
      </c>
      <c r="G398" t="n">
        <v>10.6</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46051</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46051</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46051</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46051</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26122-2022</t>
        </is>
      </c>
      <c r="B403" s="1" t="n">
        <v>44734.94193287037</v>
      </c>
      <c r="C403" s="1" t="n">
        <v>46051</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46051</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11147-2025</t>
        </is>
      </c>
      <c r="B405" s="1" t="n">
        <v>45723.67777777778</v>
      </c>
      <c r="C405" s="1" t="n">
        <v>46051</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24280-2021</t>
        </is>
      </c>
      <c r="B406" s="1" t="n">
        <v>44336</v>
      </c>
      <c r="C406" s="1" t="n">
        <v>46051</v>
      </c>
      <c r="D406" t="inlineStr">
        <is>
          <t>JÄMTLANDS LÄN</t>
        </is>
      </c>
      <c r="E406" t="inlineStr">
        <is>
          <t>RAGUNDA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23304-2023</t>
        </is>
      </c>
      <c r="B407" s="1" t="n">
        <v>45075.945</v>
      </c>
      <c r="C407" s="1" t="n">
        <v>46051</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46051</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46051</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14821-2025</t>
        </is>
      </c>
      <c r="B410" s="1" t="n">
        <v>45743.36</v>
      </c>
      <c r="C410" s="1" t="n">
        <v>46051</v>
      </c>
      <c r="D410" t="inlineStr">
        <is>
          <t>JÄMTLANDS LÄN</t>
        </is>
      </c>
      <c r="E410" t="inlineStr">
        <is>
          <t>RAGUNDA</t>
        </is>
      </c>
      <c r="F410" t="inlineStr">
        <is>
          <t>Kyrkan</t>
        </is>
      </c>
      <c r="G410" t="n">
        <v>6.4</v>
      </c>
      <c r="H410" t="n">
        <v>0</v>
      </c>
      <c r="I410" t="n">
        <v>0</v>
      </c>
      <c r="J410" t="n">
        <v>0</v>
      </c>
      <c r="K410" t="n">
        <v>0</v>
      </c>
      <c r="L410" t="n">
        <v>0</v>
      </c>
      <c r="M410" t="n">
        <v>0</v>
      </c>
      <c r="N410" t="n">
        <v>0</v>
      </c>
      <c r="O410" t="n">
        <v>0</v>
      </c>
      <c r="P410" t="n">
        <v>0</v>
      </c>
      <c r="Q410" t="n">
        <v>0</v>
      </c>
      <c r="R410" s="2" t="inlineStr"/>
    </row>
    <row r="411" ht="15" customHeight="1">
      <c r="A411" t="inlineStr">
        <is>
          <t>A 64492-2023</t>
        </is>
      </c>
      <c r="B411" s="1" t="n">
        <v>45280.92645833334</v>
      </c>
      <c r="C411" s="1" t="n">
        <v>46051</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62358-2023</t>
        </is>
      </c>
      <c r="B412" s="1" t="n">
        <v>45267</v>
      </c>
      <c r="C412" s="1" t="n">
        <v>46051</v>
      </c>
      <c r="D412" t="inlineStr">
        <is>
          <t>JÄMTLANDS LÄN</t>
        </is>
      </c>
      <c r="E412" t="inlineStr">
        <is>
          <t>RAGUNDA</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19264-2025</t>
        </is>
      </c>
      <c r="B413" s="1" t="n">
        <v>45769.51087962963</v>
      </c>
      <c r="C413" s="1" t="n">
        <v>46051</v>
      </c>
      <c r="D413" t="inlineStr">
        <is>
          <t>JÄMTLANDS LÄN</t>
        </is>
      </c>
      <c r="E413" t="inlineStr">
        <is>
          <t>RAGUNDA</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28596-2021</t>
        </is>
      </c>
      <c r="B414" s="1" t="n">
        <v>44356</v>
      </c>
      <c r="C414" s="1" t="n">
        <v>46051</v>
      </c>
      <c r="D414" t="inlineStr">
        <is>
          <t>JÄMTLANDS LÄN</t>
        </is>
      </c>
      <c r="E414" t="inlineStr">
        <is>
          <t>RAGUNDA</t>
        </is>
      </c>
      <c r="G414" t="n">
        <v>5.4</v>
      </c>
      <c r="H414" t="n">
        <v>0</v>
      </c>
      <c r="I414" t="n">
        <v>0</v>
      </c>
      <c r="J414" t="n">
        <v>0</v>
      </c>
      <c r="K414" t="n">
        <v>0</v>
      </c>
      <c r="L414" t="n">
        <v>0</v>
      </c>
      <c r="M414" t="n">
        <v>0</v>
      </c>
      <c r="N414" t="n">
        <v>0</v>
      </c>
      <c r="O414" t="n">
        <v>0</v>
      </c>
      <c r="P414" t="n">
        <v>0</v>
      </c>
      <c r="Q414" t="n">
        <v>0</v>
      </c>
      <c r="R414" s="2" t="inlineStr"/>
    </row>
    <row r="415" ht="15" customHeight="1">
      <c r="A415" t="inlineStr">
        <is>
          <t>A 36106-2022</t>
        </is>
      </c>
      <c r="B415" s="1" t="n">
        <v>44802.94811342593</v>
      </c>
      <c r="C415" s="1" t="n">
        <v>46051</v>
      </c>
      <c r="D415" t="inlineStr">
        <is>
          <t>JÄMTLANDS LÄN</t>
        </is>
      </c>
      <c r="E415" t="inlineStr">
        <is>
          <t>RAGUNDA</t>
        </is>
      </c>
      <c r="F415" t="inlineStr">
        <is>
          <t>SCA</t>
        </is>
      </c>
      <c r="G415" t="n">
        <v>7.3</v>
      </c>
      <c r="H415" t="n">
        <v>0</v>
      </c>
      <c r="I415" t="n">
        <v>0</v>
      </c>
      <c r="J415" t="n">
        <v>0</v>
      </c>
      <c r="K415" t="n">
        <v>0</v>
      </c>
      <c r="L415" t="n">
        <v>0</v>
      </c>
      <c r="M415" t="n">
        <v>0</v>
      </c>
      <c r="N415" t="n">
        <v>0</v>
      </c>
      <c r="O415" t="n">
        <v>0</v>
      </c>
      <c r="P415" t="n">
        <v>0</v>
      </c>
      <c r="Q415" t="n">
        <v>0</v>
      </c>
      <c r="R415" s="2" t="inlineStr"/>
    </row>
    <row r="416" ht="15" customHeight="1">
      <c r="A416" t="inlineStr">
        <is>
          <t>A 11780-2024</t>
        </is>
      </c>
      <c r="B416" s="1" t="n">
        <v>45374</v>
      </c>
      <c r="C416" s="1" t="n">
        <v>46051</v>
      </c>
      <c r="D416" t="inlineStr">
        <is>
          <t>JÄMTLANDS LÄN</t>
        </is>
      </c>
      <c r="E416" t="inlineStr">
        <is>
          <t>RAGUNDA</t>
        </is>
      </c>
      <c r="G416" t="n">
        <v>14.6</v>
      </c>
      <c r="H416" t="n">
        <v>0</v>
      </c>
      <c r="I416" t="n">
        <v>0</v>
      </c>
      <c r="J416" t="n">
        <v>0</v>
      </c>
      <c r="K416" t="n">
        <v>0</v>
      </c>
      <c r="L416" t="n">
        <v>0</v>
      </c>
      <c r="M416" t="n">
        <v>0</v>
      </c>
      <c r="N416" t="n">
        <v>0</v>
      </c>
      <c r="O416" t="n">
        <v>0</v>
      </c>
      <c r="P416" t="n">
        <v>0</v>
      </c>
      <c r="Q416" t="n">
        <v>0</v>
      </c>
      <c r="R416" s="2" t="inlineStr"/>
    </row>
    <row r="417" ht="15" customHeight="1">
      <c r="A417" t="inlineStr">
        <is>
          <t>A 12585-2024</t>
        </is>
      </c>
      <c r="B417" s="1" t="n">
        <v>45379.93637731481</v>
      </c>
      <c r="C417" s="1" t="n">
        <v>46051</v>
      </c>
      <c r="D417" t="inlineStr">
        <is>
          <t>JÄMTLANDS LÄN</t>
        </is>
      </c>
      <c r="E417" t="inlineStr">
        <is>
          <t>RAGUNDA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15581-2024</t>
        </is>
      </c>
      <c r="B418" s="1" t="n">
        <v>45401</v>
      </c>
      <c r="C418" s="1" t="n">
        <v>46051</v>
      </c>
      <c r="D418" t="inlineStr">
        <is>
          <t>JÄMTLANDS LÄN</t>
        </is>
      </c>
      <c r="E418" t="inlineStr">
        <is>
          <t>RAGUNDA</t>
        </is>
      </c>
      <c r="F418" t="inlineStr">
        <is>
          <t>Kommuner</t>
        </is>
      </c>
      <c r="G418" t="n">
        <v>2.2</v>
      </c>
      <c r="H418" t="n">
        <v>0</v>
      </c>
      <c r="I418" t="n">
        <v>0</v>
      </c>
      <c r="J418" t="n">
        <v>0</v>
      </c>
      <c r="K418" t="n">
        <v>0</v>
      </c>
      <c r="L418" t="n">
        <v>0</v>
      </c>
      <c r="M418" t="n">
        <v>0</v>
      </c>
      <c r="N418" t="n">
        <v>0</v>
      </c>
      <c r="O418" t="n">
        <v>0</v>
      </c>
      <c r="P418" t="n">
        <v>0</v>
      </c>
      <c r="Q418" t="n">
        <v>0</v>
      </c>
      <c r="R418" s="2" t="inlineStr"/>
    </row>
    <row r="419" ht="15" customHeight="1">
      <c r="A419" t="inlineStr">
        <is>
          <t>A 15611-2024</t>
        </is>
      </c>
      <c r="B419" s="1" t="n">
        <v>45401</v>
      </c>
      <c r="C419" s="1" t="n">
        <v>46051</v>
      </c>
      <c r="D419" t="inlineStr">
        <is>
          <t>JÄMTLANDS LÄN</t>
        </is>
      </c>
      <c r="E419" t="inlineStr">
        <is>
          <t>RAGUNDA</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38664-2022</t>
        </is>
      </c>
      <c r="B420" s="1" t="n">
        <v>44813</v>
      </c>
      <c r="C420" s="1" t="n">
        <v>46051</v>
      </c>
      <c r="D420" t="inlineStr">
        <is>
          <t>JÄMTLANDS LÄN</t>
        </is>
      </c>
      <c r="E420" t="inlineStr">
        <is>
          <t>RAGUNDA</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38425-2022</t>
        </is>
      </c>
      <c r="B421" s="1" t="n">
        <v>44812.94709490741</v>
      </c>
      <c r="C421" s="1" t="n">
        <v>46051</v>
      </c>
      <c r="D421" t="inlineStr">
        <is>
          <t>JÄMTLANDS LÄN</t>
        </is>
      </c>
      <c r="E421" t="inlineStr">
        <is>
          <t>RAGUNDA</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36922-2022</t>
        </is>
      </c>
      <c r="B422" s="1" t="n">
        <v>44805.94592592592</v>
      </c>
      <c r="C422" s="1" t="n">
        <v>46051</v>
      </c>
      <c r="D422" t="inlineStr">
        <is>
          <t>JÄMTLANDS LÄN</t>
        </is>
      </c>
      <c r="E422" t="inlineStr">
        <is>
          <t>RAGUNDA</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22131-2021</t>
        </is>
      </c>
      <c r="B423" s="1" t="n">
        <v>44323</v>
      </c>
      <c r="C423" s="1" t="n">
        <v>46051</v>
      </c>
      <c r="D423" t="inlineStr">
        <is>
          <t>JÄMTLANDS LÄN</t>
        </is>
      </c>
      <c r="E423" t="inlineStr">
        <is>
          <t>RAGUNDA</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42893-2022</t>
        </is>
      </c>
      <c r="B424" s="1" t="n">
        <v>44832</v>
      </c>
      <c r="C424" s="1" t="n">
        <v>46051</v>
      </c>
      <c r="D424" t="inlineStr">
        <is>
          <t>JÄMTLANDS LÄN</t>
        </is>
      </c>
      <c r="E424" t="inlineStr">
        <is>
          <t>RAGUNDA</t>
        </is>
      </c>
      <c r="F424" t="inlineStr">
        <is>
          <t>SCA</t>
        </is>
      </c>
      <c r="G424" t="n">
        <v>28.4</v>
      </c>
      <c r="H424" t="n">
        <v>0</v>
      </c>
      <c r="I424" t="n">
        <v>0</v>
      </c>
      <c r="J424" t="n">
        <v>0</v>
      </c>
      <c r="K424" t="n">
        <v>0</v>
      </c>
      <c r="L424" t="n">
        <v>0</v>
      </c>
      <c r="M424" t="n">
        <v>0</v>
      </c>
      <c r="N424" t="n">
        <v>0</v>
      </c>
      <c r="O424" t="n">
        <v>0</v>
      </c>
      <c r="P424" t="n">
        <v>0</v>
      </c>
      <c r="Q424" t="n">
        <v>0</v>
      </c>
      <c r="R424" s="2" t="inlineStr"/>
    </row>
    <row r="425" ht="15" customHeight="1">
      <c r="A425" t="inlineStr">
        <is>
          <t>A 59557-2023</t>
        </is>
      </c>
      <c r="B425" s="1" t="n">
        <v>45253</v>
      </c>
      <c r="C425" s="1" t="n">
        <v>46051</v>
      </c>
      <c r="D425" t="inlineStr">
        <is>
          <t>JÄMTLANDS LÄN</t>
        </is>
      </c>
      <c r="E425" t="inlineStr">
        <is>
          <t>RAGUNDA</t>
        </is>
      </c>
      <c r="G425" t="n">
        <v>1</v>
      </c>
      <c r="H425" t="n">
        <v>0</v>
      </c>
      <c r="I425" t="n">
        <v>0</v>
      </c>
      <c r="J425" t="n">
        <v>0</v>
      </c>
      <c r="K425" t="n">
        <v>0</v>
      </c>
      <c r="L425" t="n">
        <v>0</v>
      </c>
      <c r="M425" t="n">
        <v>0</v>
      </c>
      <c r="N425" t="n">
        <v>0</v>
      </c>
      <c r="O425" t="n">
        <v>0</v>
      </c>
      <c r="P425" t="n">
        <v>0</v>
      </c>
      <c r="Q425" t="n">
        <v>0</v>
      </c>
      <c r="R425" s="2" t="inlineStr"/>
    </row>
    <row r="426" ht="15" customHeight="1">
      <c r="A426" t="inlineStr">
        <is>
          <t>A 14513-2025</t>
        </is>
      </c>
      <c r="B426" s="1" t="n">
        <v>45741.63675925926</v>
      </c>
      <c r="C426" s="1" t="n">
        <v>46051</v>
      </c>
      <c r="D426" t="inlineStr">
        <is>
          <t>JÄMTLANDS LÄN</t>
        </is>
      </c>
      <c r="E426" t="inlineStr">
        <is>
          <t>RAGUNDA</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7281-2025</t>
        </is>
      </c>
      <c r="B427" s="1" t="n">
        <v>45702.63572916666</v>
      </c>
      <c r="C427" s="1" t="n">
        <v>46051</v>
      </c>
      <c r="D427" t="inlineStr">
        <is>
          <t>JÄMTLANDS LÄN</t>
        </is>
      </c>
      <c r="E427" t="inlineStr">
        <is>
          <t>RAGUNDA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9326-2024</t>
        </is>
      </c>
      <c r="B428" s="1" t="n">
        <v>45358.95818287037</v>
      </c>
      <c r="C428" s="1" t="n">
        <v>46051</v>
      </c>
      <c r="D428" t="inlineStr">
        <is>
          <t>JÄMTLANDS LÄN</t>
        </is>
      </c>
      <c r="E428" t="inlineStr">
        <is>
          <t>RAGUNDA</t>
        </is>
      </c>
      <c r="G428" t="n">
        <v>0.7</v>
      </c>
      <c r="H428" t="n">
        <v>0</v>
      </c>
      <c r="I428" t="n">
        <v>0</v>
      </c>
      <c r="J428" t="n">
        <v>0</v>
      </c>
      <c r="K428" t="n">
        <v>0</v>
      </c>
      <c r="L428" t="n">
        <v>0</v>
      </c>
      <c r="M428" t="n">
        <v>0</v>
      </c>
      <c r="N428" t="n">
        <v>0</v>
      </c>
      <c r="O428" t="n">
        <v>0</v>
      </c>
      <c r="P428" t="n">
        <v>0</v>
      </c>
      <c r="Q428" t="n">
        <v>0</v>
      </c>
      <c r="R428" s="2" t="inlineStr"/>
    </row>
    <row r="429" ht="15" customHeight="1">
      <c r="A429" t="inlineStr">
        <is>
          <t>A 18777-2024</t>
        </is>
      </c>
      <c r="B429" s="1" t="n">
        <v>45426</v>
      </c>
      <c r="C429" s="1" t="n">
        <v>46051</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13935-2024</t>
        </is>
      </c>
      <c r="B430" s="1" t="n">
        <v>45391.95329861111</v>
      </c>
      <c r="C430" s="1" t="n">
        <v>46051</v>
      </c>
      <c r="D430" t="inlineStr">
        <is>
          <t>JÄMTLANDS LÄN</t>
        </is>
      </c>
      <c r="E430" t="inlineStr">
        <is>
          <t>RAGUNDA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59670-2023</t>
        </is>
      </c>
      <c r="B431" s="1" t="n">
        <v>45254.96516203704</v>
      </c>
      <c r="C431" s="1" t="n">
        <v>46051</v>
      </c>
      <c r="D431" t="inlineStr">
        <is>
          <t>JÄMTLANDS LÄN</t>
        </is>
      </c>
      <c r="E431" t="inlineStr">
        <is>
          <t>RAGUNDA</t>
        </is>
      </c>
      <c r="F431" t="inlineStr">
        <is>
          <t>SCA</t>
        </is>
      </c>
      <c r="G431" t="n">
        <v>7.6</v>
      </c>
      <c r="H431" t="n">
        <v>0</v>
      </c>
      <c r="I431" t="n">
        <v>0</v>
      </c>
      <c r="J431" t="n">
        <v>0</v>
      </c>
      <c r="K431" t="n">
        <v>0</v>
      </c>
      <c r="L431" t="n">
        <v>0</v>
      </c>
      <c r="M431" t="n">
        <v>0</v>
      </c>
      <c r="N431" t="n">
        <v>0</v>
      </c>
      <c r="O431" t="n">
        <v>0</v>
      </c>
      <c r="P431" t="n">
        <v>0</v>
      </c>
      <c r="Q431" t="n">
        <v>0</v>
      </c>
      <c r="R431" s="2" t="inlineStr"/>
    </row>
    <row r="432" ht="15" customHeight="1">
      <c r="A432" t="inlineStr">
        <is>
          <t>A 18194-2025</t>
        </is>
      </c>
      <c r="B432" s="1" t="n">
        <v>45761.67744212963</v>
      </c>
      <c r="C432" s="1" t="n">
        <v>46051</v>
      </c>
      <c r="D432" t="inlineStr">
        <is>
          <t>JÄMTLANDS LÄN</t>
        </is>
      </c>
      <c r="E432" t="inlineStr">
        <is>
          <t>RAGUNDA</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22948-2024</t>
        </is>
      </c>
      <c r="B433" s="1" t="n">
        <v>45448.94600694445</v>
      </c>
      <c r="C433" s="1" t="n">
        <v>46051</v>
      </c>
      <c r="D433" t="inlineStr">
        <is>
          <t>JÄMTLANDS LÄN</t>
        </is>
      </c>
      <c r="E433" t="inlineStr">
        <is>
          <t>RAGUNDA</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53678-2022</t>
        </is>
      </c>
      <c r="B434" s="1" t="n">
        <v>44879.95768518518</v>
      </c>
      <c r="C434" s="1" t="n">
        <v>46051</v>
      </c>
      <c r="D434" t="inlineStr">
        <is>
          <t>JÄMTLANDS LÄN</t>
        </is>
      </c>
      <c r="E434" t="inlineStr">
        <is>
          <t>RAGUNDA</t>
        </is>
      </c>
      <c r="F434" t="inlineStr">
        <is>
          <t>Sveaskog</t>
        </is>
      </c>
      <c r="G434" t="n">
        <v>2.3</v>
      </c>
      <c r="H434" t="n">
        <v>0</v>
      </c>
      <c r="I434" t="n">
        <v>0</v>
      </c>
      <c r="J434" t="n">
        <v>0</v>
      </c>
      <c r="K434" t="n">
        <v>0</v>
      </c>
      <c r="L434" t="n">
        <v>0</v>
      </c>
      <c r="M434" t="n">
        <v>0</v>
      </c>
      <c r="N434" t="n">
        <v>0</v>
      </c>
      <c r="O434" t="n">
        <v>0</v>
      </c>
      <c r="P434" t="n">
        <v>0</v>
      </c>
      <c r="Q434" t="n">
        <v>0</v>
      </c>
      <c r="R434" s="2" t="inlineStr"/>
    </row>
    <row r="435" ht="15" customHeight="1">
      <c r="A435" t="inlineStr">
        <is>
          <t>A 14369-2024</t>
        </is>
      </c>
      <c r="B435" s="1" t="n">
        <v>45393.94459490741</v>
      </c>
      <c r="C435" s="1" t="n">
        <v>46051</v>
      </c>
      <c r="D435" t="inlineStr">
        <is>
          <t>JÄMTLANDS LÄN</t>
        </is>
      </c>
      <c r="E435" t="inlineStr">
        <is>
          <t>RAGUNDA</t>
        </is>
      </c>
      <c r="F435" t="inlineStr">
        <is>
          <t>Naturvårdsverket</t>
        </is>
      </c>
      <c r="G435" t="n">
        <v>1.8</v>
      </c>
      <c r="H435" t="n">
        <v>0</v>
      </c>
      <c r="I435" t="n">
        <v>0</v>
      </c>
      <c r="J435" t="n">
        <v>0</v>
      </c>
      <c r="K435" t="n">
        <v>0</v>
      </c>
      <c r="L435" t="n">
        <v>0</v>
      </c>
      <c r="M435" t="n">
        <v>0</v>
      </c>
      <c r="N435" t="n">
        <v>0</v>
      </c>
      <c r="O435" t="n">
        <v>0</v>
      </c>
      <c r="P435" t="n">
        <v>0</v>
      </c>
      <c r="Q435" t="n">
        <v>0</v>
      </c>
      <c r="R435" s="2" t="inlineStr"/>
    </row>
    <row r="436" ht="15" customHeight="1">
      <c r="A436" t="inlineStr">
        <is>
          <t>A 58193-2022</t>
        </is>
      </c>
      <c r="B436" s="1" t="n">
        <v>44900.95700231481</v>
      </c>
      <c r="C436" s="1" t="n">
        <v>46051</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10639-2024</t>
        </is>
      </c>
      <c r="B437" s="1" t="n">
        <v>45367.67256944445</v>
      </c>
      <c r="C437" s="1" t="n">
        <v>46051</v>
      </c>
      <c r="D437" t="inlineStr">
        <is>
          <t>JÄMTLANDS LÄN</t>
        </is>
      </c>
      <c r="E437" t="inlineStr">
        <is>
          <t>RAGUNDA</t>
        </is>
      </c>
      <c r="G437" t="n">
        <v>2</v>
      </c>
      <c r="H437" t="n">
        <v>0</v>
      </c>
      <c r="I437" t="n">
        <v>0</v>
      </c>
      <c r="J437" t="n">
        <v>0</v>
      </c>
      <c r="K437" t="n">
        <v>0</v>
      </c>
      <c r="L437" t="n">
        <v>0</v>
      </c>
      <c r="M437" t="n">
        <v>0</v>
      </c>
      <c r="N437" t="n">
        <v>0</v>
      </c>
      <c r="O437" t="n">
        <v>0</v>
      </c>
      <c r="P437" t="n">
        <v>0</v>
      </c>
      <c r="Q437" t="n">
        <v>0</v>
      </c>
      <c r="R437" s="2" t="inlineStr"/>
    </row>
    <row r="438" ht="15" customHeight="1">
      <c r="A438" t="inlineStr">
        <is>
          <t>A 50649-2022</t>
        </is>
      </c>
      <c r="B438" s="1" t="n">
        <v>44866</v>
      </c>
      <c r="C438" s="1" t="n">
        <v>46051</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26991-2023</t>
        </is>
      </c>
      <c r="B439" s="1" t="n">
        <v>45093.92207175926</v>
      </c>
      <c r="C439" s="1" t="n">
        <v>46051</v>
      </c>
      <c r="D439" t="inlineStr">
        <is>
          <t>JÄMTLANDS LÄN</t>
        </is>
      </c>
      <c r="E439" t="inlineStr">
        <is>
          <t>RAGUNDA</t>
        </is>
      </c>
      <c r="G439" t="n">
        <v>1.4</v>
      </c>
      <c r="H439" t="n">
        <v>0</v>
      </c>
      <c r="I439" t="n">
        <v>0</v>
      </c>
      <c r="J439" t="n">
        <v>0</v>
      </c>
      <c r="K439" t="n">
        <v>0</v>
      </c>
      <c r="L439" t="n">
        <v>0</v>
      </c>
      <c r="M439" t="n">
        <v>0</v>
      </c>
      <c r="N439" t="n">
        <v>0</v>
      </c>
      <c r="O439" t="n">
        <v>0</v>
      </c>
      <c r="P439" t="n">
        <v>0</v>
      </c>
      <c r="Q439" t="n">
        <v>0</v>
      </c>
      <c r="R439" s="2" t="inlineStr"/>
    </row>
    <row r="440" ht="15" customHeight="1">
      <c r="A440" t="inlineStr">
        <is>
          <t>A 60195-2023</t>
        </is>
      </c>
      <c r="B440" s="1" t="n">
        <v>45257</v>
      </c>
      <c r="C440" s="1" t="n">
        <v>46051</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2819-2023</t>
        </is>
      </c>
      <c r="B441" s="1" t="n">
        <v>44944</v>
      </c>
      <c r="C441" s="1" t="n">
        <v>46051</v>
      </c>
      <c r="D441" t="inlineStr">
        <is>
          <t>JÄMTLANDS LÄN</t>
        </is>
      </c>
      <c r="E441" t="inlineStr">
        <is>
          <t>RAGUNDA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32904-2024</t>
        </is>
      </c>
      <c r="B442" s="1" t="n">
        <v>45516.94732638889</v>
      </c>
      <c r="C442" s="1" t="n">
        <v>46051</v>
      </c>
      <c r="D442" t="inlineStr">
        <is>
          <t>JÄMTLANDS LÄN</t>
        </is>
      </c>
      <c r="E442" t="inlineStr">
        <is>
          <t>RAGUNDA</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182-2023</t>
        </is>
      </c>
      <c r="B443" s="1" t="n">
        <v>44922</v>
      </c>
      <c r="C443" s="1" t="n">
        <v>46051</v>
      </c>
      <c r="D443" t="inlineStr">
        <is>
          <t>JÄMTLANDS LÄN</t>
        </is>
      </c>
      <c r="E443" t="inlineStr">
        <is>
          <t>RAGUNDA</t>
        </is>
      </c>
      <c r="G443" t="n">
        <v>1.4</v>
      </c>
      <c r="H443" t="n">
        <v>0</v>
      </c>
      <c r="I443" t="n">
        <v>0</v>
      </c>
      <c r="J443" t="n">
        <v>0</v>
      </c>
      <c r="K443" t="n">
        <v>0</v>
      </c>
      <c r="L443" t="n">
        <v>0</v>
      </c>
      <c r="M443" t="n">
        <v>0</v>
      </c>
      <c r="N443" t="n">
        <v>0</v>
      </c>
      <c r="O443" t="n">
        <v>0</v>
      </c>
      <c r="P443" t="n">
        <v>0</v>
      </c>
      <c r="Q443" t="n">
        <v>0</v>
      </c>
      <c r="R443" s="2" t="inlineStr"/>
    </row>
    <row r="444" ht="15" customHeight="1">
      <c r="A444" t="inlineStr">
        <is>
          <t>A 66011-2021</t>
        </is>
      </c>
      <c r="B444" s="1" t="n">
        <v>44517.58137731482</v>
      </c>
      <c r="C444" s="1" t="n">
        <v>46051</v>
      </c>
      <c r="D444" t="inlineStr">
        <is>
          <t>JÄMTLANDS LÄN</t>
        </is>
      </c>
      <c r="E444" t="inlineStr">
        <is>
          <t>RAGUNDA</t>
        </is>
      </c>
      <c r="G444" t="n">
        <v>1.1</v>
      </c>
      <c r="H444" t="n">
        <v>0</v>
      </c>
      <c r="I444" t="n">
        <v>0</v>
      </c>
      <c r="J444" t="n">
        <v>0</v>
      </c>
      <c r="K444" t="n">
        <v>0</v>
      </c>
      <c r="L444" t="n">
        <v>0</v>
      </c>
      <c r="M444" t="n">
        <v>0</v>
      </c>
      <c r="N444" t="n">
        <v>0</v>
      </c>
      <c r="O444" t="n">
        <v>0</v>
      </c>
      <c r="P444" t="n">
        <v>0</v>
      </c>
      <c r="Q444" t="n">
        <v>0</v>
      </c>
      <c r="R444" s="2" t="inlineStr"/>
    </row>
    <row r="445" ht="15" customHeight="1">
      <c r="A445" t="inlineStr">
        <is>
          <t>A 22412-2024</t>
        </is>
      </c>
      <c r="B445" s="1" t="n">
        <v>45446.68947916666</v>
      </c>
      <c r="C445" s="1" t="n">
        <v>46051</v>
      </c>
      <c r="D445" t="inlineStr">
        <is>
          <t>JÄMTLANDS LÄN</t>
        </is>
      </c>
      <c r="E445" t="inlineStr">
        <is>
          <t>RAGUNDA</t>
        </is>
      </c>
      <c r="G445" t="n">
        <v>0.8</v>
      </c>
      <c r="H445" t="n">
        <v>0</v>
      </c>
      <c r="I445" t="n">
        <v>0</v>
      </c>
      <c r="J445" t="n">
        <v>0</v>
      </c>
      <c r="K445" t="n">
        <v>0</v>
      </c>
      <c r="L445" t="n">
        <v>0</v>
      </c>
      <c r="M445" t="n">
        <v>0</v>
      </c>
      <c r="N445" t="n">
        <v>0</v>
      </c>
      <c r="O445" t="n">
        <v>0</v>
      </c>
      <c r="P445" t="n">
        <v>0</v>
      </c>
      <c r="Q445" t="n">
        <v>0</v>
      </c>
      <c r="R445" s="2" t="inlineStr"/>
    </row>
    <row r="446" ht="15" customHeight="1">
      <c r="A446" t="inlineStr">
        <is>
          <t>A 24196-2024</t>
        </is>
      </c>
      <c r="B446" s="1" t="n">
        <v>45456.96569444444</v>
      </c>
      <c r="C446" s="1" t="n">
        <v>46051</v>
      </c>
      <c r="D446" t="inlineStr">
        <is>
          <t>JÄMTLANDS LÄN</t>
        </is>
      </c>
      <c r="E446" t="inlineStr">
        <is>
          <t>RAGUNDA</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23528-2024</t>
        </is>
      </c>
      <c r="B447" s="1" t="n">
        <v>45453.95016203704</v>
      </c>
      <c r="C447" s="1" t="n">
        <v>46051</v>
      </c>
      <c r="D447" t="inlineStr">
        <is>
          <t>JÄMTLANDS LÄN</t>
        </is>
      </c>
      <c r="E447" t="inlineStr">
        <is>
          <t>RAGUNDA</t>
        </is>
      </c>
      <c r="F447" t="inlineStr">
        <is>
          <t>SCA</t>
        </is>
      </c>
      <c r="G447" t="n">
        <v>4.7</v>
      </c>
      <c r="H447" t="n">
        <v>0</v>
      </c>
      <c r="I447" t="n">
        <v>0</v>
      </c>
      <c r="J447" t="n">
        <v>0</v>
      </c>
      <c r="K447" t="n">
        <v>0</v>
      </c>
      <c r="L447" t="n">
        <v>0</v>
      </c>
      <c r="M447" t="n">
        <v>0</v>
      </c>
      <c r="N447" t="n">
        <v>0</v>
      </c>
      <c r="O447" t="n">
        <v>0</v>
      </c>
      <c r="P447" t="n">
        <v>0</v>
      </c>
      <c r="Q447" t="n">
        <v>0</v>
      </c>
      <c r="R447" s="2" t="inlineStr"/>
    </row>
    <row r="448" ht="15" customHeight="1">
      <c r="A448" t="inlineStr">
        <is>
          <t>A 55701-2021</t>
        </is>
      </c>
      <c r="B448" s="1" t="n">
        <v>44475</v>
      </c>
      <c r="C448" s="1" t="n">
        <v>46051</v>
      </c>
      <c r="D448" t="inlineStr">
        <is>
          <t>JÄMTLANDS LÄN</t>
        </is>
      </c>
      <c r="E448" t="inlineStr">
        <is>
          <t>RAGUNDA</t>
        </is>
      </c>
      <c r="G448" t="n">
        <v>5.6</v>
      </c>
      <c r="H448" t="n">
        <v>0</v>
      </c>
      <c r="I448" t="n">
        <v>0</v>
      </c>
      <c r="J448" t="n">
        <v>0</v>
      </c>
      <c r="K448" t="n">
        <v>0</v>
      </c>
      <c r="L448" t="n">
        <v>0</v>
      </c>
      <c r="M448" t="n">
        <v>0</v>
      </c>
      <c r="N448" t="n">
        <v>0</v>
      </c>
      <c r="O448" t="n">
        <v>0</v>
      </c>
      <c r="P448" t="n">
        <v>0</v>
      </c>
      <c r="Q448" t="n">
        <v>0</v>
      </c>
      <c r="R448" s="2" t="inlineStr"/>
    </row>
    <row r="449" ht="15" customHeight="1">
      <c r="A449" t="inlineStr">
        <is>
          <t>A 24171-2021</t>
        </is>
      </c>
      <c r="B449" s="1" t="n">
        <v>44336</v>
      </c>
      <c r="C449" s="1" t="n">
        <v>46051</v>
      </c>
      <c r="D449" t="inlineStr">
        <is>
          <t>JÄMTLANDS LÄN</t>
        </is>
      </c>
      <c r="E449" t="inlineStr">
        <is>
          <t>RAGUNDA</t>
        </is>
      </c>
      <c r="G449" t="n">
        <v>3.6</v>
      </c>
      <c r="H449" t="n">
        <v>0</v>
      </c>
      <c r="I449" t="n">
        <v>0</v>
      </c>
      <c r="J449" t="n">
        <v>0</v>
      </c>
      <c r="K449" t="n">
        <v>0</v>
      </c>
      <c r="L449" t="n">
        <v>0</v>
      </c>
      <c r="M449" t="n">
        <v>0</v>
      </c>
      <c r="N449" t="n">
        <v>0</v>
      </c>
      <c r="O449" t="n">
        <v>0</v>
      </c>
      <c r="P449" t="n">
        <v>0</v>
      </c>
      <c r="Q449" t="n">
        <v>0</v>
      </c>
      <c r="R449" s="2" t="inlineStr"/>
    </row>
    <row r="450" ht="15" customHeight="1">
      <c r="A450" t="inlineStr">
        <is>
          <t>A 56702-2023</t>
        </is>
      </c>
      <c r="B450" s="1" t="n">
        <v>45243</v>
      </c>
      <c r="C450" s="1" t="n">
        <v>46051</v>
      </c>
      <c r="D450" t="inlineStr">
        <is>
          <t>JÄMTLANDS LÄN</t>
        </is>
      </c>
      <c r="E450" t="inlineStr">
        <is>
          <t>RAGUNDA</t>
        </is>
      </c>
      <c r="F450" t="inlineStr">
        <is>
          <t>SCA</t>
        </is>
      </c>
      <c r="G450" t="n">
        <v>10.3</v>
      </c>
      <c r="H450" t="n">
        <v>0</v>
      </c>
      <c r="I450" t="n">
        <v>0</v>
      </c>
      <c r="J450" t="n">
        <v>0</v>
      </c>
      <c r="K450" t="n">
        <v>0</v>
      </c>
      <c r="L450" t="n">
        <v>0</v>
      </c>
      <c r="M450" t="n">
        <v>0</v>
      </c>
      <c r="N450" t="n">
        <v>0</v>
      </c>
      <c r="O450" t="n">
        <v>0</v>
      </c>
      <c r="P450" t="n">
        <v>0</v>
      </c>
      <c r="Q450" t="n">
        <v>0</v>
      </c>
      <c r="R450" s="2" t="inlineStr"/>
    </row>
    <row r="451" ht="15" customHeight="1">
      <c r="A451" t="inlineStr">
        <is>
          <t>A 63708-2023</t>
        </is>
      </c>
      <c r="B451" s="1" t="n">
        <v>45275.95060185185</v>
      </c>
      <c r="C451" s="1" t="n">
        <v>46051</v>
      </c>
      <c r="D451" t="inlineStr">
        <is>
          <t>JÄMTLANDS LÄN</t>
        </is>
      </c>
      <c r="E451" t="inlineStr">
        <is>
          <t>RAGUNDA</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2224-2024</t>
        </is>
      </c>
      <c r="B452" s="1" t="n">
        <v>45309.92524305556</v>
      </c>
      <c r="C452" s="1" t="n">
        <v>46051</v>
      </c>
      <c r="D452" t="inlineStr">
        <is>
          <t>JÄMTLANDS LÄN</t>
        </is>
      </c>
      <c r="E452" t="inlineStr">
        <is>
          <t>RAGUNDA</t>
        </is>
      </c>
      <c r="G452" t="n">
        <v>0.9</v>
      </c>
      <c r="H452" t="n">
        <v>0</v>
      </c>
      <c r="I452" t="n">
        <v>0</v>
      </c>
      <c r="J452" t="n">
        <v>0</v>
      </c>
      <c r="K452" t="n">
        <v>0</v>
      </c>
      <c r="L452" t="n">
        <v>0</v>
      </c>
      <c r="M452" t="n">
        <v>0</v>
      </c>
      <c r="N452" t="n">
        <v>0</v>
      </c>
      <c r="O452" t="n">
        <v>0</v>
      </c>
      <c r="P452" t="n">
        <v>0</v>
      </c>
      <c r="Q452" t="n">
        <v>0</v>
      </c>
      <c r="R452" s="2" t="inlineStr"/>
    </row>
    <row r="453" ht="15" customHeight="1">
      <c r="A453" t="inlineStr">
        <is>
          <t>A 26651-2024</t>
        </is>
      </c>
      <c r="B453" s="1" t="n">
        <v>45469.94876157407</v>
      </c>
      <c r="C453" s="1" t="n">
        <v>46051</v>
      </c>
      <c r="D453" t="inlineStr">
        <is>
          <t>JÄMTLANDS LÄN</t>
        </is>
      </c>
      <c r="E453" t="inlineStr">
        <is>
          <t>RAGUNDA</t>
        </is>
      </c>
      <c r="F453" t="inlineStr">
        <is>
          <t>SCA</t>
        </is>
      </c>
      <c r="G453" t="n">
        <v>10.4</v>
      </c>
      <c r="H453" t="n">
        <v>0</v>
      </c>
      <c r="I453" t="n">
        <v>0</v>
      </c>
      <c r="J453" t="n">
        <v>0</v>
      </c>
      <c r="K453" t="n">
        <v>0</v>
      </c>
      <c r="L453" t="n">
        <v>0</v>
      </c>
      <c r="M453" t="n">
        <v>0</v>
      </c>
      <c r="N453" t="n">
        <v>0</v>
      </c>
      <c r="O453" t="n">
        <v>0</v>
      </c>
      <c r="P453" t="n">
        <v>0</v>
      </c>
      <c r="Q453" t="n">
        <v>0</v>
      </c>
      <c r="R453" s="2" t="inlineStr"/>
    </row>
    <row r="454" ht="15" customHeight="1">
      <c r="A454" t="inlineStr">
        <is>
          <t>A 13299-2024</t>
        </is>
      </c>
      <c r="B454" s="1" t="n">
        <v>45386.68003472222</v>
      </c>
      <c r="C454" s="1" t="n">
        <v>46051</v>
      </c>
      <c r="D454" t="inlineStr">
        <is>
          <t>JÄMTLANDS LÄN</t>
        </is>
      </c>
      <c r="E454" t="inlineStr">
        <is>
          <t>RAGUNDA</t>
        </is>
      </c>
      <c r="G454" t="n">
        <v>1.9</v>
      </c>
      <c r="H454" t="n">
        <v>0</v>
      </c>
      <c r="I454" t="n">
        <v>0</v>
      </c>
      <c r="J454" t="n">
        <v>0</v>
      </c>
      <c r="K454" t="n">
        <v>0</v>
      </c>
      <c r="L454" t="n">
        <v>0</v>
      </c>
      <c r="M454" t="n">
        <v>0</v>
      </c>
      <c r="N454" t="n">
        <v>0</v>
      </c>
      <c r="O454" t="n">
        <v>0</v>
      </c>
      <c r="P454" t="n">
        <v>0</v>
      </c>
      <c r="Q454" t="n">
        <v>0</v>
      </c>
      <c r="R454" s="2" t="inlineStr"/>
    </row>
    <row r="455" ht="15" customHeight="1">
      <c r="A455" t="inlineStr">
        <is>
          <t>A 58537-2022</t>
        </is>
      </c>
      <c r="B455" s="1" t="n">
        <v>44894</v>
      </c>
      <c r="C455" s="1" t="n">
        <v>46051</v>
      </c>
      <c r="D455" t="inlineStr">
        <is>
          <t>JÄMTLANDS LÄN</t>
        </is>
      </c>
      <c r="E455" t="inlineStr">
        <is>
          <t>RAGUNDA</t>
        </is>
      </c>
      <c r="G455" t="n">
        <v>1.2</v>
      </c>
      <c r="H455" t="n">
        <v>0</v>
      </c>
      <c r="I455" t="n">
        <v>0</v>
      </c>
      <c r="J455" t="n">
        <v>0</v>
      </c>
      <c r="K455" t="n">
        <v>0</v>
      </c>
      <c r="L455" t="n">
        <v>0</v>
      </c>
      <c r="M455" t="n">
        <v>0</v>
      </c>
      <c r="N455" t="n">
        <v>0</v>
      </c>
      <c r="O455" t="n">
        <v>0</v>
      </c>
      <c r="P455" t="n">
        <v>0</v>
      </c>
      <c r="Q455" t="n">
        <v>0</v>
      </c>
      <c r="R455" s="2" t="inlineStr"/>
    </row>
    <row r="456" ht="15" customHeight="1">
      <c r="A456" t="inlineStr">
        <is>
          <t>A 53347-2023</t>
        </is>
      </c>
      <c r="B456" s="1" t="n">
        <v>45223</v>
      </c>
      <c r="C456" s="1" t="n">
        <v>46051</v>
      </c>
      <c r="D456" t="inlineStr">
        <is>
          <t>JÄMTLANDS LÄN</t>
        </is>
      </c>
      <c r="E456" t="inlineStr">
        <is>
          <t>RAGUNDA</t>
        </is>
      </c>
      <c r="G456" t="n">
        <v>1.6</v>
      </c>
      <c r="H456" t="n">
        <v>0</v>
      </c>
      <c r="I456" t="n">
        <v>0</v>
      </c>
      <c r="J456" t="n">
        <v>0</v>
      </c>
      <c r="K456" t="n">
        <v>0</v>
      </c>
      <c r="L456" t="n">
        <v>0</v>
      </c>
      <c r="M456" t="n">
        <v>0</v>
      </c>
      <c r="N456" t="n">
        <v>0</v>
      </c>
      <c r="O456" t="n">
        <v>0</v>
      </c>
      <c r="P456" t="n">
        <v>0</v>
      </c>
      <c r="Q456" t="n">
        <v>0</v>
      </c>
      <c r="R456" s="2" t="inlineStr"/>
    </row>
    <row r="457" ht="15" customHeight="1">
      <c r="A457" t="inlineStr">
        <is>
          <t>A 25631-2025</t>
        </is>
      </c>
      <c r="B457" s="1" t="n">
        <v>45803.5946875</v>
      </c>
      <c r="C457" s="1" t="n">
        <v>46051</v>
      </c>
      <c r="D457" t="inlineStr">
        <is>
          <t>JÄMTLANDS LÄN</t>
        </is>
      </c>
      <c r="E457" t="inlineStr">
        <is>
          <t>RAGUNDA</t>
        </is>
      </c>
      <c r="G457" t="n">
        <v>1.1</v>
      </c>
      <c r="H457" t="n">
        <v>0</v>
      </c>
      <c r="I457" t="n">
        <v>0</v>
      </c>
      <c r="J457" t="n">
        <v>0</v>
      </c>
      <c r="K457" t="n">
        <v>0</v>
      </c>
      <c r="L457" t="n">
        <v>0</v>
      </c>
      <c r="M457" t="n">
        <v>0</v>
      </c>
      <c r="N457" t="n">
        <v>0</v>
      </c>
      <c r="O457" t="n">
        <v>0</v>
      </c>
      <c r="P457" t="n">
        <v>0</v>
      </c>
      <c r="Q457" t="n">
        <v>0</v>
      </c>
      <c r="R457" s="2" t="inlineStr"/>
    </row>
    <row r="458" ht="15" customHeight="1">
      <c r="A458" t="inlineStr">
        <is>
          <t>A 25659-2025</t>
        </is>
      </c>
      <c r="B458" s="1" t="n">
        <v>45803.61552083334</v>
      </c>
      <c r="C458" s="1" t="n">
        <v>46051</v>
      </c>
      <c r="D458" t="inlineStr">
        <is>
          <t>JÄMTLANDS LÄN</t>
        </is>
      </c>
      <c r="E458" t="inlineStr">
        <is>
          <t>RAGUNDA</t>
        </is>
      </c>
      <c r="G458" t="n">
        <v>1.5</v>
      </c>
      <c r="H458" t="n">
        <v>0</v>
      </c>
      <c r="I458" t="n">
        <v>0</v>
      </c>
      <c r="J458" t="n">
        <v>0</v>
      </c>
      <c r="K458" t="n">
        <v>0</v>
      </c>
      <c r="L458" t="n">
        <v>0</v>
      </c>
      <c r="M458" t="n">
        <v>0</v>
      </c>
      <c r="N458" t="n">
        <v>0</v>
      </c>
      <c r="O458" t="n">
        <v>0</v>
      </c>
      <c r="P458" t="n">
        <v>0</v>
      </c>
      <c r="Q458" t="n">
        <v>0</v>
      </c>
      <c r="R458" s="2" t="inlineStr"/>
    </row>
    <row r="459" ht="15" customHeight="1">
      <c r="A459" t="inlineStr">
        <is>
          <t>A 25661-2025</t>
        </is>
      </c>
      <c r="B459" s="1" t="n">
        <v>45803.61557870371</v>
      </c>
      <c r="C459" s="1" t="n">
        <v>46051</v>
      </c>
      <c r="D459" t="inlineStr">
        <is>
          <t>JÄMTLANDS LÄN</t>
        </is>
      </c>
      <c r="E459" t="inlineStr">
        <is>
          <t>RAGUNDA</t>
        </is>
      </c>
      <c r="G459" t="n">
        <v>1.4</v>
      </c>
      <c r="H459" t="n">
        <v>0</v>
      </c>
      <c r="I459" t="n">
        <v>0</v>
      </c>
      <c r="J459" t="n">
        <v>0</v>
      </c>
      <c r="K459" t="n">
        <v>0</v>
      </c>
      <c r="L459" t="n">
        <v>0</v>
      </c>
      <c r="M459" t="n">
        <v>0</v>
      </c>
      <c r="N459" t="n">
        <v>0</v>
      </c>
      <c r="O459" t="n">
        <v>0</v>
      </c>
      <c r="P459" t="n">
        <v>0</v>
      </c>
      <c r="Q459" t="n">
        <v>0</v>
      </c>
      <c r="R459" s="2" t="inlineStr"/>
    </row>
    <row r="460" ht="15" customHeight="1">
      <c r="A460" t="inlineStr">
        <is>
          <t>A 50486-2023</t>
        </is>
      </c>
      <c r="B460" s="1" t="n">
        <v>45216.92424768519</v>
      </c>
      <c r="C460" s="1" t="n">
        <v>46051</v>
      </c>
      <c r="D460" t="inlineStr">
        <is>
          <t>JÄMTLANDS LÄN</t>
        </is>
      </c>
      <c r="E460" t="inlineStr">
        <is>
          <t>RAGUNDA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25944-2025</t>
        </is>
      </c>
      <c r="B461" s="1" t="n">
        <v>45804.59487268519</v>
      </c>
      <c r="C461" s="1" t="n">
        <v>46051</v>
      </c>
      <c r="D461" t="inlineStr">
        <is>
          <t>JÄMTLANDS LÄN</t>
        </is>
      </c>
      <c r="E461" t="inlineStr">
        <is>
          <t>RAGUNDA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25814-2025</t>
        </is>
      </c>
      <c r="B462" s="1" t="n">
        <v>45804.42642361111</v>
      </c>
      <c r="C462" s="1" t="n">
        <v>46051</v>
      </c>
      <c r="D462" t="inlineStr">
        <is>
          <t>JÄMTLANDS LÄN</t>
        </is>
      </c>
      <c r="E462" t="inlineStr">
        <is>
          <t>RAGUNDA</t>
        </is>
      </c>
      <c r="G462" t="n">
        <v>0.8</v>
      </c>
      <c r="H462" t="n">
        <v>0</v>
      </c>
      <c r="I462" t="n">
        <v>0</v>
      </c>
      <c r="J462" t="n">
        <v>0</v>
      </c>
      <c r="K462" t="n">
        <v>0</v>
      </c>
      <c r="L462" t="n">
        <v>0</v>
      </c>
      <c r="M462" t="n">
        <v>0</v>
      </c>
      <c r="N462" t="n">
        <v>0</v>
      </c>
      <c r="O462" t="n">
        <v>0</v>
      </c>
      <c r="P462" t="n">
        <v>0</v>
      </c>
      <c r="Q462" t="n">
        <v>0</v>
      </c>
      <c r="R462" s="2" t="inlineStr"/>
    </row>
    <row r="463" ht="15" customHeight="1">
      <c r="A463" t="inlineStr">
        <is>
          <t>A 9084-2023</t>
        </is>
      </c>
      <c r="B463" s="1" t="n">
        <v>44979</v>
      </c>
      <c r="C463" s="1" t="n">
        <v>46051</v>
      </c>
      <c r="D463" t="inlineStr">
        <is>
          <t>JÄMTLANDS LÄN</t>
        </is>
      </c>
      <c r="E463" t="inlineStr">
        <is>
          <t>RAGUNDA</t>
        </is>
      </c>
      <c r="G463" t="n">
        <v>1.9</v>
      </c>
      <c r="H463" t="n">
        <v>0</v>
      </c>
      <c r="I463" t="n">
        <v>0</v>
      </c>
      <c r="J463" t="n">
        <v>0</v>
      </c>
      <c r="K463" t="n">
        <v>0</v>
      </c>
      <c r="L463" t="n">
        <v>0</v>
      </c>
      <c r="M463" t="n">
        <v>0</v>
      </c>
      <c r="N463" t="n">
        <v>0</v>
      </c>
      <c r="O463" t="n">
        <v>0</v>
      </c>
      <c r="P463" t="n">
        <v>0</v>
      </c>
      <c r="Q463" t="n">
        <v>0</v>
      </c>
      <c r="R463" s="2" t="inlineStr"/>
    </row>
    <row r="464" ht="15" customHeight="1">
      <c r="A464" t="inlineStr">
        <is>
          <t>A 9360-2023</t>
        </is>
      </c>
      <c r="B464" s="1" t="n">
        <v>44980.93865740741</v>
      </c>
      <c r="C464" s="1" t="n">
        <v>46051</v>
      </c>
      <c r="D464" t="inlineStr">
        <is>
          <t>JÄMTLANDS LÄN</t>
        </is>
      </c>
      <c r="E464" t="inlineStr">
        <is>
          <t>RAGUNDA</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66706-2021</t>
        </is>
      </c>
      <c r="B465" s="1" t="n">
        <v>44519.94440972222</v>
      </c>
      <c r="C465" s="1" t="n">
        <v>46051</v>
      </c>
      <c r="D465" t="inlineStr">
        <is>
          <t>JÄMTLANDS LÄN</t>
        </is>
      </c>
      <c r="E465" t="inlineStr">
        <is>
          <t>RAGUNDA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19613-2023</t>
        </is>
      </c>
      <c r="B466" s="1" t="n">
        <v>45050.94020833333</v>
      </c>
      <c r="C466" s="1" t="n">
        <v>46051</v>
      </c>
      <c r="D466" t="inlineStr">
        <is>
          <t>JÄMTLANDS LÄN</t>
        </is>
      </c>
      <c r="E466" t="inlineStr">
        <is>
          <t>RAGUNDA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25994-2025</t>
        </is>
      </c>
      <c r="B467" s="1" t="n">
        <v>45804.65672453704</v>
      </c>
      <c r="C467" s="1" t="n">
        <v>46051</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32259-2024</t>
        </is>
      </c>
      <c r="B468" s="1" t="n">
        <v>45511</v>
      </c>
      <c r="C468" s="1" t="n">
        <v>46051</v>
      </c>
      <c r="D468" t="inlineStr">
        <is>
          <t>JÄMTLANDS LÄN</t>
        </is>
      </c>
      <c r="E468" t="inlineStr">
        <is>
          <t>RAGUNDA</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26283-2025</t>
        </is>
      </c>
      <c r="B469" s="1" t="n">
        <v>45805.61495370371</v>
      </c>
      <c r="C469" s="1" t="n">
        <v>46051</v>
      </c>
      <c r="D469" t="inlineStr">
        <is>
          <t>JÄMTLANDS LÄN</t>
        </is>
      </c>
      <c r="E469" t="inlineStr">
        <is>
          <t>RAGUNDA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18778-2024</t>
        </is>
      </c>
      <c r="B470" s="1" t="n">
        <v>45426</v>
      </c>
      <c r="C470" s="1" t="n">
        <v>46051</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18781-2024</t>
        </is>
      </c>
      <c r="B471" s="1" t="n">
        <v>45426</v>
      </c>
      <c r="C471" s="1" t="n">
        <v>46051</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17248-2023</t>
        </is>
      </c>
      <c r="B472" s="1" t="n">
        <v>45033</v>
      </c>
      <c r="C472" s="1" t="n">
        <v>46051</v>
      </c>
      <c r="D472" t="inlineStr">
        <is>
          <t>JÄMTLANDS LÄN</t>
        </is>
      </c>
      <c r="E472" t="inlineStr">
        <is>
          <t>RAGUNDA</t>
        </is>
      </c>
      <c r="G472" t="n">
        <v>3</v>
      </c>
      <c r="H472" t="n">
        <v>0</v>
      </c>
      <c r="I472" t="n">
        <v>0</v>
      </c>
      <c r="J472" t="n">
        <v>0</v>
      </c>
      <c r="K472" t="n">
        <v>0</v>
      </c>
      <c r="L472" t="n">
        <v>0</v>
      </c>
      <c r="M472" t="n">
        <v>0</v>
      </c>
      <c r="N472" t="n">
        <v>0</v>
      </c>
      <c r="O472" t="n">
        <v>0</v>
      </c>
      <c r="P472" t="n">
        <v>0</v>
      </c>
      <c r="Q472" t="n">
        <v>0</v>
      </c>
      <c r="R472" s="2" t="inlineStr"/>
    </row>
    <row r="473" ht="15" customHeight="1">
      <c r="A473" t="inlineStr">
        <is>
          <t>A 24258-2025</t>
        </is>
      </c>
      <c r="B473" s="1" t="n">
        <v>45797.40800925926</v>
      </c>
      <c r="C473" s="1" t="n">
        <v>46051</v>
      </c>
      <c r="D473" t="inlineStr">
        <is>
          <t>JÄMTLANDS LÄN</t>
        </is>
      </c>
      <c r="E473" t="inlineStr">
        <is>
          <t>RAGUNDA</t>
        </is>
      </c>
      <c r="G473" t="n">
        <v>1.2</v>
      </c>
      <c r="H473" t="n">
        <v>0</v>
      </c>
      <c r="I473" t="n">
        <v>0</v>
      </c>
      <c r="J473" t="n">
        <v>0</v>
      </c>
      <c r="K473" t="n">
        <v>0</v>
      </c>
      <c r="L473" t="n">
        <v>0</v>
      </c>
      <c r="M473" t="n">
        <v>0</v>
      </c>
      <c r="N473" t="n">
        <v>0</v>
      </c>
      <c r="O473" t="n">
        <v>0</v>
      </c>
      <c r="P473" t="n">
        <v>0</v>
      </c>
      <c r="Q473" t="n">
        <v>0</v>
      </c>
      <c r="R473" s="2" t="inlineStr"/>
    </row>
    <row r="474" ht="15" customHeight="1">
      <c r="A474" t="inlineStr">
        <is>
          <t>A 26172-2025</t>
        </is>
      </c>
      <c r="B474" s="1" t="n">
        <v>45805.46613425926</v>
      </c>
      <c r="C474" s="1" t="n">
        <v>46051</v>
      </c>
      <c r="D474" t="inlineStr">
        <is>
          <t>JÄMTLANDS LÄN</t>
        </is>
      </c>
      <c r="E474" t="inlineStr">
        <is>
          <t>RAGUNDA</t>
        </is>
      </c>
      <c r="G474" t="n">
        <v>2.1</v>
      </c>
      <c r="H474" t="n">
        <v>0</v>
      </c>
      <c r="I474" t="n">
        <v>0</v>
      </c>
      <c r="J474" t="n">
        <v>0</v>
      </c>
      <c r="K474" t="n">
        <v>0</v>
      </c>
      <c r="L474" t="n">
        <v>0</v>
      </c>
      <c r="M474" t="n">
        <v>0</v>
      </c>
      <c r="N474" t="n">
        <v>0</v>
      </c>
      <c r="O474" t="n">
        <v>0</v>
      </c>
      <c r="P474" t="n">
        <v>0</v>
      </c>
      <c r="Q474" t="n">
        <v>0</v>
      </c>
      <c r="R474" s="2" t="inlineStr"/>
    </row>
    <row r="475" ht="15" customHeight="1">
      <c r="A475" t="inlineStr">
        <is>
          <t>A 10788-2025</t>
        </is>
      </c>
      <c r="B475" s="1" t="n">
        <v>45722.48982638889</v>
      </c>
      <c r="C475" s="1" t="n">
        <v>46051</v>
      </c>
      <c r="D475" t="inlineStr">
        <is>
          <t>JÄMTLANDS LÄN</t>
        </is>
      </c>
      <c r="E475" t="inlineStr">
        <is>
          <t>RAGUNDA</t>
        </is>
      </c>
      <c r="G475" t="n">
        <v>3.5</v>
      </c>
      <c r="H475" t="n">
        <v>0</v>
      </c>
      <c r="I475" t="n">
        <v>0</v>
      </c>
      <c r="J475" t="n">
        <v>0</v>
      </c>
      <c r="K475" t="n">
        <v>0</v>
      </c>
      <c r="L475" t="n">
        <v>0</v>
      </c>
      <c r="M475" t="n">
        <v>0</v>
      </c>
      <c r="N475" t="n">
        <v>0</v>
      </c>
      <c r="O475" t="n">
        <v>0</v>
      </c>
      <c r="P475" t="n">
        <v>0</v>
      </c>
      <c r="Q475" t="n">
        <v>0</v>
      </c>
      <c r="R475" s="2" t="inlineStr"/>
    </row>
    <row r="476" ht="15" customHeight="1">
      <c r="A476" t="inlineStr">
        <is>
          <t>A 26246-2025</t>
        </is>
      </c>
      <c r="B476" s="1" t="n">
        <v>45805.57390046296</v>
      </c>
      <c r="C476" s="1" t="n">
        <v>46051</v>
      </c>
      <c r="D476" t="inlineStr">
        <is>
          <t>JÄMTLANDS LÄN</t>
        </is>
      </c>
      <c r="E476" t="inlineStr">
        <is>
          <t>RAGUNDA</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53263-2024</t>
        </is>
      </c>
      <c r="B477" s="1" t="n">
        <v>45614.34541666666</v>
      </c>
      <c r="C477" s="1" t="n">
        <v>46051</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2001-2025</t>
        </is>
      </c>
      <c r="B478" s="1" t="n">
        <v>45672.44898148148</v>
      </c>
      <c r="C478" s="1" t="n">
        <v>46051</v>
      </c>
      <c r="D478" t="inlineStr">
        <is>
          <t>JÄMTLANDS LÄN</t>
        </is>
      </c>
      <c r="E478" t="inlineStr">
        <is>
          <t>RAGUNDA</t>
        </is>
      </c>
      <c r="F478" t="inlineStr">
        <is>
          <t>SCA</t>
        </is>
      </c>
      <c r="G478" t="n">
        <v>16.2</v>
      </c>
      <c r="H478" t="n">
        <v>0</v>
      </c>
      <c r="I478" t="n">
        <v>0</v>
      </c>
      <c r="J478" t="n">
        <v>0</v>
      </c>
      <c r="K478" t="n">
        <v>0</v>
      </c>
      <c r="L478" t="n">
        <v>0</v>
      </c>
      <c r="M478" t="n">
        <v>0</v>
      </c>
      <c r="N478" t="n">
        <v>0</v>
      </c>
      <c r="O478" t="n">
        <v>0</v>
      </c>
      <c r="P478" t="n">
        <v>0</v>
      </c>
      <c r="Q478" t="n">
        <v>0</v>
      </c>
      <c r="R478" s="2" t="inlineStr"/>
    </row>
    <row r="479" ht="15" customHeight="1">
      <c r="A479" t="inlineStr">
        <is>
          <t>A 58630-2024</t>
        </is>
      </c>
      <c r="B479" s="1" t="n">
        <v>45635.57331018519</v>
      </c>
      <c r="C479" s="1" t="n">
        <v>46051</v>
      </c>
      <c r="D479" t="inlineStr">
        <is>
          <t>JÄMTLANDS LÄN</t>
        </is>
      </c>
      <c r="E479" t="inlineStr">
        <is>
          <t>RAGUNDA</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14896-2022</t>
        </is>
      </c>
      <c r="B480" s="1" t="n">
        <v>44656</v>
      </c>
      <c r="C480" s="1" t="n">
        <v>46051</v>
      </c>
      <c r="D480" t="inlineStr">
        <is>
          <t>JÄMTLANDS LÄN</t>
        </is>
      </c>
      <c r="E480" t="inlineStr">
        <is>
          <t>RAGUNDA</t>
        </is>
      </c>
      <c r="F480" t="inlineStr">
        <is>
          <t>SCA</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11551-2024</t>
        </is>
      </c>
      <c r="B481" s="1" t="n">
        <v>45372.95762731481</v>
      </c>
      <c r="C481" s="1" t="n">
        <v>46051</v>
      </c>
      <c r="D481" t="inlineStr">
        <is>
          <t>JÄMTLANDS LÄN</t>
        </is>
      </c>
      <c r="E481" t="inlineStr">
        <is>
          <t>RAGUNDA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73278-2021</t>
        </is>
      </c>
      <c r="B482" s="1" t="n">
        <v>44550.92168981482</v>
      </c>
      <c r="C482" s="1" t="n">
        <v>46051</v>
      </c>
      <c r="D482" t="inlineStr">
        <is>
          <t>JÄMTLANDS LÄN</t>
        </is>
      </c>
      <c r="E482" t="inlineStr">
        <is>
          <t>RAGUNDA</t>
        </is>
      </c>
      <c r="G482" t="n">
        <v>4.4</v>
      </c>
      <c r="H482" t="n">
        <v>0</v>
      </c>
      <c r="I482" t="n">
        <v>0</v>
      </c>
      <c r="J482" t="n">
        <v>0</v>
      </c>
      <c r="K482" t="n">
        <v>0</v>
      </c>
      <c r="L482" t="n">
        <v>0</v>
      </c>
      <c r="M482" t="n">
        <v>0</v>
      </c>
      <c r="N482" t="n">
        <v>0</v>
      </c>
      <c r="O482" t="n">
        <v>0</v>
      </c>
      <c r="P482" t="n">
        <v>0</v>
      </c>
      <c r="Q482" t="n">
        <v>0</v>
      </c>
      <c r="R482" s="2" t="inlineStr"/>
    </row>
    <row r="483" ht="15" customHeight="1">
      <c r="A483" t="inlineStr">
        <is>
          <t>A 51396-2024</t>
        </is>
      </c>
      <c r="B483" s="1" t="n">
        <v>45604.4190625</v>
      </c>
      <c r="C483" s="1" t="n">
        <v>46051</v>
      </c>
      <c r="D483" t="inlineStr">
        <is>
          <t>JÄMTLANDS LÄN</t>
        </is>
      </c>
      <c r="E483" t="inlineStr">
        <is>
          <t>RAGUNDA</t>
        </is>
      </c>
      <c r="G483" t="n">
        <v>0.8</v>
      </c>
      <c r="H483" t="n">
        <v>0</v>
      </c>
      <c r="I483" t="n">
        <v>0</v>
      </c>
      <c r="J483" t="n">
        <v>0</v>
      </c>
      <c r="K483" t="n">
        <v>0</v>
      </c>
      <c r="L483" t="n">
        <v>0</v>
      </c>
      <c r="M483" t="n">
        <v>0</v>
      </c>
      <c r="N483" t="n">
        <v>0</v>
      </c>
      <c r="O483" t="n">
        <v>0</v>
      </c>
      <c r="P483" t="n">
        <v>0</v>
      </c>
      <c r="Q483" t="n">
        <v>0</v>
      </c>
      <c r="R483" s="2" t="inlineStr"/>
    </row>
    <row r="484" ht="15" customHeight="1">
      <c r="A484" t="inlineStr">
        <is>
          <t>A 26640-2025</t>
        </is>
      </c>
      <c r="B484" s="1" t="n">
        <v>45810.36495370371</v>
      </c>
      <c r="C484" s="1" t="n">
        <v>46051</v>
      </c>
      <c r="D484" t="inlineStr">
        <is>
          <t>JÄMTLANDS LÄN</t>
        </is>
      </c>
      <c r="E484" t="inlineStr">
        <is>
          <t>RAGUNDA</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39192-2025</t>
        </is>
      </c>
      <c r="B485" s="1" t="n">
        <v>45888.6775</v>
      </c>
      <c r="C485" s="1" t="n">
        <v>46051</v>
      </c>
      <c r="D485" t="inlineStr">
        <is>
          <t>JÄMTLANDS LÄN</t>
        </is>
      </c>
      <c r="E485" t="inlineStr">
        <is>
          <t>RAGUNDA</t>
        </is>
      </c>
      <c r="F485" t="inlineStr">
        <is>
          <t>Naturvårdsverket</t>
        </is>
      </c>
      <c r="G485" t="n">
        <v>2.3</v>
      </c>
      <c r="H485" t="n">
        <v>0</v>
      </c>
      <c r="I485" t="n">
        <v>0</v>
      </c>
      <c r="J485" t="n">
        <v>0</v>
      </c>
      <c r="K485" t="n">
        <v>0</v>
      </c>
      <c r="L485" t="n">
        <v>0</v>
      </c>
      <c r="M485" t="n">
        <v>0</v>
      </c>
      <c r="N485" t="n">
        <v>0</v>
      </c>
      <c r="O485" t="n">
        <v>0</v>
      </c>
      <c r="P485" t="n">
        <v>0</v>
      </c>
      <c r="Q485" t="n">
        <v>0</v>
      </c>
      <c r="R485" s="2" t="inlineStr"/>
    </row>
    <row r="486" ht="15" customHeight="1">
      <c r="A486" t="inlineStr">
        <is>
          <t>A 53762-2023</t>
        </is>
      </c>
      <c r="B486" s="1" t="n">
        <v>45230.96376157407</v>
      </c>
      <c r="C486" s="1" t="n">
        <v>46051</v>
      </c>
      <c r="D486" t="inlineStr">
        <is>
          <t>JÄMTLANDS LÄN</t>
        </is>
      </c>
      <c r="E486" t="inlineStr">
        <is>
          <t>RAGUNDA</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57839-2022</t>
        </is>
      </c>
      <c r="B487" s="1" t="n">
        <v>44897</v>
      </c>
      <c r="C487" s="1" t="n">
        <v>46051</v>
      </c>
      <c r="D487" t="inlineStr">
        <is>
          <t>JÄMTLANDS LÄN</t>
        </is>
      </c>
      <c r="E487" t="inlineStr">
        <is>
          <t>RAGUNDA</t>
        </is>
      </c>
      <c r="F487" t="inlineStr">
        <is>
          <t>SCA</t>
        </is>
      </c>
      <c r="G487" t="n">
        <v>8.5</v>
      </c>
      <c r="H487" t="n">
        <v>0</v>
      </c>
      <c r="I487" t="n">
        <v>0</v>
      </c>
      <c r="J487" t="n">
        <v>0</v>
      </c>
      <c r="K487" t="n">
        <v>0</v>
      </c>
      <c r="L487" t="n">
        <v>0</v>
      </c>
      <c r="M487" t="n">
        <v>0</v>
      </c>
      <c r="N487" t="n">
        <v>0</v>
      </c>
      <c r="O487" t="n">
        <v>0</v>
      </c>
      <c r="P487" t="n">
        <v>0</v>
      </c>
      <c r="Q487" t="n">
        <v>0</v>
      </c>
      <c r="R487" s="2" t="inlineStr"/>
    </row>
    <row r="488" ht="15" customHeight="1">
      <c r="A488" t="inlineStr">
        <is>
          <t>A 19089-2024</t>
        </is>
      </c>
      <c r="B488" s="1" t="n">
        <v>45428.00471064815</v>
      </c>
      <c r="C488" s="1" t="n">
        <v>46051</v>
      </c>
      <c r="D488" t="inlineStr">
        <is>
          <t>JÄMTLANDS LÄN</t>
        </is>
      </c>
      <c r="E488" t="inlineStr">
        <is>
          <t>RAGUNDA</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60663-2022</t>
        </is>
      </c>
      <c r="B489" s="1" t="n">
        <v>44911.93846064815</v>
      </c>
      <c r="C489" s="1" t="n">
        <v>46051</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28216-2025</t>
        </is>
      </c>
      <c r="B490" s="1" t="n">
        <v>45818.46898148148</v>
      </c>
      <c r="C490" s="1" t="n">
        <v>46051</v>
      </c>
      <c r="D490" t="inlineStr">
        <is>
          <t>JÄMTLANDS LÄN</t>
        </is>
      </c>
      <c r="E490" t="inlineStr">
        <is>
          <t>RAGUNDA</t>
        </is>
      </c>
      <c r="G490" t="n">
        <v>6.6</v>
      </c>
      <c r="H490" t="n">
        <v>0</v>
      </c>
      <c r="I490" t="n">
        <v>0</v>
      </c>
      <c r="J490" t="n">
        <v>0</v>
      </c>
      <c r="K490" t="n">
        <v>0</v>
      </c>
      <c r="L490" t="n">
        <v>0</v>
      </c>
      <c r="M490" t="n">
        <v>0</v>
      </c>
      <c r="N490" t="n">
        <v>0</v>
      </c>
      <c r="O490" t="n">
        <v>0</v>
      </c>
      <c r="P490" t="n">
        <v>0</v>
      </c>
      <c r="Q490" t="n">
        <v>0</v>
      </c>
      <c r="R490" s="2" t="inlineStr"/>
    </row>
    <row r="491" ht="15" customHeight="1">
      <c r="A491" t="inlineStr">
        <is>
          <t>A 59496-2024</t>
        </is>
      </c>
      <c r="B491" s="1" t="n">
        <v>45638</v>
      </c>
      <c r="C491" s="1" t="n">
        <v>46051</v>
      </c>
      <c r="D491" t="inlineStr">
        <is>
          <t>JÄMTLANDS LÄN</t>
        </is>
      </c>
      <c r="E491" t="inlineStr">
        <is>
          <t>RAGUNDA</t>
        </is>
      </c>
      <c r="G491" t="n">
        <v>13.1</v>
      </c>
      <c r="H491" t="n">
        <v>0</v>
      </c>
      <c r="I491" t="n">
        <v>0</v>
      </c>
      <c r="J491" t="n">
        <v>0</v>
      </c>
      <c r="K491" t="n">
        <v>0</v>
      </c>
      <c r="L491" t="n">
        <v>0</v>
      </c>
      <c r="M491" t="n">
        <v>0</v>
      </c>
      <c r="N491" t="n">
        <v>0</v>
      </c>
      <c r="O491" t="n">
        <v>0</v>
      </c>
      <c r="P491" t="n">
        <v>0</v>
      </c>
      <c r="Q491" t="n">
        <v>0</v>
      </c>
      <c r="R491" s="2" t="inlineStr"/>
    </row>
    <row r="492" ht="15" customHeight="1">
      <c r="A492" t="inlineStr">
        <is>
          <t>A 37265-2024</t>
        </is>
      </c>
      <c r="B492" s="1" t="n">
        <v>45540.38564814815</v>
      </c>
      <c r="C492" s="1" t="n">
        <v>46051</v>
      </c>
      <c r="D492" t="inlineStr">
        <is>
          <t>JÄMTLANDS LÄN</t>
        </is>
      </c>
      <c r="E492" t="inlineStr">
        <is>
          <t>RAGUNDA</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18612-2024</t>
        </is>
      </c>
      <c r="B493" s="1" t="n">
        <v>45425.96239583333</v>
      </c>
      <c r="C493" s="1" t="n">
        <v>46051</v>
      </c>
      <c r="D493" t="inlineStr">
        <is>
          <t>JÄMTLANDS LÄN</t>
        </is>
      </c>
      <c r="E493" t="inlineStr">
        <is>
          <t>RAGUNDA</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48249-2024</t>
        </is>
      </c>
      <c r="B494" s="1" t="n">
        <v>45590.40675925926</v>
      </c>
      <c r="C494" s="1" t="n">
        <v>46051</v>
      </c>
      <c r="D494" t="inlineStr">
        <is>
          <t>JÄMTLANDS LÄN</t>
        </is>
      </c>
      <c r="E494" t="inlineStr">
        <is>
          <t>RAGUNDA</t>
        </is>
      </c>
      <c r="F494" t="inlineStr">
        <is>
          <t>SCA</t>
        </is>
      </c>
      <c r="G494" t="n">
        <v>14.4</v>
      </c>
      <c r="H494" t="n">
        <v>0</v>
      </c>
      <c r="I494" t="n">
        <v>0</v>
      </c>
      <c r="J494" t="n">
        <v>0</v>
      </c>
      <c r="K494" t="n">
        <v>0</v>
      </c>
      <c r="L494" t="n">
        <v>0</v>
      </c>
      <c r="M494" t="n">
        <v>0</v>
      </c>
      <c r="N494" t="n">
        <v>0</v>
      </c>
      <c r="O494" t="n">
        <v>0</v>
      </c>
      <c r="P494" t="n">
        <v>0</v>
      </c>
      <c r="Q494" t="n">
        <v>0</v>
      </c>
      <c r="R494" s="2" t="inlineStr"/>
    </row>
    <row r="495" ht="15" customHeight="1">
      <c r="A495" t="inlineStr">
        <is>
          <t>A 39384-2025</t>
        </is>
      </c>
      <c r="B495" s="1" t="n">
        <v>45889.61517361111</v>
      </c>
      <c r="C495" s="1" t="n">
        <v>46051</v>
      </c>
      <c r="D495" t="inlineStr">
        <is>
          <t>JÄMTLANDS LÄN</t>
        </is>
      </c>
      <c r="E495" t="inlineStr">
        <is>
          <t>RAGUNDA</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19404-2025</t>
        </is>
      </c>
      <c r="B496" s="1" t="n">
        <v>45769.67802083334</v>
      </c>
      <c r="C496" s="1" t="n">
        <v>46051</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c r="U496">
        <f>HYPERLINK("https://klasma.github.io/Logging_2303/knärot/A 19404-2025 karta knärot.png", "A 19404-2025")</f>
        <v/>
      </c>
      <c r="V496">
        <f>HYPERLINK("https://klasma.github.io/Logging_2303/klagomål/A 19404-2025 FSC-klagomål.docx", "A 19404-2025")</f>
        <v/>
      </c>
      <c r="W496">
        <f>HYPERLINK("https://klasma.github.io/Logging_2303/klagomålsmail/A 19404-2025 FSC-klagomål mail.docx", "A 19404-2025")</f>
        <v/>
      </c>
      <c r="X496">
        <f>HYPERLINK("https://klasma.github.io/Logging_2303/tillsyn/A 19404-2025 tillsynsbegäran.docx", "A 19404-2025")</f>
        <v/>
      </c>
      <c r="Y496">
        <f>HYPERLINK("https://klasma.github.io/Logging_2303/tillsynsmail/A 19404-2025 tillsynsbegäran mail.docx", "A 19404-2025")</f>
        <v/>
      </c>
    </row>
    <row r="497" ht="15" customHeight="1">
      <c r="A497" t="inlineStr">
        <is>
          <t>A 27510-2025</t>
        </is>
      </c>
      <c r="B497" s="1" t="n">
        <v>45813.42790509259</v>
      </c>
      <c r="C497" s="1" t="n">
        <v>46051</v>
      </c>
      <c r="D497" t="inlineStr">
        <is>
          <t>JÄMTLANDS LÄN</t>
        </is>
      </c>
      <c r="E497" t="inlineStr">
        <is>
          <t>RAGUNDA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61934-2022</t>
        </is>
      </c>
      <c r="B498" s="1" t="n">
        <v>44917</v>
      </c>
      <c r="C498" s="1" t="n">
        <v>46051</v>
      </c>
      <c r="D498" t="inlineStr">
        <is>
          <t>JÄMTLANDS LÄN</t>
        </is>
      </c>
      <c r="E498" t="inlineStr">
        <is>
          <t>RAGUNDA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11558-2023</t>
        </is>
      </c>
      <c r="B499" s="1" t="n">
        <v>44993.94958333333</v>
      </c>
      <c r="C499" s="1" t="n">
        <v>46051</v>
      </c>
      <c r="D499" t="inlineStr">
        <is>
          <t>JÄMTLANDS LÄN</t>
        </is>
      </c>
      <c r="E499" t="inlineStr">
        <is>
          <t>RAGUNDA</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18989-2025</t>
        </is>
      </c>
      <c r="B500" s="1" t="n">
        <v>45764</v>
      </c>
      <c r="C500" s="1" t="n">
        <v>46051</v>
      </c>
      <c r="D500" t="inlineStr">
        <is>
          <t>JÄMTLANDS LÄN</t>
        </is>
      </c>
      <c r="E500" t="inlineStr">
        <is>
          <t>RAGUNDA</t>
        </is>
      </c>
      <c r="G500" t="n">
        <v>0.9</v>
      </c>
      <c r="H500" t="n">
        <v>0</v>
      </c>
      <c r="I500" t="n">
        <v>0</v>
      </c>
      <c r="J500" t="n">
        <v>0</v>
      </c>
      <c r="K500" t="n">
        <v>0</v>
      </c>
      <c r="L500" t="n">
        <v>0</v>
      </c>
      <c r="M500" t="n">
        <v>0</v>
      </c>
      <c r="N500" t="n">
        <v>0</v>
      </c>
      <c r="O500" t="n">
        <v>0</v>
      </c>
      <c r="P500" t="n">
        <v>0</v>
      </c>
      <c r="Q500" t="n">
        <v>0</v>
      </c>
      <c r="R500" s="2" t="inlineStr"/>
    </row>
    <row r="501" ht="15" customHeight="1">
      <c r="A501" t="inlineStr">
        <is>
          <t>A 39949-2025</t>
        </is>
      </c>
      <c r="B501" s="1" t="n">
        <v>45892.38619212963</v>
      </c>
      <c r="C501" s="1" t="n">
        <v>46051</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39948-2025</t>
        </is>
      </c>
      <c r="B502" s="1" t="n">
        <v>45892.38591435185</v>
      </c>
      <c r="C502" s="1" t="n">
        <v>46051</v>
      </c>
      <c r="D502" t="inlineStr">
        <is>
          <t>JÄMTLANDS LÄN</t>
        </is>
      </c>
      <c r="E502" t="inlineStr">
        <is>
          <t>RAGUNDA</t>
        </is>
      </c>
      <c r="G502" t="n">
        <v>5</v>
      </c>
      <c r="H502" t="n">
        <v>0</v>
      </c>
      <c r="I502" t="n">
        <v>0</v>
      </c>
      <c r="J502" t="n">
        <v>0</v>
      </c>
      <c r="K502" t="n">
        <v>0</v>
      </c>
      <c r="L502" t="n">
        <v>0</v>
      </c>
      <c r="M502" t="n">
        <v>0</v>
      </c>
      <c r="N502" t="n">
        <v>0</v>
      </c>
      <c r="O502" t="n">
        <v>0</v>
      </c>
      <c r="P502" t="n">
        <v>0</v>
      </c>
      <c r="Q502" t="n">
        <v>0</v>
      </c>
      <c r="R502" s="2" t="inlineStr"/>
    </row>
    <row r="503" ht="15" customHeight="1">
      <c r="A503" t="inlineStr">
        <is>
          <t>A 49648-2023</t>
        </is>
      </c>
      <c r="B503" s="1" t="n">
        <v>45211.95061342593</v>
      </c>
      <c r="C503" s="1" t="n">
        <v>46051</v>
      </c>
      <c r="D503" t="inlineStr">
        <is>
          <t>JÄMTLANDS LÄN</t>
        </is>
      </c>
      <c r="E503" t="inlineStr">
        <is>
          <t>RAGUNDA</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39947-2025</t>
        </is>
      </c>
      <c r="B504" s="1" t="n">
        <v>45892.34438657408</v>
      </c>
      <c r="C504" s="1" t="n">
        <v>46051</v>
      </c>
      <c r="D504" t="inlineStr">
        <is>
          <t>JÄMTLANDS LÄN</t>
        </is>
      </c>
      <c r="E504" t="inlineStr">
        <is>
          <t>RAGUNDA</t>
        </is>
      </c>
      <c r="G504" t="n">
        <v>6.6</v>
      </c>
      <c r="H504" t="n">
        <v>0</v>
      </c>
      <c r="I504" t="n">
        <v>0</v>
      </c>
      <c r="J504" t="n">
        <v>0</v>
      </c>
      <c r="K504" t="n">
        <v>0</v>
      </c>
      <c r="L504" t="n">
        <v>0</v>
      </c>
      <c r="M504" t="n">
        <v>0</v>
      </c>
      <c r="N504" t="n">
        <v>0</v>
      </c>
      <c r="O504" t="n">
        <v>0</v>
      </c>
      <c r="P504" t="n">
        <v>0</v>
      </c>
      <c r="Q504" t="n">
        <v>0</v>
      </c>
      <c r="R504" s="2" t="inlineStr"/>
    </row>
    <row r="505" ht="15" customHeight="1">
      <c r="A505" t="inlineStr">
        <is>
          <t>A 39951-2025</t>
        </is>
      </c>
      <c r="B505" s="1" t="n">
        <v>45892.38657407407</v>
      </c>
      <c r="C505" s="1" t="n">
        <v>46051</v>
      </c>
      <c r="D505" t="inlineStr">
        <is>
          <t>JÄMTLANDS LÄN</t>
        </is>
      </c>
      <c r="E505" t="inlineStr">
        <is>
          <t>RAGUNDA</t>
        </is>
      </c>
      <c r="G505" t="n">
        <v>2.3</v>
      </c>
      <c r="H505" t="n">
        <v>0</v>
      </c>
      <c r="I505" t="n">
        <v>0</v>
      </c>
      <c r="J505" t="n">
        <v>0</v>
      </c>
      <c r="K505" t="n">
        <v>0</v>
      </c>
      <c r="L505" t="n">
        <v>0</v>
      </c>
      <c r="M505" t="n">
        <v>0</v>
      </c>
      <c r="N505" t="n">
        <v>0</v>
      </c>
      <c r="O505" t="n">
        <v>0</v>
      </c>
      <c r="P505" t="n">
        <v>0</v>
      </c>
      <c r="Q505" t="n">
        <v>0</v>
      </c>
      <c r="R505" s="2" t="inlineStr"/>
    </row>
    <row r="506" ht="15" customHeight="1">
      <c r="A506" t="inlineStr">
        <is>
          <t>A 39946-2025</t>
        </is>
      </c>
      <c r="B506" s="1" t="n">
        <v>45892.34423611111</v>
      </c>
      <c r="C506" s="1" t="n">
        <v>46051</v>
      </c>
      <c r="D506" t="inlineStr">
        <is>
          <t>JÄMTLANDS LÄN</t>
        </is>
      </c>
      <c r="E506" t="inlineStr">
        <is>
          <t>RAGUNDA</t>
        </is>
      </c>
      <c r="G506" t="n">
        <v>4.7</v>
      </c>
      <c r="H506" t="n">
        <v>0</v>
      </c>
      <c r="I506" t="n">
        <v>0</v>
      </c>
      <c r="J506" t="n">
        <v>0</v>
      </c>
      <c r="K506" t="n">
        <v>0</v>
      </c>
      <c r="L506" t="n">
        <v>0</v>
      </c>
      <c r="M506" t="n">
        <v>0</v>
      </c>
      <c r="N506" t="n">
        <v>0</v>
      </c>
      <c r="O506" t="n">
        <v>0</v>
      </c>
      <c r="P506" t="n">
        <v>0</v>
      </c>
      <c r="Q506" t="n">
        <v>0</v>
      </c>
      <c r="R506" s="2" t="inlineStr"/>
    </row>
    <row r="507" ht="15" customHeight="1">
      <c r="A507" t="inlineStr">
        <is>
          <t>A 39950-2025</t>
        </is>
      </c>
      <c r="B507" s="1" t="n">
        <v>45892.38641203703</v>
      </c>
      <c r="C507" s="1" t="n">
        <v>46051</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39955-2025</t>
        </is>
      </c>
      <c r="B508" s="1" t="n">
        <v>45892.44824074074</v>
      </c>
      <c r="C508" s="1" t="n">
        <v>46051</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39956-2025</t>
        </is>
      </c>
      <c r="B509" s="1" t="n">
        <v>45892.44840277778</v>
      </c>
      <c r="C509" s="1" t="n">
        <v>46051</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58194-2022</t>
        </is>
      </c>
      <c r="B510" s="1" t="n">
        <v>44900</v>
      </c>
      <c r="C510" s="1" t="n">
        <v>46051</v>
      </c>
      <c r="D510" t="inlineStr">
        <is>
          <t>JÄMTLANDS LÄN</t>
        </is>
      </c>
      <c r="E510" t="inlineStr">
        <is>
          <t>RAGUNDA</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40586-2025</t>
        </is>
      </c>
      <c r="B511" s="1" t="n">
        <v>45896.52478009259</v>
      </c>
      <c r="C511" s="1" t="n">
        <v>46051</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42875-2024</t>
        </is>
      </c>
      <c r="B512" s="1" t="n">
        <v>45566.68125</v>
      </c>
      <c r="C512" s="1" t="n">
        <v>46051</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15864-2024</t>
        </is>
      </c>
      <c r="B513" s="1" t="n">
        <v>45404.99792824074</v>
      </c>
      <c r="C513" s="1" t="n">
        <v>46051</v>
      </c>
      <c r="D513" t="inlineStr">
        <is>
          <t>JÄMTLANDS LÄN</t>
        </is>
      </c>
      <c r="E513" t="inlineStr">
        <is>
          <t>RAGUNDA</t>
        </is>
      </c>
      <c r="F513" t="inlineStr">
        <is>
          <t>SCA</t>
        </is>
      </c>
      <c r="G513" t="n">
        <v>1.1</v>
      </c>
      <c r="H513" t="n">
        <v>0</v>
      </c>
      <c r="I513" t="n">
        <v>0</v>
      </c>
      <c r="J513" t="n">
        <v>0</v>
      </c>
      <c r="K513" t="n">
        <v>0</v>
      </c>
      <c r="L513" t="n">
        <v>0</v>
      </c>
      <c r="M513" t="n">
        <v>0</v>
      </c>
      <c r="N513" t="n">
        <v>0</v>
      </c>
      <c r="O513" t="n">
        <v>0</v>
      </c>
      <c r="P513" t="n">
        <v>0</v>
      </c>
      <c r="Q513" t="n">
        <v>0</v>
      </c>
      <c r="R513" s="2" t="inlineStr"/>
      <c r="U513">
        <f>HYPERLINK("https://klasma.github.io/Logging_2303/knärot/A 15864-2024 karta knärot.png", "A 15864-2024")</f>
        <v/>
      </c>
      <c r="V513">
        <f>HYPERLINK("https://klasma.github.io/Logging_2303/klagomål/A 15864-2024 FSC-klagomål.docx", "A 15864-2024")</f>
        <v/>
      </c>
      <c r="W513">
        <f>HYPERLINK("https://klasma.github.io/Logging_2303/klagomålsmail/A 15864-2024 FSC-klagomål mail.docx", "A 15864-2024")</f>
        <v/>
      </c>
      <c r="X513">
        <f>HYPERLINK("https://klasma.github.io/Logging_2303/tillsyn/A 15864-2024 tillsynsbegäran.docx", "A 15864-2024")</f>
        <v/>
      </c>
      <c r="Y513">
        <f>HYPERLINK("https://klasma.github.io/Logging_2303/tillsynsmail/A 15864-2024 tillsynsbegäran mail.docx", "A 15864-2024")</f>
        <v/>
      </c>
    </row>
    <row r="514" ht="15" customHeight="1">
      <c r="A514" t="inlineStr">
        <is>
          <t>A 4015-2022</t>
        </is>
      </c>
      <c r="B514" s="1" t="n">
        <v>44587.92149305555</v>
      </c>
      <c r="C514" s="1" t="n">
        <v>46051</v>
      </c>
      <c r="D514" t="inlineStr">
        <is>
          <t>JÄMTLANDS LÄN</t>
        </is>
      </c>
      <c r="E514" t="inlineStr">
        <is>
          <t>RAGUNDA</t>
        </is>
      </c>
      <c r="G514" t="n">
        <v>3.9</v>
      </c>
      <c r="H514" t="n">
        <v>0</v>
      </c>
      <c r="I514" t="n">
        <v>0</v>
      </c>
      <c r="J514" t="n">
        <v>0</v>
      </c>
      <c r="K514" t="n">
        <v>0</v>
      </c>
      <c r="L514" t="n">
        <v>0</v>
      </c>
      <c r="M514" t="n">
        <v>0</v>
      </c>
      <c r="N514" t="n">
        <v>0</v>
      </c>
      <c r="O514" t="n">
        <v>0</v>
      </c>
      <c r="P514" t="n">
        <v>0</v>
      </c>
      <c r="Q514" t="n">
        <v>0</v>
      </c>
      <c r="R514" s="2" t="inlineStr"/>
    </row>
    <row r="515" ht="15" customHeight="1">
      <c r="A515" t="inlineStr">
        <is>
          <t>A 2599-2023</t>
        </is>
      </c>
      <c r="B515" s="1" t="n">
        <v>44943.94802083333</v>
      </c>
      <c r="C515" s="1" t="n">
        <v>46051</v>
      </c>
      <c r="D515" t="inlineStr">
        <is>
          <t>JÄMTLANDS LÄN</t>
        </is>
      </c>
      <c r="E515" t="inlineStr">
        <is>
          <t>RAGUNDA</t>
        </is>
      </c>
      <c r="F515" t="inlineStr">
        <is>
          <t>SCA</t>
        </is>
      </c>
      <c r="G515" t="n">
        <v>5.9</v>
      </c>
      <c r="H515" t="n">
        <v>0</v>
      </c>
      <c r="I515" t="n">
        <v>0</v>
      </c>
      <c r="J515" t="n">
        <v>0</v>
      </c>
      <c r="K515" t="n">
        <v>0</v>
      </c>
      <c r="L515" t="n">
        <v>0</v>
      </c>
      <c r="M515" t="n">
        <v>0</v>
      </c>
      <c r="N515" t="n">
        <v>0</v>
      </c>
      <c r="O515" t="n">
        <v>0</v>
      </c>
      <c r="P515" t="n">
        <v>0</v>
      </c>
      <c r="Q515" t="n">
        <v>0</v>
      </c>
      <c r="R515" s="2" t="inlineStr"/>
    </row>
    <row r="516" ht="15" customHeight="1">
      <c r="A516" t="inlineStr">
        <is>
          <t>A 28637-2025</t>
        </is>
      </c>
      <c r="B516" s="1" t="n">
        <v>45819.6359375</v>
      </c>
      <c r="C516" s="1" t="n">
        <v>46051</v>
      </c>
      <c r="D516" t="inlineStr">
        <is>
          <t>JÄMTLANDS LÄN</t>
        </is>
      </c>
      <c r="E516" t="inlineStr">
        <is>
          <t>RAGUNDA</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59044-2022</t>
        </is>
      </c>
      <c r="B517" s="1" t="n">
        <v>44903</v>
      </c>
      <c r="C517" s="1" t="n">
        <v>46051</v>
      </c>
      <c r="D517" t="inlineStr">
        <is>
          <t>JÄMTLANDS LÄN</t>
        </is>
      </c>
      <c r="E517" t="inlineStr">
        <is>
          <t>RAGUNDA</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4014-2022</t>
        </is>
      </c>
      <c r="B518" s="1" t="n">
        <v>44587.92144675926</v>
      </c>
      <c r="C518" s="1" t="n">
        <v>46051</v>
      </c>
      <c r="D518" t="inlineStr">
        <is>
          <t>JÄMTLANDS LÄN</t>
        </is>
      </c>
      <c r="E518" t="inlineStr">
        <is>
          <t>RAGUNDA</t>
        </is>
      </c>
      <c r="G518" t="n">
        <v>3.6</v>
      </c>
      <c r="H518" t="n">
        <v>0</v>
      </c>
      <c r="I518" t="n">
        <v>0</v>
      </c>
      <c r="J518" t="n">
        <v>0</v>
      </c>
      <c r="K518" t="n">
        <v>0</v>
      </c>
      <c r="L518" t="n">
        <v>0</v>
      </c>
      <c r="M518" t="n">
        <v>0</v>
      </c>
      <c r="N518" t="n">
        <v>0</v>
      </c>
      <c r="O518" t="n">
        <v>0</v>
      </c>
      <c r="P518" t="n">
        <v>0</v>
      </c>
      <c r="Q518" t="n">
        <v>0</v>
      </c>
      <c r="R518" s="2" t="inlineStr"/>
    </row>
    <row r="519" ht="15" customHeight="1">
      <c r="A519" t="inlineStr">
        <is>
          <t>A 8243-2024</t>
        </is>
      </c>
      <c r="B519" s="1" t="n">
        <v>45351.98532407408</v>
      </c>
      <c r="C519" s="1" t="n">
        <v>46051</v>
      </c>
      <c r="D519" t="inlineStr">
        <is>
          <t>JÄMTLANDS LÄN</t>
        </is>
      </c>
      <c r="E519" t="inlineStr">
        <is>
          <t>RAGUNDA</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6902-2024</t>
        </is>
      </c>
      <c r="B520" s="1" t="n">
        <v>45342</v>
      </c>
      <c r="C520" s="1" t="n">
        <v>46051</v>
      </c>
      <c r="D520" t="inlineStr">
        <is>
          <t>JÄMTLANDS LÄN</t>
        </is>
      </c>
      <c r="E520" t="inlineStr">
        <is>
          <t>RAGUNDA</t>
        </is>
      </c>
      <c r="F520" t="inlineStr">
        <is>
          <t>SCA</t>
        </is>
      </c>
      <c r="G520" t="n">
        <v>18.7</v>
      </c>
      <c r="H520" t="n">
        <v>0</v>
      </c>
      <c r="I520" t="n">
        <v>0</v>
      </c>
      <c r="J520" t="n">
        <v>0</v>
      </c>
      <c r="K520" t="n">
        <v>0</v>
      </c>
      <c r="L520" t="n">
        <v>0</v>
      </c>
      <c r="M520" t="n">
        <v>0</v>
      </c>
      <c r="N520" t="n">
        <v>0</v>
      </c>
      <c r="O520" t="n">
        <v>0</v>
      </c>
      <c r="P520" t="n">
        <v>0</v>
      </c>
      <c r="Q520" t="n">
        <v>0</v>
      </c>
      <c r="R520" s="2" t="inlineStr"/>
    </row>
    <row r="521" ht="15" customHeight="1">
      <c r="A521" t="inlineStr">
        <is>
          <t>A 6905-2024</t>
        </is>
      </c>
      <c r="B521" s="1" t="n">
        <v>45342.9462037037</v>
      </c>
      <c r="C521" s="1" t="n">
        <v>46051</v>
      </c>
      <c r="D521" t="inlineStr">
        <is>
          <t>JÄMTLANDS LÄN</t>
        </is>
      </c>
      <c r="E521" t="inlineStr">
        <is>
          <t>RAGUNDA</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41161-2025</t>
        </is>
      </c>
      <c r="B522" s="1" t="n">
        <v>45898.53193287037</v>
      </c>
      <c r="C522" s="1" t="n">
        <v>46051</v>
      </c>
      <c r="D522" t="inlineStr">
        <is>
          <t>JÄMTLANDS LÄN</t>
        </is>
      </c>
      <c r="E522" t="inlineStr">
        <is>
          <t>RAGUNDA</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41140-2025</t>
        </is>
      </c>
      <c r="B523" s="1" t="n">
        <v>45898.49012731481</v>
      </c>
      <c r="C523" s="1" t="n">
        <v>46051</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28973-2025</t>
        </is>
      </c>
      <c r="B524" s="1" t="n">
        <v>45821.34513888889</v>
      </c>
      <c r="C524" s="1" t="n">
        <v>46051</v>
      </c>
      <c r="D524" t="inlineStr">
        <is>
          <t>JÄMTLANDS LÄN</t>
        </is>
      </c>
      <c r="E524" t="inlineStr">
        <is>
          <t>RAGUNDA</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29723-2025</t>
        </is>
      </c>
      <c r="B525" s="1" t="n">
        <v>45825.57675925926</v>
      </c>
      <c r="C525" s="1" t="n">
        <v>46051</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29731-2025</t>
        </is>
      </c>
      <c r="B526" s="1" t="n">
        <v>45825.58252314815</v>
      </c>
      <c r="C526" s="1" t="n">
        <v>46051</v>
      </c>
      <c r="D526" t="inlineStr">
        <is>
          <t>JÄMTLANDS LÄN</t>
        </is>
      </c>
      <c r="E526" t="inlineStr">
        <is>
          <t>RAGUNDA</t>
        </is>
      </c>
      <c r="G526" t="n">
        <v>2.3</v>
      </c>
      <c r="H526" t="n">
        <v>0</v>
      </c>
      <c r="I526" t="n">
        <v>0</v>
      </c>
      <c r="J526" t="n">
        <v>0</v>
      </c>
      <c r="K526" t="n">
        <v>0</v>
      </c>
      <c r="L526" t="n">
        <v>0</v>
      </c>
      <c r="M526" t="n">
        <v>0</v>
      </c>
      <c r="N526" t="n">
        <v>0</v>
      </c>
      <c r="O526" t="n">
        <v>0</v>
      </c>
      <c r="P526" t="n">
        <v>0</v>
      </c>
      <c r="Q526" t="n">
        <v>0</v>
      </c>
      <c r="R526" s="2" t="inlineStr"/>
    </row>
    <row r="527" ht="15" customHeight="1">
      <c r="A527" t="inlineStr">
        <is>
          <t>A 53989-2024</t>
        </is>
      </c>
      <c r="B527" s="1" t="n">
        <v>45616.34479166667</v>
      </c>
      <c r="C527" s="1" t="n">
        <v>46051</v>
      </c>
      <c r="D527" t="inlineStr">
        <is>
          <t>JÄMTLANDS LÄN</t>
        </is>
      </c>
      <c r="E527" t="inlineStr">
        <is>
          <t>RAGUNDA</t>
        </is>
      </c>
      <c r="F527" t="inlineStr">
        <is>
          <t>SCA</t>
        </is>
      </c>
      <c r="G527" t="n">
        <v>7.2</v>
      </c>
      <c r="H527" t="n">
        <v>0</v>
      </c>
      <c r="I527" t="n">
        <v>0</v>
      </c>
      <c r="J527" t="n">
        <v>0</v>
      </c>
      <c r="K527" t="n">
        <v>0</v>
      </c>
      <c r="L527" t="n">
        <v>0</v>
      </c>
      <c r="M527" t="n">
        <v>0</v>
      </c>
      <c r="N527" t="n">
        <v>0</v>
      </c>
      <c r="O527" t="n">
        <v>0</v>
      </c>
      <c r="P527" t="n">
        <v>0</v>
      </c>
      <c r="Q527" t="n">
        <v>0</v>
      </c>
      <c r="R527" s="2" t="inlineStr"/>
    </row>
    <row r="528" ht="15" customHeight="1">
      <c r="A528" t="inlineStr">
        <is>
          <t>A 41233-2025</t>
        </is>
      </c>
      <c r="B528" s="1" t="n">
        <v>45898.59295138889</v>
      </c>
      <c r="C528" s="1" t="n">
        <v>46051</v>
      </c>
      <c r="D528" t="inlineStr">
        <is>
          <t>JÄMTLANDS LÄN</t>
        </is>
      </c>
      <c r="E528" t="inlineStr">
        <is>
          <t>RAGUNDA</t>
        </is>
      </c>
      <c r="G528" t="n">
        <v>1.7</v>
      </c>
      <c r="H528" t="n">
        <v>0</v>
      </c>
      <c r="I528" t="n">
        <v>0</v>
      </c>
      <c r="J528" t="n">
        <v>0</v>
      </c>
      <c r="K528" t="n">
        <v>0</v>
      </c>
      <c r="L528" t="n">
        <v>0</v>
      </c>
      <c r="M528" t="n">
        <v>0</v>
      </c>
      <c r="N528" t="n">
        <v>0</v>
      </c>
      <c r="O528" t="n">
        <v>0</v>
      </c>
      <c r="P528" t="n">
        <v>0</v>
      </c>
      <c r="Q528" t="n">
        <v>0</v>
      </c>
      <c r="R528" s="2" t="inlineStr"/>
    </row>
    <row r="529" ht="15" customHeight="1">
      <c r="A529" t="inlineStr">
        <is>
          <t>A 41262-2025</t>
        </is>
      </c>
      <c r="B529" s="1" t="n">
        <v>45898.61502314815</v>
      </c>
      <c r="C529" s="1" t="n">
        <v>46051</v>
      </c>
      <c r="D529" t="inlineStr">
        <is>
          <t>JÄMTLANDS LÄN</t>
        </is>
      </c>
      <c r="E529" t="inlineStr">
        <is>
          <t>RAGUNDA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42509-2023</t>
        </is>
      </c>
      <c r="B530" s="1" t="n">
        <v>45180</v>
      </c>
      <c r="C530" s="1" t="n">
        <v>46051</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42510-2023</t>
        </is>
      </c>
      <c r="B531" s="1" t="n">
        <v>45180.95927083334</v>
      </c>
      <c r="C531" s="1" t="n">
        <v>46051</v>
      </c>
      <c r="D531" t="inlineStr">
        <is>
          <t>JÄMTLANDS LÄN</t>
        </is>
      </c>
      <c r="E531" t="inlineStr">
        <is>
          <t>RAGUNDA</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11048-2023</t>
        </is>
      </c>
      <c r="B532" s="1" t="n">
        <v>44991</v>
      </c>
      <c r="C532" s="1" t="n">
        <v>46051</v>
      </c>
      <c r="D532" t="inlineStr">
        <is>
          <t>JÄMTLANDS LÄN</t>
        </is>
      </c>
      <c r="E532" t="inlineStr">
        <is>
          <t>RAGUNDA</t>
        </is>
      </c>
      <c r="F532" t="inlineStr">
        <is>
          <t>SCA</t>
        </is>
      </c>
      <c r="G532" t="n">
        <v>13.5</v>
      </c>
      <c r="H532" t="n">
        <v>0</v>
      </c>
      <c r="I532" t="n">
        <v>0</v>
      </c>
      <c r="J532" t="n">
        <v>0</v>
      </c>
      <c r="K532" t="n">
        <v>0</v>
      </c>
      <c r="L532" t="n">
        <v>0</v>
      </c>
      <c r="M532" t="n">
        <v>0</v>
      </c>
      <c r="N532" t="n">
        <v>0</v>
      </c>
      <c r="O532" t="n">
        <v>0</v>
      </c>
      <c r="P532" t="n">
        <v>0</v>
      </c>
      <c r="Q532" t="n">
        <v>0</v>
      </c>
      <c r="R532" s="2" t="inlineStr"/>
    </row>
    <row r="533" ht="15" customHeight="1">
      <c r="A533" t="inlineStr">
        <is>
          <t>A 30088-2025</t>
        </is>
      </c>
      <c r="B533" s="1" t="n">
        <v>45826.65759259259</v>
      </c>
      <c r="C533" s="1" t="n">
        <v>46051</v>
      </c>
      <c r="D533" t="inlineStr">
        <is>
          <t>JÄMTLANDS LÄN</t>
        </is>
      </c>
      <c r="E533" t="inlineStr">
        <is>
          <t>RAGUNDA</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41422-2025</t>
        </is>
      </c>
      <c r="B534" s="1" t="n">
        <v>45901.38572916666</v>
      </c>
      <c r="C534" s="1" t="n">
        <v>46051</v>
      </c>
      <c r="D534" t="inlineStr">
        <is>
          <t>JÄMTLANDS LÄN</t>
        </is>
      </c>
      <c r="E534" t="inlineStr">
        <is>
          <t>RAGUNDA</t>
        </is>
      </c>
      <c r="G534" t="n">
        <v>4.3</v>
      </c>
      <c r="H534" t="n">
        <v>0</v>
      </c>
      <c r="I534" t="n">
        <v>0</v>
      </c>
      <c r="J534" t="n">
        <v>0</v>
      </c>
      <c r="K534" t="n">
        <v>0</v>
      </c>
      <c r="L534" t="n">
        <v>0</v>
      </c>
      <c r="M534" t="n">
        <v>0</v>
      </c>
      <c r="N534" t="n">
        <v>0</v>
      </c>
      <c r="O534" t="n">
        <v>0</v>
      </c>
      <c r="P534" t="n">
        <v>0</v>
      </c>
      <c r="Q534" t="n">
        <v>0</v>
      </c>
      <c r="R534" s="2" t="inlineStr"/>
    </row>
    <row r="535" ht="15" customHeight="1">
      <c r="A535" t="inlineStr">
        <is>
          <t>A 41423-2025</t>
        </is>
      </c>
      <c r="B535" s="1" t="n">
        <v>45901.38578703703</v>
      </c>
      <c r="C535" s="1" t="n">
        <v>46051</v>
      </c>
      <c r="D535" t="inlineStr">
        <is>
          <t>JÄMTLANDS LÄN</t>
        </is>
      </c>
      <c r="E535" t="inlineStr">
        <is>
          <t>RAGUNDA</t>
        </is>
      </c>
      <c r="G535" t="n">
        <v>0.7</v>
      </c>
      <c r="H535" t="n">
        <v>0</v>
      </c>
      <c r="I535" t="n">
        <v>0</v>
      </c>
      <c r="J535" t="n">
        <v>0</v>
      </c>
      <c r="K535" t="n">
        <v>0</v>
      </c>
      <c r="L535" t="n">
        <v>0</v>
      </c>
      <c r="M535" t="n">
        <v>0</v>
      </c>
      <c r="N535" t="n">
        <v>0</v>
      </c>
      <c r="O535" t="n">
        <v>0</v>
      </c>
      <c r="P535" t="n">
        <v>0</v>
      </c>
      <c r="Q535" t="n">
        <v>0</v>
      </c>
      <c r="R535" s="2" t="inlineStr"/>
    </row>
    <row r="536" ht="15" customHeight="1">
      <c r="A536" t="inlineStr">
        <is>
          <t>A 41656-2025</t>
        </is>
      </c>
      <c r="B536" s="1" t="n">
        <v>45902.34423611111</v>
      </c>
      <c r="C536" s="1" t="n">
        <v>46051</v>
      </c>
      <c r="D536" t="inlineStr">
        <is>
          <t>JÄMTLANDS LÄN</t>
        </is>
      </c>
      <c r="E536" t="inlineStr">
        <is>
          <t>RAGUNDA</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41424-2025</t>
        </is>
      </c>
      <c r="B537" s="1" t="n">
        <v>45901.38584490741</v>
      </c>
      <c r="C537" s="1" t="n">
        <v>46051</v>
      </c>
      <c r="D537" t="inlineStr">
        <is>
          <t>JÄMTLANDS LÄN</t>
        </is>
      </c>
      <c r="E537" t="inlineStr">
        <is>
          <t>RAGUNDA</t>
        </is>
      </c>
      <c r="G537" t="n">
        <v>3</v>
      </c>
      <c r="H537" t="n">
        <v>0</v>
      </c>
      <c r="I537" t="n">
        <v>0</v>
      </c>
      <c r="J537" t="n">
        <v>0</v>
      </c>
      <c r="K537" t="n">
        <v>0</v>
      </c>
      <c r="L537" t="n">
        <v>0</v>
      </c>
      <c r="M537" t="n">
        <v>0</v>
      </c>
      <c r="N537" t="n">
        <v>0</v>
      </c>
      <c r="O537" t="n">
        <v>0</v>
      </c>
      <c r="P537" t="n">
        <v>0</v>
      </c>
      <c r="Q537" t="n">
        <v>0</v>
      </c>
      <c r="R537" s="2" t="inlineStr"/>
    </row>
    <row r="538" ht="15" customHeight="1">
      <c r="A538" t="inlineStr">
        <is>
          <t>A 31463-2024</t>
        </is>
      </c>
      <c r="B538" s="1" t="n">
        <v>45505</v>
      </c>
      <c r="C538" s="1" t="n">
        <v>46051</v>
      </c>
      <c r="D538" t="inlineStr">
        <is>
          <t>JÄMTLANDS LÄN</t>
        </is>
      </c>
      <c r="E538" t="inlineStr">
        <is>
          <t>RAGUNDA</t>
        </is>
      </c>
      <c r="F538" t="inlineStr">
        <is>
          <t>SCA</t>
        </is>
      </c>
      <c r="G538" t="n">
        <v>20.3</v>
      </c>
      <c r="H538" t="n">
        <v>0</v>
      </c>
      <c r="I538" t="n">
        <v>0</v>
      </c>
      <c r="J538" t="n">
        <v>0</v>
      </c>
      <c r="K538" t="n">
        <v>0</v>
      </c>
      <c r="L538" t="n">
        <v>0</v>
      </c>
      <c r="M538" t="n">
        <v>0</v>
      </c>
      <c r="N538" t="n">
        <v>0</v>
      </c>
      <c r="O538" t="n">
        <v>0</v>
      </c>
      <c r="P538" t="n">
        <v>0</v>
      </c>
      <c r="Q538" t="n">
        <v>0</v>
      </c>
      <c r="R538" s="2" t="inlineStr"/>
    </row>
    <row r="539" ht="15" customHeight="1">
      <c r="A539" t="inlineStr">
        <is>
          <t>A 30348-2025</t>
        </is>
      </c>
      <c r="B539" s="1" t="n">
        <v>45827.53178240741</v>
      </c>
      <c r="C539" s="1" t="n">
        <v>46051</v>
      </c>
      <c r="D539" t="inlineStr">
        <is>
          <t>JÄMTLANDS LÄN</t>
        </is>
      </c>
      <c r="E539" t="inlineStr">
        <is>
          <t>RAGUNDA</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30434-2025</t>
        </is>
      </c>
      <c r="B540" s="1" t="n">
        <v>45827.63582175926</v>
      </c>
      <c r="C540" s="1" t="n">
        <v>46051</v>
      </c>
      <c r="D540" t="inlineStr">
        <is>
          <t>JÄMTLANDS LÄN</t>
        </is>
      </c>
      <c r="E540" t="inlineStr">
        <is>
          <t>RAGUNDA</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16364-2023</t>
        </is>
      </c>
      <c r="B541" s="1" t="n">
        <v>45028</v>
      </c>
      <c r="C541" s="1" t="n">
        <v>46051</v>
      </c>
      <c r="D541" t="inlineStr">
        <is>
          <t>JÄMTLANDS LÄN</t>
        </is>
      </c>
      <c r="E541" t="inlineStr">
        <is>
          <t>RAGUNDA</t>
        </is>
      </c>
      <c r="G541" t="n">
        <v>0.5</v>
      </c>
      <c r="H541" t="n">
        <v>0</v>
      </c>
      <c r="I541" t="n">
        <v>0</v>
      </c>
      <c r="J541" t="n">
        <v>0</v>
      </c>
      <c r="K541" t="n">
        <v>0</v>
      </c>
      <c r="L541" t="n">
        <v>0</v>
      </c>
      <c r="M541" t="n">
        <v>0</v>
      </c>
      <c r="N541" t="n">
        <v>0</v>
      </c>
      <c r="O541" t="n">
        <v>0</v>
      </c>
      <c r="P541" t="n">
        <v>0</v>
      </c>
      <c r="Q541" t="n">
        <v>0</v>
      </c>
      <c r="R541" s="2" t="inlineStr"/>
    </row>
    <row r="542" ht="15" customHeight="1">
      <c r="A542" t="inlineStr">
        <is>
          <t>A 30883-2025</t>
        </is>
      </c>
      <c r="B542" s="1" t="n">
        <v>45832.34552083333</v>
      </c>
      <c r="C542" s="1" t="n">
        <v>46051</v>
      </c>
      <c r="D542" t="inlineStr">
        <is>
          <t>JÄMTLANDS LÄN</t>
        </is>
      </c>
      <c r="E542" t="inlineStr">
        <is>
          <t>RAGUNDA</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41876-2025</t>
        </is>
      </c>
      <c r="B543" s="1" t="n">
        <v>45903.34555555556</v>
      </c>
      <c r="C543" s="1" t="n">
        <v>46051</v>
      </c>
      <c r="D543" t="inlineStr">
        <is>
          <t>JÄMTLANDS LÄN</t>
        </is>
      </c>
      <c r="E543" t="inlineStr">
        <is>
          <t>RAGUNDA</t>
        </is>
      </c>
      <c r="G543" t="n">
        <v>2</v>
      </c>
      <c r="H543" t="n">
        <v>0</v>
      </c>
      <c r="I543" t="n">
        <v>0</v>
      </c>
      <c r="J543" t="n">
        <v>0</v>
      </c>
      <c r="K543" t="n">
        <v>0</v>
      </c>
      <c r="L543" t="n">
        <v>0</v>
      </c>
      <c r="M543" t="n">
        <v>0</v>
      </c>
      <c r="N543" t="n">
        <v>0</v>
      </c>
      <c r="O543" t="n">
        <v>0</v>
      </c>
      <c r="P543" t="n">
        <v>0</v>
      </c>
      <c r="Q543" t="n">
        <v>0</v>
      </c>
      <c r="R543" s="2" t="inlineStr"/>
    </row>
    <row r="544" ht="15" customHeight="1">
      <c r="A544" t="inlineStr">
        <is>
          <t>A 46549-2023</t>
        </is>
      </c>
      <c r="B544" s="1" t="n">
        <v>45197.94171296297</v>
      </c>
      <c r="C544" s="1" t="n">
        <v>46051</v>
      </c>
      <c r="D544" t="inlineStr">
        <is>
          <t>JÄMTLANDS LÄN</t>
        </is>
      </c>
      <c r="E544" t="inlineStr">
        <is>
          <t>RAGUNDA</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30880-2025</t>
        </is>
      </c>
      <c r="B545" s="1" t="n">
        <v>45832.34524305556</v>
      </c>
      <c r="C545" s="1" t="n">
        <v>46051</v>
      </c>
      <c r="D545" t="inlineStr">
        <is>
          <t>JÄMTLANDS LÄN</t>
        </is>
      </c>
      <c r="E545" t="inlineStr">
        <is>
          <t>RAGUNDA</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30887-2025</t>
        </is>
      </c>
      <c r="B546" s="1" t="n">
        <v>45832.3459375</v>
      </c>
      <c r="C546" s="1" t="n">
        <v>46051</v>
      </c>
      <c r="D546" t="inlineStr">
        <is>
          <t>JÄMTLANDS LÄN</t>
        </is>
      </c>
      <c r="E546" t="inlineStr">
        <is>
          <t>RAGUNDA</t>
        </is>
      </c>
      <c r="F546" t="inlineStr">
        <is>
          <t>SCA</t>
        </is>
      </c>
      <c r="G546" t="n">
        <v>10.1</v>
      </c>
      <c r="H546" t="n">
        <v>0</v>
      </c>
      <c r="I546" t="n">
        <v>0</v>
      </c>
      <c r="J546" t="n">
        <v>0</v>
      </c>
      <c r="K546" t="n">
        <v>0</v>
      </c>
      <c r="L546" t="n">
        <v>0</v>
      </c>
      <c r="M546" t="n">
        <v>0</v>
      </c>
      <c r="N546" t="n">
        <v>0</v>
      </c>
      <c r="O546" t="n">
        <v>0</v>
      </c>
      <c r="P546" t="n">
        <v>0</v>
      </c>
      <c r="Q546" t="n">
        <v>0</v>
      </c>
      <c r="R546" s="2" t="inlineStr"/>
    </row>
    <row r="547" ht="15" customHeight="1">
      <c r="A547" t="inlineStr">
        <is>
          <t>A 42269-2025</t>
        </is>
      </c>
      <c r="B547" s="1" t="n">
        <v>45904.60431712963</v>
      </c>
      <c r="C547" s="1" t="n">
        <v>46051</v>
      </c>
      <c r="D547" t="inlineStr">
        <is>
          <t>JÄMTLANDS LÄN</t>
        </is>
      </c>
      <c r="E547" t="inlineStr">
        <is>
          <t>RAGUNDA</t>
        </is>
      </c>
      <c r="G547" t="n">
        <v>4.3</v>
      </c>
      <c r="H547" t="n">
        <v>0</v>
      </c>
      <c r="I547" t="n">
        <v>0</v>
      </c>
      <c r="J547" t="n">
        <v>0</v>
      </c>
      <c r="K547" t="n">
        <v>0</v>
      </c>
      <c r="L547" t="n">
        <v>0</v>
      </c>
      <c r="M547" t="n">
        <v>0</v>
      </c>
      <c r="N547" t="n">
        <v>0</v>
      </c>
      <c r="O547" t="n">
        <v>0</v>
      </c>
      <c r="P547" t="n">
        <v>0</v>
      </c>
      <c r="Q547" t="n">
        <v>0</v>
      </c>
      <c r="R547" s="2" t="inlineStr"/>
    </row>
    <row r="548" ht="15" customHeight="1">
      <c r="A548" t="inlineStr">
        <is>
          <t>A 31882-2025</t>
        </is>
      </c>
      <c r="B548" s="1" t="n">
        <v>45834.65662037037</v>
      </c>
      <c r="C548" s="1" t="n">
        <v>46051</v>
      </c>
      <c r="D548" t="inlineStr">
        <is>
          <t>JÄMTLANDS LÄN</t>
        </is>
      </c>
      <c r="E548" t="inlineStr">
        <is>
          <t>RAGUNDA</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33763-2025</t>
        </is>
      </c>
      <c r="B549" s="1" t="n">
        <v>45842.38579861111</v>
      </c>
      <c r="C549" s="1" t="n">
        <v>46051</v>
      </c>
      <c r="D549" t="inlineStr">
        <is>
          <t>JÄMTLANDS LÄN</t>
        </is>
      </c>
      <c r="E549" t="inlineStr">
        <is>
          <t>RAGUNDA</t>
        </is>
      </c>
      <c r="F549" t="inlineStr">
        <is>
          <t>SCA</t>
        </is>
      </c>
      <c r="G549" t="n">
        <v>13.4</v>
      </c>
      <c r="H549" t="n">
        <v>0</v>
      </c>
      <c r="I549" t="n">
        <v>0</v>
      </c>
      <c r="J549" t="n">
        <v>0</v>
      </c>
      <c r="K549" t="n">
        <v>0</v>
      </c>
      <c r="L549" t="n">
        <v>0</v>
      </c>
      <c r="M549" t="n">
        <v>0</v>
      </c>
      <c r="N549" t="n">
        <v>0</v>
      </c>
      <c r="O549" t="n">
        <v>0</v>
      </c>
      <c r="P549" t="n">
        <v>0</v>
      </c>
      <c r="Q549" t="n">
        <v>0</v>
      </c>
      <c r="R549" s="2" t="inlineStr"/>
    </row>
    <row r="550" ht="15" customHeight="1">
      <c r="A550" t="inlineStr">
        <is>
          <t>A 55214-2022</t>
        </is>
      </c>
      <c r="B550" s="1" t="n">
        <v>44886</v>
      </c>
      <c r="C550" s="1" t="n">
        <v>46051</v>
      </c>
      <c r="D550" t="inlineStr">
        <is>
          <t>JÄMTLANDS LÄN</t>
        </is>
      </c>
      <c r="E550" t="inlineStr">
        <is>
          <t>RAGUNDA</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32762-2025</t>
        </is>
      </c>
      <c r="B551" s="1" t="n">
        <v>45838</v>
      </c>
      <c r="C551" s="1" t="n">
        <v>46051</v>
      </c>
      <c r="D551" t="inlineStr">
        <is>
          <t>JÄMTLANDS LÄN</t>
        </is>
      </c>
      <c r="E551" t="inlineStr">
        <is>
          <t>RAGUNDA</t>
        </is>
      </c>
      <c r="G551" t="n">
        <v>0.6</v>
      </c>
      <c r="H551" t="n">
        <v>0</v>
      </c>
      <c r="I551" t="n">
        <v>0</v>
      </c>
      <c r="J551" t="n">
        <v>0</v>
      </c>
      <c r="K551" t="n">
        <v>0</v>
      </c>
      <c r="L551" t="n">
        <v>0</v>
      </c>
      <c r="M551" t="n">
        <v>0</v>
      </c>
      <c r="N551" t="n">
        <v>0</v>
      </c>
      <c r="O551" t="n">
        <v>0</v>
      </c>
      <c r="P551" t="n">
        <v>0</v>
      </c>
      <c r="Q551" t="n">
        <v>0</v>
      </c>
      <c r="R551" s="2" t="inlineStr"/>
    </row>
    <row r="552" ht="15" customHeight="1">
      <c r="A552" t="inlineStr">
        <is>
          <t>A 32306-2025</t>
        </is>
      </c>
      <c r="B552" s="1" t="n">
        <v>45835.72046296296</v>
      </c>
      <c r="C552" s="1" t="n">
        <v>46051</v>
      </c>
      <c r="D552" t="inlineStr">
        <is>
          <t>JÄMTLANDS LÄN</t>
        </is>
      </c>
      <c r="E552" t="inlineStr">
        <is>
          <t>RAGUNDA</t>
        </is>
      </c>
      <c r="G552" t="n">
        <v>10.2</v>
      </c>
      <c r="H552" t="n">
        <v>0</v>
      </c>
      <c r="I552" t="n">
        <v>0</v>
      </c>
      <c r="J552" t="n">
        <v>0</v>
      </c>
      <c r="K552" t="n">
        <v>0</v>
      </c>
      <c r="L552" t="n">
        <v>0</v>
      </c>
      <c r="M552" t="n">
        <v>0</v>
      </c>
      <c r="N552" t="n">
        <v>0</v>
      </c>
      <c r="O552" t="n">
        <v>0</v>
      </c>
      <c r="P552" t="n">
        <v>0</v>
      </c>
      <c r="Q552" t="n">
        <v>0</v>
      </c>
      <c r="R552" s="2" t="inlineStr"/>
    </row>
    <row r="553" ht="15" customHeight="1">
      <c r="A553" t="inlineStr">
        <is>
          <t>A 32757-2025</t>
        </is>
      </c>
      <c r="B553" s="1" t="n">
        <v>45838</v>
      </c>
      <c r="C553" s="1" t="n">
        <v>46051</v>
      </c>
      <c r="D553" t="inlineStr">
        <is>
          <t>JÄMTLANDS LÄN</t>
        </is>
      </c>
      <c r="E553" t="inlineStr">
        <is>
          <t>RAGUNDA</t>
        </is>
      </c>
      <c r="G553" t="n">
        <v>4.5</v>
      </c>
      <c r="H553" t="n">
        <v>0</v>
      </c>
      <c r="I553" t="n">
        <v>0</v>
      </c>
      <c r="J553" t="n">
        <v>0</v>
      </c>
      <c r="K553" t="n">
        <v>0</v>
      </c>
      <c r="L553" t="n">
        <v>0</v>
      </c>
      <c r="M553" t="n">
        <v>0</v>
      </c>
      <c r="N553" t="n">
        <v>0</v>
      </c>
      <c r="O553" t="n">
        <v>0</v>
      </c>
      <c r="P553" t="n">
        <v>0</v>
      </c>
      <c r="Q553" t="n">
        <v>0</v>
      </c>
      <c r="R553" s="2" t="inlineStr"/>
    </row>
    <row r="554" ht="15" customHeight="1">
      <c r="A554" t="inlineStr">
        <is>
          <t>A 32660-2025</t>
        </is>
      </c>
      <c r="B554" s="1" t="n">
        <v>45838.67887731481</v>
      </c>
      <c r="C554" s="1" t="n">
        <v>46051</v>
      </c>
      <c r="D554" t="inlineStr">
        <is>
          <t>JÄMTLANDS LÄN</t>
        </is>
      </c>
      <c r="E554" t="inlineStr">
        <is>
          <t>RAGUNDA</t>
        </is>
      </c>
      <c r="F554" t="inlineStr">
        <is>
          <t>SCA</t>
        </is>
      </c>
      <c r="G554" t="n">
        <v>10.3</v>
      </c>
      <c r="H554" t="n">
        <v>0</v>
      </c>
      <c r="I554" t="n">
        <v>0</v>
      </c>
      <c r="J554" t="n">
        <v>0</v>
      </c>
      <c r="K554" t="n">
        <v>0</v>
      </c>
      <c r="L554" t="n">
        <v>0</v>
      </c>
      <c r="M554" t="n">
        <v>0</v>
      </c>
      <c r="N554" t="n">
        <v>0</v>
      </c>
      <c r="O554" t="n">
        <v>0</v>
      </c>
      <c r="P554" t="n">
        <v>0</v>
      </c>
      <c r="Q554" t="n">
        <v>0</v>
      </c>
      <c r="R554" s="2" t="inlineStr"/>
    </row>
    <row r="555" ht="15" customHeight="1">
      <c r="A555" t="inlineStr">
        <is>
          <t>A 40246-2024</t>
        </is>
      </c>
      <c r="B555" s="1" t="n">
        <v>45554.61583333334</v>
      </c>
      <c r="C555" s="1" t="n">
        <v>46051</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32527-2025</t>
        </is>
      </c>
      <c r="B556" s="1" t="n">
        <v>45838.48996527777</v>
      </c>
      <c r="C556" s="1" t="n">
        <v>46051</v>
      </c>
      <c r="D556" t="inlineStr">
        <is>
          <t>JÄMTLANDS LÄN</t>
        </is>
      </c>
      <c r="E556" t="inlineStr">
        <is>
          <t>RAGUNDA</t>
        </is>
      </c>
      <c r="G556" t="n">
        <v>5</v>
      </c>
      <c r="H556" t="n">
        <v>0</v>
      </c>
      <c r="I556" t="n">
        <v>0</v>
      </c>
      <c r="J556" t="n">
        <v>0</v>
      </c>
      <c r="K556" t="n">
        <v>0</v>
      </c>
      <c r="L556" t="n">
        <v>0</v>
      </c>
      <c r="M556" t="n">
        <v>0</v>
      </c>
      <c r="N556" t="n">
        <v>0</v>
      </c>
      <c r="O556" t="n">
        <v>0</v>
      </c>
      <c r="P556" t="n">
        <v>0</v>
      </c>
      <c r="Q556" t="n">
        <v>0</v>
      </c>
      <c r="R556" s="2" t="inlineStr"/>
    </row>
    <row r="557" ht="15" customHeight="1">
      <c r="A557" t="inlineStr">
        <is>
          <t>A 43330-2025</t>
        </is>
      </c>
      <c r="B557" s="1" t="n">
        <v>45910.67766203704</v>
      </c>
      <c r="C557" s="1" t="n">
        <v>46051</v>
      </c>
      <c r="D557" t="inlineStr">
        <is>
          <t>JÄMTLANDS LÄN</t>
        </is>
      </c>
      <c r="E557" t="inlineStr">
        <is>
          <t>RAGUNDA</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32021-2025</t>
        </is>
      </c>
      <c r="B558" s="1" t="n">
        <v>45835.40668981482</v>
      </c>
      <c r="C558" s="1" t="n">
        <v>46051</v>
      </c>
      <c r="D558" t="inlineStr">
        <is>
          <t>JÄMTLANDS LÄN</t>
        </is>
      </c>
      <c r="E558" t="inlineStr">
        <is>
          <t>RAGUNDA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32655-2025</t>
        </is>
      </c>
      <c r="B559" s="1" t="n">
        <v>45838.67800925926</v>
      </c>
      <c r="C559" s="1" t="n">
        <v>46051</v>
      </c>
      <c r="D559" t="inlineStr">
        <is>
          <t>JÄMTLANDS LÄN</t>
        </is>
      </c>
      <c r="E559" t="inlineStr">
        <is>
          <t>RAGUNDA</t>
        </is>
      </c>
      <c r="G559" t="n">
        <v>2.8</v>
      </c>
      <c r="H559" t="n">
        <v>0</v>
      </c>
      <c r="I559" t="n">
        <v>0</v>
      </c>
      <c r="J559" t="n">
        <v>0</v>
      </c>
      <c r="K559" t="n">
        <v>0</v>
      </c>
      <c r="L559" t="n">
        <v>0</v>
      </c>
      <c r="M559" t="n">
        <v>0</v>
      </c>
      <c r="N559" t="n">
        <v>0</v>
      </c>
      <c r="O559" t="n">
        <v>0</v>
      </c>
      <c r="P559" t="n">
        <v>0</v>
      </c>
      <c r="Q559" t="n">
        <v>0</v>
      </c>
      <c r="R559" s="2" t="inlineStr"/>
    </row>
    <row r="560" ht="15" customHeight="1">
      <c r="A560" t="inlineStr">
        <is>
          <t>A 32151-2025</t>
        </is>
      </c>
      <c r="B560" s="1" t="n">
        <v>45835.53166666667</v>
      </c>
      <c r="C560" s="1" t="n">
        <v>46051</v>
      </c>
      <c r="D560" t="inlineStr">
        <is>
          <t>JÄMTLANDS LÄN</t>
        </is>
      </c>
      <c r="E560" t="inlineStr">
        <is>
          <t>RAGUNDA</t>
        </is>
      </c>
      <c r="F560" t="inlineStr">
        <is>
          <t>SCA</t>
        </is>
      </c>
      <c r="G560" t="n">
        <v>12.3</v>
      </c>
      <c r="H560" t="n">
        <v>0</v>
      </c>
      <c r="I560" t="n">
        <v>0</v>
      </c>
      <c r="J560" t="n">
        <v>0</v>
      </c>
      <c r="K560" t="n">
        <v>0</v>
      </c>
      <c r="L560" t="n">
        <v>0</v>
      </c>
      <c r="M560" t="n">
        <v>0</v>
      </c>
      <c r="N560" t="n">
        <v>0</v>
      </c>
      <c r="O560" t="n">
        <v>0</v>
      </c>
      <c r="P560" t="n">
        <v>0</v>
      </c>
      <c r="Q560" t="n">
        <v>0</v>
      </c>
      <c r="R560" s="2" t="inlineStr"/>
    </row>
    <row r="561" ht="15" customHeight="1">
      <c r="A561" t="inlineStr">
        <is>
          <t>A 32096-2025</t>
        </is>
      </c>
      <c r="B561" s="1" t="n">
        <v>45835.46334490741</v>
      </c>
      <c r="C561" s="1" t="n">
        <v>46051</v>
      </c>
      <c r="D561" t="inlineStr">
        <is>
          <t>JÄMTLANDS LÄN</t>
        </is>
      </c>
      <c r="E561" t="inlineStr">
        <is>
          <t>RAGUNDA</t>
        </is>
      </c>
      <c r="G561" t="n">
        <v>0.9</v>
      </c>
      <c r="H561" t="n">
        <v>0</v>
      </c>
      <c r="I561" t="n">
        <v>0</v>
      </c>
      <c r="J561" t="n">
        <v>0</v>
      </c>
      <c r="K561" t="n">
        <v>0</v>
      </c>
      <c r="L561" t="n">
        <v>0</v>
      </c>
      <c r="M561" t="n">
        <v>0</v>
      </c>
      <c r="N561" t="n">
        <v>0</v>
      </c>
      <c r="O561" t="n">
        <v>0</v>
      </c>
      <c r="P561" t="n">
        <v>0</v>
      </c>
      <c r="Q561" t="n">
        <v>0</v>
      </c>
      <c r="R561" s="2" t="inlineStr"/>
    </row>
    <row r="562" ht="15" customHeight="1">
      <c r="A562" t="inlineStr">
        <is>
          <t>A 43181-2025</t>
        </is>
      </c>
      <c r="B562" s="1" t="n">
        <v>45910.40721064815</v>
      </c>
      <c r="C562" s="1" t="n">
        <v>46051</v>
      </c>
      <c r="D562" t="inlineStr">
        <is>
          <t>JÄMTLANDS LÄN</t>
        </is>
      </c>
      <c r="E562" t="inlineStr">
        <is>
          <t>RAGUNDA</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32748-2025</t>
        </is>
      </c>
      <c r="B563" s="1" t="n">
        <v>45839.42822916667</v>
      </c>
      <c r="C563" s="1" t="n">
        <v>46051</v>
      </c>
      <c r="D563" t="inlineStr">
        <is>
          <t>JÄMTLANDS LÄN</t>
        </is>
      </c>
      <c r="E563" t="inlineStr">
        <is>
          <t>RAGUNDA</t>
        </is>
      </c>
      <c r="F563" t="inlineStr">
        <is>
          <t>SCA</t>
        </is>
      </c>
      <c r="G563" t="n">
        <v>4.4</v>
      </c>
      <c r="H563" t="n">
        <v>0</v>
      </c>
      <c r="I563" t="n">
        <v>0</v>
      </c>
      <c r="J563" t="n">
        <v>0</v>
      </c>
      <c r="K563" t="n">
        <v>0</v>
      </c>
      <c r="L563" t="n">
        <v>0</v>
      </c>
      <c r="M563" t="n">
        <v>0</v>
      </c>
      <c r="N563" t="n">
        <v>0</v>
      </c>
      <c r="O563" t="n">
        <v>0</v>
      </c>
      <c r="P563" t="n">
        <v>0</v>
      </c>
      <c r="Q563" t="n">
        <v>0</v>
      </c>
      <c r="R563" s="2" t="inlineStr"/>
    </row>
    <row r="564" ht="15" customHeight="1">
      <c r="A564" t="inlineStr">
        <is>
          <t>A 32777-2025</t>
        </is>
      </c>
      <c r="B564" s="1" t="n">
        <v>45839.46915509259</v>
      </c>
      <c r="C564" s="1" t="n">
        <v>46051</v>
      </c>
      <c r="D564" t="inlineStr">
        <is>
          <t>JÄMTLANDS LÄN</t>
        </is>
      </c>
      <c r="E564" t="inlineStr">
        <is>
          <t>RAGUNDA</t>
        </is>
      </c>
      <c r="F564" t="inlineStr">
        <is>
          <t>SCA</t>
        </is>
      </c>
      <c r="G564" t="n">
        <v>21.7</v>
      </c>
      <c r="H564" t="n">
        <v>0</v>
      </c>
      <c r="I564" t="n">
        <v>0</v>
      </c>
      <c r="J564" t="n">
        <v>0</v>
      </c>
      <c r="K564" t="n">
        <v>0</v>
      </c>
      <c r="L564" t="n">
        <v>0</v>
      </c>
      <c r="M564" t="n">
        <v>0</v>
      </c>
      <c r="N564" t="n">
        <v>0</v>
      </c>
      <c r="O564" t="n">
        <v>0</v>
      </c>
      <c r="P564" t="n">
        <v>0</v>
      </c>
      <c r="Q564" t="n">
        <v>0</v>
      </c>
      <c r="R564" s="2" t="inlineStr"/>
    </row>
    <row r="565" ht="15" customHeight="1">
      <c r="A565" t="inlineStr">
        <is>
          <t>A 43177-2025</t>
        </is>
      </c>
      <c r="B565" s="1" t="n">
        <v>45910.40667824074</v>
      </c>
      <c r="C565" s="1" t="n">
        <v>46051</v>
      </c>
      <c r="D565" t="inlineStr">
        <is>
          <t>JÄMTLANDS LÄN</t>
        </is>
      </c>
      <c r="E565" t="inlineStr">
        <is>
          <t>RAGUNDA</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32430-2025</t>
        </is>
      </c>
      <c r="B566" s="1" t="n">
        <v>45838.36532407408</v>
      </c>
      <c r="C566" s="1" t="n">
        <v>46051</v>
      </c>
      <c r="D566" t="inlineStr">
        <is>
          <t>JÄMTLANDS LÄN</t>
        </is>
      </c>
      <c r="E566" t="inlineStr">
        <is>
          <t>RAGUNDA</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32796-2025</t>
        </is>
      </c>
      <c r="B567" s="1" t="n">
        <v>45839.49082175926</v>
      </c>
      <c r="C567" s="1" t="n">
        <v>46051</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32747-2025</t>
        </is>
      </c>
      <c r="B568" s="1" t="n">
        <v>45839.42810185185</v>
      </c>
      <c r="C568" s="1" t="n">
        <v>46051</v>
      </c>
      <c r="D568" t="inlineStr">
        <is>
          <t>JÄMTLANDS LÄN</t>
        </is>
      </c>
      <c r="E568" t="inlineStr">
        <is>
          <t>RAGUNDA</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21853-2024</t>
        </is>
      </c>
      <c r="B569" s="1" t="n">
        <v>45442.96296296296</v>
      </c>
      <c r="C569" s="1" t="n">
        <v>46051</v>
      </c>
      <c r="D569" t="inlineStr">
        <is>
          <t>JÄMTLANDS LÄN</t>
        </is>
      </c>
      <c r="E569" t="inlineStr">
        <is>
          <t>RAGUNDA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32751-2025</t>
        </is>
      </c>
      <c r="B570" s="1" t="n">
        <v>45839.42864583333</v>
      </c>
      <c r="C570" s="1" t="n">
        <v>46051</v>
      </c>
      <c r="D570" t="inlineStr">
        <is>
          <t>JÄMTLANDS LÄN</t>
        </is>
      </c>
      <c r="E570" t="inlineStr">
        <is>
          <t>RAGUNDA</t>
        </is>
      </c>
      <c r="F570" t="inlineStr">
        <is>
          <t>SCA</t>
        </is>
      </c>
      <c r="G570" t="n">
        <v>10</v>
      </c>
      <c r="H570" t="n">
        <v>0</v>
      </c>
      <c r="I570" t="n">
        <v>0</v>
      </c>
      <c r="J570" t="n">
        <v>0</v>
      </c>
      <c r="K570" t="n">
        <v>0</v>
      </c>
      <c r="L570" t="n">
        <v>0</v>
      </c>
      <c r="M570" t="n">
        <v>0</v>
      </c>
      <c r="N570" t="n">
        <v>0</v>
      </c>
      <c r="O570" t="n">
        <v>0</v>
      </c>
      <c r="P570" t="n">
        <v>0</v>
      </c>
      <c r="Q570" t="n">
        <v>0</v>
      </c>
      <c r="R570" s="2" t="inlineStr"/>
    </row>
    <row r="571" ht="15" customHeight="1">
      <c r="A571" t="inlineStr">
        <is>
          <t>A 32846-2025</t>
        </is>
      </c>
      <c r="B571" s="1" t="n">
        <v>45839.57331018519</v>
      </c>
      <c r="C571" s="1" t="n">
        <v>46051</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33140-2025</t>
        </is>
      </c>
      <c r="B572" s="1" t="n">
        <v>45840.52225694444</v>
      </c>
      <c r="C572" s="1" t="n">
        <v>46051</v>
      </c>
      <c r="D572" t="inlineStr">
        <is>
          <t>JÄMTLANDS LÄN</t>
        </is>
      </c>
      <c r="E572" t="inlineStr">
        <is>
          <t>RAGUNDA</t>
        </is>
      </c>
      <c r="G572" t="n">
        <v>2</v>
      </c>
      <c r="H572" t="n">
        <v>0</v>
      </c>
      <c r="I572" t="n">
        <v>0</v>
      </c>
      <c r="J572" t="n">
        <v>0</v>
      </c>
      <c r="K572" t="n">
        <v>0</v>
      </c>
      <c r="L572" t="n">
        <v>0</v>
      </c>
      <c r="M572" t="n">
        <v>0</v>
      </c>
      <c r="N572" t="n">
        <v>0</v>
      </c>
      <c r="O572" t="n">
        <v>0</v>
      </c>
      <c r="P572" t="n">
        <v>0</v>
      </c>
      <c r="Q572" t="n">
        <v>0</v>
      </c>
      <c r="R572" s="2" t="inlineStr"/>
    </row>
    <row r="573" ht="15" customHeight="1">
      <c r="A573" t="inlineStr">
        <is>
          <t>A 29775-2023</t>
        </is>
      </c>
      <c r="B573" s="1" t="n">
        <v>45098</v>
      </c>
      <c r="C573" s="1" t="n">
        <v>46051</v>
      </c>
      <c r="D573" t="inlineStr">
        <is>
          <t>JÄMTLANDS LÄN</t>
        </is>
      </c>
      <c r="E573" t="inlineStr">
        <is>
          <t>RAGUNDA</t>
        </is>
      </c>
      <c r="G573" t="n">
        <v>3.6</v>
      </c>
      <c r="H573" t="n">
        <v>0</v>
      </c>
      <c r="I573" t="n">
        <v>0</v>
      </c>
      <c r="J573" t="n">
        <v>0</v>
      </c>
      <c r="K573" t="n">
        <v>0</v>
      </c>
      <c r="L573" t="n">
        <v>0</v>
      </c>
      <c r="M573" t="n">
        <v>0</v>
      </c>
      <c r="N573" t="n">
        <v>0</v>
      </c>
      <c r="O573" t="n">
        <v>0</v>
      </c>
      <c r="P573" t="n">
        <v>0</v>
      </c>
      <c r="Q573" t="n">
        <v>0</v>
      </c>
      <c r="R573" s="2" t="inlineStr"/>
    </row>
    <row r="574" ht="15" customHeight="1">
      <c r="A574" t="inlineStr">
        <is>
          <t>A 43776-2025</t>
        </is>
      </c>
      <c r="B574" s="1" t="n">
        <v>45912.51086805556</v>
      </c>
      <c r="C574" s="1" t="n">
        <v>46051</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43804-2025</t>
        </is>
      </c>
      <c r="B575" s="1" t="n">
        <v>45912.57373842593</v>
      </c>
      <c r="C575" s="1" t="n">
        <v>46051</v>
      </c>
      <c r="D575" t="inlineStr">
        <is>
          <t>JÄMTLANDS LÄN</t>
        </is>
      </c>
      <c r="E575" t="inlineStr">
        <is>
          <t>RAGUNDA</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40365-2024</t>
        </is>
      </c>
      <c r="B576" s="1" t="n">
        <v>45555.38509259259</v>
      </c>
      <c r="C576" s="1" t="n">
        <v>46051</v>
      </c>
      <c r="D576" t="inlineStr">
        <is>
          <t>JÄMTLANDS LÄN</t>
        </is>
      </c>
      <c r="E576" t="inlineStr">
        <is>
          <t>RAGUNDA</t>
        </is>
      </c>
      <c r="G576" t="n">
        <v>7.8</v>
      </c>
      <c r="H576" t="n">
        <v>0</v>
      </c>
      <c r="I576" t="n">
        <v>0</v>
      </c>
      <c r="J576" t="n">
        <v>0</v>
      </c>
      <c r="K576" t="n">
        <v>0</v>
      </c>
      <c r="L576" t="n">
        <v>0</v>
      </c>
      <c r="M576" t="n">
        <v>0</v>
      </c>
      <c r="N576" t="n">
        <v>0</v>
      </c>
      <c r="O576" t="n">
        <v>0</v>
      </c>
      <c r="P576" t="n">
        <v>0</v>
      </c>
      <c r="Q576" t="n">
        <v>0</v>
      </c>
      <c r="R576" s="2" t="inlineStr"/>
    </row>
    <row r="577" ht="15" customHeight="1">
      <c r="A577" t="inlineStr">
        <is>
          <t>A 33556-2025</t>
        </is>
      </c>
      <c r="B577" s="1" t="n">
        <v>45841.57427083333</v>
      </c>
      <c r="C577" s="1" t="n">
        <v>46051</v>
      </c>
      <c r="D577" t="inlineStr">
        <is>
          <t>JÄMTLANDS LÄN</t>
        </is>
      </c>
      <c r="E577" t="inlineStr">
        <is>
          <t>RAGUNDA</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43971-2025</t>
        </is>
      </c>
      <c r="B578" s="1" t="n">
        <v>45915.40694444445</v>
      </c>
      <c r="C578" s="1" t="n">
        <v>46051</v>
      </c>
      <c r="D578" t="inlineStr">
        <is>
          <t>JÄMTLANDS LÄN</t>
        </is>
      </c>
      <c r="E578" t="inlineStr">
        <is>
          <t>RAGUNDA</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33790-2025</t>
        </is>
      </c>
      <c r="B579" s="1" t="n">
        <v>45842.42608796297</v>
      </c>
      <c r="C579" s="1" t="n">
        <v>46051</v>
      </c>
      <c r="D579" t="inlineStr">
        <is>
          <t>JÄMTLANDS LÄN</t>
        </is>
      </c>
      <c r="E579" t="inlineStr">
        <is>
          <t>RAGUNDA</t>
        </is>
      </c>
      <c r="G579" t="n">
        <v>0.3</v>
      </c>
      <c r="H579" t="n">
        <v>0</v>
      </c>
      <c r="I579" t="n">
        <v>0</v>
      </c>
      <c r="J579" t="n">
        <v>0</v>
      </c>
      <c r="K579" t="n">
        <v>0</v>
      </c>
      <c r="L579" t="n">
        <v>0</v>
      </c>
      <c r="M579" t="n">
        <v>0</v>
      </c>
      <c r="N579" t="n">
        <v>0</v>
      </c>
      <c r="O579" t="n">
        <v>0</v>
      </c>
      <c r="P579" t="n">
        <v>0</v>
      </c>
      <c r="Q579" t="n">
        <v>0</v>
      </c>
      <c r="R579" s="2" t="inlineStr"/>
    </row>
    <row r="580" ht="15" customHeight="1">
      <c r="A580" t="inlineStr">
        <is>
          <t>A 34296-2025</t>
        </is>
      </c>
      <c r="B580" s="1" t="n">
        <v>45846.34454861111</v>
      </c>
      <c r="C580" s="1" t="n">
        <v>46051</v>
      </c>
      <c r="D580" t="inlineStr">
        <is>
          <t>JÄMTLANDS LÄN</t>
        </is>
      </c>
      <c r="E580" t="inlineStr">
        <is>
          <t>RAGUNDA</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60456-2023</t>
        </is>
      </c>
      <c r="B581" s="1" t="n">
        <v>45258</v>
      </c>
      <c r="C581" s="1" t="n">
        <v>46051</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58438-2022</t>
        </is>
      </c>
      <c r="B582" s="1" t="n">
        <v>44901</v>
      </c>
      <c r="C582" s="1" t="n">
        <v>46051</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34461-2025</t>
        </is>
      </c>
      <c r="B583" s="1" t="n">
        <v>45847.34474537037</v>
      </c>
      <c r="C583" s="1" t="n">
        <v>46051</v>
      </c>
      <c r="D583" t="inlineStr">
        <is>
          <t>JÄMTLANDS LÄN</t>
        </is>
      </c>
      <c r="E583" t="inlineStr">
        <is>
          <t>RAGUNDA</t>
        </is>
      </c>
      <c r="F583" t="inlineStr">
        <is>
          <t>SCA</t>
        </is>
      </c>
      <c r="G583" t="n">
        <v>44.8</v>
      </c>
      <c r="H583" t="n">
        <v>0</v>
      </c>
      <c r="I583" t="n">
        <v>0</v>
      </c>
      <c r="J583" t="n">
        <v>0</v>
      </c>
      <c r="K583" t="n">
        <v>0</v>
      </c>
      <c r="L583" t="n">
        <v>0</v>
      </c>
      <c r="M583" t="n">
        <v>0</v>
      </c>
      <c r="N583" t="n">
        <v>0</v>
      </c>
      <c r="O583" t="n">
        <v>0</v>
      </c>
      <c r="P583" t="n">
        <v>0</v>
      </c>
      <c r="Q583" t="n">
        <v>0</v>
      </c>
      <c r="R583" s="2" t="inlineStr"/>
    </row>
    <row r="584" ht="15" customHeight="1">
      <c r="A584" t="inlineStr">
        <is>
          <t>A 34464-2025</t>
        </is>
      </c>
      <c r="B584" s="1" t="n">
        <v>45847.34528935186</v>
      </c>
      <c r="C584" s="1" t="n">
        <v>46051</v>
      </c>
      <c r="D584" t="inlineStr">
        <is>
          <t>JÄMTLANDS LÄN</t>
        </is>
      </c>
      <c r="E584" t="inlineStr">
        <is>
          <t>RAGUNDA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58442-2022</t>
        </is>
      </c>
      <c r="B585" s="1" t="n">
        <v>44901</v>
      </c>
      <c r="C585" s="1" t="n">
        <v>46051</v>
      </c>
      <c r="D585" t="inlineStr">
        <is>
          <t>JÄMTLANDS LÄN</t>
        </is>
      </c>
      <c r="E585" t="inlineStr">
        <is>
          <t>RAGUNDA</t>
        </is>
      </c>
      <c r="F585" t="inlineStr">
        <is>
          <t>SCA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34468-2025</t>
        </is>
      </c>
      <c r="B586" s="1" t="n">
        <v>45847.34597222223</v>
      </c>
      <c r="C586" s="1" t="n">
        <v>46051</v>
      </c>
      <c r="D586" t="inlineStr">
        <is>
          <t>JÄMTLANDS LÄN</t>
        </is>
      </c>
      <c r="E586" t="inlineStr">
        <is>
          <t>RAGUNDA</t>
        </is>
      </c>
      <c r="F586" t="inlineStr">
        <is>
          <t>SCA</t>
        </is>
      </c>
      <c r="G586" t="n">
        <v>10</v>
      </c>
      <c r="H586" t="n">
        <v>0</v>
      </c>
      <c r="I586" t="n">
        <v>0</v>
      </c>
      <c r="J586" t="n">
        <v>0</v>
      </c>
      <c r="K586" t="n">
        <v>0</v>
      </c>
      <c r="L586" t="n">
        <v>0</v>
      </c>
      <c r="M586" t="n">
        <v>0</v>
      </c>
      <c r="N586" t="n">
        <v>0</v>
      </c>
      <c r="O586" t="n">
        <v>0</v>
      </c>
      <c r="P586" t="n">
        <v>0</v>
      </c>
      <c r="Q586" t="n">
        <v>0</v>
      </c>
      <c r="R586" s="2" t="inlineStr"/>
    </row>
    <row r="587" ht="15" customHeight="1">
      <c r="A587" t="inlineStr">
        <is>
          <t>A 34586-2025</t>
        </is>
      </c>
      <c r="B587" s="1" t="n">
        <v>45847.61513888889</v>
      </c>
      <c r="C587" s="1" t="n">
        <v>46051</v>
      </c>
      <c r="D587" t="inlineStr">
        <is>
          <t>JÄMTLANDS LÄN</t>
        </is>
      </c>
      <c r="E587" t="inlineStr">
        <is>
          <t>RAGUNDA</t>
        </is>
      </c>
      <c r="G587" t="n">
        <v>1.6</v>
      </c>
      <c r="H587" t="n">
        <v>0</v>
      </c>
      <c r="I587" t="n">
        <v>0</v>
      </c>
      <c r="J587" t="n">
        <v>0</v>
      </c>
      <c r="K587" t="n">
        <v>0</v>
      </c>
      <c r="L587" t="n">
        <v>0</v>
      </c>
      <c r="M587" t="n">
        <v>0</v>
      </c>
      <c r="N587" t="n">
        <v>0</v>
      </c>
      <c r="O587" t="n">
        <v>0</v>
      </c>
      <c r="P587" t="n">
        <v>0</v>
      </c>
      <c r="Q587" t="n">
        <v>0</v>
      </c>
      <c r="R587" s="2" t="inlineStr"/>
    </row>
    <row r="588" ht="15" customHeight="1">
      <c r="A588" t="inlineStr">
        <is>
          <t>A 34607-2025</t>
        </is>
      </c>
      <c r="B588" s="1" t="n">
        <v>45847.65703703704</v>
      </c>
      <c r="C588" s="1" t="n">
        <v>46051</v>
      </c>
      <c r="D588" t="inlineStr">
        <is>
          <t>JÄMTLANDS LÄN</t>
        </is>
      </c>
      <c r="E588" t="inlineStr">
        <is>
          <t>RAGUNDA</t>
        </is>
      </c>
      <c r="F588" t="inlineStr">
        <is>
          <t>SCA</t>
        </is>
      </c>
      <c r="G588" t="n">
        <v>31.4</v>
      </c>
      <c r="H588" t="n">
        <v>0</v>
      </c>
      <c r="I588" t="n">
        <v>0</v>
      </c>
      <c r="J588" t="n">
        <v>0</v>
      </c>
      <c r="K588" t="n">
        <v>0</v>
      </c>
      <c r="L588" t="n">
        <v>0</v>
      </c>
      <c r="M588" t="n">
        <v>0</v>
      </c>
      <c r="N588" t="n">
        <v>0</v>
      </c>
      <c r="O588" t="n">
        <v>0</v>
      </c>
      <c r="P588" t="n">
        <v>0</v>
      </c>
      <c r="Q588" t="n">
        <v>0</v>
      </c>
      <c r="R588" s="2" t="inlineStr"/>
    </row>
    <row r="589" ht="15" customHeight="1">
      <c r="A589" t="inlineStr">
        <is>
          <t>A 34772-2025</t>
        </is>
      </c>
      <c r="B589" s="1" t="n">
        <v>45848.65658564815</v>
      </c>
      <c r="C589" s="1" t="n">
        <v>46051</v>
      </c>
      <c r="D589" t="inlineStr">
        <is>
          <t>JÄMTLANDS LÄN</t>
        </is>
      </c>
      <c r="E589" t="inlineStr">
        <is>
          <t>RAGUNDA</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44954-2025</t>
        </is>
      </c>
      <c r="B590" s="1" t="n">
        <v>45918.61203703703</v>
      </c>
      <c r="C590" s="1" t="n">
        <v>46051</v>
      </c>
      <c r="D590" t="inlineStr">
        <is>
          <t>JÄMTLANDS LÄN</t>
        </is>
      </c>
      <c r="E590" t="inlineStr">
        <is>
          <t>RAGUNDA</t>
        </is>
      </c>
      <c r="G590" t="n">
        <v>3</v>
      </c>
      <c r="H590" t="n">
        <v>0</v>
      </c>
      <c r="I590" t="n">
        <v>0</v>
      </c>
      <c r="J590" t="n">
        <v>0</v>
      </c>
      <c r="K590" t="n">
        <v>0</v>
      </c>
      <c r="L590" t="n">
        <v>0</v>
      </c>
      <c r="M590" t="n">
        <v>0</v>
      </c>
      <c r="N590" t="n">
        <v>0</v>
      </c>
      <c r="O590" t="n">
        <v>0</v>
      </c>
      <c r="P590" t="n">
        <v>0</v>
      </c>
      <c r="Q590" t="n">
        <v>0</v>
      </c>
      <c r="R590" s="2" t="inlineStr"/>
    </row>
    <row r="591" ht="15" customHeight="1">
      <c r="A591" t="inlineStr">
        <is>
          <t>A 34466-2025</t>
        </is>
      </c>
      <c r="B591" s="1" t="n">
        <v>45847.34565972222</v>
      </c>
      <c r="C591" s="1" t="n">
        <v>46051</v>
      </c>
      <c r="D591" t="inlineStr">
        <is>
          <t>JÄMTLANDS LÄN</t>
        </is>
      </c>
      <c r="E591" t="inlineStr">
        <is>
          <t>RAGUNDA</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34588-2025</t>
        </is>
      </c>
      <c r="B592" s="1" t="n">
        <v>45847.61548611111</v>
      </c>
      <c r="C592" s="1" t="n">
        <v>46051</v>
      </c>
      <c r="D592" t="inlineStr">
        <is>
          <t>JÄMTLANDS LÄN</t>
        </is>
      </c>
      <c r="E592" t="inlineStr">
        <is>
          <t>RAGUNDA</t>
        </is>
      </c>
      <c r="G592" t="n">
        <v>32.3</v>
      </c>
      <c r="H592" t="n">
        <v>0</v>
      </c>
      <c r="I592" t="n">
        <v>0</v>
      </c>
      <c r="J592" t="n">
        <v>0</v>
      </c>
      <c r="K592" t="n">
        <v>0</v>
      </c>
      <c r="L592" t="n">
        <v>0</v>
      </c>
      <c r="M592" t="n">
        <v>0</v>
      </c>
      <c r="N592" t="n">
        <v>0</v>
      </c>
      <c r="O592" t="n">
        <v>0</v>
      </c>
      <c r="P592" t="n">
        <v>0</v>
      </c>
      <c r="Q592" t="n">
        <v>0</v>
      </c>
      <c r="R592" s="2" t="inlineStr"/>
    </row>
    <row r="593" ht="15" customHeight="1">
      <c r="A593" t="inlineStr">
        <is>
          <t>A 34463-2025</t>
        </is>
      </c>
      <c r="B593" s="1" t="n">
        <v>45847.34515046296</v>
      </c>
      <c r="C593" s="1" t="n">
        <v>46051</v>
      </c>
      <c r="D593" t="inlineStr">
        <is>
          <t>JÄMTLANDS LÄN</t>
        </is>
      </c>
      <c r="E593" t="inlineStr">
        <is>
          <t>RAGUNDA</t>
        </is>
      </c>
      <c r="F593" t="inlineStr">
        <is>
          <t>SCA</t>
        </is>
      </c>
      <c r="G593" t="n">
        <v>6.1</v>
      </c>
      <c r="H593" t="n">
        <v>0</v>
      </c>
      <c r="I593" t="n">
        <v>0</v>
      </c>
      <c r="J593" t="n">
        <v>0</v>
      </c>
      <c r="K593" t="n">
        <v>0</v>
      </c>
      <c r="L593" t="n">
        <v>0</v>
      </c>
      <c r="M593" t="n">
        <v>0</v>
      </c>
      <c r="N593" t="n">
        <v>0</v>
      </c>
      <c r="O593" t="n">
        <v>0</v>
      </c>
      <c r="P593" t="n">
        <v>0</v>
      </c>
      <c r="Q593" t="n">
        <v>0</v>
      </c>
      <c r="R593" s="2" t="inlineStr"/>
    </row>
    <row r="594" ht="15" customHeight="1">
      <c r="A594" t="inlineStr">
        <is>
          <t>A 34710-2025</t>
        </is>
      </c>
      <c r="B594" s="1" t="n">
        <v>45848.49774305556</v>
      </c>
      <c r="C594" s="1" t="n">
        <v>46051</v>
      </c>
      <c r="D594" t="inlineStr">
        <is>
          <t>JÄMTLANDS LÄN</t>
        </is>
      </c>
      <c r="E594" t="inlineStr">
        <is>
          <t>RAGUNDA</t>
        </is>
      </c>
      <c r="G594" t="n">
        <v>4.1</v>
      </c>
      <c r="H594" t="n">
        <v>0</v>
      </c>
      <c r="I594" t="n">
        <v>0</v>
      </c>
      <c r="J594" t="n">
        <v>0</v>
      </c>
      <c r="K594" t="n">
        <v>0</v>
      </c>
      <c r="L594" t="n">
        <v>0</v>
      </c>
      <c r="M594" t="n">
        <v>0</v>
      </c>
      <c r="N594" t="n">
        <v>0</v>
      </c>
      <c r="O594" t="n">
        <v>0</v>
      </c>
      <c r="P594" t="n">
        <v>0</v>
      </c>
      <c r="Q594" t="n">
        <v>0</v>
      </c>
      <c r="R594" s="2" t="inlineStr"/>
    </row>
    <row r="595" ht="15" customHeight="1">
      <c r="A595" t="inlineStr">
        <is>
          <t>A 34709-2025</t>
        </is>
      </c>
      <c r="B595" s="1" t="n">
        <v>45848.49761574074</v>
      </c>
      <c r="C595" s="1" t="n">
        <v>46051</v>
      </c>
      <c r="D595" t="inlineStr">
        <is>
          <t>JÄMTLANDS LÄN</t>
        </is>
      </c>
      <c r="E595" t="inlineStr">
        <is>
          <t>RAGUNDA</t>
        </is>
      </c>
      <c r="G595" t="n">
        <v>3.1</v>
      </c>
      <c r="H595" t="n">
        <v>0</v>
      </c>
      <c r="I595" t="n">
        <v>0</v>
      </c>
      <c r="J595" t="n">
        <v>0</v>
      </c>
      <c r="K595" t="n">
        <v>0</v>
      </c>
      <c r="L595" t="n">
        <v>0</v>
      </c>
      <c r="M595" t="n">
        <v>0</v>
      </c>
      <c r="N595" t="n">
        <v>0</v>
      </c>
      <c r="O595" t="n">
        <v>0</v>
      </c>
      <c r="P595" t="n">
        <v>0</v>
      </c>
      <c r="Q595" t="n">
        <v>0</v>
      </c>
      <c r="R595" s="2" t="inlineStr"/>
    </row>
    <row r="596" ht="15" customHeight="1">
      <c r="A596" t="inlineStr">
        <is>
          <t>A 49229-2024</t>
        </is>
      </c>
      <c r="B596" s="1" t="n">
        <v>45595.42738425926</v>
      </c>
      <c r="C596" s="1" t="n">
        <v>46051</v>
      </c>
      <c r="D596" t="inlineStr">
        <is>
          <t>JÄMTLANDS LÄN</t>
        </is>
      </c>
      <c r="E596" t="inlineStr">
        <is>
          <t>RAGUNDA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35092-2025</t>
        </is>
      </c>
      <c r="B597" s="1" t="n">
        <v>45852.53185185185</v>
      </c>
      <c r="C597" s="1" t="n">
        <v>46051</v>
      </c>
      <c r="D597" t="inlineStr">
        <is>
          <t>JÄMTLANDS LÄN</t>
        </is>
      </c>
      <c r="E597" t="inlineStr">
        <is>
          <t>RAGUNDA</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45279-2025</t>
        </is>
      </c>
      <c r="B598" s="1" t="n">
        <v>45919.71912037037</v>
      </c>
      <c r="C598" s="1" t="n">
        <v>46051</v>
      </c>
      <c r="D598" t="inlineStr">
        <is>
          <t>JÄMTLANDS LÄN</t>
        </is>
      </c>
      <c r="E598" t="inlineStr">
        <is>
          <t>RAGUNDA</t>
        </is>
      </c>
      <c r="F598" t="inlineStr">
        <is>
          <t>SCA</t>
        </is>
      </c>
      <c r="G598" t="n">
        <v>11.5</v>
      </c>
      <c r="H598" t="n">
        <v>0</v>
      </c>
      <c r="I598" t="n">
        <v>0</v>
      </c>
      <c r="J598" t="n">
        <v>0</v>
      </c>
      <c r="K598" t="n">
        <v>0</v>
      </c>
      <c r="L598" t="n">
        <v>0</v>
      </c>
      <c r="M598" t="n">
        <v>0</v>
      </c>
      <c r="N598" t="n">
        <v>0</v>
      </c>
      <c r="O598" t="n">
        <v>0</v>
      </c>
      <c r="P598" t="n">
        <v>0</v>
      </c>
      <c r="Q598" t="n">
        <v>0</v>
      </c>
      <c r="R598" s="2" t="inlineStr"/>
    </row>
    <row r="599" ht="15" customHeight="1">
      <c r="A599" t="inlineStr">
        <is>
          <t>A 34998-2025</t>
        </is>
      </c>
      <c r="B599" s="1" t="n">
        <v>45850.34434027778</v>
      </c>
      <c r="C599" s="1" t="n">
        <v>46051</v>
      </c>
      <c r="D599" t="inlineStr">
        <is>
          <t>JÄMTLANDS LÄN</t>
        </is>
      </c>
      <c r="E599" t="inlineStr">
        <is>
          <t>RAGUNDA</t>
        </is>
      </c>
      <c r="G599" t="n">
        <v>1.4</v>
      </c>
      <c r="H599" t="n">
        <v>0</v>
      </c>
      <c r="I599" t="n">
        <v>0</v>
      </c>
      <c r="J599" t="n">
        <v>0</v>
      </c>
      <c r="K599" t="n">
        <v>0</v>
      </c>
      <c r="L599" t="n">
        <v>0</v>
      </c>
      <c r="M599" t="n">
        <v>0</v>
      </c>
      <c r="N599" t="n">
        <v>0</v>
      </c>
      <c r="O599" t="n">
        <v>0</v>
      </c>
      <c r="P599" t="n">
        <v>0</v>
      </c>
      <c r="Q599" t="n">
        <v>0</v>
      </c>
      <c r="R599" s="2" t="inlineStr"/>
    </row>
    <row r="600" ht="15" customHeight="1">
      <c r="A600" t="inlineStr">
        <is>
          <t>A 55524-2024</t>
        </is>
      </c>
      <c r="B600" s="1" t="n">
        <v>45622.47435185185</v>
      </c>
      <c r="C600" s="1" t="n">
        <v>46051</v>
      </c>
      <c r="D600" t="inlineStr">
        <is>
          <t>JÄMTLANDS LÄN</t>
        </is>
      </c>
      <c r="E600" t="inlineStr">
        <is>
          <t>RAGUNDA</t>
        </is>
      </c>
      <c r="G600" t="n">
        <v>1.4</v>
      </c>
      <c r="H600" t="n">
        <v>0</v>
      </c>
      <c r="I600" t="n">
        <v>0</v>
      </c>
      <c r="J600" t="n">
        <v>0</v>
      </c>
      <c r="K600" t="n">
        <v>0</v>
      </c>
      <c r="L600" t="n">
        <v>0</v>
      </c>
      <c r="M600" t="n">
        <v>0</v>
      </c>
      <c r="N600" t="n">
        <v>0</v>
      </c>
      <c r="O600" t="n">
        <v>0</v>
      </c>
      <c r="P600" t="n">
        <v>0</v>
      </c>
      <c r="Q600" t="n">
        <v>0</v>
      </c>
      <c r="R600" s="2" t="inlineStr"/>
    </row>
    <row r="601" ht="15" customHeight="1">
      <c r="A601" t="inlineStr">
        <is>
          <t>A 19419-2024</t>
        </is>
      </c>
      <c r="B601" s="1" t="n">
        <v>45429</v>
      </c>
      <c r="C601" s="1" t="n">
        <v>46051</v>
      </c>
      <c r="D601" t="inlineStr">
        <is>
          <t>JÄMTLANDS LÄN</t>
        </is>
      </c>
      <c r="E601" t="inlineStr">
        <is>
          <t>RAGUNDA</t>
        </is>
      </c>
      <c r="G601" t="n">
        <v>3.5</v>
      </c>
      <c r="H601" t="n">
        <v>0</v>
      </c>
      <c r="I601" t="n">
        <v>0</v>
      </c>
      <c r="J601" t="n">
        <v>0</v>
      </c>
      <c r="K601" t="n">
        <v>0</v>
      </c>
      <c r="L601" t="n">
        <v>0</v>
      </c>
      <c r="M601" t="n">
        <v>0</v>
      </c>
      <c r="N601" t="n">
        <v>0</v>
      </c>
      <c r="O601" t="n">
        <v>0</v>
      </c>
      <c r="P601" t="n">
        <v>0</v>
      </c>
      <c r="Q601" t="n">
        <v>0</v>
      </c>
      <c r="R601" s="2" t="inlineStr"/>
    </row>
    <row r="602" ht="15" customHeight="1">
      <c r="A602" t="inlineStr">
        <is>
          <t>A 34968-2025</t>
        </is>
      </c>
      <c r="B602" s="1" t="n">
        <v>45849.65663194445</v>
      </c>
      <c r="C602" s="1" t="n">
        <v>46051</v>
      </c>
      <c r="D602" t="inlineStr">
        <is>
          <t>JÄMTLANDS LÄN</t>
        </is>
      </c>
      <c r="E602" t="inlineStr">
        <is>
          <t>RAGUNDA</t>
        </is>
      </c>
      <c r="F602" t="inlineStr">
        <is>
          <t>SCA</t>
        </is>
      </c>
      <c r="G602" t="n">
        <v>20.2</v>
      </c>
      <c r="H602" t="n">
        <v>0</v>
      </c>
      <c r="I602" t="n">
        <v>0</v>
      </c>
      <c r="J602" t="n">
        <v>0</v>
      </c>
      <c r="K602" t="n">
        <v>0</v>
      </c>
      <c r="L602" t="n">
        <v>0</v>
      </c>
      <c r="M602" t="n">
        <v>0</v>
      </c>
      <c r="N602" t="n">
        <v>0</v>
      </c>
      <c r="O602" t="n">
        <v>0</v>
      </c>
      <c r="P602" t="n">
        <v>0</v>
      </c>
      <c r="Q602" t="n">
        <v>0</v>
      </c>
      <c r="R602" s="2" t="inlineStr"/>
    </row>
    <row r="603" ht="15" customHeight="1">
      <c r="A603" t="inlineStr">
        <is>
          <t>A 34999-2025</t>
        </is>
      </c>
      <c r="B603" s="1" t="n">
        <v>45850.34450231482</v>
      </c>
      <c r="C603" s="1" t="n">
        <v>46051</v>
      </c>
      <c r="D603" t="inlineStr">
        <is>
          <t>JÄMTLANDS LÄN</t>
        </is>
      </c>
      <c r="E603" t="inlineStr">
        <is>
          <t>RAGUNDA</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35091-2025</t>
        </is>
      </c>
      <c r="B604" s="1" t="n">
        <v>45852.53168981482</v>
      </c>
      <c r="C604" s="1" t="n">
        <v>46051</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45894-2025</t>
        </is>
      </c>
      <c r="B605" s="1" t="n">
        <v>45923.67765046296</v>
      </c>
      <c r="C605" s="1" t="n">
        <v>46051</v>
      </c>
      <c r="D605" t="inlineStr">
        <is>
          <t>JÄMTLANDS LÄN</t>
        </is>
      </c>
      <c r="E605" t="inlineStr">
        <is>
          <t>RAGUNDA</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35355-2025</t>
        </is>
      </c>
      <c r="B606" s="1" t="n">
        <v>45854.65663194445</v>
      </c>
      <c r="C606" s="1" t="n">
        <v>46051</v>
      </c>
      <c r="D606" t="inlineStr">
        <is>
          <t>JÄMTLANDS LÄN</t>
        </is>
      </c>
      <c r="E606" t="inlineStr">
        <is>
          <t>RAGUNDA</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46192-2025</t>
        </is>
      </c>
      <c r="B607" s="1" t="n">
        <v>45924.67789351852</v>
      </c>
      <c r="C607" s="1" t="n">
        <v>46051</v>
      </c>
      <c r="D607" t="inlineStr">
        <is>
          <t>JÄMTLANDS LÄN</t>
        </is>
      </c>
      <c r="E607" t="inlineStr">
        <is>
          <t>RAGUNDA</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35477-2025</t>
        </is>
      </c>
      <c r="B608" s="1" t="n">
        <v>45855.67899305555</v>
      </c>
      <c r="C608" s="1" t="n">
        <v>46051</v>
      </c>
      <c r="D608" t="inlineStr">
        <is>
          <t>JÄMTLANDS LÄN</t>
        </is>
      </c>
      <c r="E608" t="inlineStr">
        <is>
          <t>RAGUNDA</t>
        </is>
      </c>
      <c r="G608" t="n">
        <v>3.6</v>
      </c>
      <c r="H608" t="n">
        <v>0</v>
      </c>
      <c r="I608" t="n">
        <v>0</v>
      </c>
      <c r="J608" t="n">
        <v>0</v>
      </c>
      <c r="K608" t="n">
        <v>0</v>
      </c>
      <c r="L608" t="n">
        <v>0</v>
      </c>
      <c r="M608" t="n">
        <v>0</v>
      </c>
      <c r="N608" t="n">
        <v>0</v>
      </c>
      <c r="O608" t="n">
        <v>0</v>
      </c>
      <c r="P608" t="n">
        <v>0</v>
      </c>
      <c r="Q608" t="n">
        <v>0</v>
      </c>
      <c r="R608" s="2" t="inlineStr"/>
    </row>
    <row r="609" ht="15" customHeight="1">
      <c r="A609" t="inlineStr">
        <is>
          <t>A 35541-2025</t>
        </is>
      </c>
      <c r="B609" s="1" t="n">
        <v>45856.46931712963</v>
      </c>
      <c r="C609" s="1" t="n">
        <v>46051</v>
      </c>
      <c r="D609" t="inlineStr">
        <is>
          <t>JÄMTLANDS LÄN</t>
        </is>
      </c>
      <c r="E609" t="inlineStr">
        <is>
          <t>RAGUNDA</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35462-2025</t>
        </is>
      </c>
      <c r="B610" s="1" t="n">
        <v>45855.61523148148</v>
      </c>
      <c r="C610" s="1" t="n">
        <v>46051</v>
      </c>
      <c r="D610" t="inlineStr">
        <is>
          <t>JÄMTLANDS LÄN</t>
        </is>
      </c>
      <c r="E610" t="inlineStr">
        <is>
          <t>RAGUNDA</t>
        </is>
      </c>
      <c r="F610" t="inlineStr">
        <is>
          <t>SCA</t>
        </is>
      </c>
      <c r="G610" t="n">
        <v>5.7</v>
      </c>
      <c r="H610" t="n">
        <v>0</v>
      </c>
      <c r="I610" t="n">
        <v>0</v>
      </c>
      <c r="J610" t="n">
        <v>0</v>
      </c>
      <c r="K610" t="n">
        <v>0</v>
      </c>
      <c r="L610" t="n">
        <v>0</v>
      </c>
      <c r="M610" t="n">
        <v>0</v>
      </c>
      <c r="N610" t="n">
        <v>0</v>
      </c>
      <c r="O610" t="n">
        <v>0</v>
      </c>
      <c r="P610" t="n">
        <v>0</v>
      </c>
      <c r="Q610" t="n">
        <v>0</v>
      </c>
      <c r="R610" s="2" t="inlineStr"/>
    </row>
    <row r="611" ht="15" customHeight="1">
      <c r="A611" t="inlineStr">
        <is>
          <t>A 35689-2025</t>
        </is>
      </c>
      <c r="B611" s="1" t="n">
        <v>45860.30229166667</v>
      </c>
      <c r="C611" s="1" t="n">
        <v>46051</v>
      </c>
      <c r="D611" t="inlineStr">
        <is>
          <t>JÄMTLANDS LÄN</t>
        </is>
      </c>
      <c r="E611" t="inlineStr">
        <is>
          <t>RAGUNDA</t>
        </is>
      </c>
      <c r="G611" t="n">
        <v>1.9</v>
      </c>
      <c r="H611" t="n">
        <v>0</v>
      </c>
      <c r="I611" t="n">
        <v>0</v>
      </c>
      <c r="J611" t="n">
        <v>0</v>
      </c>
      <c r="K611" t="n">
        <v>0</v>
      </c>
      <c r="L611" t="n">
        <v>0</v>
      </c>
      <c r="M611" t="n">
        <v>0</v>
      </c>
      <c r="N611" t="n">
        <v>0</v>
      </c>
      <c r="O611" t="n">
        <v>0</v>
      </c>
      <c r="P611" t="n">
        <v>0</v>
      </c>
      <c r="Q611" t="n">
        <v>0</v>
      </c>
      <c r="R611" s="2" t="inlineStr"/>
    </row>
    <row r="612" ht="15" customHeight="1">
      <c r="A612" t="inlineStr">
        <is>
          <t>A 46689-2025</t>
        </is>
      </c>
      <c r="B612" s="1" t="n">
        <v>45926.55307870371</v>
      </c>
      <c r="C612" s="1" t="n">
        <v>46051</v>
      </c>
      <c r="D612" t="inlineStr">
        <is>
          <t>JÄMTLANDS LÄN</t>
        </is>
      </c>
      <c r="E612" t="inlineStr">
        <is>
          <t>RAGUNDA</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35658-2025</t>
        </is>
      </c>
      <c r="B613" s="1" t="n">
        <v>45859.594375</v>
      </c>
      <c r="C613" s="1" t="n">
        <v>46051</v>
      </c>
      <c r="D613" t="inlineStr">
        <is>
          <t>JÄMTLANDS LÄN</t>
        </is>
      </c>
      <c r="E613" t="inlineStr">
        <is>
          <t>RAGUNDA</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46275-2025</t>
        </is>
      </c>
      <c r="B614" s="1" t="n">
        <v>45925.3711574074</v>
      </c>
      <c r="C614" s="1" t="n">
        <v>46051</v>
      </c>
      <c r="D614" t="inlineStr">
        <is>
          <t>JÄMTLANDS LÄN</t>
        </is>
      </c>
      <c r="E614" t="inlineStr">
        <is>
          <t>RAGUNDA</t>
        </is>
      </c>
      <c r="G614" t="n">
        <v>2.7</v>
      </c>
      <c r="H614" t="n">
        <v>0</v>
      </c>
      <c r="I614" t="n">
        <v>0</v>
      </c>
      <c r="J614" t="n">
        <v>0</v>
      </c>
      <c r="K614" t="n">
        <v>0</v>
      </c>
      <c r="L614" t="n">
        <v>0</v>
      </c>
      <c r="M614" t="n">
        <v>0</v>
      </c>
      <c r="N614" t="n">
        <v>0</v>
      </c>
      <c r="O614" t="n">
        <v>0</v>
      </c>
      <c r="P614" t="n">
        <v>0</v>
      </c>
      <c r="Q614" t="n">
        <v>0</v>
      </c>
      <c r="R614" s="2" t="inlineStr"/>
    </row>
    <row r="615" ht="15" customHeight="1">
      <c r="A615" t="inlineStr">
        <is>
          <t>A 46710-2025</t>
        </is>
      </c>
      <c r="B615" s="1" t="n">
        <v>45926.57337962963</v>
      </c>
      <c r="C615" s="1" t="n">
        <v>46051</v>
      </c>
      <c r="D615" t="inlineStr">
        <is>
          <t>JÄMTLANDS LÄN</t>
        </is>
      </c>
      <c r="E615" t="inlineStr">
        <is>
          <t>RAGUNDA</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46751-2025</t>
        </is>
      </c>
      <c r="B616" s="1" t="n">
        <v>45926.6153125</v>
      </c>
      <c r="C616" s="1" t="n">
        <v>46051</v>
      </c>
      <c r="D616" t="inlineStr">
        <is>
          <t>JÄMTLANDS LÄN</t>
        </is>
      </c>
      <c r="E616" t="inlineStr">
        <is>
          <t>RAGUNDA</t>
        </is>
      </c>
      <c r="F616" t="inlineStr">
        <is>
          <t>SCA</t>
        </is>
      </c>
      <c r="G616" t="n">
        <v>7.8</v>
      </c>
      <c r="H616" t="n">
        <v>0</v>
      </c>
      <c r="I616" t="n">
        <v>0</v>
      </c>
      <c r="J616" t="n">
        <v>0</v>
      </c>
      <c r="K616" t="n">
        <v>0</v>
      </c>
      <c r="L616" t="n">
        <v>0</v>
      </c>
      <c r="M616" t="n">
        <v>0</v>
      </c>
      <c r="N616" t="n">
        <v>0</v>
      </c>
      <c r="O616" t="n">
        <v>0</v>
      </c>
      <c r="P616" t="n">
        <v>0</v>
      </c>
      <c r="Q616" t="n">
        <v>0</v>
      </c>
      <c r="R616" s="2" t="inlineStr"/>
    </row>
    <row r="617" ht="15" customHeight="1">
      <c r="A617" t="inlineStr">
        <is>
          <t>A 46753-2025</t>
        </is>
      </c>
      <c r="B617" s="1" t="n">
        <v>45926.61552083334</v>
      </c>
      <c r="C617" s="1" t="n">
        <v>46051</v>
      </c>
      <c r="D617" t="inlineStr">
        <is>
          <t>JÄMTLANDS LÄN</t>
        </is>
      </c>
      <c r="E617" t="inlineStr">
        <is>
          <t>RAGUNDA</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46211-2024</t>
        </is>
      </c>
      <c r="B618" s="1" t="n">
        <v>45581.55260416667</v>
      </c>
      <c r="C618" s="1" t="n">
        <v>46051</v>
      </c>
      <c r="D618" t="inlineStr">
        <is>
          <t>JÄMTLANDS LÄN</t>
        </is>
      </c>
      <c r="E618" t="inlineStr">
        <is>
          <t>RAGUNDA</t>
        </is>
      </c>
      <c r="G618" t="n">
        <v>7.3</v>
      </c>
      <c r="H618" t="n">
        <v>0</v>
      </c>
      <c r="I618" t="n">
        <v>0</v>
      </c>
      <c r="J618" t="n">
        <v>0</v>
      </c>
      <c r="K618" t="n">
        <v>0</v>
      </c>
      <c r="L618" t="n">
        <v>0</v>
      </c>
      <c r="M618" t="n">
        <v>0</v>
      </c>
      <c r="N618" t="n">
        <v>0</v>
      </c>
      <c r="O618" t="n">
        <v>0</v>
      </c>
      <c r="P618" t="n">
        <v>0</v>
      </c>
      <c r="Q618" t="n">
        <v>0</v>
      </c>
      <c r="R618" s="2" t="inlineStr"/>
    </row>
    <row r="619" ht="15" customHeight="1">
      <c r="A619" t="inlineStr">
        <is>
          <t>A 47228-2025</t>
        </is>
      </c>
      <c r="B619" s="1" t="n">
        <v>45930.3990162037</v>
      </c>
      <c r="C619" s="1" t="n">
        <v>46051</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46974-2025</t>
        </is>
      </c>
      <c r="B620" s="1" t="n">
        <v>45929.51104166666</v>
      </c>
      <c r="C620" s="1" t="n">
        <v>46051</v>
      </c>
      <c r="D620" t="inlineStr">
        <is>
          <t>JÄMTLANDS LÄN</t>
        </is>
      </c>
      <c r="E620" t="inlineStr">
        <is>
          <t>RAGUNDA</t>
        </is>
      </c>
      <c r="F620" t="inlineStr">
        <is>
          <t>SCA</t>
        </is>
      </c>
      <c r="G620" t="n">
        <v>12.1</v>
      </c>
      <c r="H620" t="n">
        <v>0</v>
      </c>
      <c r="I620" t="n">
        <v>0</v>
      </c>
      <c r="J620" t="n">
        <v>0</v>
      </c>
      <c r="K620" t="n">
        <v>0</v>
      </c>
      <c r="L620" t="n">
        <v>0</v>
      </c>
      <c r="M620" t="n">
        <v>0</v>
      </c>
      <c r="N620" t="n">
        <v>0</v>
      </c>
      <c r="O620" t="n">
        <v>0</v>
      </c>
      <c r="P620" t="n">
        <v>0</v>
      </c>
      <c r="Q620" t="n">
        <v>0</v>
      </c>
      <c r="R620" s="2" t="inlineStr"/>
    </row>
    <row r="621" ht="15" customHeight="1">
      <c r="A621" t="inlineStr">
        <is>
          <t>A 47037-2025</t>
        </is>
      </c>
      <c r="B621" s="1" t="n">
        <v>45929.59456018519</v>
      </c>
      <c r="C621" s="1" t="n">
        <v>46051</v>
      </c>
      <c r="D621" t="inlineStr">
        <is>
          <t>JÄMTLANDS LÄN</t>
        </is>
      </c>
      <c r="E621" t="inlineStr">
        <is>
          <t>RAGUNDA</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47119-2025</t>
        </is>
      </c>
      <c r="B622" s="1" t="n">
        <v>45929.67795138889</v>
      </c>
      <c r="C622" s="1" t="n">
        <v>46051</v>
      </c>
      <c r="D622" t="inlineStr">
        <is>
          <t>JÄMTLANDS LÄN</t>
        </is>
      </c>
      <c r="E622" t="inlineStr">
        <is>
          <t>RAGUNDA</t>
        </is>
      </c>
      <c r="F622" t="inlineStr">
        <is>
          <t>SCA</t>
        </is>
      </c>
      <c r="G622" t="n">
        <v>22.7</v>
      </c>
      <c r="H622" t="n">
        <v>0</v>
      </c>
      <c r="I622" t="n">
        <v>0</v>
      </c>
      <c r="J622" t="n">
        <v>0</v>
      </c>
      <c r="K622" t="n">
        <v>0</v>
      </c>
      <c r="L622" t="n">
        <v>0</v>
      </c>
      <c r="M622" t="n">
        <v>0</v>
      </c>
      <c r="N622" t="n">
        <v>0</v>
      </c>
      <c r="O622" t="n">
        <v>0</v>
      </c>
      <c r="P622" t="n">
        <v>0</v>
      </c>
      <c r="Q622" t="n">
        <v>0</v>
      </c>
      <c r="R622" s="2" t="inlineStr"/>
    </row>
    <row r="623" ht="15" customHeight="1">
      <c r="A623" t="inlineStr">
        <is>
          <t>A 47122-2025</t>
        </is>
      </c>
      <c r="B623" s="1" t="n">
        <v>45929.67878472222</v>
      </c>
      <c r="C623" s="1" t="n">
        <v>46051</v>
      </c>
      <c r="D623" t="inlineStr">
        <is>
          <t>JÄMTLANDS LÄN</t>
        </is>
      </c>
      <c r="E623" t="inlineStr">
        <is>
          <t>RAGUNDA</t>
        </is>
      </c>
      <c r="F623" t="inlineStr">
        <is>
          <t>SCA</t>
        </is>
      </c>
      <c r="G623" t="n">
        <v>31.1</v>
      </c>
      <c r="H623" t="n">
        <v>0</v>
      </c>
      <c r="I623" t="n">
        <v>0</v>
      </c>
      <c r="J623" t="n">
        <v>0</v>
      </c>
      <c r="K623" t="n">
        <v>0</v>
      </c>
      <c r="L623" t="n">
        <v>0</v>
      </c>
      <c r="M623" t="n">
        <v>0</v>
      </c>
      <c r="N623" t="n">
        <v>0</v>
      </c>
      <c r="O623" t="n">
        <v>0</v>
      </c>
      <c r="P623" t="n">
        <v>0</v>
      </c>
      <c r="Q623" t="n">
        <v>0</v>
      </c>
      <c r="R623" s="2" t="inlineStr"/>
    </row>
    <row r="624" ht="15" customHeight="1">
      <c r="A624" t="inlineStr">
        <is>
          <t>A 54092-2024</t>
        </is>
      </c>
      <c r="B624" s="1" t="n">
        <v>45616.5108912037</v>
      </c>
      <c r="C624" s="1" t="n">
        <v>46051</v>
      </c>
      <c r="D624" t="inlineStr">
        <is>
          <t>JÄMTLANDS LÄN</t>
        </is>
      </c>
      <c r="E624" t="inlineStr">
        <is>
          <t>RAGUNDA</t>
        </is>
      </c>
      <c r="F624" t="inlineStr">
        <is>
          <t>Naturvårdsverket</t>
        </is>
      </c>
      <c r="G624" t="n">
        <v>1.3</v>
      </c>
      <c r="H624" t="n">
        <v>0</v>
      </c>
      <c r="I624" t="n">
        <v>0</v>
      </c>
      <c r="J624" t="n">
        <v>0</v>
      </c>
      <c r="K624" t="n">
        <v>0</v>
      </c>
      <c r="L624" t="n">
        <v>0</v>
      </c>
      <c r="M624" t="n">
        <v>0</v>
      </c>
      <c r="N624" t="n">
        <v>0</v>
      </c>
      <c r="O624" t="n">
        <v>0</v>
      </c>
      <c r="P624" t="n">
        <v>0</v>
      </c>
      <c r="Q624" t="n">
        <v>0</v>
      </c>
      <c r="R624" s="2" t="inlineStr"/>
    </row>
    <row r="625" ht="15" customHeight="1">
      <c r="A625" t="inlineStr">
        <is>
          <t>A 8679-2023</t>
        </is>
      </c>
      <c r="B625" s="1" t="n">
        <v>44977.98670138889</v>
      </c>
      <c r="C625" s="1" t="n">
        <v>46051</v>
      </c>
      <c r="D625" t="inlineStr">
        <is>
          <t>JÄMTLANDS LÄN</t>
        </is>
      </c>
      <c r="E625" t="inlineStr">
        <is>
          <t>RAGUNDA</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46909-2025</t>
        </is>
      </c>
      <c r="B626" s="1" t="n">
        <v>45929.40673611111</v>
      </c>
      <c r="C626" s="1" t="n">
        <v>46051</v>
      </c>
      <c r="D626" t="inlineStr">
        <is>
          <t>JÄMTLANDS LÄN</t>
        </is>
      </c>
      <c r="E626" t="inlineStr">
        <is>
          <t>RAGUNDA</t>
        </is>
      </c>
      <c r="G626" t="n">
        <v>5.7</v>
      </c>
      <c r="H626" t="n">
        <v>0</v>
      </c>
      <c r="I626" t="n">
        <v>0</v>
      </c>
      <c r="J626" t="n">
        <v>0</v>
      </c>
      <c r="K626" t="n">
        <v>0</v>
      </c>
      <c r="L626" t="n">
        <v>0</v>
      </c>
      <c r="M626" t="n">
        <v>0</v>
      </c>
      <c r="N626" t="n">
        <v>0</v>
      </c>
      <c r="O626" t="n">
        <v>0</v>
      </c>
      <c r="P626" t="n">
        <v>0</v>
      </c>
      <c r="Q626" t="n">
        <v>0</v>
      </c>
      <c r="R626" s="2" t="inlineStr"/>
    </row>
    <row r="627" ht="15" customHeight="1">
      <c r="A627" t="inlineStr">
        <is>
          <t>A 14158-2024</t>
        </is>
      </c>
      <c r="B627" s="1" t="n">
        <v>45392</v>
      </c>
      <c r="C627" s="1" t="n">
        <v>46051</v>
      </c>
      <c r="D627" t="inlineStr">
        <is>
          <t>JÄMTLANDS LÄN</t>
        </is>
      </c>
      <c r="E627" t="inlineStr">
        <is>
          <t>RAGUNDA</t>
        </is>
      </c>
      <c r="G627" t="n">
        <v>0.7</v>
      </c>
      <c r="H627" t="n">
        <v>0</v>
      </c>
      <c r="I627" t="n">
        <v>0</v>
      </c>
      <c r="J627" t="n">
        <v>0</v>
      </c>
      <c r="K627" t="n">
        <v>0</v>
      </c>
      <c r="L627" t="n">
        <v>0</v>
      </c>
      <c r="M627" t="n">
        <v>0</v>
      </c>
      <c r="N627" t="n">
        <v>0</v>
      </c>
      <c r="O627" t="n">
        <v>0</v>
      </c>
      <c r="P627" t="n">
        <v>0</v>
      </c>
      <c r="Q627" t="n">
        <v>0</v>
      </c>
      <c r="R627" s="2" t="inlineStr"/>
    </row>
    <row r="628" ht="15" customHeight="1">
      <c r="A628" t="inlineStr">
        <is>
          <t>A 55649-2023</t>
        </is>
      </c>
      <c r="B628" s="1" t="n">
        <v>45238</v>
      </c>
      <c r="C628" s="1" t="n">
        <v>46051</v>
      </c>
      <c r="D628" t="inlineStr">
        <is>
          <t>JÄMTLANDS LÄN</t>
        </is>
      </c>
      <c r="E628" t="inlineStr">
        <is>
          <t>RAGUNDA</t>
        </is>
      </c>
      <c r="F628" t="inlineStr">
        <is>
          <t>SCA</t>
        </is>
      </c>
      <c r="G628" t="n">
        <v>6</v>
      </c>
      <c r="H628" t="n">
        <v>0</v>
      </c>
      <c r="I628" t="n">
        <v>0</v>
      </c>
      <c r="J628" t="n">
        <v>0</v>
      </c>
      <c r="K628" t="n">
        <v>0</v>
      </c>
      <c r="L628" t="n">
        <v>0</v>
      </c>
      <c r="M628" t="n">
        <v>0</v>
      </c>
      <c r="N628" t="n">
        <v>0</v>
      </c>
      <c r="O628" t="n">
        <v>0</v>
      </c>
      <c r="P628" t="n">
        <v>0</v>
      </c>
      <c r="Q628" t="n">
        <v>0</v>
      </c>
      <c r="R628" s="2" t="inlineStr"/>
    </row>
    <row r="629" ht="15" customHeight="1">
      <c r="A629" t="inlineStr">
        <is>
          <t>A 53769-2023</t>
        </is>
      </c>
      <c r="B629" s="1" t="n">
        <v>45230</v>
      </c>
      <c r="C629" s="1" t="n">
        <v>46051</v>
      </c>
      <c r="D629" t="inlineStr">
        <is>
          <t>JÄMTLANDS LÄN</t>
        </is>
      </c>
      <c r="E629" t="inlineStr">
        <is>
          <t>RAGUNDA</t>
        </is>
      </c>
      <c r="F629" t="inlineStr">
        <is>
          <t>SCA</t>
        </is>
      </c>
      <c r="G629" t="n">
        <v>11.6</v>
      </c>
      <c r="H629" t="n">
        <v>0</v>
      </c>
      <c r="I629" t="n">
        <v>0</v>
      </c>
      <c r="J629" t="n">
        <v>0</v>
      </c>
      <c r="K629" t="n">
        <v>0</v>
      </c>
      <c r="L629" t="n">
        <v>0</v>
      </c>
      <c r="M629" t="n">
        <v>0</v>
      </c>
      <c r="N629" t="n">
        <v>0</v>
      </c>
      <c r="O629" t="n">
        <v>0</v>
      </c>
      <c r="P629" t="n">
        <v>0</v>
      </c>
      <c r="Q629" t="n">
        <v>0</v>
      </c>
      <c r="R629" s="2" t="inlineStr"/>
    </row>
    <row r="630" ht="15" customHeight="1">
      <c r="A630" t="inlineStr">
        <is>
          <t>A 47229-2025</t>
        </is>
      </c>
      <c r="B630" s="1" t="n">
        <v>45930.40166666666</v>
      </c>
      <c r="C630" s="1" t="n">
        <v>46051</v>
      </c>
      <c r="D630" t="inlineStr">
        <is>
          <t>JÄMTLANDS LÄN</t>
        </is>
      </c>
      <c r="E630" t="inlineStr">
        <is>
          <t>RAGUNDA</t>
        </is>
      </c>
      <c r="G630" t="n">
        <v>1.8</v>
      </c>
      <c r="H630" t="n">
        <v>0</v>
      </c>
      <c r="I630" t="n">
        <v>0</v>
      </c>
      <c r="J630" t="n">
        <v>0</v>
      </c>
      <c r="K630" t="n">
        <v>0</v>
      </c>
      <c r="L630" t="n">
        <v>0</v>
      </c>
      <c r="M630" t="n">
        <v>0</v>
      </c>
      <c r="N630" t="n">
        <v>0</v>
      </c>
      <c r="O630" t="n">
        <v>0</v>
      </c>
      <c r="P630" t="n">
        <v>0</v>
      </c>
      <c r="Q630" t="n">
        <v>0</v>
      </c>
      <c r="R630" s="2" t="inlineStr"/>
    </row>
    <row r="631" ht="15" customHeight="1">
      <c r="A631" t="inlineStr">
        <is>
          <t>A 47075-2025</t>
        </is>
      </c>
      <c r="B631" s="1" t="n">
        <v>45929.63728009259</v>
      </c>
      <c r="C631" s="1" t="n">
        <v>46051</v>
      </c>
      <c r="D631" t="inlineStr">
        <is>
          <t>JÄMTLANDS LÄN</t>
        </is>
      </c>
      <c r="E631" t="inlineStr">
        <is>
          <t>RAGUNDA</t>
        </is>
      </c>
      <c r="F631" t="inlineStr">
        <is>
          <t>SCA</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46825-2025</t>
        </is>
      </c>
      <c r="B632" s="1" t="n">
        <v>45926.92506944444</v>
      </c>
      <c r="C632" s="1" t="n">
        <v>46051</v>
      </c>
      <c r="D632" t="inlineStr">
        <is>
          <t>JÄMTLANDS LÄN</t>
        </is>
      </c>
      <c r="E632" t="inlineStr">
        <is>
          <t>RAGUNDA</t>
        </is>
      </c>
      <c r="G632" t="n">
        <v>1.4</v>
      </c>
      <c r="H632" t="n">
        <v>0</v>
      </c>
      <c r="I632" t="n">
        <v>0</v>
      </c>
      <c r="J632" t="n">
        <v>0</v>
      </c>
      <c r="K632" t="n">
        <v>0</v>
      </c>
      <c r="L632" t="n">
        <v>0</v>
      </c>
      <c r="M632" t="n">
        <v>0</v>
      </c>
      <c r="N632" t="n">
        <v>0</v>
      </c>
      <c r="O632" t="n">
        <v>0</v>
      </c>
      <c r="P632" t="n">
        <v>0</v>
      </c>
      <c r="Q632" t="n">
        <v>0</v>
      </c>
      <c r="R632" s="2" t="inlineStr"/>
    </row>
    <row r="633" ht="15" customHeight="1">
      <c r="A633" t="inlineStr">
        <is>
          <t>A 47749-2025</t>
        </is>
      </c>
      <c r="B633" s="1" t="n">
        <v>45931.65711805555</v>
      </c>
      <c r="C633" s="1" t="n">
        <v>46051</v>
      </c>
      <c r="D633" t="inlineStr">
        <is>
          <t>JÄMTLANDS LÄN</t>
        </is>
      </c>
      <c r="E633" t="inlineStr">
        <is>
          <t>RAGUNDA</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36541-2025</t>
        </is>
      </c>
      <c r="B634" s="1" t="n">
        <v>45869.65666666667</v>
      </c>
      <c r="C634" s="1" t="n">
        <v>46051</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36544-2025</t>
        </is>
      </c>
      <c r="B635" s="1" t="n">
        <v>45869.67744212963</v>
      </c>
      <c r="C635" s="1" t="n">
        <v>46051</v>
      </c>
      <c r="D635" t="inlineStr">
        <is>
          <t>JÄMTLANDS LÄN</t>
        </is>
      </c>
      <c r="E635" t="inlineStr">
        <is>
          <t>RAGUNDA</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19438-2023</t>
        </is>
      </c>
      <c r="B636" s="1" t="n">
        <v>45049</v>
      </c>
      <c r="C636" s="1" t="n">
        <v>46051</v>
      </c>
      <c r="D636" t="inlineStr">
        <is>
          <t>JÄMTLANDS LÄN</t>
        </is>
      </c>
      <c r="E636" t="inlineStr">
        <is>
          <t>RAGUNDA</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36553-2025</t>
        </is>
      </c>
      <c r="B637" s="1" t="n">
        <v>45870.34439814815</v>
      </c>
      <c r="C637" s="1" t="n">
        <v>46051</v>
      </c>
      <c r="D637" t="inlineStr">
        <is>
          <t>JÄMTLANDS LÄN</t>
        </is>
      </c>
      <c r="E637" t="inlineStr">
        <is>
          <t>RAGUNDA</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40919-2024</t>
        </is>
      </c>
      <c r="B638" s="1" t="n">
        <v>45558.63575231482</v>
      </c>
      <c r="C638" s="1" t="n">
        <v>46051</v>
      </c>
      <c r="D638" t="inlineStr">
        <is>
          <t>JÄMTLANDS LÄN</t>
        </is>
      </c>
      <c r="E638" t="inlineStr">
        <is>
          <t>RAGUNDA</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15024-2022</t>
        </is>
      </c>
      <c r="B639" s="1" t="n">
        <v>44657</v>
      </c>
      <c r="C639" s="1" t="n">
        <v>46051</v>
      </c>
      <c r="D639" t="inlineStr">
        <is>
          <t>JÄMTLANDS LÄN</t>
        </is>
      </c>
      <c r="E639" t="inlineStr">
        <is>
          <t>RAGUNDA</t>
        </is>
      </c>
      <c r="G639" t="n">
        <v>1.8</v>
      </c>
      <c r="H639" t="n">
        <v>0</v>
      </c>
      <c r="I639" t="n">
        <v>0</v>
      </c>
      <c r="J639" t="n">
        <v>0</v>
      </c>
      <c r="K639" t="n">
        <v>0</v>
      </c>
      <c r="L639" t="n">
        <v>0</v>
      </c>
      <c r="M639" t="n">
        <v>0</v>
      </c>
      <c r="N639" t="n">
        <v>0</v>
      </c>
      <c r="O639" t="n">
        <v>0</v>
      </c>
      <c r="P639" t="n">
        <v>0</v>
      </c>
      <c r="Q639" t="n">
        <v>0</v>
      </c>
      <c r="R639" s="2" t="inlineStr"/>
    </row>
    <row r="640" ht="15" customHeight="1">
      <c r="A640" t="inlineStr">
        <is>
          <t>A 21332-2025</t>
        </is>
      </c>
      <c r="B640" s="1" t="n">
        <v>45782.36506944444</v>
      </c>
      <c r="C640" s="1" t="n">
        <v>46051</v>
      </c>
      <c r="D640" t="inlineStr">
        <is>
          <t>JÄMTLANDS LÄN</t>
        </is>
      </c>
      <c r="E640" t="inlineStr">
        <is>
          <t>RAGUNDA</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47748-2025</t>
        </is>
      </c>
      <c r="B641" s="1" t="n">
        <v>45931.65693287037</v>
      </c>
      <c r="C641" s="1" t="n">
        <v>46051</v>
      </c>
      <c r="D641" t="inlineStr">
        <is>
          <t>JÄMTLANDS LÄN</t>
        </is>
      </c>
      <c r="E641" t="inlineStr">
        <is>
          <t>RAGUNDA</t>
        </is>
      </c>
      <c r="F641" t="inlineStr">
        <is>
          <t>SCA</t>
        </is>
      </c>
      <c r="G641" t="n">
        <v>8.6</v>
      </c>
      <c r="H641" t="n">
        <v>0</v>
      </c>
      <c r="I641" t="n">
        <v>0</v>
      </c>
      <c r="J641" t="n">
        <v>0</v>
      </c>
      <c r="K641" t="n">
        <v>0</v>
      </c>
      <c r="L641" t="n">
        <v>0</v>
      </c>
      <c r="M641" t="n">
        <v>0</v>
      </c>
      <c r="N641" t="n">
        <v>0</v>
      </c>
      <c r="O641" t="n">
        <v>0</v>
      </c>
      <c r="P641" t="n">
        <v>0</v>
      </c>
      <c r="Q641" t="n">
        <v>0</v>
      </c>
      <c r="R641" s="2" t="inlineStr"/>
    </row>
    <row r="642" ht="15" customHeight="1">
      <c r="A642" t="inlineStr">
        <is>
          <t>A 48528-2025</t>
        </is>
      </c>
      <c r="B642" s="1" t="n">
        <v>45936.40758101852</v>
      </c>
      <c r="C642" s="1" t="n">
        <v>46051</v>
      </c>
      <c r="D642" t="inlineStr">
        <is>
          <t>JÄMTLANDS LÄN</t>
        </is>
      </c>
      <c r="E642" t="inlineStr">
        <is>
          <t>RAGUNDA</t>
        </is>
      </c>
      <c r="F642" t="inlineStr">
        <is>
          <t>SCA</t>
        </is>
      </c>
      <c r="G642" t="n">
        <v>6.8</v>
      </c>
      <c r="H642" t="n">
        <v>0</v>
      </c>
      <c r="I642" t="n">
        <v>0</v>
      </c>
      <c r="J642" t="n">
        <v>0</v>
      </c>
      <c r="K642" t="n">
        <v>0</v>
      </c>
      <c r="L642" t="n">
        <v>0</v>
      </c>
      <c r="M642" t="n">
        <v>0</v>
      </c>
      <c r="N642" t="n">
        <v>0</v>
      </c>
      <c r="O642" t="n">
        <v>0</v>
      </c>
      <c r="P642" t="n">
        <v>0</v>
      </c>
      <c r="Q642" t="n">
        <v>0</v>
      </c>
      <c r="R642" s="2" t="inlineStr"/>
    </row>
    <row r="643" ht="15" customHeight="1">
      <c r="A643" t="inlineStr">
        <is>
          <t>A 48192-2024</t>
        </is>
      </c>
      <c r="B643" s="1" t="n">
        <v>45590</v>
      </c>
      <c r="C643" s="1" t="n">
        <v>46051</v>
      </c>
      <c r="D643" t="inlineStr">
        <is>
          <t>JÄMTLANDS LÄN</t>
        </is>
      </c>
      <c r="E643" t="inlineStr">
        <is>
          <t>RAGUNDA</t>
        </is>
      </c>
      <c r="G643" t="n">
        <v>2.3</v>
      </c>
      <c r="H643" t="n">
        <v>0</v>
      </c>
      <c r="I643" t="n">
        <v>0</v>
      </c>
      <c r="J643" t="n">
        <v>0</v>
      </c>
      <c r="K643" t="n">
        <v>0</v>
      </c>
      <c r="L643" t="n">
        <v>0</v>
      </c>
      <c r="M643" t="n">
        <v>0</v>
      </c>
      <c r="N643" t="n">
        <v>0</v>
      </c>
      <c r="O643" t="n">
        <v>0</v>
      </c>
      <c r="P643" t="n">
        <v>0</v>
      </c>
      <c r="Q643" t="n">
        <v>0</v>
      </c>
      <c r="R643" s="2" t="inlineStr"/>
    </row>
    <row r="644" ht="15" customHeight="1">
      <c r="A644" t="inlineStr">
        <is>
          <t>A 12768-2022</t>
        </is>
      </c>
      <c r="B644" s="1" t="n">
        <v>44641</v>
      </c>
      <c r="C644" s="1" t="n">
        <v>46051</v>
      </c>
      <c r="D644" t="inlineStr">
        <is>
          <t>JÄMTLANDS LÄN</t>
        </is>
      </c>
      <c r="E644" t="inlineStr">
        <is>
          <t>RAGUNDA</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12773-2022</t>
        </is>
      </c>
      <c r="B645" s="1" t="n">
        <v>44641</v>
      </c>
      <c r="C645" s="1" t="n">
        <v>46051</v>
      </c>
      <c r="D645" t="inlineStr">
        <is>
          <t>JÄMTLANDS LÄN</t>
        </is>
      </c>
      <c r="E645" t="inlineStr">
        <is>
          <t>RAGUNDA</t>
        </is>
      </c>
      <c r="F645" t="inlineStr">
        <is>
          <t>SCA</t>
        </is>
      </c>
      <c r="G645" t="n">
        <v>14.7</v>
      </c>
      <c r="H645" t="n">
        <v>0</v>
      </c>
      <c r="I645" t="n">
        <v>0</v>
      </c>
      <c r="J645" t="n">
        <v>0</v>
      </c>
      <c r="K645" t="n">
        <v>0</v>
      </c>
      <c r="L645" t="n">
        <v>0</v>
      </c>
      <c r="M645" t="n">
        <v>0</v>
      </c>
      <c r="N645" t="n">
        <v>0</v>
      </c>
      <c r="O645" t="n">
        <v>0</v>
      </c>
      <c r="P645" t="n">
        <v>0</v>
      </c>
      <c r="Q645" t="n">
        <v>0</v>
      </c>
      <c r="R645" s="2" t="inlineStr"/>
    </row>
    <row r="646" ht="15" customHeight="1">
      <c r="A646" t="inlineStr">
        <is>
          <t>A 48742-2025</t>
        </is>
      </c>
      <c r="B646" s="1" t="n">
        <v>45936.67810185185</v>
      </c>
      <c r="C646" s="1" t="n">
        <v>46051</v>
      </c>
      <c r="D646" t="inlineStr">
        <is>
          <t>JÄMTLANDS LÄN</t>
        </is>
      </c>
      <c r="E646" t="inlineStr">
        <is>
          <t>RAGUNDA</t>
        </is>
      </c>
      <c r="F646" t="inlineStr">
        <is>
          <t>SCA</t>
        </is>
      </c>
      <c r="G646" t="n">
        <v>8.9</v>
      </c>
      <c r="H646" t="n">
        <v>0</v>
      </c>
      <c r="I646" t="n">
        <v>0</v>
      </c>
      <c r="J646" t="n">
        <v>0</v>
      </c>
      <c r="K646" t="n">
        <v>0</v>
      </c>
      <c r="L646" t="n">
        <v>0</v>
      </c>
      <c r="M646" t="n">
        <v>0</v>
      </c>
      <c r="N646" t="n">
        <v>0</v>
      </c>
      <c r="O646" t="n">
        <v>0</v>
      </c>
      <c r="P646" t="n">
        <v>0</v>
      </c>
      <c r="Q646" t="n">
        <v>0</v>
      </c>
      <c r="R646" s="2" t="inlineStr"/>
    </row>
    <row r="647" ht="15" customHeight="1">
      <c r="A647" t="inlineStr">
        <is>
          <t>A 36947-2025</t>
        </is>
      </c>
      <c r="B647" s="1" t="n">
        <v>45874.59496527778</v>
      </c>
      <c r="C647" s="1" t="n">
        <v>46051</v>
      </c>
      <c r="D647" t="inlineStr">
        <is>
          <t>JÄMTLANDS LÄN</t>
        </is>
      </c>
      <c r="E647" t="inlineStr">
        <is>
          <t>RAGUNDA</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32075-2025</t>
        </is>
      </c>
      <c r="B648" s="1" t="n">
        <v>45835.4506712963</v>
      </c>
      <c r="C648" s="1" t="n">
        <v>46051</v>
      </c>
      <c r="D648" t="inlineStr">
        <is>
          <t>JÄMTLANDS LÄN</t>
        </is>
      </c>
      <c r="E648" t="inlineStr">
        <is>
          <t>RAGUNDA</t>
        </is>
      </c>
      <c r="G648" t="n">
        <v>1.1</v>
      </c>
      <c r="H648" t="n">
        <v>0</v>
      </c>
      <c r="I648" t="n">
        <v>0</v>
      </c>
      <c r="J648" t="n">
        <v>0</v>
      </c>
      <c r="K648" t="n">
        <v>0</v>
      </c>
      <c r="L648" t="n">
        <v>0</v>
      </c>
      <c r="M648" t="n">
        <v>0</v>
      </c>
      <c r="N648" t="n">
        <v>0</v>
      </c>
      <c r="O648" t="n">
        <v>0</v>
      </c>
      <c r="P648" t="n">
        <v>0</v>
      </c>
      <c r="Q648" t="n">
        <v>0</v>
      </c>
      <c r="R648" s="2" t="inlineStr"/>
    </row>
    <row r="649" ht="15" customHeight="1">
      <c r="A649" t="inlineStr">
        <is>
          <t>A 36994-2025</t>
        </is>
      </c>
      <c r="B649" s="1" t="n">
        <v>45874.67746527777</v>
      </c>
      <c r="C649" s="1" t="n">
        <v>46051</v>
      </c>
      <c r="D649" t="inlineStr">
        <is>
          <t>JÄMTLANDS LÄN</t>
        </is>
      </c>
      <c r="E649" t="inlineStr">
        <is>
          <t>RAGUNDA</t>
        </is>
      </c>
      <c r="F649" t="inlineStr">
        <is>
          <t>SCA</t>
        </is>
      </c>
      <c r="G649" t="n">
        <v>7.2</v>
      </c>
      <c r="H649" t="n">
        <v>0</v>
      </c>
      <c r="I649" t="n">
        <v>0</v>
      </c>
      <c r="J649" t="n">
        <v>0</v>
      </c>
      <c r="K649" t="n">
        <v>0</v>
      </c>
      <c r="L649" t="n">
        <v>0</v>
      </c>
      <c r="M649" t="n">
        <v>0</v>
      </c>
      <c r="N649" t="n">
        <v>0</v>
      </c>
      <c r="O649" t="n">
        <v>0</v>
      </c>
      <c r="P649" t="n">
        <v>0</v>
      </c>
      <c r="Q649" t="n">
        <v>0</v>
      </c>
      <c r="R649" s="2" t="inlineStr"/>
    </row>
    <row r="650" ht="15" customHeight="1">
      <c r="A650" t="inlineStr">
        <is>
          <t>A 32874-2025</t>
        </is>
      </c>
      <c r="B650" s="1" t="n">
        <v>45839</v>
      </c>
      <c r="C650" s="1" t="n">
        <v>46051</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48748-2025</t>
        </is>
      </c>
      <c r="B651" s="1" t="n">
        <v>45936.67912037037</v>
      </c>
      <c r="C651" s="1" t="n">
        <v>46051</v>
      </c>
      <c r="D651" t="inlineStr">
        <is>
          <t>JÄMTLANDS LÄN</t>
        </is>
      </c>
      <c r="E651" t="inlineStr">
        <is>
          <t>RAGUNDA</t>
        </is>
      </c>
      <c r="F651" t="inlineStr">
        <is>
          <t>SCA</t>
        </is>
      </c>
      <c r="G651" t="n">
        <v>11.1</v>
      </c>
      <c r="H651" t="n">
        <v>0</v>
      </c>
      <c r="I651" t="n">
        <v>0</v>
      </c>
      <c r="J651" t="n">
        <v>0</v>
      </c>
      <c r="K651" t="n">
        <v>0</v>
      </c>
      <c r="L651" t="n">
        <v>0</v>
      </c>
      <c r="M651" t="n">
        <v>0</v>
      </c>
      <c r="N651" t="n">
        <v>0</v>
      </c>
      <c r="O651" t="n">
        <v>0</v>
      </c>
      <c r="P651" t="n">
        <v>0</v>
      </c>
      <c r="Q651" t="n">
        <v>0</v>
      </c>
      <c r="R651" s="2" t="inlineStr"/>
    </row>
    <row r="652" ht="15" customHeight="1">
      <c r="A652" t="inlineStr">
        <is>
          <t>A 37008-2025</t>
        </is>
      </c>
      <c r="B652" s="1" t="n">
        <v>45874.69844907407</v>
      </c>
      <c r="C652" s="1" t="n">
        <v>46051</v>
      </c>
      <c r="D652" t="inlineStr">
        <is>
          <t>JÄMTLANDS LÄN</t>
        </is>
      </c>
      <c r="E652" t="inlineStr">
        <is>
          <t>RAGUNDA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48746-2025</t>
        </is>
      </c>
      <c r="B653" s="1" t="n">
        <v>45936.67878472222</v>
      </c>
      <c r="C653" s="1" t="n">
        <v>46051</v>
      </c>
      <c r="D653" t="inlineStr">
        <is>
          <t>JÄMTLANDS LÄN</t>
        </is>
      </c>
      <c r="E653" t="inlineStr">
        <is>
          <t>RAGUNDA</t>
        </is>
      </c>
      <c r="F653" t="inlineStr">
        <is>
          <t>SCA</t>
        </is>
      </c>
      <c r="G653" t="n">
        <v>6.5</v>
      </c>
      <c r="H653" t="n">
        <v>0</v>
      </c>
      <c r="I653" t="n">
        <v>0</v>
      </c>
      <c r="J653" t="n">
        <v>0</v>
      </c>
      <c r="K653" t="n">
        <v>0</v>
      </c>
      <c r="L653" t="n">
        <v>0</v>
      </c>
      <c r="M653" t="n">
        <v>0</v>
      </c>
      <c r="N653" t="n">
        <v>0</v>
      </c>
      <c r="O653" t="n">
        <v>0</v>
      </c>
      <c r="P653" t="n">
        <v>0</v>
      </c>
      <c r="Q653" t="n">
        <v>0</v>
      </c>
      <c r="R653" s="2" t="inlineStr"/>
    </row>
    <row r="654" ht="15" customHeight="1">
      <c r="A654" t="inlineStr">
        <is>
          <t>A 37292-2025</t>
        </is>
      </c>
      <c r="B654" s="1" t="n">
        <v>45876.53188657408</v>
      </c>
      <c r="C654" s="1" t="n">
        <v>46051</v>
      </c>
      <c r="D654" t="inlineStr">
        <is>
          <t>JÄMTLANDS LÄN</t>
        </is>
      </c>
      <c r="E654" t="inlineStr">
        <is>
          <t>RAGUNDA</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49059-2025</t>
        </is>
      </c>
      <c r="B655" s="1" t="n">
        <v>45937.64123842592</v>
      </c>
      <c r="C655" s="1" t="n">
        <v>46051</v>
      </c>
      <c r="D655" t="inlineStr">
        <is>
          <t>JÄMTLANDS LÄN</t>
        </is>
      </c>
      <c r="E655" t="inlineStr">
        <is>
          <t>RAGUNDA</t>
        </is>
      </c>
      <c r="G655" t="n">
        <v>2.1</v>
      </c>
      <c r="H655" t="n">
        <v>0</v>
      </c>
      <c r="I655" t="n">
        <v>0</v>
      </c>
      <c r="J655" t="n">
        <v>0</v>
      </c>
      <c r="K655" t="n">
        <v>0</v>
      </c>
      <c r="L655" t="n">
        <v>0</v>
      </c>
      <c r="M655" t="n">
        <v>0</v>
      </c>
      <c r="N655" t="n">
        <v>0</v>
      </c>
      <c r="O655" t="n">
        <v>0</v>
      </c>
      <c r="P655" t="n">
        <v>0</v>
      </c>
      <c r="Q655" t="n">
        <v>0</v>
      </c>
      <c r="R655" s="2" t="inlineStr"/>
    </row>
    <row r="656" ht="15" customHeight="1">
      <c r="A656" t="inlineStr">
        <is>
          <t>A 49092-2025</t>
        </is>
      </c>
      <c r="B656" s="1" t="n">
        <v>45937.67792824074</v>
      </c>
      <c r="C656" s="1" t="n">
        <v>46051</v>
      </c>
      <c r="D656" t="inlineStr">
        <is>
          <t>JÄMTLANDS LÄN</t>
        </is>
      </c>
      <c r="E656" t="inlineStr">
        <is>
          <t>RAGUNDA</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49193-2025</t>
        </is>
      </c>
      <c r="B657" s="1" t="n">
        <v>45938.40831018519</v>
      </c>
      <c r="C657" s="1" t="n">
        <v>46051</v>
      </c>
      <c r="D657" t="inlineStr">
        <is>
          <t>JÄMTLANDS LÄN</t>
        </is>
      </c>
      <c r="E657" t="inlineStr">
        <is>
          <t>RAGUNDA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49290-2025</t>
        </is>
      </c>
      <c r="B658" s="1" t="n">
        <v>45938.53168981482</v>
      </c>
      <c r="C658" s="1" t="n">
        <v>46051</v>
      </c>
      <c r="D658" t="inlineStr">
        <is>
          <t>JÄMTLANDS LÄN</t>
        </is>
      </c>
      <c r="E658" t="inlineStr">
        <is>
          <t>RAGUNDA</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49238-2025</t>
        </is>
      </c>
      <c r="B659" s="1" t="n">
        <v>45938.48231481481</v>
      </c>
      <c r="C659" s="1" t="n">
        <v>46051</v>
      </c>
      <c r="D659" t="inlineStr">
        <is>
          <t>JÄMTLANDS LÄN</t>
        </is>
      </c>
      <c r="E659" t="inlineStr">
        <is>
          <t>RAGUNDA</t>
        </is>
      </c>
      <c r="G659" t="n">
        <v>4.7</v>
      </c>
      <c r="H659" t="n">
        <v>0</v>
      </c>
      <c r="I659" t="n">
        <v>0</v>
      </c>
      <c r="J659" t="n">
        <v>0</v>
      </c>
      <c r="K659" t="n">
        <v>0</v>
      </c>
      <c r="L659" t="n">
        <v>0</v>
      </c>
      <c r="M659" t="n">
        <v>0</v>
      </c>
      <c r="N659" t="n">
        <v>0</v>
      </c>
      <c r="O659" t="n">
        <v>0</v>
      </c>
      <c r="P659" t="n">
        <v>0</v>
      </c>
      <c r="Q659" t="n">
        <v>0</v>
      </c>
      <c r="R659" s="2" t="inlineStr"/>
    </row>
    <row r="660" ht="15" customHeight="1">
      <c r="A660" t="inlineStr">
        <is>
          <t>A 18375-2022</t>
        </is>
      </c>
      <c r="B660" s="1" t="n">
        <v>44685</v>
      </c>
      <c r="C660" s="1" t="n">
        <v>46051</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55536-2024</t>
        </is>
      </c>
      <c r="B661" s="1" t="n">
        <v>45622</v>
      </c>
      <c r="C661" s="1" t="n">
        <v>46051</v>
      </c>
      <c r="D661" t="inlineStr">
        <is>
          <t>JÄMTLANDS LÄN</t>
        </is>
      </c>
      <c r="E661" t="inlineStr">
        <is>
          <t>RAGUNDA</t>
        </is>
      </c>
      <c r="G661" t="n">
        <v>0.8</v>
      </c>
      <c r="H661" t="n">
        <v>0</v>
      </c>
      <c r="I661" t="n">
        <v>0</v>
      </c>
      <c r="J661" t="n">
        <v>0</v>
      </c>
      <c r="K661" t="n">
        <v>0</v>
      </c>
      <c r="L661" t="n">
        <v>0</v>
      </c>
      <c r="M661" t="n">
        <v>0</v>
      </c>
      <c r="N661" t="n">
        <v>0</v>
      </c>
      <c r="O661" t="n">
        <v>0</v>
      </c>
      <c r="P661" t="n">
        <v>0</v>
      </c>
      <c r="Q661" t="n">
        <v>0</v>
      </c>
      <c r="R661" s="2" t="inlineStr"/>
    </row>
    <row r="662" ht="15" customHeight="1">
      <c r="A662" t="inlineStr">
        <is>
          <t>A 49639-2025</t>
        </is>
      </c>
      <c r="B662" s="1" t="n">
        <v>45939.61253472222</v>
      </c>
      <c r="C662" s="1" t="n">
        <v>46051</v>
      </c>
      <c r="D662" t="inlineStr">
        <is>
          <t>JÄMTLANDS LÄN</t>
        </is>
      </c>
      <c r="E662" t="inlineStr">
        <is>
          <t>RAGUNDA</t>
        </is>
      </c>
      <c r="F662" t="inlineStr">
        <is>
          <t>Kommuner</t>
        </is>
      </c>
      <c r="G662" t="n">
        <v>13.6</v>
      </c>
      <c r="H662" t="n">
        <v>0</v>
      </c>
      <c r="I662" t="n">
        <v>0</v>
      </c>
      <c r="J662" t="n">
        <v>0</v>
      </c>
      <c r="K662" t="n">
        <v>0</v>
      </c>
      <c r="L662" t="n">
        <v>0</v>
      </c>
      <c r="M662" t="n">
        <v>0</v>
      </c>
      <c r="N662" t="n">
        <v>0</v>
      </c>
      <c r="O662" t="n">
        <v>0</v>
      </c>
      <c r="P662" t="n">
        <v>0</v>
      </c>
      <c r="Q662" t="n">
        <v>0</v>
      </c>
      <c r="R662" s="2" t="inlineStr"/>
    </row>
    <row r="663" ht="15" customHeight="1">
      <c r="A663" t="inlineStr">
        <is>
          <t>A 9504-2025</t>
        </is>
      </c>
      <c r="B663" s="1" t="n">
        <v>45714</v>
      </c>
      <c r="C663" s="1" t="n">
        <v>46051</v>
      </c>
      <c r="D663" t="inlineStr">
        <is>
          <t>JÄMTLANDS LÄN</t>
        </is>
      </c>
      <c r="E663" t="inlineStr">
        <is>
          <t>RAGUNDA</t>
        </is>
      </c>
      <c r="G663" t="n">
        <v>6</v>
      </c>
      <c r="H663" t="n">
        <v>0</v>
      </c>
      <c r="I663" t="n">
        <v>0</v>
      </c>
      <c r="J663" t="n">
        <v>0</v>
      </c>
      <c r="K663" t="n">
        <v>0</v>
      </c>
      <c r="L663" t="n">
        <v>0</v>
      </c>
      <c r="M663" t="n">
        <v>0</v>
      </c>
      <c r="N663" t="n">
        <v>0</v>
      </c>
      <c r="O663" t="n">
        <v>0</v>
      </c>
      <c r="P663" t="n">
        <v>0</v>
      </c>
      <c r="Q663" t="n">
        <v>0</v>
      </c>
      <c r="R663" s="2" t="inlineStr"/>
    </row>
    <row r="664" ht="15" customHeight="1">
      <c r="A664" t="inlineStr">
        <is>
          <t>A 2411-2023</t>
        </is>
      </c>
      <c r="B664" s="1" t="n">
        <v>44942</v>
      </c>
      <c r="C664" s="1" t="n">
        <v>46051</v>
      </c>
      <c r="D664" t="inlineStr">
        <is>
          <t>JÄMTLANDS LÄN</t>
        </is>
      </c>
      <c r="E664" t="inlineStr">
        <is>
          <t>RAGUNDA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11834-2023</t>
        </is>
      </c>
      <c r="B665" s="1" t="n">
        <v>44994.94296296296</v>
      </c>
      <c r="C665" s="1" t="n">
        <v>46051</v>
      </c>
      <c r="D665" t="inlineStr">
        <is>
          <t>JÄMTLANDS LÄN</t>
        </is>
      </c>
      <c r="E665" t="inlineStr">
        <is>
          <t>RAGUNDA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53264-2024</t>
        </is>
      </c>
      <c r="B666" s="1" t="n">
        <v>45614.34545138889</v>
      </c>
      <c r="C666" s="1" t="n">
        <v>46051</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34088-2025</t>
        </is>
      </c>
      <c r="B667" s="1" t="n">
        <v>45845</v>
      </c>
      <c r="C667" s="1" t="n">
        <v>46051</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49994-2025</t>
        </is>
      </c>
      <c r="B668" s="1" t="n">
        <v>45942.96922453704</v>
      </c>
      <c r="C668" s="1" t="n">
        <v>46051</v>
      </c>
      <c r="D668" t="inlineStr">
        <is>
          <t>JÄMTLANDS LÄN</t>
        </is>
      </c>
      <c r="E668" t="inlineStr">
        <is>
          <t>RAGUNDA</t>
        </is>
      </c>
      <c r="G668" t="n">
        <v>4.5</v>
      </c>
      <c r="H668" t="n">
        <v>0</v>
      </c>
      <c r="I668" t="n">
        <v>0</v>
      </c>
      <c r="J668" t="n">
        <v>0</v>
      </c>
      <c r="K668" t="n">
        <v>0</v>
      </c>
      <c r="L668" t="n">
        <v>0</v>
      </c>
      <c r="M668" t="n">
        <v>0</v>
      </c>
      <c r="N668" t="n">
        <v>0</v>
      </c>
      <c r="O668" t="n">
        <v>0</v>
      </c>
      <c r="P668" t="n">
        <v>0</v>
      </c>
      <c r="Q668" t="n">
        <v>0</v>
      </c>
      <c r="R668" s="2" t="inlineStr"/>
    </row>
    <row r="669" ht="15" customHeight="1">
      <c r="A669" t="inlineStr">
        <is>
          <t>A 49995-2025</t>
        </is>
      </c>
      <c r="B669" s="1" t="n">
        <v>45943.00986111111</v>
      </c>
      <c r="C669" s="1" t="n">
        <v>46051</v>
      </c>
      <c r="D669" t="inlineStr">
        <is>
          <t>JÄMTLANDS LÄN</t>
        </is>
      </c>
      <c r="E669" t="inlineStr">
        <is>
          <t>RAGUNDA</t>
        </is>
      </c>
      <c r="G669" t="n">
        <v>2.5</v>
      </c>
      <c r="H669" t="n">
        <v>0</v>
      </c>
      <c r="I669" t="n">
        <v>0</v>
      </c>
      <c r="J669" t="n">
        <v>0</v>
      </c>
      <c r="K669" t="n">
        <v>0</v>
      </c>
      <c r="L669" t="n">
        <v>0</v>
      </c>
      <c r="M669" t="n">
        <v>0</v>
      </c>
      <c r="N669" t="n">
        <v>0</v>
      </c>
      <c r="O669" t="n">
        <v>0</v>
      </c>
      <c r="P669" t="n">
        <v>0</v>
      </c>
      <c r="Q669" t="n">
        <v>0</v>
      </c>
      <c r="R669" s="2" t="inlineStr"/>
    </row>
    <row r="670" ht="15" customHeight="1">
      <c r="A670" t="inlineStr">
        <is>
          <t>A 50431-2024</t>
        </is>
      </c>
      <c r="B670" s="1" t="n">
        <v>45601.40686342592</v>
      </c>
      <c r="C670" s="1" t="n">
        <v>46051</v>
      </c>
      <c r="D670" t="inlineStr">
        <is>
          <t>JÄMTLANDS LÄN</t>
        </is>
      </c>
      <c r="E670" t="inlineStr">
        <is>
          <t>RAGUNDA</t>
        </is>
      </c>
      <c r="F670" t="inlineStr">
        <is>
          <t>SCA</t>
        </is>
      </c>
      <c r="G670" t="n">
        <v>8.5</v>
      </c>
      <c r="H670" t="n">
        <v>0</v>
      </c>
      <c r="I670" t="n">
        <v>0</v>
      </c>
      <c r="J670" t="n">
        <v>0</v>
      </c>
      <c r="K670" t="n">
        <v>0</v>
      </c>
      <c r="L670" t="n">
        <v>0</v>
      </c>
      <c r="M670" t="n">
        <v>0</v>
      </c>
      <c r="N670" t="n">
        <v>0</v>
      </c>
      <c r="O670" t="n">
        <v>0</v>
      </c>
      <c r="P670" t="n">
        <v>0</v>
      </c>
      <c r="Q670" t="n">
        <v>0</v>
      </c>
      <c r="R670" s="2" t="inlineStr"/>
    </row>
    <row r="671" ht="15" customHeight="1">
      <c r="A671" t="inlineStr">
        <is>
          <t>A 50098-2025</t>
        </is>
      </c>
      <c r="B671" s="1" t="n">
        <v>45943.51086805556</v>
      </c>
      <c r="C671" s="1" t="n">
        <v>46051</v>
      </c>
      <c r="D671" t="inlineStr">
        <is>
          <t>JÄMTLANDS LÄN</t>
        </is>
      </c>
      <c r="E671" t="inlineStr">
        <is>
          <t>RAGUNDA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50126-2025</t>
        </is>
      </c>
      <c r="B672" s="1" t="n">
        <v>45943.55271990741</v>
      </c>
      <c r="C672" s="1" t="n">
        <v>46051</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16334-2025</t>
        </is>
      </c>
      <c r="B673" s="1" t="n">
        <v>45751.36490740741</v>
      </c>
      <c r="C673" s="1" t="n">
        <v>46051</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50081-2025</t>
        </is>
      </c>
      <c r="B674" s="1" t="n">
        <v>45943.46954861111</v>
      </c>
      <c r="C674" s="1" t="n">
        <v>46051</v>
      </c>
      <c r="D674" t="inlineStr">
        <is>
          <t>JÄMTLANDS LÄN</t>
        </is>
      </c>
      <c r="E674" t="inlineStr">
        <is>
          <t>RAGUNDA</t>
        </is>
      </c>
      <c r="F674" t="inlineStr">
        <is>
          <t>SCA</t>
        </is>
      </c>
      <c r="G674" t="n">
        <v>4.2</v>
      </c>
      <c r="H674" t="n">
        <v>0</v>
      </c>
      <c r="I674" t="n">
        <v>0</v>
      </c>
      <c r="J674" t="n">
        <v>0</v>
      </c>
      <c r="K674" t="n">
        <v>0</v>
      </c>
      <c r="L674" t="n">
        <v>0</v>
      </c>
      <c r="M674" t="n">
        <v>0</v>
      </c>
      <c r="N674" t="n">
        <v>0</v>
      </c>
      <c r="O674" t="n">
        <v>0</v>
      </c>
      <c r="P674" t="n">
        <v>0</v>
      </c>
      <c r="Q674" t="n">
        <v>0</v>
      </c>
      <c r="R674" s="2" t="inlineStr"/>
    </row>
    <row r="675" ht="15" customHeight="1">
      <c r="A675" t="inlineStr">
        <is>
          <t>A 50260-2025</t>
        </is>
      </c>
      <c r="B675" s="1" t="n">
        <v>45944.34515046296</v>
      </c>
      <c r="C675" s="1" t="n">
        <v>46051</v>
      </c>
      <c r="D675" t="inlineStr">
        <is>
          <t>JÄMTLANDS LÄN</t>
        </is>
      </c>
      <c r="E675" t="inlineStr">
        <is>
          <t>RAGUNDA</t>
        </is>
      </c>
      <c r="F675" t="inlineStr">
        <is>
          <t>SCA</t>
        </is>
      </c>
      <c r="G675" t="n">
        <v>7.9</v>
      </c>
      <c r="H675" t="n">
        <v>0</v>
      </c>
      <c r="I675" t="n">
        <v>0</v>
      </c>
      <c r="J675" t="n">
        <v>0</v>
      </c>
      <c r="K675" t="n">
        <v>0</v>
      </c>
      <c r="L675" t="n">
        <v>0</v>
      </c>
      <c r="M675" t="n">
        <v>0</v>
      </c>
      <c r="N675" t="n">
        <v>0</v>
      </c>
      <c r="O675" t="n">
        <v>0</v>
      </c>
      <c r="P675" t="n">
        <v>0</v>
      </c>
      <c r="Q675" t="n">
        <v>0</v>
      </c>
      <c r="R675" s="2" t="inlineStr"/>
    </row>
    <row r="676" ht="15" customHeight="1">
      <c r="A676" t="inlineStr">
        <is>
          <t>A 50215-2025</t>
        </is>
      </c>
      <c r="B676" s="1" t="n">
        <v>45943.67842592593</v>
      </c>
      <c r="C676" s="1" t="n">
        <v>46051</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49991-2025</t>
        </is>
      </c>
      <c r="B677" s="1" t="n">
        <v>45942.91568287037</v>
      </c>
      <c r="C677" s="1" t="n">
        <v>46051</v>
      </c>
      <c r="D677" t="inlineStr">
        <is>
          <t>JÄMTLANDS LÄN</t>
        </is>
      </c>
      <c r="E677" t="inlineStr">
        <is>
          <t>RAGUNDA</t>
        </is>
      </c>
      <c r="G677" t="n">
        <v>9</v>
      </c>
      <c r="H677" t="n">
        <v>0</v>
      </c>
      <c r="I677" t="n">
        <v>0</v>
      </c>
      <c r="J677" t="n">
        <v>0</v>
      </c>
      <c r="K677" t="n">
        <v>0</v>
      </c>
      <c r="L677" t="n">
        <v>0</v>
      </c>
      <c r="M677" t="n">
        <v>0</v>
      </c>
      <c r="N677" t="n">
        <v>0</v>
      </c>
      <c r="O677" t="n">
        <v>0</v>
      </c>
      <c r="P677" t="n">
        <v>0</v>
      </c>
      <c r="Q677" t="n">
        <v>0</v>
      </c>
      <c r="R677" s="2" t="inlineStr"/>
    </row>
    <row r="678" ht="15" customHeight="1">
      <c r="A678" t="inlineStr">
        <is>
          <t>A 49993-2025</t>
        </is>
      </c>
      <c r="B678" s="1" t="n">
        <v>45942.94371527778</v>
      </c>
      <c r="C678" s="1" t="n">
        <v>46051</v>
      </c>
      <c r="D678" t="inlineStr">
        <is>
          <t>JÄMTLANDS LÄN</t>
        </is>
      </c>
      <c r="E678" t="inlineStr">
        <is>
          <t>RAGUNDA</t>
        </is>
      </c>
      <c r="G678" t="n">
        <v>1.5</v>
      </c>
      <c r="H678" t="n">
        <v>0</v>
      </c>
      <c r="I678" t="n">
        <v>0</v>
      </c>
      <c r="J678" t="n">
        <v>0</v>
      </c>
      <c r="K678" t="n">
        <v>0</v>
      </c>
      <c r="L678" t="n">
        <v>0</v>
      </c>
      <c r="M678" t="n">
        <v>0</v>
      </c>
      <c r="N678" t="n">
        <v>0</v>
      </c>
      <c r="O678" t="n">
        <v>0</v>
      </c>
      <c r="P678" t="n">
        <v>0</v>
      </c>
      <c r="Q678" t="n">
        <v>0</v>
      </c>
      <c r="R678" s="2" t="inlineStr"/>
    </row>
    <row r="679" ht="15" customHeight="1">
      <c r="A679" t="inlineStr">
        <is>
          <t>A 50125-2025</t>
        </is>
      </c>
      <c r="B679" s="1" t="n">
        <v>45943.55262731481</v>
      </c>
      <c r="C679" s="1" t="n">
        <v>46051</v>
      </c>
      <c r="D679" t="inlineStr">
        <is>
          <t>JÄMTLANDS LÄN</t>
        </is>
      </c>
      <c r="E679" t="inlineStr">
        <is>
          <t>RAGUNDA</t>
        </is>
      </c>
      <c r="F679" t="inlineStr">
        <is>
          <t>Sveaskog</t>
        </is>
      </c>
      <c r="G679" t="n">
        <v>23.2</v>
      </c>
      <c r="H679" t="n">
        <v>0</v>
      </c>
      <c r="I679" t="n">
        <v>0</v>
      </c>
      <c r="J679" t="n">
        <v>0</v>
      </c>
      <c r="K679" t="n">
        <v>0</v>
      </c>
      <c r="L679" t="n">
        <v>0</v>
      </c>
      <c r="M679" t="n">
        <v>0</v>
      </c>
      <c r="N679" t="n">
        <v>0</v>
      </c>
      <c r="O679" t="n">
        <v>0</v>
      </c>
      <c r="P679" t="n">
        <v>0</v>
      </c>
      <c r="Q679" t="n">
        <v>0</v>
      </c>
      <c r="R679" s="2" t="inlineStr"/>
    </row>
    <row r="680" ht="15" customHeight="1">
      <c r="A680" t="inlineStr">
        <is>
          <t>A 50080-2025</t>
        </is>
      </c>
      <c r="B680" s="1" t="n">
        <v>45943.469375</v>
      </c>
      <c r="C680" s="1" t="n">
        <v>46051</v>
      </c>
      <c r="D680" t="inlineStr">
        <is>
          <t>JÄMTLANDS LÄN</t>
        </is>
      </c>
      <c r="E680" t="inlineStr">
        <is>
          <t>RAGUNDA</t>
        </is>
      </c>
      <c r="F680" t="inlineStr">
        <is>
          <t>Naturvårdsverket</t>
        </is>
      </c>
      <c r="G680" t="n">
        <v>6.1</v>
      </c>
      <c r="H680" t="n">
        <v>0</v>
      </c>
      <c r="I680" t="n">
        <v>0</v>
      </c>
      <c r="J680" t="n">
        <v>0</v>
      </c>
      <c r="K680" t="n">
        <v>0</v>
      </c>
      <c r="L680" t="n">
        <v>0</v>
      </c>
      <c r="M680" t="n">
        <v>0</v>
      </c>
      <c r="N680" t="n">
        <v>0</v>
      </c>
      <c r="O680" t="n">
        <v>0</v>
      </c>
      <c r="P680" t="n">
        <v>0</v>
      </c>
      <c r="Q680" t="n">
        <v>0</v>
      </c>
      <c r="R680" s="2" t="inlineStr"/>
    </row>
    <row r="681" ht="15" customHeight="1">
      <c r="A681" t="inlineStr">
        <is>
          <t>A 50055-2025</t>
        </is>
      </c>
      <c r="B681" s="1" t="n">
        <v>45943.43287037037</v>
      </c>
      <c r="C681" s="1" t="n">
        <v>46051</v>
      </c>
      <c r="D681" t="inlineStr">
        <is>
          <t>JÄMTLANDS LÄN</t>
        </is>
      </c>
      <c r="E681" t="inlineStr">
        <is>
          <t>RAGUNDA</t>
        </is>
      </c>
      <c r="G681" t="n">
        <v>17.6</v>
      </c>
      <c r="H681" t="n">
        <v>0</v>
      </c>
      <c r="I681" t="n">
        <v>0</v>
      </c>
      <c r="J681" t="n">
        <v>0</v>
      </c>
      <c r="K681" t="n">
        <v>0</v>
      </c>
      <c r="L681" t="n">
        <v>0</v>
      </c>
      <c r="M681" t="n">
        <v>0</v>
      </c>
      <c r="N681" t="n">
        <v>0</v>
      </c>
      <c r="O681" t="n">
        <v>0</v>
      </c>
      <c r="P681" t="n">
        <v>0</v>
      </c>
      <c r="Q681" t="n">
        <v>0</v>
      </c>
      <c r="R681" s="2" t="inlineStr"/>
    </row>
    <row r="682" ht="15" customHeight="1">
      <c r="A682" t="inlineStr">
        <is>
          <t>A 33650-2025</t>
        </is>
      </c>
      <c r="B682" s="1" t="n">
        <v>45841</v>
      </c>
      <c r="C682" s="1" t="n">
        <v>46051</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7284-2024</t>
        </is>
      </c>
      <c r="B683" s="1" t="n">
        <v>45344.92865740741</v>
      </c>
      <c r="C683" s="1" t="n">
        <v>46051</v>
      </c>
      <c r="D683" t="inlineStr">
        <is>
          <t>JÄMTLANDS LÄN</t>
        </is>
      </c>
      <c r="E683" t="inlineStr">
        <is>
          <t>RAGUNDA</t>
        </is>
      </c>
      <c r="G683" t="n">
        <v>2.1</v>
      </c>
      <c r="H683" t="n">
        <v>0</v>
      </c>
      <c r="I683" t="n">
        <v>0</v>
      </c>
      <c r="J683" t="n">
        <v>0</v>
      </c>
      <c r="K683" t="n">
        <v>0</v>
      </c>
      <c r="L683" t="n">
        <v>0</v>
      </c>
      <c r="M683" t="n">
        <v>0</v>
      </c>
      <c r="N683" t="n">
        <v>0</v>
      </c>
      <c r="O683" t="n">
        <v>0</v>
      </c>
      <c r="P683" t="n">
        <v>0</v>
      </c>
      <c r="Q683" t="n">
        <v>0</v>
      </c>
      <c r="R683" s="2" t="inlineStr"/>
    </row>
    <row r="684" ht="15" customHeight="1">
      <c r="A684" t="inlineStr">
        <is>
          <t>A 7285-2024</t>
        </is>
      </c>
      <c r="B684" s="1" t="n">
        <v>45344.92873842592</v>
      </c>
      <c r="C684" s="1" t="n">
        <v>46051</v>
      </c>
      <c r="D684" t="inlineStr">
        <is>
          <t>JÄMTLANDS LÄN</t>
        </is>
      </c>
      <c r="E684" t="inlineStr">
        <is>
          <t>RAGUNDA</t>
        </is>
      </c>
      <c r="G684" t="n">
        <v>0.5</v>
      </c>
      <c r="H684" t="n">
        <v>0</v>
      </c>
      <c r="I684" t="n">
        <v>0</v>
      </c>
      <c r="J684" t="n">
        <v>0</v>
      </c>
      <c r="K684" t="n">
        <v>0</v>
      </c>
      <c r="L684" t="n">
        <v>0</v>
      </c>
      <c r="M684" t="n">
        <v>0</v>
      </c>
      <c r="N684" t="n">
        <v>0</v>
      </c>
      <c r="O684" t="n">
        <v>0</v>
      </c>
      <c r="P684" t="n">
        <v>0</v>
      </c>
      <c r="Q684" t="n">
        <v>0</v>
      </c>
      <c r="R684" s="2" t="inlineStr"/>
    </row>
    <row r="685" ht="15" customHeight="1">
      <c r="A685" t="inlineStr">
        <is>
          <t>A 50504-2025</t>
        </is>
      </c>
      <c r="B685" s="1" t="n">
        <v>45945.4284837963</v>
      </c>
      <c r="C685" s="1" t="n">
        <v>46051</v>
      </c>
      <c r="D685" t="inlineStr">
        <is>
          <t>JÄMTLANDS LÄN</t>
        </is>
      </c>
      <c r="E685" t="inlineStr">
        <is>
          <t>RAGUNDA</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2242-2024</t>
        </is>
      </c>
      <c r="B686" s="1" t="n">
        <v>45309</v>
      </c>
      <c r="C686" s="1" t="n">
        <v>46051</v>
      </c>
      <c r="D686" t="inlineStr">
        <is>
          <t>JÄMTLANDS LÄN</t>
        </is>
      </c>
      <c r="E686" t="inlineStr">
        <is>
          <t>RAGUNDA</t>
        </is>
      </c>
      <c r="G686" t="n">
        <v>0.9</v>
      </c>
      <c r="H686" t="n">
        <v>0</v>
      </c>
      <c r="I686" t="n">
        <v>0</v>
      </c>
      <c r="J686" t="n">
        <v>0</v>
      </c>
      <c r="K686" t="n">
        <v>0</v>
      </c>
      <c r="L686" t="n">
        <v>0</v>
      </c>
      <c r="M686" t="n">
        <v>0</v>
      </c>
      <c r="N686" t="n">
        <v>0</v>
      </c>
      <c r="O686" t="n">
        <v>0</v>
      </c>
      <c r="P686" t="n">
        <v>0</v>
      </c>
      <c r="Q686" t="n">
        <v>0</v>
      </c>
      <c r="R686" s="2" t="inlineStr"/>
    </row>
    <row r="687" ht="15" customHeight="1">
      <c r="A687" t="inlineStr">
        <is>
          <t>A 2248-2024</t>
        </is>
      </c>
      <c r="B687" s="1" t="n">
        <v>45309</v>
      </c>
      <c r="C687" s="1" t="n">
        <v>46051</v>
      </c>
      <c r="D687" t="inlineStr">
        <is>
          <t>JÄMTLANDS LÄN</t>
        </is>
      </c>
      <c r="E687" t="inlineStr">
        <is>
          <t>RAGUNDA</t>
        </is>
      </c>
      <c r="G687" t="n">
        <v>4.2</v>
      </c>
      <c r="H687" t="n">
        <v>0</v>
      </c>
      <c r="I687" t="n">
        <v>0</v>
      </c>
      <c r="J687" t="n">
        <v>0</v>
      </c>
      <c r="K687" t="n">
        <v>0</v>
      </c>
      <c r="L687" t="n">
        <v>0</v>
      </c>
      <c r="M687" t="n">
        <v>0</v>
      </c>
      <c r="N687" t="n">
        <v>0</v>
      </c>
      <c r="O687" t="n">
        <v>0</v>
      </c>
      <c r="P687" t="n">
        <v>0</v>
      </c>
      <c r="Q687" t="n">
        <v>0</v>
      </c>
      <c r="R687" s="2" t="inlineStr"/>
    </row>
    <row r="688" ht="15" customHeight="1">
      <c r="A688" t="inlineStr">
        <is>
          <t>A 5958-2021</t>
        </is>
      </c>
      <c r="B688" s="1" t="n">
        <v>44231</v>
      </c>
      <c r="C688" s="1" t="n">
        <v>46051</v>
      </c>
      <c r="D688" t="inlineStr">
        <is>
          <t>JÄMTLANDS LÄN</t>
        </is>
      </c>
      <c r="E688" t="inlineStr">
        <is>
          <t>RAGUNDA</t>
        </is>
      </c>
      <c r="G688" t="n">
        <v>3.1</v>
      </c>
      <c r="H688" t="n">
        <v>0</v>
      </c>
      <c r="I688" t="n">
        <v>0</v>
      </c>
      <c r="J688" t="n">
        <v>0</v>
      </c>
      <c r="K688" t="n">
        <v>0</v>
      </c>
      <c r="L688" t="n">
        <v>0</v>
      </c>
      <c r="M688" t="n">
        <v>0</v>
      </c>
      <c r="N688" t="n">
        <v>0</v>
      </c>
      <c r="O688" t="n">
        <v>0</v>
      </c>
      <c r="P688" t="n">
        <v>0</v>
      </c>
      <c r="Q688" t="n">
        <v>0</v>
      </c>
      <c r="R688" s="2" t="inlineStr"/>
    </row>
    <row r="689" ht="15" customHeight="1">
      <c r="A689" t="inlineStr">
        <is>
          <t>A 50473-2025</t>
        </is>
      </c>
      <c r="B689" s="1" t="n">
        <v>45945.36520833334</v>
      </c>
      <c r="C689" s="1" t="n">
        <v>46051</v>
      </c>
      <c r="D689" t="inlineStr">
        <is>
          <t>JÄMTLANDS LÄN</t>
        </is>
      </c>
      <c r="E689" t="inlineStr">
        <is>
          <t>RAGUNDA</t>
        </is>
      </c>
      <c r="F689" t="inlineStr">
        <is>
          <t>SCA</t>
        </is>
      </c>
      <c r="G689" t="n">
        <v>11.2</v>
      </c>
      <c r="H689" t="n">
        <v>0</v>
      </c>
      <c r="I689" t="n">
        <v>0</v>
      </c>
      <c r="J689" t="n">
        <v>0</v>
      </c>
      <c r="K689" t="n">
        <v>0</v>
      </c>
      <c r="L689" t="n">
        <v>0</v>
      </c>
      <c r="M689" t="n">
        <v>0</v>
      </c>
      <c r="N689" t="n">
        <v>0</v>
      </c>
      <c r="O689" t="n">
        <v>0</v>
      </c>
      <c r="P689" t="n">
        <v>0</v>
      </c>
      <c r="Q689" t="n">
        <v>0</v>
      </c>
      <c r="R689" s="2" t="inlineStr"/>
    </row>
    <row r="690" ht="15" customHeight="1">
      <c r="A690" t="inlineStr">
        <is>
          <t>A 24197-2024</t>
        </is>
      </c>
      <c r="B690" s="1" t="n">
        <v>45456.96601851852</v>
      </c>
      <c r="C690" s="1" t="n">
        <v>46051</v>
      </c>
      <c r="D690" t="inlineStr">
        <is>
          <t>JÄMTLANDS LÄN</t>
        </is>
      </c>
      <c r="E690" t="inlineStr">
        <is>
          <t>RAGUNDA</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4916-2025</t>
        </is>
      </c>
      <c r="B691" s="1" t="n">
        <v>45688.68196759259</v>
      </c>
      <c r="C691" s="1" t="n">
        <v>46051</v>
      </c>
      <c r="D691" t="inlineStr">
        <is>
          <t>JÄMTLANDS LÄN</t>
        </is>
      </c>
      <c r="E691" t="inlineStr">
        <is>
          <t>RAGUNDA</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50503-2025</t>
        </is>
      </c>
      <c r="B692" s="1" t="n">
        <v>45945.42746527777</v>
      </c>
      <c r="C692" s="1" t="n">
        <v>46051</v>
      </c>
      <c r="D692" t="inlineStr">
        <is>
          <t>JÄMTLANDS LÄN</t>
        </is>
      </c>
      <c r="E692" t="inlineStr">
        <is>
          <t>RAGUNDA</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50719-2025</t>
        </is>
      </c>
      <c r="B693" s="1" t="n">
        <v>45946.34642361111</v>
      </c>
      <c r="C693" s="1" t="n">
        <v>46051</v>
      </c>
      <c r="D693" t="inlineStr">
        <is>
          <t>JÄMTLANDS LÄN</t>
        </is>
      </c>
      <c r="E693" t="inlineStr">
        <is>
          <t>RAGUNDA</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50711-2025</t>
        </is>
      </c>
      <c r="B694" s="1" t="n">
        <v>45946.34431712963</v>
      </c>
      <c r="C694" s="1" t="n">
        <v>46051</v>
      </c>
      <c r="D694" t="inlineStr">
        <is>
          <t>JÄMTLANDS LÄN</t>
        </is>
      </c>
      <c r="E694" t="inlineStr">
        <is>
          <t>RAGUNDA</t>
        </is>
      </c>
      <c r="F694" t="inlineStr">
        <is>
          <t>SCA</t>
        </is>
      </c>
      <c r="G694" t="n">
        <v>8</v>
      </c>
      <c r="H694" t="n">
        <v>0</v>
      </c>
      <c r="I694" t="n">
        <v>0</v>
      </c>
      <c r="J694" t="n">
        <v>0</v>
      </c>
      <c r="K694" t="n">
        <v>0</v>
      </c>
      <c r="L694" t="n">
        <v>0</v>
      </c>
      <c r="M694" t="n">
        <v>0</v>
      </c>
      <c r="N694" t="n">
        <v>0</v>
      </c>
      <c r="O694" t="n">
        <v>0</v>
      </c>
      <c r="P694" t="n">
        <v>0</v>
      </c>
      <c r="Q694" t="n">
        <v>0</v>
      </c>
      <c r="R694" s="2" t="inlineStr"/>
    </row>
    <row r="695" ht="15" customHeight="1">
      <c r="A695" t="inlineStr">
        <is>
          <t>A 50716-2025</t>
        </is>
      </c>
      <c r="B695" s="1" t="n">
        <v>45946.34572916666</v>
      </c>
      <c r="C695" s="1" t="n">
        <v>46051</v>
      </c>
      <c r="D695" t="inlineStr">
        <is>
          <t>JÄMTLANDS LÄN</t>
        </is>
      </c>
      <c r="E695" t="inlineStr">
        <is>
          <t>RAGUNDA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51395-2025</t>
        </is>
      </c>
      <c r="B696" s="1" t="n">
        <v>45950.46989583333</v>
      </c>
      <c r="C696" s="1" t="n">
        <v>46051</v>
      </c>
      <c r="D696" t="inlineStr">
        <is>
          <t>JÄMTLANDS LÄN</t>
        </is>
      </c>
      <c r="E696" t="inlineStr">
        <is>
          <t>RAGUNDA</t>
        </is>
      </c>
      <c r="F696" t="inlineStr">
        <is>
          <t>SCA</t>
        </is>
      </c>
      <c r="G696" t="n">
        <v>30.7</v>
      </c>
      <c r="H696" t="n">
        <v>0</v>
      </c>
      <c r="I696" t="n">
        <v>0</v>
      </c>
      <c r="J696" t="n">
        <v>0</v>
      </c>
      <c r="K696" t="n">
        <v>0</v>
      </c>
      <c r="L696" t="n">
        <v>0</v>
      </c>
      <c r="M696" t="n">
        <v>0</v>
      </c>
      <c r="N696" t="n">
        <v>0</v>
      </c>
      <c r="O696" t="n">
        <v>0</v>
      </c>
      <c r="P696" t="n">
        <v>0</v>
      </c>
      <c r="Q696" t="n">
        <v>0</v>
      </c>
      <c r="R696" s="2" t="inlineStr"/>
    </row>
    <row r="697" ht="15" customHeight="1">
      <c r="A697" t="inlineStr">
        <is>
          <t>A 50985-2025</t>
        </is>
      </c>
      <c r="B697" s="1" t="n">
        <v>45947.34506944445</v>
      </c>
      <c r="C697" s="1" t="n">
        <v>46051</v>
      </c>
      <c r="D697" t="inlineStr">
        <is>
          <t>JÄMTLANDS LÄN</t>
        </is>
      </c>
      <c r="E697" t="inlineStr">
        <is>
          <t>RAGUNDA</t>
        </is>
      </c>
      <c r="F697" t="inlineStr">
        <is>
          <t>SCA</t>
        </is>
      </c>
      <c r="G697" t="n">
        <v>8</v>
      </c>
      <c r="H697" t="n">
        <v>0</v>
      </c>
      <c r="I697" t="n">
        <v>0</v>
      </c>
      <c r="J697" t="n">
        <v>0</v>
      </c>
      <c r="K697" t="n">
        <v>0</v>
      </c>
      <c r="L697" t="n">
        <v>0</v>
      </c>
      <c r="M697" t="n">
        <v>0</v>
      </c>
      <c r="N697" t="n">
        <v>0</v>
      </c>
      <c r="O697" t="n">
        <v>0</v>
      </c>
      <c r="P697" t="n">
        <v>0</v>
      </c>
      <c r="Q697" t="n">
        <v>0</v>
      </c>
      <c r="R697" s="2" t="inlineStr"/>
    </row>
    <row r="698" ht="15" customHeight="1">
      <c r="A698" t="inlineStr">
        <is>
          <t>A 23305-2023</t>
        </is>
      </c>
      <c r="B698" s="1" t="n">
        <v>45075.94506944445</v>
      </c>
      <c r="C698" s="1" t="n">
        <v>46051</v>
      </c>
      <c r="D698" t="inlineStr">
        <is>
          <t>JÄMTLANDS LÄN</t>
        </is>
      </c>
      <c r="E698" t="inlineStr">
        <is>
          <t>RAGUNDA</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51034-2025</t>
        </is>
      </c>
      <c r="B699" s="1" t="n">
        <v>45947.40670138889</v>
      </c>
      <c r="C699" s="1" t="n">
        <v>46051</v>
      </c>
      <c r="D699" t="inlineStr">
        <is>
          <t>JÄMTLANDS LÄN</t>
        </is>
      </c>
      <c r="E699" t="inlineStr">
        <is>
          <t>RAGUNDA</t>
        </is>
      </c>
      <c r="F699" t="inlineStr">
        <is>
          <t>SCA</t>
        </is>
      </c>
      <c r="G699" t="n">
        <v>44.1</v>
      </c>
      <c r="H699" t="n">
        <v>0</v>
      </c>
      <c r="I699" t="n">
        <v>0</v>
      </c>
      <c r="J699" t="n">
        <v>0</v>
      </c>
      <c r="K699" t="n">
        <v>0</v>
      </c>
      <c r="L699" t="n">
        <v>0</v>
      </c>
      <c r="M699" t="n">
        <v>0</v>
      </c>
      <c r="N699" t="n">
        <v>0</v>
      </c>
      <c r="O699" t="n">
        <v>0</v>
      </c>
      <c r="P699" t="n">
        <v>0</v>
      </c>
      <c r="Q699" t="n">
        <v>0</v>
      </c>
      <c r="R699" s="2" t="inlineStr"/>
    </row>
    <row r="700" ht="15" customHeight="1">
      <c r="A700" t="inlineStr">
        <is>
          <t>A 51019-2025</t>
        </is>
      </c>
      <c r="B700" s="1" t="n">
        <v>45947.38623842593</v>
      </c>
      <c r="C700" s="1" t="n">
        <v>46051</v>
      </c>
      <c r="D700" t="inlineStr">
        <is>
          <t>JÄMTLANDS LÄN</t>
        </is>
      </c>
      <c r="E700" t="inlineStr">
        <is>
          <t>RAGUNDA</t>
        </is>
      </c>
      <c r="F700" t="inlineStr">
        <is>
          <t>SCA</t>
        </is>
      </c>
      <c r="G700" t="n">
        <v>4</v>
      </c>
      <c r="H700" t="n">
        <v>0</v>
      </c>
      <c r="I700" t="n">
        <v>0</v>
      </c>
      <c r="J700" t="n">
        <v>0</v>
      </c>
      <c r="K700" t="n">
        <v>0</v>
      </c>
      <c r="L700" t="n">
        <v>0</v>
      </c>
      <c r="M700" t="n">
        <v>0</v>
      </c>
      <c r="N700" t="n">
        <v>0</v>
      </c>
      <c r="O700" t="n">
        <v>0</v>
      </c>
      <c r="P700" t="n">
        <v>0</v>
      </c>
      <c r="Q700" t="n">
        <v>0</v>
      </c>
      <c r="R700" s="2" t="inlineStr"/>
    </row>
    <row r="701" ht="15" customHeight="1">
      <c r="A701" t="inlineStr">
        <is>
          <t>A 51394-2025</t>
        </is>
      </c>
      <c r="B701" s="1" t="n">
        <v>45950.46972222222</v>
      </c>
      <c r="C701" s="1" t="n">
        <v>46051</v>
      </c>
      <c r="D701" t="inlineStr">
        <is>
          <t>JÄMTLANDS LÄN</t>
        </is>
      </c>
      <c r="E701" t="inlineStr">
        <is>
          <t>RAGUNDA</t>
        </is>
      </c>
      <c r="F701" t="inlineStr">
        <is>
          <t>SCA</t>
        </is>
      </c>
      <c r="G701" t="n">
        <v>36.5</v>
      </c>
      <c r="H701" t="n">
        <v>0</v>
      </c>
      <c r="I701" t="n">
        <v>0</v>
      </c>
      <c r="J701" t="n">
        <v>0</v>
      </c>
      <c r="K701" t="n">
        <v>0</v>
      </c>
      <c r="L701" t="n">
        <v>0</v>
      </c>
      <c r="M701" t="n">
        <v>0</v>
      </c>
      <c r="N701" t="n">
        <v>0</v>
      </c>
      <c r="O701" t="n">
        <v>0</v>
      </c>
      <c r="P701" t="n">
        <v>0</v>
      </c>
      <c r="Q701" t="n">
        <v>0</v>
      </c>
      <c r="R701" s="2" t="inlineStr"/>
    </row>
    <row r="702" ht="15" customHeight="1">
      <c r="A702" t="inlineStr">
        <is>
          <t>A 51484-2025</t>
        </is>
      </c>
      <c r="B702" s="1" t="n">
        <v>45950.62196759259</v>
      </c>
      <c r="C702" s="1" t="n">
        <v>46051</v>
      </c>
      <c r="D702" t="inlineStr">
        <is>
          <t>JÄMTLANDS LÄN</t>
        </is>
      </c>
      <c r="E702" t="inlineStr">
        <is>
          <t>RAGUNDA</t>
        </is>
      </c>
      <c r="F702" t="inlineStr">
        <is>
          <t>SCA</t>
        </is>
      </c>
      <c r="G702" t="n">
        <v>23.1</v>
      </c>
      <c r="H702" t="n">
        <v>0</v>
      </c>
      <c r="I702" t="n">
        <v>0</v>
      </c>
      <c r="J702" t="n">
        <v>0</v>
      </c>
      <c r="K702" t="n">
        <v>0</v>
      </c>
      <c r="L702" t="n">
        <v>0</v>
      </c>
      <c r="M702" t="n">
        <v>0</v>
      </c>
      <c r="N702" t="n">
        <v>0</v>
      </c>
      <c r="O702" t="n">
        <v>0</v>
      </c>
      <c r="P702" t="n">
        <v>0</v>
      </c>
      <c r="Q702" t="n">
        <v>0</v>
      </c>
      <c r="R702" s="2" t="inlineStr"/>
    </row>
    <row r="703" ht="15" customHeight="1">
      <c r="A703" t="inlineStr">
        <is>
          <t>A 51491-2025</t>
        </is>
      </c>
      <c r="B703" s="1" t="n">
        <v>45950.63362268519</v>
      </c>
      <c r="C703" s="1" t="n">
        <v>46051</v>
      </c>
      <c r="D703" t="inlineStr">
        <is>
          <t>JÄMTLANDS LÄN</t>
        </is>
      </c>
      <c r="E703" t="inlineStr">
        <is>
          <t>RAGUNDA</t>
        </is>
      </c>
      <c r="G703" t="n">
        <v>1.1</v>
      </c>
      <c r="H703" t="n">
        <v>0</v>
      </c>
      <c r="I703" t="n">
        <v>0</v>
      </c>
      <c r="J703" t="n">
        <v>0</v>
      </c>
      <c r="K703" t="n">
        <v>0</v>
      </c>
      <c r="L703" t="n">
        <v>0</v>
      </c>
      <c r="M703" t="n">
        <v>0</v>
      </c>
      <c r="N703" t="n">
        <v>0</v>
      </c>
      <c r="O703" t="n">
        <v>0</v>
      </c>
      <c r="P703" t="n">
        <v>0</v>
      </c>
      <c r="Q703" t="n">
        <v>0</v>
      </c>
      <c r="R703" s="2" t="inlineStr"/>
    </row>
    <row r="704" ht="15" customHeight="1">
      <c r="A704" t="inlineStr">
        <is>
          <t>A 4615-2023</t>
        </is>
      </c>
      <c r="B704" s="1" t="n">
        <v>44956.93924768519</v>
      </c>
      <c r="C704" s="1" t="n">
        <v>46051</v>
      </c>
      <c r="D704" t="inlineStr">
        <is>
          <t>JÄMTLANDS LÄN</t>
        </is>
      </c>
      <c r="E704" t="inlineStr">
        <is>
          <t>RAGUNDA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2673-2024</t>
        </is>
      </c>
      <c r="B705" s="1" t="n">
        <v>45314</v>
      </c>
      <c r="C705" s="1" t="n">
        <v>46051</v>
      </c>
      <c r="D705" t="inlineStr">
        <is>
          <t>JÄMTLANDS LÄN</t>
        </is>
      </c>
      <c r="E705" t="inlineStr">
        <is>
          <t>RAGUNDA</t>
        </is>
      </c>
      <c r="G705" t="n">
        <v>0.9</v>
      </c>
      <c r="H705" t="n">
        <v>0</v>
      </c>
      <c r="I705" t="n">
        <v>0</v>
      </c>
      <c r="J705" t="n">
        <v>0</v>
      </c>
      <c r="K705" t="n">
        <v>0</v>
      </c>
      <c r="L705" t="n">
        <v>0</v>
      </c>
      <c r="M705" t="n">
        <v>0</v>
      </c>
      <c r="N705" t="n">
        <v>0</v>
      </c>
      <c r="O705" t="n">
        <v>0</v>
      </c>
      <c r="P705" t="n">
        <v>0</v>
      </c>
      <c r="Q705" t="n">
        <v>0</v>
      </c>
      <c r="R705" s="2" t="inlineStr"/>
    </row>
    <row r="706" ht="15" customHeight="1">
      <c r="A706" t="inlineStr">
        <is>
          <t>A 57112-2024</t>
        </is>
      </c>
      <c r="B706" s="1" t="n">
        <v>45629.36486111111</v>
      </c>
      <c r="C706" s="1" t="n">
        <v>46051</v>
      </c>
      <c r="D706" t="inlineStr">
        <is>
          <t>JÄMTLANDS LÄN</t>
        </is>
      </c>
      <c r="E706" t="inlineStr">
        <is>
          <t>RAGUNDA</t>
        </is>
      </c>
      <c r="G706" t="n">
        <v>0.7</v>
      </c>
      <c r="H706" t="n">
        <v>0</v>
      </c>
      <c r="I706" t="n">
        <v>0</v>
      </c>
      <c r="J706" t="n">
        <v>0</v>
      </c>
      <c r="K706" t="n">
        <v>0</v>
      </c>
      <c r="L706" t="n">
        <v>0</v>
      </c>
      <c r="M706" t="n">
        <v>0</v>
      </c>
      <c r="N706" t="n">
        <v>0</v>
      </c>
      <c r="O706" t="n">
        <v>0</v>
      </c>
      <c r="P706" t="n">
        <v>0</v>
      </c>
      <c r="Q706" t="n">
        <v>0</v>
      </c>
      <c r="R706" s="2" t="inlineStr"/>
    </row>
    <row r="707" ht="15" customHeight="1">
      <c r="A707" t="inlineStr">
        <is>
          <t>A 36375-2022</t>
        </is>
      </c>
      <c r="B707" s="1" t="n">
        <v>44803.94351851852</v>
      </c>
      <c r="C707" s="1" t="n">
        <v>46051</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17667-2025</t>
        </is>
      </c>
      <c r="B708" s="1" t="n">
        <v>45758.36487268518</v>
      </c>
      <c r="C708" s="1" t="n">
        <v>46051</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51702-2025</t>
        </is>
      </c>
      <c r="B709" s="1" t="n">
        <v>45951.55305555555</v>
      </c>
      <c r="C709" s="1" t="n">
        <v>46051</v>
      </c>
      <c r="D709" t="inlineStr">
        <is>
          <t>JÄMTLANDS LÄN</t>
        </is>
      </c>
      <c r="E709" t="inlineStr">
        <is>
          <t>RAGUNDA</t>
        </is>
      </c>
      <c r="G709" t="n">
        <v>11.4</v>
      </c>
      <c r="H709" t="n">
        <v>0</v>
      </c>
      <c r="I709" t="n">
        <v>0</v>
      </c>
      <c r="J709" t="n">
        <v>0</v>
      </c>
      <c r="K709" t="n">
        <v>0</v>
      </c>
      <c r="L709" t="n">
        <v>0</v>
      </c>
      <c r="M709" t="n">
        <v>0</v>
      </c>
      <c r="N709" t="n">
        <v>0</v>
      </c>
      <c r="O709" t="n">
        <v>0</v>
      </c>
      <c r="P709" t="n">
        <v>0</v>
      </c>
      <c r="Q709" t="n">
        <v>0</v>
      </c>
      <c r="R709" s="2" t="inlineStr"/>
    </row>
    <row r="710" ht="15" customHeight="1">
      <c r="A710" t="inlineStr">
        <is>
          <t>A 5148-2023</t>
        </is>
      </c>
      <c r="B710" s="1" t="n">
        <v>44958</v>
      </c>
      <c r="C710" s="1" t="n">
        <v>46051</v>
      </c>
      <c r="D710" t="inlineStr">
        <is>
          <t>JÄMTLANDS LÄN</t>
        </is>
      </c>
      <c r="E710" t="inlineStr">
        <is>
          <t>RAGUNDA</t>
        </is>
      </c>
      <c r="G710" t="n">
        <v>2.9</v>
      </c>
      <c r="H710" t="n">
        <v>0</v>
      </c>
      <c r="I710" t="n">
        <v>0</v>
      </c>
      <c r="J710" t="n">
        <v>0</v>
      </c>
      <c r="K710" t="n">
        <v>0</v>
      </c>
      <c r="L710" t="n">
        <v>0</v>
      </c>
      <c r="M710" t="n">
        <v>0</v>
      </c>
      <c r="N710" t="n">
        <v>0</v>
      </c>
      <c r="O710" t="n">
        <v>0</v>
      </c>
      <c r="P710" t="n">
        <v>0</v>
      </c>
      <c r="Q710" t="n">
        <v>0</v>
      </c>
      <c r="R710" s="2" t="inlineStr"/>
    </row>
    <row r="711" ht="15" customHeight="1">
      <c r="A711" t="inlineStr">
        <is>
          <t>A 51049-2024</t>
        </is>
      </c>
      <c r="B711" s="1" t="n">
        <v>45603.44644675926</v>
      </c>
      <c r="C711" s="1" t="n">
        <v>46051</v>
      </c>
      <c r="D711" t="inlineStr">
        <is>
          <t>JÄMTLANDS LÄN</t>
        </is>
      </c>
      <c r="E711" t="inlineStr">
        <is>
          <t>RAGUNDA</t>
        </is>
      </c>
      <c r="F711" t="inlineStr">
        <is>
          <t>SCA</t>
        </is>
      </c>
      <c r="G711" t="n">
        <v>6.9</v>
      </c>
      <c r="H711" t="n">
        <v>0</v>
      </c>
      <c r="I711" t="n">
        <v>0</v>
      </c>
      <c r="J711" t="n">
        <v>0</v>
      </c>
      <c r="K711" t="n">
        <v>0</v>
      </c>
      <c r="L711" t="n">
        <v>0</v>
      </c>
      <c r="M711" t="n">
        <v>0</v>
      </c>
      <c r="N711" t="n">
        <v>0</v>
      </c>
      <c r="O711" t="n">
        <v>0</v>
      </c>
      <c r="P711" t="n">
        <v>0</v>
      </c>
      <c r="Q711" t="n">
        <v>0</v>
      </c>
      <c r="R711" s="2" t="inlineStr"/>
    </row>
    <row r="712" ht="15" customHeight="1">
      <c r="A712" t="inlineStr">
        <is>
          <t>A 51678-2025</t>
        </is>
      </c>
      <c r="B712" s="1" t="n">
        <v>45951.51106481482</v>
      </c>
      <c r="C712" s="1" t="n">
        <v>46051</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51906-2025</t>
        </is>
      </c>
      <c r="B713" s="1" t="n">
        <v>45952.4615162037</v>
      </c>
      <c r="C713" s="1" t="n">
        <v>46051</v>
      </c>
      <c r="D713" t="inlineStr">
        <is>
          <t>JÄMTLANDS LÄN</t>
        </is>
      </c>
      <c r="E713" t="inlineStr">
        <is>
          <t>RAGUNDA</t>
        </is>
      </c>
      <c r="G713" t="n">
        <v>4.5</v>
      </c>
      <c r="H713" t="n">
        <v>0</v>
      </c>
      <c r="I713" t="n">
        <v>0</v>
      </c>
      <c r="J713" t="n">
        <v>0</v>
      </c>
      <c r="K713" t="n">
        <v>0</v>
      </c>
      <c r="L713" t="n">
        <v>0</v>
      </c>
      <c r="M713" t="n">
        <v>0</v>
      </c>
      <c r="N713" t="n">
        <v>0</v>
      </c>
      <c r="O713" t="n">
        <v>0</v>
      </c>
      <c r="P713" t="n">
        <v>0</v>
      </c>
      <c r="Q713" t="n">
        <v>0</v>
      </c>
      <c r="R713" s="2" t="inlineStr"/>
    </row>
    <row r="714" ht="15" customHeight="1">
      <c r="A714" t="inlineStr">
        <is>
          <t>A 55489-2024</t>
        </is>
      </c>
      <c r="B714" s="1" t="n">
        <v>45622.44774305556</v>
      </c>
      <c r="C714" s="1" t="n">
        <v>46051</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51791-2025</t>
        </is>
      </c>
      <c r="B715" s="1" t="n">
        <v>45951.69833333333</v>
      </c>
      <c r="C715" s="1" t="n">
        <v>46051</v>
      </c>
      <c r="D715" t="inlineStr">
        <is>
          <t>JÄMTLANDS LÄN</t>
        </is>
      </c>
      <c r="E715" t="inlineStr">
        <is>
          <t>RAGUNDA</t>
        </is>
      </c>
      <c r="F715" t="inlineStr">
        <is>
          <t>SCA</t>
        </is>
      </c>
      <c r="G715" t="n">
        <v>43.3</v>
      </c>
      <c r="H715" t="n">
        <v>0</v>
      </c>
      <c r="I715" t="n">
        <v>0</v>
      </c>
      <c r="J715" t="n">
        <v>0</v>
      </c>
      <c r="K715" t="n">
        <v>0</v>
      </c>
      <c r="L715" t="n">
        <v>0</v>
      </c>
      <c r="M715" t="n">
        <v>0</v>
      </c>
      <c r="N715" t="n">
        <v>0</v>
      </c>
      <c r="O715" t="n">
        <v>0</v>
      </c>
      <c r="P715" t="n">
        <v>0</v>
      </c>
      <c r="Q715" t="n">
        <v>0</v>
      </c>
      <c r="R715" s="2" t="inlineStr"/>
    </row>
    <row r="716" ht="15" customHeight="1">
      <c r="A716" t="inlineStr">
        <is>
          <t>A 51592-2025</t>
        </is>
      </c>
      <c r="B716" s="1" t="n">
        <v>45951.36541666667</v>
      </c>
      <c r="C716" s="1" t="n">
        <v>46051</v>
      </c>
      <c r="D716" t="inlineStr">
        <is>
          <t>JÄMTLANDS LÄN</t>
        </is>
      </c>
      <c r="E716" t="inlineStr">
        <is>
          <t>RAGUNDA</t>
        </is>
      </c>
      <c r="G716" t="n">
        <v>1.3</v>
      </c>
      <c r="H716" t="n">
        <v>0</v>
      </c>
      <c r="I716" t="n">
        <v>0</v>
      </c>
      <c r="J716" t="n">
        <v>0</v>
      </c>
      <c r="K716" t="n">
        <v>0</v>
      </c>
      <c r="L716" t="n">
        <v>0</v>
      </c>
      <c r="M716" t="n">
        <v>0</v>
      </c>
      <c r="N716" t="n">
        <v>0</v>
      </c>
      <c r="O716" t="n">
        <v>0</v>
      </c>
      <c r="P716" t="n">
        <v>0</v>
      </c>
      <c r="Q716" t="n">
        <v>0</v>
      </c>
      <c r="R716" s="2" t="inlineStr"/>
    </row>
    <row r="717" ht="15" customHeight="1">
      <c r="A717" t="inlineStr">
        <is>
          <t>A 14074-2023</t>
        </is>
      </c>
      <c r="B717" s="1" t="n">
        <v>45009.089375</v>
      </c>
      <c r="C717" s="1" t="n">
        <v>46051</v>
      </c>
      <c r="D717" t="inlineStr">
        <is>
          <t>JÄMTLANDS LÄN</t>
        </is>
      </c>
      <c r="E717" t="inlineStr">
        <is>
          <t>RAGUNDA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51593-2025</t>
        </is>
      </c>
      <c r="B718" s="1" t="n">
        <v>45951.36548611111</v>
      </c>
      <c r="C718" s="1" t="n">
        <v>46051</v>
      </c>
      <c r="D718" t="inlineStr">
        <is>
          <t>JÄMTLANDS LÄN</t>
        </is>
      </c>
      <c r="E718" t="inlineStr">
        <is>
          <t>RAGUNDA</t>
        </is>
      </c>
      <c r="G718" t="n">
        <v>1.5</v>
      </c>
      <c r="H718" t="n">
        <v>0</v>
      </c>
      <c r="I718" t="n">
        <v>0</v>
      </c>
      <c r="J718" t="n">
        <v>0</v>
      </c>
      <c r="K718" t="n">
        <v>0</v>
      </c>
      <c r="L718" t="n">
        <v>0</v>
      </c>
      <c r="M718" t="n">
        <v>0</v>
      </c>
      <c r="N718" t="n">
        <v>0</v>
      </c>
      <c r="O718" t="n">
        <v>0</v>
      </c>
      <c r="P718" t="n">
        <v>0</v>
      </c>
      <c r="Q718" t="n">
        <v>0</v>
      </c>
      <c r="R718" s="2" t="inlineStr"/>
    </row>
    <row r="719" ht="15" customHeight="1">
      <c r="A719" t="inlineStr">
        <is>
          <t>A 52093-2025</t>
        </is>
      </c>
      <c r="B719" s="1" t="n">
        <v>45952.67865740741</v>
      </c>
      <c r="C719" s="1" t="n">
        <v>46051</v>
      </c>
      <c r="D719" t="inlineStr">
        <is>
          <t>JÄMTLANDS LÄN</t>
        </is>
      </c>
      <c r="E719" t="inlineStr">
        <is>
          <t>RAGUNDA</t>
        </is>
      </c>
      <c r="F719" t="inlineStr">
        <is>
          <t>SCA</t>
        </is>
      </c>
      <c r="G719" t="n">
        <v>22.7</v>
      </c>
      <c r="H719" t="n">
        <v>0</v>
      </c>
      <c r="I719" t="n">
        <v>0</v>
      </c>
      <c r="J719" t="n">
        <v>0</v>
      </c>
      <c r="K719" t="n">
        <v>0</v>
      </c>
      <c r="L719" t="n">
        <v>0</v>
      </c>
      <c r="M719" t="n">
        <v>0</v>
      </c>
      <c r="N719" t="n">
        <v>0</v>
      </c>
      <c r="O719" t="n">
        <v>0</v>
      </c>
      <c r="P719" t="n">
        <v>0</v>
      </c>
      <c r="Q719" t="n">
        <v>0</v>
      </c>
      <c r="R719" s="2" t="inlineStr"/>
    </row>
    <row r="720" ht="15" customHeight="1">
      <c r="A720" t="inlineStr">
        <is>
          <t>A 54764-2024</t>
        </is>
      </c>
      <c r="B720" s="1" t="n">
        <v>45618.46921296296</v>
      </c>
      <c r="C720" s="1" t="n">
        <v>46051</v>
      </c>
      <c r="D720" t="inlineStr">
        <is>
          <t>JÄMTLANDS LÄN</t>
        </is>
      </c>
      <c r="E720" t="inlineStr">
        <is>
          <t>RAGUNDA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52122-2025</t>
        </is>
      </c>
      <c r="B721" s="1" t="n">
        <v>45952.71946759259</v>
      </c>
      <c r="C721" s="1" t="n">
        <v>46051</v>
      </c>
      <c r="D721" t="inlineStr">
        <is>
          <t>JÄMTLANDS LÄN</t>
        </is>
      </c>
      <c r="E721" t="inlineStr">
        <is>
          <t>RAGUNDA</t>
        </is>
      </c>
      <c r="F721" t="inlineStr">
        <is>
          <t>SCA</t>
        </is>
      </c>
      <c r="G721" t="n">
        <v>8</v>
      </c>
      <c r="H721" t="n">
        <v>0</v>
      </c>
      <c r="I721" t="n">
        <v>0</v>
      </c>
      <c r="J721" t="n">
        <v>0</v>
      </c>
      <c r="K721" t="n">
        <v>0</v>
      </c>
      <c r="L721" t="n">
        <v>0</v>
      </c>
      <c r="M721" t="n">
        <v>0</v>
      </c>
      <c r="N721" t="n">
        <v>0</v>
      </c>
      <c r="O721" t="n">
        <v>0</v>
      </c>
      <c r="P721" t="n">
        <v>0</v>
      </c>
      <c r="Q721" t="n">
        <v>0</v>
      </c>
      <c r="R721" s="2" t="inlineStr"/>
    </row>
    <row r="722" ht="15" customHeight="1">
      <c r="A722" t="inlineStr">
        <is>
          <t>A 51882-2025</t>
        </is>
      </c>
      <c r="B722" s="1" t="n">
        <v>45952.40685185185</v>
      </c>
      <c r="C722" s="1" t="n">
        <v>46051</v>
      </c>
      <c r="D722" t="inlineStr">
        <is>
          <t>JÄMTLANDS LÄN</t>
        </is>
      </c>
      <c r="E722" t="inlineStr">
        <is>
          <t>RAGUNDA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51903-2025</t>
        </is>
      </c>
      <c r="B723" s="1" t="n">
        <v>45952.44857638889</v>
      </c>
      <c r="C723" s="1" t="n">
        <v>46051</v>
      </c>
      <c r="D723" t="inlineStr">
        <is>
          <t>JÄMTLANDS LÄN</t>
        </is>
      </c>
      <c r="E723" t="inlineStr">
        <is>
          <t>RAGUNDA</t>
        </is>
      </c>
      <c r="F723" t="inlineStr">
        <is>
          <t>SCA</t>
        </is>
      </c>
      <c r="G723" t="n">
        <v>20.8</v>
      </c>
      <c r="H723" t="n">
        <v>0</v>
      </c>
      <c r="I723" t="n">
        <v>0</v>
      </c>
      <c r="J723" t="n">
        <v>0</v>
      </c>
      <c r="K723" t="n">
        <v>0</v>
      </c>
      <c r="L723" t="n">
        <v>0</v>
      </c>
      <c r="M723" t="n">
        <v>0</v>
      </c>
      <c r="N723" t="n">
        <v>0</v>
      </c>
      <c r="O723" t="n">
        <v>0</v>
      </c>
      <c r="P723" t="n">
        <v>0</v>
      </c>
      <c r="Q723" t="n">
        <v>0</v>
      </c>
      <c r="R723" s="2" t="inlineStr"/>
    </row>
    <row r="724" ht="15" customHeight="1">
      <c r="A724" t="inlineStr">
        <is>
          <t>A 51932-2025</t>
        </is>
      </c>
      <c r="B724" s="1" t="n">
        <v>45952.51094907407</v>
      </c>
      <c r="C724" s="1" t="n">
        <v>46051</v>
      </c>
      <c r="D724" t="inlineStr">
        <is>
          <t>JÄMTLANDS LÄN</t>
        </is>
      </c>
      <c r="E724" t="inlineStr">
        <is>
          <t>RAGUNDA</t>
        </is>
      </c>
      <c r="F724" t="inlineStr">
        <is>
          <t>SCA</t>
        </is>
      </c>
      <c r="G724" t="n">
        <v>39.2</v>
      </c>
      <c r="H724" t="n">
        <v>0</v>
      </c>
      <c r="I724" t="n">
        <v>0</v>
      </c>
      <c r="J724" t="n">
        <v>0</v>
      </c>
      <c r="K724" t="n">
        <v>0</v>
      </c>
      <c r="L724" t="n">
        <v>0</v>
      </c>
      <c r="M724" t="n">
        <v>0</v>
      </c>
      <c r="N724" t="n">
        <v>0</v>
      </c>
      <c r="O724" t="n">
        <v>0</v>
      </c>
      <c r="P724" t="n">
        <v>0</v>
      </c>
      <c r="Q724" t="n">
        <v>0</v>
      </c>
      <c r="R724" s="2" t="inlineStr"/>
    </row>
    <row r="725" ht="15" customHeight="1">
      <c r="A725" t="inlineStr">
        <is>
          <t>A 7279-2024</t>
        </is>
      </c>
      <c r="B725" s="1" t="n">
        <v>45344.92822916667</v>
      </c>
      <c r="C725" s="1" t="n">
        <v>46051</v>
      </c>
      <c r="D725" t="inlineStr">
        <is>
          <t>JÄMTLANDS LÄN</t>
        </is>
      </c>
      <c r="E725" t="inlineStr">
        <is>
          <t>RAGUNDA</t>
        </is>
      </c>
      <c r="G725" t="n">
        <v>2.1</v>
      </c>
      <c r="H725" t="n">
        <v>0</v>
      </c>
      <c r="I725" t="n">
        <v>0</v>
      </c>
      <c r="J725" t="n">
        <v>0</v>
      </c>
      <c r="K725" t="n">
        <v>0</v>
      </c>
      <c r="L725" t="n">
        <v>0</v>
      </c>
      <c r="M725" t="n">
        <v>0</v>
      </c>
      <c r="N725" t="n">
        <v>0</v>
      </c>
      <c r="O725" t="n">
        <v>0</v>
      </c>
      <c r="P725" t="n">
        <v>0</v>
      </c>
      <c r="Q725" t="n">
        <v>0</v>
      </c>
      <c r="R725" s="2" t="inlineStr"/>
    </row>
    <row r="726" ht="15" customHeight="1">
      <c r="A726" t="inlineStr">
        <is>
          <t>A 52317-2025</t>
        </is>
      </c>
      <c r="B726" s="1" t="n">
        <v>45953.65675925926</v>
      </c>
      <c r="C726" s="1" t="n">
        <v>46051</v>
      </c>
      <c r="D726" t="inlineStr">
        <is>
          <t>JÄMTLANDS LÄN</t>
        </is>
      </c>
      <c r="E726" t="inlineStr">
        <is>
          <t>RAGUNDA</t>
        </is>
      </c>
      <c r="F726" t="inlineStr">
        <is>
          <t>SCA</t>
        </is>
      </c>
      <c r="G726" t="n">
        <v>27.2</v>
      </c>
      <c r="H726" t="n">
        <v>0</v>
      </c>
      <c r="I726" t="n">
        <v>0</v>
      </c>
      <c r="J726" t="n">
        <v>0</v>
      </c>
      <c r="K726" t="n">
        <v>0</v>
      </c>
      <c r="L726" t="n">
        <v>0</v>
      </c>
      <c r="M726" t="n">
        <v>0</v>
      </c>
      <c r="N726" t="n">
        <v>0</v>
      </c>
      <c r="O726" t="n">
        <v>0</v>
      </c>
      <c r="P726" t="n">
        <v>0</v>
      </c>
      <c r="Q726" t="n">
        <v>0</v>
      </c>
      <c r="R726" s="2" t="inlineStr"/>
    </row>
    <row r="727" ht="15" customHeight="1">
      <c r="A727" t="inlineStr">
        <is>
          <t>A 52330-2025</t>
        </is>
      </c>
      <c r="B727" s="1" t="n">
        <v>45953.67752314815</v>
      </c>
      <c r="C727" s="1" t="n">
        <v>46051</v>
      </c>
      <c r="D727" t="inlineStr">
        <is>
          <t>JÄMTLANDS LÄN</t>
        </is>
      </c>
      <c r="E727" t="inlineStr">
        <is>
          <t>RAGUNDA</t>
        </is>
      </c>
      <c r="F727" t="inlineStr">
        <is>
          <t>SCA</t>
        </is>
      </c>
      <c r="G727" t="n">
        <v>10.1</v>
      </c>
      <c r="H727" t="n">
        <v>0</v>
      </c>
      <c r="I727" t="n">
        <v>0</v>
      </c>
      <c r="J727" t="n">
        <v>0</v>
      </c>
      <c r="K727" t="n">
        <v>0</v>
      </c>
      <c r="L727" t="n">
        <v>0</v>
      </c>
      <c r="M727" t="n">
        <v>0</v>
      </c>
      <c r="N727" t="n">
        <v>0</v>
      </c>
      <c r="O727" t="n">
        <v>0</v>
      </c>
      <c r="P727" t="n">
        <v>0</v>
      </c>
      <c r="Q727" t="n">
        <v>0</v>
      </c>
      <c r="R727" s="2" t="inlineStr"/>
    </row>
    <row r="728" ht="15" customHeight="1">
      <c r="A728" t="inlineStr">
        <is>
          <t>A 52395-2025</t>
        </is>
      </c>
      <c r="B728" s="1" t="n">
        <v>45954.34487268519</v>
      </c>
      <c r="C728" s="1" t="n">
        <v>46051</v>
      </c>
      <c r="D728" t="inlineStr">
        <is>
          <t>JÄMTLANDS LÄN</t>
        </is>
      </c>
      <c r="E728" t="inlineStr">
        <is>
          <t>RAGUNDA</t>
        </is>
      </c>
      <c r="F728" t="inlineStr">
        <is>
          <t>SCA</t>
        </is>
      </c>
      <c r="G728" t="n">
        <v>14.2</v>
      </c>
      <c r="H728" t="n">
        <v>0</v>
      </c>
      <c r="I728" t="n">
        <v>0</v>
      </c>
      <c r="J728" t="n">
        <v>0</v>
      </c>
      <c r="K728" t="n">
        <v>0</v>
      </c>
      <c r="L728" t="n">
        <v>0</v>
      </c>
      <c r="M728" t="n">
        <v>0</v>
      </c>
      <c r="N728" t="n">
        <v>0</v>
      </c>
      <c r="O728" t="n">
        <v>0</v>
      </c>
      <c r="P728" t="n">
        <v>0</v>
      </c>
      <c r="Q728" t="n">
        <v>0</v>
      </c>
      <c r="R728" s="2" t="inlineStr"/>
    </row>
    <row r="729" ht="15" customHeight="1">
      <c r="A729" t="inlineStr">
        <is>
          <t>A 53032-2025</t>
        </is>
      </c>
      <c r="B729" s="1" t="n">
        <v>45958.34462962963</v>
      </c>
      <c r="C729" s="1" t="n">
        <v>46051</v>
      </c>
      <c r="D729" t="inlineStr">
        <is>
          <t>JÄMTLANDS LÄN</t>
        </is>
      </c>
      <c r="E729" t="inlineStr">
        <is>
          <t>RAGUNDA</t>
        </is>
      </c>
      <c r="G729" t="n">
        <v>2.6</v>
      </c>
      <c r="H729" t="n">
        <v>0</v>
      </c>
      <c r="I729" t="n">
        <v>0</v>
      </c>
      <c r="J729" t="n">
        <v>0</v>
      </c>
      <c r="K729" t="n">
        <v>0</v>
      </c>
      <c r="L729" t="n">
        <v>0</v>
      </c>
      <c r="M729" t="n">
        <v>0</v>
      </c>
      <c r="N729" t="n">
        <v>0</v>
      </c>
      <c r="O729" t="n">
        <v>0</v>
      </c>
      <c r="P729" t="n">
        <v>0</v>
      </c>
      <c r="Q729" t="n">
        <v>0</v>
      </c>
      <c r="R729" s="2" t="inlineStr"/>
    </row>
    <row r="730" ht="15" customHeight="1">
      <c r="A730" t="inlineStr">
        <is>
          <t>A 53076-2025</t>
        </is>
      </c>
      <c r="B730" s="1" t="n">
        <v>45958.38604166666</v>
      </c>
      <c r="C730" s="1" t="n">
        <v>46051</v>
      </c>
      <c r="D730" t="inlineStr">
        <is>
          <t>JÄMTLANDS LÄN</t>
        </is>
      </c>
      <c r="E730" t="inlineStr">
        <is>
          <t>RAGUNDA</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52394-2025</t>
        </is>
      </c>
      <c r="B731" s="1" t="n">
        <v>45954.34466435185</v>
      </c>
      <c r="C731" s="1" t="n">
        <v>46051</v>
      </c>
      <c r="D731" t="inlineStr">
        <is>
          <t>JÄMTLANDS LÄN</t>
        </is>
      </c>
      <c r="E731" t="inlineStr">
        <is>
          <t>RAGUNDA</t>
        </is>
      </c>
      <c r="F731" t="inlineStr">
        <is>
          <t>SCA</t>
        </is>
      </c>
      <c r="G731" t="n">
        <v>53.8</v>
      </c>
      <c r="H731" t="n">
        <v>0</v>
      </c>
      <c r="I731" t="n">
        <v>0</v>
      </c>
      <c r="J731" t="n">
        <v>0</v>
      </c>
      <c r="K731" t="n">
        <v>0</v>
      </c>
      <c r="L731" t="n">
        <v>0</v>
      </c>
      <c r="M731" t="n">
        <v>0</v>
      </c>
      <c r="N731" t="n">
        <v>0</v>
      </c>
      <c r="O731" t="n">
        <v>0</v>
      </c>
      <c r="P731" t="n">
        <v>0</v>
      </c>
      <c r="Q731" t="n">
        <v>0</v>
      </c>
      <c r="R731" s="2" t="inlineStr"/>
    </row>
    <row r="732" ht="15" customHeight="1">
      <c r="A732" t="inlineStr">
        <is>
          <t>A 10706-2023</t>
        </is>
      </c>
      <c r="B732" s="1" t="n">
        <v>44984</v>
      </c>
      <c r="C732" s="1" t="n">
        <v>46051</v>
      </c>
      <c r="D732" t="inlineStr">
        <is>
          <t>JÄMTLANDS LÄN</t>
        </is>
      </c>
      <c r="E732" t="inlineStr">
        <is>
          <t>RAGUNDA</t>
        </is>
      </c>
      <c r="G732" t="n">
        <v>7.7</v>
      </c>
      <c r="H732" t="n">
        <v>0</v>
      </c>
      <c r="I732" t="n">
        <v>0</v>
      </c>
      <c r="J732" t="n">
        <v>0</v>
      </c>
      <c r="K732" t="n">
        <v>0</v>
      </c>
      <c r="L732" t="n">
        <v>0</v>
      </c>
      <c r="M732" t="n">
        <v>0</v>
      </c>
      <c r="N732" t="n">
        <v>0</v>
      </c>
      <c r="O732" t="n">
        <v>0</v>
      </c>
      <c r="P732" t="n">
        <v>0</v>
      </c>
      <c r="Q732" t="n">
        <v>0</v>
      </c>
      <c r="R732" s="2" t="inlineStr"/>
    </row>
    <row r="733" ht="15" customHeight="1">
      <c r="A733" t="inlineStr">
        <is>
          <t>A 891-2022</t>
        </is>
      </c>
      <c r="B733" s="1" t="n">
        <v>44571</v>
      </c>
      <c r="C733" s="1" t="n">
        <v>46051</v>
      </c>
      <c r="D733" t="inlineStr">
        <is>
          <t>JÄMTLANDS LÄN</t>
        </is>
      </c>
      <c r="E733" t="inlineStr">
        <is>
          <t>RAGUNDA</t>
        </is>
      </c>
      <c r="G733" t="n">
        <v>1.7</v>
      </c>
      <c r="H733" t="n">
        <v>0</v>
      </c>
      <c r="I733" t="n">
        <v>0</v>
      </c>
      <c r="J733" t="n">
        <v>0</v>
      </c>
      <c r="K733" t="n">
        <v>0</v>
      </c>
      <c r="L733" t="n">
        <v>0</v>
      </c>
      <c r="M733" t="n">
        <v>0</v>
      </c>
      <c r="N733" t="n">
        <v>0</v>
      </c>
      <c r="O733" t="n">
        <v>0</v>
      </c>
      <c r="P733" t="n">
        <v>0</v>
      </c>
      <c r="Q733" t="n">
        <v>0</v>
      </c>
      <c r="R733" s="2" t="inlineStr"/>
    </row>
    <row r="734" ht="15" customHeight="1">
      <c r="A734" t="inlineStr">
        <is>
          <t>A 52430-2025</t>
        </is>
      </c>
      <c r="B734" s="1" t="n">
        <v>45954.38592592593</v>
      </c>
      <c r="C734" s="1" t="n">
        <v>46051</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8416-2023</t>
        </is>
      </c>
      <c r="B735" s="1" t="n">
        <v>44977.44373842593</v>
      </c>
      <c r="C735" s="1" t="n">
        <v>46051</v>
      </c>
      <c r="D735" t="inlineStr">
        <is>
          <t>JÄMTLANDS LÄN</t>
        </is>
      </c>
      <c r="E735" t="inlineStr">
        <is>
          <t>RAGUNDA</t>
        </is>
      </c>
      <c r="G735" t="n">
        <v>0.7</v>
      </c>
      <c r="H735" t="n">
        <v>0</v>
      </c>
      <c r="I735" t="n">
        <v>0</v>
      </c>
      <c r="J735" t="n">
        <v>0</v>
      </c>
      <c r="K735" t="n">
        <v>0</v>
      </c>
      <c r="L735" t="n">
        <v>0</v>
      </c>
      <c r="M735" t="n">
        <v>0</v>
      </c>
      <c r="N735" t="n">
        <v>0</v>
      </c>
      <c r="O735" t="n">
        <v>0</v>
      </c>
      <c r="P735" t="n">
        <v>0</v>
      </c>
      <c r="Q735" t="n">
        <v>0</v>
      </c>
      <c r="R735" s="2" t="inlineStr"/>
    </row>
    <row r="736" ht="15" customHeight="1">
      <c r="A736" t="inlineStr">
        <is>
          <t>A 52875-2025</t>
        </is>
      </c>
      <c r="B736" s="1" t="n">
        <v>45957.53211805555</v>
      </c>
      <c r="C736" s="1" t="n">
        <v>46051</v>
      </c>
      <c r="D736" t="inlineStr">
        <is>
          <t>JÄMTLANDS LÄN</t>
        </is>
      </c>
      <c r="E736" t="inlineStr">
        <is>
          <t>RAGUNDA</t>
        </is>
      </c>
      <c r="F736" t="inlineStr">
        <is>
          <t>SCA</t>
        </is>
      </c>
      <c r="G736" t="n">
        <v>34.3</v>
      </c>
      <c r="H736" t="n">
        <v>0</v>
      </c>
      <c r="I736" t="n">
        <v>0</v>
      </c>
      <c r="J736" t="n">
        <v>0</v>
      </c>
      <c r="K736" t="n">
        <v>0</v>
      </c>
      <c r="L736" t="n">
        <v>0</v>
      </c>
      <c r="M736" t="n">
        <v>0</v>
      </c>
      <c r="N736" t="n">
        <v>0</v>
      </c>
      <c r="O736" t="n">
        <v>0</v>
      </c>
      <c r="P736" t="n">
        <v>0</v>
      </c>
      <c r="Q736" t="n">
        <v>0</v>
      </c>
      <c r="R736" s="2" t="inlineStr"/>
    </row>
    <row r="737" ht="15" customHeight="1">
      <c r="A737" t="inlineStr">
        <is>
          <t>A 40801-2023</t>
        </is>
      </c>
      <c r="B737" s="1" t="n">
        <v>45170</v>
      </c>
      <c r="C737" s="1" t="n">
        <v>46051</v>
      </c>
      <c r="D737" t="inlineStr">
        <is>
          <t>JÄMTLANDS LÄN</t>
        </is>
      </c>
      <c r="E737" t="inlineStr">
        <is>
          <t>RAGUNDA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53211-2025</t>
        </is>
      </c>
      <c r="B738" s="1" t="n">
        <v>45958.59490740741</v>
      </c>
      <c r="C738" s="1" t="n">
        <v>46051</v>
      </c>
      <c r="D738" t="inlineStr">
        <is>
          <t>JÄMTLANDS LÄN</t>
        </is>
      </c>
      <c r="E738" t="inlineStr">
        <is>
          <t>RAGUNDA</t>
        </is>
      </c>
      <c r="F738" t="inlineStr">
        <is>
          <t>SCA</t>
        </is>
      </c>
      <c r="G738" t="n">
        <v>7.4</v>
      </c>
      <c r="H738" t="n">
        <v>0</v>
      </c>
      <c r="I738" t="n">
        <v>0</v>
      </c>
      <c r="J738" t="n">
        <v>0</v>
      </c>
      <c r="K738" t="n">
        <v>0</v>
      </c>
      <c r="L738" t="n">
        <v>0</v>
      </c>
      <c r="M738" t="n">
        <v>0</v>
      </c>
      <c r="N738" t="n">
        <v>0</v>
      </c>
      <c r="O738" t="n">
        <v>0</v>
      </c>
      <c r="P738" t="n">
        <v>0</v>
      </c>
      <c r="Q738" t="n">
        <v>0</v>
      </c>
      <c r="R738" s="2" t="inlineStr"/>
    </row>
    <row r="739" ht="15" customHeight="1">
      <c r="A739" t="inlineStr">
        <is>
          <t>A 52972-2025</t>
        </is>
      </c>
      <c r="B739" s="1" t="n">
        <v>45957.67783564814</v>
      </c>
      <c r="C739" s="1" t="n">
        <v>46051</v>
      </c>
      <c r="D739" t="inlineStr">
        <is>
          <t>JÄMTLANDS LÄN</t>
        </is>
      </c>
      <c r="E739" t="inlineStr">
        <is>
          <t>RAGUNDA</t>
        </is>
      </c>
      <c r="F739" t="inlineStr">
        <is>
          <t>SCA</t>
        </is>
      </c>
      <c r="G739" t="n">
        <v>53.4</v>
      </c>
      <c r="H739" t="n">
        <v>0</v>
      </c>
      <c r="I739" t="n">
        <v>0</v>
      </c>
      <c r="J739" t="n">
        <v>0</v>
      </c>
      <c r="K739" t="n">
        <v>0</v>
      </c>
      <c r="L739" t="n">
        <v>0</v>
      </c>
      <c r="M739" t="n">
        <v>0</v>
      </c>
      <c r="N739" t="n">
        <v>0</v>
      </c>
      <c r="O739" t="n">
        <v>0</v>
      </c>
      <c r="P739" t="n">
        <v>0</v>
      </c>
      <c r="Q739" t="n">
        <v>0</v>
      </c>
      <c r="R739" s="2" t="inlineStr"/>
    </row>
    <row r="740" ht="15" customHeight="1">
      <c r="A740" t="inlineStr">
        <is>
          <t>A 53075-2025</t>
        </is>
      </c>
      <c r="B740" s="1" t="n">
        <v>45958.38584490741</v>
      </c>
      <c r="C740" s="1" t="n">
        <v>46051</v>
      </c>
      <c r="D740" t="inlineStr">
        <is>
          <t>JÄMTLANDS LÄN</t>
        </is>
      </c>
      <c r="E740" t="inlineStr">
        <is>
          <t>RAGUNDA</t>
        </is>
      </c>
      <c r="F740" t="inlineStr">
        <is>
          <t>SCA</t>
        </is>
      </c>
      <c r="G740" t="n">
        <v>28.9</v>
      </c>
      <c r="H740" t="n">
        <v>0</v>
      </c>
      <c r="I740" t="n">
        <v>0</v>
      </c>
      <c r="J740" t="n">
        <v>0</v>
      </c>
      <c r="K740" t="n">
        <v>0</v>
      </c>
      <c r="L740" t="n">
        <v>0</v>
      </c>
      <c r="M740" t="n">
        <v>0</v>
      </c>
      <c r="N740" t="n">
        <v>0</v>
      </c>
      <c r="O740" t="n">
        <v>0</v>
      </c>
      <c r="P740" t="n">
        <v>0</v>
      </c>
      <c r="Q740" t="n">
        <v>0</v>
      </c>
      <c r="R740" s="2" t="inlineStr"/>
    </row>
    <row r="741" ht="15" customHeight="1">
      <c r="A741" t="inlineStr">
        <is>
          <t>A 53726-2025</t>
        </is>
      </c>
      <c r="B741" s="1" t="n">
        <v>45960.63597222222</v>
      </c>
      <c r="C741" s="1" t="n">
        <v>46051</v>
      </c>
      <c r="D741" t="inlineStr">
        <is>
          <t>JÄMTLANDS LÄN</t>
        </is>
      </c>
      <c r="E741" t="inlineStr">
        <is>
          <t>RAGUNDA</t>
        </is>
      </c>
      <c r="F741" t="inlineStr">
        <is>
          <t>SCA</t>
        </is>
      </c>
      <c r="G741" t="n">
        <v>10.9</v>
      </c>
      <c r="H741" t="n">
        <v>0</v>
      </c>
      <c r="I741" t="n">
        <v>0</v>
      </c>
      <c r="J741" t="n">
        <v>0</v>
      </c>
      <c r="K741" t="n">
        <v>0</v>
      </c>
      <c r="L741" t="n">
        <v>0</v>
      </c>
      <c r="M741" t="n">
        <v>0</v>
      </c>
      <c r="N741" t="n">
        <v>0</v>
      </c>
      <c r="O741" t="n">
        <v>0</v>
      </c>
      <c r="P741" t="n">
        <v>0</v>
      </c>
      <c r="Q741" t="n">
        <v>0</v>
      </c>
      <c r="R741" s="2" t="inlineStr"/>
    </row>
    <row r="742" ht="15" customHeight="1">
      <c r="A742" t="inlineStr">
        <is>
          <t>A 27499-2024</t>
        </is>
      </c>
      <c r="B742" s="1" t="n">
        <v>45474.50608796296</v>
      </c>
      <c r="C742" s="1" t="n">
        <v>46051</v>
      </c>
      <c r="D742" t="inlineStr">
        <is>
          <t>JÄMTLANDS LÄN</t>
        </is>
      </c>
      <c r="E742" t="inlineStr">
        <is>
          <t>RAGUNDA</t>
        </is>
      </c>
      <c r="G742" t="n">
        <v>1.3</v>
      </c>
      <c r="H742" t="n">
        <v>0</v>
      </c>
      <c r="I742" t="n">
        <v>0</v>
      </c>
      <c r="J742" t="n">
        <v>0</v>
      </c>
      <c r="K742" t="n">
        <v>0</v>
      </c>
      <c r="L742" t="n">
        <v>0</v>
      </c>
      <c r="M742" t="n">
        <v>0</v>
      </c>
      <c r="N742" t="n">
        <v>0</v>
      </c>
      <c r="O742" t="n">
        <v>0</v>
      </c>
      <c r="P742" t="n">
        <v>0</v>
      </c>
      <c r="Q742" t="n">
        <v>0</v>
      </c>
      <c r="R742" s="2" t="inlineStr"/>
    </row>
    <row r="743" ht="15" customHeight="1">
      <c r="A743" t="inlineStr">
        <is>
          <t>A 52148-2024</t>
        </is>
      </c>
      <c r="B743" s="1" t="n">
        <v>45608.52354166667</v>
      </c>
      <c r="C743" s="1" t="n">
        <v>46051</v>
      </c>
      <c r="D743" t="inlineStr">
        <is>
          <t>JÄMTLANDS LÄN</t>
        </is>
      </c>
      <c r="E743" t="inlineStr">
        <is>
          <t>RAGUNDA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462-2023</t>
        </is>
      </c>
      <c r="B744" s="1" t="n">
        <v>44929</v>
      </c>
      <c r="C744" s="1" t="n">
        <v>46051</v>
      </c>
      <c r="D744" t="inlineStr">
        <is>
          <t>JÄMTLANDS LÄN</t>
        </is>
      </c>
      <c r="E744" t="inlineStr">
        <is>
          <t>RAGUNDA</t>
        </is>
      </c>
      <c r="G744" t="n">
        <v>4.5</v>
      </c>
      <c r="H744" t="n">
        <v>0</v>
      </c>
      <c r="I744" t="n">
        <v>0</v>
      </c>
      <c r="J744" t="n">
        <v>0</v>
      </c>
      <c r="K744" t="n">
        <v>0</v>
      </c>
      <c r="L744" t="n">
        <v>0</v>
      </c>
      <c r="M744" t="n">
        <v>0</v>
      </c>
      <c r="N744" t="n">
        <v>0</v>
      </c>
      <c r="O744" t="n">
        <v>0</v>
      </c>
      <c r="P744" t="n">
        <v>0</v>
      </c>
      <c r="Q744" t="n">
        <v>0</v>
      </c>
      <c r="R744" s="2" t="inlineStr"/>
    </row>
    <row r="745" ht="15" customHeight="1">
      <c r="A745" t="inlineStr">
        <is>
          <t>A 25304-2023</t>
        </is>
      </c>
      <c r="B745" s="1" t="n">
        <v>45086</v>
      </c>
      <c r="C745" s="1" t="n">
        <v>46051</v>
      </c>
      <c r="D745" t="inlineStr">
        <is>
          <t>JÄMTLANDS LÄN</t>
        </is>
      </c>
      <c r="E745" t="inlineStr">
        <is>
          <t>RAGUNDA</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52578-2025</t>
        </is>
      </c>
      <c r="B746" s="1" t="n">
        <v>45954.61508101852</v>
      </c>
      <c r="C746" s="1" t="n">
        <v>46051</v>
      </c>
      <c r="D746" t="inlineStr">
        <is>
          <t>JÄMTLANDS LÄN</t>
        </is>
      </c>
      <c r="E746" t="inlineStr">
        <is>
          <t>RAGUNDA</t>
        </is>
      </c>
      <c r="F746" t="inlineStr">
        <is>
          <t>SCA</t>
        </is>
      </c>
      <c r="G746" t="n">
        <v>25.2</v>
      </c>
      <c r="H746" t="n">
        <v>0</v>
      </c>
      <c r="I746" t="n">
        <v>0</v>
      </c>
      <c r="J746" t="n">
        <v>0</v>
      </c>
      <c r="K746" t="n">
        <v>0</v>
      </c>
      <c r="L746" t="n">
        <v>0</v>
      </c>
      <c r="M746" t="n">
        <v>0</v>
      </c>
      <c r="N746" t="n">
        <v>0</v>
      </c>
      <c r="O746" t="n">
        <v>0</v>
      </c>
      <c r="P746" t="n">
        <v>0</v>
      </c>
      <c r="Q746" t="n">
        <v>0</v>
      </c>
      <c r="R746" s="2" t="inlineStr"/>
    </row>
    <row r="747" ht="15" customHeight="1">
      <c r="A747" t="inlineStr">
        <is>
          <t>A 26645-2024</t>
        </is>
      </c>
      <c r="B747" s="1" t="n">
        <v>45469.94667824074</v>
      </c>
      <c r="C747" s="1" t="n">
        <v>46051</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53727-2025</t>
        </is>
      </c>
      <c r="B748" s="1" t="n">
        <v>45960.63630787037</v>
      </c>
      <c r="C748" s="1" t="n">
        <v>46051</v>
      </c>
      <c r="D748" t="inlineStr">
        <is>
          <t>JÄMTLANDS LÄN</t>
        </is>
      </c>
      <c r="E748" t="inlineStr">
        <is>
          <t>RAGUNDA</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53748-2025</t>
        </is>
      </c>
      <c r="B749" s="1" t="n">
        <v>45960.65673611111</v>
      </c>
      <c r="C749" s="1" t="n">
        <v>46051</v>
      </c>
      <c r="D749" t="inlineStr">
        <is>
          <t>JÄMTLANDS LÄN</t>
        </is>
      </c>
      <c r="E749" t="inlineStr">
        <is>
          <t>RAGUNDA</t>
        </is>
      </c>
      <c r="F749" t="inlineStr">
        <is>
          <t>SCA</t>
        </is>
      </c>
      <c r="G749" t="n">
        <v>14.9</v>
      </c>
      <c r="H749" t="n">
        <v>0</v>
      </c>
      <c r="I749" t="n">
        <v>0</v>
      </c>
      <c r="J749" t="n">
        <v>0</v>
      </c>
      <c r="K749" t="n">
        <v>0</v>
      </c>
      <c r="L749" t="n">
        <v>0</v>
      </c>
      <c r="M749" t="n">
        <v>0</v>
      </c>
      <c r="N749" t="n">
        <v>0</v>
      </c>
      <c r="O749" t="n">
        <v>0</v>
      </c>
      <c r="P749" t="n">
        <v>0</v>
      </c>
      <c r="Q749" t="n">
        <v>0</v>
      </c>
      <c r="R749" s="2" t="inlineStr"/>
    </row>
    <row r="750" ht="15" customHeight="1">
      <c r="A750" t="inlineStr">
        <is>
          <t>A 32258-2024</t>
        </is>
      </c>
      <c r="B750" s="1" t="n">
        <v>45511</v>
      </c>
      <c r="C750" s="1" t="n">
        <v>46051</v>
      </c>
      <c r="D750" t="inlineStr">
        <is>
          <t>JÄMTLANDS LÄN</t>
        </is>
      </c>
      <c r="E750" t="inlineStr">
        <is>
          <t>RAGUNDA</t>
        </is>
      </c>
      <c r="F750" t="inlineStr">
        <is>
          <t>SCA</t>
        </is>
      </c>
      <c r="G750" t="n">
        <v>5.5</v>
      </c>
      <c r="H750" t="n">
        <v>0</v>
      </c>
      <c r="I750" t="n">
        <v>0</v>
      </c>
      <c r="J750" t="n">
        <v>0</v>
      </c>
      <c r="K750" t="n">
        <v>0</v>
      </c>
      <c r="L750" t="n">
        <v>0</v>
      </c>
      <c r="M750" t="n">
        <v>0</v>
      </c>
      <c r="N750" t="n">
        <v>0</v>
      </c>
      <c r="O750" t="n">
        <v>0</v>
      </c>
      <c r="P750" t="n">
        <v>0</v>
      </c>
      <c r="Q750" t="n">
        <v>0</v>
      </c>
      <c r="R750" s="2" t="inlineStr"/>
    </row>
    <row r="751" ht="15" customHeight="1">
      <c r="A751" t="inlineStr">
        <is>
          <t>A 53549-2025</t>
        </is>
      </c>
      <c r="B751" s="1" t="n">
        <v>45960.38576388889</v>
      </c>
      <c r="C751" s="1" t="n">
        <v>46051</v>
      </c>
      <c r="D751" t="inlineStr">
        <is>
          <t>JÄMTLANDS LÄN</t>
        </is>
      </c>
      <c r="E751" t="inlineStr">
        <is>
          <t>RAGUNDA</t>
        </is>
      </c>
      <c r="G751" t="n">
        <v>5.4</v>
      </c>
      <c r="H751" t="n">
        <v>0</v>
      </c>
      <c r="I751" t="n">
        <v>0</v>
      </c>
      <c r="J751" t="n">
        <v>0</v>
      </c>
      <c r="K751" t="n">
        <v>0</v>
      </c>
      <c r="L751" t="n">
        <v>0</v>
      </c>
      <c r="M751" t="n">
        <v>0</v>
      </c>
      <c r="N751" t="n">
        <v>0</v>
      </c>
      <c r="O751" t="n">
        <v>0</v>
      </c>
      <c r="P751" t="n">
        <v>0</v>
      </c>
      <c r="Q751" t="n">
        <v>0</v>
      </c>
      <c r="R751" s="2" t="inlineStr"/>
    </row>
    <row r="752" ht="15" customHeight="1">
      <c r="A752" t="inlineStr">
        <is>
          <t>A 53765-2025</t>
        </is>
      </c>
      <c r="B752" s="1" t="n">
        <v>45960.67753472222</v>
      </c>
      <c r="C752" s="1" t="n">
        <v>46051</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53986-2025</t>
        </is>
      </c>
      <c r="B753" s="1" t="n">
        <v>45961.57381944444</v>
      </c>
      <c r="C753" s="1" t="n">
        <v>46051</v>
      </c>
      <c r="D753" t="inlineStr">
        <is>
          <t>JÄMTLANDS LÄN</t>
        </is>
      </c>
      <c r="E753" t="inlineStr">
        <is>
          <t>RAGUNDA</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53951-2025</t>
        </is>
      </c>
      <c r="B754" s="1" t="n">
        <v>45961.50200231482</v>
      </c>
      <c r="C754" s="1" t="n">
        <v>46051</v>
      </c>
      <c r="D754" t="inlineStr">
        <is>
          <t>JÄMTLANDS LÄN</t>
        </is>
      </c>
      <c r="E754" t="inlineStr">
        <is>
          <t>RAGUNDA</t>
        </is>
      </c>
      <c r="G754" t="n">
        <v>1.8</v>
      </c>
      <c r="H754" t="n">
        <v>0</v>
      </c>
      <c r="I754" t="n">
        <v>0</v>
      </c>
      <c r="J754" t="n">
        <v>0</v>
      </c>
      <c r="K754" t="n">
        <v>0</v>
      </c>
      <c r="L754" t="n">
        <v>0</v>
      </c>
      <c r="M754" t="n">
        <v>0</v>
      </c>
      <c r="N754" t="n">
        <v>0</v>
      </c>
      <c r="O754" t="n">
        <v>0</v>
      </c>
      <c r="P754" t="n">
        <v>0</v>
      </c>
      <c r="Q754" t="n">
        <v>0</v>
      </c>
      <c r="R754" s="2" t="inlineStr"/>
    </row>
    <row r="755" ht="15" customHeight="1">
      <c r="A755" t="inlineStr">
        <is>
          <t>A 53975-2025</t>
        </is>
      </c>
      <c r="B755" s="1" t="n">
        <v>45961.55277777778</v>
      </c>
      <c r="C755" s="1" t="n">
        <v>46051</v>
      </c>
      <c r="D755" t="inlineStr">
        <is>
          <t>JÄMTLANDS LÄN</t>
        </is>
      </c>
      <c r="E755" t="inlineStr">
        <is>
          <t>RAGUNDA</t>
        </is>
      </c>
      <c r="F755" t="inlineStr">
        <is>
          <t>SCA</t>
        </is>
      </c>
      <c r="G755" t="n">
        <v>21.9</v>
      </c>
      <c r="H755" t="n">
        <v>0</v>
      </c>
      <c r="I755" t="n">
        <v>0</v>
      </c>
      <c r="J755" t="n">
        <v>0</v>
      </c>
      <c r="K755" t="n">
        <v>0</v>
      </c>
      <c r="L755" t="n">
        <v>0</v>
      </c>
      <c r="M755" t="n">
        <v>0</v>
      </c>
      <c r="N755" t="n">
        <v>0</v>
      </c>
      <c r="O755" t="n">
        <v>0</v>
      </c>
      <c r="P755" t="n">
        <v>0</v>
      </c>
      <c r="Q755" t="n">
        <v>0</v>
      </c>
      <c r="R755" s="2" t="inlineStr"/>
    </row>
    <row r="756" ht="15" customHeight="1">
      <c r="A756" t="inlineStr">
        <is>
          <t>A 54195-2025</t>
        </is>
      </c>
      <c r="B756" s="1" t="n">
        <v>45964.57413194444</v>
      </c>
      <c r="C756" s="1" t="n">
        <v>46051</v>
      </c>
      <c r="D756" t="inlineStr">
        <is>
          <t>JÄMTLANDS LÄN</t>
        </is>
      </c>
      <c r="E756" t="inlineStr">
        <is>
          <t>RAGUNDA</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15672-2021</t>
        </is>
      </c>
      <c r="B757" s="1" t="n">
        <v>44286</v>
      </c>
      <c r="C757" s="1" t="n">
        <v>46051</v>
      </c>
      <c r="D757" t="inlineStr">
        <is>
          <t>JÄMTLANDS LÄN</t>
        </is>
      </c>
      <c r="E757" t="inlineStr">
        <is>
          <t>RAGUNDA</t>
        </is>
      </c>
      <c r="G757" t="n">
        <v>1.7</v>
      </c>
      <c r="H757" t="n">
        <v>0</v>
      </c>
      <c r="I757" t="n">
        <v>0</v>
      </c>
      <c r="J757" t="n">
        <v>0</v>
      </c>
      <c r="K757" t="n">
        <v>0</v>
      </c>
      <c r="L757" t="n">
        <v>0</v>
      </c>
      <c r="M757" t="n">
        <v>0</v>
      </c>
      <c r="N757" t="n">
        <v>0</v>
      </c>
      <c r="O757" t="n">
        <v>0</v>
      </c>
      <c r="P757" t="n">
        <v>0</v>
      </c>
      <c r="Q757" t="n">
        <v>0</v>
      </c>
      <c r="R757" s="2" t="inlineStr"/>
    </row>
    <row r="758" ht="15" customHeight="1">
      <c r="A758" t="inlineStr">
        <is>
          <t>A 50650-2023</t>
        </is>
      </c>
      <c r="B758" s="1" t="n">
        <v>45210</v>
      </c>
      <c r="C758" s="1" t="n">
        <v>46051</v>
      </c>
      <c r="D758" t="inlineStr">
        <is>
          <t>JÄMTLANDS LÄN</t>
        </is>
      </c>
      <c r="E758" t="inlineStr">
        <is>
          <t>RAGUNDA</t>
        </is>
      </c>
      <c r="G758" t="n">
        <v>1.3</v>
      </c>
      <c r="H758" t="n">
        <v>0</v>
      </c>
      <c r="I758" t="n">
        <v>0</v>
      </c>
      <c r="J758" t="n">
        <v>0</v>
      </c>
      <c r="K758" t="n">
        <v>0</v>
      </c>
      <c r="L758" t="n">
        <v>0</v>
      </c>
      <c r="M758" t="n">
        <v>0</v>
      </c>
      <c r="N758" t="n">
        <v>0</v>
      </c>
      <c r="O758" t="n">
        <v>0</v>
      </c>
      <c r="P758" t="n">
        <v>0</v>
      </c>
      <c r="Q758" t="n">
        <v>0</v>
      </c>
      <c r="R758" s="2" t="inlineStr"/>
    </row>
    <row r="759" ht="15" customHeight="1">
      <c r="A759" t="inlineStr">
        <is>
          <t>A 564-2025</t>
        </is>
      </c>
      <c r="B759" s="1" t="n">
        <v>45664.55241898148</v>
      </c>
      <c r="C759" s="1" t="n">
        <v>46051</v>
      </c>
      <c r="D759" t="inlineStr">
        <is>
          <t>JÄMTLANDS LÄN</t>
        </is>
      </c>
      <c r="E759" t="inlineStr">
        <is>
          <t>RAGUNDA</t>
        </is>
      </c>
      <c r="F759" t="inlineStr">
        <is>
          <t>SCA</t>
        </is>
      </c>
      <c r="G759" t="n">
        <v>7</v>
      </c>
      <c r="H759" t="n">
        <v>0</v>
      </c>
      <c r="I759" t="n">
        <v>0</v>
      </c>
      <c r="J759" t="n">
        <v>0</v>
      </c>
      <c r="K759" t="n">
        <v>0</v>
      </c>
      <c r="L759" t="n">
        <v>0</v>
      </c>
      <c r="M759" t="n">
        <v>0</v>
      </c>
      <c r="N759" t="n">
        <v>0</v>
      </c>
      <c r="O759" t="n">
        <v>0</v>
      </c>
      <c r="P759" t="n">
        <v>0</v>
      </c>
      <c r="Q759" t="n">
        <v>0</v>
      </c>
      <c r="R759" s="2" t="inlineStr"/>
    </row>
    <row r="760" ht="15" customHeight="1">
      <c r="A760" t="inlineStr">
        <is>
          <t>A 53948-2025</t>
        </is>
      </c>
      <c r="B760" s="1" t="n">
        <v>45961.50033564815</v>
      </c>
      <c r="C760" s="1" t="n">
        <v>46051</v>
      </c>
      <c r="D760" t="inlineStr">
        <is>
          <t>JÄMTLANDS LÄN</t>
        </is>
      </c>
      <c r="E760" t="inlineStr">
        <is>
          <t>RAGUNDA</t>
        </is>
      </c>
      <c r="G760" t="n">
        <v>7.9</v>
      </c>
      <c r="H760" t="n">
        <v>0</v>
      </c>
      <c r="I760" t="n">
        <v>0</v>
      </c>
      <c r="J760" t="n">
        <v>0</v>
      </c>
      <c r="K760" t="n">
        <v>0</v>
      </c>
      <c r="L760" t="n">
        <v>0</v>
      </c>
      <c r="M760" t="n">
        <v>0</v>
      </c>
      <c r="N760" t="n">
        <v>0</v>
      </c>
      <c r="O760" t="n">
        <v>0</v>
      </c>
      <c r="P760" t="n">
        <v>0</v>
      </c>
      <c r="Q760" t="n">
        <v>0</v>
      </c>
      <c r="R760" s="2" t="inlineStr"/>
    </row>
    <row r="761" ht="15" customHeight="1">
      <c r="A761" t="inlineStr">
        <is>
          <t>A 53973-2025</t>
        </is>
      </c>
      <c r="B761" s="1" t="n">
        <v>45961.55246527777</v>
      </c>
      <c r="C761" s="1" t="n">
        <v>46051</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row>
    <row r="762" ht="15" customHeight="1">
      <c r="A762" t="inlineStr">
        <is>
          <t>A 54396-2025</t>
        </is>
      </c>
      <c r="B762" s="1" t="n">
        <v>45965.44849537037</v>
      </c>
      <c r="C762" s="1" t="n">
        <v>46051</v>
      </c>
      <c r="D762" t="inlineStr">
        <is>
          <t>JÄMTLANDS LÄN</t>
        </is>
      </c>
      <c r="E762" t="inlineStr">
        <is>
          <t>RAGUNDA</t>
        </is>
      </c>
      <c r="F762" t="inlineStr">
        <is>
          <t>SCA</t>
        </is>
      </c>
      <c r="G762" t="n">
        <v>35.2</v>
      </c>
      <c r="H762" t="n">
        <v>0</v>
      </c>
      <c r="I762" t="n">
        <v>0</v>
      </c>
      <c r="J762" t="n">
        <v>0</v>
      </c>
      <c r="K762" t="n">
        <v>0</v>
      </c>
      <c r="L762" t="n">
        <v>0</v>
      </c>
      <c r="M762" t="n">
        <v>0</v>
      </c>
      <c r="N762" t="n">
        <v>0</v>
      </c>
      <c r="O762" t="n">
        <v>0</v>
      </c>
      <c r="P762" t="n">
        <v>0</v>
      </c>
      <c r="Q762" t="n">
        <v>0</v>
      </c>
      <c r="R762" s="2" t="inlineStr"/>
    </row>
    <row r="763" ht="15" customHeight="1">
      <c r="A763" t="inlineStr">
        <is>
          <t>A 50157-2023</t>
        </is>
      </c>
      <c r="B763" s="1" t="n">
        <v>45208</v>
      </c>
      <c r="C763" s="1" t="n">
        <v>46051</v>
      </c>
      <c r="D763" t="inlineStr">
        <is>
          <t>JÄMTLANDS LÄN</t>
        </is>
      </c>
      <c r="E763" t="inlineStr">
        <is>
          <t>RAGUNDA</t>
        </is>
      </c>
      <c r="G763" t="n">
        <v>0.9</v>
      </c>
      <c r="H763" t="n">
        <v>0</v>
      </c>
      <c r="I763" t="n">
        <v>0</v>
      </c>
      <c r="J763" t="n">
        <v>0</v>
      </c>
      <c r="K763" t="n">
        <v>0</v>
      </c>
      <c r="L763" t="n">
        <v>0</v>
      </c>
      <c r="M763" t="n">
        <v>0</v>
      </c>
      <c r="N763" t="n">
        <v>0</v>
      </c>
      <c r="O763" t="n">
        <v>0</v>
      </c>
      <c r="P763" t="n">
        <v>0</v>
      </c>
      <c r="Q763" t="n">
        <v>0</v>
      </c>
      <c r="R763" s="2" t="inlineStr"/>
    </row>
    <row r="764" ht="15" customHeight="1">
      <c r="A764" t="inlineStr">
        <is>
          <t>A 3767-2025</t>
        </is>
      </c>
      <c r="B764" s="1" t="n">
        <v>45681.60203703704</v>
      </c>
      <c r="C764" s="1" t="n">
        <v>46051</v>
      </c>
      <c r="D764" t="inlineStr">
        <is>
          <t>JÄMTLANDS LÄN</t>
        </is>
      </c>
      <c r="E764" t="inlineStr">
        <is>
          <t>RAGUNDA</t>
        </is>
      </c>
      <c r="G764" t="n">
        <v>4.9</v>
      </c>
      <c r="H764" t="n">
        <v>0</v>
      </c>
      <c r="I764" t="n">
        <v>0</v>
      </c>
      <c r="J764" t="n">
        <v>0</v>
      </c>
      <c r="K764" t="n">
        <v>0</v>
      </c>
      <c r="L764" t="n">
        <v>0</v>
      </c>
      <c r="M764" t="n">
        <v>0</v>
      </c>
      <c r="N764" t="n">
        <v>0</v>
      </c>
      <c r="O764" t="n">
        <v>0</v>
      </c>
      <c r="P764" t="n">
        <v>0</v>
      </c>
      <c r="Q764" t="n">
        <v>0</v>
      </c>
      <c r="R764" s="2" t="inlineStr"/>
    </row>
    <row r="765" ht="15" customHeight="1">
      <c r="A765" t="inlineStr">
        <is>
          <t>A 58909-2025</t>
        </is>
      </c>
      <c r="B765" s="1" t="n">
        <v>45987</v>
      </c>
      <c r="C765" s="1" t="n">
        <v>46051</v>
      </c>
      <c r="D765" t="inlineStr">
        <is>
          <t>JÄMTLANDS LÄN</t>
        </is>
      </c>
      <c r="E765" t="inlineStr">
        <is>
          <t>RAGUNDA</t>
        </is>
      </c>
      <c r="G765" t="n">
        <v>9.5</v>
      </c>
      <c r="H765" t="n">
        <v>0</v>
      </c>
      <c r="I765" t="n">
        <v>0</v>
      </c>
      <c r="J765" t="n">
        <v>0</v>
      </c>
      <c r="K765" t="n">
        <v>0</v>
      </c>
      <c r="L765" t="n">
        <v>0</v>
      </c>
      <c r="M765" t="n">
        <v>0</v>
      </c>
      <c r="N765" t="n">
        <v>0</v>
      </c>
      <c r="O765" t="n">
        <v>0</v>
      </c>
      <c r="P765" t="n">
        <v>0</v>
      </c>
      <c r="Q765" t="n">
        <v>0</v>
      </c>
      <c r="R765" s="2" t="inlineStr"/>
    </row>
    <row r="766" ht="15" customHeight="1">
      <c r="A766" t="inlineStr">
        <is>
          <t>A 3186-2025</t>
        </is>
      </c>
      <c r="B766" s="1" t="n">
        <v>45679.40362268518</v>
      </c>
      <c r="C766" s="1" t="n">
        <v>46051</v>
      </c>
      <c r="D766" t="inlineStr">
        <is>
          <t>JÄMTLANDS LÄN</t>
        </is>
      </c>
      <c r="E766" t="inlineStr">
        <is>
          <t>RAGUNDA</t>
        </is>
      </c>
      <c r="G766" t="n">
        <v>5.2</v>
      </c>
      <c r="H766" t="n">
        <v>0</v>
      </c>
      <c r="I766" t="n">
        <v>0</v>
      </c>
      <c r="J766" t="n">
        <v>0</v>
      </c>
      <c r="K766" t="n">
        <v>0</v>
      </c>
      <c r="L766" t="n">
        <v>0</v>
      </c>
      <c r="M766" t="n">
        <v>0</v>
      </c>
      <c r="N766" t="n">
        <v>0</v>
      </c>
      <c r="O766" t="n">
        <v>0</v>
      </c>
      <c r="P766" t="n">
        <v>0</v>
      </c>
      <c r="Q766" t="n">
        <v>0</v>
      </c>
      <c r="R766" s="2" t="inlineStr"/>
    </row>
    <row r="767" ht="15" customHeight="1">
      <c r="A767" t="inlineStr">
        <is>
          <t>A 54820-2025</t>
        </is>
      </c>
      <c r="B767" s="1" t="n">
        <v>45966.65728009259</v>
      </c>
      <c r="C767" s="1" t="n">
        <v>46051</v>
      </c>
      <c r="D767" t="inlineStr">
        <is>
          <t>JÄMTLANDS LÄN</t>
        </is>
      </c>
      <c r="E767" t="inlineStr">
        <is>
          <t>RAGUNDA</t>
        </is>
      </c>
      <c r="G767" t="n">
        <v>15.3</v>
      </c>
      <c r="H767" t="n">
        <v>0</v>
      </c>
      <c r="I767" t="n">
        <v>0</v>
      </c>
      <c r="J767" t="n">
        <v>0</v>
      </c>
      <c r="K767" t="n">
        <v>0</v>
      </c>
      <c r="L767" t="n">
        <v>0</v>
      </c>
      <c r="M767" t="n">
        <v>0</v>
      </c>
      <c r="N767" t="n">
        <v>0</v>
      </c>
      <c r="O767" t="n">
        <v>0</v>
      </c>
      <c r="P767" t="n">
        <v>0</v>
      </c>
      <c r="Q767" t="n">
        <v>0</v>
      </c>
      <c r="R767" s="2" t="inlineStr"/>
    </row>
    <row r="768" ht="15" customHeight="1">
      <c r="A768" t="inlineStr">
        <is>
          <t>A 1308-2025</t>
        </is>
      </c>
      <c r="B768" s="1" t="n">
        <v>45667.55239583334</v>
      </c>
      <c r="C768" s="1" t="n">
        <v>46051</v>
      </c>
      <c r="D768" t="inlineStr">
        <is>
          <t>JÄMTLANDS LÄN</t>
        </is>
      </c>
      <c r="E768" t="inlineStr">
        <is>
          <t>RAGUNDA</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50160-2023</t>
        </is>
      </c>
      <c r="B769" s="1" t="n">
        <v>45208</v>
      </c>
      <c r="C769" s="1" t="n">
        <v>46051</v>
      </c>
      <c r="D769" t="inlineStr">
        <is>
          <t>JÄMTLANDS LÄN</t>
        </is>
      </c>
      <c r="E769" t="inlineStr">
        <is>
          <t>RAGUNDA</t>
        </is>
      </c>
      <c r="G769" t="n">
        <v>4.6</v>
      </c>
      <c r="H769" t="n">
        <v>0</v>
      </c>
      <c r="I769" t="n">
        <v>0</v>
      </c>
      <c r="J769" t="n">
        <v>0</v>
      </c>
      <c r="K769" t="n">
        <v>0</v>
      </c>
      <c r="L769" t="n">
        <v>0</v>
      </c>
      <c r="M769" t="n">
        <v>0</v>
      </c>
      <c r="N769" t="n">
        <v>0</v>
      </c>
      <c r="O769" t="n">
        <v>0</v>
      </c>
      <c r="P769" t="n">
        <v>0</v>
      </c>
      <c r="Q769" t="n">
        <v>0</v>
      </c>
      <c r="R769" s="2" t="inlineStr"/>
    </row>
    <row r="770" ht="15" customHeight="1">
      <c r="A770" t="inlineStr">
        <is>
          <t>A 54794-2025</t>
        </is>
      </c>
      <c r="B770" s="1" t="n">
        <v>45966.63592592593</v>
      </c>
      <c r="C770" s="1" t="n">
        <v>46051</v>
      </c>
      <c r="D770" t="inlineStr">
        <is>
          <t>JÄMTLANDS LÄN</t>
        </is>
      </c>
      <c r="E770" t="inlineStr">
        <is>
          <t>RAGUNDA</t>
        </is>
      </c>
      <c r="G770" t="n">
        <v>4</v>
      </c>
      <c r="H770" t="n">
        <v>0</v>
      </c>
      <c r="I770" t="n">
        <v>0</v>
      </c>
      <c r="J770" t="n">
        <v>0</v>
      </c>
      <c r="K770" t="n">
        <v>0</v>
      </c>
      <c r="L770" t="n">
        <v>0</v>
      </c>
      <c r="M770" t="n">
        <v>0</v>
      </c>
      <c r="N770" t="n">
        <v>0</v>
      </c>
      <c r="O770" t="n">
        <v>0</v>
      </c>
      <c r="P770" t="n">
        <v>0</v>
      </c>
      <c r="Q770" t="n">
        <v>0</v>
      </c>
      <c r="R770" s="2" t="inlineStr"/>
    </row>
    <row r="771" ht="15" customHeight="1">
      <c r="A771" t="inlineStr">
        <is>
          <t>A 41262-2021</t>
        </is>
      </c>
      <c r="B771" s="1" t="n">
        <v>44424</v>
      </c>
      <c r="C771" s="1" t="n">
        <v>46051</v>
      </c>
      <c r="D771" t="inlineStr">
        <is>
          <t>JÄMTLANDS LÄN</t>
        </is>
      </c>
      <c r="E771" t="inlineStr">
        <is>
          <t>RAGUNDA</t>
        </is>
      </c>
      <c r="G771" t="n">
        <v>2.6</v>
      </c>
      <c r="H771" t="n">
        <v>0</v>
      </c>
      <c r="I771" t="n">
        <v>0</v>
      </c>
      <c r="J771" t="n">
        <v>0</v>
      </c>
      <c r="K771" t="n">
        <v>0</v>
      </c>
      <c r="L771" t="n">
        <v>0</v>
      </c>
      <c r="M771" t="n">
        <v>0</v>
      </c>
      <c r="N771" t="n">
        <v>0</v>
      </c>
      <c r="O771" t="n">
        <v>0</v>
      </c>
      <c r="P771" t="n">
        <v>0</v>
      </c>
      <c r="Q771" t="n">
        <v>0</v>
      </c>
      <c r="R771" s="2" t="inlineStr"/>
    </row>
    <row r="772" ht="15" customHeight="1">
      <c r="A772" t="inlineStr">
        <is>
          <t>A 36371-2023</t>
        </is>
      </c>
      <c r="B772" s="1" t="n">
        <v>45149</v>
      </c>
      <c r="C772" s="1" t="n">
        <v>46051</v>
      </c>
      <c r="D772" t="inlineStr">
        <is>
          <t>JÄMTLANDS LÄN</t>
        </is>
      </c>
      <c r="E772" t="inlineStr">
        <is>
          <t>RAGUNDA</t>
        </is>
      </c>
      <c r="G772" t="n">
        <v>25.7</v>
      </c>
      <c r="H772" t="n">
        <v>0</v>
      </c>
      <c r="I772" t="n">
        <v>0</v>
      </c>
      <c r="J772" t="n">
        <v>0</v>
      </c>
      <c r="K772" t="n">
        <v>0</v>
      </c>
      <c r="L772" t="n">
        <v>0</v>
      </c>
      <c r="M772" t="n">
        <v>0</v>
      </c>
      <c r="N772" t="n">
        <v>0</v>
      </c>
      <c r="O772" t="n">
        <v>0</v>
      </c>
      <c r="P772" t="n">
        <v>0</v>
      </c>
      <c r="Q772" t="n">
        <v>0</v>
      </c>
      <c r="R772" s="2" t="inlineStr"/>
    </row>
    <row r="773" ht="15" customHeight="1">
      <c r="A773" t="inlineStr">
        <is>
          <t>A 51579-2024</t>
        </is>
      </c>
      <c r="B773" s="1" t="n">
        <v>45604.63575231482</v>
      </c>
      <c r="C773" s="1" t="n">
        <v>46051</v>
      </c>
      <c r="D773" t="inlineStr">
        <is>
          <t>JÄMTLANDS LÄN</t>
        </is>
      </c>
      <c r="E773" t="inlineStr">
        <is>
          <t>RAGUNDA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63060-2025</t>
        </is>
      </c>
      <c r="B774" s="1" t="n">
        <v>46009.64414351852</v>
      </c>
      <c r="C774" s="1" t="n">
        <v>46051</v>
      </c>
      <c r="D774" t="inlineStr">
        <is>
          <t>JÄMTLANDS LÄN</t>
        </is>
      </c>
      <c r="E774" t="inlineStr">
        <is>
          <t>RAGUNDA</t>
        </is>
      </c>
      <c r="G774" t="n">
        <v>6.5</v>
      </c>
      <c r="H774" t="n">
        <v>0</v>
      </c>
      <c r="I774" t="n">
        <v>0</v>
      </c>
      <c r="J774" t="n">
        <v>0</v>
      </c>
      <c r="K774" t="n">
        <v>0</v>
      </c>
      <c r="L774" t="n">
        <v>0</v>
      </c>
      <c r="M774" t="n">
        <v>0</v>
      </c>
      <c r="N774" t="n">
        <v>0</v>
      </c>
      <c r="O774" t="n">
        <v>0</v>
      </c>
      <c r="P774" t="n">
        <v>0</v>
      </c>
      <c r="Q774" t="n">
        <v>0</v>
      </c>
      <c r="R774" s="2" t="inlineStr"/>
    </row>
    <row r="775" ht="15" customHeight="1">
      <c r="A775" t="inlineStr">
        <is>
          <t>A 63057-2025</t>
        </is>
      </c>
      <c r="B775" s="1" t="n">
        <v>46009.63837962963</v>
      </c>
      <c r="C775" s="1" t="n">
        <v>46051</v>
      </c>
      <c r="D775" t="inlineStr">
        <is>
          <t>JÄMTLANDS LÄN</t>
        </is>
      </c>
      <c r="E775" t="inlineStr">
        <is>
          <t>RAGUNDA</t>
        </is>
      </c>
      <c r="G775" t="n">
        <v>13.7</v>
      </c>
      <c r="H775" t="n">
        <v>0</v>
      </c>
      <c r="I775" t="n">
        <v>0</v>
      </c>
      <c r="J775" t="n">
        <v>0</v>
      </c>
      <c r="K775" t="n">
        <v>0</v>
      </c>
      <c r="L775" t="n">
        <v>0</v>
      </c>
      <c r="M775" t="n">
        <v>0</v>
      </c>
      <c r="N775" t="n">
        <v>0</v>
      </c>
      <c r="O775" t="n">
        <v>0</v>
      </c>
      <c r="P775" t="n">
        <v>0</v>
      </c>
      <c r="Q775" t="n">
        <v>0</v>
      </c>
      <c r="R775" s="2" t="inlineStr"/>
    </row>
    <row r="776" ht="15" customHeight="1">
      <c r="A776" t="inlineStr">
        <is>
          <t>A 62927-2025</t>
        </is>
      </c>
      <c r="B776" s="1" t="n">
        <v>46009.38609953703</v>
      </c>
      <c r="C776" s="1" t="n">
        <v>46051</v>
      </c>
      <c r="D776" t="inlineStr">
        <is>
          <t>JÄMTLANDS LÄN</t>
        </is>
      </c>
      <c r="E776" t="inlineStr">
        <is>
          <t>RAGUNDA</t>
        </is>
      </c>
      <c r="G776" t="n">
        <v>6.3</v>
      </c>
      <c r="H776" t="n">
        <v>0</v>
      </c>
      <c r="I776" t="n">
        <v>0</v>
      </c>
      <c r="J776" t="n">
        <v>0</v>
      </c>
      <c r="K776" t="n">
        <v>0</v>
      </c>
      <c r="L776" t="n">
        <v>0</v>
      </c>
      <c r="M776" t="n">
        <v>0</v>
      </c>
      <c r="N776" t="n">
        <v>0</v>
      </c>
      <c r="O776" t="n">
        <v>0</v>
      </c>
      <c r="P776" t="n">
        <v>0</v>
      </c>
      <c r="Q776" t="n">
        <v>0</v>
      </c>
      <c r="R776" s="2" t="inlineStr"/>
      <c r="U776">
        <f>HYPERLINK("https://klasma.github.io/Logging_2303/knärot/A 62927-2025 karta knärot.png", "A 62927-2025")</f>
        <v/>
      </c>
      <c r="V776">
        <f>HYPERLINK("https://klasma.github.io/Logging_2303/klagomål/A 62927-2025 FSC-klagomål.docx", "A 62927-2025")</f>
        <v/>
      </c>
      <c r="W776">
        <f>HYPERLINK("https://klasma.github.io/Logging_2303/klagomålsmail/A 62927-2025 FSC-klagomål mail.docx", "A 62927-2025")</f>
        <v/>
      </c>
      <c r="X776">
        <f>HYPERLINK("https://klasma.github.io/Logging_2303/tillsyn/A 62927-2025 tillsynsbegäran.docx", "A 62927-2025")</f>
        <v/>
      </c>
      <c r="Y776">
        <f>HYPERLINK("https://klasma.github.io/Logging_2303/tillsynsmail/A 62927-2025 tillsynsbegäran mail.docx", "A 62927-2025")</f>
        <v/>
      </c>
    </row>
    <row r="777" ht="15" customHeight="1">
      <c r="A777" t="inlineStr">
        <is>
          <t>A 63141-2025</t>
        </is>
      </c>
      <c r="B777" s="1" t="n">
        <v>46010.34440972222</v>
      </c>
      <c r="C777" s="1" t="n">
        <v>46051</v>
      </c>
      <c r="D777" t="inlineStr">
        <is>
          <t>JÄMTLANDS LÄN</t>
        </is>
      </c>
      <c r="E777" t="inlineStr">
        <is>
          <t>RAGUNDA</t>
        </is>
      </c>
      <c r="F777" t="inlineStr">
        <is>
          <t>SCA</t>
        </is>
      </c>
      <c r="G777" t="n">
        <v>24.4</v>
      </c>
      <c r="H777" t="n">
        <v>0</v>
      </c>
      <c r="I777" t="n">
        <v>0</v>
      </c>
      <c r="J777" t="n">
        <v>0</v>
      </c>
      <c r="K777" t="n">
        <v>0</v>
      </c>
      <c r="L777" t="n">
        <v>0</v>
      </c>
      <c r="M777" t="n">
        <v>0</v>
      </c>
      <c r="N777" t="n">
        <v>0</v>
      </c>
      <c r="O777" t="n">
        <v>0</v>
      </c>
      <c r="P777" t="n">
        <v>0</v>
      </c>
      <c r="Q777" t="n">
        <v>0</v>
      </c>
      <c r="R777" s="2" t="inlineStr"/>
    </row>
    <row r="778" ht="15" customHeight="1">
      <c r="A778" t="inlineStr">
        <is>
          <t>A 55633-2025</t>
        </is>
      </c>
      <c r="B778" s="1" t="n">
        <v>45972</v>
      </c>
      <c r="C778" s="1" t="n">
        <v>46051</v>
      </c>
      <c r="D778" t="inlineStr">
        <is>
          <t>JÄMTLANDS LÄN</t>
        </is>
      </c>
      <c r="E778" t="inlineStr">
        <is>
          <t>RAGUNDA</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55547-2025</t>
        </is>
      </c>
      <c r="B779" s="1" t="n">
        <v>45971</v>
      </c>
      <c r="C779" s="1" t="n">
        <v>46051</v>
      </c>
      <c r="D779" t="inlineStr">
        <is>
          <t>JÄMTLANDS LÄN</t>
        </is>
      </c>
      <c r="E779" t="inlineStr">
        <is>
          <t>RAGUNDA</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44630-2023</t>
        </is>
      </c>
      <c r="B780" s="1" t="n">
        <v>45184</v>
      </c>
      <c r="C780" s="1" t="n">
        <v>46051</v>
      </c>
      <c r="D780" t="inlineStr">
        <is>
          <t>JÄMTLANDS LÄN</t>
        </is>
      </c>
      <c r="E780" t="inlineStr">
        <is>
          <t>RAGUNDA</t>
        </is>
      </c>
      <c r="G780" t="n">
        <v>3.4</v>
      </c>
      <c r="H780" t="n">
        <v>0</v>
      </c>
      <c r="I780" t="n">
        <v>0</v>
      </c>
      <c r="J780" t="n">
        <v>0</v>
      </c>
      <c r="K780" t="n">
        <v>0</v>
      </c>
      <c r="L780" t="n">
        <v>0</v>
      </c>
      <c r="M780" t="n">
        <v>0</v>
      </c>
      <c r="N780" t="n">
        <v>0</v>
      </c>
      <c r="O780" t="n">
        <v>0</v>
      </c>
      <c r="P780" t="n">
        <v>0</v>
      </c>
      <c r="Q780" t="n">
        <v>0</v>
      </c>
      <c r="R780" s="2" t="inlineStr"/>
    </row>
    <row r="781" ht="15" customHeight="1">
      <c r="A781" t="inlineStr">
        <is>
          <t>A 63578-2025</t>
        </is>
      </c>
      <c r="B781" s="1" t="n">
        <v>46013.67690972222</v>
      </c>
      <c r="C781" s="1" t="n">
        <v>46051</v>
      </c>
      <c r="D781" t="inlineStr">
        <is>
          <t>JÄMTLANDS LÄN</t>
        </is>
      </c>
      <c r="E781" t="inlineStr">
        <is>
          <t>RAGUNDA</t>
        </is>
      </c>
      <c r="G781" t="n">
        <v>2.7</v>
      </c>
      <c r="H781" t="n">
        <v>0</v>
      </c>
      <c r="I781" t="n">
        <v>0</v>
      </c>
      <c r="J781" t="n">
        <v>0</v>
      </c>
      <c r="K781" t="n">
        <v>0</v>
      </c>
      <c r="L781" t="n">
        <v>0</v>
      </c>
      <c r="M781" t="n">
        <v>0</v>
      </c>
      <c r="N781" t="n">
        <v>0</v>
      </c>
      <c r="O781" t="n">
        <v>0</v>
      </c>
      <c r="P781" t="n">
        <v>0</v>
      </c>
      <c r="Q781" t="n">
        <v>0</v>
      </c>
      <c r="R781" s="2" t="inlineStr"/>
    </row>
    <row r="782" ht="15" customHeight="1">
      <c r="A782" t="inlineStr">
        <is>
          <t>A 63672-2025</t>
        </is>
      </c>
      <c r="B782" s="1" t="n">
        <v>46014.47575231481</v>
      </c>
      <c r="C782" s="1" t="n">
        <v>46051</v>
      </c>
      <c r="D782" t="inlineStr">
        <is>
          <t>JÄMTLANDS LÄN</t>
        </is>
      </c>
      <c r="E782" t="inlineStr">
        <is>
          <t>RAGUNDA</t>
        </is>
      </c>
      <c r="G782" t="n">
        <v>0.8</v>
      </c>
      <c r="H782" t="n">
        <v>0</v>
      </c>
      <c r="I782" t="n">
        <v>0</v>
      </c>
      <c r="J782" t="n">
        <v>0</v>
      </c>
      <c r="K782" t="n">
        <v>0</v>
      </c>
      <c r="L782" t="n">
        <v>0</v>
      </c>
      <c r="M782" t="n">
        <v>0</v>
      </c>
      <c r="N782" t="n">
        <v>0</v>
      </c>
      <c r="O782" t="n">
        <v>0</v>
      </c>
      <c r="P782" t="n">
        <v>0</v>
      </c>
      <c r="Q782" t="n">
        <v>0</v>
      </c>
      <c r="R782" s="2" t="inlineStr"/>
    </row>
    <row r="783" ht="15" customHeight="1">
      <c r="A783" t="inlineStr">
        <is>
          <t>A 12522-2023</t>
        </is>
      </c>
      <c r="B783" s="1" t="n">
        <v>45000</v>
      </c>
      <c r="C783" s="1" t="n">
        <v>46051</v>
      </c>
      <c r="D783" t="inlineStr">
        <is>
          <t>JÄMTLANDS LÄN</t>
        </is>
      </c>
      <c r="E783" t="inlineStr">
        <is>
          <t>RAGUNDA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12523-2023</t>
        </is>
      </c>
      <c r="B784" s="1" t="n">
        <v>45000</v>
      </c>
      <c r="C784" s="1" t="n">
        <v>46051</v>
      </c>
      <c r="D784" t="inlineStr">
        <is>
          <t>JÄMTLANDS LÄN</t>
        </is>
      </c>
      <c r="E784" t="inlineStr">
        <is>
          <t>RAGUNDA</t>
        </is>
      </c>
      <c r="F784" t="inlineStr">
        <is>
          <t>SCA</t>
        </is>
      </c>
      <c r="G784" t="n">
        <v>14.3</v>
      </c>
      <c r="H784" t="n">
        <v>0</v>
      </c>
      <c r="I784" t="n">
        <v>0</v>
      </c>
      <c r="J784" t="n">
        <v>0</v>
      </c>
      <c r="K784" t="n">
        <v>0</v>
      </c>
      <c r="L784" t="n">
        <v>0</v>
      </c>
      <c r="M784" t="n">
        <v>0</v>
      </c>
      <c r="N784" t="n">
        <v>0</v>
      </c>
      <c r="O784" t="n">
        <v>0</v>
      </c>
      <c r="P784" t="n">
        <v>0</v>
      </c>
      <c r="Q784" t="n">
        <v>0</v>
      </c>
      <c r="R784" s="2" t="inlineStr"/>
    </row>
    <row r="785" ht="15" customHeight="1">
      <c r="A785" t="inlineStr">
        <is>
          <t>A 36246-2024</t>
        </is>
      </c>
      <c r="B785" s="1" t="n">
        <v>45534</v>
      </c>
      <c r="C785" s="1" t="n">
        <v>46051</v>
      </c>
      <c r="D785" t="inlineStr">
        <is>
          <t>JÄMTLANDS LÄN</t>
        </is>
      </c>
      <c r="E785" t="inlineStr">
        <is>
          <t>RAGUNDA</t>
        </is>
      </c>
      <c r="G785" t="n">
        <v>1.6</v>
      </c>
      <c r="H785" t="n">
        <v>0</v>
      </c>
      <c r="I785" t="n">
        <v>0</v>
      </c>
      <c r="J785" t="n">
        <v>0</v>
      </c>
      <c r="K785" t="n">
        <v>0</v>
      </c>
      <c r="L785" t="n">
        <v>0</v>
      </c>
      <c r="M785" t="n">
        <v>0</v>
      </c>
      <c r="N785" t="n">
        <v>0</v>
      </c>
      <c r="O785" t="n">
        <v>0</v>
      </c>
      <c r="P785" t="n">
        <v>0</v>
      </c>
      <c r="Q785" t="n">
        <v>0</v>
      </c>
      <c r="R785" s="2" t="inlineStr"/>
    </row>
    <row r="786" ht="15" customHeight="1">
      <c r="A786" t="inlineStr">
        <is>
          <t>A 55671-2025</t>
        </is>
      </c>
      <c r="B786" s="1" t="n">
        <v>45972</v>
      </c>
      <c r="C786" s="1" t="n">
        <v>46051</v>
      </c>
      <c r="D786" t="inlineStr">
        <is>
          <t>JÄMTLANDS LÄN</t>
        </is>
      </c>
      <c r="E786" t="inlineStr">
        <is>
          <t>RAGUNDA</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63671-2025</t>
        </is>
      </c>
      <c r="B787" s="1" t="n">
        <v>46014.46555555556</v>
      </c>
      <c r="C787" s="1" t="n">
        <v>46051</v>
      </c>
      <c r="D787" t="inlineStr">
        <is>
          <t>JÄMTLANDS LÄN</t>
        </is>
      </c>
      <c r="E787" t="inlineStr">
        <is>
          <t>RAGUNDA</t>
        </is>
      </c>
      <c r="G787" t="n">
        <v>0.9</v>
      </c>
      <c r="H787" t="n">
        <v>0</v>
      </c>
      <c r="I787" t="n">
        <v>0</v>
      </c>
      <c r="J787" t="n">
        <v>0</v>
      </c>
      <c r="K787" t="n">
        <v>0</v>
      </c>
      <c r="L787" t="n">
        <v>0</v>
      </c>
      <c r="M787" t="n">
        <v>0</v>
      </c>
      <c r="N787" t="n">
        <v>0</v>
      </c>
      <c r="O787" t="n">
        <v>0</v>
      </c>
      <c r="P787" t="n">
        <v>0</v>
      </c>
      <c r="Q787" t="n">
        <v>0</v>
      </c>
      <c r="R787" s="2" t="inlineStr"/>
    </row>
    <row r="788" ht="15" customHeight="1">
      <c r="A788" t="inlineStr">
        <is>
          <t>A 56170-2025</t>
        </is>
      </c>
      <c r="B788" s="1" t="n">
        <v>45974.39398148148</v>
      </c>
      <c r="C788" s="1" t="n">
        <v>46051</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32063-2024</t>
        </is>
      </c>
      <c r="B789" s="1" t="n">
        <v>45510</v>
      </c>
      <c r="C789" s="1" t="n">
        <v>46051</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5307-2025</t>
        </is>
      </c>
      <c r="B790" s="1" t="n">
        <v>45692.48993055556</v>
      </c>
      <c r="C790" s="1" t="n">
        <v>46051</v>
      </c>
      <c r="D790" t="inlineStr">
        <is>
          <t>JÄMTLANDS LÄN</t>
        </is>
      </c>
      <c r="E790" t="inlineStr">
        <is>
          <t>RAGUNDA</t>
        </is>
      </c>
      <c r="F790" t="inlineStr">
        <is>
          <t>SCA</t>
        </is>
      </c>
      <c r="G790" t="n">
        <v>20.9</v>
      </c>
      <c r="H790" t="n">
        <v>0</v>
      </c>
      <c r="I790" t="n">
        <v>0</v>
      </c>
      <c r="J790" t="n">
        <v>0</v>
      </c>
      <c r="K790" t="n">
        <v>0</v>
      </c>
      <c r="L790" t="n">
        <v>0</v>
      </c>
      <c r="M790" t="n">
        <v>0</v>
      </c>
      <c r="N790" t="n">
        <v>0</v>
      </c>
      <c r="O790" t="n">
        <v>0</v>
      </c>
      <c r="P790" t="n">
        <v>0</v>
      </c>
      <c r="Q790" t="n">
        <v>0</v>
      </c>
      <c r="R790" s="2" t="inlineStr"/>
    </row>
    <row r="791" ht="15" customHeight="1">
      <c r="A791" t="inlineStr">
        <is>
          <t>A 55897-2025</t>
        </is>
      </c>
      <c r="B791" s="1" t="n">
        <v>45973.38600694444</v>
      </c>
      <c r="C791" s="1" t="n">
        <v>46051</v>
      </c>
      <c r="D791" t="inlineStr">
        <is>
          <t>JÄMTLANDS LÄN</t>
        </is>
      </c>
      <c r="E791" t="inlineStr">
        <is>
          <t>RAGUNDA</t>
        </is>
      </c>
      <c r="F791" t="inlineStr">
        <is>
          <t>SCA</t>
        </is>
      </c>
      <c r="G791" t="n">
        <v>14.1</v>
      </c>
      <c r="H791" t="n">
        <v>0</v>
      </c>
      <c r="I791" t="n">
        <v>0</v>
      </c>
      <c r="J791" t="n">
        <v>0</v>
      </c>
      <c r="K791" t="n">
        <v>0</v>
      </c>
      <c r="L791" t="n">
        <v>0</v>
      </c>
      <c r="M791" t="n">
        <v>0</v>
      </c>
      <c r="N791" t="n">
        <v>0</v>
      </c>
      <c r="O791" t="n">
        <v>0</v>
      </c>
      <c r="P791" t="n">
        <v>0</v>
      </c>
      <c r="Q791" t="n">
        <v>0</v>
      </c>
      <c r="R791" s="2" t="inlineStr"/>
    </row>
    <row r="792" ht="15" customHeight="1">
      <c r="A792" t="inlineStr">
        <is>
          <t>A 48066-2022</t>
        </is>
      </c>
      <c r="B792" s="1" t="n">
        <v>44855</v>
      </c>
      <c r="C792" s="1" t="n">
        <v>46051</v>
      </c>
      <c r="D792" t="inlineStr">
        <is>
          <t>JÄMTLANDS LÄN</t>
        </is>
      </c>
      <c r="E792" t="inlineStr">
        <is>
          <t>RAGUNDA</t>
        </is>
      </c>
      <c r="F792" t="inlineStr">
        <is>
          <t>SCA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55797-2025</t>
        </is>
      </c>
      <c r="B793" s="1" t="n">
        <v>45972.65693287037</v>
      </c>
      <c r="C793" s="1" t="n">
        <v>46051</v>
      </c>
      <c r="D793" t="inlineStr">
        <is>
          <t>JÄMTLANDS LÄN</t>
        </is>
      </c>
      <c r="E793" t="inlineStr">
        <is>
          <t>RAGUNDA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26942-2021</t>
        </is>
      </c>
      <c r="B794" s="1" t="n">
        <v>44349.91978009259</v>
      </c>
      <c r="C794" s="1" t="n">
        <v>46051</v>
      </c>
      <c r="D794" t="inlineStr">
        <is>
          <t>JÄMTLANDS LÄN</t>
        </is>
      </c>
      <c r="E794" t="inlineStr">
        <is>
          <t>RAGUNDA</t>
        </is>
      </c>
      <c r="G794" t="n">
        <v>6.2</v>
      </c>
      <c r="H794" t="n">
        <v>0</v>
      </c>
      <c r="I794" t="n">
        <v>0</v>
      </c>
      <c r="J794" t="n">
        <v>0</v>
      </c>
      <c r="K794" t="n">
        <v>0</v>
      </c>
      <c r="L794" t="n">
        <v>0</v>
      </c>
      <c r="M794" t="n">
        <v>0</v>
      </c>
      <c r="N794" t="n">
        <v>0</v>
      </c>
      <c r="O794" t="n">
        <v>0</v>
      </c>
      <c r="P794" t="n">
        <v>0</v>
      </c>
      <c r="Q794" t="n">
        <v>0</v>
      </c>
      <c r="R794" s="2" t="inlineStr"/>
    </row>
    <row r="795" ht="15" customHeight="1">
      <c r="A795" t="inlineStr">
        <is>
          <t>A 56504-2024</t>
        </is>
      </c>
      <c r="B795" s="1" t="n">
        <v>45625.51068287037</v>
      </c>
      <c r="C795" s="1" t="n">
        <v>46051</v>
      </c>
      <c r="D795" t="inlineStr">
        <is>
          <t>JÄMTLANDS LÄN</t>
        </is>
      </c>
      <c r="E795" t="inlineStr">
        <is>
          <t>RAGUNDA</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56806-2025</t>
        </is>
      </c>
      <c r="B796" s="1" t="n">
        <v>45978.44842592593</v>
      </c>
      <c r="C796" s="1" t="n">
        <v>46051</v>
      </c>
      <c r="D796" t="inlineStr">
        <is>
          <t>JÄMTLANDS LÄN</t>
        </is>
      </c>
      <c r="E796" t="inlineStr">
        <is>
          <t>RAGUNDA</t>
        </is>
      </c>
      <c r="F796" t="inlineStr">
        <is>
          <t>SCA</t>
        </is>
      </c>
      <c r="G796" t="n">
        <v>7.5</v>
      </c>
      <c r="H796" t="n">
        <v>0</v>
      </c>
      <c r="I796" t="n">
        <v>0</v>
      </c>
      <c r="J796" t="n">
        <v>0</v>
      </c>
      <c r="K796" t="n">
        <v>0</v>
      </c>
      <c r="L796" t="n">
        <v>0</v>
      </c>
      <c r="M796" t="n">
        <v>0</v>
      </c>
      <c r="N796" t="n">
        <v>0</v>
      </c>
      <c r="O796" t="n">
        <v>0</v>
      </c>
      <c r="P796" t="n">
        <v>0</v>
      </c>
      <c r="Q796" t="n">
        <v>0</v>
      </c>
      <c r="R796" s="2" t="inlineStr"/>
    </row>
    <row r="797" ht="15" customHeight="1">
      <c r="A797" t="inlineStr">
        <is>
          <t>A 5938-2025</t>
        </is>
      </c>
      <c r="B797" s="1" t="n">
        <v>45695.45868055556</v>
      </c>
      <c r="C797" s="1" t="n">
        <v>46051</v>
      </c>
      <c r="D797" t="inlineStr">
        <is>
          <t>JÄMTLANDS LÄN</t>
        </is>
      </c>
      <c r="E797" t="inlineStr">
        <is>
          <t>RAGUNDA</t>
        </is>
      </c>
      <c r="G797" t="n">
        <v>1</v>
      </c>
      <c r="H797" t="n">
        <v>0</v>
      </c>
      <c r="I797" t="n">
        <v>0</v>
      </c>
      <c r="J797" t="n">
        <v>0</v>
      </c>
      <c r="K797" t="n">
        <v>0</v>
      </c>
      <c r="L797" t="n">
        <v>0</v>
      </c>
      <c r="M797" t="n">
        <v>0</v>
      </c>
      <c r="N797" t="n">
        <v>0</v>
      </c>
      <c r="O797" t="n">
        <v>0</v>
      </c>
      <c r="P797" t="n">
        <v>0</v>
      </c>
      <c r="Q797" t="n">
        <v>0</v>
      </c>
      <c r="R797" s="2" t="inlineStr"/>
    </row>
    <row r="798" ht="15" customHeight="1">
      <c r="A798" t="inlineStr">
        <is>
          <t>A 57111-2025</t>
        </is>
      </c>
      <c r="B798" s="1" t="n">
        <v>45978</v>
      </c>
      <c r="C798" s="1" t="n">
        <v>46051</v>
      </c>
      <c r="D798" t="inlineStr">
        <is>
          <t>JÄMTLANDS LÄN</t>
        </is>
      </c>
      <c r="E798" t="inlineStr">
        <is>
          <t>RAGUNDA</t>
        </is>
      </c>
      <c r="G798" t="n">
        <v>2.3</v>
      </c>
      <c r="H798" t="n">
        <v>0</v>
      </c>
      <c r="I798" t="n">
        <v>0</v>
      </c>
      <c r="J798" t="n">
        <v>0</v>
      </c>
      <c r="K798" t="n">
        <v>0</v>
      </c>
      <c r="L798" t="n">
        <v>0</v>
      </c>
      <c r="M798" t="n">
        <v>0</v>
      </c>
      <c r="N798" t="n">
        <v>0</v>
      </c>
      <c r="O798" t="n">
        <v>0</v>
      </c>
      <c r="P798" t="n">
        <v>0</v>
      </c>
      <c r="Q798" t="n">
        <v>0</v>
      </c>
      <c r="R798" s="2" t="inlineStr"/>
    </row>
    <row r="799" ht="15" customHeight="1">
      <c r="A799" t="inlineStr">
        <is>
          <t>A 57117-2025</t>
        </is>
      </c>
      <c r="B799" s="1" t="n">
        <v>45978</v>
      </c>
      <c r="C799" s="1" t="n">
        <v>46051</v>
      </c>
      <c r="D799" t="inlineStr">
        <is>
          <t>JÄMTLANDS LÄN</t>
        </is>
      </c>
      <c r="E799" t="inlineStr">
        <is>
          <t>RAGUNDA</t>
        </is>
      </c>
      <c r="G799" t="n">
        <v>4.2</v>
      </c>
      <c r="H799" t="n">
        <v>0</v>
      </c>
      <c r="I799" t="n">
        <v>0</v>
      </c>
      <c r="J799" t="n">
        <v>0</v>
      </c>
      <c r="K799" t="n">
        <v>0</v>
      </c>
      <c r="L799" t="n">
        <v>0</v>
      </c>
      <c r="M799" t="n">
        <v>0</v>
      </c>
      <c r="N799" t="n">
        <v>0</v>
      </c>
      <c r="O799" t="n">
        <v>0</v>
      </c>
      <c r="P799" t="n">
        <v>0</v>
      </c>
      <c r="Q799" t="n">
        <v>0</v>
      </c>
      <c r="R799" s="2" t="inlineStr"/>
    </row>
    <row r="800" ht="15" customHeight="1">
      <c r="A800" t="inlineStr">
        <is>
          <t>A 28173-2024</t>
        </is>
      </c>
      <c r="B800" s="1" t="n">
        <v>45476.94533564815</v>
      </c>
      <c r="C800" s="1" t="n">
        <v>46051</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56751-2025</t>
        </is>
      </c>
      <c r="B801" s="1" t="n">
        <v>45978.36538194444</v>
      </c>
      <c r="C801" s="1" t="n">
        <v>46051</v>
      </c>
      <c r="D801" t="inlineStr">
        <is>
          <t>JÄMTLANDS LÄN</t>
        </is>
      </c>
      <c r="E801" t="inlineStr">
        <is>
          <t>RAGUNDA</t>
        </is>
      </c>
      <c r="F801" t="inlineStr">
        <is>
          <t>SCA</t>
        </is>
      </c>
      <c r="G801" t="n">
        <v>34.5</v>
      </c>
      <c r="H801" t="n">
        <v>0</v>
      </c>
      <c r="I801" t="n">
        <v>0</v>
      </c>
      <c r="J801" t="n">
        <v>0</v>
      </c>
      <c r="K801" t="n">
        <v>0</v>
      </c>
      <c r="L801" t="n">
        <v>0</v>
      </c>
      <c r="M801" t="n">
        <v>0</v>
      </c>
      <c r="N801" t="n">
        <v>0</v>
      </c>
      <c r="O801" t="n">
        <v>0</v>
      </c>
      <c r="P801" t="n">
        <v>0</v>
      </c>
      <c r="Q801" t="n">
        <v>0</v>
      </c>
      <c r="R801" s="2" t="inlineStr"/>
    </row>
    <row r="802" ht="15" customHeight="1">
      <c r="A802" t="inlineStr">
        <is>
          <t>A 35537-2021</t>
        </is>
      </c>
      <c r="B802" s="1" t="n">
        <v>44384</v>
      </c>
      <c r="C802" s="1" t="n">
        <v>46051</v>
      </c>
      <c r="D802" t="inlineStr">
        <is>
          <t>JÄMTLANDS LÄN</t>
        </is>
      </c>
      <c r="E802" t="inlineStr">
        <is>
          <t>RAGUNDA</t>
        </is>
      </c>
      <c r="G802" t="n">
        <v>3.1</v>
      </c>
      <c r="H802" t="n">
        <v>0</v>
      </c>
      <c r="I802" t="n">
        <v>0</v>
      </c>
      <c r="J802" t="n">
        <v>0</v>
      </c>
      <c r="K802" t="n">
        <v>0</v>
      </c>
      <c r="L802" t="n">
        <v>0</v>
      </c>
      <c r="M802" t="n">
        <v>0</v>
      </c>
      <c r="N802" t="n">
        <v>0</v>
      </c>
      <c r="O802" t="n">
        <v>0</v>
      </c>
      <c r="P802" t="n">
        <v>0</v>
      </c>
      <c r="Q802" t="n">
        <v>0</v>
      </c>
      <c r="R802" s="2" t="inlineStr"/>
    </row>
    <row r="803" ht="15" customHeight="1">
      <c r="A803" t="inlineStr">
        <is>
          <t>A 63828-2025</t>
        </is>
      </c>
      <c r="B803" s="1" t="n">
        <v>46020.37814814815</v>
      </c>
      <c r="C803" s="1" t="n">
        <v>46051</v>
      </c>
      <c r="D803" t="inlineStr">
        <is>
          <t>JÄMTLANDS LÄN</t>
        </is>
      </c>
      <c r="E803" t="inlineStr">
        <is>
          <t>RAGUNDA</t>
        </is>
      </c>
      <c r="G803" t="n">
        <v>4.7</v>
      </c>
      <c r="H803" t="n">
        <v>0</v>
      </c>
      <c r="I803" t="n">
        <v>0</v>
      </c>
      <c r="J803" t="n">
        <v>0</v>
      </c>
      <c r="K803" t="n">
        <v>0</v>
      </c>
      <c r="L803" t="n">
        <v>0</v>
      </c>
      <c r="M803" t="n">
        <v>0</v>
      </c>
      <c r="N803" t="n">
        <v>0</v>
      </c>
      <c r="O803" t="n">
        <v>0</v>
      </c>
      <c r="P803" t="n">
        <v>0</v>
      </c>
      <c r="Q803" t="n">
        <v>0</v>
      </c>
      <c r="R803" s="2" t="inlineStr"/>
    </row>
    <row r="804" ht="15" customHeight="1">
      <c r="A804" t="inlineStr">
        <is>
          <t>A 56435-2025</t>
        </is>
      </c>
      <c r="B804" s="1" t="n">
        <v>45975.34679398148</v>
      </c>
      <c r="C804" s="1" t="n">
        <v>46051</v>
      </c>
      <c r="D804" t="inlineStr">
        <is>
          <t>JÄMTLANDS LÄN</t>
        </is>
      </c>
      <c r="E804" t="inlineStr">
        <is>
          <t>RAGUNDA</t>
        </is>
      </c>
      <c r="F804" t="inlineStr">
        <is>
          <t>SCA</t>
        </is>
      </c>
      <c r="G804" t="n">
        <v>9.199999999999999</v>
      </c>
      <c r="H804" t="n">
        <v>0</v>
      </c>
      <c r="I804" t="n">
        <v>0</v>
      </c>
      <c r="J804" t="n">
        <v>0</v>
      </c>
      <c r="K804" t="n">
        <v>0</v>
      </c>
      <c r="L804" t="n">
        <v>0</v>
      </c>
      <c r="M804" t="n">
        <v>0</v>
      </c>
      <c r="N804" t="n">
        <v>0</v>
      </c>
      <c r="O804" t="n">
        <v>0</v>
      </c>
      <c r="P804" t="n">
        <v>0</v>
      </c>
      <c r="Q804" t="n">
        <v>0</v>
      </c>
      <c r="R804" s="2" t="inlineStr"/>
      <c r="U804">
        <f>HYPERLINK("https://klasma.github.io/Logging_2303/knärot/A 56435-2025 karta knärot.png", "A 56435-2025")</f>
        <v/>
      </c>
      <c r="V804">
        <f>HYPERLINK("https://klasma.github.io/Logging_2303/klagomål/A 56435-2025 FSC-klagomål.docx", "A 56435-2025")</f>
        <v/>
      </c>
      <c r="W804">
        <f>HYPERLINK("https://klasma.github.io/Logging_2303/klagomålsmail/A 56435-2025 FSC-klagomål mail.docx", "A 56435-2025")</f>
        <v/>
      </c>
      <c r="X804">
        <f>HYPERLINK("https://klasma.github.io/Logging_2303/tillsyn/A 56435-2025 tillsynsbegäran.docx", "A 56435-2025")</f>
        <v/>
      </c>
      <c r="Y804">
        <f>HYPERLINK("https://klasma.github.io/Logging_2303/tillsynsmail/A 56435-2025 tillsynsbegäran mail.docx", "A 56435-2025")</f>
        <v/>
      </c>
    </row>
    <row r="805" ht="15" customHeight="1">
      <c r="A805" t="inlineStr">
        <is>
          <t>A 63714-2025</t>
        </is>
      </c>
      <c r="B805" s="1" t="n">
        <v>46014</v>
      </c>
      <c r="C805" s="1" t="n">
        <v>46051</v>
      </c>
      <c r="D805" t="inlineStr">
        <is>
          <t>JÄMTLANDS LÄN</t>
        </is>
      </c>
      <c r="E805" t="inlineStr">
        <is>
          <t>RAGUNDA</t>
        </is>
      </c>
      <c r="F805" t="inlineStr">
        <is>
          <t>Sveaskog</t>
        </is>
      </c>
      <c r="G805" t="n">
        <v>8.5</v>
      </c>
      <c r="H805" t="n">
        <v>0</v>
      </c>
      <c r="I805" t="n">
        <v>0</v>
      </c>
      <c r="J805" t="n">
        <v>0</v>
      </c>
      <c r="K805" t="n">
        <v>0</v>
      </c>
      <c r="L805" t="n">
        <v>0</v>
      </c>
      <c r="M805" t="n">
        <v>0</v>
      </c>
      <c r="N805" t="n">
        <v>0</v>
      </c>
      <c r="O805" t="n">
        <v>0</v>
      </c>
      <c r="P805" t="n">
        <v>0</v>
      </c>
      <c r="Q805" t="n">
        <v>0</v>
      </c>
      <c r="R805" s="2" t="inlineStr"/>
    </row>
    <row r="806" ht="15" customHeight="1">
      <c r="A806" t="inlineStr">
        <is>
          <t>A 18248-2023</t>
        </is>
      </c>
      <c r="B806" s="1" t="n">
        <v>45040</v>
      </c>
      <c r="C806" s="1" t="n">
        <v>46051</v>
      </c>
      <c r="D806" t="inlineStr">
        <is>
          <t>JÄMTLANDS LÄN</t>
        </is>
      </c>
      <c r="E806" t="inlineStr">
        <is>
          <t>RAGUNDA</t>
        </is>
      </c>
      <c r="G806" t="n">
        <v>4.3</v>
      </c>
      <c r="H806" t="n">
        <v>0</v>
      </c>
      <c r="I806" t="n">
        <v>0</v>
      </c>
      <c r="J806" t="n">
        <v>0</v>
      </c>
      <c r="K806" t="n">
        <v>0</v>
      </c>
      <c r="L806" t="n">
        <v>0</v>
      </c>
      <c r="M806" t="n">
        <v>0</v>
      </c>
      <c r="N806" t="n">
        <v>0</v>
      </c>
      <c r="O806" t="n">
        <v>0</v>
      </c>
      <c r="P806" t="n">
        <v>0</v>
      </c>
      <c r="Q806" t="n">
        <v>0</v>
      </c>
      <c r="R806" s="2" t="inlineStr"/>
    </row>
    <row r="807" ht="15" customHeight="1">
      <c r="A807" t="inlineStr">
        <is>
          <t>A 57332-2025</t>
        </is>
      </c>
      <c r="B807" s="1" t="n">
        <v>45980.34467592592</v>
      </c>
      <c r="C807" s="1" t="n">
        <v>46051</v>
      </c>
      <c r="D807" t="inlineStr">
        <is>
          <t>JÄMTLANDS LÄN</t>
        </is>
      </c>
      <c r="E807" t="inlineStr">
        <is>
          <t>RAGUNDA</t>
        </is>
      </c>
      <c r="F807" t="inlineStr">
        <is>
          <t>SCA</t>
        </is>
      </c>
      <c r="G807" t="n">
        <v>22.6</v>
      </c>
      <c r="H807" t="n">
        <v>0</v>
      </c>
      <c r="I807" t="n">
        <v>0</v>
      </c>
      <c r="J807" t="n">
        <v>0</v>
      </c>
      <c r="K807" t="n">
        <v>0</v>
      </c>
      <c r="L807" t="n">
        <v>0</v>
      </c>
      <c r="M807" t="n">
        <v>0</v>
      </c>
      <c r="N807" t="n">
        <v>0</v>
      </c>
      <c r="O807" t="n">
        <v>0</v>
      </c>
      <c r="P807" t="n">
        <v>0</v>
      </c>
      <c r="Q807" t="n">
        <v>0</v>
      </c>
      <c r="R807" s="2" t="inlineStr"/>
    </row>
    <row r="808" ht="15" customHeight="1">
      <c r="A808" t="inlineStr">
        <is>
          <t>A 45438-2022</t>
        </is>
      </c>
      <c r="B808" s="1" t="n">
        <v>44844.95368055555</v>
      </c>
      <c r="C808" s="1" t="n">
        <v>46051</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57561-2025</t>
        </is>
      </c>
      <c r="B809" s="1" t="n">
        <v>45980.69885416667</v>
      </c>
      <c r="C809" s="1" t="n">
        <v>46051</v>
      </c>
      <c r="D809" t="inlineStr">
        <is>
          <t>JÄMTLANDS LÄN</t>
        </is>
      </c>
      <c r="E809" t="inlineStr">
        <is>
          <t>RAGUNDA</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30459-2021</t>
        </is>
      </c>
      <c r="B810" s="1" t="n">
        <v>44362</v>
      </c>
      <c r="C810" s="1" t="n">
        <v>46051</v>
      </c>
      <c r="D810" t="inlineStr">
        <is>
          <t>JÄMTLANDS LÄN</t>
        </is>
      </c>
      <c r="E810" t="inlineStr">
        <is>
          <t>RAGUNDA</t>
        </is>
      </c>
      <c r="G810" t="n">
        <v>1</v>
      </c>
      <c r="H810" t="n">
        <v>0</v>
      </c>
      <c r="I810" t="n">
        <v>0</v>
      </c>
      <c r="J810" t="n">
        <v>0</v>
      </c>
      <c r="K810" t="n">
        <v>0</v>
      </c>
      <c r="L810" t="n">
        <v>0</v>
      </c>
      <c r="M810" t="n">
        <v>0</v>
      </c>
      <c r="N810" t="n">
        <v>0</v>
      </c>
      <c r="O810" t="n">
        <v>0</v>
      </c>
      <c r="P810" t="n">
        <v>0</v>
      </c>
      <c r="Q810" t="n">
        <v>0</v>
      </c>
      <c r="R810" s="2" t="inlineStr"/>
    </row>
    <row r="811" ht="15" customHeight="1">
      <c r="A811" t="inlineStr">
        <is>
          <t>A 29263-2024</t>
        </is>
      </c>
      <c r="B811" s="1" t="n">
        <v>45482.94891203703</v>
      </c>
      <c r="C811" s="1" t="n">
        <v>46051</v>
      </c>
      <c r="D811" t="inlineStr">
        <is>
          <t>JÄMTLANDS LÄN</t>
        </is>
      </c>
      <c r="E811" t="inlineStr">
        <is>
          <t>RAGUNDA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29265-2024</t>
        </is>
      </c>
      <c r="B812" s="1" t="n">
        <v>45482.9491087963</v>
      </c>
      <c r="C812" s="1" t="n">
        <v>46051</v>
      </c>
      <c r="D812" t="inlineStr">
        <is>
          <t>JÄMTLANDS LÄN</t>
        </is>
      </c>
      <c r="E812" t="inlineStr">
        <is>
          <t>RAGUNDA</t>
        </is>
      </c>
      <c r="F812" t="inlineStr">
        <is>
          <t>SCA</t>
        </is>
      </c>
      <c r="G812" t="n">
        <v>11.6</v>
      </c>
      <c r="H812" t="n">
        <v>0</v>
      </c>
      <c r="I812" t="n">
        <v>0</v>
      </c>
      <c r="J812" t="n">
        <v>0</v>
      </c>
      <c r="K812" t="n">
        <v>0</v>
      </c>
      <c r="L812" t="n">
        <v>0</v>
      </c>
      <c r="M812" t="n">
        <v>0</v>
      </c>
      <c r="N812" t="n">
        <v>0</v>
      </c>
      <c r="O812" t="n">
        <v>0</v>
      </c>
      <c r="P812" t="n">
        <v>0</v>
      </c>
      <c r="Q812" t="n">
        <v>0</v>
      </c>
      <c r="R812" s="2" t="inlineStr"/>
    </row>
    <row r="813" ht="15" customHeight="1">
      <c r="A813" t="inlineStr">
        <is>
          <t>A 57560-2025</t>
        </is>
      </c>
      <c r="B813" s="1" t="n">
        <v>45980.6987962963</v>
      </c>
      <c r="C813" s="1" t="n">
        <v>46051</v>
      </c>
      <c r="D813" t="inlineStr">
        <is>
          <t>JÄMTLANDS LÄN</t>
        </is>
      </c>
      <c r="E813" t="inlineStr">
        <is>
          <t>RAGUNDA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64108-2025</t>
        </is>
      </c>
      <c r="B814" s="1" t="n">
        <v>46013</v>
      </c>
      <c r="C814" s="1" t="n">
        <v>46051</v>
      </c>
      <c r="D814" t="inlineStr">
        <is>
          <t>JÄMTLANDS LÄN</t>
        </is>
      </c>
      <c r="E814" t="inlineStr">
        <is>
          <t>RAGUNDA</t>
        </is>
      </c>
      <c r="F814" t="inlineStr">
        <is>
          <t>Kyrkan</t>
        </is>
      </c>
      <c r="G814" t="n">
        <v>1.6</v>
      </c>
      <c r="H814" t="n">
        <v>0</v>
      </c>
      <c r="I814" t="n">
        <v>0</v>
      </c>
      <c r="J814" t="n">
        <v>0</v>
      </c>
      <c r="K814" t="n">
        <v>0</v>
      </c>
      <c r="L814" t="n">
        <v>0</v>
      </c>
      <c r="M814" t="n">
        <v>0</v>
      </c>
      <c r="N814" t="n">
        <v>0</v>
      </c>
      <c r="O814" t="n">
        <v>0</v>
      </c>
      <c r="P814" t="n">
        <v>0</v>
      </c>
      <c r="Q814" t="n">
        <v>0</v>
      </c>
      <c r="R814" s="2" t="inlineStr"/>
    </row>
    <row r="815" ht="15" customHeight="1">
      <c r="A815" t="inlineStr">
        <is>
          <t>A 13898-2023</t>
        </is>
      </c>
      <c r="B815" s="1" t="n">
        <v>45008.01408564814</v>
      </c>
      <c r="C815" s="1" t="n">
        <v>46051</v>
      </c>
      <c r="D815" t="inlineStr">
        <is>
          <t>JÄMTLANDS LÄN</t>
        </is>
      </c>
      <c r="E815" t="inlineStr">
        <is>
          <t>RAGUNDA</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41693-2023</t>
        </is>
      </c>
      <c r="B816" s="1" t="n">
        <v>45176</v>
      </c>
      <c r="C816" s="1" t="n">
        <v>46051</v>
      </c>
      <c r="D816" t="inlineStr">
        <is>
          <t>JÄMTLANDS LÄN</t>
        </is>
      </c>
      <c r="E816" t="inlineStr">
        <is>
          <t>RAGUNDA</t>
        </is>
      </c>
      <c r="G816" t="n">
        <v>5.5</v>
      </c>
      <c r="H816" t="n">
        <v>0</v>
      </c>
      <c r="I816" t="n">
        <v>0</v>
      </c>
      <c r="J816" t="n">
        <v>0</v>
      </c>
      <c r="K816" t="n">
        <v>0</v>
      </c>
      <c r="L816" t="n">
        <v>0</v>
      </c>
      <c r="M816" t="n">
        <v>0</v>
      </c>
      <c r="N816" t="n">
        <v>0</v>
      </c>
      <c r="O816" t="n">
        <v>0</v>
      </c>
      <c r="P816" t="n">
        <v>0</v>
      </c>
      <c r="Q816" t="n">
        <v>0</v>
      </c>
      <c r="R816" s="2" t="inlineStr"/>
    </row>
    <row r="817" ht="15" customHeight="1">
      <c r="A817" t="inlineStr">
        <is>
          <t>A 57184-2025</t>
        </is>
      </c>
      <c r="B817" s="1" t="n">
        <v>45979.57361111111</v>
      </c>
      <c r="C817" s="1" t="n">
        <v>46051</v>
      </c>
      <c r="D817" t="inlineStr">
        <is>
          <t>JÄMTLANDS LÄN</t>
        </is>
      </c>
      <c r="E817" t="inlineStr">
        <is>
          <t>RAGUNDA</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122-2026</t>
        </is>
      </c>
      <c r="B818" s="1" t="n">
        <v>46024.57335648148</v>
      </c>
      <c r="C818" s="1" t="n">
        <v>46051</v>
      </c>
      <c r="D818" t="inlineStr">
        <is>
          <t>JÄMTLANDS LÄN</t>
        </is>
      </c>
      <c r="E818" t="inlineStr">
        <is>
          <t>RAGUNDA</t>
        </is>
      </c>
      <c r="F818" t="inlineStr">
        <is>
          <t>SCA</t>
        </is>
      </c>
      <c r="G818" t="n">
        <v>15.3</v>
      </c>
      <c r="H818" t="n">
        <v>0</v>
      </c>
      <c r="I818" t="n">
        <v>0</v>
      </c>
      <c r="J818" t="n">
        <v>0</v>
      </c>
      <c r="K818" t="n">
        <v>0</v>
      </c>
      <c r="L818" t="n">
        <v>0</v>
      </c>
      <c r="M818" t="n">
        <v>0</v>
      </c>
      <c r="N818" t="n">
        <v>0</v>
      </c>
      <c r="O818" t="n">
        <v>0</v>
      </c>
      <c r="P818" t="n">
        <v>0</v>
      </c>
      <c r="Q818" t="n">
        <v>0</v>
      </c>
      <c r="R818" s="2" t="inlineStr"/>
    </row>
    <row r="819" ht="15" customHeight="1">
      <c r="A819" t="inlineStr">
        <is>
          <t>A 3770-2025</t>
        </is>
      </c>
      <c r="B819" s="1" t="n">
        <v>45681.6050925926</v>
      </c>
      <c r="C819" s="1" t="n">
        <v>46051</v>
      </c>
      <c r="D819" t="inlineStr">
        <is>
          <t>JÄMTLANDS LÄN</t>
        </is>
      </c>
      <c r="E819" t="inlineStr">
        <is>
          <t>RAGUNDA</t>
        </is>
      </c>
      <c r="G819" t="n">
        <v>2.7</v>
      </c>
      <c r="H819" t="n">
        <v>0</v>
      </c>
      <c r="I819" t="n">
        <v>0</v>
      </c>
      <c r="J819" t="n">
        <v>0</v>
      </c>
      <c r="K819" t="n">
        <v>0</v>
      </c>
      <c r="L819" t="n">
        <v>0</v>
      </c>
      <c r="M819" t="n">
        <v>0</v>
      </c>
      <c r="N819" t="n">
        <v>0</v>
      </c>
      <c r="O819" t="n">
        <v>0</v>
      </c>
      <c r="P819" t="n">
        <v>0</v>
      </c>
      <c r="Q819" t="n">
        <v>0</v>
      </c>
      <c r="R819" s="2" t="inlineStr"/>
    </row>
    <row r="820" ht="15" customHeight="1">
      <c r="A820" t="inlineStr">
        <is>
          <t>A 57833-2025</t>
        </is>
      </c>
      <c r="B820" s="1" t="n">
        <v>45981.61541666667</v>
      </c>
      <c r="C820" s="1" t="n">
        <v>46051</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11252-2025</t>
        </is>
      </c>
      <c r="B821" s="1" t="n">
        <v>45726.38615740741</v>
      </c>
      <c r="C821" s="1" t="n">
        <v>46051</v>
      </c>
      <c r="D821" t="inlineStr">
        <is>
          <t>JÄMTLANDS LÄN</t>
        </is>
      </c>
      <c r="E821" t="inlineStr">
        <is>
          <t>RAGUNDA</t>
        </is>
      </c>
      <c r="G821" t="n">
        <v>1.9</v>
      </c>
      <c r="H821" t="n">
        <v>0</v>
      </c>
      <c r="I821" t="n">
        <v>0</v>
      </c>
      <c r="J821" t="n">
        <v>0</v>
      </c>
      <c r="K821" t="n">
        <v>0</v>
      </c>
      <c r="L821" t="n">
        <v>0</v>
      </c>
      <c r="M821" t="n">
        <v>0</v>
      </c>
      <c r="N821" t="n">
        <v>0</v>
      </c>
      <c r="O821" t="n">
        <v>0</v>
      </c>
      <c r="P821" t="n">
        <v>0</v>
      </c>
      <c r="Q821" t="n">
        <v>0</v>
      </c>
      <c r="R821" s="2" t="inlineStr"/>
    </row>
    <row r="822" ht="15" customHeight="1">
      <c r="A822" t="inlineStr">
        <is>
          <t>A 7668-2025</t>
        </is>
      </c>
      <c r="B822" s="1" t="n">
        <v>45706.34450231482</v>
      </c>
      <c r="C822" s="1" t="n">
        <v>46051</v>
      </c>
      <c r="D822" t="inlineStr">
        <is>
          <t>JÄMTLANDS LÄN</t>
        </is>
      </c>
      <c r="E822" t="inlineStr">
        <is>
          <t>RAGUNDA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58076-2025</t>
        </is>
      </c>
      <c r="B823" s="1" t="n">
        <v>45982.55273148148</v>
      </c>
      <c r="C823" s="1" t="n">
        <v>46051</v>
      </c>
      <c r="D823" t="inlineStr">
        <is>
          <t>JÄMTLANDS LÄN</t>
        </is>
      </c>
      <c r="E823" t="inlineStr">
        <is>
          <t>RAGUNDA</t>
        </is>
      </c>
      <c r="G823" t="n">
        <v>0.1</v>
      </c>
      <c r="H823" t="n">
        <v>0</v>
      </c>
      <c r="I823" t="n">
        <v>0</v>
      </c>
      <c r="J823" t="n">
        <v>0</v>
      </c>
      <c r="K823" t="n">
        <v>0</v>
      </c>
      <c r="L823" t="n">
        <v>0</v>
      </c>
      <c r="M823" t="n">
        <v>0</v>
      </c>
      <c r="N823" t="n">
        <v>0</v>
      </c>
      <c r="O823" t="n">
        <v>0</v>
      </c>
      <c r="P823" t="n">
        <v>0</v>
      </c>
      <c r="Q823" t="n">
        <v>0</v>
      </c>
      <c r="R823" s="2" t="inlineStr"/>
    </row>
    <row r="824" ht="15" customHeight="1">
      <c r="A824" t="inlineStr">
        <is>
          <t>A 58093-2025</t>
        </is>
      </c>
      <c r="B824" s="1" t="n">
        <v>45982.5741087963</v>
      </c>
      <c r="C824" s="1" t="n">
        <v>46051</v>
      </c>
      <c r="D824" t="inlineStr">
        <is>
          <t>JÄMTLANDS LÄN</t>
        </is>
      </c>
      <c r="E824" t="inlineStr">
        <is>
          <t>RAGUNDA</t>
        </is>
      </c>
      <c r="G824" t="n">
        <v>22.2</v>
      </c>
      <c r="H824" t="n">
        <v>0</v>
      </c>
      <c r="I824" t="n">
        <v>0</v>
      </c>
      <c r="J824" t="n">
        <v>0</v>
      </c>
      <c r="K824" t="n">
        <v>0</v>
      </c>
      <c r="L824" t="n">
        <v>0</v>
      </c>
      <c r="M824" t="n">
        <v>0</v>
      </c>
      <c r="N824" t="n">
        <v>0</v>
      </c>
      <c r="O824" t="n">
        <v>0</v>
      </c>
      <c r="P824" t="n">
        <v>0</v>
      </c>
      <c r="Q824" t="n">
        <v>0</v>
      </c>
      <c r="R824" s="2" t="inlineStr"/>
    </row>
    <row r="825" ht="15" customHeight="1">
      <c r="A825" t="inlineStr">
        <is>
          <t>A 9548-2025</t>
        </is>
      </c>
      <c r="B825" s="1" t="n">
        <v>45715.59405092592</v>
      </c>
      <c r="C825" s="1" t="n">
        <v>46051</v>
      </c>
      <c r="D825" t="inlineStr">
        <is>
          <t>JÄMTLANDS LÄN</t>
        </is>
      </c>
      <c r="E825" t="inlineStr">
        <is>
          <t>RAGUNDA</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57914-2025</t>
        </is>
      </c>
      <c r="B826" s="1" t="n">
        <v>45981</v>
      </c>
      <c r="C826" s="1" t="n">
        <v>46051</v>
      </c>
      <c r="D826" t="inlineStr">
        <is>
          <t>JÄMTLANDS LÄN</t>
        </is>
      </c>
      <c r="E826" t="inlineStr">
        <is>
          <t>RAGUNDA</t>
        </is>
      </c>
      <c r="G826" t="n">
        <v>3.2</v>
      </c>
      <c r="H826" t="n">
        <v>0</v>
      </c>
      <c r="I826" t="n">
        <v>0</v>
      </c>
      <c r="J826" t="n">
        <v>0</v>
      </c>
      <c r="K826" t="n">
        <v>0</v>
      </c>
      <c r="L826" t="n">
        <v>0</v>
      </c>
      <c r="M826" t="n">
        <v>0</v>
      </c>
      <c r="N826" t="n">
        <v>0</v>
      </c>
      <c r="O826" t="n">
        <v>0</v>
      </c>
      <c r="P826" t="n">
        <v>0</v>
      </c>
      <c r="Q826" t="n">
        <v>0</v>
      </c>
      <c r="R826" s="2" t="inlineStr"/>
    </row>
    <row r="827" ht="15" customHeight="1">
      <c r="A827" t="inlineStr">
        <is>
          <t>A 57915-2025</t>
        </is>
      </c>
      <c r="B827" s="1" t="n">
        <v>45981</v>
      </c>
      <c r="C827" s="1" t="n">
        <v>46051</v>
      </c>
      <c r="D827" t="inlineStr">
        <is>
          <t>JÄMTLANDS LÄN</t>
        </is>
      </c>
      <c r="E827" t="inlineStr">
        <is>
          <t>RAGUNDA</t>
        </is>
      </c>
      <c r="G827" t="n">
        <v>6.4</v>
      </c>
      <c r="H827" t="n">
        <v>0</v>
      </c>
      <c r="I827" t="n">
        <v>0</v>
      </c>
      <c r="J827" t="n">
        <v>0</v>
      </c>
      <c r="K827" t="n">
        <v>0</v>
      </c>
      <c r="L827" t="n">
        <v>0</v>
      </c>
      <c r="M827" t="n">
        <v>0</v>
      </c>
      <c r="N827" t="n">
        <v>0</v>
      </c>
      <c r="O827" t="n">
        <v>0</v>
      </c>
      <c r="P827" t="n">
        <v>0</v>
      </c>
      <c r="Q827" t="n">
        <v>0</v>
      </c>
      <c r="R827" s="2" t="inlineStr"/>
    </row>
    <row r="828" ht="15" customHeight="1">
      <c r="A828" t="inlineStr">
        <is>
          <t>A 57963-2025</t>
        </is>
      </c>
      <c r="B828" s="1" t="n">
        <v>45982.37800925926</v>
      </c>
      <c r="C828" s="1" t="n">
        <v>46051</v>
      </c>
      <c r="D828" t="inlineStr">
        <is>
          <t>JÄMTLANDS LÄN</t>
        </is>
      </c>
      <c r="E828" t="inlineStr">
        <is>
          <t>RAGUNDA</t>
        </is>
      </c>
      <c r="G828" t="n">
        <v>1.7</v>
      </c>
      <c r="H828" t="n">
        <v>0</v>
      </c>
      <c r="I828" t="n">
        <v>0</v>
      </c>
      <c r="J828" t="n">
        <v>0</v>
      </c>
      <c r="K828" t="n">
        <v>0</v>
      </c>
      <c r="L828" t="n">
        <v>0</v>
      </c>
      <c r="M828" t="n">
        <v>0</v>
      </c>
      <c r="N828" t="n">
        <v>0</v>
      </c>
      <c r="O828" t="n">
        <v>0</v>
      </c>
      <c r="P828" t="n">
        <v>0</v>
      </c>
      <c r="Q828" t="n">
        <v>0</v>
      </c>
      <c r="R828" s="2" t="inlineStr"/>
    </row>
    <row r="829" ht="15" customHeight="1">
      <c r="A829" t="inlineStr">
        <is>
          <t>A 57916-2025</t>
        </is>
      </c>
      <c r="B829" s="1" t="n">
        <v>45981</v>
      </c>
      <c r="C829" s="1" t="n">
        <v>46051</v>
      </c>
      <c r="D829" t="inlineStr">
        <is>
          <t>JÄMTLANDS LÄN</t>
        </is>
      </c>
      <c r="E829" t="inlineStr">
        <is>
          <t>RAGUNDA</t>
        </is>
      </c>
      <c r="G829" t="n">
        <v>5.3</v>
      </c>
      <c r="H829" t="n">
        <v>0</v>
      </c>
      <c r="I829" t="n">
        <v>0</v>
      </c>
      <c r="J829" t="n">
        <v>0</v>
      </c>
      <c r="K829" t="n">
        <v>0</v>
      </c>
      <c r="L829" t="n">
        <v>0</v>
      </c>
      <c r="M829" t="n">
        <v>0</v>
      </c>
      <c r="N829" t="n">
        <v>0</v>
      </c>
      <c r="O829" t="n">
        <v>0</v>
      </c>
      <c r="P829" t="n">
        <v>0</v>
      </c>
      <c r="Q829" t="n">
        <v>0</v>
      </c>
      <c r="R829" s="2" t="inlineStr"/>
    </row>
    <row r="830" ht="15" customHeight="1">
      <c r="A830" t="inlineStr">
        <is>
          <t>A 57970-2025</t>
        </is>
      </c>
      <c r="B830" s="1" t="n">
        <v>45982.38582175926</v>
      </c>
      <c r="C830" s="1" t="n">
        <v>46051</v>
      </c>
      <c r="D830" t="inlineStr">
        <is>
          <t>JÄMTLANDS LÄN</t>
        </is>
      </c>
      <c r="E830" t="inlineStr">
        <is>
          <t>RAGUNDA</t>
        </is>
      </c>
      <c r="G830" t="n">
        <v>4.9</v>
      </c>
      <c r="H830" t="n">
        <v>0</v>
      </c>
      <c r="I830" t="n">
        <v>0</v>
      </c>
      <c r="J830" t="n">
        <v>0</v>
      </c>
      <c r="K830" t="n">
        <v>0</v>
      </c>
      <c r="L830" t="n">
        <v>0</v>
      </c>
      <c r="M830" t="n">
        <v>0</v>
      </c>
      <c r="N830" t="n">
        <v>0</v>
      </c>
      <c r="O830" t="n">
        <v>0</v>
      </c>
      <c r="P830" t="n">
        <v>0</v>
      </c>
      <c r="Q830" t="n">
        <v>0</v>
      </c>
      <c r="R830" s="2" t="inlineStr"/>
    </row>
    <row r="831" ht="15" customHeight="1">
      <c r="A831" t="inlineStr">
        <is>
          <t>A 57785-2025</t>
        </is>
      </c>
      <c r="B831" s="1" t="n">
        <v>45981.57393518519</v>
      </c>
      <c r="C831" s="1" t="n">
        <v>46051</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265-2026</t>
        </is>
      </c>
      <c r="B832" s="1" t="n">
        <v>46027.44956018519</v>
      </c>
      <c r="C832" s="1" t="n">
        <v>46051</v>
      </c>
      <c r="D832" t="inlineStr">
        <is>
          <t>JÄMTLANDS LÄN</t>
        </is>
      </c>
      <c r="E832" t="inlineStr">
        <is>
          <t>RAGUNDA</t>
        </is>
      </c>
      <c r="G832" t="n">
        <v>3.8</v>
      </c>
      <c r="H832" t="n">
        <v>0</v>
      </c>
      <c r="I832" t="n">
        <v>0</v>
      </c>
      <c r="J832" t="n">
        <v>0</v>
      </c>
      <c r="K832" t="n">
        <v>0</v>
      </c>
      <c r="L832" t="n">
        <v>0</v>
      </c>
      <c r="M832" t="n">
        <v>0</v>
      </c>
      <c r="N832" t="n">
        <v>0</v>
      </c>
      <c r="O832" t="n">
        <v>0</v>
      </c>
      <c r="P832" t="n">
        <v>0</v>
      </c>
      <c r="Q832" t="n">
        <v>0</v>
      </c>
      <c r="R832" s="2" t="inlineStr"/>
    </row>
    <row r="833" ht="15" customHeight="1">
      <c r="A833" t="inlineStr">
        <is>
          <t>A 57237-2022</t>
        </is>
      </c>
      <c r="B833" s="1" t="n">
        <v>44889</v>
      </c>
      <c r="C833" s="1" t="n">
        <v>46051</v>
      </c>
      <c r="D833" t="inlineStr">
        <is>
          <t>JÄMTLANDS LÄN</t>
        </is>
      </c>
      <c r="E833" t="inlineStr">
        <is>
          <t>RAGUNDA</t>
        </is>
      </c>
      <c r="G833" t="n">
        <v>2.2</v>
      </c>
      <c r="H833" t="n">
        <v>0</v>
      </c>
      <c r="I833" t="n">
        <v>0</v>
      </c>
      <c r="J833" t="n">
        <v>0</v>
      </c>
      <c r="K833" t="n">
        <v>0</v>
      </c>
      <c r="L833" t="n">
        <v>0</v>
      </c>
      <c r="M833" t="n">
        <v>0</v>
      </c>
      <c r="N833" t="n">
        <v>0</v>
      </c>
      <c r="O833" t="n">
        <v>0</v>
      </c>
      <c r="P833" t="n">
        <v>0</v>
      </c>
      <c r="Q833" t="n">
        <v>0</v>
      </c>
      <c r="R833" s="2" t="inlineStr"/>
    </row>
    <row r="834" ht="15" customHeight="1">
      <c r="A834" t="inlineStr">
        <is>
          <t>A 58638-2025</t>
        </is>
      </c>
      <c r="B834" s="1" t="n">
        <v>45986.49016203704</v>
      </c>
      <c r="C834" s="1" t="n">
        <v>46051</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13263-2025</t>
        </is>
      </c>
      <c r="B835" s="1" t="n">
        <v>45735.53177083333</v>
      </c>
      <c r="C835" s="1" t="n">
        <v>46051</v>
      </c>
      <c r="D835" t="inlineStr">
        <is>
          <t>JÄMTLANDS LÄN</t>
        </is>
      </c>
      <c r="E835" t="inlineStr">
        <is>
          <t>RAGUNDA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13276-2025</t>
        </is>
      </c>
      <c r="B836" s="1" t="n">
        <v>45735.5517824074</v>
      </c>
      <c r="C836" s="1" t="n">
        <v>46051</v>
      </c>
      <c r="D836" t="inlineStr">
        <is>
          <t>JÄMTLANDS LÄN</t>
        </is>
      </c>
      <c r="E836" t="inlineStr">
        <is>
          <t>RAGUNDA</t>
        </is>
      </c>
      <c r="G836" t="n">
        <v>16.6</v>
      </c>
      <c r="H836" t="n">
        <v>0</v>
      </c>
      <c r="I836" t="n">
        <v>0</v>
      </c>
      <c r="J836" t="n">
        <v>0</v>
      </c>
      <c r="K836" t="n">
        <v>0</v>
      </c>
      <c r="L836" t="n">
        <v>0</v>
      </c>
      <c r="M836" t="n">
        <v>0</v>
      </c>
      <c r="N836" t="n">
        <v>0</v>
      </c>
      <c r="O836" t="n">
        <v>0</v>
      </c>
      <c r="P836" t="n">
        <v>0</v>
      </c>
      <c r="Q836" t="n">
        <v>0</v>
      </c>
      <c r="R836" s="2" t="inlineStr"/>
    </row>
    <row r="837" ht="15" customHeight="1">
      <c r="A837" t="inlineStr">
        <is>
          <t>A 222-2026</t>
        </is>
      </c>
      <c r="B837" s="1" t="n">
        <v>46026.84054398148</v>
      </c>
      <c r="C837" s="1" t="n">
        <v>46051</v>
      </c>
      <c r="D837" t="inlineStr">
        <is>
          <t>JÄMTLANDS LÄN</t>
        </is>
      </c>
      <c r="E837" t="inlineStr">
        <is>
          <t>RAGUNDA</t>
        </is>
      </c>
      <c r="G837" t="n">
        <v>10.6</v>
      </c>
      <c r="H837" t="n">
        <v>0</v>
      </c>
      <c r="I837" t="n">
        <v>0</v>
      </c>
      <c r="J837" t="n">
        <v>0</v>
      </c>
      <c r="K837" t="n">
        <v>0</v>
      </c>
      <c r="L837" t="n">
        <v>0</v>
      </c>
      <c r="M837" t="n">
        <v>0</v>
      </c>
      <c r="N837" t="n">
        <v>0</v>
      </c>
      <c r="O837" t="n">
        <v>0</v>
      </c>
      <c r="P837" t="n">
        <v>0</v>
      </c>
      <c r="Q837" t="n">
        <v>0</v>
      </c>
      <c r="R837" s="2" t="inlineStr"/>
    </row>
    <row r="838" ht="15" customHeight="1">
      <c r="A838" t="inlineStr">
        <is>
          <t>A 58559-2025</t>
        </is>
      </c>
      <c r="B838" s="1" t="n">
        <v>45986.34475694445</v>
      </c>
      <c r="C838" s="1" t="n">
        <v>46051</v>
      </c>
      <c r="D838" t="inlineStr">
        <is>
          <t>JÄMTLANDS LÄN</t>
        </is>
      </c>
      <c r="E838" t="inlineStr">
        <is>
          <t>RAGUNDA</t>
        </is>
      </c>
      <c r="F838" t="inlineStr">
        <is>
          <t>SCA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12405-2025</t>
        </is>
      </c>
      <c r="B839" s="1" t="n">
        <v>45730.42738425926</v>
      </c>
      <c r="C839" s="1" t="n">
        <v>46051</v>
      </c>
      <c r="D839" t="inlineStr">
        <is>
          <t>JÄMTLANDS LÄN</t>
        </is>
      </c>
      <c r="E839" t="inlineStr">
        <is>
          <t>RAGUNDA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12808-2025</t>
        </is>
      </c>
      <c r="B840" s="1" t="n">
        <v>45733.61554398148</v>
      </c>
      <c r="C840" s="1" t="n">
        <v>46051</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46546-2023</t>
        </is>
      </c>
      <c r="B841" s="1" t="n">
        <v>45197.94152777778</v>
      </c>
      <c r="C841" s="1" t="n">
        <v>46051</v>
      </c>
      <c r="D841" t="inlineStr">
        <is>
          <t>JÄMTLANDS LÄN</t>
        </is>
      </c>
      <c r="E841" t="inlineStr">
        <is>
          <t>RAGUNDA</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6716-2025</t>
        </is>
      </c>
      <c r="B842" s="1" t="n">
        <v>45700.57324074074</v>
      </c>
      <c r="C842" s="1" t="n">
        <v>46051</v>
      </c>
      <c r="D842" t="inlineStr">
        <is>
          <t>JÄMTLANDS LÄN</t>
        </is>
      </c>
      <c r="E842" t="inlineStr">
        <is>
          <t>RAGUNDA</t>
        </is>
      </c>
      <c r="F842" t="inlineStr">
        <is>
          <t>SCA</t>
        </is>
      </c>
      <c r="G842" t="n">
        <v>5.1</v>
      </c>
      <c r="H842" t="n">
        <v>0</v>
      </c>
      <c r="I842" t="n">
        <v>0</v>
      </c>
      <c r="J842" t="n">
        <v>0</v>
      </c>
      <c r="K842" t="n">
        <v>0</v>
      </c>
      <c r="L842" t="n">
        <v>0</v>
      </c>
      <c r="M842" t="n">
        <v>0</v>
      </c>
      <c r="N842" t="n">
        <v>0</v>
      </c>
      <c r="O842" t="n">
        <v>0</v>
      </c>
      <c r="P842" t="n">
        <v>0</v>
      </c>
      <c r="Q842" t="n">
        <v>0</v>
      </c>
      <c r="R842" s="2" t="inlineStr"/>
    </row>
    <row r="843" ht="15" customHeight="1">
      <c r="A843" t="inlineStr">
        <is>
          <t>A 30823-2023</t>
        </is>
      </c>
      <c r="B843" s="1" t="n">
        <v>45112</v>
      </c>
      <c r="C843" s="1" t="n">
        <v>46051</v>
      </c>
      <c r="D843" t="inlineStr">
        <is>
          <t>JÄMTLANDS LÄN</t>
        </is>
      </c>
      <c r="E843" t="inlineStr">
        <is>
          <t>RAGUNDA</t>
        </is>
      </c>
      <c r="F843" t="inlineStr">
        <is>
          <t>SCA</t>
        </is>
      </c>
      <c r="G843" t="n">
        <v>9</v>
      </c>
      <c r="H843" t="n">
        <v>0</v>
      </c>
      <c r="I843" t="n">
        <v>0</v>
      </c>
      <c r="J843" t="n">
        <v>0</v>
      </c>
      <c r="K843" t="n">
        <v>0</v>
      </c>
      <c r="L843" t="n">
        <v>0</v>
      </c>
      <c r="M843" t="n">
        <v>0</v>
      </c>
      <c r="N843" t="n">
        <v>0</v>
      </c>
      <c r="O843" t="n">
        <v>0</v>
      </c>
      <c r="P843" t="n">
        <v>0</v>
      </c>
      <c r="Q843" t="n">
        <v>0</v>
      </c>
      <c r="R843" s="2" t="inlineStr"/>
    </row>
    <row r="844" ht="15" customHeight="1">
      <c r="A844" t="inlineStr">
        <is>
          <t>A 30484-2024</t>
        </is>
      </c>
      <c r="B844" s="1" t="n">
        <v>45491</v>
      </c>
      <c r="C844" s="1" t="n">
        <v>46051</v>
      </c>
      <c r="D844" t="inlineStr">
        <is>
          <t>JÄMTLANDS LÄN</t>
        </is>
      </c>
      <c r="E844" t="inlineStr">
        <is>
          <t>RAGUNDA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11288-2022</t>
        </is>
      </c>
      <c r="B845" s="1" t="n">
        <v>44629</v>
      </c>
      <c r="C845" s="1" t="n">
        <v>46051</v>
      </c>
      <c r="D845" t="inlineStr">
        <is>
          <t>JÄMTLANDS LÄN</t>
        </is>
      </c>
      <c r="E845" t="inlineStr">
        <is>
          <t>RAGUNDA</t>
        </is>
      </c>
      <c r="G845" t="n">
        <v>4.9</v>
      </c>
      <c r="H845" t="n">
        <v>0</v>
      </c>
      <c r="I845" t="n">
        <v>0</v>
      </c>
      <c r="J845" t="n">
        <v>0</v>
      </c>
      <c r="K845" t="n">
        <v>0</v>
      </c>
      <c r="L845" t="n">
        <v>0</v>
      </c>
      <c r="M845" t="n">
        <v>0</v>
      </c>
      <c r="N845" t="n">
        <v>0</v>
      </c>
      <c r="O845" t="n">
        <v>0</v>
      </c>
      <c r="P845" t="n">
        <v>0</v>
      </c>
      <c r="Q845" t="n">
        <v>0</v>
      </c>
      <c r="R845" s="2" t="inlineStr"/>
    </row>
    <row r="846" ht="15" customHeight="1">
      <c r="A846" t="inlineStr">
        <is>
          <t>A 19865-2023</t>
        </is>
      </c>
      <c r="B846" s="1" t="n">
        <v>45053.94305555556</v>
      </c>
      <c r="C846" s="1" t="n">
        <v>46051</v>
      </c>
      <c r="D846" t="inlineStr">
        <is>
          <t>JÄMTLANDS LÄN</t>
        </is>
      </c>
      <c r="E846" t="inlineStr">
        <is>
          <t>RAGUNDA</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53109-2025</t>
        </is>
      </c>
      <c r="B847" s="1" t="n">
        <v>45958</v>
      </c>
      <c r="C847" s="1" t="n">
        <v>46051</v>
      </c>
      <c r="D847" t="inlineStr">
        <is>
          <t>JÄMTLANDS LÄN</t>
        </is>
      </c>
      <c r="E847" t="inlineStr">
        <is>
          <t>RAGUNDA</t>
        </is>
      </c>
      <c r="G847" t="n">
        <v>2.1</v>
      </c>
      <c r="H847" t="n">
        <v>0</v>
      </c>
      <c r="I847" t="n">
        <v>0</v>
      </c>
      <c r="J847" t="n">
        <v>0</v>
      </c>
      <c r="K847" t="n">
        <v>0</v>
      </c>
      <c r="L847" t="n">
        <v>0</v>
      </c>
      <c r="M847" t="n">
        <v>0</v>
      </c>
      <c r="N847" t="n">
        <v>0</v>
      </c>
      <c r="O847" t="n">
        <v>0</v>
      </c>
      <c r="P847" t="n">
        <v>0</v>
      </c>
      <c r="Q847" t="n">
        <v>0</v>
      </c>
      <c r="R847" s="2" t="inlineStr"/>
    </row>
    <row r="848" ht="15" customHeight="1">
      <c r="A848" t="inlineStr">
        <is>
          <t>A 1554-2024</t>
        </is>
      </c>
      <c r="B848" s="1" t="n">
        <v>45306</v>
      </c>
      <c r="C848" s="1" t="n">
        <v>46051</v>
      </c>
      <c r="D848" t="inlineStr">
        <is>
          <t>JÄMTLANDS LÄN</t>
        </is>
      </c>
      <c r="E848" t="inlineStr">
        <is>
          <t>RAGUNDA</t>
        </is>
      </c>
      <c r="G848" t="n">
        <v>4.3</v>
      </c>
      <c r="H848" t="n">
        <v>0</v>
      </c>
      <c r="I848" t="n">
        <v>0</v>
      </c>
      <c r="J848" t="n">
        <v>0</v>
      </c>
      <c r="K848" t="n">
        <v>0</v>
      </c>
      <c r="L848" t="n">
        <v>0</v>
      </c>
      <c r="M848" t="n">
        <v>0</v>
      </c>
      <c r="N848" t="n">
        <v>0</v>
      </c>
      <c r="O848" t="n">
        <v>0</v>
      </c>
      <c r="P848" t="n">
        <v>0</v>
      </c>
      <c r="Q848" t="n">
        <v>0</v>
      </c>
      <c r="R848" s="2" t="inlineStr"/>
    </row>
    <row r="849" ht="15" customHeight="1">
      <c r="A849" t="inlineStr">
        <is>
          <t>A 59214-2025</t>
        </is>
      </c>
      <c r="B849" s="1" t="n">
        <v>45988.61623842592</v>
      </c>
      <c r="C849" s="1" t="n">
        <v>46051</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58918-2025</t>
        </is>
      </c>
      <c r="B850" s="1" t="n">
        <v>45987.52952546296</v>
      </c>
      <c r="C850" s="1" t="n">
        <v>46051</v>
      </c>
      <c r="D850" t="inlineStr">
        <is>
          <t>JÄMTLANDS LÄN</t>
        </is>
      </c>
      <c r="E850" t="inlineStr">
        <is>
          <t>RAGUNDA</t>
        </is>
      </c>
      <c r="G850" t="n">
        <v>2</v>
      </c>
      <c r="H850" t="n">
        <v>0</v>
      </c>
      <c r="I850" t="n">
        <v>0</v>
      </c>
      <c r="J850" t="n">
        <v>0</v>
      </c>
      <c r="K850" t="n">
        <v>0</v>
      </c>
      <c r="L850" t="n">
        <v>0</v>
      </c>
      <c r="M850" t="n">
        <v>0</v>
      </c>
      <c r="N850" t="n">
        <v>0</v>
      </c>
      <c r="O850" t="n">
        <v>0</v>
      </c>
      <c r="P850" t="n">
        <v>0</v>
      </c>
      <c r="Q850" t="n">
        <v>0</v>
      </c>
      <c r="R850" s="2" t="inlineStr"/>
    </row>
    <row r="851" ht="15" customHeight="1">
      <c r="A851" t="inlineStr">
        <is>
          <t>A 22011-2023</t>
        </is>
      </c>
      <c r="B851" s="1" t="n">
        <v>45068</v>
      </c>
      <c r="C851" s="1" t="n">
        <v>46051</v>
      </c>
      <c r="D851" t="inlineStr">
        <is>
          <t>JÄMTLANDS LÄN</t>
        </is>
      </c>
      <c r="E851" t="inlineStr">
        <is>
          <t>RAGUNDA</t>
        </is>
      </c>
      <c r="F851" t="inlineStr">
        <is>
          <t>SCA</t>
        </is>
      </c>
      <c r="G851" t="n">
        <v>12.2</v>
      </c>
      <c r="H851" t="n">
        <v>0</v>
      </c>
      <c r="I851" t="n">
        <v>0</v>
      </c>
      <c r="J851" t="n">
        <v>0</v>
      </c>
      <c r="K851" t="n">
        <v>0</v>
      </c>
      <c r="L851" t="n">
        <v>0</v>
      </c>
      <c r="M851" t="n">
        <v>0</v>
      </c>
      <c r="N851" t="n">
        <v>0</v>
      </c>
      <c r="O851" t="n">
        <v>0</v>
      </c>
      <c r="P851" t="n">
        <v>0</v>
      </c>
      <c r="Q851" t="n">
        <v>0</v>
      </c>
      <c r="R851" s="2" t="inlineStr"/>
    </row>
    <row r="852" ht="15" customHeight="1">
      <c r="A852" t="inlineStr">
        <is>
          <t>A 557-2026</t>
        </is>
      </c>
      <c r="B852" s="1" t="n">
        <v>46021</v>
      </c>
      <c r="C852" s="1" t="n">
        <v>46051</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647-2026</t>
        </is>
      </c>
      <c r="B853" s="1" t="n">
        <v>46029.57357638889</v>
      </c>
      <c r="C853" s="1" t="n">
        <v>46051</v>
      </c>
      <c r="D853" t="inlineStr">
        <is>
          <t>JÄMTLANDS LÄN</t>
        </is>
      </c>
      <c r="E853" t="inlineStr">
        <is>
          <t>RAGUNDA</t>
        </is>
      </c>
      <c r="F853" t="inlineStr">
        <is>
          <t>SCA</t>
        </is>
      </c>
      <c r="G853" t="n">
        <v>6</v>
      </c>
      <c r="H853" t="n">
        <v>0</v>
      </c>
      <c r="I853" t="n">
        <v>0</v>
      </c>
      <c r="J853" t="n">
        <v>0</v>
      </c>
      <c r="K853" t="n">
        <v>0</v>
      </c>
      <c r="L853" t="n">
        <v>0</v>
      </c>
      <c r="M853" t="n">
        <v>0</v>
      </c>
      <c r="N853" t="n">
        <v>0</v>
      </c>
      <c r="O853" t="n">
        <v>0</v>
      </c>
      <c r="P853" t="n">
        <v>0</v>
      </c>
      <c r="Q853" t="n">
        <v>0</v>
      </c>
      <c r="R853" s="2" t="inlineStr"/>
    </row>
    <row r="854" ht="15" customHeight="1">
      <c r="A854" t="inlineStr">
        <is>
          <t>A 13389-2025</t>
        </is>
      </c>
      <c r="B854" s="1" t="n">
        <v>45735.69842592593</v>
      </c>
      <c r="C854" s="1" t="n">
        <v>46051</v>
      </c>
      <c r="D854" t="inlineStr">
        <is>
          <t>JÄMTLANDS LÄN</t>
        </is>
      </c>
      <c r="E854" t="inlineStr">
        <is>
          <t>RAGUNDA</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2831-2024</t>
        </is>
      </c>
      <c r="B855" s="1" t="n">
        <v>45314.92758101852</v>
      </c>
      <c r="C855" s="1" t="n">
        <v>46051</v>
      </c>
      <c r="D855" t="inlineStr">
        <is>
          <t>JÄMTLANDS LÄN</t>
        </is>
      </c>
      <c r="E855" t="inlineStr">
        <is>
          <t>RAGUNDA</t>
        </is>
      </c>
      <c r="G855" t="n">
        <v>0.6</v>
      </c>
      <c r="H855" t="n">
        <v>0</v>
      </c>
      <c r="I855" t="n">
        <v>0</v>
      </c>
      <c r="J855" t="n">
        <v>0</v>
      </c>
      <c r="K855" t="n">
        <v>0</v>
      </c>
      <c r="L855" t="n">
        <v>0</v>
      </c>
      <c r="M855" t="n">
        <v>0</v>
      </c>
      <c r="N855" t="n">
        <v>0</v>
      </c>
      <c r="O855" t="n">
        <v>0</v>
      </c>
      <c r="P855" t="n">
        <v>0</v>
      </c>
      <c r="Q855" t="n">
        <v>0</v>
      </c>
      <c r="R855" s="2" t="inlineStr"/>
    </row>
    <row r="856" ht="15" customHeight="1">
      <c r="A856" t="inlineStr">
        <is>
          <t>A 13264-2025</t>
        </is>
      </c>
      <c r="B856" s="1" t="n">
        <v>45735</v>
      </c>
      <c r="C856" s="1" t="n">
        <v>46051</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59692-2025</t>
        </is>
      </c>
      <c r="B857" s="1" t="n">
        <v>45992.49001157407</v>
      </c>
      <c r="C857" s="1" t="n">
        <v>46051</v>
      </c>
      <c r="D857" t="inlineStr">
        <is>
          <t>JÄMTLANDS LÄN</t>
        </is>
      </c>
      <c r="E857" t="inlineStr">
        <is>
          <t>RAGUNDA</t>
        </is>
      </c>
      <c r="G857" t="n">
        <v>2.7</v>
      </c>
      <c r="H857" t="n">
        <v>0</v>
      </c>
      <c r="I857" t="n">
        <v>0</v>
      </c>
      <c r="J857" t="n">
        <v>0</v>
      </c>
      <c r="K857" t="n">
        <v>0</v>
      </c>
      <c r="L857" t="n">
        <v>0</v>
      </c>
      <c r="M857" t="n">
        <v>0</v>
      </c>
      <c r="N857" t="n">
        <v>0</v>
      </c>
      <c r="O857" t="n">
        <v>0</v>
      </c>
      <c r="P857" t="n">
        <v>0</v>
      </c>
      <c r="Q857" t="n">
        <v>0</v>
      </c>
      <c r="R857" s="2" t="inlineStr"/>
    </row>
    <row r="858" ht="15" customHeight="1">
      <c r="A858" t="inlineStr">
        <is>
          <t>A 59693-2025</t>
        </is>
      </c>
      <c r="B858" s="1" t="n">
        <v>45992.49009259259</v>
      </c>
      <c r="C858" s="1" t="n">
        <v>46051</v>
      </c>
      <c r="D858" t="inlineStr">
        <is>
          <t>JÄMTLANDS LÄN</t>
        </is>
      </c>
      <c r="E858" t="inlineStr">
        <is>
          <t>RAGUNDA</t>
        </is>
      </c>
      <c r="G858" t="n">
        <v>0.7</v>
      </c>
      <c r="H858" t="n">
        <v>0</v>
      </c>
      <c r="I858" t="n">
        <v>0</v>
      </c>
      <c r="J858" t="n">
        <v>0</v>
      </c>
      <c r="K858" t="n">
        <v>0</v>
      </c>
      <c r="L858" t="n">
        <v>0</v>
      </c>
      <c r="M858" t="n">
        <v>0</v>
      </c>
      <c r="N858" t="n">
        <v>0</v>
      </c>
      <c r="O858" t="n">
        <v>0</v>
      </c>
      <c r="P858" t="n">
        <v>0</v>
      </c>
      <c r="Q858" t="n">
        <v>0</v>
      </c>
      <c r="R858" s="2" t="inlineStr"/>
    </row>
    <row r="859" ht="15" customHeight="1">
      <c r="A859" t="inlineStr">
        <is>
          <t>A 59491-2025</t>
        </is>
      </c>
      <c r="B859" s="1" t="n">
        <v>45989.60376157407</v>
      </c>
      <c r="C859" s="1" t="n">
        <v>46051</v>
      </c>
      <c r="D859" t="inlineStr">
        <is>
          <t>JÄMTLANDS LÄN</t>
        </is>
      </c>
      <c r="E859" t="inlineStr">
        <is>
          <t>RAGUNDA</t>
        </is>
      </c>
      <c r="G859" t="n">
        <v>0.9</v>
      </c>
      <c r="H859" t="n">
        <v>0</v>
      </c>
      <c r="I859" t="n">
        <v>0</v>
      </c>
      <c r="J859" t="n">
        <v>0</v>
      </c>
      <c r="K859" t="n">
        <v>0</v>
      </c>
      <c r="L859" t="n">
        <v>0</v>
      </c>
      <c r="M859" t="n">
        <v>0</v>
      </c>
      <c r="N859" t="n">
        <v>0</v>
      </c>
      <c r="O859" t="n">
        <v>0</v>
      </c>
      <c r="P859" t="n">
        <v>0</v>
      </c>
      <c r="Q859" t="n">
        <v>0</v>
      </c>
      <c r="R859" s="2" t="inlineStr"/>
    </row>
    <row r="860" ht="15" customHeight="1">
      <c r="A860" t="inlineStr">
        <is>
          <t>A 59499-2025</t>
        </is>
      </c>
      <c r="B860" s="1" t="n">
        <v>45989.61846064815</v>
      </c>
      <c r="C860" s="1" t="n">
        <v>46051</v>
      </c>
      <c r="D860" t="inlineStr">
        <is>
          <t>JÄMTLANDS LÄN</t>
        </is>
      </c>
      <c r="E860" t="inlineStr">
        <is>
          <t>RAGUNDA</t>
        </is>
      </c>
      <c r="G860" t="n">
        <v>2</v>
      </c>
      <c r="H860" t="n">
        <v>0</v>
      </c>
      <c r="I860" t="n">
        <v>0</v>
      </c>
      <c r="J860" t="n">
        <v>0</v>
      </c>
      <c r="K860" t="n">
        <v>0</v>
      </c>
      <c r="L860" t="n">
        <v>0</v>
      </c>
      <c r="M860" t="n">
        <v>0</v>
      </c>
      <c r="N860" t="n">
        <v>0</v>
      </c>
      <c r="O860" t="n">
        <v>0</v>
      </c>
      <c r="P860" t="n">
        <v>0</v>
      </c>
      <c r="Q860" t="n">
        <v>0</v>
      </c>
      <c r="R860" s="2" t="inlineStr"/>
    </row>
    <row r="861" ht="15" customHeight="1">
      <c r="A861" t="inlineStr">
        <is>
          <t>A 59503-2025</t>
        </is>
      </c>
      <c r="B861" s="1" t="n">
        <v>45989.62703703704</v>
      </c>
      <c r="C861" s="1" t="n">
        <v>46051</v>
      </c>
      <c r="D861" t="inlineStr">
        <is>
          <t>JÄMTLANDS LÄN</t>
        </is>
      </c>
      <c r="E861" t="inlineStr">
        <is>
          <t>RAGUNDA</t>
        </is>
      </c>
      <c r="G861" t="n">
        <v>0.6</v>
      </c>
      <c r="H861" t="n">
        <v>0</v>
      </c>
      <c r="I861" t="n">
        <v>0</v>
      </c>
      <c r="J861" t="n">
        <v>0</v>
      </c>
      <c r="K861" t="n">
        <v>0</v>
      </c>
      <c r="L861" t="n">
        <v>0</v>
      </c>
      <c r="M861" t="n">
        <v>0</v>
      </c>
      <c r="N861" t="n">
        <v>0</v>
      </c>
      <c r="O861" t="n">
        <v>0</v>
      </c>
      <c r="P861" t="n">
        <v>0</v>
      </c>
      <c r="Q861" t="n">
        <v>0</v>
      </c>
      <c r="R861" s="2" t="inlineStr"/>
    </row>
    <row r="862" ht="15" customHeight="1">
      <c r="A862" t="inlineStr">
        <is>
          <t>A 59740-2025</t>
        </is>
      </c>
      <c r="B862" s="1" t="n">
        <v>45992.5743287037</v>
      </c>
      <c r="C862" s="1" t="n">
        <v>46051</v>
      </c>
      <c r="D862" t="inlineStr">
        <is>
          <t>JÄMTLANDS LÄN</t>
        </is>
      </c>
      <c r="E862" t="inlineStr">
        <is>
          <t>RAGUNDA</t>
        </is>
      </c>
      <c r="F862" t="inlineStr">
        <is>
          <t>SCA</t>
        </is>
      </c>
      <c r="G862" t="n">
        <v>14.1</v>
      </c>
      <c r="H862" t="n">
        <v>0</v>
      </c>
      <c r="I862" t="n">
        <v>0</v>
      </c>
      <c r="J862" t="n">
        <v>0</v>
      </c>
      <c r="K862" t="n">
        <v>0</v>
      </c>
      <c r="L862" t="n">
        <v>0</v>
      </c>
      <c r="M862" t="n">
        <v>0</v>
      </c>
      <c r="N862" t="n">
        <v>0</v>
      </c>
      <c r="O862" t="n">
        <v>0</v>
      </c>
      <c r="P862" t="n">
        <v>0</v>
      </c>
      <c r="Q862" t="n">
        <v>0</v>
      </c>
      <c r="R862" s="2" t="inlineStr"/>
    </row>
    <row r="863" ht="15" customHeight="1">
      <c r="A863" t="inlineStr">
        <is>
          <t>A 37268-2024</t>
        </is>
      </c>
      <c r="B863" s="1" t="n">
        <v>45540.38586805556</v>
      </c>
      <c r="C863" s="1" t="n">
        <v>46051</v>
      </c>
      <c r="D863" t="inlineStr">
        <is>
          <t>JÄMTLANDS LÄN</t>
        </is>
      </c>
      <c r="E863" t="inlineStr">
        <is>
          <t>RAGUNDA</t>
        </is>
      </c>
      <c r="F863" t="inlineStr">
        <is>
          <t>SCA</t>
        </is>
      </c>
      <c r="G863" t="n">
        <v>6.3</v>
      </c>
      <c r="H863" t="n">
        <v>0</v>
      </c>
      <c r="I863" t="n">
        <v>0</v>
      </c>
      <c r="J863" t="n">
        <v>0</v>
      </c>
      <c r="K863" t="n">
        <v>0</v>
      </c>
      <c r="L863" t="n">
        <v>0</v>
      </c>
      <c r="M863" t="n">
        <v>0</v>
      </c>
      <c r="N863" t="n">
        <v>0</v>
      </c>
      <c r="O863" t="n">
        <v>0</v>
      </c>
      <c r="P863" t="n">
        <v>0</v>
      </c>
      <c r="Q863" t="n">
        <v>0</v>
      </c>
      <c r="R863" s="2" t="inlineStr"/>
    </row>
    <row r="864" ht="15" customHeight="1">
      <c r="A864" t="inlineStr">
        <is>
          <t>A 41179-2022</t>
        </is>
      </c>
      <c r="B864" s="1" t="n">
        <v>44825</v>
      </c>
      <c r="C864" s="1" t="n">
        <v>46051</v>
      </c>
      <c r="D864" t="inlineStr">
        <is>
          <t>JÄMTLANDS LÄN</t>
        </is>
      </c>
      <c r="E864" t="inlineStr">
        <is>
          <t>RAGUNDA</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59738-2025</t>
        </is>
      </c>
      <c r="B865" s="1" t="n">
        <v>45992.57408564815</v>
      </c>
      <c r="C865" s="1" t="n">
        <v>46051</v>
      </c>
      <c r="D865" t="inlineStr">
        <is>
          <t>JÄMTLANDS LÄN</t>
        </is>
      </c>
      <c r="E865" t="inlineStr">
        <is>
          <t>RAGUNDA</t>
        </is>
      </c>
      <c r="F865" t="inlineStr">
        <is>
          <t>SCA</t>
        </is>
      </c>
      <c r="G865" t="n">
        <v>12.5</v>
      </c>
      <c r="H865" t="n">
        <v>0</v>
      </c>
      <c r="I865" t="n">
        <v>0</v>
      </c>
      <c r="J865" t="n">
        <v>0</v>
      </c>
      <c r="K865" t="n">
        <v>0</v>
      </c>
      <c r="L865" t="n">
        <v>0</v>
      </c>
      <c r="M865" t="n">
        <v>0</v>
      </c>
      <c r="N865" t="n">
        <v>0</v>
      </c>
      <c r="O865" t="n">
        <v>0</v>
      </c>
      <c r="P865" t="n">
        <v>0</v>
      </c>
      <c r="Q865" t="n">
        <v>0</v>
      </c>
      <c r="R865" s="2" t="inlineStr"/>
    </row>
    <row r="866" ht="15" customHeight="1">
      <c r="A866" t="inlineStr">
        <is>
          <t>A 59739-2025</t>
        </is>
      </c>
      <c r="B866" s="1" t="n">
        <v>45992.57417824074</v>
      </c>
      <c r="C866" s="1" t="n">
        <v>46051</v>
      </c>
      <c r="D866" t="inlineStr">
        <is>
          <t>JÄMTLANDS LÄN</t>
        </is>
      </c>
      <c r="E866" t="inlineStr">
        <is>
          <t>RAGUNDA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17598-2021</t>
        </is>
      </c>
      <c r="B867" s="1" t="n">
        <v>44299</v>
      </c>
      <c r="C867" s="1" t="n">
        <v>46051</v>
      </c>
      <c r="D867" t="inlineStr">
        <is>
          <t>JÄMTLANDS LÄN</t>
        </is>
      </c>
      <c r="E867" t="inlineStr">
        <is>
          <t>RAGUNDA</t>
        </is>
      </c>
      <c r="G867" t="n">
        <v>4.6</v>
      </c>
      <c r="H867" t="n">
        <v>0</v>
      </c>
      <c r="I867" t="n">
        <v>0</v>
      </c>
      <c r="J867" t="n">
        <v>0</v>
      </c>
      <c r="K867" t="n">
        <v>0</v>
      </c>
      <c r="L867" t="n">
        <v>0</v>
      </c>
      <c r="M867" t="n">
        <v>0</v>
      </c>
      <c r="N867" t="n">
        <v>0</v>
      </c>
      <c r="O867" t="n">
        <v>0</v>
      </c>
      <c r="P867" t="n">
        <v>0</v>
      </c>
      <c r="Q867" t="n">
        <v>0</v>
      </c>
      <c r="R867" s="2" t="inlineStr"/>
    </row>
    <row r="868" ht="15" customHeight="1">
      <c r="A868" t="inlineStr">
        <is>
          <t>A 62541-2022</t>
        </is>
      </c>
      <c r="B868" s="1" t="n">
        <v>44917</v>
      </c>
      <c r="C868" s="1" t="n">
        <v>46051</v>
      </c>
      <c r="D868" t="inlineStr">
        <is>
          <t>JÄMTLANDS LÄN</t>
        </is>
      </c>
      <c r="E868" t="inlineStr">
        <is>
          <t>RAGUNDA</t>
        </is>
      </c>
      <c r="G868" t="n">
        <v>2.6</v>
      </c>
      <c r="H868" t="n">
        <v>0</v>
      </c>
      <c r="I868" t="n">
        <v>0</v>
      </c>
      <c r="J868" t="n">
        <v>0</v>
      </c>
      <c r="K868" t="n">
        <v>0</v>
      </c>
      <c r="L868" t="n">
        <v>0</v>
      </c>
      <c r="M868" t="n">
        <v>0</v>
      </c>
      <c r="N868" t="n">
        <v>0</v>
      </c>
      <c r="O868" t="n">
        <v>0</v>
      </c>
      <c r="P868" t="n">
        <v>0</v>
      </c>
      <c r="Q868" t="n">
        <v>0</v>
      </c>
      <c r="R868" s="2" t="inlineStr"/>
    </row>
    <row r="869" ht="15" customHeight="1">
      <c r="A869" t="inlineStr">
        <is>
          <t>A 61400-2022</t>
        </is>
      </c>
      <c r="B869" s="1" t="n">
        <v>44915</v>
      </c>
      <c r="C869" s="1" t="n">
        <v>46051</v>
      </c>
      <c r="D869" t="inlineStr">
        <is>
          <t>JÄMTLANDS LÄN</t>
        </is>
      </c>
      <c r="E869" t="inlineStr">
        <is>
          <t>RAGUNDA</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1333-2026</t>
        </is>
      </c>
      <c r="B870" s="1" t="n">
        <v>46031.57340277778</v>
      </c>
      <c r="C870" s="1" t="n">
        <v>46051</v>
      </c>
      <c r="D870" t="inlineStr">
        <is>
          <t>JÄMTLANDS LÄN</t>
        </is>
      </c>
      <c r="E870" t="inlineStr">
        <is>
          <t>RAGUNDA</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24861-2023</t>
        </is>
      </c>
      <c r="B871" s="1" t="n">
        <v>45078</v>
      </c>
      <c r="C871" s="1" t="n">
        <v>46051</v>
      </c>
      <c r="D871" t="inlineStr">
        <is>
          <t>JÄMTLANDS LÄN</t>
        </is>
      </c>
      <c r="E871" t="inlineStr">
        <is>
          <t>RAGUNDA</t>
        </is>
      </c>
      <c r="G871" t="n">
        <v>1.3</v>
      </c>
      <c r="H871" t="n">
        <v>0</v>
      </c>
      <c r="I871" t="n">
        <v>0</v>
      </c>
      <c r="J871" t="n">
        <v>0</v>
      </c>
      <c r="K871" t="n">
        <v>0</v>
      </c>
      <c r="L871" t="n">
        <v>0</v>
      </c>
      <c r="M871" t="n">
        <v>0</v>
      </c>
      <c r="N871" t="n">
        <v>0</v>
      </c>
      <c r="O871" t="n">
        <v>0</v>
      </c>
      <c r="P871" t="n">
        <v>0</v>
      </c>
      <c r="Q871" t="n">
        <v>0</v>
      </c>
      <c r="R871" s="2" t="inlineStr"/>
    </row>
    <row r="872" ht="15" customHeight="1">
      <c r="A872" t="inlineStr">
        <is>
          <t>A 2316-2026</t>
        </is>
      </c>
      <c r="B872" s="1" t="n">
        <v>46036.59826388889</v>
      </c>
      <c r="C872" s="1" t="n">
        <v>46051</v>
      </c>
      <c r="D872" t="inlineStr">
        <is>
          <t>JÄMTLANDS LÄN</t>
        </is>
      </c>
      <c r="E872" t="inlineStr">
        <is>
          <t>RAGUNDA</t>
        </is>
      </c>
      <c r="G872" t="n">
        <v>5.1</v>
      </c>
      <c r="H872" t="n">
        <v>0</v>
      </c>
      <c r="I872" t="n">
        <v>0</v>
      </c>
      <c r="J872" t="n">
        <v>0</v>
      </c>
      <c r="K872" t="n">
        <v>0</v>
      </c>
      <c r="L872" t="n">
        <v>0</v>
      </c>
      <c r="M872" t="n">
        <v>0</v>
      </c>
      <c r="N872" t="n">
        <v>0</v>
      </c>
      <c r="O872" t="n">
        <v>0</v>
      </c>
      <c r="P872" t="n">
        <v>0</v>
      </c>
      <c r="Q872" t="n">
        <v>0</v>
      </c>
      <c r="R872" s="2" t="inlineStr"/>
    </row>
    <row r="873" ht="15" customHeight="1">
      <c r="A873" t="inlineStr">
        <is>
          <t>A 60130-2025</t>
        </is>
      </c>
      <c r="B873" s="1" t="n">
        <v>45994.34467592592</v>
      </c>
      <c r="C873" s="1" t="n">
        <v>46051</v>
      </c>
      <c r="D873" t="inlineStr">
        <is>
          <t>JÄMTLANDS LÄN</t>
        </is>
      </c>
      <c r="E873" t="inlineStr">
        <is>
          <t>RAGUNDA</t>
        </is>
      </c>
      <c r="G873" t="n">
        <v>4.9</v>
      </c>
      <c r="H873" t="n">
        <v>0</v>
      </c>
      <c r="I873" t="n">
        <v>0</v>
      </c>
      <c r="J873" t="n">
        <v>0</v>
      </c>
      <c r="K873" t="n">
        <v>0</v>
      </c>
      <c r="L873" t="n">
        <v>0</v>
      </c>
      <c r="M873" t="n">
        <v>0</v>
      </c>
      <c r="N873" t="n">
        <v>0</v>
      </c>
      <c r="O873" t="n">
        <v>0</v>
      </c>
      <c r="P873" t="n">
        <v>0</v>
      </c>
      <c r="Q873" t="n">
        <v>0</v>
      </c>
      <c r="R873" s="2" t="inlineStr"/>
    </row>
    <row r="874" ht="15" customHeight="1">
      <c r="A874" t="inlineStr">
        <is>
          <t>A 2123-2026</t>
        </is>
      </c>
      <c r="B874" s="1" t="n">
        <v>46036.38618055556</v>
      </c>
      <c r="C874" s="1" t="n">
        <v>46051</v>
      </c>
      <c r="D874" t="inlineStr">
        <is>
          <t>JÄMTLANDS LÄN</t>
        </is>
      </c>
      <c r="E874" t="inlineStr">
        <is>
          <t>RAGUNDA</t>
        </is>
      </c>
      <c r="F874" t="inlineStr">
        <is>
          <t>SCA</t>
        </is>
      </c>
      <c r="G874" t="n">
        <v>5.1</v>
      </c>
      <c r="H874" t="n">
        <v>0</v>
      </c>
      <c r="I874" t="n">
        <v>0</v>
      </c>
      <c r="J874" t="n">
        <v>0</v>
      </c>
      <c r="K874" t="n">
        <v>0</v>
      </c>
      <c r="L874" t="n">
        <v>0</v>
      </c>
      <c r="M874" t="n">
        <v>0</v>
      </c>
      <c r="N874" t="n">
        <v>0</v>
      </c>
      <c r="O874" t="n">
        <v>0</v>
      </c>
      <c r="P874" t="n">
        <v>0</v>
      </c>
      <c r="Q874" t="n">
        <v>0</v>
      </c>
      <c r="R874" s="2" t="inlineStr"/>
    </row>
    <row r="875" ht="15" customHeight="1">
      <c r="A875" t="inlineStr">
        <is>
          <t>A 59931-2025</t>
        </is>
      </c>
      <c r="B875" s="1" t="n">
        <v>45993.40177083333</v>
      </c>
      <c r="C875" s="1" t="n">
        <v>46051</v>
      </c>
      <c r="D875" t="inlineStr">
        <is>
          <t>JÄMTLANDS LÄN</t>
        </is>
      </c>
      <c r="E875" t="inlineStr">
        <is>
          <t>RAGUNDA</t>
        </is>
      </c>
      <c r="G875" t="n">
        <v>4</v>
      </c>
      <c r="H875" t="n">
        <v>0</v>
      </c>
      <c r="I875" t="n">
        <v>0</v>
      </c>
      <c r="J875" t="n">
        <v>0</v>
      </c>
      <c r="K875" t="n">
        <v>0</v>
      </c>
      <c r="L875" t="n">
        <v>0</v>
      </c>
      <c r="M875" t="n">
        <v>0</v>
      </c>
      <c r="N875" t="n">
        <v>0</v>
      </c>
      <c r="O875" t="n">
        <v>0</v>
      </c>
      <c r="P875" t="n">
        <v>0</v>
      </c>
      <c r="Q875" t="n">
        <v>0</v>
      </c>
      <c r="R875" s="2" t="inlineStr"/>
    </row>
    <row r="876" ht="15" customHeight="1">
      <c r="A876" t="inlineStr">
        <is>
          <t>A 60062-2025</t>
        </is>
      </c>
      <c r="B876" s="1" t="n">
        <v>45993.65694444445</v>
      </c>
      <c r="C876" s="1" t="n">
        <v>46051</v>
      </c>
      <c r="D876" t="inlineStr">
        <is>
          <t>JÄMTLANDS LÄN</t>
        </is>
      </c>
      <c r="E876" t="inlineStr">
        <is>
          <t>RAGUNDA</t>
        </is>
      </c>
      <c r="F876" t="inlineStr">
        <is>
          <t>SCA</t>
        </is>
      </c>
      <c r="G876" t="n">
        <v>5.8</v>
      </c>
      <c r="H876" t="n">
        <v>0</v>
      </c>
      <c r="I876" t="n">
        <v>0</v>
      </c>
      <c r="J876" t="n">
        <v>0</v>
      </c>
      <c r="K876" t="n">
        <v>0</v>
      </c>
      <c r="L876" t="n">
        <v>0</v>
      </c>
      <c r="M876" t="n">
        <v>0</v>
      </c>
      <c r="N876" t="n">
        <v>0</v>
      </c>
      <c r="O876" t="n">
        <v>0</v>
      </c>
      <c r="P876" t="n">
        <v>0</v>
      </c>
      <c r="Q876" t="n">
        <v>0</v>
      </c>
      <c r="R876" s="2" t="inlineStr"/>
    </row>
    <row r="877" ht="15" customHeight="1">
      <c r="A877" t="inlineStr">
        <is>
          <t>A 2173-2026</t>
        </is>
      </c>
      <c r="B877" s="1" t="n">
        <v>46036.44984953704</v>
      </c>
      <c r="C877" s="1" t="n">
        <v>46051</v>
      </c>
      <c r="D877" t="inlineStr">
        <is>
          <t>JÄMTLANDS LÄN</t>
        </is>
      </c>
      <c r="E877" t="inlineStr">
        <is>
          <t>RAGUNDA</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38270-2021</t>
        </is>
      </c>
      <c r="B878" s="1" t="n">
        <v>44405.92065972222</v>
      </c>
      <c r="C878" s="1" t="n">
        <v>46051</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4866-2025</t>
        </is>
      </c>
      <c r="B879" s="1" t="n">
        <v>45688.67542824074</v>
      </c>
      <c r="C879" s="1" t="n">
        <v>46051</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60128-2025</t>
        </is>
      </c>
      <c r="B880" s="1" t="n">
        <v>45994.34456018519</v>
      </c>
      <c r="C880" s="1" t="n">
        <v>46051</v>
      </c>
      <c r="D880" t="inlineStr">
        <is>
          <t>JÄMTLANDS LÄN</t>
        </is>
      </c>
      <c r="E880" t="inlineStr">
        <is>
          <t>RAGUNDA</t>
        </is>
      </c>
      <c r="G880" t="n">
        <v>7.1</v>
      </c>
      <c r="H880" t="n">
        <v>0</v>
      </c>
      <c r="I880" t="n">
        <v>0</v>
      </c>
      <c r="J880" t="n">
        <v>0</v>
      </c>
      <c r="K880" t="n">
        <v>0</v>
      </c>
      <c r="L880" t="n">
        <v>0</v>
      </c>
      <c r="M880" t="n">
        <v>0</v>
      </c>
      <c r="N880" t="n">
        <v>0</v>
      </c>
      <c r="O880" t="n">
        <v>0</v>
      </c>
      <c r="P880" t="n">
        <v>0</v>
      </c>
      <c r="Q880" t="n">
        <v>0</v>
      </c>
      <c r="R880" s="2" t="inlineStr"/>
    </row>
    <row r="881" ht="15" customHeight="1">
      <c r="A881" t="inlineStr">
        <is>
          <t>A 60307-2025</t>
        </is>
      </c>
      <c r="B881" s="1" t="n">
        <v>45994.6842824074</v>
      </c>
      <c r="C881" s="1" t="n">
        <v>46051</v>
      </c>
      <c r="D881" t="inlineStr">
        <is>
          <t>JÄMTLANDS LÄN</t>
        </is>
      </c>
      <c r="E881" t="inlineStr">
        <is>
          <t>RAGUNDA</t>
        </is>
      </c>
      <c r="G881" t="n">
        <v>4</v>
      </c>
      <c r="H881" t="n">
        <v>0</v>
      </c>
      <c r="I881" t="n">
        <v>0</v>
      </c>
      <c r="J881" t="n">
        <v>0</v>
      </c>
      <c r="K881" t="n">
        <v>0</v>
      </c>
      <c r="L881" t="n">
        <v>0</v>
      </c>
      <c r="M881" t="n">
        <v>0</v>
      </c>
      <c r="N881" t="n">
        <v>0</v>
      </c>
      <c r="O881" t="n">
        <v>0</v>
      </c>
      <c r="P881" t="n">
        <v>0</v>
      </c>
      <c r="Q881" t="n">
        <v>0</v>
      </c>
      <c r="R881" s="2" t="inlineStr"/>
    </row>
    <row r="882" ht="15" customHeight="1">
      <c r="A882" t="inlineStr">
        <is>
          <t>A 179-2025</t>
        </is>
      </c>
      <c r="B882" s="1" t="n">
        <v>45659.69822916666</v>
      </c>
      <c r="C882" s="1" t="n">
        <v>46051</v>
      </c>
      <c r="D882" t="inlineStr">
        <is>
          <t>JÄMTLANDS LÄN</t>
        </is>
      </c>
      <c r="E882" t="inlineStr">
        <is>
          <t>RAGUNDA</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20088-2023</t>
        </is>
      </c>
      <c r="B883" s="1" t="n">
        <v>45054</v>
      </c>
      <c r="C883" s="1" t="n">
        <v>46051</v>
      </c>
      <c r="D883" t="inlineStr">
        <is>
          <t>JÄMTLANDS LÄN</t>
        </is>
      </c>
      <c r="E883" t="inlineStr">
        <is>
          <t>RAGUNDA</t>
        </is>
      </c>
      <c r="F883" t="inlineStr">
        <is>
          <t>SCA</t>
        </is>
      </c>
      <c r="G883" t="n">
        <v>23.4</v>
      </c>
      <c r="H883" t="n">
        <v>0</v>
      </c>
      <c r="I883" t="n">
        <v>0</v>
      </c>
      <c r="J883" t="n">
        <v>0</v>
      </c>
      <c r="K883" t="n">
        <v>0</v>
      </c>
      <c r="L883" t="n">
        <v>0</v>
      </c>
      <c r="M883" t="n">
        <v>0</v>
      </c>
      <c r="N883" t="n">
        <v>0</v>
      </c>
      <c r="O883" t="n">
        <v>0</v>
      </c>
      <c r="P883" t="n">
        <v>0</v>
      </c>
      <c r="Q883" t="n">
        <v>0</v>
      </c>
      <c r="R883" s="2" t="inlineStr"/>
    </row>
    <row r="884" ht="15" customHeight="1">
      <c r="A884" t="inlineStr">
        <is>
          <t>A 2156-2026</t>
        </is>
      </c>
      <c r="B884" s="1" t="n">
        <v>46036.42771990741</v>
      </c>
      <c r="C884" s="1" t="n">
        <v>46051</v>
      </c>
      <c r="D884" t="inlineStr">
        <is>
          <t>JÄMTLANDS LÄN</t>
        </is>
      </c>
      <c r="E884" t="inlineStr">
        <is>
          <t>RAGUNDA</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2271-2026</t>
        </is>
      </c>
      <c r="B885" s="1" t="n">
        <v>46036.57347222222</v>
      </c>
      <c r="C885" s="1" t="n">
        <v>46051</v>
      </c>
      <c r="D885" t="inlineStr">
        <is>
          <t>JÄMTLANDS LÄN</t>
        </is>
      </c>
      <c r="E885" t="inlineStr">
        <is>
          <t>RAGUNDA</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59136-2023</t>
        </is>
      </c>
      <c r="B886" s="1" t="n">
        <v>45251</v>
      </c>
      <c r="C886" s="1" t="n">
        <v>46051</v>
      </c>
      <c r="D886" t="inlineStr">
        <is>
          <t>JÄMTLANDS LÄN</t>
        </is>
      </c>
      <c r="E886" t="inlineStr">
        <is>
          <t>RAGUNDA</t>
        </is>
      </c>
      <c r="G886" t="n">
        <v>1.7</v>
      </c>
      <c r="H886" t="n">
        <v>0</v>
      </c>
      <c r="I886" t="n">
        <v>0</v>
      </c>
      <c r="J886" t="n">
        <v>0</v>
      </c>
      <c r="K886" t="n">
        <v>0</v>
      </c>
      <c r="L886" t="n">
        <v>0</v>
      </c>
      <c r="M886" t="n">
        <v>0</v>
      </c>
      <c r="N886" t="n">
        <v>0</v>
      </c>
      <c r="O886" t="n">
        <v>0</v>
      </c>
      <c r="P886" t="n">
        <v>0</v>
      </c>
      <c r="Q886" t="n">
        <v>0</v>
      </c>
      <c r="R886" s="2" t="inlineStr"/>
    </row>
    <row r="887" ht="15" customHeight="1">
      <c r="A887" t="inlineStr">
        <is>
          <t>A 2282-2026</t>
        </is>
      </c>
      <c r="B887" s="1" t="n">
        <v>46036.57798611111</v>
      </c>
      <c r="C887" s="1" t="n">
        <v>46051</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35274-2023</t>
        </is>
      </c>
      <c r="B888" s="1" t="n">
        <v>45145</v>
      </c>
      <c r="C888" s="1" t="n">
        <v>46051</v>
      </c>
      <c r="D888" t="inlineStr">
        <is>
          <t>JÄMTLANDS LÄN</t>
        </is>
      </c>
      <c r="E888" t="inlineStr">
        <is>
          <t>RAGUNDA</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2233-2026</t>
        </is>
      </c>
      <c r="B889" s="1" t="n">
        <v>46036.53207175926</v>
      </c>
      <c r="C889" s="1" t="n">
        <v>46051</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64264-2023</t>
        </is>
      </c>
      <c r="B890" s="1" t="n">
        <v>45279.94564814815</v>
      </c>
      <c r="C890" s="1" t="n">
        <v>46051</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26347-2023</t>
        </is>
      </c>
      <c r="B891" s="1" t="n">
        <v>45091</v>
      </c>
      <c r="C891" s="1" t="n">
        <v>46051</v>
      </c>
      <c r="D891" t="inlineStr">
        <is>
          <t>JÄMTLANDS LÄN</t>
        </is>
      </c>
      <c r="E891" t="inlineStr">
        <is>
          <t>RAGUNDA</t>
        </is>
      </c>
      <c r="F891" t="inlineStr">
        <is>
          <t>SCA</t>
        </is>
      </c>
      <c r="G891" t="n">
        <v>6.6</v>
      </c>
      <c r="H891" t="n">
        <v>0</v>
      </c>
      <c r="I891" t="n">
        <v>0</v>
      </c>
      <c r="J891" t="n">
        <v>0</v>
      </c>
      <c r="K891" t="n">
        <v>0</v>
      </c>
      <c r="L891" t="n">
        <v>0</v>
      </c>
      <c r="M891" t="n">
        <v>0</v>
      </c>
      <c r="N891" t="n">
        <v>0</v>
      </c>
      <c r="O891" t="n">
        <v>0</v>
      </c>
      <c r="P891" t="n">
        <v>0</v>
      </c>
      <c r="Q891" t="n">
        <v>0</v>
      </c>
      <c r="R891" s="2" t="inlineStr"/>
    </row>
    <row r="892" ht="15" customHeight="1">
      <c r="A892" t="inlineStr">
        <is>
          <t>A 60389-2025</t>
        </is>
      </c>
      <c r="B892" s="1" t="n">
        <v>45995.38628472222</v>
      </c>
      <c r="C892" s="1" t="n">
        <v>46051</v>
      </c>
      <c r="D892" t="inlineStr">
        <is>
          <t>JÄMTLANDS LÄN</t>
        </is>
      </c>
      <c r="E892" t="inlineStr">
        <is>
          <t>RAGUNDA</t>
        </is>
      </c>
      <c r="G892" t="n">
        <v>3.3</v>
      </c>
      <c r="H892" t="n">
        <v>0</v>
      </c>
      <c r="I892" t="n">
        <v>0</v>
      </c>
      <c r="J892" t="n">
        <v>0</v>
      </c>
      <c r="K892" t="n">
        <v>0</v>
      </c>
      <c r="L892" t="n">
        <v>0</v>
      </c>
      <c r="M892" t="n">
        <v>0</v>
      </c>
      <c r="N892" t="n">
        <v>0</v>
      </c>
      <c r="O892" t="n">
        <v>0</v>
      </c>
      <c r="P892" t="n">
        <v>0</v>
      </c>
      <c r="Q892" t="n">
        <v>0</v>
      </c>
      <c r="R892" s="2" t="inlineStr"/>
    </row>
    <row r="893" ht="15" customHeight="1">
      <c r="A893" t="inlineStr">
        <is>
          <t>A 60387-2025</t>
        </is>
      </c>
      <c r="B893" s="1" t="n">
        <v>45995.38611111111</v>
      </c>
      <c r="C893" s="1" t="n">
        <v>46051</v>
      </c>
      <c r="D893" t="inlineStr">
        <is>
          <t>JÄMTLANDS LÄN</t>
        </is>
      </c>
      <c r="E893" t="inlineStr">
        <is>
          <t>RAGUNDA</t>
        </is>
      </c>
      <c r="G893" t="n">
        <v>8.5</v>
      </c>
      <c r="H893" t="n">
        <v>0</v>
      </c>
      <c r="I893" t="n">
        <v>0</v>
      </c>
      <c r="J893" t="n">
        <v>0</v>
      </c>
      <c r="K893" t="n">
        <v>0</v>
      </c>
      <c r="L893" t="n">
        <v>0</v>
      </c>
      <c r="M893" t="n">
        <v>0</v>
      </c>
      <c r="N893" t="n">
        <v>0</v>
      </c>
      <c r="O893" t="n">
        <v>0</v>
      </c>
      <c r="P893" t="n">
        <v>0</v>
      </c>
      <c r="Q893" t="n">
        <v>0</v>
      </c>
      <c r="R893" s="2" t="inlineStr"/>
    </row>
    <row r="894" ht="15" customHeight="1">
      <c r="A894" t="inlineStr">
        <is>
          <t>A 51538-2022</t>
        </is>
      </c>
      <c r="B894" s="1" t="n">
        <v>44869</v>
      </c>
      <c r="C894" s="1" t="n">
        <v>46051</v>
      </c>
      <c r="D894" t="inlineStr">
        <is>
          <t>JÄMTLANDS LÄN</t>
        </is>
      </c>
      <c r="E894" t="inlineStr">
        <is>
          <t>RAGUNDA</t>
        </is>
      </c>
      <c r="G894" t="n">
        <v>6.8</v>
      </c>
      <c r="H894" t="n">
        <v>0</v>
      </c>
      <c r="I894" t="n">
        <v>0</v>
      </c>
      <c r="J894" t="n">
        <v>0</v>
      </c>
      <c r="K894" t="n">
        <v>0</v>
      </c>
      <c r="L894" t="n">
        <v>0</v>
      </c>
      <c r="M894" t="n">
        <v>0</v>
      </c>
      <c r="N894" t="n">
        <v>0</v>
      </c>
      <c r="O894" t="n">
        <v>0</v>
      </c>
      <c r="P894" t="n">
        <v>0</v>
      </c>
      <c r="Q894" t="n">
        <v>0</v>
      </c>
      <c r="R894" s="2" t="inlineStr"/>
    </row>
    <row r="895" ht="15" customHeight="1">
      <c r="A895" t="inlineStr">
        <is>
          <t>A 59492-2024</t>
        </is>
      </c>
      <c r="B895" s="1" t="n">
        <v>45638</v>
      </c>
      <c r="C895" s="1" t="n">
        <v>46051</v>
      </c>
      <c r="D895" t="inlineStr">
        <is>
          <t>JÄMTLANDS LÄN</t>
        </is>
      </c>
      <c r="E895" t="inlineStr">
        <is>
          <t>RAGUNDA</t>
        </is>
      </c>
      <c r="G895" t="n">
        <v>1.2</v>
      </c>
      <c r="H895" t="n">
        <v>0</v>
      </c>
      <c r="I895" t="n">
        <v>0</v>
      </c>
      <c r="J895" t="n">
        <v>0</v>
      </c>
      <c r="K895" t="n">
        <v>0</v>
      </c>
      <c r="L895" t="n">
        <v>0</v>
      </c>
      <c r="M895" t="n">
        <v>0</v>
      </c>
      <c r="N895" t="n">
        <v>0</v>
      </c>
      <c r="O895" t="n">
        <v>0</v>
      </c>
      <c r="P895" t="n">
        <v>0</v>
      </c>
      <c r="Q895" t="n">
        <v>0</v>
      </c>
      <c r="R895" s="2" t="inlineStr"/>
    </row>
    <row r="896" ht="15" customHeight="1">
      <c r="A896" t="inlineStr">
        <is>
          <t>A 61109-2024</t>
        </is>
      </c>
      <c r="B896" s="1" t="n">
        <v>45645.55672453704</v>
      </c>
      <c r="C896" s="1" t="n">
        <v>46051</v>
      </c>
      <c r="D896" t="inlineStr">
        <is>
          <t>JÄMTLANDS LÄN</t>
        </is>
      </c>
      <c r="E896" t="inlineStr">
        <is>
          <t>RAGUNDA</t>
        </is>
      </c>
      <c r="G896" t="n">
        <v>4</v>
      </c>
      <c r="H896" t="n">
        <v>0</v>
      </c>
      <c r="I896" t="n">
        <v>0</v>
      </c>
      <c r="J896" t="n">
        <v>0</v>
      </c>
      <c r="K896" t="n">
        <v>0</v>
      </c>
      <c r="L896" t="n">
        <v>0</v>
      </c>
      <c r="M896" t="n">
        <v>0</v>
      </c>
      <c r="N896" t="n">
        <v>0</v>
      </c>
      <c r="O896" t="n">
        <v>0</v>
      </c>
      <c r="P896" t="n">
        <v>0</v>
      </c>
      <c r="Q896" t="n">
        <v>0</v>
      </c>
      <c r="R896" s="2" t="inlineStr"/>
    </row>
    <row r="897" ht="15" customHeight="1">
      <c r="A897" t="inlineStr">
        <is>
          <t>A 60630-2025</t>
        </is>
      </c>
      <c r="B897" s="1" t="n">
        <v>45996.42120370371</v>
      </c>
      <c r="C897" s="1" t="n">
        <v>46051</v>
      </c>
      <c r="D897" t="inlineStr">
        <is>
          <t>JÄMTLANDS LÄN</t>
        </is>
      </c>
      <c r="E897" t="inlineStr">
        <is>
          <t>RAGUNDA</t>
        </is>
      </c>
      <c r="G897" t="n">
        <v>13.2</v>
      </c>
      <c r="H897" t="n">
        <v>0</v>
      </c>
      <c r="I897" t="n">
        <v>0</v>
      </c>
      <c r="J897" t="n">
        <v>0</v>
      </c>
      <c r="K897" t="n">
        <v>0</v>
      </c>
      <c r="L897" t="n">
        <v>0</v>
      </c>
      <c r="M897" t="n">
        <v>0</v>
      </c>
      <c r="N897" t="n">
        <v>0</v>
      </c>
      <c r="O897" t="n">
        <v>0</v>
      </c>
      <c r="P897" t="n">
        <v>0</v>
      </c>
      <c r="Q897" t="n">
        <v>0</v>
      </c>
      <c r="R897" s="2" t="inlineStr"/>
    </row>
    <row r="898" ht="15" customHeight="1">
      <c r="A898" t="inlineStr">
        <is>
          <t>A 27373-2023</t>
        </is>
      </c>
      <c r="B898" s="1" t="n">
        <v>45096.93866898148</v>
      </c>
      <c r="C898" s="1" t="n">
        <v>46051</v>
      </c>
      <c r="D898" t="inlineStr">
        <is>
          <t>JÄMTLANDS LÄN</t>
        </is>
      </c>
      <c r="E898" t="inlineStr">
        <is>
          <t>RAGUNDA</t>
        </is>
      </c>
      <c r="F898" t="inlineStr">
        <is>
          <t>SCA</t>
        </is>
      </c>
      <c r="G898" t="n">
        <v>6.9</v>
      </c>
      <c r="H898" t="n">
        <v>0</v>
      </c>
      <c r="I898" t="n">
        <v>0</v>
      </c>
      <c r="J898" t="n">
        <v>0</v>
      </c>
      <c r="K898" t="n">
        <v>0</v>
      </c>
      <c r="L898" t="n">
        <v>0</v>
      </c>
      <c r="M898" t="n">
        <v>0</v>
      </c>
      <c r="N898" t="n">
        <v>0</v>
      </c>
      <c r="O898" t="n">
        <v>0</v>
      </c>
      <c r="P898" t="n">
        <v>0</v>
      </c>
      <c r="Q898" t="n">
        <v>0</v>
      </c>
      <c r="R898" s="2" t="inlineStr"/>
    </row>
    <row r="899" ht="15" customHeight="1">
      <c r="A899" t="inlineStr">
        <is>
          <t>A 16321-2025</t>
        </is>
      </c>
      <c r="B899" s="1" t="n">
        <v>45751.34873842593</v>
      </c>
      <c r="C899" s="1" t="n">
        <v>46051</v>
      </c>
      <c r="D899" t="inlineStr">
        <is>
          <t>JÄMTLANDS LÄN</t>
        </is>
      </c>
      <c r="E899" t="inlineStr">
        <is>
          <t>RAGUNDA</t>
        </is>
      </c>
      <c r="F899" t="inlineStr">
        <is>
          <t>SCA</t>
        </is>
      </c>
      <c r="G899" t="n">
        <v>63.3</v>
      </c>
      <c r="H899" t="n">
        <v>0</v>
      </c>
      <c r="I899" t="n">
        <v>0</v>
      </c>
      <c r="J899" t="n">
        <v>0</v>
      </c>
      <c r="K899" t="n">
        <v>0</v>
      </c>
      <c r="L899" t="n">
        <v>0</v>
      </c>
      <c r="M899" t="n">
        <v>0</v>
      </c>
      <c r="N899" t="n">
        <v>0</v>
      </c>
      <c r="O899" t="n">
        <v>0</v>
      </c>
      <c r="P899" t="n">
        <v>0</v>
      </c>
      <c r="Q899" t="n">
        <v>0</v>
      </c>
      <c r="R899" s="2" t="inlineStr"/>
    </row>
    <row r="900" ht="15" customHeight="1">
      <c r="A900" t="inlineStr">
        <is>
          <t>A 61233-2025</t>
        </is>
      </c>
      <c r="B900" s="1" t="n">
        <v>46000.6359837963</v>
      </c>
      <c r="C900" s="1" t="n">
        <v>46051</v>
      </c>
      <c r="D900" t="inlineStr">
        <is>
          <t>JÄMTLANDS LÄN</t>
        </is>
      </c>
      <c r="E900" t="inlineStr">
        <is>
          <t>RAGUNDA</t>
        </is>
      </c>
      <c r="F900" t="inlineStr">
        <is>
          <t>SCA</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55904-2022</t>
        </is>
      </c>
      <c r="B901" s="1" t="n">
        <v>44888</v>
      </c>
      <c r="C901" s="1" t="n">
        <v>46051</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61266-2025</t>
        </is>
      </c>
      <c r="B902" s="1" t="n">
        <v>46000.67784722222</v>
      </c>
      <c r="C902" s="1" t="n">
        <v>46051</v>
      </c>
      <c r="D902" t="inlineStr">
        <is>
          <t>JÄMTLANDS LÄN</t>
        </is>
      </c>
      <c r="E902" t="inlineStr">
        <is>
          <t>RAGUNDA</t>
        </is>
      </c>
      <c r="G902" t="n">
        <v>7.9</v>
      </c>
      <c r="H902" t="n">
        <v>0</v>
      </c>
      <c r="I902" t="n">
        <v>0</v>
      </c>
      <c r="J902" t="n">
        <v>0</v>
      </c>
      <c r="K902" t="n">
        <v>0</v>
      </c>
      <c r="L902" t="n">
        <v>0</v>
      </c>
      <c r="M902" t="n">
        <v>0</v>
      </c>
      <c r="N902" t="n">
        <v>0</v>
      </c>
      <c r="O902" t="n">
        <v>0</v>
      </c>
      <c r="P902" t="n">
        <v>0</v>
      </c>
      <c r="Q902" t="n">
        <v>0</v>
      </c>
      <c r="R902" s="2" t="inlineStr"/>
    </row>
    <row r="903" ht="15" customHeight="1">
      <c r="A903" t="inlineStr">
        <is>
          <t>A 19854-2025</t>
        </is>
      </c>
      <c r="B903" s="1" t="n">
        <v>45771.51074074074</v>
      </c>
      <c r="C903" s="1" t="n">
        <v>46051</v>
      </c>
      <c r="D903" t="inlineStr">
        <is>
          <t>JÄMTLANDS LÄN</t>
        </is>
      </c>
      <c r="E903" t="inlineStr">
        <is>
          <t>RAGUNDA</t>
        </is>
      </c>
      <c r="F903" t="inlineStr">
        <is>
          <t>SCA</t>
        </is>
      </c>
      <c r="G903" t="n">
        <v>8.4</v>
      </c>
      <c r="H903" t="n">
        <v>0</v>
      </c>
      <c r="I903" t="n">
        <v>0</v>
      </c>
      <c r="J903" t="n">
        <v>0</v>
      </c>
      <c r="K903" t="n">
        <v>0</v>
      </c>
      <c r="L903" t="n">
        <v>0</v>
      </c>
      <c r="M903" t="n">
        <v>0</v>
      </c>
      <c r="N903" t="n">
        <v>0</v>
      </c>
      <c r="O903" t="n">
        <v>0</v>
      </c>
      <c r="P903" t="n">
        <v>0</v>
      </c>
      <c r="Q903" t="n">
        <v>0</v>
      </c>
      <c r="R903" s="2" t="inlineStr"/>
    </row>
    <row r="904" ht="15" customHeight="1">
      <c r="A904" t="inlineStr">
        <is>
          <t>A 6688-2024</t>
        </is>
      </c>
      <c r="B904" s="1" t="n">
        <v>45341</v>
      </c>
      <c r="C904" s="1" t="n">
        <v>46051</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30642-2024</t>
        </is>
      </c>
      <c r="B905" s="1" t="n">
        <v>45495.57677083334</v>
      </c>
      <c r="C905" s="1" t="n">
        <v>46051</v>
      </c>
      <c r="D905" t="inlineStr">
        <is>
          <t>JÄMTLANDS LÄN</t>
        </is>
      </c>
      <c r="E905" t="inlineStr">
        <is>
          <t>RAGUNDA</t>
        </is>
      </c>
      <c r="G905" t="n">
        <v>2.7</v>
      </c>
      <c r="H905" t="n">
        <v>0</v>
      </c>
      <c r="I905" t="n">
        <v>0</v>
      </c>
      <c r="J905" t="n">
        <v>0</v>
      </c>
      <c r="K905" t="n">
        <v>0</v>
      </c>
      <c r="L905" t="n">
        <v>0</v>
      </c>
      <c r="M905" t="n">
        <v>0</v>
      </c>
      <c r="N905" t="n">
        <v>0</v>
      </c>
      <c r="O905" t="n">
        <v>0</v>
      </c>
      <c r="P905" t="n">
        <v>0</v>
      </c>
      <c r="Q905" t="n">
        <v>0</v>
      </c>
      <c r="R905" s="2" t="inlineStr"/>
    </row>
    <row r="906" ht="15" customHeight="1">
      <c r="A906" t="inlineStr">
        <is>
          <t>A 60775-2025</t>
        </is>
      </c>
      <c r="B906" s="1" t="n">
        <v>45999.3905787037</v>
      </c>
      <c r="C906" s="1" t="n">
        <v>46051</v>
      </c>
      <c r="D906" t="inlineStr">
        <is>
          <t>JÄMTLANDS LÄN</t>
        </is>
      </c>
      <c r="E906" t="inlineStr">
        <is>
          <t>RAGUNDA</t>
        </is>
      </c>
      <c r="G906" t="n">
        <v>15.7</v>
      </c>
      <c r="H906" t="n">
        <v>0</v>
      </c>
      <c r="I906" t="n">
        <v>0</v>
      </c>
      <c r="J906" t="n">
        <v>0</v>
      </c>
      <c r="K906" t="n">
        <v>0</v>
      </c>
      <c r="L906" t="n">
        <v>0</v>
      </c>
      <c r="M906" t="n">
        <v>0</v>
      </c>
      <c r="N906" t="n">
        <v>0</v>
      </c>
      <c r="O906" t="n">
        <v>0</v>
      </c>
      <c r="P906" t="n">
        <v>0</v>
      </c>
      <c r="Q906" t="n">
        <v>0</v>
      </c>
      <c r="R906" s="2" t="inlineStr"/>
    </row>
    <row r="907" ht="15" customHeight="1">
      <c r="A907" t="inlineStr">
        <is>
          <t>A 3065-2026</t>
        </is>
      </c>
      <c r="B907" s="1" t="n">
        <v>46040.47866898148</v>
      </c>
      <c r="C907" s="1" t="n">
        <v>46051</v>
      </c>
      <c r="D907" t="inlineStr">
        <is>
          <t>JÄMTLANDS LÄN</t>
        </is>
      </c>
      <c r="E907" t="inlineStr">
        <is>
          <t>RAGUNDA</t>
        </is>
      </c>
      <c r="G907" t="n">
        <v>2</v>
      </c>
      <c r="H907" t="n">
        <v>0</v>
      </c>
      <c r="I907" t="n">
        <v>0</v>
      </c>
      <c r="J907" t="n">
        <v>0</v>
      </c>
      <c r="K907" t="n">
        <v>0</v>
      </c>
      <c r="L907" t="n">
        <v>0</v>
      </c>
      <c r="M907" t="n">
        <v>0</v>
      </c>
      <c r="N907" t="n">
        <v>0</v>
      </c>
      <c r="O907" t="n">
        <v>0</v>
      </c>
      <c r="P907" t="n">
        <v>0</v>
      </c>
      <c r="Q907" t="n">
        <v>0</v>
      </c>
      <c r="R907" s="2" t="inlineStr"/>
    </row>
    <row r="908" ht="15" customHeight="1">
      <c r="A908" t="inlineStr">
        <is>
          <t>A 16635-2025</t>
        </is>
      </c>
      <c r="B908" s="1" t="n">
        <v>45754</v>
      </c>
      <c r="C908" s="1" t="n">
        <v>46051</v>
      </c>
      <c r="D908" t="inlineStr">
        <is>
          <t>JÄMTLANDS LÄN</t>
        </is>
      </c>
      <c r="E908" t="inlineStr">
        <is>
          <t>RAGUNDA</t>
        </is>
      </c>
      <c r="F908" t="inlineStr">
        <is>
          <t>SCA</t>
        </is>
      </c>
      <c r="G908" t="n">
        <v>55.4</v>
      </c>
      <c r="H908" t="n">
        <v>0</v>
      </c>
      <c r="I908" t="n">
        <v>0</v>
      </c>
      <c r="J908" t="n">
        <v>0</v>
      </c>
      <c r="K908" t="n">
        <v>0</v>
      </c>
      <c r="L908" t="n">
        <v>0</v>
      </c>
      <c r="M908" t="n">
        <v>0</v>
      </c>
      <c r="N908" t="n">
        <v>0</v>
      </c>
      <c r="O908" t="n">
        <v>0</v>
      </c>
      <c r="P908" t="n">
        <v>0</v>
      </c>
      <c r="Q908" t="n">
        <v>0</v>
      </c>
      <c r="R908" s="2" t="inlineStr"/>
    </row>
    <row r="909" ht="15" customHeight="1">
      <c r="A909" t="inlineStr">
        <is>
          <t>A 3561-2026</t>
        </is>
      </c>
      <c r="B909" s="1" t="n">
        <v>46042.67142361111</v>
      </c>
      <c r="C909" s="1" t="n">
        <v>46051</v>
      </c>
      <c r="D909" t="inlineStr">
        <is>
          <t>JÄMTLANDS LÄN</t>
        </is>
      </c>
      <c r="E909" t="inlineStr">
        <is>
          <t>RAGUNDA</t>
        </is>
      </c>
      <c r="G909" t="n">
        <v>3.8</v>
      </c>
      <c r="H909" t="n">
        <v>0</v>
      </c>
      <c r="I909" t="n">
        <v>0</v>
      </c>
      <c r="J909" t="n">
        <v>0</v>
      </c>
      <c r="K909" t="n">
        <v>0</v>
      </c>
      <c r="L909" t="n">
        <v>0</v>
      </c>
      <c r="M909" t="n">
        <v>0</v>
      </c>
      <c r="N909" t="n">
        <v>0</v>
      </c>
      <c r="O909" t="n">
        <v>0</v>
      </c>
      <c r="P909" t="n">
        <v>0</v>
      </c>
      <c r="Q909" t="n">
        <v>0</v>
      </c>
      <c r="R909" s="2" t="inlineStr"/>
    </row>
    <row r="910" ht="15" customHeight="1">
      <c r="A910" t="inlineStr">
        <is>
          <t>A 60760-2025</t>
        </is>
      </c>
      <c r="B910" s="1" t="n">
        <v>45999.38597222222</v>
      </c>
      <c r="C910" s="1" t="n">
        <v>46051</v>
      </c>
      <c r="D910" t="inlineStr">
        <is>
          <t>JÄMTLANDS LÄN</t>
        </is>
      </c>
      <c r="E910" t="inlineStr">
        <is>
          <t>RAGUNDA</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37479-2023</t>
        </is>
      </c>
      <c r="B911" s="1" t="n">
        <v>45156</v>
      </c>
      <c r="C911" s="1" t="n">
        <v>46051</v>
      </c>
      <c r="D911" t="inlineStr">
        <is>
          <t>JÄMTLANDS LÄN</t>
        </is>
      </c>
      <c r="E911" t="inlineStr">
        <is>
          <t>RAGUNDA</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4046-2026</t>
        </is>
      </c>
      <c r="B912" s="1" t="n">
        <v>46044.46921296296</v>
      </c>
      <c r="C912" s="1" t="n">
        <v>46051</v>
      </c>
      <c r="D912" t="inlineStr">
        <is>
          <t>JÄMTLANDS LÄN</t>
        </is>
      </c>
      <c r="E912" t="inlineStr">
        <is>
          <t>RAGUNDA</t>
        </is>
      </c>
      <c r="G912" t="n">
        <v>5.3</v>
      </c>
      <c r="H912" t="n">
        <v>0</v>
      </c>
      <c r="I912" t="n">
        <v>0</v>
      </c>
      <c r="J912" t="n">
        <v>0</v>
      </c>
      <c r="K912" t="n">
        <v>0</v>
      </c>
      <c r="L912" t="n">
        <v>0</v>
      </c>
      <c r="M912" t="n">
        <v>0</v>
      </c>
      <c r="N912" t="n">
        <v>0</v>
      </c>
      <c r="O912" t="n">
        <v>0</v>
      </c>
      <c r="P912" t="n">
        <v>0</v>
      </c>
      <c r="Q912" t="n">
        <v>0</v>
      </c>
      <c r="R912" s="2" t="inlineStr"/>
    </row>
    <row r="913" ht="15" customHeight="1">
      <c r="A913" t="inlineStr">
        <is>
          <t>A 61697-2025</t>
        </is>
      </c>
      <c r="B913" s="1" t="n">
        <v>46002</v>
      </c>
      <c r="C913" s="1" t="n">
        <v>46051</v>
      </c>
      <c r="D913" t="inlineStr">
        <is>
          <t>JÄMTLANDS LÄN</t>
        </is>
      </c>
      <c r="E913" t="inlineStr">
        <is>
          <t>RAGUNDA</t>
        </is>
      </c>
      <c r="G913" t="n">
        <v>1.3</v>
      </c>
      <c r="H913" t="n">
        <v>0</v>
      </c>
      <c r="I913" t="n">
        <v>0</v>
      </c>
      <c r="J913" t="n">
        <v>0</v>
      </c>
      <c r="K913" t="n">
        <v>0</v>
      </c>
      <c r="L913" t="n">
        <v>0</v>
      </c>
      <c r="M913" t="n">
        <v>0</v>
      </c>
      <c r="N913" t="n">
        <v>0</v>
      </c>
      <c r="O913" t="n">
        <v>0</v>
      </c>
      <c r="P913" t="n">
        <v>0</v>
      </c>
      <c r="Q913" t="n">
        <v>0</v>
      </c>
      <c r="R913" s="2" t="inlineStr"/>
    </row>
    <row r="914" ht="15" customHeight="1">
      <c r="A914" t="inlineStr">
        <is>
          <t>A 4047-2026</t>
        </is>
      </c>
      <c r="B914" s="1" t="n">
        <v>46044.46944444445</v>
      </c>
      <c r="C914" s="1" t="n">
        <v>46051</v>
      </c>
      <c r="D914" t="inlineStr">
        <is>
          <t>JÄMTLANDS LÄN</t>
        </is>
      </c>
      <c r="E914" t="inlineStr">
        <is>
          <t>RAGUNDA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4073-2026</t>
        </is>
      </c>
      <c r="B915" s="1" t="n">
        <v>46044.53168981482</v>
      </c>
      <c r="C915" s="1" t="n">
        <v>46051</v>
      </c>
      <c r="D915" t="inlineStr">
        <is>
          <t>JÄMTLANDS LÄN</t>
        </is>
      </c>
      <c r="E915" t="inlineStr">
        <is>
          <t>RAGUNDA</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41772-2024</t>
        </is>
      </c>
      <c r="B916" s="1" t="n">
        <v>45561.34663194444</v>
      </c>
      <c r="C916" s="1" t="n">
        <v>46051</v>
      </c>
      <c r="D916" t="inlineStr">
        <is>
          <t>JÄMTLANDS LÄN</t>
        </is>
      </c>
      <c r="E916" t="inlineStr">
        <is>
          <t>RAGUNDA</t>
        </is>
      </c>
      <c r="F916" t="inlineStr">
        <is>
          <t>SCA</t>
        </is>
      </c>
      <c r="G916" t="n">
        <v>0.4</v>
      </c>
      <c r="H916" t="n">
        <v>0</v>
      </c>
      <c r="I916" t="n">
        <v>0</v>
      </c>
      <c r="J916" t="n">
        <v>0</v>
      </c>
      <c r="K916" t="n">
        <v>0</v>
      </c>
      <c r="L916" t="n">
        <v>0</v>
      </c>
      <c r="M916" t="n">
        <v>0</v>
      </c>
      <c r="N916" t="n">
        <v>0</v>
      </c>
      <c r="O916" t="n">
        <v>0</v>
      </c>
      <c r="P916" t="n">
        <v>0</v>
      </c>
      <c r="Q916" t="n">
        <v>0</v>
      </c>
      <c r="R916" s="2" t="inlineStr"/>
    </row>
    <row r="917" ht="15" customHeight="1">
      <c r="A917" t="inlineStr">
        <is>
          <t>A 3841-2026</t>
        </is>
      </c>
      <c r="B917" s="1" t="n">
        <v>46043</v>
      </c>
      <c r="C917" s="1" t="n">
        <v>46051</v>
      </c>
      <c r="D917" t="inlineStr">
        <is>
          <t>JÄMTLANDS LÄN</t>
        </is>
      </c>
      <c r="E917" t="inlineStr">
        <is>
          <t>RAGUNDA</t>
        </is>
      </c>
      <c r="F917" t="inlineStr">
        <is>
          <t>Kommuner</t>
        </is>
      </c>
      <c r="G917" t="n">
        <v>0.6</v>
      </c>
      <c r="H917" t="n">
        <v>0</v>
      </c>
      <c r="I917" t="n">
        <v>0</v>
      </c>
      <c r="J917" t="n">
        <v>0</v>
      </c>
      <c r="K917" t="n">
        <v>0</v>
      </c>
      <c r="L917" t="n">
        <v>0</v>
      </c>
      <c r="M917" t="n">
        <v>0</v>
      </c>
      <c r="N917" t="n">
        <v>0</v>
      </c>
      <c r="O917" t="n">
        <v>0</v>
      </c>
      <c r="P917" t="n">
        <v>0</v>
      </c>
      <c r="Q917" t="n">
        <v>0</v>
      </c>
      <c r="R917" s="2" t="inlineStr"/>
    </row>
    <row r="918" ht="15" customHeight="1">
      <c r="A918" t="inlineStr">
        <is>
          <t>A 61509-2025</t>
        </is>
      </c>
      <c r="B918" s="1" t="n">
        <v>46001.68189814815</v>
      </c>
      <c r="C918" s="1" t="n">
        <v>46051</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12660-2024</t>
        </is>
      </c>
      <c r="B919" s="1" t="n">
        <v>45384</v>
      </c>
      <c r="C919" s="1" t="n">
        <v>46051</v>
      </c>
      <c r="D919" t="inlineStr">
        <is>
          <t>JÄMTLANDS LÄN</t>
        </is>
      </c>
      <c r="E919" t="inlineStr">
        <is>
          <t>RAGUNDA</t>
        </is>
      </c>
      <c r="G919" t="n">
        <v>1.3</v>
      </c>
      <c r="H919" t="n">
        <v>0</v>
      </c>
      <c r="I919" t="n">
        <v>0</v>
      </c>
      <c r="J919" t="n">
        <v>0</v>
      </c>
      <c r="K919" t="n">
        <v>0</v>
      </c>
      <c r="L919" t="n">
        <v>0</v>
      </c>
      <c r="M919" t="n">
        <v>0</v>
      </c>
      <c r="N919" t="n">
        <v>0</v>
      </c>
      <c r="O919" t="n">
        <v>0</v>
      </c>
      <c r="P919" t="n">
        <v>0</v>
      </c>
      <c r="Q919" t="n">
        <v>0</v>
      </c>
      <c r="R919" s="2" t="inlineStr"/>
    </row>
    <row r="920" ht="15" customHeight="1">
      <c r="A920" t="inlineStr">
        <is>
          <t>A 25332-2023</t>
        </is>
      </c>
      <c r="B920" s="1" t="n">
        <v>45086.94010416666</v>
      </c>
      <c r="C920" s="1" t="n">
        <v>46051</v>
      </c>
      <c r="D920" t="inlineStr">
        <is>
          <t>JÄMTLANDS LÄN</t>
        </is>
      </c>
      <c r="E920" t="inlineStr">
        <is>
          <t>RAGUNDA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3813-2026</t>
        </is>
      </c>
      <c r="B921" s="1" t="n">
        <v>46043.58447916667</v>
      </c>
      <c r="C921" s="1" t="n">
        <v>46051</v>
      </c>
      <c r="D921" t="inlineStr">
        <is>
          <t>JÄMTLANDS LÄN</t>
        </is>
      </c>
      <c r="E921" t="inlineStr">
        <is>
          <t>RAGUNDA</t>
        </is>
      </c>
      <c r="F921" t="inlineStr">
        <is>
          <t>SCA</t>
        </is>
      </c>
      <c r="G921" t="n">
        <v>23.2</v>
      </c>
      <c r="H921" t="n">
        <v>0</v>
      </c>
      <c r="I921" t="n">
        <v>0</v>
      </c>
      <c r="J921" t="n">
        <v>0</v>
      </c>
      <c r="K921" t="n">
        <v>0</v>
      </c>
      <c r="L921" t="n">
        <v>0</v>
      </c>
      <c r="M921" t="n">
        <v>0</v>
      </c>
      <c r="N921" t="n">
        <v>0</v>
      </c>
      <c r="O921" t="n">
        <v>0</v>
      </c>
      <c r="P921" t="n">
        <v>0</v>
      </c>
      <c r="Q921" t="n">
        <v>0</v>
      </c>
      <c r="R921" s="2" t="inlineStr"/>
    </row>
    <row r="922" ht="15" customHeight="1">
      <c r="A922" t="inlineStr">
        <is>
          <t>A 4099-2026</t>
        </is>
      </c>
      <c r="B922" s="1" t="n">
        <v>46044.57357638889</v>
      </c>
      <c r="C922" s="1" t="n">
        <v>46051</v>
      </c>
      <c r="D922" t="inlineStr">
        <is>
          <t>JÄMTLANDS LÄN</t>
        </is>
      </c>
      <c r="E922" t="inlineStr">
        <is>
          <t>RAGUNDA</t>
        </is>
      </c>
      <c r="G922" t="n">
        <v>8.4</v>
      </c>
      <c r="H922" t="n">
        <v>0</v>
      </c>
      <c r="I922" t="n">
        <v>0</v>
      </c>
      <c r="J922" t="n">
        <v>0</v>
      </c>
      <c r="K922" t="n">
        <v>0</v>
      </c>
      <c r="L922" t="n">
        <v>0</v>
      </c>
      <c r="M922" t="n">
        <v>0</v>
      </c>
      <c r="N922" t="n">
        <v>0</v>
      </c>
      <c r="O922" t="n">
        <v>0</v>
      </c>
      <c r="P922" t="n">
        <v>0</v>
      </c>
      <c r="Q922" t="n">
        <v>0</v>
      </c>
      <c r="R922" s="2" t="inlineStr"/>
    </row>
    <row r="923" ht="15" customHeight="1">
      <c r="A923" t="inlineStr">
        <is>
          <t>A 33615-2023</t>
        </is>
      </c>
      <c r="B923" s="1" t="n">
        <v>45119</v>
      </c>
      <c r="C923" s="1" t="n">
        <v>46051</v>
      </c>
      <c r="D923" t="inlineStr">
        <is>
          <t>JÄMTLANDS LÄN</t>
        </is>
      </c>
      <c r="E923" t="inlineStr">
        <is>
          <t>RAGUNDA</t>
        </is>
      </c>
      <c r="G923" t="n">
        <v>0.9</v>
      </c>
      <c r="H923" t="n">
        <v>0</v>
      </c>
      <c r="I923" t="n">
        <v>0</v>
      </c>
      <c r="J923" t="n">
        <v>0</v>
      </c>
      <c r="K923" t="n">
        <v>0</v>
      </c>
      <c r="L923" t="n">
        <v>0</v>
      </c>
      <c r="M923" t="n">
        <v>0</v>
      </c>
      <c r="N923" t="n">
        <v>0</v>
      </c>
      <c r="O923" t="n">
        <v>0</v>
      </c>
      <c r="P923" t="n">
        <v>0</v>
      </c>
      <c r="Q923" t="n">
        <v>0</v>
      </c>
      <c r="R923" s="2" t="inlineStr"/>
    </row>
    <row r="924" ht="15" customHeight="1">
      <c r="A924" t="inlineStr">
        <is>
          <t>A 43132-2023</t>
        </is>
      </c>
      <c r="B924" s="1" t="n">
        <v>45182</v>
      </c>
      <c r="C924" s="1" t="n">
        <v>46051</v>
      </c>
      <c r="D924" t="inlineStr">
        <is>
          <t>JÄMTLANDS LÄN</t>
        </is>
      </c>
      <c r="E924" t="inlineStr">
        <is>
          <t>RAGUNDA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61755-2025</t>
        </is>
      </c>
      <c r="B925" s="1" t="n">
        <v>46002</v>
      </c>
      <c r="C925" s="1" t="n">
        <v>46051</v>
      </c>
      <c r="D925" t="inlineStr">
        <is>
          <t>JÄMTLANDS LÄN</t>
        </is>
      </c>
      <c r="E925" t="inlineStr">
        <is>
          <t>RAGUNDA</t>
        </is>
      </c>
      <c r="G925" t="n">
        <v>0.9</v>
      </c>
      <c r="H925" t="n">
        <v>0</v>
      </c>
      <c r="I925" t="n">
        <v>0</v>
      </c>
      <c r="J925" t="n">
        <v>0</v>
      </c>
      <c r="K925" t="n">
        <v>0</v>
      </c>
      <c r="L925" t="n">
        <v>0</v>
      </c>
      <c r="M925" t="n">
        <v>0</v>
      </c>
      <c r="N925" t="n">
        <v>0</v>
      </c>
      <c r="O925" t="n">
        <v>0</v>
      </c>
      <c r="P925" t="n">
        <v>0</v>
      </c>
      <c r="Q925" t="n">
        <v>0</v>
      </c>
      <c r="R925" s="2" t="inlineStr"/>
    </row>
    <row r="926" ht="15" customHeight="1">
      <c r="A926" t="inlineStr">
        <is>
          <t>A 8654-2024</t>
        </is>
      </c>
      <c r="B926" s="1" t="n">
        <v>45356.03784722222</v>
      </c>
      <c r="C926" s="1" t="n">
        <v>46051</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9325-2024</t>
        </is>
      </c>
      <c r="B927" s="1" t="n">
        <v>45358.95813657407</v>
      </c>
      <c r="C927" s="1" t="n">
        <v>46051</v>
      </c>
      <c r="D927" t="inlineStr">
        <is>
          <t>JÄMTLANDS LÄN</t>
        </is>
      </c>
      <c r="E927" t="inlineStr">
        <is>
          <t>RAGUNDA</t>
        </is>
      </c>
      <c r="G927" t="n">
        <v>3.1</v>
      </c>
      <c r="H927" t="n">
        <v>0</v>
      </c>
      <c r="I927" t="n">
        <v>0</v>
      </c>
      <c r="J927" t="n">
        <v>0</v>
      </c>
      <c r="K927" t="n">
        <v>0</v>
      </c>
      <c r="L927" t="n">
        <v>0</v>
      </c>
      <c r="M927" t="n">
        <v>0</v>
      </c>
      <c r="N927" t="n">
        <v>0</v>
      </c>
      <c r="O927" t="n">
        <v>0</v>
      </c>
      <c r="P927" t="n">
        <v>0</v>
      </c>
      <c r="Q927" t="n">
        <v>0</v>
      </c>
      <c r="R927" s="2" t="inlineStr"/>
    </row>
    <row r="928" ht="15" customHeight="1">
      <c r="A928" t="inlineStr">
        <is>
          <t>A 4142-2026</t>
        </is>
      </c>
      <c r="B928" s="1" t="n">
        <v>46044.63607638889</v>
      </c>
      <c r="C928" s="1" t="n">
        <v>46051</v>
      </c>
      <c r="D928" t="inlineStr">
        <is>
          <t>JÄMTLANDS LÄN</t>
        </is>
      </c>
      <c r="E928" t="inlineStr">
        <is>
          <t>RAGUNDA</t>
        </is>
      </c>
      <c r="F928" t="inlineStr">
        <is>
          <t>SCA</t>
        </is>
      </c>
      <c r="G928" t="n">
        <v>19.3</v>
      </c>
      <c r="H928" t="n">
        <v>0</v>
      </c>
      <c r="I928" t="n">
        <v>0</v>
      </c>
      <c r="J928" t="n">
        <v>0</v>
      </c>
      <c r="K928" t="n">
        <v>0</v>
      </c>
      <c r="L928" t="n">
        <v>0</v>
      </c>
      <c r="M928" t="n">
        <v>0</v>
      </c>
      <c r="N928" t="n">
        <v>0</v>
      </c>
      <c r="O928" t="n">
        <v>0</v>
      </c>
      <c r="P928" t="n">
        <v>0</v>
      </c>
      <c r="Q928" t="n">
        <v>0</v>
      </c>
      <c r="R928" s="2" t="inlineStr"/>
    </row>
    <row r="929" ht="15" customHeight="1">
      <c r="A929" t="inlineStr">
        <is>
          <t>A 4348-2023</t>
        </is>
      </c>
      <c r="B929" s="1" t="n">
        <v>44953</v>
      </c>
      <c r="C929" s="1" t="n">
        <v>46051</v>
      </c>
      <c r="D929" t="inlineStr">
        <is>
          <t>JÄMTLANDS LÄN</t>
        </is>
      </c>
      <c r="E929" t="inlineStr">
        <is>
          <t>RAGUNDA</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8678-2023</t>
        </is>
      </c>
      <c r="B930" s="1" t="n">
        <v>44977.98660879629</v>
      </c>
      <c r="C930" s="1" t="n">
        <v>46051</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29766-2023</t>
        </is>
      </c>
      <c r="B931" s="1" t="n">
        <v>45098</v>
      </c>
      <c r="C931" s="1" t="n">
        <v>46051</v>
      </c>
      <c r="D931" t="inlineStr">
        <is>
          <t>JÄMTLANDS LÄN</t>
        </is>
      </c>
      <c r="E931" t="inlineStr">
        <is>
          <t>RAGUNDA</t>
        </is>
      </c>
      <c r="G931" t="n">
        <v>2.7</v>
      </c>
      <c r="H931" t="n">
        <v>0</v>
      </c>
      <c r="I931" t="n">
        <v>0</v>
      </c>
      <c r="J931" t="n">
        <v>0</v>
      </c>
      <c r="K931" t="n">
        <v>0</v>
      </c>
      <c r="L931" t="n">
        <v>0</v>
      </c>
      <c r="M931" t="n">
        <v>0</v>
      </c>
      <c r="N931" t="n">
        <v>0</v>
      </c>
      <c r="O931" t="n">
        <v>0</v>
      </c>
      <c r="P931" t="n">
        <v>0</v>
      </c>
      <c r="Q931" t="n">
        <v>0</v>
      </c>
      <c r="R931" s="2" t="inlineStr"/>
    </row>
    <row r="932" ht="15" customHeight="1">
      <c r="A932" t="inlineStr">
        <is>
          <t>A 4616-2026</t>
        </is>
      </c>
      <c r="B932" s="1" t="n">
        <v>46048.37070601852</v>
      </c>
      <c r="C932" s="1" t="n">
        <v>46051</v>
      </c>
      <c r="D932" t="inlineStr">
        <is>
          <t>JÄMTLANDS LÄN</t>
        </is>
      </c>
      <c r="E932" t="inlineStr">
        <is>
          <t>RAGUNDA</t>
        </is>
      </c>
      <c r="G932" t="n">
        <v>2.4</v>
      </c>
      <c r="H932" t="n">
        <v>0</v>
      </c>
      <c r="I932" t="n">
        <v>0</v>
      </c>
      <c r="J932" t="n">
        <v>0</v>
      </c>
      <c r="K932" t="n">
        <v>0</v>
      </c>
      <c r="L932" t="n">
        <v>0</v>
      </c>
      <c r="M932" t="n">
        <v>0</v>
      </c>
      <c r="N932" t="n">
        <v>0</v>
      </c>
      <c r="O932" t="n">
        <v>0</v>
      </c>
      <c r="P932" t="n">
        <v>0</v>
      </c>
      <c r="Q932" t="n">
        <v>0</v>
      </c>
      <c r="R932" s="2" t="inlineStr"/>
    </row>
    <row r="933" ht="15" customHeight="1">
      <c r="A933" t="inlineStr">
        <is>
          <t>A 60935-2024</t>
        </is>
      </c>
      <c r="B933" s="1" t="n">
        <v>45645.36740740741</v>
      </c>
      <c r="C933" s="1" t="n">
        <v>46051</v>
      </c>
      <c r="D933" t="inlineStr">
        <is>
          <t>JÄMTLANDS LÄN</t>
        </is>
      </c>
      <c r="E933" t="inlineStr">
        <is>
          <t>RAGUNDA</t>
        </is>
      </c>
      <c r="G933" t="n">
        <v>2.6</v>
      </c>
      <c r="H933" t="n">
        <v>0</v>
      </c>
      <c r="I933" t="n">
        <v>0</v>
      </c>
      <c r="J933" t="n">
        <v>0</v>
      </c>
      <c r="K933" t="n">
        <v>0</v>
      </c>
      <c r="L933" t="n">
        <v>0</v>
      </c>
      <c r="M933" t="n">
        <v>0</v>
      </c>
      <c r="N933" t="n">
        <v>0</v>
      </c>
      <c r="O933" t="n">
        <v>0</v>
      </c>
      <c r="P933" t="n">
        <v>0</v>
      </c>
      <c r="Q933" t="n">
        <v>0</v>
      </c>
      <c r="R933" s="2" t="inlineStr"/>
    </row>
    <row r="934" ht="15" customHeight="1">
      <c r="A934" t="inlineStr">
        <is>
          <t>A 4629-2026</t>
        </is>
      </c>
      <c r="B934" s="1" t="n">
        <v>46048.38622685185</v>
      </c>
      <c r="C934" s="1" t="n">
        <v>46051</v>
      </c>
      <c r="D934" t="inlineStr">
        <is>
          <t>JÄMTLANDS LÄN</t>
        </is>
      </c>
      <c r="E934" t="inlineStr">
        <is>
          <t>RAGUNDA</t>
        </is>
      </c>
      <c r="G934" t="n">
        <v>1</v>
      </c>
      <c r="H934" t="n">
        <v>0</v>
      </c>
      <c r="I934" t="n">
        <v>0</v>
      </c>
      <c r="J934" t="n">
        <v>0</v>
      </c>
      <c r="K934" t="n">
        <v>0</v>
      </c>
      <c r="L934" t="n">
        <v>0</v>
      </c>
      <c r="M934" t="n">
        <v>0</v>
      </c>
      <c r="N934" t="n">
        <v>0</v>
      </c>
      <c r="O934" t="n">
        <v>0</v>
      </c>
      <c r="P934" t="n">
        <v>0</v>
      </c>
      <c r="Q934" t="n">
        <v>0</v>
      </c>
      <c r="R934" s="2" t="inlineStr"/>
    </row>
    <row r="935" ht="15" customHeight="1">
      <c r="A935" t="inlineStr">
        <is>
          <t>A 14156-2024</t>
        </is>
      </c>
      <c r="B935" s="1" t="n">
        <v>45392</v>
      </c>
      <c r="C935" s="1" t="n">
        <v>46051</v>
      </c>
      <c r="D935" t="inlineStr">
        <is>
          <t>JÄMTLANDS LÄN</t>
        </is>
      </c>
      <c r="E935" t="inlineStr">
        <is>
          <t>RAGUNDA</t>
        </is>
      </c>
      <c r="G935" t="n">
        <v>0.6</v>
      </c>
      <c r="H935" t="n">
        <v>0</v>
      </c>
      <c r="I935" t="n">
        <v>0</v>
      </c>
      <c r="J935" t="n">
        <v>0</v>
      </c>
      <c r="K935" t="n">
        <v>0</v>
      </c>
      <c r="L935" t="n">
        <v>0</v>
      </c>
      <c r="M935" t="n">
        <v>0</v>
      </c>
      <c r="N935" t="n">
        <v>0</v>
      </c>
      <c r="O935" t="n">
        <v>0</v>
      </c>
      <c r="P935" t="n">
        <v>0</v>
      </c>
      <c r="Q935" t="n">
        <v>0</v>
      </c>
      <c r="R935" s="2" t="inlineStr"/>
    </row>
    <row r="936" ht="15" customHeight="1">
      <c r="A936" t="inlineStr">
        <is>
          <t>A 14157-2024</t>
        </is>
      </c>
      <c r="B936" s="1" t="n">
        <v>45392.92903935185</v>
      </c>
      <c r="C936" s="1" t="n">
        <v>46051</v>
      </c>
      <c r="D936" t="inlineStr">
        <is>
          <t>JÄMTLANDS LÄN</t>
        </is>
      </c>
      <c r="E936" t="inlineStr">
        <is>
          <t>RAGUNDA</t>
        </is>
      </c>
      <c r="G936" t="n">
        <v>1.7</v>
      </c>
      <c r="H936" t="n">
        <v>0</v>
      </c>
      <c r="I936" t="n">
        <v>0</v>
      </c>
      <c r="J936" t="n">
        <v>0</v>
      </c>
      <c r="K936" t="n">
        <v>0</v>
      </c>
      <c r="L936" t="n">
        <v>0</v>
      </c>
      <c r="M936" t="n">
        <v>0</v>
      </c>
      <c r="N936" t="n">
        <v>0</v>
      </c>
      <c r="O936" t="n">
        <v>0</v>
      </c>
      <c r="P936" t="n">
        <v>0</v>
      </c>
      <c r="Q936" t="n">
        <v>0</v>
      </c>
      <c r="R936" s="2" t="inlineStr"/>
    </row>
    <row r="937" ht="15" customHeight="1">
      <c r="A937" t="inlineStr">
        <is>
          <t>A 44727-2024</t>
        </is>
      </c>
      <c r="B937" s="1" t="n">
        <v>45574.57967592592</v>
      </c>
      <c r="C937" s="1" t="n">
        <v>46051</v>
      </c>
      <c r="D937" t="inlineStr">
        <is>
          <t>JÄMTLANDS LÄN</t>
        </is>
      </c>
      <c r="E937" t="inlineStr">
        <is>
          <t>RAGUNDA</t>
        </is>
      </c>
      <c r="G937" t="n">
        <v>4.7</v>
      </c>
      <c r="H937" t="n">
        <v>0</v>
      </c>
      <c r="I937" t="n">
        <v>0</v>
      </c>
      <c r="J937" t="n">
        <v>0</v>
      </c>
      <c r="K937" t="n">
        <v>0</v>
      </c>
      <c r="L937" t="n">
        <v>0</v>
      </c>
      <c r="M937" t="n">
        <v>0</v>
      </c>
      <c r="N937" t="n">
        <v>0</v>
      </c>
      <c r="O937" t="n">
        <v>0</v>
      </c>
      <c r="P937" t="n">
        <v>0</v>
      </c>
      <c r="Q937" t="n">
        <v>0</v>
      </c>
      <c r="R937" s="2" t="inlineStr"/>
    </row>
    <row r="938" ht="15" customHeight="1">
      <c r="A938" t="inlineStr">
        <is>
          <t>A 4627-2026</t>
        </is>
      </c>
      <c r="B938" s="1" t="n">
        <v>46048.3860300926</v>
      </c>
      <c r="C938" s="1" t="n">
        <v>46051</v>
      </c>
      <c r="D938" t="inlineStr">
        <is>
          <t>JÄMTLANDS LÄN</t>
        </is>
      </c>
      <c r="E938" t="inlineStr">
        <is>
          <t>RAGUNDA</t>
        </is>
      </c>
      <c r="G938" t="n">
        <v>0.5</v>
      </c>
      <c r="H938" t="n">
        <v>0</v>
      </c>
      <c r="I938" t="n">
        <v>0</v>
      </c>
      <c r="J938" t="n">
        <v>0</v>
      </c>
      <c r="K938" t="n">
        <v>0</v>
      </c>
      <c r="L938" t="n">
        <v>0</v>
      </c>
      <c r="M938" t="n">
        <v>0</v>
      </c>
      <c r="N938" t="n">
        <v>0</v>
      </c>
      <c r="O938" t="n">
        <v>0</v>
      </c>
      <c r="P938" t="n">
        <v>0</v>
      </c>
      <c r="Q938" t="n">
        <v>0</v>
      </c>
      <c r="R938" s="2" t="inlineStr"/>
    </row>
    <row r="939" ht="15" customHeight="1">
      <c r="A939" t="inlineStr">
        <is>
          <t>A 21661-2023</t>
        </is>
      </c>
      <c r="B939" s="1" t="n">
        <v>45063</v>
      </c>
      <c r="C939" s="1" t="n">
        <v>46051</v>
      </c>
      <c r="D939" t="inlineStr">
        <is>
          <t>JÄMTLANDS LÄN</t>
        </is>
      </c>
      <c r="E939" t="inlineStr">
        <is>
          <t>RAGUNDA</t>
        </is>
      </c>
      <c r="G939" t="n">
        <v>1.5</v>
      </c>
      <c r="H939" t="n">
        <v>0</v>
      </c>
      <c r="I939" t="n">
        <v>0</v>
      </c>
      <c r="J939" t="n">
        <v>0</v>
      </c>
      <c r="K939" t="n">
        <v>0</v>
      </c>
      <c r="L939" t="n">
        <v>0</v>
      </c>
      <c r="M939" t="n">
        <v>0</v>
      </c>
      <c r="N939" t="n">
        <v>0</v>
      </c>
      <c r="O939" t="n">
        <v>0</v>
      </c>
      <c r="P939" t="n">
        <v>0</v>
      </c>
      <c r="Q939" t="n">
        <v>0</v>
      </c>
      <c r="R939" s="2" t="inlineStr"/>
    </row>
    <row r="940" ht="15" customHeight="1">
      <c r="A940" t="inlineStr">
        <is>
          <t>A 7281-2024</t>
        </is>
      </c>
      <c r="B940" s="1" t="n">
        <v>45344</v>
      </c>
      <c r="C940" s="1" t="n">
        <v>46051</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4628-2026</t>
        </is>
      </c>
      <c r="B941" s="1" t="n">
        <v>46048.3862037037</v>
      </c>
      <c r="C941" s="1" t="n">
        <v>46051</v>
      </c>
      <c r="D941" t="inlineStr">
        <is>
          <t>JÄMTLANDS LÄN</t>
        </is>
      </c>
      <c r="E941" t="inlineStr">
        <is>
          <t>RAGUNDA</t>
        </is>
      </c>
      <c r="G941" t="n">
        <v>0.3</v>
      </c>
      <c r="H941" t="n">
        <v>0</v>
      </c>
      <c r="I941" t="n">
        <v>0</v>
      </c>
      <c r="J941" t="n">
        <v>0</v>
      </c>
      <c r="K941" t="n">
        <v>0</v>
      </c>
      <c r="L941" t="n">
        <v>0</v>
      </c>
      <c r="M941" t="n">
        <v>0</v>
      </c>
      <c r="N941" t="n">
        <v>0</v>
      </c>
      <c r="O941" t="n">
        <v>0</v>
      </c>
      <c r="P941" t="n">
        <v>0</v>
      </c>
      <c r="Q941" t="n">
        <v>0</v>
      </c>
      <c r="R941" s="2" t="inlineStr"/>
    </row>
    <row r="942" ht="15" customHeight="1">
      <c r="A942" t="inlineStr">
        <is>
          <t>A 4839-2026</t>
        </is>
      </c>
      <c r="B942" s="1" t="n">
        <v>46048.61520833334</v>
      </c>
      <c r="C942" s="1" t="n">
        <v>46051</v>
      </c>
      <c r="D942" t="inlineStr">
        <is>
          <t>JÄMTLANDS LÄN</t>
        </is>
      </c>
      <c r="E942" t="inlineStr">
        <is>
          <t>RAGUNDA</t>
        </is>
      </c>
      <c r="F942" t="inlineStr">
        <is>
          <t>SCA</t>
        </is>
      </c>
      <c r="G942" t="n">
        <v>51</v>
      </c>
      <c r="H942" t="n">
        <v>0</v>
      </c>
      <c r="I942" t="n">
        <v>0</v>
      </c>
      <c r="J942" t="n">
        <v>0</v>
      </c>
      <c r="K942" t="n">
        <v>0</v>
      </c>
      <c r="L942" t="n">
        <v>0</v>
      </c>
      <c r="M942" t="n">
        <v>0</v>
      </c>
      <c r="N942" t="n">
        <v>0</v>
      </c>
      <c r="O942" t="n">
        <v>0</v>
      </c>
      <c r="P942" t="n">
        <v>0</v>
      </c>
      <c r="Q942" t="n">
        <v>0</v>
      </c>
      <c r="R942" s="2" t="inlineStr"/>
    </row>
    <row r="943" ht="15" customHeight="1">
      <c r="A943" t="inlineStr">
        <is>
          <t>A 4841-2026</t>
        </is>
      </c>
      <c r="B943" s="1" t="n">
        <v>46048.61550925926</v>
      </c>
      <c r="C943" s="1" t="n">
        <v>46051</v>
      </c>
      <c r="D943" t="inlineStr">
        <is>
          <t>JÄMTLANDS LÄN</t>
        </is>
      </c>
      <c r="E943" t="inlineStr">
        <is>
          <t>RAGUNDA</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19382-2025</t>
        </is>
      </c>
      <c r="B944" s="1" t="n">
        <v>45769.65659722222</v>
      </c>
      <c r="C944" s="1" t="n">
        <v>46051</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19403-2025</t>
        </is>
      </c>
      <c r="B945" s="1" t="n">
        <v>45769.67790509259</v>
      </c>
      <c r="C945" s="1" t="n">
        <v>46051</v>
      </c>
      <c r="D945" t="inlineStr">
        <is>
          <t>JÄMTLANDS LÄN</t>
        </is>
      </c>
      <c r="E945" t="inlineStr">
        <is>
          <t>RAGUNDA</t>
        </is>
      </c>
      <c r="F945" t="inlineStr">
        <is>
          <t>SCA</t>
        </is>
      </c>
      <c r="G945" t="n">
        <v>0.5</v>
      </c>
      <c r="H945" t="n">
        <v>0</v>
      </c>
      <c r="I945" t="n">
        <v>0</v>
      </c>
      <c r="J945" t="n">
        <v>0</v>
      </c>
      <c r="K945" t="n">
        <v>0</v>
      </c>
      <c r="L945" t="n">
        <v>0</v>
      </c>
      <c r="M945" t="n">
        <v>0</v>
      </c>
      <c r="N945" t="n">
        <v>0</v>
      </c>
      <c r="O945" t="n">
        <v>0</v>
      </c>
      <c r="P945" t="n">
        <v>0</v>
      </c>
      <c r="Q945" t="n">
        <v>0</v>
      </c>
      <c r="R945" s="2" t="inlineStr"/>
    </row>
    <row r="946" ht="15" customHeight="1">
      <c r="A946" t="inlineStr">
        <is>
          <t>A 60225-2022</t>
        </is>
      </c>
      <c r="B946" s="1" t="n">
        <v>44903</v>
      </c>
      <c r="C946" s="1" t="n">
        <v>46051</v>
      </c>
      <c r="D946" t="inlineStr">
        <is>
          <t>JÄMTLANDS LÄN</t>
        </is>
      </c>
      <c r="E946" t="inlineStr">
        <is>
          <t>RAGUNDA</t>
        </is>
      </c>
      <c r="G946" t="n">
        <v>1</v>
      </c>
      <c r="H946" t="n">
        <v>0</v>
      </c>
      <c r="I946" t="n">
        <v>0</v>
      </c>
      <c r="J946" t="n">
        <v>0</v>
      </c>
      <c r="K946" t="n">
        <v>0</v>
      </c>
      <c r="L946" t="n">
        <v>0</v>
      </c>
      <c r="M946" t="n">
        <v>0</v>
      </c>
      <c r="N946" t="n">
        <v>0</v>
      </c>
      <c r="O946" t="n">
        <v>0</v>
      </c>
      <c r="P946" t="n">
        <v>0</v>
      </c>
      <c r="Q946" t="n">
        <v>0</v>
      </c>
      <c r="R946" s="2" t="inlineStr"/>
    </row>
    <row r="947" ht="15" customHeight="1">
      <c r="A947" t="inlineStr">
        <is>
          <t>A 4237-2026</t>
        </is>
      </c>
      <c r="B947" s="1" t="n">
        <v>46044.92743055556</v>
      </c>
      <c r="C947" s="1" t="n">
        <v>46051</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61045-2022</t>
        </is>
      </c>
      <c r="B948" s="1" t="n">
        <v>44914</v>
      </c>
      <c r="C948" s="1" t="n">
        <v>46051</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62819-2025</t>
        </is>
      </c>
      <c r="B949" s="1" t="n">
        <v>46008</v>
      </c>
      <c r="C949" s="1" t="n">
        <v>46051</v>
      </c>
      <c r="D949" t="inlineStr">
        <is>
          <t>JÄMTLANDS LÄN</t>
        </is>
      </c>
      <c r="E949" t="inlineStr">
        <is>
          <t>RAGUNDA</t>
        </is>
      </c>
      <c r="G949" t="n">
        <v>3.5</v>
      </c>
      <c r="H949" t="n">
        <v>0</v>
      </c>
      <c r="I949" t="n">
        <v>0</v>
      </c>
      <c r="J949" t="n">
        <v>0</v>
      </c>
      <c r="K949" t="n">
        <v>0</v>
      </c>
      <c r="L949" t="n">
        <v>0</v>
      </c>
      <c r="M949" t="n">
        <v>0</v>
      </c>
      <c r="N949" t="n">
        <v>0</v>
      </c>
      <c r="O949" t="n">
        <v>0</v>
      </c>
      <c r="P949" t="n">
        <v>0</v>
      </c>
      <c r="Q949" t="n">
        <v>0</v>
      </c>
      <c r="R949" s="2" t="inlineStr"/>
    </row>
    <row r="950" ht="15" customHeight="1">
      <c r="A950" t="inlineStr">
        <is>
          <t>A 16320-2025</t>
        </is>
      </c>
      <c r="B950" s="1" t="n">
        <v>45751.34859953704</v>
      </c>
      <c r="C950" s="1" t="n">
        <v>46051</v>
      </c>
      <c r="D950" t="inlineStr">
        <is>
          <t>JÄMTLANDS LÄN</t>
        </is>
      </c>
      <c r="E950" t="inlineStr">
        <is>
          <t>RAGUNDA</t>
        </is>
      </c>
      <c r="F950" t="inlineStr">
        <is>
          <t>SCA</t>
        </is>
      </c>
      <c r="G950" t="n">
        <v>16.2</v>
      </c>
      <c r="H950" t="n">
        <v>0</v>
      </c>
      <c r="I950" t="n">
        <v>0</v>
      </c>
      <c r="J950" t="n">
        <v>0</v>
      </c>
      <c r="K950" t="n">
        <v>0</v>
      </c>
      <c r="L950" t="n">
        <v>0</v>
      </c>
      <c r="M950" t="n">
        <v>0</v>
      </c>
      <c r="N950" t="n">
        <v>0</v>
      </c>
      <c r="O950" t="n">
        <v>0</v>
      </c>
      <c r="P950" t="n">
        <v>0</v>
      </c>
      <c r="Q950" t="n">
        <v>0</v>
      </c>
      <c r="R950" s="2" t="inlineStr"/>
    </row>
    <row r="951" ht="15" customHeight="1">
      <c r="A951" t="inlineStr">
        <is>
          <t>A 62490-2025</t>
        </is>
      </c>
      <c r="B951" s="1" t="n">
        <v>46007.5697337963</v>
      </c>
      <c r="C951" s="1" t="n">
        <v>46051</v>
      </c>
      <c r="D951" t="inlineStr">
        <is>
          <t>JÄMTLANDS LÄN</t>
        </is>
      </c>
      <c r="E951" t="inlineStr">
        <is>
          <t>RAGUNDA</t>
        </is>
      </c>
      <c r="F951" t="inlineStr">
        <is>
          <t>Kommuner</t>
        </is>
      </c>
      <c r="G951" t="n">
        <v>0.8</v>
      </c>
      <c r="H951" t="n">
        <v>0</v>
      </c>
      <c r="I951" t="n">
        <v>0</v>
      </c>
      <c r="J951" t="n">
        <v>0</v>
      </c>
      <c r="K951" t="n">
        <v>0</v>
      </c>
      <c r="L951" t="n">
        <v>0</v>
      </c>
      <c r="M951" t="n">
        <v>0</v>
      </c>
      <c r="N951" t="n">
        <v>0</v>
      </c>
      <c r="O951" t="n">
        <v>0</v>
      </c>
      <c r="P951" t="n">
        <v>0</v>
      </c>
      <c r="Q951" t="n">
        <v>0</v>
      </c>
      <c r="R951" s="2" t="inlineStr"/>
    </row>
    <row r="952" ht="15" customHeight="1">
      <c r="A952" t="inlineStr">
        <is>
          <t>A 11557-2023</t>
        </is>
      </c>
      <c r="B952" s="1" t="n">
        <v>44993.94950231481</v>
      </c>
      <c r="C952" s="1" t="n">
        <v>46051</v>
      </c>
      <c r="D952" t="inlineStr">
        <is>
          <t>JÄMTLANDS LÄN</t>
        </is>
      </c>
      <c r="E952" t="inlineStr">
        <is>
          <t>RAGUNDA</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11562-2023</t>
        </is>
      </c>
      <c r="B953" s="1" t="n">
        <v>44993</v>
      </c>
      <c r="C953" s="1" t="n">
        <v>46051</v>
      </c>
      <c r="D953" t="inlineStr">
        <is>
          <t>JÄMTLANDS LÄN</t>
        </is>
      </c>
      <c r="E953" t="inlineStr">
        <is>
          <t>RAGUNDA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5359-2026</t>
        </is>
      </c>
      <c r="B954" s="1" t="n">
        <v>46050.4484837963</v>
      </c>
      <c r="C954" s="1" t="n">
        <v>46051</v>
      </c>
      <c r="D954" t="inlineStr">
        <is>
          <t>JÄMTLANDS LÄN</t>
        </is>
      </c>
      <c r="E954" t="inlineStr">
        <is>
          <t>RAGUNDA</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5175-2023</t>
        </is>
      </c>
      <c r="B955" s="1" t="n">
        <v>44958.94298611111</v>
      </c>
      <c r="C955" s="1" t="n">
        <v>46051</v>
      </c>
      <c r="D955" t="inlineStr">
        <is>
          <t>JÄMTLANDS LÄN</t>
        </is>
      </c>
      <c r="E955" t="inlineStr">
        <is>
          <t>RAGUNDA</t>
        </is>
      </c>
      <c r="F955" t="inlineStr">
        <is>
          <t>SCA</t>
        </is>
      </c>
      <c r="G955" t="n">
        <v>17.9</v>
      </c>
      <c r="H955" t="n">
        <v>0</v>
      </c>
      <c r="I955" t="n">
        <v>0</v>
      </c>
      <c r="J955" t="n">
        <v>0</v>
      </c>
      <c r="K955" t="n">
        <v>0</v>
      </c>
      <c r="L955" t="n">
        <v>0</v>
      </c>
      <c r="M955" t="n">
        <v>0</v>
      </c>
      <c r="N955" t="n">
        <v>0</v>
      </c>
      <c r="O955" t="n">
        <v>0</v>
      </c>
      <c r="P955" t="n">
        <v>0</v>
      </c>
      <c r="Q955" t="n">
        <v>0</v>
      </c>
      <c r="R955" s="2" t="inlineStr"/>
    </row>
    <row r="956" ht="15" customHeight="1">
      <c r="A956" t="inlineStr">
        <is>
          <t>A 62638-2025</t>
        </is>
      </c>
      <c r="B956" s="1" t="n">
        <v>46008.36564814814</v>
      </c>
      <c r="C956" s="1" t="n">
        <v>46051</v>
      </c>
      <c r="D956" t="inlineStr">
        <is>
          <t>JÄMTLANDS LÄN</t>
        </is>
      </c>
      <c r="E956" t="inlineStr">
        <is>
          <t>RAGUNDA</t>
        </is>
      </c>
      <c r="G956" t="n">
        <v>0.9</v>
      </c>
      <c r="H956" t="n">
        <v>0</v>
      </c>
      <c r="I956" t="n">
        <v>0</v>
      </c>
      <c r="J956" t="n">
        <v>0</v>
      </c>
      <c r="K956" t="n">
        <v>0</v>
      </c>
      <c r="L956" t="n">
        <v>0</v>
      </c>
      <c r="M956" t="n">
        <v>0</v>
      </c>
      <c r="N956" t="n">
        <v>0</v>
      </c>
      <c r="O956" t="n">
        <v>0</v>
      </c>
      <c r="P956" t="n">
        <v>0</v>
      </c>
      <c r="Q956" t="n">
        <v>0</v>
      </c>
      <c r="R956" s="2" t="inlineStr"/>
    </row>
    <row r="957" ht="15" customHeight="1">
      <c r="A957" t="inlineStr">
        <is>
          <t>A 62436-2025</t>
        </is>
      </c>
      <c r="B957" s="1" t="n">
        <v>46007</v>
      </c>
      <c r="C957" s="1" t="n">
        <v>46051</v>
      </c>
      <c r="D957" t="inlineStr">
        <is>
          <t>JÄMTLANDS LÄN</t>
        </is>
      </c>
      <c r="E957" t="inlineStr">
        <is>
          <t>RAGUNDA</t>
        </is>
      </c>
      <c r="G957" t="n">
        <v>0.7</v>
      </c>
      <c r="H957" t="n">
        <v>0</v>
      </c>
      <c r="I957" t="n">
        <v>0</v>
      </c>
      <c r="J957" t="n">
        <v>0</v>
      </c>
      <c r="K957" t="n">
        <v>0</v>
      </c>
      <c r="L957" t="n">
        <v>0</v>
      </c>
      <c r="M957" t="n">
        <v>0</v>
      </c>
      <c r="N957" t="n">
        <v>0</v>
      </c>
      <c r="O957" t="n">
        <v>0</v>
      </c>
      <c r="P957" t="n">
        <v>0</v>
      </c>
      <c r="Q957" t="n">
        <v>0</v>
      </c>
      <c r="R957" s="2" t="inlineStr"/>
    </row>
    <row r="958" ht="15" customHeight="1">
      <c r="A958" t="inlineStr">
        <is>
          <t>A 41343-2024</t>
        </is>
      </c>
      <c r="B958" s="1" t="n">
        <v>45559.67745370371</v>
      </c>
      <c r="C958" s="1" t="n">
        <v>46051</v>
      </c>
      <c r="D958" t="inlineStr">
        <is>
          <t>JÄMTLANDS LÄN</t>
        </is>
      </c>
      <c r="E958" t="inlineStr">
        <is>
          <t>RAGUNDA</t>
        </is>
      </c>
      <c r="F958" t="inlineStr">
        <is>
          <t>SCA</t>
        </is>
      </c>
      <c r="G958" t="n">
        <v>25.1</v>
      </c>
      <c r="H958" t="n">
        <v>0</v>
      </c>
      <c r="I958" t="n">
        <v>0</v>
      </c>
      <c r="J958" t="n">
        <v>0</v>
      </c>
      <c r="K958" t="n">
        <v>0</v>
      </c>
      <c r="L958" t="n">
        <v>0</v>
      </c>
      <c r="M958" t="n">
        <v>0</v>
      </c>
      <c r="N958" t="n">
        <v>0</v>
      </c>
      <c r="O958" t="n">
        <v>0</v>
      </c>
      <c r="P958" t="n">
        <v>0</v>
      </c>
      <c r="Q958" t="n">
        <v>0</v>
      </c>
      <c r="R958" s="2" t="inlineStr"/>
    </row>
    <row r="959" ht="15" customHeight="1">
      <c r="A959" t="inlineStr">
        <is>
          <t>A 62467-2025</t>
        </is>
      </c>
      <c r="B959" s="1" t="n">
        <v>46007.5108912037</v>
      </c>
      <c r="C959" s="1" t="n">
        <v>46051</v>
      </c>
      <c r="D959" t="inlineStr">
        <is>
          <t>JÄMTLANDS LÄN</t>
        </is>
      </c>
      <c r="E959" t="inlineStr">
        <is>
          <t>RAGUNDA</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12039-2023</t>
        </is>
      </c>
      <c r="B960" s="1" t="n">
        <v>44995.98341435185</v>
      </c>
      <c r="C960" s="1" t="n">
        <v>46051</v>
      </c>
      <c r="D960" t="inlineStr">
        <is>
          <t>JÄMTLANDS LÄN</t>
        </is>
      </c>
      <c r="E960" t="inlineStr">
        <is>
          <t>RAGUNDA</t>
        </is>
      </c>
      <c r="F960" t="inlineStr">
        <is>
          <t>SCA</t>
        </is>
      </c>
      <c r="G960" t="n">
        <v>0.5</v>
      </c>
      <c r="H960" t="n">
        <v>0</v>
      </c>
      <c r="I960" t="n">
        <v>0</v>
      </c>
      <c r="J960" t="n">
        <v>0</v>
      </c>
      <c r="K960" t="n">
        <v>0</v>
      </c>
      <c r="L960" t="n">
        <v>0</v>
      </c>
      <c r="M960" t="n">
        <v>0</v>
      </c>
      <c r="N960" t="n">
        <v>0</v>
      </c>
      <c r="O960" t="n">
        <v>0</v>
      </c>
      <c r="P960" t="n">
        <v>0</v>
      </c>
      <c r="Q960" t="n">
        <v>0</v>
      </c>
      <c r="R960" s="2" t="inlineStr"/>
    </row>
    <row r="961" ht="15" customHeight="1">
      <c r="A961" t="inlineStr">
        <is>
          <t>A 12050-2023</t>
        </is>
      </c>
      <c r="B961" s="1" t="n">
        <v>44995.98644675926</v>
      </c>
      <c r="C961" s="1" t="n">
        <v>46051</v>
      </c>
      <c r="D961" t="inlineStr">
        <is>
          <t>JÄMTLANDS LÄN</t>
        </is>
      </c>
      <c r="E961" t="inlineStr">
        <is>
          <t>RAGUNDA</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5073-2026</t>
        </is>
      </c>
      <c r="B962" s="1" t="n">
        <v>46049.51126157407</v>
      </c>
      <c r="C962" s="1" t="n">
        <v>46051</v>
      </c>
      <c r="D962" t="inlineStr">
        <is>
          <t>JÄMTLANDS LÄN</t>
        </is>
      </c>
      <c r="E962" t="inlineStr">
        <is>
          <t>RAGUNDA</t>
        </is>
      </c>
      <c r="G962" t="n">
        <v>5.9</v>
      </c>
      <c r="H962" t="n">
        <v>0</v>
      </c>
      <c r="I962" t="n">
        <v>0</v>
      </c>
      <c r="J962" t="n">
        <v>0</v>
      </c>
      <c r="K962" t="n">
        <v>0</v>
      </c>
      <c r="L962" t="n">
        <v>0</v>
      </c>
      <c r="M962" t="n">
        <v>0</v>
      </c>
      <c r="N962" t="n">
        <v>0</v>
      </c>
      <c r="O962" t="n">
        <v>0</v>
      </c>
      <c r="P962" t="n">
        <v>0</v>
      </c>
      <c r="Q962" t="n">
        <v>0</v>
      </c>
      <c r="R962" s="2" t="inlineStr"/>
    </row>
    <row r="963" ht="15" customHeight="1">
      <c r="A963" t="inlineStr">
        <is>
          <t>A 2751-2024</t>
        </is>
      </c>
      <c r="B963" s="1" t="n">
        <v>45314</v>
      </c>
      <c r="C963" s="1" t="n">
        <v>46051</v>
      </c>
      <c r="D963" t="inlineStr">
        <is>
          <t>JÄMTLANDS LÄN</t>
        </is>
      </c>
      <c r="E963" t="inlineStr">
        <is>
          <t>RAGUNDA</t>
        </is>
      </c>
      <c r="G963" t="n">
        <v>1.8</v>
      </c>
      <c r="H963" t="n">
        <v>0</v>
      </c>
      <c r="I963" t="n">
        <v>0</v>
      </c>
      <c r="J963" t="n">
        <v>0</v>
      </c>
      <c r="K963" t="n">
        <v>0</v>
      </c>
      <c r="L963" t="n">
        <v>0</v>
      </c>
      <c r="M963" t="n">
        <v>0</v>
      </c>
      <c r="N963" t="n">
        <v>0</v>
      </c>
      <c r="O963" t="n">
        <v>0</v>
      </c>
      <c r="P963" t="n">
        <v>0</v>
      </c>
      <c r="Q963" t="n">
        <v>0</v>
      </c>
      <c r="R963" s="2" t="inlineStr"/>
    </row>
    <row r="964" ht="15" customHeight="1">
      <c r="A964" t="inlineStr">
        <is>
          <t>A 36986-2023</t>
        </is>
      </c>
      <c r="B964" s="1" t="n">
        <v>45154.95525462963</v>
      </c>
      <c r="C964" s="1" t="n">
        <v>46051</v>
      </c>
      <c r="D964" t="inlineStr">
        <is>
          <t>JÄMTLANDS LÄN</t>
        </is>
      </c>
      <c r="E964" t="inlineStr">
        <is>
          <t>RAGUNDA</t>
        </is>
      </c>
      <c r="F964" t="inlineStr">
        <is>
          <t>SCA</t>
        </is>
      </c>
      <c r="G964" t="n">
        <v>0.2</v>
      </c>
      <c r="H964" t="n">
        <v>0</v>
      </c>
      <c r="I964" t="n">
        <v>0</v>
      </c>
      <c r="J964" t="n">
        <v>0</v>
      </c>
      <c r="K964" t="n">
        <v>0</v>
      </c>
      <c r="L964" t="n">
        <v>0</v>
      </c>
      <c r="M964" t="n">
        <v>0</v>
      </c>
      <c r="N964" t="n">
        <v>0</v>
      </c>
      <c r="O964" t="n">
        <v>0</v>
      </c>
      <c r="P964" t="n">
        <v>0</v>
      </c>
      <c r="Q964" t="n">
        <v>0</v>
      </c>
      <c r="R964" s="2" t="inlineStr"/>
    </row>
    <row r="965" ht="15" customHeight="1">
      <c r="A965" t="inlineStr">
        <is>
          <t>A 62432-2025</t>
        </is>
      </c>
      <c r="B965" s="1" t="n">
        <v>46007</v>
      </c>
      <c r="C965" s="1" t="n">
        <v>46051</v>
      </c>
      <c r="D965" t="inlineStr">
        <is>
          <t>JÄMTLANDS LÄN</t>
        </is>
      </c>
      <c r="E965" t="inlineStr">
        <is>
          <t>RAGUNDA</t>
        </is>
      </c>
      <c r="G965" t="n">
        <v>4.7</v>
      </c>
      <c r="H965" t="n">
        <v>0</v>
      </c>
      <c r="I965" t="n">
        <v>0</v>
      </c>
      <c r="J965" t="n">
        <v>0</v>
      </c>
      <c r="K965" t="n">
        <v>0</v>
      </c>
      <c r="L965" t="n">
        <v>0</v>
      </c>
      <c r="M965" t="n">
        <v>0</v>
      </c>
      <c r="N965" t="n">
        <v>0</v>
      </c>
      <c r="O965" t="n">
        <v>0</v>
      </c>
      <c r="P965" t="n">
        <v>0</v>
      </c>
      <c r="Q965" t="n">
        <v>0</v>
      </c>
      <c r="R965" s="2" t="inlineStr"/>
    </row>
    <row r="966" ht="15" customHeight="1">
      <c r="A966" t="inlineStr">
        <is>
          <t>A 5009-2026</t>
        </is>
      </c>
      <c r="B966" s="1" t="n">
        <v>46049.42839120371</v>
      </c>
      <c r="C966" s="1" t="n">
        <v>46051</v>
      </c>
      <c r="D966" t="inlineStr">
        <is>
          <t>JÄMTLANDS LÄN</t>
        </is>
      </c>
      <c r="E966" t="inlineStr">
        <is>
          <t>RAGUNDA</t>
        </is>
      </c>
      <c r="F966" t="inlineStr">
        <is>
          <t>SCA</t>
        </is>
      </c>
      <c r="G966" t="n">
        <v>37.4</v>
      </c>
      <c r="H966" t="n">
        <v>0</v>
      </c>
      <c r="I966" t="n">
        <v>0</v>
      </c>
      <c r="J966" t="n">
        <v>0</v>
      </c>
      <c r="K966" t="n">
        <v>0</v>
      </c>
      <c r="L966" t="n">
        <v>0</v>
      </c>
      <c r="M966" t="n">
        <v>0</v>
      </c>
      <c r="N966" t="n">
        <v>0</v>
      </c>
      <c r="O966" t="n">
        <v>0</v>
      </c>
      <c r="P966" t="n">
        <v>0</v>
      </c>
      <c r="Q966" t="n">
        <v>0</v>
      </c>
      <c r="R966" s="2" t="inlineStr"/>
    </row>
    <row r="967" ht="15" customHeight="1">
      <c r="A967" t="inlineStr">
        <is>
          <t>A 14368-2024</t>
        </is>
      </c>
      <c r="B967" s="1" t="n">
        <v>45393.94431712963</v>
      </c>
      <c r="C967" s="1" t="n">
        <v>46051</v>
      </c>
      <c r="D967" t="inlineStr">
        <is>
          <t>JÄMTLANDS LÄN</t>
        </is>
      </c>
      <c r="E967" t="inlineStr">
        <is>
          <t>RAGUNDA</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62691-2025</t>
        </is>
      </c>
      <c r="B968" s="1" t="n">
        <v>46008.4759837963</v>
      </c>
      <c r="C968" s="1" t="n">
        <v>46051</v>
      </c>
      <c r="D968" t="inlineStr">
        <is>
          <t>JÄMTLANDS LÄN</t>
        </is>
      </c>
      <c r="E968" t="inlineStr">
        <is>
          <t>RAGUNDA</t>
        </is>
      </c>
      <c r="G968" t="n">
        <v>2.6</v>
      </c>
      <c r="H968" t="n">
        <v>0</v>
      </c>
      <c r="I968" t="n">
        <v>0</v>
      </c>
      <c r="J968" t="n">
        <v>0</v>
      </c>
      <c r="K968" t="n">
        <v>0</v>
      </c>
      <c r="L968" t="n">
        <v>0</v>
      </c>
      <c r="M968" t="n">
        <v>0</v>
      </c>
      <c r="N968" t="n">
        <v>0</v>
      </c>
      <c r="O968" t="n">
        <v>0</v>
      </c>
      <c r="P968" t="n">
        <v>0</v>
      </c>
      <c r="Q968" t="n">
        <v>0</v>
      </c>
      <c r="R968" s="2" t="inlineStr"/>
    </row>
    <row r="969" ht="15" customHeight="1">
      <c r="A969" t="inlineStr">
        <is>
          <t>A 18159-2023</t>
        </is>
      </c>
      <c r="B969" s="1" t="n">
        <v>45040.94277777777</v>
      </c>
      <c r="C969" s="1" t="n">
        <v>46051</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13700-2023</t>
        </is>
      </c>
      <c r="B970" s="1" t="n">
        <v>45006</v>
      </c>
      <c r="C970" s="1" t="n">
        <v>46051</v>
      </c>
      <c r="D970" t="inlineStr">
        <is>
          <t>JÄMTLANDS LÄN</t>
        </is>
      </c>
      <c r="E970" t="inlineStr">
        <is>
          <t>RAGUNDA</t>
        </is>
      </c>
      <c r="F970" t="inlineStr">
        <is>
          <t>SCA</t>
        </is>
      </c>
      <c r="G970" t="n">
        <v>50.3</v>
      </c>
      <c r="H970" t="n">
        <v>0</v>
      </c>
      <c r="I970" t="n">
        <v>0</v>
      </c>
      <c r="J970" t="n">
        <v>0</v>
      </c>
      <c r="K970" t="n">
        <v>0</v>
      </c>
      <c r="L970" t="n">
        <v>0</v>
      </c>
      <c r="M970" t="n">
        <v>0</v>
      </c>
      <c r="N970" t="n">
        <v>0</v>
      </c>
      <c r="O970" t="n">
        <v>0</v>
      </c>
      <c r="P970" t="n">
        <v>0</v>
      </c>
      <c r="Q970" t="n">
        <v>0</v>
      </c>
      <c r="R970" s="2" t="inlineStr"/>
    </row>
    <row r="971" ht="15" customHeight="1">
      <c r="A971" t="inlineStr">
        <is>
          <t>A 37543-2023</t>
        </is>
      </c>
      <c r="B971" s="1" t="n">
        <v>45158.94231481481</v>
      </c>
      <c r="C971" s="1" t="n">
        <v>46051</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53171-2024</t>
        </is>
      </c>
      <c r="B972" s="1" t="n">
        <v>45611.65679398148</v>
      </c>
      <c r="C972" s="1" t="n">
        <v>46051</v>
      </c>
      <c r="D972" t="inlineStr">
        <is>
          <t>JÄMTLANDS LÄN</t>
        </is>
      </c>
      <c r="E972" t="inlineStr">
        <is>
          <t>RAGUNDA</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1523-2024</t>
        </is>
      </c>
      <c r="B973" s="1" t="n">
        <v>45306</v>
      </c>
      <c r="C973" s="1" t="n">
        <v>46051</v>
      </c>
      <c r="D973" t="inlineStr">
        <is>
          <t>JÄMTLANDS LÄN</t>
        </is>
      </c>
      <c r="E973" t="inlineStr">
        <is>
          <t>RAGUNDA</t>
        </is>
      </c>
      <c r="G973" t="n">
        <v>4.1</v>
      </c>
      <c r="H973" t="n">
        <v>0</v>
      </c>
      <c r="I973" t="n">
        <v>0</v>
      </c>
      <c r="J973" t="n">
        <v>0</v>
      </c>
      <c r="K973" t="n">
        <v>0</v>
      </c>
      <c r="L973" t="n">
        <v>0</v>
      </c>
      <c r="M973" t="n">
        <v>0</v>
      </c>
      <c r="N973" t="n">
        <v>0</v>
      </c>
      <c r="O973" t="n">
        <v>0</v>
      </c>
      <c r="P973" t="n">
        <v>0</v>
      </c>
      <c r="Q973" t="n">
        <v>0</v>
      </c>
      <c r="R973" s="2" t="inlineStr"/>
    </row>
    <row r="974" ht="15" customHeight="1">
      <c r="A974" t="inlineStr">
        <is>
          <t>A 64265-2023</t>
        </is>
      </c>
      <c r="B974" s="1" t="n">
        <v>45279.94572916667</v>
      </c>
      <c r="C974" s="1" t="n">
        <v>46051</v>
      </c>
      <c r="D974" t="inlineStr">
        <is>
          <t>JÄMTLANDS LÄN</t>
        </is>
      </c>
      <c r="E974" t="inlineStr">
        <is>
          <t>RAGUNDA</t>
        </is>
      </c>
      <c r="F974" t="inlineStr">
        <is>
          <t>SCA</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44605-2024</t>
        </is>
      </c>
      <c r="B975" s="1" t="n">
        <v>45574.51185185185</v>
      </c>
      <c r="C975" s="1" t="n">
        <v>46051</v>
      </c>
      <c r="D975" t="inlineStr">
        <is>
          <t>JÄMTLANDS LÄN</t>
        </is>
      </c>
      <c r="E975" t="inlineStr">
        <is>
          <t>RAGUNDA</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53136-2024</t>
        </is>
      </c>
      <c r="B976" s="1" t="n">
        <v>45611.5953125</v>
      </c>
      <c r="C976" s="1" t="n">
        <v>46051</v>
      </c>
      <c r="D976" t="inlineStr">
        <is>
          <t>JÄMTLANDS LÄN</t>
        </is>
      </c>
      <c r="E976" t="inlineStr">
        <is>
          <t>RAGUNDA</t>
        </is>
      </c>
      <c r="G976" t="n">
        <v>3.8</v>
      </c>
      <c r="H976" t="n">
        <v>0</v>
      </c>
      <c r="I976" t="n">
        <v>0</v>
      </c>
      <c r="J976" t="n">
        <v>0</v>
      </c>
      <c r="K976" t="n">
        <v>0</v>
      </c>
      <c r="L976" t="n">
        <v>0</v>
      </c>
      <c r="M976" t="n">
        <v>0</v>
      </c>
      <c r="N976" t="n">
        <v>0</v>
      </c>
      <c r="O976" t="n">
        <v>0</v>
      </c>
      <c r="P976" t="n">
        <v>0</v>
      </c>
      <c r="Q976" t="n">
        <v>0</v>
      </c>
      <c r="R976" s="2" t="inlineStr"/>
    </row>
    <row r="977" ht="15" customHeight="1">
      <c r="A977" t="inlineStr">
        <is>
          <t>A 52228-2024</t>
        </is>
      </c>
      <c r="B977" s="1" t="n">
        <v>45608.6078587963</v>
      </c>
      <c r="C977" s="1" t="n">
        <v>46051</v>
      </c>
      <c r="D977" t="inlineStr">
        <is>
          <t>JÄMTLANDS LÄN</t>
        </is>
      </c>
      <c r="E977" t="inlineStr">
        <is>
          <t>RAGUNDA</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59372-2024</t>
        </is>
      </c>
      <c r="B978" s="1" t="n">
        <v>45638.34431712963</v>
      </c>
      <c r="C978" s="1" t="n">
        <v>46051</v>
      </c>
      <c r="D978" t="inlineStr">
        <is>
          <t>JÄMTLANDS LÄN</t>
        </is>
      </c>
      <c r="E978" t="inlineStr">
        <is>
          <t>RAGUNDA</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62115-2024</t>
        </is>
      </c>
      <c r="B979" s="1" t="n">
        <v>45656</v>
      </c>
      <c r="C979" s="1" t="n">
        <v>46051</v>
      </c>
      <c r="D979" t="inlineStr">
        <is>
          <t>JÄMTLANDS LÄN</t>
        </is>
      </c>
      <c r="E979" t="inlineStr">
        <is>
          <t>RAGUNDA</t>
        </is>
      </c>
      <c r="G979" t="n">
        <v>3.3</v>
      </c>
      <c r="H979" t="n">
        <v>0</v>
      </c>
      <c r="I979" t="n">
        <v>0</v>
      </c>
      <c r="J979" t="n">
        <v>0</v>
      </c>
      <c r="K979" t="n">
        <v>0</v>
      </c>
      <c r="L979" t="n">
        <v>0</v>
      </c>
      <c r="M979" t="n">
        <v>0</v>
      </c>
      <c r="N979" t="n">
        <v>0</v>
      </c>
      <c r="O979" t="n">
        <v>0</v>
      </c>
      <c r="P979" t="n">
        <v>0</v>
      </c>
      <c r="Q979" t="n">
        <v>0</v>
      </c>
      <c r="R979" s="2" t="inlineStr"/>
    </row>
    <row r="980" ht="15" customHeight="1">
      <c r="A980" t="inlineStr">
        <is>
          <t>A 4594-2024</t>
        </is>
      </c>
      <c r="B980" s="1" t="n">
        <v>45327.94459490741</v>
      </c>
      <c r="C980" s="1" t="n">
        <v>46051</v>
      </c>
      <c r="D980" t="inlineStr">
        <is>
          <t>JÄMTLANDS LÄN</t>
        </is>
      </c>
      <c r="E980" t="inlineStr">
        <is>
          <t>RAGUNDA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3018-2024</t>
        </is>
      </c>
      <c r="B981" s="1" t="n">
        <v>45315.9492824074</v>
      </c>
      <c r="C981" s="1" t="n">
        <v>46051</v>
      </c>
      <c r="D981" t="inlineStr">
        <is>
          <t>JÄMTLANDS LÄN</t>
        </is>
      </c>
      <c r="E981" t="inlineStr">
        <is>
          <t>RAGUNDA</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48065-2023</t>
        </is>
      </c>
      <c r="B982" s="1" t="n">
        <v>45204.94399305555</v>
      </c>
      <c r="C982" s="1" t="n">
        <v>46051</v>
      </c>
      <c r="D982" t="inlineStr">
        <is>
          <t>JÄMTLANDS LÄN</t>
        </is>
      </c>
      <c r="E982" t="inlineStr">
        <is>
          <t>RAGUNDA</t>
        </is>
      </c>
      <c r="F982" t="inlineStr">
        <is>
          <t>SCA</t>
        </is>
      </c>
      <c r="G982" t="n">
        <v>3.2</v>
      </c>
      <c r="H982" t="n">
        <v>0</v>
      </c>
      <c r="I982" t="n">
        <v>0</v>
      </c>
      <c r="J982" t="n">
        <v>0</v>
      </c>
      <c r="K982" t="n">
        <v>0</v>
      </c>
      <c r="L982" t="n">
        <v>0</v>
      </c>
      <c r="M982" t="n">
        <v>0</v>
      </c>
      <c r="N982" t="n">
        <v>0</v>
      </c>
      <c r="O982" t="n">
        <v>0</v>
      </c>
      <c r="P982" t="n">
        <v>0</v>
      </c>
      <c r="Q982" t="n">
        <v>0</v>
      </c>
      <c r="R982" s="2" t="inlineStr"/>
    </row>
    <row r="983" ht="15" customHeight="1">
      <c r="A983" t="inlineStr">
        <is>
          <t>A 44597-2024</t>
        </is>
      </c>
      <c r="B983" s="1" t="n">
        <v>45574.51087962963</v>
      </c>
      <c r="C983" s="1" t="n">
        <v>46051</v>
      </c>
      <c r="D983" t="inlineStr">
        <is>
          <t>JÄMTLANDS LÄN</t>
        </is>
      </c>
      <c r="E983" t="inlineStr">
        <is>
          <t>RAGUNDA</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44598-2024</t>
        </is>
      </c>
      <c r="B984" s="1" t="n">
        <v>45574.51090277778</v>
      </c>
      <c r="C984" s="1" t="n">
        <v>46051</v>
      </c>
      <c r="D984" t="inlineStr">
        <is>
          <t>JÄMTLANDS LÄN</t>
        </is>
      </c>
      <c r="E984" t="inlineStr">
        <is>
          <t>RAGUNDA</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49659-2023</t>
        </is>
      </c>
      <c r="B985" s="1" t="n">
        <v>45211.95134259259</v>
      </c>
      <c r="C985" s="1" t="n">
        <v>46051</v>
      </c>
      <c r="D985" t="inlineStr">
        <is>
          <t>JÄMTLANDS LÄN</t>
        </is>
      </c>
      <c r="E985" t="inlineStr">
        <is>
          <t>RAGUNDA</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23734-2024</t>
        </is>
      </c>
      <c r="B986" s="1" t="n">
        <v>45454.95960648148</v>
      </c>
      <c r="C986" s="1" t="n">
        <v>46051</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12653-2024</t>
        </is>
      </c>
      <c r="B987" s="1" t="n">
        <v>45384</v>
      </c>
      <c r="C987" s="1" t="n">
        <v>46051</v>
      </c>
      <c r="D987" t="inlineStr">
        <is>
          <t>JÄMTLANDS LÄN</t>
        </is>
      </c>
      <c r="E987" t="inlineStr">
        <is>
          <t>RAGUNDA</t>
        </is>
      </c>
      <c r="G987" t="n">
        <v>1.1</v>
      </c>
      <c r="H987" t="n">
        <v>0</v>
      </c>
      <c r="I987" t="n">
        <v>0</v>
      </c>
      <c r="J987" t="n">
        <v>0</v>
      </c>
      <c r="K987" t="n">
        <v>0</v>
      </c>
      <c r="L987" t="n">
        <v>0</v>
      </c>
      <c r="M987" t="n">
        <v>0</v>
      </c>
      <c r="N987" t="n">
        <v>0</v>
      </c>
      <c r="O987" t="n">
        <v>0</v>
      </c>
      <c r="P987" t="n">
        <v>0</v>
      </c>
      <c r="Q987" t="n">
        <v>0</v>
      </c>
      <c r="R987" s="2" t="inlineStr"/>
    </row>
    <row r="988" ht="15" customHeight="1">
      <c r="A988" t="inlineStr">
        <is>
          <t>A 34483-2023</t>
        </is>
      </c>
      <c r="B988" s="1" t="n">
        <v>45139.94681712963</v>
      </c>
      <c r="C988" s="1" t="n">
        <v>46051</v>
      </c>
      <c r="D988" t="inlineStr">
        <is>
          <t>JÄMTLANDS LÄN</t>
        </is>
      </c>
      <c r="E988" t="inlineStr">
        <is>
          <t>RAGUNDA</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23567-2024</t>
        </is>
      </c>
      <c r="B989" s="1" t="n">
        <v>45453.95538194444</v>
      </c>
      <c r="C989" s="1" t="n">
        <v>46051</v>
      </c>
      <c r="D989" t="inlineStr">
        <is>
          <t>JÄMTLANDS LÄN</t>
        </is>
      </c>
      <c r="E989" t="inlineStr">
        <is>
          <t>RAGUNDA</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57116-2024</t>
        </is>
      </c>
      <c r="B990" s="1" t="n">
        <v>45629.36513888889</v>
      </c>
      <c r="C990" s="1" t="n">
        <v>46051</v>
      </c>
      <c r="D990" t="inlineStr">
        <is>
          <t>JÄMTLANDS LÄN</t>
        </is>
      </c>
      <c r="E990" t="inlineStr">
        <is>
          <t>RAGUNDA</t>
        </is>
      </c>
      <c r="G990" t="n">
        <v>0.6</v>
      </c>
      <c r="H990" t="n">
        <v>0</v>
      </c>
      <c r="I990" t="n">
        <v>0</v>
      </c>
      <c r="J990" t="n">
        <v>0</v>
      </c>
      <c r="K990" t="n">
        <v>0</v>
      </c>
      <c r="L990" t="n">
        <v>0</v>
      </c>
      <c r="M990" t="n">
        <v>0</v>
      </c>
      <c r="N990" t="n">
        <v>0</v>
      </c>
      <c r="O990" t="n">
        <v>0</v>
      </c>
      <c r="P990" t="n">
        <v>0</v>
      </c>
      <c r="Q990" t="n">
        <v>0</v>
      </c>
      <c r="R990" s="2" t="inlineStr"/>
    </row>
    <row r="991" ht="15" customHeight="1">
      <c r="A991" t="inlineStr">
        <is>
          <t>A 38312-2024</t>
        </is>
      </c>
      <c r="B991" s="1" t="n">
        <v>45545.64957175926</v>
      </c>
      <c r="C991" s="1" t="n">
        <v>46051</v>
      </c>
      <c r="D991" t="inlineStr">
        <is>
          <t>JÄMTLANDS LÄN</t>
        </is>
      </c>
      <c r="E991" t="inlineStr">
        <is>
          <t>RAGUNDA</t>
        </is>
      </c>
      <c r="G991" t="n">
        <v>1.2</v>
      </c>
      <c r="H991" t="n">
        <v>0</v>
      </c>
      <c r="I991" t="n">
        <v>0</v>
      </c>
      <c r="J991" t="n">
        <v>0</v>
      </c>
      <c r="K991" t="n">
        <v>0</v>
      </c>
      <c r="L991" t="n">
        <v>0</v>
      </c>
      <c r="M991" t="n">
        <v>0</v>
      </c>
      <c r="N991" t="n">
        <v>0</v>
      </c>
      <c r="O991" t="n">
        <v>0</v>
      </c>
      <c r="P991" t="n">
        <v>0</v>
      </c>
      <c r="Q991" t="n">
        <v>0</v>
      </c>
      <c r="R991" s="2" t="inlineStr"/>
    </row>
    <row r="992" ht="15" customHeight="1">
      <c r="A992" t="inlineStr">
        <is>
          <t>A 9262-2025</t>
        </is>
      </c>
      <c r="B992" s="1" t="n">
        <v>45714.60649305556</v>
      </c>
      <c r="C992" s="1" t="n">
        <v>46051</v>
      </c>
      <c r="D992" t="inlineStr">
        <is>
          <t>JÄMTLANDS LÄN</t>
        </is>
      </c>
      <c r="E992" t="inlineStr">
        <is>
          <t>RAGUNDA</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16982-2024</t>
        </is>
      </c>
      <c r="B993" s="1" t="n">
        <v>45412.02506944445</v>
      </c>
      <c r="C993" s="1" t="n">
        <v>46051</v>
      </c>
      <c r="D993" t="inlineStr">
        <is>
          <t>JÄMTLANDS LÄN</t>
        </is>
      </c>
      <c r="E993" t="inlineStr">
        <is>
          <t>RAGUNDA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58564-2024</t>
        </is>
      </c>
      <c r="B994" s="1" t="n">
        <v>45635.47243055556</v>
      </c>
      <c r="C994" s="1" t="n">
        <v>46051</v>
      </c>
      <c r="D994" t="inlineStr">
        <is>
          <t>JÄMTLANDS LÄN</t>
        </is>
      </c>
      <c r="E994" t="inlineStr">
        <is>
          <t>RAGUNDA</t>
        </is>
      </c>
      <c r="G994" t="n">
        <v>2.6</v>
      </c>
      <c r="H994" t="n">
        <v>0</v>
      </c>
      <c r="I994" t="n">
        <v>0</v>
      </c>
      <c r="J994" t="n">
        <v>0</v>
      </c>
      <c r="K994" t="n">
        <v>0</v>
      </c>
      <c r="L994" t="n">
        <v>0</v>
      </c>
      <c r="M994" t="n">
        <v>0</v>
      </c>
      <c r="N994" t="n">
        <v>0</v>
      </c>
      <c r="O994" t="n">
        <v>0</v>
      </c>
      <c r="P994" t="n">
        <v>0</v>
      </c>
      <c r="Q994" t="n">
        <v>0</v>
      </c>
      <c r="R994" s="2" t="inlineStr"/>
    </row>
    <row r="995" ht="15" customHeight="1">
      <c r="A995" t="inlineStr">
        <is>
          <t>A 53144-2024</t>
        </is>
      </c>
      <c r="B995" s="1" t="n">
        <v>45611</v>
      </c>
      <c r="C995" s="1" t="n">
        <v>46051</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5806-2025</t>
        </is>
      </c>
      <c r="B996" s="1" t="n">
        <v>45694.69826388889</v>
      </c>
      <c r="C996" s="1" t="n">
        <v>46051</v>
      </c>
      <c r="D996" t="inlineStr">
        <is>
          <t>JÄMTLANDS LÄN</t>
        </is>
      </c>
      <c r="E996" t="inlineStr">
        <is>
          <t>RAGUNDA</t>
        </is>
      </c>
      <c r="F996" t="inlineStr">
        <is>
          <t>SCA</t>
        </is>
      </c>
      <c r="G996" t="n">
        <v>5.8</v>
      </c>
      <c r="H996" t="n">
        <v>0</v>
      </c>
      <c r="I996" t="n">
        <v>0</v>
      </c>
      <c r="J996" t="n">
        <v>0</v>
      </c>
      <c r="K996" t="n">
        <v>0</v>
      </c>
      <c r="L996" t="n">
        <v>0</v>
      </c>
      <c r="M996" t="n">
        <v>0</v>
      </c>
      <c r="N996" t="n">
        <v>0</v>
      </c>
      <c r="O996" t="n">
        <v>0</v>
      </c>
      <c r="P996" t="n">
        <v>0</v>
      </c>
      <c r="Q996" t="n">
        <v>0</v>
      </c>
      <c r="R996" s="2" t="inlineStr"/>
    </row>
    <row r="997" ht="15" customHeight="1">
      <c r="A997" t="inlineStr">
        <is>
          <t>A 20773-2024</t>
        </is>
      </c>
      <c r="B997" s="1" t="n">
        <v>45436.94636574074</v>
      </c>
      <c r="C997" s="1" t="n">
        <v>46051</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14076-2023</t>
        </is>
      </c>
      <c r="B998" s="1" t="n">
        <v>45009.0897337963</v>
      </c>
      <c r="C998" s="1" t="n">
        <v>46051</v>
      </c>
      <c r="D998" t="inlineStr">
        <is>
          <t>JÄMTLANDS LÄN</t>
        </is>
      </c>
      <c r="E998" t="inlineStr">
        <is>
          <t>RAGUNDA</t>
        </is>
      </c>
      <c r="F998" t="inlineStr">
        <is>
          <t>SCA</t>
        </is>
      </c>
      <c r="G998" t="n">
        <v>6.4</v>
      </c>
      <c r="H998" t="n">
        <v>0</v>
      </c>
      <c r="I998" t="n">
        <v>0</v>
      </c>
      <c r="J998" t="n">
        <v>0</v>
      </c>
      <c r="K998" t="n">
        <v>0</v>
      </c>
      <c r="L998" t="n">
        <v>0</v>
      </c>
      <c r="M998" t="n">
        <v>0</v>
      </c>
      <c r="N998" t="n">
        <v>0</v>
      </c>
      <c r="O998" t="n">
        <v>0</v>
      </c>
      <c r="P998" t="n">
        <v>0</v>
      </c>
      <c r="Q998" t="n">
        <v>0</v>
      </c>
      <c r="R998" s="2" t="inlineStr"/>
    </row>
    <row r="999" ht="15" customHeight="1">
      <c r="A999" t="inlineStr">
        <is>
          <t>A 45335-2023</t>
        </is>
      </c>
      <c r="B999" s="1" t="n">
        <v>45191</v>
      </c>
      <c r="C999" s="1" t="n">
        <v>46051</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10972-2022</t>
        </is>
      </c>
      <c r="B1000" s="1" t="n">
        <v>44628</v>
      </c>
      <c r="C1000" s="1" t="n">
        <v>46051</v>
      </c>
      <c r="D1000" t="inlineStr">
        <is>
          <t>JÄMTLANDS LÄN</t>
        </is>
      </c>
      <c r="E1000" t="inlineStr">
        <is>
          <t>RAGUNDA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43102-2023</t>
        </is>
      </c>
      <c r="B1001" s="1" t="n">
        <v>45182</v>
      </c>
      <c r="C1001" s="1" t="n">
        <v>46051</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6694-2024</t>
        </is>
      </c>
      <c r="B1002" s="1" t="n">
        <v>45341.95381944445</v>
      </c>
      <c r="C1002" s="1" t="n">
        <v>46051</v>
      </c>
      <c r="D1002" t="inlineStr">
        <is>
          <t>JÄMTLANDS LÄN</t>
        </is>
      </c>
      <c r="E1002" t="inlineStr">
        <is>
          <t>RAGUNDA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21083-2024</t>
        </is>
      </c>
      <c r="B1003" s="1" t="n">
        <v>45439.92752314815</v>
      </c>
      <c r="C1003" s="1" t="n">
        <v>46051</v>
      </c>
      <c r="D1003" t="inlineStr">
        <is>
          <t>JÄMTLANDS LÄN</t>
        </is>
      </c>
      <c r="E1003" t="inlineStr">
        <is>
          <t>RAGUNDA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59759-2024</t>
        </is>
      </c>
      <c r="B1004" s="1" t="n">
        <v>45639.55240740741</v>
      </c>
      <c r="C1004" s="1" t="n">
        <v>46051</v>
      </c>
      <c r="D1004" t="inlineStr">
        <is>
          <t>JÄMTLANDS LÄN</t>
        </is>
      </c>
      <c r="E1004" t="inlineStr">
        <is>
          <t>RAGUNDA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12204-2025</t>
        </is>
      </c>
      <c r="B1005" s="1" t="n">
        <v>45729.51074074074</v>
      </c>
      <c r="C1005" s="1" t="n">
        <v>46051</v>
      </c>
      <c r="D1005" t="inlineStr">
        <is>
          <t>JÄMTLANDS LÄN</t>
        </is>
      </c>
      <c r="E1005" t="inlineStr">
        <is>
          <t>RAGUNDA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11245-2025</t>
        </is>
      </c>
      <c r="B1006" s="1" t="n">
        <v>45726.38575231482</v>
      </c>
      <c r="C1006" s="1" t="n">
        <v>46051</v>
      </c>
      <c r="D1006" t="inlineStr">
        <is>
          <t>JÄMTLANDS LÄN</t>
        </is>
      </c>
      <c r="E1006" t="inlineStr">
        <is>
          <t>RAGUNDA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13905-2025</t>
        </is>
      </c>
      <c r="B1007" s="1" t="n">
        <v>45737.63574074074</v>
      </c>
      <c r="C1007" s="1" t="n">
        <v>46051</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4125-2024</t>
        </is>
      </c>
      <c r="B1008" s="1" t="n">
        <v>45323</v>
      </c>
      <c r="C1008" s="1" t="n">
        <v>46051</v>
      </c>
      <c r="D1008" t="inlineStr">
        <is>
          <t>JÄMTLANDS LÄN</t>
        </is>
      </c>
      <c r="E1008" t="inlineStr">
        <is>
          <t>RAGUNDA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44980-2023</t>
        </is>
      </c>
      <c r="B1009" s="1" t="n">
        <v>45190</v>
      </c>
      <c r="C1009" s="1" t="n">
        <v>46051</v>
      </c>
      <c r="D1009" t="inlineStr">
        <is>
          <t>JÄMTLANDS LÄN</t>
        </is>
      </c>
      <c r="E1009" t="inlineStr">
        <is>
          <t>RAGUNDA</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27777-2022</t>
        </is>
      </c>
      <c r="B1010" s="1" t="n">
        <v>44743</v>
      </c>
      <c r="C1010" s="1" t="n">
        <v>46051</v>
      </c>
      <c r="D1010" t="inlineStr">
        <is>
          <t>JÄMTLANDS LÄN</t>
        </is>
      </c>
      <c r="E1010" t="inlineStr">
        <is>
          <t>RAGUNDA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51245-2024</t>
        </is>
      </c>
      <c r="B1011" s="1" t="n">
        <v>45603.67850694444</v>
      </c>
      <c r="C1011" s="1" t="n">
        <v>46051</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61923-2024</t>
        </is>
      </c>
      <c r="B1012" s="1" t="n">
        <v>45653.44836805556</v>
      </c>
      <c r="C1012" s="1" t="n">
        <v>46051</v>
      </c>
      <c r="D1012" t="inlineStr">
        <is>
          <t>JÄMTLANDS LÄN</t>
        </is>
      </c>
      <c r="E1012" t="inlineStr">
        <is>
          <t>RAGUNDA</t>
        </is>
      </c>
      <c r="F1012" t="inlineStr">
        <is>
          <t>SCA</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50503-2024</t>
        </is>
      </c>
      <c r="B1013" s="1" t="n">
        <v>45601.5315625</v>
      </c>
      <c r="C1013" s="1" t="n">
        <v>46051</v>
      </c>
      <c r="D1013" t="inlineStr">
        <is>
          <t>JÄMTLANDS LÄN</t>
        </is>
      </c>
      <c r="E1013" t="inlineStr">
        <is>
          <t>RAGUNDA</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59556-2024</t>
        </is>
      </c>
      <c r="B1014" s="1" t="n">
        <v>45638.63600694444</v>
      </c>
      <c r="C1014" s="1" t="n">
        <v>46051</v>
      </c>
      <c r="D1014" t="inlineStr">
        <is>
          <t>JÄMTLANDS LÄN</t>
        </is>
      </c>
      <c r="E1014" t="inlineStr">
        <is>
          <t>RAGUNDA</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13302-2022</t>
        </is>
      </c>
      <c r="B1015" s="1" t="n">
        <v>44644</v>
      </c>
      <c r="C1015" s="1" t="n">
        <v>46051</v>
      </c>
      <c r="D1015" t="inlineStr">
        <is>
          <t>JÄMTLANDS LÄN</t>
        </is>
      </c>
      <c r="E1015" t="inlineStr">
        <is>
          <t>RAGUNDA</t>
        </is>
      </c>
      <c r="F1015" t="inlineStr">
        <is>
          <t>SCA</t>
        </is>
      </c>
      <c r="G1015" t="n">
        <v>35.6</v>
      </c>
      <c r="H1015" t="n">
        <v>0</v>
      </c>
      <c r="I1015" t="n">
        <v>0</v>
      </c>
      <c r="J1015" t="n">
        <v>0</v>
      </c>
      <c r="K1015" t="n">
        <v>0</v>
      </c>
      <c r="L1015" t="n">
        <v>0</v>
      </c>
      <c r="M1015" t="n">
        <v>0</v>
      </c>
      <c r="N1015" t="n">
        <v>0</v>
      </c>
      <c r="O1015" t="n">
        <v>0</v>
      </c>
      <c r="P1015" t="n">
        <v>0</v>
      </c>
      <c r="Q1015" t="n">
        <v>0</v>
      </c>
      <c r="R1015" s="2" t="inlineStr"/>
    </row>
    <row r="1016" ht="15" customHeight="1">
      <c r="A1016" t="inlineStr">
        <is>
          <t>A 18225-2024</t>
        </is>
      </c>
      <c r="B1016" s="1" t="n">
        <v>45420</v>
      </c>
      <c r="C1016" s="1" t="n">
        <v>46051</v>
      </c>
      <c r="D1016" t="inlineStr">
        <is>
          <t>JÄMTLANDS LÄN</t>
        </is>
      </c>
      <c r="E1016" t="inlineStr">
        <is>
          <t>RAGUNDA</t>
        </is>
      </c>
      <c r="F1016" t="inlineStr">
        <is>
          <t>SCA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61598-2024</t>
        </is>
      </c>
      <c r="B1017" s="1" t="n">
        <v>45646.63605324074</v>
      </c>
      <c r="C1017" s="1" t="n">
        <v>46051</v>
      </c>
      <c r="D1017" t="inlineStr">
        <is>
          <t>JÄMTLANDS LÄN</t>
        </is>
      </c>
      <c r="E1017" t="inlineStr">
        <is>
          <t>RAGUNDA</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7280-2024</t>
        </is>
      </c>
      <c r="B1018" s="1" t="n">
        <v>45344</v>
      </c>
      <c r="C1018" s="1" t="n">
        <v>46051</v>
      </c>
      <c r="D1018" t="inlineStr">
        <is>
          <t>JÄMTLANDS LÄN</t>
        </is>
      </c>
      <c r="E1018" t="inlineStr">
        <is>
          <t>RAGUNDA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21662-2023</t>
        </is>
      </c>
      <c r="B1019" s="1" t="n">
        <v>45063</v>
      </c>
      <c r="C1019" s="1" t="n">
        <v>46051</v>
      </c>
      <c r="D1019" t="inlineStr">
        <is>
          <t>JÄMTLANDS LÄN</t>
        </is>
      </c>
      <c r="E1019" t="inlineStr">
        <is>
          <t>RAGUNDA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61107-2024</t>
        </is>
      </c>
      <c r="B1020" s="1" t="n">
        <v>45645.55665509259</v>
      </c>
      <c r="C1020" s="1" t="n">
        <v>46051</v>
      </c>
      <c r="D1020" t="inlineStr">
        <is>
          <t>JÄMTLANDS LÄN</t>
        </is>
      </c>
      <c r="E1020" t="inlineStr">
        <is>
          <t>RAGUNDA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5313-2025</t>
        </is>
      </c>
      <c r="B1021" s="1" t="n">
        <v>45692.51069444444</v>
      </c>
      <c r="C1021" s="1" t="n">
        <v>46051</v>
      </c>
      <c r="D1021" t="inlineStr">
        <is>
          <t>JÄMTLANDS LÄN</t>
        </is>
      </c>
      <c r="E1021" t="inlineStr">
        <is>
          <t>RAGUNDA</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5357-2025</t>
        </is>
      </c>
      <c r="B1022" s="1" t="n">
        <v>45692.57326388889</v>
      </c>
      <c r="C1022" s="1" t="n">
        <v>46051</v>
      </c>
      <c r="D1022" t="inlineStr">
        <is>
          <t>JÄMTLANDS LÄN</t>
        </is>
      </c>
      <c r="E1022" t="inlineStr">
        <is>
          <t>RAGUNDA</t>
        </is>
      </c>
      <c r="F1022" t="inlineStr">
        <is>
          <t>SCA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44494-2024</t>
        </is>
      </c>
      <c r="B1023" s="1" t="n">
        <v>45574.39081018518</v>
      </c>
      <c r="C1023" s="1" t="n">
        <v>46051</v>
      </c>
      <c r="D1023" t="inlineStr">
        <is>
          <t>JÄMTLANDS LÄN</t>
        </is>
      </c>
      <c r="E1023" t="inlineStr">
        <is>
          <t>RAGUNDA</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12983-2025</t>
        </is>
      </c>
      <c r="B1024" s="1" t="n">
        <v>45734.4633912037</v>
      </c>
      <c r="C1024" s="1" t="n">
        <v>46051</v>
      </c>
      <c r="D1024" t="inlineStr">
        <is>
          <t>JÄMTLANDS LÄN</t>
        </is>
      </c>
      <c r="E1024" t="inlineStr">
        <is>
          <t>RAGUNDA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39626-2024</t>
        </is>
      </c>
      <c r="B1025" s="1" t="n">
        <v>45552.44096064815</v>
      </c>
      <c r="C1025" s="1" t="n">
        <v>46051</v>
      </c>
      <c r="D1025" t="inlineStr">
        <is>
          <t>JÄMTLANDS LÄN</t>
        </is>
      </c>
      <c r="E1025" t="inlineStr">
        <is>
          <t>RAGUNDA</t>
        </is>
      </c>
      <c r="G1025" t="n">
        <v>23.5</v>
      </c>
      <c r="H1025" t="n">
        <v>0</v>
      </c>
      <c r="I1025" t="n">
        <v>0</v>
      </c>
      <c r="J1025" t="n">
        <v>0</v>
      </c>
      <c r="K1025" t="n">
        <v>0</v>
      </c>
      <c r="L1025" t="n">
        <v>0</v>
      </c>
      <c r="M1025" t="n">
        <v>0</v>
      </c>
      <c r="N1025" t="n">
        <v>0</v>
      </c>
      <c r="O1025" t="n">
        <v>0</v>
      </c>
      <c r="P1025" t="n">
        <v>0</v>
      </c>
      <c r="Q1025" t="n">
        <v>0</v>
      </c>
      <c r="R1025" s="2" t="inlineStr"/>
    </row>
    <row r="1026" ht="15" customHeight="1">
      <c r="A1026" t="inlineStr">
        <is>
          <t>A 45631-2024</t>
        </is>
      </c>
      <c r="B1026" s="1" t="n">
        <v>45579.47052083333</v>
      </c>
      <c r="C1026" s="1" t="n">
        <v>46051</v>
      </c>
      <c r="D1026" t="inlineStr">
        <is>
          <t>JÄMTLANDS LÄN</t>
        </is>
      </c>
      <c r="E1026" t="inlineStr">
        <is>
          <t>RAGUNDA</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62135-2024</t>
        </is>
      </c>
      <c r="B1027" s="1" t="n">
        <v>45656.64223379629</v>
      </c>
      <c r="C1027" s="1" t="n">
        <v>46051</v>
      </c>
      <c r="D1027" t="inlineStr">
        <is>
          <t>JÄMTLANDS LÄN</t>
        </is>
      </c>
      <c r="E1027" t="inlineStr">
        <is>
          <t>RAGUNDA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8802-2022</t>
        </is>
      </c>
      <c r="B1028" s="1" t="n">
        <v>44614</v>
      </c>
      <c r="C1028" s="1" t="n">
        <v>46051</v>
      </c>
      <c r="D1028" t="inlineStr">
        <is>
          <t>JÄMTLANDS LÄN</t>
        </is>
      </c>
      <c r="E1028" t="inlineStr">
        <is>
          <t>RAGUNDA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9823-2025</t>
        </is>
      </c>
      <c r="B1029" s="1" t="n">
        <v>45716</v>
      </c>
      <c r="C1029" s="1" t="n">
        <v>46051</v>
      </c>
      <c r="D1029" t="inlineStr">
        <is>
          <t>JÄMTLANDS LÄN</t>
        </is>
      </c>
      <c r="E1029" t="inlineStr">
        <is>
          <t>RAGUNDA</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9847-2025</t>
        </is>
      </c>
      <c r="B1030" s="1" t="n">
        <v>45716.61487268518</v>
      </c>
      <c r="C1030" s="1" t="n">
        <v>46051</v>
      </c>
      <c r="D1030" t="inlineStr">
        <is>
          <t>JÄMTLANDS LÄN</t>
        </is>
      </c>
      <c r="E1030" t="inlineStr">
        <is>
          <t>RAGUNDA</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20987-2023</t>
        </is>
      </c>
      <c r="B1031" s="1" t="n">
        <v>45056</v>
      </c>
      <c r="C1031" s="1" t="n">
        <v>46051</v>
      </c>
      <c r="D1031" t="inlineStr">
        <is>
          <t>JÄMTLANDS LÄN</t>
        </is>
      </c>
      <c r="E1031" t="inlineStr">
        <is>
          <t>RAGUNDA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20994-2023</t>
        </is>
      </c>
      <c r="B1032" s="1" t="n">
        <v>45056</v>
      </c>
      <c r="C1032" s="1" t="n">
        <v>46051</v>
      </c>
      <c r="D1032" t="inlineStr">
        <is>
          <t>JÄMTLANDS LÄN</t>
        </is>
      </c>
      <c r="E1032" t="inlineStr">
        <is>
          <t>RAGUNDA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6490-2022</t>
        </is>
      </c>
      <c r="B1033" s="1" t="n">
        <v>44601</v>
      </c>
      <c r="C1033" s="1" t="n">
        <v>46051</v>
      </c>
      <c r="D1033" t="inlineStr">
        <is>
          <t>JÄMTLANDS LÄN</t>
        </is>
      </c>
      <c r="E1033" t="inlineStr">
        <is>
          <t>RAGUNDA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23287-2024</t>
        </is>
      </c>
      <c r="B1034" s="1" t="n">
        <v>45453.42041666667</v>
      </c>
      <c r="C1034" s="1" t="n">
        <v>46051</v>
      </c>
      <c r="D1034" t="inlineStr">
        <is>
          <t>JÄMTLANDS LÄN</t>
        </is>
      </c>
      <c r="E1034" t="inlineStr">
        <is>
          <t>RAGUNDA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53740-2024</t>
        </is>
      </c>
      <c r="B1035" s="1" t="n">
        <v>45615.47091435185</v>
      </c>
      <c r="C1035" s="1" t="n">
        <v>46051</v>
      </c>
      <c r="D1035" t="inlineStr">
        <is>
          <t>JÄMTLANDS LÄN</t>
        </is>
      </c>
      <c r="E1035" t="inlineStr">
        <is>
          <t>RAGUNDA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1325-2025</t>
        </is>
      </c>
      <c r="B1036" s="1" t="n">
        <v>45667.57342592593</v>
      </c>
      <c r="C1036" s="1" t="n">
        <v>46051</v>
      </c>
      <c r="D1036" t="inlineStr">
        <is>
          <t>JÄMTLANDS LÄN</t>
        </is>
      </c>
      <c r="E1036" t="inlineStr">
        <is>
          <t>RAGUNDA</t>
        </is>
      </c>
      <c r="F1036" t="inlineStr">
        <is>
          <t>SCA</t>
        </is>
      </c>
      <c r="G1036" t="n">
        <v>20.2</v>
      </c>
      <c r="H1036" t="n">
        <v>0</v>
      </c>
      <c r="I1036" t="n">
        <v>0</v>
      </c>
      <c r="J1036" t="n">
        <v>0</v>
      </c>
      <c r="K1036" t="n">
        <v>0</v>
      </c>
      <c r="L1036" t="n">
        <v>0</v>
      </c>
      <c r="M1036" t="n">
        <v>0</v>
      </c>
      <c r="N1036" t="n">
        <v>0</v>
      </c>
      <c r="O1036" t="n">
        <v>0</v>
      </c>
      <c r="P1036" t="n">
        <v>0</v>
      </c>
      <c r="Q1036" t="n">
        <v>0</v>
      </c>
      <c r="R1036" s="2" t="inlineStr"/>
    </row>
    <row r="1037" ht="15" customHeight="1">
      <c r="A1037" t="inlineStr">
        <is>
          <t>A 1326-2025</t>
        </is>
      </c>
      <c r="B1037" s="1" t="n">
        <v>45667.57347222222</v>
      </c>
      <c r="C1037" s="1" t="n">
        <v>46051</v>
      </c>
      <c r="D1037" t="inlineStr">
        <is>
          <t>JÄMTLANDS LÄN</t>
        </is>
      </c>
      <c r="E1037" t="inlineStr">
        <is>
          <t>RAGUNDA</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14696-2022</t>
        </is>
      </c>
      <c r="B1038" s="1" t="n">
        <v>44655</v>
      </c>
      <c r="C1038" s="1" t="n">
        <v>46051</v>
      </c>
      <c r="D1038" t="inlineStr">
        <is>
          <t>JÄMTLANDS LÄN</t>
        </is>
      </c>
      <c r="E1038" t="inlineStr">
        <is>
          <t>RAGUNDA</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45952-2023</t>
        </is>
      </c>
      <c r="B1039" s="1" t="n">
        <v>45195</v>
      </c>
      <c r="C1039" s="1" t="n">
        <v>46051</v>
      </c>
      <c r="D1039" t="inlineStr">
        <is>
          <t>JÄMTLANDS LÄN</t>
        </is>
      </c>
      <c r="E1039" t="inlineStr">
        <is>
          <t>RAGUNDA</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45954-2023</t>
        </is>
      </c>
      <c r="B1040" s="1" t="n">
        <v>45195.94679398148</v>
      </c>
      <c r="C1040" s="1" t="n">
        <v>46051</v>
      </c>
      <c r="D1040" t="inlineStr">
        <is>
          <t>JÄMTLANDS LÄN</t>
        </is>
      </c>
      <c r="E1040" t="inlineStr">
        <is>
          <t>RAGUNDA</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45955-2023</t>
        </is>
      </c>
      <c r="B1041" s="1" t="n">
        <v>45195.94685185186</v>
      </c>
      <c r="C1041" s="1" t="n">
        <v>46051</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8787-2022</t>
        </is>
      </c>
      <c r="B1042" s="1" t="n">
        <v>44614</v>
      </c>
      <c r="C1042" s="1" t="n">
        <v>46051</v>
      </c>
      <c r="D1042" t="inlineStr">
        <is>
          <t>JÄMTLANDS LÄN</t>
        </is>
      </c>
      <c r="E1042" t="inlineStr">
        <is>
          <t>RAGUNDA</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5308-2025</t>
        </is>
      </c>
      <c r="B1043" s="1" t="n">
        <v>45692.49008101852</v>
      </c>
      <c r="C1043" s="1" t="n">
        <v>46051</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45253-2023</t>
        </is>
      </c>
      <c r="B1044" s="1" t="n">
        <v>45187</v>
      </c>
      <c r="C1044" s="1" t="n">
        <v>46051</v>
      </c>
      <c r="D1044" t="inlineStr">
        <is>
          <t>JÄMTLANDS LÄN</t>
        </is>
      </c>
      <c r="E1044" t="inlineStr">
        <is>
          <t>RAGUNDA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3104-2025</t>
        </is>
      </c>
      <c r="B1045" s="1" t="n">
        <v>45678.67761574074</v>
      </c>
      <c r="C1045" s="1" t="n">
        <v>46051</v>
      </c>
      <c r="D1045" t="inlineStr">
        <is>
          <t>JÄMTLANDS LÄN</t>
        </is>
      </c>
      <c r="E1045" t="inlineStr">
        <is>
          <t>RAGUNDA</t>
        </is>
      </c>
      <c r="F1045" t="inlineStr">
        <is>
          <t>SCA</t>
        </is>
      </c>
      <c r="G1045" t="n">
        <v>46.2</v>
      </c>
      <c r="H1045" t="n">
        <v>0</v>
      </c>
      <c r="I1045" t="n">
        <v>0</v>
      </c>
      <c r="J1045" t="n">
        <v>0</v>
      </c>
      <c r="K1045" t="n">
        <v>0</v>
      </c>
      <c r="L1045" t="n">
        <v>0</v>
      </c>
      <c r="M1045" t="n">
        <v>0</v>
      </c>
      <c r="N1045" t="n">
        <v>0</v>
      </c>
      <c r="O1045" t="n">
        <v>0</v>
      </c>
      <c r="P1045" t="n">
        <v>0</v>
      </c>
      <c r="Q1045" t="n">
        <v>0</v>
      </c>
      <c r="R1045" s="2" t="inlineStr"/>
    </row>
    <row r="1046" ht="15" customHeight="1">
      <c r="A1046" t="inlineStr">
        <is>
          <t>A 36046-2023</t>
        </is>
      </c>
      <c r="B1046" s="1" t="n">
        <v>45148</v>
      </c>
      <c r="C1046" s="1" t="n">
        <v>46051</v>
      </c>
      <c r="D1046" t="inlineStr">
        <is>
          <t>JÄMTLANDS LÄN</t>
        </is>
      </c>
      <c r="E1046" t="inlineStr">
        <is>
          <t>RAGUNDA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18193-2022</t>
        </is>
      </c>
      <c r="B1047" s="1" t="n">
        <v>44684.94032407407</v>
      </c>
      <c r="C1047" s="1" t="n">
        <v>46051</v>
      </c>
      <c r="D1047" t="inlineStr">
        <is>
          <t>JÄMTLANDS LÄN</t>
        </is>
      </c>
      <c r="E1047" t="inlineStr">
        <is>
          <t>RAGUNDA</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34323-2023</t>
        </is>
      </c>
      <c r="B1048" s="1" t="n">
        <v>45138.94925925926</v>
      </c>
      <c r="C1048" s="1" t="n">
        <v>46051</v>
      </c>
      <c r="D1048" t="inlineStr">
        <is>
          <t>JÄMTLANDS LÄN</t>
        </is>
      </c>
      <c r="E1048" t="inlineStr">
        <is>
          <t>RAGUNDA</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58843-2024</t>
        </is>
      </c>
      <c r="B1049" s="1" t="n">
        <v>45636.38599537037</v>
      </c>
      <c r="C1049" s="1" t="n">
        <v>46051</v>
      </c>
      <c r="D1049" t="inlineStr">
        <is>
          <t>JÄMTLANDS LÄN</t>
        </is>
      </c>
      <c r="E1049" t="inlineStr">
        <is>
          <t>RAGUNDA</t>
        </is>
      </c>
      <c r="F1049" t="inlineStr">
        <is>
          <t>SCA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45953-2023</t>
        </is>
      </c>
      <c r="B1050" s="1" t="n">
        <v>45195.94672453704</v>
      </c>
      <c r="C1050" s="1" t="n">
        <v>46051</v>
      </c>
      <c r="D1050" t="inlineStr">
        <is>
          <t>JÄMTLANDS LÄN</t>
        </is>
      </c>
      <c r="E1050" t="inlineStr">
        <is>
          <t>RAGUNDA</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30824-2023</t>
        </is>
      </c>
      <c r="B1051" s="1" t="n">
        <v>45112.94303240741</v>
      </c>
      <c r="C1051" s="1" t="n">
        <v>46051</v>
      </c>
      <c r="D1051" t="inlineStr">
        <is>
          <t>JÄMTLANDS LÄN</t>
        </is>
      </c>
      <c r="E1051" t="inlineStr">
        <is>
          <t>RAGUNDA</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30825-2023</t>
        </is>
      </c>
      <c r="B1052" s="1" t="n">
        <v>45112.94310185185</v>
      </c>
      <c r="C1052" s="1" t="n">
        <v>46051</v>
      </c>
      <c r="D1052" t="inlineStr">
        <is>
          <t>JÄMTLANDS LÄN</t>
        </is>
      </c>
      <c r="E1052" t="inlineStr">
        <is>
          <t>RAGUNDA</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31506-2024</t>
        </is>
      </c>
      <c r="B1053" s="1" t="n">
        <v>45505</v>
      </c>
      <c r="C1053" s="1" t="n">
        <v>46051</v>
      </c>
      <c r="D1053" t="inlineStr">
        <is>
          <t>JÄMTLANDS LÄN</t>
        </is>
      </c>
      <c r="E1053" t="inlineStr">
        <is>
          <t>RAGUNDA</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55222-2024</t>
        </is>
      </c>
      <c r="B1054" s="1" t="n">
        <v>45621.57395833333</v>
      </c>
      <c r="C1054" s="1" t="n">
        <v>46051</v>
      </c>
      <c r="D1054" t="inlineStr">
        <is>
          <t>JÄMTLANDS LÄN</t>
        </is>
      </c>
      <c r="E1054" t="inlineStr">
        <is>
          <t>RAGUNDA</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44755-2024</t>
        </is>
      </c>
      <c r="B1055" s="1" t="n">
        <v>45574.61184027778</v>
      </c>
      <c r="C1055" s="1" t="n">
        <v>46051</v>
      </c>
      <c r="D1055" t="inlineStr">
        <is>
          <t>JÄMTLANDS LÄN</t>
        </is>
      </c>
      <c r="E1055" t="inlineStr">
        <is>
          <t>RAGUNDA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44766-2024</t>
        </is>
      </c>
      <c r="B1056" s="1" t="n">
        <v>45574.62297453704</v>
      </c>
      <c r="C1056" s="1" t="n">
        <v>46051</v>
      </c>
      <c r="D1056" t="inlineStr">
        <is>
          <t>JÄMTLANDS LÄN</t>
        </is>
      </c>
      <c r="E1056" t="inlineStr">
        <is>
          <t>RAGUNDA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44778-2024</t>
        </is>
      </c>
      <c r="B1057" s="1" t="n">
        <v>45574.63355324074</v>
      </c>
      <c r="C1057" s="1" t="n">
        <v>46051</v>
      </c>
      <c r="D1057" t="inlineStr">
        <is>
          <t>JÄMTLANDS LÄN</t>
        </is>
      </c>
      <c r="E1057" t="inlineStr">
        <is>
          <t>RAGUNDA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8795-2022</t>
        </is>
      </c>
      <c r="B1058" s="1" t="n">
        <v>44614</v>
      </c>
      <c r="C1058" s="1" t="n">
        <v>46051</v>
      </c>
      <c r="D1058" t="inlineStr">
        <is>
          <t>JÄMTLANDS LÄN</t>
        </is>
      </c>
      <c r="E1058" t="inlineStr">
        <is>
          <t>RAGUNDA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14905-2022</t>
        </is>
      </c>
      <c r="B1059" s="1" t="n">
        <v>44656.94708333333</v>
      </c>
      <c r="C1059" s="1" t="n">
        <v>46051</v>
      </c>
      <c r="D1059" t="inlineStr">
        <is>
          <t>JÄMTLANDS LÄN</t>
        </is>
      </c>
      <c r="E1059" t="inlineStr">
        <is>
          <t>RAGUNDA</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6257-2025</t>
        </is>
      </c>
      <c r="B1060" s="1" t="n">
        <v>45698.59409722222</v>
      </c>
      <c r="C1060" s="1" t="n">
        <v>46051</v>
      </c>
      <c r="D1060" t="inlineStr">
        <is>
          <t>JÄMTLANDS LÄN</t>
        </is>
      </c>
      <c r="E1060" t="inlineStr">
        <is>
          <t>RAGUNDA</t>
        </is>
      </c>
      <c r="F1060" t="inlineStr">
        <is>
          <t>SCA</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42508-2023</t>
        </is>
      </c>
      <c r="B1061" s="1" t="n">
        <v>45180.95907407408</v>
      </c>
      <c r="C1061" s="1" t="n">
        <v>46051</v>
      </c>
      <c r="D1061" t="inlineStr">
        <is>
          <t>JÄMTLANDS LÄN</t>
        </is>
      </c>
      <c r="E1061" t="inlineStr">
        <is>
          <t>RAGUNDA</t>
        </is>
      </c>
      <c r="F1061" t="inlineStr">
        <is>
          <t>SCA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59286-2023</t>
        </is>
      </c>
      <c r="B1062" s="1" t="n">
        <v>45253</v>
      </c>
      <c r="C1062" s="1" t="n">
        <v>46051</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7284-2025</t>
        </is>
      </c>
      <c r="B1063" s="1" t="n">
        <v>45702.63604166666</v>
      </c>
      <c r="C1063" s="1" t="n">
        <v>46051</v>
      </c>
      <c r="D1063" t="inlineStr">
        <is>
          <t>JÄMTLANDS LÄN</t>
        </is>
      </c>
      <c r="E1063" t="inlineStr">
        <is>
          <t>RAGUNDA</t>
        </is>
      </c>
      <c r="F1063" t="inlineStr">
        <is>
          <t>SCA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60012-2023</t>
        </is>
      </c>
      <c r="B1064" s="1" t="n">
        <v>45257</v>
      </c>
      <c r="C1064" s="1" t="n">
        <v>46051</v>
      </c>
      <c r="D1064" t="inlineStr">
        <is>
          <t>JÄMTLANDS LÄN</t>
        </is>
      </c>
      <c r="E1064" t="inlineStr">
        <is>
          <t>RAGUNDA</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20221-2025</t>
        </is>
      </c>
      <c r="B1065" s="1" t="n">
        <v>45772.6565625</v>
      </c>
      <c r="C1065" s="1" t="n">
        <v>46051</v>
      </c>
      <c r="D1065" t="inlineStr">
        <is>
          <t>JÄMTLANDS LÄN</t>
        </is>
      </c>
      <c r="E1065" t="inlineStr">
        <is>
          <t>RAGUNDA</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35265-2023</t>
        </is>
      </c>
      <c r="B1066" s="1" t="n">
        <v>45145.95326388889</v>
      </c>
      <c r="C1066" s="1" t="n">
        <v>46051</v>
      </c>
      <c r="D1066" t="inlineStr">
        <is>
          <t>JÄMTLANDS LÄN</t>
        </is>
      </c>
      <c r="E1066" t="inlineStr">
        <is>
          <t>RAGUNDA</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31435-2022</t>
        </is>
      </c>
      <c r="B1067" s="1" t="n">
        <v>44774</v>
      </c>
      <c r="C1067" s="1" t="n">
        <v>46051</v>
      </c>
      <c r="D1067" t="inlineStr">
        <is>
          <t>JÄMTLANDS LÄN</t>
        </is>
      </c>
      <c r="E1067" t="inlineStr">
        <is>
          <t>RAGUNDA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50211-2023</t>
        </is>
      </c>
      <c r="B1068" s="1" t="n">
        <v>45215.94657407407</v>
      </c>
      <c r="C1068" s="1" t="n">
        <v>46051</v>
      </c>
      <c r="D1068" t="inlineStr">
        <is>
          <t>JÄMTLANDS LÄN</t>
        </is>
      </c>
      <c r="E1068" t="inlineStr">
        <is>
          <t>RAGUNDA</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16529-2022</t>
        </is>
      </c>
      <c r="B1069" s="1" t="n">
        <v>44671</v>
      </c>
      <c r="C1069" s="1" t="n">
        <v>46051</v>
      </c>
      <c r="D1069" t="inlineStr">
        <is>
          <t>JÄMTLANDS LÄN</t>
        </is>
      </c>
      <c r="E1069" t="inlineStr">
        <is>
          <t>RAGUNDA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40269-2022</t>
        </is>
      </c>
      <c r="B1070" s="1" t="n">
        <v>44820</v>
      </c>
      <c r="C1070" s="1" t="n">
        <v>46051</v>
      </c>
      <c r="D1070" t="inlineStr">
        <is>
          <t>JÄMTLANDS LÄN</t>
        </is>
      </c>
      <c r="E1070" t="inlineStr">
        <is>
          <t>RAGUNDA</t>
        </is>
      </c>
      <c r="F1070" t="inlineStr">
        <is>
          <t>SCA</t>
        </is>
      </c>
      <c r="G1070" t="n">
        <v>77.8</v>
      </c>
      <c r="H1070" t="n">
        <v>0</v>
      </c>
      <c r="I1070" t="n">
        <v>0</v>
      </c>
      <c r="J1070" t="n">
        <v>0</v>
      </c>
      <c r="K1070" t="n">
        <v>0</v>
      </c>
      <c r="L1070" t="n">
        <v>0</v>
      </c>
      <c r="M1070" t="n">
        <v>0</v>
      </c>
      <c r="N1070" t="n">
        <v>0</v>
      </c>
      <c r="O1070" t="n">
        <v>0</v>
      </c>
      <c r="P1070" t="n">
        <v>0</v>
      </c>
      <c r="Q1070" t="n">
        <v>0</v>
      </c>
      <c r="R1070" s="2" t="inlineStr"/>
    </row>
    <row r="1071" ht="15" customHeight="1">
      <c r="A1071" t="inlineStr">
        <is>
          <t>A 44536-2022</t>
        </is>
      </c>
      <c r="B1071" s="1" t="n">
        <v>44839</v>
      </c>
      <c r="C1071" s="1" t="n">
        <v>46051</v>
      </c>
      <c r="D1071" t="inlineStr">
        <is>
          <t>JÄMTLANDS LÄN</t>
        </is>
      </c>
      <c r="E1071" t="inlineStr">
        <is>
          <t>RAGUNDA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36212-2023</t>
        </is>
      </c>
      <c r="B1072" s="1" t="n">
        <v>45149.95241898148</v>
      </c>
      <c r="C1072" s="1" t="n">
        <v>46051</v>
      </c>
      <c r="D1072" t="inlineStr">
        <is>
          <t>JÄMTLANDS LÄN</t>
        </is>
      </c>
      <c r="E1072" t="inlineStr">
        <is>
          <t>RAGUNDA</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53860-2023</t>
        </is>
      </c>
      <c r="B1073" s="1" t="n">
        <v>45224</v>
      </c>
      <c r="C1073" s="1" t="n">
        <v>46051</v>
      </c>
      <c r="D1073" t="inlineStr">
        <is>
          <t>JÄMTLANDS LÄN</t>
        </is>
      </c>
      <c r="E1073" t="inlineStr">
        <is>
          <t>RAGUNDA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54599-2023</t>
        </is>
      </c>
      <c r="B1074" s="1" t="n">
        <v>45233.92591435185</v>
      </c>
      <c r="C1074" s="1" t="n">
        <v>46051</v>
      </c>
      <c r="D1074" t="inlineStr">
        <is>
          <t>JÄMTLANDS LÄN</t>
        </is>
      </c>
      <c r="E1074" t="inlineStr">
        <is>
          <t>RAGUNDA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10610-2024</t>
        </is>
      </c>
      <c r="B1075" s="1" t="n">
        <v>45367.04693287037</v>
      </c>
      <c r="C1075" s="1" t="n">
        <v>46051</v>
      </c>
      <c r="D1075" t="inlineStr">
        <is>
          <t>JÄMTLANDS LÄN</t>
        </is>
      </c>
      <c r="E1075" t="inlineStr">
        <is>
          <t>RAGUNDA</t>
        </is>
      </c>
      <c r="F1075" t="inlineStr">
        <is>
          <t>SCA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8779-2025</t>
        </is>
      </c>
      <c r="B1076" s="1" t="n">
        <v>45712.61552083334</v>
      </c>
      <c r="C1076" s="1" t="n">
        <v>46051</v>
      </c>
      <c r="D1076" t="inlineStr">
        <is>
          <t>JÄMTLANDS LÄN</t>
        </is>
      </c>
      <c r="E1076" t="inlineStr">
        <is>
          <t>RAGUNDA</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20574-2025</t>
        </is>
      </c>
      <c r="B1077" s="1" t="n">
        <v>45775.67747685185</v>
      </c>
      <c r="C1077" s="1" t="n">
        <v>46051</v>
      </c>
      <c r="D1077" t="inlineStr">
        <is>
          <t>JÄMTLANDS LÄN</t>
        </is>
      </c>
      <c r="E1077" t="inlineStr">
        <is>
          <t>RAGUNDA</t>
        </is>
      </c>
      <c r="F1077" t="inlineStr">
        <is>
          <t>SCA</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16676-2022</t>
        </is>
      </c>
      <c r="B1078" s="1" t="n">
        <v>44672.94018518519</v>
      </c>
      <c r="C1078" s="1" t="n">
        <v>46051</v>
      </c>
      <c r="D1078" t="inlineStr">
        <is>
          <t>JÄMTLANDS LÄN</t>
        </is>
      </c>
      <c r="E1078" t="inlineStr">
        <is>
          <t>RAGUNDA</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57078-2023</t>
        </is>
      </c>
      <c r="B1079" s="1" t="n">
        <v>45244.96774305555</v>
      </c>
      <c r="C1079" s="1" t="n">
        <v>46051</v>
      </c>
      <c r="D1079" t="inlineStr">
        <is>
          <t>JÄMTLANDS LÄN</t>
        </is>
      </c>
      <c r="E1079" t="inlineStr">
        <is>
          <t>RAGUNDA</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12976-2025</t>
        </is>
      </c>
      <c r="B1080" s="1" t="n">
        <v>45734.45268518518</v>
      </c>
      <c r="C1080" s="1" t="n">
        <v>46051</v>
      </c>
      <c r="D1080" t="inlineStr">
        <is>
          <t>JÄMTLANDS LÄN</t>
        </is>
      </c>
      <c r="E1080" t="inlineStr">
        <is>
          <t>RAGUNDA</t>
        </is>
      </c>
      <c r="G1080" t="n">
        <v>24.2</v>
      </c>
      <c r="H1080" t="n">
        <v>0</v>
      </c>
      <c r="I1080" t="n">
        <v>0</v>
      </c>
      <c r="J1080" t="n">
        <v>0</v>
      </c>
      <c r="K1080" t="n">
        <v>0</v>
      </c>
      <c r="L1080" t="n">
        <v>0</v>
      </c>
      <c r="M1080" t="n">
        <v>0</v>
      </c>
      <c r="N1080" t="n">
        <v>0</v>
      </c>
      <c r="O1080" t="n">
        <v>0</v>
      </c>
      <c r="P1080" t="n">
        <v>0</v>
      </c>
      <c r="Q1080" t="n">
        <v>0</v>
      </c>
      <c r="R1080" s="2" t="inlineStr"/>
    </row>
    <row r="1081" ht="15" customHeight="1">
      <c r="A1081" t="inlineStr">
        <is>
          <t>A 56286-2023</t>
        </is>
      </c>
      <c r="B1081" s="1" t="n">
        <v>45241.95741898148</v>
      </c>
      <c r="C1081" s="1" t="n">
        <v>46051</v>
      </c>
      <c r="D1081" t="inlineStr">
        <is>
          <t>JÄMTLANDS LÄN</t>
        </is>
      </c>
      <c r="E1081" t="inlineStr">
        <is>
          <t>RAGUNDA</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56287-2023</t>
        </is>
      </c>
      <c r="B1082" s="1" t="n">
        <v>45241</v>
      </c>
      <c r="C1082" s="1" t="n">
        <v>46051</v>
      </c>
      <c r="D1082" t="inlineStr">
        <is>
          <t>JÄMTLANDS LÄN</t>
        </is>
      </c>
      <c r="E1082" t="inlineStr">
        <is>
          <t>RAGUNDA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59658-2023</t>
        </is>
      </c>
      <c r="B1083" s="1" t="n">
        <v>45254.96402777778</v>
      </c>
      <c r="C1083" s="1" t="n">
        <v>46051</v>
      </c>
      <c r="D1083" t="inlineStr">
        <is>
          <t>JÄMTLANDS LÄN</t>
        </is>
      </c>
      <c r="E1083" t="inlineStr">
        <is>
          <t>RAGUNDA</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28081-2022</t>
        </is>
      </c>
      <c r="B1084" s="1" t="n">
        <v>44746</v>
      </c>
      <c r="C1084" s="1" t="n">
        <v>46051</v>
      </c>
      <c r="D1084" t="inlineStr">
        <is>
          <t>JÄMTLANDS LÄN</t>
        </is>
      </c>
      <c r="E1084" t="inlineStr">
        <is>
          <t>RAGUNDA</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37324-2022</t>
        </is>
      </c>
      <c r="B1085" s="1" t="n">
        <v>44806</v>
      </c>
      <c r="C1085" s="1" t="n">
        <v>46051</v>
      </c>
      <c r="D1085" t="inlineStr">
        <is>
          <t>JÄMTLANDS LÄN</t>
        </is>
      </c>
      <c r="E1085" t="inlineStr">
        <is>
          <t>RAGUNDA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62106-2023</t>
        </is>
      </c>
      <c r="B1086" s="1" t="n">
        <v>45266.95082175926</v>
      </c>
      <c r="C1086" s="1" t="n">
        <v>46051</v>
      </c>
      <c r="D1086" t="inlineStr">
        <is>
          <t>JÄMTLANDS LÄN</t>
        </is>
      </c>
      <c r="E1086" t="inlineStr">
        <is>
          <t>RAGUNDA</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4592-2024</t>
        </is>
      </c>
      <c r="B1087" s="1" t="n">
        <v>45327.94443287037</v>
      </c>
      <c r="C1087" s="1" t="n">
        <v>46051</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18984-2023</t>
        </is>
      </c>
      <c r="B1088" s="1" t="n">
        <v>45044</v>
      </c>
      <c r="C1088" s="1" t="n">
        <v>46051</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8241-2024</t>
        </is>
      </c>
      <c r="B1089" s="1" t="n">
        <v>45351.98496527778</v>
      </c>
      <c r="C1089" s="1" t="n">
        <v>46051</v>
      </c>
      <c r="D1089" t="inlineStr">
        <is>
          <t>JÄMTLANDS LÄN</t>
        </is>
      </c>
      <c r="E1089" t="inlineStr">
        <is>
          <t>RAGUNDA</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14512-2025</t>
        </is>
      </c>
      <c r="B1090" s="1" t="n">
        <v>45741.63659722222</v>
      </c>
      <c r="C1090" s="1" t="n">
        <v>46051</v>
      </c>
      <c r="D1090" t="inlineStr">
        <is>
          <t>JÄMTLANDS LÄN</t>
        </is>
      </c>
      <c r="E1090" t="inlineStr">
        <is>
          <t>RAGUNDA</t>
        </is>
      </c>
      <c r="F1090" t="inlineStr">
        <is>
          <t>SCA</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53019-2023</t>
        </is>
      </c>
      <c r="B1091" s="1" t="n">
        <v>45222</v>
      </c>
      <c r="C1091" s="1" t="n">
        <v>46051</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59996-2023</t>
        </is>
      </c>
      <c r="B1092" s="1" t="n">
        <v>45257.92826388889</v>
      </c>
      <c r="C1092" s="1" t="n">
        <v>46051</v>
      </c>
      <c r="D1092" t="inlineStr">
        <is>
          <t>JÄMTLANDS LÄN</t>
        </is>
      </c>
      <c r="E1092" t="inlineStr">
        <is>
          <t>RAGUNDA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1537-2024</t>
        </is>
      </c>
      <c r="B1093" s="1" t="n">
        <v>45306</v>
      </c>
      <c r="C1093" s="1" t="n">
        <v>46051</v>
      </c>
      <c r="D1093" t="inlineStr">
        <is>
          <t>JÄMTLANDS LÄN</t>
        </is>
      </c>
      <c r="E1093" t="inlineStr">
        <is>
          <t>RAGUNDA</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29257-2024</t>
        </is>
      </c>
      <c r="B1094" s="1" t="n">
        <v>45482.94815972223</v>
      </c>
      <c r="C1094" s="1" t="n">
        <v>46051</v>
      </c>
      <c r="D1094" t="inlineStr">
        <is>
          <t>JÄMTLANDS LÄN</t>
        </is>
      </c>
      <c r="E1094" t="inlineStr">
        <is>
          <t>RAGUNDA</t>
        </is>
      </c>
      <c r="F1094" t="inlineStr">
        <is>
          <t>SCA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55487-2023</t>
        </is>
      </c>
      <c r="B1095" s="1" t="n">
        <v>45238</v>
      </c>
      <c r="C1095" s="1" t="n">
        <v>46051</v>
      </c>
      <c r="D1095" t="inlineStr">
        <is>
          <t>JÄMTLANDS LÄN</t>
        </is>
      </c>
      <c r="E1095" t="inlineStr">
        <is>
          <t>RAGUNDA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20770-2024</t>
        </is>
      </c>
      <c r="B1096" s="1" t="n">
        <v>45436.94613425926</v>
      </c>
      <c r="C1096" s="1" t="n">
        <v>46051</v>
      </c>
      <c r="D1096" t="inlineStr">
        <is>
          <t>JÄMTLANDS LÄN</t>
        </is>
      </c>
      <c r="E1096" t="inlineStr">
        <is>
          <t>RAGUNDA</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19383-2025</t>
        </is>
      </c>
      <c r="B1097" s="1" t="n">
        <v>45769.65688657408</v>
      </c>
      <c r="C1097" s="1" t="n">
        <v>46051</v>
      </c>
      <c r="D1097" t="inlineStr">
        <is>
          <t>JÄMTLANDS LÄN</t>
        </is>
      </c>
      <c r="E1097" t="inlineStr">
        <is>
          <t>RAGUNDA</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12783-2023</t>
        </is>
      </c>
      <c r="B1098" s="1" t="n">
        <v>45000</v>
      </c>
      <c r="C1098" s="1" t="n">
        <v>46051</v>
      </c>
      <c r="D1098" t="inlineStr">
        <is>
          <t>JÄMTLANDS LÄN</t>
        </is>
      </c>
      <c r="E1098" t="inlineStr">
        <is>
          <t>RAGUNDA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35153-2024</t>
        </is>
      </c>
      <c r="B1099" s="1" t="n">
        <v>45530</v>
      </c>
      <c r="C1099" s="1" t="n">
        <v>46051</v>
      </c>
      <c r="D1099" t="inlineStr">
        <is>
          <t>JÄMTLANDS LÄN</t>
        </is>
      </c>
      <c r="E1099" t="inlineStr">
        <is>
          <t>RAGUNDA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61197-2023</t>
        </is>
      </c>
      <c r="B1100" s="1" t="n">
        <v>45260</v>
      </c>
      <c r="C1100" s="1" t="n">
        <v>46051</v>
      </c>
      <c r="D1100" t="inlineStr">
        <is>
          <t>JÄMTLANDS LÄN</t>
        </is>
      </c>
      <c r="E1100" t="inlineStr">
        <is>
          <t>RAGUNDA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31135-2023</t>
        </is>
      </c>
      <c r="B1101" s="1" t="n">
        <v>45103</v>
      </c>
      <c r="C1101" s="1" t="n">
        <v>46051</v>
      </c>
      <c r="D1101" t="inlineStr">
        <is>
          <t>JÄMTLANDS LÄN</t>
        </is>
      </c>
      <c r="E1101" t="inlineStr">
        <is>
          <t>RAGUNDA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13767-2022</t>
        </is>
      </c>
      <c r="B1102" s="1" t="n">
        <v>44649.47048611111</v>
      </c>
      <c r="C1102" s="1" t="n">
        <v>46051</v>
      </c>
      <c r="D1102" t="inlineStr">
        <is>
          <t>JÄMTLANDS LÄN</t>
        </is>
      </c>
      <c r="E1102" t="inlineStr">
        <is>
          <t>RAGUNDA</t>
        </is>
      </c>
      <c r="F1102" t="inlineStr">
        <is>
          <t>Kommuner</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22569-2023</t>
        </is>
      </c>
      <c r="B1103" s="1" t="n">
        <v>45069</v>
      </c>
      <c r="C1103" s="1" t="n">
        <v>46051</v>
      </c>
      <c r="D1103" t="inlineStr">
        <is>
          <t>JÄMTLANDS LÄN</t>
        </is>
      </c>
      <c r="E1103" t="inlineStr">
        <is>
          <t>RAGUNDA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4212-2024</t>
        </is>
      </c>
      <c r="B1104" s="1" t="n">
        <v>45324</v>
      </c>
      <c r="C1104" s="1" t="n">
        <v>46051</v>
      </c>
      <c r="D1104" t="inlineStr">
        <is>
          <t>JÄMTLANDS LÄN</t>
        </is>
      </c>
      <c r="E1104" t="inlineStr">
        <is>
          <t>RAGUNDA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43405-2023</t>
        </is>
      </c>
      <c r="B1105" s="1" t="n">
        <v>45183.95563657407</v>
      </c>
      <c r="C1105" s="1" t="n">
        <v>46051</v>
      </c>
      <c r="D1105" t="inlineStr">
        <is>
          <t>JÄMTLANDS LÄN</t>
        </is>
      </c>
      <c r="E1105" t="inlineStr">
        <is>
          <t>RAGUNDA</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56984-2022</t>
        </is>
      </c>
      <c r="B1106" s="1" t="n">
        <v>44894.79018518519</v>
      </c>
      <c r="C1106" s="1" t="n">
        <v>46051</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5958-2023</t>
        </is>
      </c>
      <c r="B1107" s="1" t="n">
        <v>44963</v>
      </c>
      <c r="C1107" s="1" t="n">
        <v>46051</v>
      </c>
      <c r="D1107" t="inlineStr">
        <is>
          <t>JÄMTLANDS LÄN</t>
        </is>
      </c>
      <c r="E1107" t="inlineStr">
        <is>
          <t>RAGUNDA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50521-2024</t>
        </is>
      </c>
      <c r="B1108" s="1" t="n">
        <v>45601.55331018518</v>
      </c>
      <c r="C1108" s="1" t="n">
        <v>46051</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29920-2024</t>
        </is>
      </c>
      <c r="B1109" s="1" t="n">
        <v>45487.92856481481</v>
      </c>
      <c r="C1109" s="1" t="n">
        <v>46051</v>
      </c>
      <c r="D1109" t="inlineStr">
        <is>
          <t>JÄMTLANDS LÄN</t>
        </is>
      </c>
      <c r="E1109" t="inlineStr">
        <is>
          <t>RAGUNDA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62011-2022</t>
        </is>
      </c>
      <c r="B1110" s="1" t="n">
        <v>44914</v>
      </c>
      <c r="C1110" s="1" t="n">
        <v>46051</v>
      </c>
      <c r="D1110" t="inlineStr">
        <is>
          <t>JÄMTLANDS LÄN</t>
        </is>
      </c>
      <c r="E1110" t="inlineStr">
        <is>
          <t>RAGUNDA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22311-2024</t>
        </is>
      </c>
      <c r="B1111" s="1" t="n">
        <v>45446.57052083333</v>
      </c>
      <c r="C1111" s="1" t="n">
        <v>46051</v>
      </c>
      <c r="D1111" t="inlineStr">
        <is>
          <t>JÄMTLANDS LÄN</t>
        </is>
      </c>
      <c r="E1111" t="inlineStr">
        <is>
          <t>RAGUNDA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19866-2023</t>
        </is>
      </c>
      <c r="B1112" s="1" t="n">
        <v>45053.94313657407</v>
      </c>
      <c r="C1112" s="1" t="n">
        <v>46051</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53935-2022</t>
        </is>
      </c>
      <c r="B1113" s="1" t="n">
        <v>44880</v>
      </c>
      <c r="C1113" s="1" t="n">
        <v>46051</v>
      </c>
      <c r="D1113" t="inlineStr">
        <is>
          <t>JÄMTLANDS LÄN</t>
        </is>
      </c>
      <c r="E1113" t="inlineStr">
        <is>
          <t>RAGUNDA</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18631-2024</t>
        </is>
      </c>
      <c r="B1114" s="1" t="n">
        <v>45425.96494212963</v>
      </c>
      <c r="C1114" s="1" t="n">
        <v>46051</v>
      </c>
      <c r="D1114" t="inlineStr">
        <is>
          <t>JÄMTLANDS LÄN</t>
        </is>
      </c>
      <c r="E1114" t="inlineStr">
        <is>
          <t>RAGUNDA</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12805-2025</t>
        </is>
      </c>
      <c r="B1115" s="1" t="n">
        <v>45733.61497685185</v>
      </c>
      <c r="C1115" s="1" t="n">
        <v>46051</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11062-2023</t>
        </is>
      </c>
      <c r="B1116" s="1" t="n">
        <v>44991</v>
      </c>
      <c r="C1116" s="1" t="n">
        <v>46051</v>
      </c>
      <c r="D1116" t="inlineStr">
        <is>
          <t>JÄMTLANDS LÄN</t>
        </is>
      </c>
      <c r="E1116" t="inlineStr">
        <is>
          <t>RAGUNDA</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69153-2021</t>
        </is>
      </c>
      <c r="B1117" s="1" t="n">
        <v>44530.94694444445</v>
      </c>
      <c r="C1117" s="1" t="n">
        <v>46051</v>
      </c>
      <c r="D1117" t="inlineStr">
        <is>
          <t>JÄMTLANDS LÄN</t>
        </is>
      </c>
      <c r="E1117" t="inlineStr">
        <is>
          <t>RAGUNDA</t>
        </is>
      </c>
      <c r="F1117" t="inlineStr">
        <is>
          <t>SCA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4882-2023</t>
        </is>
      </c>
      <c r="B1118" s="1" t="n">
        <v>44957.94075231482</v>
      </c>
      <c r="C1118" s="1" t="n">
        <v>46051</v>
      </c>
      <c r="D1118" t="inlineStr">
        <is>
          <t>JÄMTLANDS LÄN</t>
        </is>
      </c>
      <c r="E1118" t="inlineStr">
        <is>
          <t>RAGUNDA</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39608-2024</t>
        </is>
      </c>
      <c r="B1119" s="1" t="n">
        <v>45552.39113425926</v>
      </c>
      <c r="C1119" s="1" t="n">
        <v>46051</v>
      </c>
      <c r="D1119" t="inlineStr">
        <is>
          <t>JÄMTLANDS LÄN</t>
        </is>
      </c>
      <c r="E1119" t="inlineStr">
        <is>
          <t>RAGUNDA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18454-2021</t>
        </is>
      </c>
      <c r="B1120" s="1" t="n">
        <v>44305.92047453704</v>
      </c>
      <c r="C1120" s="1" t="n">
        <v>46051</v>
      </c>
      <c r="D1120" t="inlineStr">
        <is>
          <t>JÄMTLANDS LÄN</t>
        </is>
      </c>
      <c r="E1120" t="inlineStr">
        <is>
          <t>RAGUNDA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26455-2023</t>
        </is>
      </c>
      <c r="B1121" s="1" t="n">
        <v>45092</v>
      </c>
      <c r="C1121" s="1" t="n">
        <v>46051</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6801-2023</t>
        </is>
      </c>
      <c r="B1122" s="1" t="n">
        <v>44966.95328703704</v>
      </c>
      <c r="C1122" s="1" t="n">
        <v>46051</v>
      </c>
      <c r="D1122" t="inlineStr">
        <is>
          <t>JÄMTLANDS LÄN</t>
        </is>
      </c>
      <c r="E1122" t="inlineStr">
        <is>
          <t>RAGUNDA</t>
        </is>
      </c>
      <c r="F1122" t="inlineStr">
        <is>
          <t>SCA</t>
        </is>
      </c>
      <c r="G1122" t="n">
        <v>10.6</v>
      </c>
      <c r="H1122" t="n">
        <v>0</v>
      </c>
      <c r="I1122" t="n">
        <v>0</v>
      </c>
      <c r="J1122" t="n">
        <v>0</v>
      </c>
      <c r="K1122" t="n">
        <v>0</v>
      </c>
      <c r="L1122" t="n">
        <v>0</v>
      </c>
      <c r="M1122" t="n">
        <v>0</v>
      </c>
      <c r="N1122" t="n">
        <v>0</v>
      </c>
      <c r="O1122" t="n">
        <v>0</v>
      </c>
      <c r="P1122" t="n">
        <v>0</v>
      </c>
      <c r="Q1122" t="n">
        <v>0</v>
      </c>
      <c r="R1122" s="2" t="inlineStr"/>
    </row>
    <row r="1123" ht="15" customHeight="1">
      <c r="A1123" t="inlineStr">
        <is>
          <t>A 5967-2021</t>
        </is>
      </c>
      <c r="B1123" s="1" t="n">
        <v>44231</v>
      </c>
      <c r="C1123" s="1" t="n">
        <v>46051</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10641-2024</t>
        </is>
      </c>
      <c r="B1124" s="1" t="n">
        <v>45367.69850694444</v>
      </c>
      <c r="C1124" s="1" t="n">
        <v>46051</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10644-2024</t>
        </is>
      </c>
      <c r="B1125" s="1" t="n">
        <v>45367.71348379629</v>
      </c>
      <c r="C1125" s="1" t="n">
        <v>46051</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17559-2023</t>
        </is>
      </c>
      <c r="B1126" s="1" t="n">
        <v>45034</v>
      </c>
      <c r="C1126" s="1" t="n">
        <v>46051</v>
      </c>
      <c r="D1126" t="inlineStr">
        <is>
          <t>JÄMTLANDS LÄN</t>
        </is>
      </c>
      <c r="E1126" t="inlineStr">
        <is>
          <t>RAGUNDA</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30826-2023</t>
        </is>
      </c>
      <c r="B1127" s="1" t="n">
        <v>45112</v>
      </c>
      <c r="C1127" s="1" t="n">
        <v>46051</v>
      </c>
      <c r="D1127" t="inlineStr">
        <is>
          <t>JÄMTLANDS LÄN</t>
        </is>
      </c>
      <c r="E1127" t="inlineStr">
        <is>
          <t>RAGUNDA</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56191-2022</t>
        </is>
      </c>
      <c r="B1128" s="1" t="n">
        <v>44889.95015046297</v>
      </c>
      <c r="C1128" s="1" t="n">
        <v>46051</v>
      </c>
      <c r="D1128" t="inlineStr">
        <is>
          <t>JÄMTLANDS LÄN</t>
        </is>
      </c>
      <c r="E1128" t="inlineStr">
        <is>
          <t>RAGUNDA</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33621-2023</t>
        </is>
      </c>
      <c r="B1129" s="1" t="n">
        <v>45119</v>
      </c>
      <c r="C1129" s="1" t="n">
        <v>46051</v>
      </c>
      <c r="D1129" t="inlineStr">
        <is>
          <t>JÄMTLANDS LÄN</t>
        </is>
      </c>
      <c r="E1129" t="inlineStr">
        <is>
          <t>RAGUNDA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65216-2023</t>
        </is>
      </c>
      <c r="B1130" s="1" t="n">
        <v>45289</v>
      </c>
      <c r="C1130" s="1" t="n">
        <v>46051</v>
      </c>
      <c r="D1130" t="inlineStr">
        <is>
          <t>JÄMTLANDS LÄN</t>
        </is>
      </c>
      <c r="E1130" t="inlineStr">
        <is>
          <t>RAGUNDA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60838-2023</t>
        </is>
      </c>
      <c r="B1131" s="1" t="n">
        <v>45260.92561342593</v>
      </c>
      <c r="C1131" s="1" t="n">
        <v>46051</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2133-2023</t>
        </is>
      </c>
      <c r="B1132" s="1" t="n">
        <v>44939</v>
      </c>
      <c r="C1132" s="1" t="n">
        <v>46051</v>
      </c>
      <c r="D1132" t="inlineStr">
        <is>
          <t>JÄMTLANDS LÄN</t>
        </is>
      </c>
      <c r="E1132" t="inlineStr">
        <is>
          <t>RAGUNDA</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49647-2024</t>
        </is>
      </c>
      <c r="B1133" s="1" t="n">
        <v>45596.61533564814</v>
      </c>
      <c r="C1133" s="1" t="n">
        <v>46051</v>
      </c>
      <c r="D1133" t="inlineStr">
        <is>
          <t>JÄMTLANDS LÄN</t>
        </is>
      </c>
      <c r="E1133" t="inlineStr">
        <is>
          <t>RAGUNDA</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6802-2021</t>
        </is>
      </c>
      <c r="B1134" s="1" t="n">
        <v>44236</v>
      </c>
      <c r="C1134" s="1" t="n">
        <v>46051</v>
      </c>
      <c r="D1134" t="inlineStr">
        <is>
          <t>JÄMTLANDS LÄN</t>
        </is>
      </c>
      <c r="E1134" t="inlineStr">
        <is>
          <t>RAGUNDA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64415-2023</t>
        </is>
      </c>
      <c r="B1135" s="1" t="n">
        <v>45280</v>
      </c>
      <c r="C1135" s="1" t="n">
        <v>46051</v>
      </c>
      <c r="D1135" t="inlineStr">
        <is>
          <t>JÄMTLANDS LÄN</t>
        </is>
      </c>
      <c r="E1135" t="inlineStr">
        <is>
          <t>RAGUNDA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38782-2021</t>
        </is>
      </c>
      <c r="B1136" s="1" t="n">
        <v>44410</v>
      </c>
      <c r="C1136" s="1" t="n">
        <v>46051</v>
      </c>
      <c r="D1136" t="inlineStr">
        <is>
          <t>JÄMTLANDS LÄN</t>
        </is>
      </c>
      <c r="E1136" t="inlineStr">
        <is>
          <t>RAGUNDA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16250-2022</t>
        </is>
      </c>
      <c r="B1137" s="1" t="n">
        <v>44670</v>
      </c>
      <c r="C1137" s="1" t="n">
        <v>46051</v>
      </c>
      <c r="D1137" t="inlineStr">
        <is>
          <t>JÄMTLANDS LÄN</t>
        </is>
      </c>
      <c r="E1137" t="inlineStr">
        <is>
          <t>RAGUNDA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13334-2024</t>
        </is>
      </c>
      <c r="B1138" s="1" t="n">
        <v>45386</v>
      </c>
      <c r="C1138" s="1" t="n">
        <v>46051</v>
      </c>
      <c r="D1138" t="inlineStr">
        <is>
          <t>JÄMTLANDS LÄN</t>
        </is>
      </c>
      <c r="E1138" t="inlineStr">
        <is>
          <t>RAGUNDA</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55669-2023</t>
        </is>
      </c>
      <c r="B1139" s="1" t="n">
        <v>45238.96797453704</v>
      </c>
      <c r="C1139" s="1" t="n">
        <v>46051</v>
      </c>
      <c r="D1139" t="inlineStr">
        <is>
          <t>JÄMTLANDS LÄN</t>
        </is>
      </c>
      <c r="E1139" t="inlineStr">
        <is>
          <t>RAGUNDA</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51389-2024</t>
        </is>
      </c>
      <c r="B1140" s="1" t="n">
        <v>45604.40540509259</v>
      </c>
      <c r="C1140" s="1" t="n">
        <v>46051</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51393-2024</t>
        </is>
      </c>
      <c r="B1141" s="1" t="n">
        <v>45604.41625</v>
      </c>
      <c r="C1141" s="1" t="n">
        <v>46051</v>
      </c>
      <c r="D1141" t="inlineStr">
        <is>
          <t>JÄMTLANDS LÄN</t>
        </is>
      </c>
      <c r="E1141" t="inlineStr">
        <is>
          <t>RAGUNDA</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43339-2024</t>
        </is>
      </c>
      <c r="B1142" s="1" t="n">
        <v>45568.51075231482</v>
      </c>
      <c r="C1142" s="1" t="n">
        <v>46051</v>
      </c>
      <c r="D1142" t="inlineStr">
        <is>
          <t>JÄMTLANDS LÄN</t>
        </is>
      </c>
      <c r="E1142" t="inlineStr">
        <is>
          <t>RAGUNDA</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38548-2024</t>
        </is>
      </c>
      <c r="B1143" s="1" t="n">
        <v>45546</v>
      </c>
      <c r="C1143" s="1" t="n">
        <v>46051</v>
      </c>
      <c r="D1143" t="inlineStr">
        <is>
          <t>JÄMTLANDS LÄN</t>
        </is>
      </c>
      <c r="E1143" t="inlineStr">
        <is>
          <t>RAGUNDA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26026-2024</t>
        </is>
      </c>
      <c r="B1144" s="1" t="n">
        <v>45467.96207175926</v>
      </c>
      <c r="C1144" s="1" t="n">
        <v>46051</v>
      </c>
      <c r="D1144" t="inlineStr">
        <is>
          <t>JÄMTLANDS LÄN</t>
        </is>
      </c>
      <c r="E1144" t="inlineStr">
        <is>
          <t>RAGUNDA</t>
        </is>
      </c>
      <c r="F1144" t="inlineStr">
        <is>
          <t>SCA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5971-2025</t>
        </is>
      </c>
      <c r="B1145" s="1" t="n">
        <v>45695.51070601852</v>
      </c>
      <c r="C1145" s="1" t="n">
        <v>46051</v>
      </c>
      <c r="D1145" t="inlineStr">
        <is>
          <t>JÄMTLANDS LÄN</t>
        </is>
      </c>
      <c r="E1145" t="inlineStr">
        <is>
          <t>RAGUNDA</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51537-2022</t>
        </is>
      </c>
      <c r="B1146" s="1" t="n">
        <v>44869</v>
      </c>
      <c r="C1146" s="1" t="n">
        <v>46051</v>
      </c>
      <c r="D1146" t="inlineStr">
        <is>
          <t>JÄMTLANDS LÄN</t>
        </is>
      </c>
      <c r="E1146" t="inlineStr">
        <is>
          <t>RAGUNDA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12995-2023</t>
        </is>
      </c>
      <c r="B1147" s="1" t="n">
        <v>45002.0328125</v>
      </c>
      <c r="C1147" s="1" t="n">
        <v>46051</v>
      </c>
      <c r="D1147" t="inlineStr">
        <is>
          <t>JÄMTLANDS LÄN</t>
        </is>
      </c>
      <c r="E1147" t="inlineStr">
        <is>
          <t>RAGUNDA</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8800-2025</t>
        </is>
      </c>
      <c r="B1148" s="1" t="n">
        <v>45712.65671296296</v>
      </c>
      <c r="C1148" s="1" t="n">
        <v>46051</v>
      </c>
      <c r="D1148" t="inlineStr">
        <is>
          <t>JÄMTLANDS LÄN</t>
        </is>
      </c>
      <c r="E1148" t="inlineStr">
        <is>
          <t>RAGUNDA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56284-2023</t>
        </is>
      </c>
      <c r="B1149" s="1" t="n">
        <v>45241.95724537037</v>
      </c>
      <c r="C1149" s="1" t="n">
        <v>46051</v>
      </c>
      <c r="D1149" t="inlineStr">
        <is>
          <t>JÄMTLANDS LÄN</t>
        </is>
      </c>
      <c r="E1149" t="inlineStr">
        <is>
          <t>RAGUNDA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18610-2024</t>
        </is>
      </c>
      <c r="B1150" s="1" t="n">
        <v>45425.96230324074</v>
      </c>
      <c r="C1150" s="1" t="n">
        <v>46051</v>
      </c>
      <c r="D1150" t="inlineStr">
        <is>
          <t>JÄMTLANDS LÄN</t>
        </is>
      </c>
      <c r="E1150" t="inlineStr">
        <is>
          <t>RAGUNDA</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30563-2023</t>
        </is>
      </c>
      <c r="B1151" s="1" t="n">
        <v>45111.92793981481</v>
      </c>
      <c r="C1151" s="1" t="n">
        <v>46051</v>
      </c>
      <c r="D1151" t="inlineStr">
        <is>
          <t>JÄMTLANDS LÄN</t>
        </is>
      </c>
      <c r="E1151" t="inlineStr">
        <is>
          <t>RAGUNDA</t>
        </is>
      </c>
      <c r="F1151" t="inlineStr">
        <is>
          <t>Övriga Aktiebolag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8886-2024</t>
        </is>
      </c>
      <c r="B1152" s="1" t="n">
        <v>45357.05300925926</v>
      </c>
      <c r="C1152" s="1" t="n">
        <v>46051</v>
      </c>
      <c r="D1152" t="inlineStr">
        <is>
          <t>JÄMTLANDS LÄN</t>
        </is>
      </c>
      <c r="E1152" t="inlineStr">
        <is>
          <t>RAGUNDA</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18615-2024</t>
        </is>
      </c>
      <c r="B1153" s="1" t="n">
        <v>45425.96275462963</v>
      </c>
      <c r="C1153" s="1" t="n">
        <v>46051</v>
      </c>
      <c r="D1153" t="inlineStr">
        <is>
          <t>JÄMTLANDS LÄN</t>
        </is>
      </c>
      <c r="E1153" t="inlineStr">
        <is>
          <t>RAGUNDA</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23303-2024</t>
        </is>
      </c>
      <c r="B1154" s="1" t="n">
        <v>45453.4444212963</v>
      </c>
      <c r="C1154" s="1" t="n">
        <v>46051</v>
      </c>
      <c r="D1154" t="inlineStr">
        <is>
          <t>JÄMTLANDS LÄN</t>
        </is>
      </c>
      <c r="E1154" t="inlineStr">
        <is>
          <t>RAGUNDA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465-2023</t>
        </is>
      </c>
      <c r="B1155" s="1" t="n">
        <v>44929</v>
      </c>
      <c r="C1155" s="1" t="n">
        <v>46051</v>
      </c>
      <c r="D1155" t="inlineStr">
        <is>
          <t>JÄMTLANDS LÄN</t>
        </is>
      </c>
      <c r="E1155" t="inlineStr">
        <is>
          <t>RAGUNDA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32832-2021</t>
        </is>
      </c>
      <c r="B1156" s="1" t="n">
        <v>44375</v>
      </c>
      <c r="C1156" s="1" t="n">
        <v>46051</v>
      </c>
      <c r="D1156" t="inlineStr">
        <is>
          <t>JÄMTLANDS LÄN</t>
        </is>
      </c>
      <c r="E1156" t="inlineStr">
        <is>
          <t>RAGUNDA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3938-2024</t>
        </is>
      </c>
      <c r="B1157" s="1" t="n">
        <v>45322</v>
      </c>
      <c r="C1157" s="1" t="n">
        <v>46051</v>
      </c>
      <c r="D1157" t="inlineStr">
        <is>
          <t>JÄMTLANDS LÄN</t>
        </is>
      </c>
      <c r="E1157" t="inlineStr">
        <is>
          <t>RAGUNDA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62081-2022</t>
        </is>
      </c>
      <c r="B1158" s="1" t="n">
        <v>44918</v>
      </c>
      <c r="C1158" s="1" t="n">
        <v>46051</v>
      </c>
      <c r="D1158" t="inlineStr">
        <is>
          <t>JÄMTLANDS LÄN</t>
        </is>
      </c>
      <c r="E1158" t="inlineStr">
        <is>
          <t>RAGUNDA</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55508-2024</t>
        </is>
      </c>
      <c r="B1159" s="1" t="n">
        <v>45622.46200231482</v>
      </c>
      <c r="C1159" s="1" t="n">
        <v>46051</v>
      </c>
      <c r="D1159" t="inlineStr">
        <is>
          <t>JÄMTLANDS LÄN</t>
        </is>
      </c>
      <c r="E1159" t="inlineStr">
        <is>
          <t>RAGUNDA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12521-2023</t>
        </is>
      </c>
      <c r="B1160" s="1" t="n">
        <v>45000</v>
      </c>
      <c r="C1160" s="1" t="n">
        <v>46051</v>
      </c>
      <c r="D1160" t="inlineStr">
        <is>
          <t>JÄMTLANDS LÄN</t>
        </is>
      </c>
      <c r="E1160" t="inlineStr">
        <is>
          <t>RAGUNDA</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3720-2025</t>
        </is>
      </c>
      <c r="B1161" s="1" t="n">
        <v>45681.5315625</v>
      </c>
      <c r="C1161" s="1" t="n">
        <v>46051</v>
      </c>
      <c r="D1161" t="inlineStr">
        <is>
          <t>JÄMTLANDS LÄN</t>
        </is>
      </c>
      <c r="E1161" t="inlineStr">
        <is>
          <t>RAGUNDA</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2339-2025</t>
        </is>
      </c>
      <c r="B1162" s="1" t="n">
        <v>45673.66358796296</v>
      </c>
      <c r="C1162" s="1" t="n">
        <v>46051</v>
      </c>
      <c r="D1162" t="inlineStr">
        <is>
          <t>JÄMTLANDS LÄN</t>
        </is>
      </c>
      <c r="E1162" t="inlineStr">
        <is>
          <t>RAGUNDA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17742-2022</t>
        </is>
      </c>
      <c r="B1163" s="1" t="n">
        <v>44680.95246527778</v>
      </c>
      <c r="C1163" s="1" t="n">
        <v>46051</v>
      </c>
      <c r="D1163" t="inlineStr">
        <is>
          <t>JÄMTLANDS LÄN</t>
        </is>
      </c>
      <c r="E1163" t="inlineStr">
        <is>
          <t>RAGUNDA</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50555-2024</t>
        </is>
      </c>
      <c r="B1164" s="1" t="n">
        <v>45601.59518518519</v>
      </c>
      <c r="C1164" s="1" t="n">
        <v>46051</v>
      </c>
      <c r="D1164" t="inlineStr">
        <is>
          <t>JÄMTLANDS LÄN</t>
        </is>
      </c>
      <c r="E1164" t="inlineStr">
        <is>
          <t>RAGUNDA</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53676-2022</t>
        </is>
      </c>
      <c r="B1165" s="1" t="n">
        <v>44879</v>
      </c>
      <c r="C1165" s="1" t="n">
        <v>46051</v>
      </c>
      <c r="D1165" t="inlineStr">
        <is>
          <t>JÄMTLANDS LÄN</t>
        </is>
      </c>
      <c r="E1165" t="inlineStr">
        <is>
          <t>RAGUNDA</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14212-2023</t>
        </is>
      </c>
      <c r="B1166" s="1" t="n">
        <v>45009</v>
      </c>
      <c r="C1166" s="1" t="n">
        <v>46051</v>
      </c>
      <c r="D1166" t="inlineStr">
        <is>
          <t>JÄMTLANDS LÄN</t>
        </is>
      </c>
      <c r="E1166" t="inlineStr">
        <is>
          <t>RAGUNDA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20772-2024</t>
        </is>
      </c>
      <c r="B1167" s="1" t="n">
        <v>45436.94628472222</v>
      </c>
      <c r="C1167" s="1" t="n">
        <v>46051</v>
      </c>
      <c r="D1167" t="inlineStr">
        <is>
          <t>JÄMTLANDS LÄN</t>
        </is>
      </c>
      <c r="E1167" t="inlineStr">
        <is>
          <t>RAGUNDA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18614-2024</t>
        </is>
      </c>
      <c r="B1168" s="1" t="n">
        <v>45425.96263888889</v>
      </c>
      <c r="C1168" s="1" t="n">
        <v>46051</v>
      </c>
      <c r="D1168" t="inlineStr">
        <is>
          <t>JÄMTLANDS LÄN</t>
        </is>
      </c>
      <c r="E1168" t="inlineStr">
        <is>
          <t>RAGUNDA</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53757-2024</t>
        </is>
      </c>
      <c r="B1169" s="1" t="n">
        <v>45615.50034722222</v>
      </c>
      <c r="C1169" s="1" t="n">
        <v>46051</v>
      </c>
      <c r="D1169" t="inlineStr">
        <is>
          <t>JÄMTLANDS LÄN</t>
        </is>
      </c>
      <c r="E1169" t="inlineStr">
        <is>
          <t>RAGUNDA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19246-2023</t>
        </is>
      </c>
      <c r="B1170" s="1" t="n">
        <v>45048.94340277778</v>
      </c>
      <c r="C1170" s="1" t="n">
        <v>46051</v>
      </c>
      <c r="D1170" t="inlineStr">
        <is>
          <t>JÄMTLANDS LÄN</t>
        </is>
      </c>
      <c r="E1170" t="inlineStr">
        <is>
          <t>RAGUNDA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464-2023</t>
        </is>
      </c>
      <c r="B1171" s="1" t="n">
        <v>44929.92489583333</v>
      </c>
      <c r="C1171" s="1" t="n">
        <v>46051</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49649-2024</t>
        </is>
      </c>
      <c r="B1172" s="1" t="n">
        <v>45596.61553240741</v>
      </c>
      <c r="C1172" s="1" t="n">
        <v>46051</v>
      </c>
      <c r="D1172" t="inlineStr">
        <is>
          <t>JÄMTLANDS LÄN</t>
        </is>
      </c>
      <c r="E1172" t="inlineStr">
        <is>
          <t>RAGUNDA</t>
        </is>
      </c>
      <c r="F1172" t="inlineStr">
        <is>
          <t>SCA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20426-2024</t>
        </is>
      </c>
      <c r="B1173" s="1" t="n">
        <v>45435</v>
      </c>
      <c r="C1173" s="1" t="n">
        <v>46051</v>
      </c>
      <c r="D1173" t="inlineStr">
        <is>
          <t>JÄMTLANDS LÄN</t>
        </is>
      </c>
      <c r="E1173" t="inlineStr">
        <is>
          <t>RAGUNDA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41344-2024</t>
        </is>
      </c>
      <c r="B1174" s="1" t="n">
        <v>45559.67759259259</v>
      </c>
      <c r="C1174" s="1" t="n">
        <v>46051</v>
      </c>
      <c r="D1174" t="inlineStr">
        <is>
          <t>JÄMTLANDS LÄN</t>
        </is>
      </c>
      <c r="E1174" t="inlineStr">
        <is>
          <t>RAGUNDA</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58955-2024</t>
        </is>
      </c>
      <c r="B1175" s="1" t="n">
        <v>45636.57329861111</v>
      </c>
      <c r="C1175" s="1" t="n">
        <v>46051</v>
      </c>
      <c r="D1175" t="inlineStr">
        <is>
          <t>JÄMTLANDS LÄN</t>
        </is>
      </c>
      <c r="E1175" t="inlineStr">
        <is>
          <t>RAGUNDA</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4878-2022</t>
        </is>
      </c>
      <c r="B1176" s="1" t="n">
        <v>44593</v>
      </c>
      <c r="C1176" s="1" t="n">
        <v>46051</v>
      </c>
      <c r="D1176" t="inlineStr">
        <is>
          <t>JÄMTLANDS LÄN</t>
        </is>
      </c>
      <c r="E1176" t="inlineStr">
        <is>
          <t>RAGUNDA</t>
        </is>
      </c>
      <c r="G1176" t="n">
        <v>21.7</v>
      </c>
      <c r="H1176" t="n">
        <v>0</v>
      </c>
      <c r="I1176" t="n">
        <v>0</v>
      </c>
      <c r="J1176" t="n">
        <v>0</v>
      </c>
      <c r="K1176" t="n">
        <v>0</v>
      </c>
      <c r="L1176" t="n">
        <v>0</v>
      </c>
      <c r="M1176" t="n">
        <v>0</v>
      </c>
      <c r="N1176" t="n">
        <v>0</v>
      </c>
      <c r="O1176" t="n">
        <v>0</v>
      </c>
      <c r="P1176" t="n">
        <v>0</v>
      </c>
      <c r="Q1176" t="n">
        <v>0</v>
      </c>
      <c r="R1176" s="2" t="inlineStr"/>
    </row>
    <row r="1177" ht="15" customHeight="1">
      <c r="A1177" t="inlineStr">
        <is>
          <t>A 39489-2023</t>
        </is>
      </c>
      <c r="B1177" s="1" t="n">
        <v>45166</v>
      </c>
      <c r="C1177" s="1" t="n">
        <v>46051</v>
      </c>
      <c r="D1177" t="inlineStr">
        <is>
          <t>JÄMTLANDS LÄN</t>
        </is>
      </c>
      <c r="E1177" t="inlineStr">
        <is>
          <t>RAGUNDA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11058-2025</t>
        </is>
      </c>
      <c r="B1178" s="1" t="n">
        <v>45723.51079861111</v>
      </c>
      <c r="C1178" s="1" t="n">
        <v>46051</v>
      </c>
      <c r="D1178" t="inlineStr">
        <is>
          <t>JÄMTLANDS LÄN</t>
        </is>
      </c>
      <c r="E1178" t="inlineStr">
        <is>
          <t>RAGUNDA</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15554-2025</t>
        </is>
      </c>
      <c r="B1179" s="1" t="n">
        <v>45747.67739583334</v>
      </c>
      <c r="C1179" s="1" t="n">
        <v>46051</v>
      </c>
      <c r="D1179" t="inlineStr">
        <is>
          <t>JÄMTLANDS LÄN</t>
        </is>
      </c>
      <c r="E1179" t="inlineStr">
        <is>
          <t>RAGUNDA</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57170-2024</t>
        </is>
      </c>
      <c r="B1180" s="1" t="n">
        <v>45629.42759259259</v>
      </c>
      <c r="C1180" s="1" t="n">
        <v>46051</v>
      </c>
      <c r="D1180" t="inlineStr">
        <is>
          <t>JÄMTLANDS LÄN</t>
        </is>
      </c>
      <c r="E1180" t="inlineStr">
        <is>
          <t>RAGUNDA</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29940-2023</t>
        </is>
      </c>
      <c r="B1181" s="1" t="n">
        <v>45107</v>
      </c>
      <c r="C1181" s="1" t="n">
        <v>46051</v>
      </c>
      <c r="D1181" t="inlineStr">
        <is>
          <t>JÄMTLANDS LÄN</t>
        </is>
      </c>
      <c r="E1181" t="inlineStr">
        <is>
          <t>RAGUNDA</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66471-2021</t>
        </is>
      </c>
      <c r="B1182" s="1" t="n">
        <v>44518</v>
      </c>
      <c r="C1182" s="1" t="n">
        <v>46051</v>
      </c>
      <c r="D1182" t="inlineStr">
        <is>
          <t>JÄMTLANDS LÄN</t>
        </is>
      </c>
      <c r="E1182" t="inlineStr">
        <is>
          <t>RAGUNDA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22731-2023</t>
        </is>
      </c>
      <c r="B1183" s="1" t="n">
        <v>45071</v>
      </c>
      <c r="C1183" s="1" t="n">
        <v>46051</v>
      </c>
      <c r="D1183" t="inlineStr">
        <is>
          <t>JÄMTLANDS LÄN</t>
        </is>
      </c>
      <c r="E1183" t="inlineStr">
        <is>
          <t>RAGUNDA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33877-2023</t>
        </is>
      </c>
      <c r="B1184" s="1" t="n">
        <v>45133</v>
      </c>
      <c r="C1184" s="1" t="n">
        <v>46051</v>
      </c>
      <c r="D1184" t="inlineStr">
        <is>
          <t>JÄMTLANDS LÄN</t>
        </is>
      </c>
      <c r="E1184" t="inlineStr">
        <is>
          <t>RAGUNDA</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8775-2025</t>
        </is>
      </c>
      <c r="B1185" s="1" t="n">
        <v>45712.61502314815</v>
      </c>
      <c r="C1185" s="1" t="n">
        <v>46051</v>
      </c>
      <c r="D1185" t="inlineStr">
        <is>
          <t>JÄMTLANDS LÄN</t>
        </is>
      </c>
      <c r="E1185" t="inlineStr">
        <is>
          <t>RAGUNDA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8776-2025</t>
        </is>
      </c>
      <c r="B1186" s="1" t="n">
        <v>45712.61510416667</v>
      </c>
      <c r="C1186" s="1" t="n">
        <v>46051</v>
      </c>
      <c r="D1186" t="inlineStr">
        <is>
          <t>JÄMTLANDS LÄN</t>
        </is>
      </c>
      <c r="E1186" t="inlineStr">
        <is>
          <t>RAGUNDA</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57749-2024</t>
        </is>
      </c>
      <c r="B1187" s="1" t="n">
        <v>45630.7862037037</v>
      </c>
      <c r="C1187" s="1" t="n">
        <v>46051</v>
      </c>
      <c r="D1187" t="inlineStr">
        <is>
          <t>JÄMTLANDS LÄN</t>
        </is>
      </c>
      <c r="E1187" t="inlineStr">
        <is>
          <t>RAGUNDA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5067-2024</t>
        </is>
      </c>
      <c r="B1188" s="1" t="n">
        <v>45329.95806712963</v>
      </c>
      <c r="C1188" s="1" t="n">
        <v>46051</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5429-2024</t>
        </is>
      </c>
      <c r="B1189" s="1" t="n">
        <v>45331.92746527777</v>
      </c>
      <c r="C1189" s="1" t="n">
        <v>46051</v>
      </c>
      <c r="D1189" t="inlineStr">
        <is>
          <t>JÄMTLANDS LÄN</t>
        </is>
      </c>
      <c r="E1189" t="inlineStr">
        <is>
          <t>RAGUNDA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28742-2023</t>
        </is>
      </c>
      <c r="B1190" s="1" t="n">
        <v>45103</v>
      </c>
      <c r="C1190" s="1" t="n">
        <v>46051</v>
      </c>
      <c r="D1190" t="inlineStr">
        <is>
          <t>JÄMTLANDS LÄN</t>
        </is>
      </c>
      <c r="E1190" t="inlineStr">
        <is>
          <t>RAGUNDA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22981-2023</t>
        </is>
      </c>
      <c r="B1191" s="1" t="n">
        <v>45072.92737268518</v>
      </c>
      <c r="C1191" s="1" t="n">
        <v>46051</v>
      </c>
      <c r="D1191" t="inlineStr">
        <is>
          <t>JÄMTLANDS LÄN</t>
        </is>
      </c>
      <c r="E1191" t="inlineStr">
        <is>
          <t>RAGUNDA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21726-2023</t>
        </is>
      </c>
      <c r="B1192" s="1" t="n">
        <v>45065.42894675926</v>
      </c>
      <c r="C1192" s="1" t="n">
        <v>46051</v>
      </c>
      <c r="D1192" t="inlineStr">
        <is>
          <t>JÄMTLANDS LÄN</t>
        </is>
      </c>
      <c r="E1192" t="inlineStr">
        <is>
          <t>RAGUNDA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55514-2024</t>
        </is>
      </c>
      <c r="B1193" s="1" t="n">
        <v>45622.46910879629</v>
      </c>
      <c r="C1193" s="1" t="n">
        <v>46051</v>
      </c>
      <c r="D1193" t="inlineStr">
        <is>
          <t>JÄMTLANDS LÄN</t>
        </is>
      </c>
      <c r="E1193" t="inlineStr">
        <is>
          <t>RAGUNDA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24441-2024</t>
        </is>
      </c>
      <c r="B1194" s="1" t="n">
        <v>45457.96372685185</v>
      </c>
      <c r="C1194" s="1" t="n">
        <v>46051</v>
      </c>
      <c r="D1194" t="inlineStr">
        <is>
          <t>JÄMTLANDS LÄN</t>
        </is>
      </c>
      <c r="E1194" t="inlineStr">
        <is>
          <t>RAGUNDA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934-2023</t>
        </is>
      </c>
      <c r="B1195" s="1" t="n">
        <v>44932.93927083333</v>
      </c>
      <c r="C1195" s="1" t="n">
        <v>46051</v>
      </c>
      <c r="D1195" t="inlineStr">
        <is>
          <t>JÄMTLANDS LÄN</t>
        </is>
      </c>
      <c r="E1195" t="inlineStr">
        <is>
          <t>RAGUNDA</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37242-2024</t>
        </is>
      </c>
      <c r="B1196" s="1" t="n">
        <v>45540.34428240741</v>
      </c>
      <c r="C1196" s="1" t="n">
        <v>46051</v>
      </c>
      <c r="D1196" t="inlineStr">
        <is>
          <t>JÄMTLANDS LÄN</t>
        </is>
      </c>
      <c r="E1196" t="inlineStr">
        <is>
          <t>RAGUNDA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9232-2025</t>
        </is>
      </c>
      <c r="B1197" s="1" t="n">
        <v>45714.55064814815</v>
      </c>
      <c r="C1197" s="1" t="n">
        <v>46051</v>
      </c>
      <c r="D1197" t="inlineStr">
        <is>
          <t>JÄMTLANDS LÄN</t>
        </is>
      </c>
      <c r="E1197" t="inlineStr">
        <is>
          <t>RAGUNDA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41656-2023</t>
        </is>
      </c>
      <c r="B1198" s="1" t="n">
        <v>45175</v>
      </c>
      <c r="C1198" s="1" t="n">
        <v>46051</v>
      </c>
      <c r="D1198" t="inlineStr">
        <is>
          <t>JÄMTLANDS LÄN</t>
        </is>
      </c>
      <c r="E1198" t="inlineStr">
        <is>
          <t>RAGUNDA</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36317-2024</t>
        </is>
      </c>
      <c r="B1199" s="1" t="n">
        <v>45534.63537037037</v>
      </c>
      <c r="C1199" s="1" t="n">
        <v>46051</v>
      </c>
      <c r="D1199" t="inlineStr">
        <is>
          <t>JÄMTLANDS LÄN</t>
        </is>
      </c>
      <c r="E1199" t="inlineStr">
        <is>
          <t>RAGUNDA</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36226-2023</t>
        </is>
      </c>
      <c r="B1200" s="1" t="n">
        <v>45149.95372685185</v>
      </c>
      <c r="C1200" s="1" t="n">
        <v>46051</v>
      </c>
      <c r="D1200" t="inlineStr">
        <is>
          <t>JÄMTLANDS LÄN</t>
        </is>
      </c>
      <c r="E1200" t="inlineStr">
        <is>
          <t>RAGUNDA</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59368-2022</t>
        </is>
      </c>
      <c r="B1201" s="1" t="n">
        <v>44904.94824074074</v>
      </c>
      <c r="C1201" s="1" t="n">
        <v>46051</v>
      </c>
      <c r="D1201" t="inlineStr">
        <is>
          <t>JÄMTLANDS LÄN</t>
        </is>
      </c>
      <c r="E1201" t="inlineStr">
        <is>
          <t>RAGUNDA</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893-2025</t>
        </is>
      </c>
      <c r="B1202" s="1" t="n">
        <v>45665.65684027778</v>
      </c>
      <c r="C1202" s="1" t="n">
        <v>46051</v>
      </c>
      <c r="D1202" t="inlineStr">
        <is>
          <t>JÄMTLANDS LÄN</t>
        </is>
      </c>
      <c r="E1202" t="inlineStr">
        <is>
          <t>RAGUNDA</t>
        </is>
      </c>
      <c r="F1202" t="inlineStr">
        <is>
          <t>SCA</t>
        </is>
      </c>
      <c r="G1202" t="n">
        <v>45.1</v>
      </c>
      <c r="H1202" t="n">
        <v>0</v>
      </c>
      <c r="I1202" t="n">
        <v>0</v>
      </c>
      <c r="J1202" t="n">
        <v>0</v>
      </c>
      <c r="K1202" t="n">
        <v>0</v>
      </c>
      <c r="L1202" t="n">
        <v>0</v>
      </c>
      <c r="M1202" t="n">
        <v>0</v>
      </c>
      <c r="N1202" t="n">
        <v>0</v>
      </c>
      <c r="O1202" t="n">
        <v>0</v>
      </c>
      <c r="P1202" t="n">
        <v>0</v>
      </c>
      <c r="Q1202" t="n">
        <v>0</v>
      </c>
      <c r="R1202" s="2" t="inlineStr"/>
    </row>
    <row r="1203" ht="15" customHeight="1">
      <c r="A1203" t="inlineStr">
        <is>
          <t>A 7520-2023</t>
        </is>
      </c>
      <c r="B1203" s="1" t="n">
        <v>44971</v>
      </c>
      <c r="C1203" s="1" t="n">
        <v>46051</v>
      </c>
      <c r="D1203" t="inlineStr">
        <is>
          <t>JÄMTLANDS LÄN</t>
        </is>
      </c>
      <c r="E1203" t="inlineStr">
        <is>
          <t>RAGUNDA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53549-2024</t>
        </is>
      </c>
      <c r="B1204" s="1" t="n">
        <v>45614.63869212963</v>
      </c>
      <c r="C1204" s="1" t="n">
        <v>46051</v>
      </c>
      <c r="D1204" t="inlineStr">
        <is>
          <t>JÄMTLANDS LÄN</t>
        </is>
      </c>
      <c r="E1204" t="inlineStr">
        <is>
          <t>RAGUNDA</t>
        </is>
      </c>
      <c r="F1204" t="inlineStr">
        <is>
          <t>Kyrkan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53955-2022</t>
        </is>
      </c>
      <c r="B1205" s="1" t="n">
        <v>44880.95741898148</v>
      </c>
      <c r="C1205" s="1" t="n">
        <v>46051</v>
      </c>
      <c r="D1205" t="inlineStr">
        <is>
          <t>JÄMTLANDS LÄN</t>
        </is>
      </c>
      <c r="E1205" t="inlineStr">
        <is>
          <t>RAGUNDA</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9567-2025</t>
        </is>
      </c>
      <c r="B1206" s="1" t="n">
        <v>45715.61523148148</v>
      </c>
      <c r="C1206" s="1" t="n">
        <v>46051</v>
      </c>
      <c r="D1206" t="inlineStr">
        <is>
          <t>JÄMTLANDS LÄN</t>
        </is>
      </c>
      <c r="E1206" t="inlineStr">
        <is>
          <t>RAGUNDA</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53287-2022</t>
        </is>
      </c>
      <c r="B1207" s="1" t="n">
        <v>44876</v>
      </c>
      <c r="C1207" s="1" t="n">
        <v>46051</v>
      </c>
      <c r="D1207" t="inlineStr">
        <is>
          <t>JÄMTLANDS LÄN</t>
        </is>
      </c>
      <c r="E1207" t="inlineStr">
        <is>
          <t>RAGUNDA</t>
        </is>
      </c>
      <c r="F1207" t="inlineStr">
        <is>
          <t>SCA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51646-2023</t>
        </is>
      </c>
      <c r="B1208" s="1" t="n">
        <v>45215</v>
      </c>
      <c r="C1208" s="1" t="n">
        <v>46051</v>
      </c>
      <c r="D1208" t="inlineStr">
        <is>
          <t>JÄMTLANDS LÄN</t>
        </is>
      </c>
      <c r="E1208" t="inlineStr">
        <is>
          <t>RAGUNDA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29319-2023</t>
        </is>
      </c>
      <c r="B1209" s="1" t="n">
        <v>45105</v>
      </c>
      <c r="C1209" s="1" t="n">
        <v>46051</v>
      </c>
      <c r="D1209" t="inlineStr">
        <is>
          <t>JÄMTLANDS LÄN</t>
        </is>
      </c>
      <c r="E1209" t="inlineStr">
        <is>
          <t>RAGUNDA</t>
        </is>
      </c>
      <c r="F1209" t="inlineStr">
        <is>
          <t>SCA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17323-2025</t>
        </is>
      </c>
      <c r="B1210" s="1" t="n">
        <v>45756.63601851852</v>
      </c>
      <c r="C1210" s="1" t="n">
        <v>46051</v>
      </c>
      <c r="D1210" t="inlineStr">
        <is>
          <t>JÄMTLANDS LÄN</t>
        </is>
      </c>
      <c r="E1210" t="inlineStr">
        <is>
          <t>RAGUNDA</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19486-2024</t>
        </is>
      </c>
      <c r="B1211" s="1" t="n">
        <v>45429</v>
      </c>
      <c r="C1211" s="1" t="n">
        <v>46051</v>
      </c>
      <c r="D1211" t="inlineStr">
        <is>
          <t>JÄMTLANDS LÄN</t>
        </is>
      </c>
      <c r="E1211" t="inlineStr">
        <is>
          <t>RAGUNDA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13941-2025</t>
        </is>
      </c>
      <c r="B1212" s="1" t="n">
        <v>45737.69822916666</v>
      </c>
      <c r="C1212" s="1" t="n">
        <v>46051</v>
      </c>
      <c r="D1212" t="inlineStr">
        <is>
          <t>JÄMTLANDS LÄN</t>
        </is>
      </c>
      <c r="E1212" t="inlineStr">
        <is>
          <t>RAGUNDA</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26646-2023</t>
        </is>
      </c>
      <c r="B1213" s="1" t="n">
        <v>45092</v>
      </c>
      <c r="C1213" s="1" t="n">
        <v>46051</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27291-2022</t>
        </is>
      </c>
      <c r="B1214" s="1" t="n">
        <v>44741.94070601852</v>
      </c>
      <c r="C1214" s="1" t="n">
        <v>46051</v>
      </c>
      <c r="D1214" t="inlineStr">
        <is>
          <t>JÄMTLANDS LÄN</t>
        </is>
      </c>
      <c r="E1214" t="inlineStr">
        <is>
          <t>RAGUNDA</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49650-2024</t>
        </is>
      </c>
      <c r="B1215" s="1" t="n">
        <v>45596.61569444444</v>
      </c>
      <c r="C1215" s="1" t="n">
        <v>46051</v>
      </c>
      <c r="D1215" t="inlineStr">
        <is>
          <t>JÄMTLANDS LÄN</t>
        </is>
      </c>
      <c r="E1215" t="inlineStr">
        <is>
          <t>RAGUNDA</t>
        </is>
      </c>
      <c r="F1215" t="inlineStr">
        <is>
          <t>Naturvårdsverket</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49651-2024</t>
        </is>
      </c>
      <c r="B1216" s="1" t="n">
        <v>45596.61582175926</v>
      </c>
      <c r="C1216" s="1" t="n">
        <v>46051</v>
      </c>
      <c r="D1216" t="inlineStr">
        <is>
          <t>JÄMTLANDS LÄN</t>
        </is>
      </c>
      <c r="E1216" t="inlineStr">
        <is>
          <t>RAGUNDA</t>
        </is>
      </c>
      <c r="F1216" t="inlineStr">
        <is>
          <t>SCA</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6477-2024</t>
        </is>
      </c>
      <c r="B1217" s="1" t="n">
        <v>45338.95405092592</v>
      </c>
      <c r="C1217" s="1" t="n">
        <v>46051</v>
      </c>
      <c r="D1217" t="inlineStr">
        <is>
          <t>JÄMTLANDS LÄN</t>
        </is>
      </c>
      <c r="E1217" t="inlineStr">
        <is>
          <t>RAGUNDA</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60443-2023</t>
        </is>
      </c>
      <c r="B1218" s="1" t="n">
        <v>45258</v>
      </c>
      <c r="C1218" s="1" t="n">
        <v>46051</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44759-2024</t>
        </is>
      </c>
      <c r="B1219" s="1" t="n">
        <v>45574.61634259259</v>
      </c>
      <c r="C1219" s="1" t="n">
        <v>46051</v>
      </c>
      <c r="D1219" t="inlineStr">
        <is>
          <t>JÄMTLANDS LÄN</t>
        </is>
      </c>
      <c r="E1219" t="inlineStr">
        <is>
          <t>RAGUNDA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993-2025</t>
        </is>
      </c>
      <c r="B1220" s="1" t="n">
        <v>45666.44943287037</v>
      </c>
      <c r="C1220" s="1" t="n">
        <v>46051</v>
      </c>
      <c r="D1220" t="inlineStr">
        <is>
          <t>JÄMTLANDS LÄN</t>
        </is>
      </c>
      <c r="E1220" t="inlineStr">
        <is>
          <t>RAGUNDA</t>
        </is>
      </c>
      <c r="G1220" t="n">
        <v>11.3</v>
      </c>
      <c r="H1220" t="n">
        <v>0</v>
      </c>
      <c r="I1220" t="n">
        <v>0</v>
      </c>
      <c r="J1220" t="n">
        <v>0</v>
      </c>
      <c r="K1220" t="n">
        <v>0</v>
      </c>
      <c r="L1220" t="n">
        <v>0</v>
      </c>
      <c r="M1220" t="n">
        <v>0</v>
      </c>
      <c r="N1220" t="n">
        <v>0</v>
      </c>
      <c r="O1220" t="n">
        <v>0</v>
      </c>
      <c r="P1220" t="n">
        <v>0</v>
      </c>
      <c r="Q1220" t="n">
        <v>0</v>
      </c>
      <c r="R1220" s="2" t="inlineStr"/>
    </row>
    <row r="1221" ht="15" customHeight="1">
      <c r="A1221" t="inlineStr">
        <is>
          <t>A 57064-2024</t>
        </is>
      </c>
      <c r="B1221" s="1" t="n">
        <v>45629.35326388889</v>
      </c>
      <c r="C1221" s="1" t="n">
        <v>46051</v>
      </c>
      <c r="D1221" t="inlineStr">
        <is>
          <t>JÄMTLANDS LÄN</t>
        </is>
      </c>
      <c r="E1221" t="inlineStr">
        <is>
          <t>RAGUNDA</t>
        </is>
      </c>
      <c r="F1221" t="inlineStr">
        <is>
          <t>Naturvårdsverket</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60936-2024</t>
        </is>
      </c>
      <c r="B1222" s="1" t="n">
        <v>45645.36743055555</v>
      </c>
      <c r="C1222" s="1" t="n">
        <v>46051</v>
      </c>
      <c r="D1222" t="inlineStr">
        <is>
          <t>JÄMTLANDS LÄN</t>
        </is>
      </c>
      <c r="E1222" t="inlineStr">
        <is>
          <t>RAGUNDA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5930-2025</t>
        </is>
      </c>
      <c r="B1223" s="1" t="n">
        <v>45695.44724537037</v>
      </c>
      <c r="C1223" s="1" t="n">
        <v>46051</v>
      </c>
      <c r="D1223" t="inlineStr">
        <is>
          <t>JÄMTLANDS LÄN</t>
        </is>
      </c>
      <c r="E1223" t="inlineStr">
        <is>
          <t>RAGUNDA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58847-2024</t>
        </is>
      </c>
      <c r="B1224" s="1" t="n">
        <v>45636.3864699074</v>
      </c>
      <c r="C1224" s="1" t="n">
        <v>46051</v>
      </c>
      <c r="D1224" t="inlineStr">
        <is>
          <t>JÄMTLANDS LÄN</t>
        </is>
      </c>
      <c r="E1224" t="inlineStr">
        <is>
          <t>RAGUNDA</t>
        </is>
      </c>
      <c r="F1224" t="inlineStr">
        <is>
          <t>SCA</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7722-2023</t>
        </is>
      </c>
      <c r="B1225" s="1" t="n">
        <v>44972.94140046297</v>
      </c>
      <c r="C1225" s="1" t="n">
        <v>46051</v>
      </c>
      <c r="D1225" t="inlineStr">
        <is>
          <t>JÄMTLANDS LÄN</t>
        </is>
      </c>
      <c r="E1225" t="inlineStr">
        <is>
          <t>RAGUNDA</t>
        </is>
      </c>
      <c r="F1225" t="inlineStr">
        <is>
          <t>SCA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20653-2025</t>
        </is>
      </c>
      <c r="B1226" s="1" t="n">
        <v>45776.40311342593</v>
      </c>
      <c r="C1226" s="1" t="n">
        <v>46051</v>
      </c>
      <c r="D1226" t="inlineStr">
        <is>
          <t>JÄMTLANDS LÄN</t>
        </is>
      </c>
      <c r="E1226" t="inlineStr">
        <is>
          <t>RAGUNDA</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20777-2025</t>
        </is>
      </c>
      <c r="B1227" s="1" t="n">
        <v>45776.59422453704</v>
      </c>
      <c r="C1227" s="1" t="n">
        <v>46051</v>
      </c>
      <c r="D1227" t="inlineStr">
        <is>
          <t>JÄMTLANDS LÄN</t>
        </is>
      </c>
      <c r="E1227" t="inlineStr">
        <is>
          <t>RAGUNDA</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20722-2025</t>
        </is>
      </c>
      <c r="B1228" s="1" t="n">
        <v>45776.50651620371</v>
      </c>
      <c r="C1228" s="1" t="n">
        <v>46051</v>
      </c>
      <c r="D1228" t="inlineStr">
        <is>
          <t>JÄMTLANDS LÄN</t>
        </is>
      </c>
      <c r="E1228" t="inlineStr">
        <is>
          <t>RAGUNDA</t>
        </is>
      </c>
      <c r="F1228" t="inlineStr">
        <is>
          <t>Kommuner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20728-2025</t>
        </is>
      </c>
      <c r="B1229" s="1" t="n">
        <v>45776.51130787037</v>
      </c>
      <c r="C1229" s="1" t="n">
        <v>46051</v>
      </c>
      <c r="D1229" t="inlineStr">
        <is>
          <t>JÄMTLANDS LÄN</t>
        </is>
      </c>
      <c r="E1229" t="inlineStr">
        <is>
          <t>RAGUNDA</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21430-2025</t>
        </is>
      </c>
      <c r="B1230" s="1" t="n">
        <v>45782.51099537037</v>
      </c>
      <c r="C1230" s="1" t="n">
        <v>46051</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21432-2025</t>
        </is>
      </c>
      <c r="B1231" s="1" t="n">
        <v>45782.51109953703</v>
      </c>
      <c r="C1231" s="1" t="n">
        <v>46051</v>
      </c>
      <c r="D1231" t="inlineStr">
        <is>
          <t>JÄMTLANDS LÄN</t>
        </is>
      </c>
      <c r="E1231" t="inlineStr">
        <is>
          <t>RAGUNDA</t>
        </is>
      </c>
      <c r="F1231" t="inlineStr">
        <is>
          <t>SCA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21550-2025</t>
        </is>
      </c>
      <c r="B1232" s="1" t="n">
        <v>45782.67758101852</v>
      </c>
      <c r="C1232" s="1" t="n">
        <v>46051</v>
      </c>
      <c r="D1232" t="inlineStr">
        <is>
          <t>JÄMTLANDS LÄN</t>
        </is>
      </c>
      <c r="E1232" t="inlineStr">
        <is>
          <t>RAGUNDA</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21451-2025</t>
        </is>
      </c>
      <c r="B1233" s="1" t="n">
        <v>45782.55287037037</v>
      </c>
      <c r="C1233" s="1" t="n">
        <v>46051</v>
      </c>
      <c r="D1233" t="inlineStr">
        <is>
          <t>JÄMTLANDS LÄN</t>
        </is>
      </c>
      <c r="E1233" t="inlineStr">
        <is>
          <t>RAGUNDA</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21150-2025</t>
        </is>
      </c>
      <c r="B1234" s="1" t="n">
        <v>45779.34417824074</v>
      </c>
      <c r="C1234" s="1" t="n">
        <v>46051</v>
      </c>
      <c r="D1234" t="inlineStr">
        <is>
          <t>JÄMTLANDS LÄN</t>
        </is>
      </c>
      <c r="E1234" t="inlineStr">
        <is>
          <t>RAGUNDA</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21331-2025</t>
        </is>
      </c>
      <c r="B1235" s="1" t="n">
        <v>45782.36494212963</v>
      </c>
      <c r="C1235" s="1" t="n">
        <v>46051</v>
      </c>
      <c r="D1235" t="inlineStr">
        <is>
          <t>JÄMTLANDS LÄN</t>
        </is>
      </c>
      <c r="E1235" t="inlineStr">
        <is>
          <t>RAGUNDA</t>
        </is>
      </c>
      <c r="F1235" t="inlineStr">
        <is>
          <t>SCA</t>
        </is>
      </c>
      <c r="G1235" t="n">
        <v>23.1</v>
      </c>
      <c r="H1235" t="n">
        <v>0</v>
      </c>
      <c r="I1235" t="n">
        <v>0</v>
      </c>
      <c r="J1235" t="n">
        <v>0</v>
      </c>
      <c r="K1235" t="n">
        <v>0</v>
      </c>
      <c r="L1235" t="n">
        <v>0</v>
      </c>
      <c r="M1235" t="n">
        <v>0</v>
      </c>
      <c r="N1235" t="n">
        <v>0</v>
      </c>
      <c r="O1235" t="n">
        <v>0</v>
      </c>
      <c r="P1235" t="n">
        <v>0</v>
      </c>
      <c r="Q1235" t="n">
        <v>0</v>
      </c>
      <c r="R1235" s="2" t="inlineStr"/>
      <c r="U1235">
        <f>HYPERLINK("https://klasma.github.io/Logging_2303/knärot/A 21331-2025 karta knärot.png", "A 21331-2025")</f>
        <v/>
      </c>
      <c r="V1235">
        <f>HYPERLINK("https://klasma.github.io/Logging_2303/klagomål/A 21331-2025 FSC-klagomål.docx", "A 21331-2025")</f>
        <v/>
      </c>
      <c r="W1235">
        <f>HYPERLINK("https://klasma.github.io/Logging_2303/klagomålsmail/A 21331-2025 FSC-klagomål mail.docx", "A 21331-2025")</f>
        <v/>
      </c>
      <c r="X1235">
        <f>HYPERLINK("https://klasma.github.io/Logging_2303/tillsyn/A 21331-2025 tillsynsbegäran.docx", "A 21331-2025")</f>
        <v/>
      </c>
      <c r="Y1235">
        <f>HYPERLINK("https://klasma.github.io/Logging_2303/tillsynsmail/A 21331-2025 tillsynsbegäran mail.docx", "A 21331-2025")</f>
        <v/>
      </c>
    </row>
    <row r="1236" ht="15" customHeight="1">
      <c r="A1236" t="inlineStr">
        <is>
          <t>A 21214-2025</t>
        </is>
      </c>
      <c r="B1236" s="1" t="n">
        <v>45779.49025462963</v>
      </c>
      <c r="C1236" s="1" t="n">
        <v>46051</v>
      </c>
      <c r="D1236" t="inlineStr">
        <is>
          <t>JÄMTLANDS LÄN</t>
        </is>
      </c>
      <c r="E1236" t="inlineStr">
        <is>
          <t>RAGUNDA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22941-2024</t>
        </is>
      </c>
      <c r="B1237" s="1" t="n">
        <v>45448.94520833333</v>
      </c>
      <c r="C1237" s="1" t="n">
        <v>46051</v>
      </c>
      <c r="D1237" t="inlineStr">
        <is>
          <t>JÄMTLANDS LÄN</t>
        </is>
      </c>
      <c r="E1237" t="inlineStr">
        <is>
          <t>RAGUNDA</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44881-2023</t>
        </is>
      </c>
      <c r="B1238" s="1" t="n">
        <v>45187</v>
      </c>
      <c r="C1238" s="1" t="n">
        <v>46051</v>
      </c>
      <c r="D1238" t="inlineStr">
        <is>
          <t>JÄMTLANDS LÄN</t>
        </is>
      </c>
      <c r="E1238" t="inlineStr">
        <is>
          <t>RAGUNDA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60629-2023</t>
        </is>
      </c>
      <c r="B1239" s="1" t="n">
        <v>45259</v>
      </c>
      <c r="C1239" s="1" t="n">
        <v>46051</v>
      </c>
      <c r="D1239" t="inlineStr">
        <is>
          <t>JÄMTLANDS LÄN</t>
        </is>
      </c>
      <c r="E1239" t="inlineStr">
        <is>
          <t>RAGUNDA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57889-2024</t>
        </is>
      </c>
      <c r="B1240" s="1" t="n">
        <v>45631.46665509259</v>
      </c>
      <c r="C1240" s="1" t="n">
        <v>46051</v>
      </c>
      <c r="D1240" t="inlineStr">
        <is>
          <t>JÄMTLANDS LÄN</t>
        </is>
      </c>
      <c r="E1240" t="inlineStr">
        <is>
          <t>RAGUNDA</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22388-2025</t>
        </is>
      </c>
      <c r="B1241" s="1" t="n">
        <v>45786.51077546296</v>
      </c>
      <c r="C1241" s="1" t="n">
        <v>46051</v>
      </c>
      <c r="D1241" t="inlineStr">
        <is>
          <t>JÄMTLANDS LÄN</t>
        </is>
      </c>
      <c r="E1241" t="inlineStr">
        <is>
          <t>RAGUNDA</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22898-2025</t>
        </is>
      </c>
      <c r="B1242" s="1" t="n">
        <v>45790.40670138889</v>
      </c>
      <c r="C1242" s="1" t="n">
        <v>46051</v>
      </c>
      <c r="D1242" t="inlineStr">
        <is>
          <t>JÄMTLANDS LÄN</t>
        </is>
      </c>
      <c r="E1242" t="inlineStr">
        <is>
          <t>RAGUNDA</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23405-2025</t>
        </is>
      </c>
      <c r="B1243" s="1" t="n">
        <v>45792.34527777778</v>
      </c>
      <c r="C1243" s="1" t="n">
        <v>46051</v>
      </c>
      <c r="D1243" t="inlineStr">
        <is>
          <t>JÄMTLANDS LÄN</t>
        </is>
      </c>
      <c r="E1243" t="inlineStr">
        <is>
          <t>RAGUNDA</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23654-2025</t>
        </is>
      </c>
      <c r="B1244" s="1" t="n">
        <v>45792.71905092592</v>
      </c>
      <c r="C1244" s="1" t="n">
        <v>46051</v>
      </c>
      <c r="D1244" t="inlineStr">
        <is>
          <t>JÄMTLANDS LÄN</t>
        </is>
      </c>
      <c r="E1244" t="inlineStr">
        <is>
          <t>RAGUNDA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23507-2025</t>
        </is>
      </c>
      <c r="B1245" s="1" t="n">
        <v>45792.49023148148</v>
      </c>
      <c r="C1245" s="1" t="n">
        <v>46051</v>
      </c>
      <c r="D1245" t="inlineStr">
        <is>
          <t>JÄMTLANDS LÄN</t>
        </is>
      </c>
      <c r="E1245" t="inlineStr">
        <is>
          <t>RAGUNDA</t>
        </is>
      </c>
      <c r="F1245" t="inlineStr">
        <is>
          <t>SCA</t>
        </is>
      </c>
      <c r="G1245" t="n">
        <v>16.4</v>
      </c>
      <c r="H1245" t="n">
        <v>0</v>
      </c>
      <c r="I1245" t="n">
        <v>0</v>
      </c>
      <c r="J1245" t="n">
        <v>0</v>
      </c>
      <c r="K1245" t="n">
        <v>0</v>
      </c>
      <c r="L1245" t="n">
        <v>0</v>
      </c>
      <c r="M1245" t="n">
        <v>0</v>
      </c>
      <c r="N1245" t="n">
        <v>0</v>
      </c>
      <c r="O1245" t="n">
        <v>0</v>
      </c>
      <c r="P1245" t="n">
        <v>0</v>
      </c>
      <c r="Q1245" t="n">
        <v>0</v>
      </c>
      <c r="R1245" s="2" t="inlineStr"/>
    </row>
    <row r="1246" ht="15" customHeight="1">
      <c r="A1246" t="inlineStr">
        <is>
          <t>A 23586-2025</t>
        </is>
      </c>
      <c r="B1246" s="1" t="n">
        <v>45792.63584490741</v>
      </c>
      <c r="C1246" s="1" t="n">
        <v>46051</v>
      </c>
      <c r="D1246" t="inlineStr">
        <is>
          <t>JÄMTLANDS LÄN</t>
        </is>
      </c>
      <c r="E1246" t="inlineStr">
        <is>
          <t>RAGUNDA</t>
        </is>
      </c>
      <c r="F1246" t="inlineStr">
        <is>
          <t>SCA</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23413-2025</t>
        </is>
      </c>
      <c r="B1247" s="1" t="n">
        <v>45792.34606481482</v>
      </c>
      <c r="C1247" s="1" t="n">
        <v>46051</v>
      </c>
      <c r="D1247" t="inlineStr">
        <is>
          <t>JÄMTLANDS LÄN</t>
        </is>
      </c>
      <c r="E1247" t="inlineStr">
        <is>
          <t>RAGUNDA</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23253-2025</t>
        </is>
      </c>
      <c r="B1248" s="1" t="n">
        <v>45791.53238425926</v>
      </c>
      <c r="C1248" s="1" t="n">
        <v>46051</v>
      </c>
      <c r="D1248" t="inlineStr">
        <is>
          <t>JÄMTLANDS LÄN</t>
        </is>
      </c>
      <c r="E1248" t="inlineStr">
        <is>
          <t>RAGUNDA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18284-2025</t>
        </is>
      </c>
      <c r="B1249" s="1" t="n">
        <v>45762.39876157408</v>
      </c>
      <c r="C1249" s="1" t="n">
        <v>46051</v>
      </c>
      <c r="D1249" t="inlineStr">
        <is>
          <t>JÄMTLANDS LÄN</t>
        </is>
      </c>
      <c r="E1249" t="inlineStr">
        <is>
          <t>RAGUNDA</t>
        </is>
      </c>
      <c r="G1249" t="n">
        <v>0.2</v>
      </c>
      <c r="H1249" t="n">
        <v>0</v>
      </c>
      <c r="I1249" t="n">
        <v>0</v>
      </c>
      <c r="J1249" t="n">
        <v>0</v>
      </c>
      <c r="K1249" t="n">
        <v>0</v>
      </c>
      <c r="L1249" t="n">
        <v>0</v>
      </c>
      <c r="M1249" t="n">
        <v>0</v>
      </c>
      <c r="N1249" t="n">
        <v>0</v>
      </c>
      <c r="O1249" t="n">
        <v>0</v>
      </c>
      <c r="P1249" t="n">
        <v>0</v>
      </c>
      <c r="Q1249" t="n">
        <v>0</v>
      </c>
      <c r="R1249" s="2" t="inlineStr"/>
      <c r="U1249">
        <f>HYPERLINK("https://klasma.github.io/Logging_2303/knärot/A 18284-2025 karta knärot.png", "A 18284-2025")</f>
        <v/>
      </c>
      <c r="V1249">
        <f>HYPERLINK("https://klasma.github.io/Logging_2303/klagomål/A 18284-2025 FSC-klagomål.docx", "A 18284-2025")</f>
        <v/>
      </c>
      <c r="W1249">
        <f>HYPERLINK("https://klasma.github.io/Logging_2303/klagomålsmail/A 18284-2025 FSC-klagomål mail.docx", "A 18284-2025")</f>
        <v/>
      </c>
      <c r="X1249">
        <f>HYPERLINK("https://klasma.github.io/Logging_2303/tillsyn/A 18284-2025 tillsynsbegäran.docx", "A 18284-2025")</f>
        <v/>
      </c>
      <c r="Y1249">
        <f>HYPERLINK("https://klasma.github.io/Logging_2303/tillsynsmail/A 18284-2025 tillsynsbegäran mail.docx", "A 18284-2025")</f>
        <v/>
      </c>
    </row>
    <row r="1250" ht="15" customHeight="1">
      <c r="A1250" t="inlineStr">
        <is>
          <t>A 19263-2025</t>
        </is>
      </c>
      <c r="B1250" s="1" t="n">
        <v>45769.51075231482</v>
      </c>
      <c r="C1250" s="1" t="n">
        <v>46051</v>
      </c>
      <c r="D1250" t="inlineStr">
        <is>
          <t>JÄMTLANDS LÄN</t>
        </is>
      </c>
      <c r="E1250" t="inlineStr">
        <is>
          <t>RAGUNDA</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23840-2025</t>
        </is>
      </c>
      <c r="B1251" s="1" t="n">
        <v>45793</v>
      </c>
      <c r="C1251" s="1" t="n">
        <v>46051</v>
      </c>
      <c r="D1251" t="inlineStr">
        <is>
          <t>JÄMTLANDS LÄN</t>
        </is>
      </c>
      <c r="E1251" t="inlineStr">
        <is>
          <t>RAGUNDA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24158-2025</t>
        </is>
      </c>
      <c r="B1252" s="1" t="n">
        <v>45796</v>
      </c>
      <c r="C1252" s="1" t="n">
        <v>46051</v>
      </c>
      <c r="D1252" t="inlineStr">
        <is>
          <t>JÄMTLANDS LÄN</t>
        </is>
      </c>
      <c r="E1252" t="inlineStr">
        <is>
          <t>RAGUNDA</t>
        </is>
      </c>
      <c r="G1252" t="n">
        <v>2.9</v>
      </c>
      <c r="H1252" t="n">
        <v>0</v>
      </c>
      <c r="I1252" t="n">
        <v>0</v>
      </c>
      <c r="J1252" t="n">
        <v>0</v>
      </c>
      <c r="K1252" t="n">
        <v>0</v>
      </c>
      <c r="L1252" t="n">
        <v>0</v>
      </c>
      <c r="M1252" t="n">
        <v>0</v>
      </c>
      <c r="N1252" t="n">
        <v>0</v>
      </c>
      <c r="O1252" t="n">
        <v>0</v>
      </c>
      <c r="P1252" t="n">
        <v>0</v>
      </c>
      <c r="Q1252" t="n">
        <v>0</v>
      </c>
      <c r="R1252" s="2" t="inlineStr"/>
      <c r="U1252">
        <f>HYPERLINK("https://klasma.github.io/Logging_2303/knärot/A 24158-2025 karta knärot.png", "A 24158-2025")</f>
        <v/>
      </c>
      <c r="V1252">
        <f>HYPERLINK("https://klasma.github.io/Logging_2303/klagomål/A 24158-2025 FSC-klagomål.docx", "A 24158-2025")</f>
        <v/>
      </c>
      <c r="W1252">
        <f>HYPERLINK("https://klasma.github.io/Logging_2303/klagomålsmail/A 24158-2025 FSC-klagomål mail.docx", "A 24158-2025")</f>
        <v/>
      </c>
      <c r="X1252">
        <f>HYPERLINK("https://klasma.github.io/Logging_2303/tillsyn/A 24158-2025 tillsynsbegäran.docx", "A 24158-2025")</f>
        <v/>
      </c>
      <c r="Y1252">
        <f>HYPERLINK("https://klasma.github.io/Logging_2303/tillsynsmail/A 24158-2025 tillsynsbegäran mail.docx", "A 24158-2025")</f>
        <v/>
      </c>
    </row>
    <row r="1253" ht="15" customHeight="1">
      <c r="A1253" t="inlineStr">
        <is>
          <t>A 24161-2025</t>
        </is>
      </c>
      <c r="B1253" s="1" t="n">
        <v>45796</v>
      </c>
      <c r="C1253" s="1" t="n">
        <v>46051</v>
      </c>
      <c r="D1253" t="inlineStr">
        <is>
          <t>JÄMTLANDS LÄN</t>
        </is>
      </c>
      <c r="E1253" t="inlineStr">
        <is>
          <t>RAGUNDA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23841-2025</t>
        </is>
      </c>
      <c r="B1254" s="1" t="n">
        <v>45793.61523148148</v>
      </c>
      <c r="C1254" s="1" t="n">
        <v>46051</v>
      </c>
      <c r="D1254" t="inlineStr">
        <is>
          <t>JÄMTLANDS LÄN</t>
        </is>
      </c>
      <c r="E1254" t="inlineStr">
        <is>
          <t>RAGUNDA</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24159-2025</t>
        </is>
      </c>
      <c r="B1255" s="1" t="n">
        <v>45796</v>
      </c>
      <c r="C1255" s="1" t="n">
        <v>46051</v>
      </c>
      <c r="D1255" t="inlineStr">
        <is>
          <t>JÄMTLANDS LÄN</t>
        </is>
      </c>
      <c r="E1255" t="inlineStr">
        <is>
          <t>RAGUNDA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21524-2024</t>
        </is>
      </c>
      <c r="B1256" s="1" t="n">
        <v>45441</v>
      </c>
      <c r="C1256" s="1" t="n">
        <v>46051</v>
      </c>
      <c r="D1256" t="inlineStr">
        <is>
          <t>JÄMTLANDS LÄN</t>
        </is>
      </c>
      <c r="E1256" t="inlineStr">
        <is>
          <t>RAGUNDA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62407-2023</t>
        </is>
      </c>
      <c r="B1257" s="1" t="n">
        <v>45266</v>
      </c>
      <c r="C1257" s="1" t="n">
        <v>46051</v>
      </c>
      <c r="D1257" t="inlineStr">
        <is>
          <t>JÄMTLANDS LÄN</t>
        </is>
      </c>
      <c r="E1257" t="inlineStr">
        <is>
          <t>RAGUNDA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38191-2024</t>
        </is>
      </c>
      <c r="B1258" s="1" t="n">
        <v>45545.49078703704</v>
      </c>
      <c r="C1258" s="1" t="n">
        <v>46051</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24391-2025</t>
        </is>
      </c>
      <c r="B1259" s="1" t="n">
        <v>45797.63627314815</v>
      </c>
      <c r="C1259" s="1" t="n">
        <v>46051</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25376-2025</t>
        </is>
      </c>
      <c r="B1260" s="1" t="n">
        <v>45800.63619212963</v>
      </c>
      <c r="C1260" s="1" t="n">
        <v>46051</v>
      </c>
      <c r="D1260" t="inlineStr">
        <is>
          <t>JÄMTLANDS LÄN</t>
        </is>
      </c>
      <c r="E1260" t="inlineStr">
        <is>
          <t>RAGUNDA</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25350-2025</t>
        </is>
      </c>
      <c r="B1261" s="1" t="n">
        <v>45800</v>
      </c>
      <c r="C1261" s="1" t="n">
        <v>46051</v>
      </c>
      <c r="D1261" t="inlineStr">
        <is>
          <t>JÄMTLANDS LÄN</t>
        </is>
      </c>
      <c r="E1261" t="inlineStr">
        <is>
          <t>RAGUNDA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25152-2025</t>
        </is>
      </c>
      <c r="B1262" s="1" t="n">
        <v>45800.42743055556</v>
      </c>
      <c r="C1262" s="1" t="n">
        <v>46051</v>
      </c>
      <c r="D1262" t="inlineStr">
        <is>
          <t>JÄMTLANDS LÄN</t>
        </is>
      </c>
      <c r="E1262" t="inlineStr">
        <is>
          <t>RAGUNDA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25175-2025</t>
        </is>
      </c>
      <c r="B1263" s="1" t="n">
        <v>45800.44822916666</v>
      </c>
      <c r="C1263" s="1" t="n">
        <v>46051</v>
      </c>
      <c r="D1263" t="inlineStr">
        <is>
          <t>JÄMTLANDS LÄN</t>
        </is>
      </c>
      <c r="E1263" t="inlineStr">
        <is>
          <t>RAGUNDA</t>
        </is>
      </c>
      <c r="F1263" t="inlineStr">
        <is>
          <t>SCA</t>
        </is>
      </c>
      <c r="G1263" t="n">
        <v>4.3</v>
      </c>
      <c r="H1263" t="n">
        <v>0</v>
      </c>
      <c r="I1263" t="n">
        <v>0</v>
      </c>
      <c r="J1263" t="n">
        <v>0</v>
      </c>
      <c r="K1263" t="n">
        <v>0</v>
      </c>
      <c r="L1263" t="n">
        <v>0</v>
      </c>
      <c r="M1263" t="n">
        <v>0</v>
      </c>
      <c r="N1263" t="n">
        <v>0</v>
      </c>
      <c r="O1263" t="n">
        <v>0</v>
      </c>
      <c r="P1263" t="n">
        <v>0</v>
      </c>
      <c r="Q1263" t="n">
        <v>0</v>
      </c>
      <c r="R1263" s="2" t="inlineStr"/>
    </row>
    <row r="1264">
      <c r="A1264" t="inlineStr">
        <is>
          <t>A 25177-2025</t>
        </is>
      </c>
      <c r="B1264" s="1" t="n">
        <v>45800.44862268519</v>
      </c>
      <c r="C1264" s="1" t="n">
        <v>46051</v>
      </c>
      <c r="D1264" t="inlineStr">
        <is>
          <t>JÄMTLANDS LÄN</t>
        </is>
      </c>
      <c r="E1264" t="inlineStr">
        <is>
          <t>RAGUNDA</t>
        </is>
      </c>
      <c r="F1264" t="inlineStr">
        <is>
          <t>SCA</t>
        </is>
      </c>
      <c r="G1264" t="n">
        <v>3.3</v>
      </c>
      <c r="H1264" t="n">
        <v>0</v>
      </c>
      <c r="I1264" t="n">
        <v>0</v>
      </c>
      <c r="J1264" t="n">
        <v>0</v>
      </c>
      <c r="K1264" t="n">
        <v>0</v>
      </c>
      <c r="L1264" t="n">
        <v>0</v>
      </c>
      <c r="M1264" t="n">
        <v>0</v>
      </c>
      <c r="N1264" t="n">
        <v>0</v>
      </c>
      <c r="O1264" t="n">
        <v>0</v>
      </c>
      <c r="P1264" t="n">
        <v>0</v>
      </c>
      <c r="Q1264" t="n">
        <v>0</v>
      </c>
      <c r="R1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2026-01-29T11:01:09Z</dcterms:created>
  <dcterms:modified xmlns:dcterms="http://purl.org/dc/terms/" xmlns:xsi="http://www.w3.org/2001/XMLSchema-instance" xsi:type="dcterms:W3CDTF">2026-01-29T11:01:10Z</dcterms:modified>
</cp:coreProperties>
</file>