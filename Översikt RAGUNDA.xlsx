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46102</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46102</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46102</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46102</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46102</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46102</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46102</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46102</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46102</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46102</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46102</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46102</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46102</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46102</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46102</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46102</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46102</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46102</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46102</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46102</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46102</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46102</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46102</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46102</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46102</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46102</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46102</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4591-2024</t>
        </is>
      </c>
      <c r="B29" s="1" t="n">
        <v>45327</v>
      </c>
      <c r="C29" s="1" t="n">
        <v>46102</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46102</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13483-2022</t>
        </is>
      </c>
      <c r="B31" s="1" t="n">
        <v>44645.99859953704</v>
      </c>
      <c r="C31" s="1" t="n">
        <v>46102</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46102</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58876-2025</t>
        </is>
      </c>
      <c r="B33" s="1" t="n">
        <v>45987.46929398148</v>
      </c>
      <c r="C33" s="1" t="n">
        <v>46102</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32068-2024</t>
        </is>
      </c>
      <c r="B34" s="1" t="n">
        <v>45510</v>
      </c>
      <c r="C34" s="1" t="n">
        <v>46102</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46102</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25016-2025</t>
        </is>
      </c>
      <c r="B36" s="1" t="n">
        <v>45799.63574074074</v>
      </c>
      <c r="C36" s="1" t="n">
        <v>46102</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46102</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2316-2026</t>
        </is>
      </c>
      <c r="B38" s="1" t="n">
        <v>46036.59826388889</v>
      </c>
      <c r="C38" s="1" t="n">
        <v>46102</v>
      </c>
      <c r="D38" t="inlineStr">
        <is>
          <t>JÄMTLANDS LÄN</t>
        </is>
      </c>
      <c r="E38" t="inlineStr">
        <is>
          <t>RAGUNDA</t>
        </is>
      </c>
      <c r="G38" t="n">
        <v>5.1</v>
      </c>
      <c r="H38" t="n">
        <v>3</v>
      </c>
      <c r="I38" t="n">
        <v>0</v>
      </c>
      <c r="J38" t="n">
        <v>9</v>
      </c>
      <c r="K38" t="n">
        <v>0</v>
      </c>
      <c r="L38" t="n">
        <v>0</v>
      </c>
      <c r="M38" t="n">
        <v>0</v>
      </c>
      <c r="N38" t="n">
        <v>0</v>
      </c>
      <c r="O38" t="n">
        <v>9</v>
      </c>
      <c r="P38" t="n">
        <v>0</v>
      </c>
      <c r="Q38" t="n">
        <v>9</v>
      </c>
      <c r="R38" s="2" t="inlineStr">
        <is>
          <t>Garnlav
Harticka
Kolflarnlav
Liten svartspik
Lunglav
Talltita
Tretåig hackspett
Utter
Vitgrynig nållav</t>
        </is>
      </c>
      <c r="S38">
        <f>HYPERLINK("https://klasma.github.io/Logging_2303/artfynd/A 2316-2026 artfynd.xlsx", "A 2316-2026")</f>
        <v/>
      </c>
      <c r="T38">
        <f>HYPERLINK("https://klasma.github.io/Logging_2303/kartor/A 2316-2026 karta.png", "A 2316-2026")</f>
        <v/>
      </c>
      <c r="V38">
        <f>HYPERLINK("https://klasma.github.io/Logging_2303/klagomål/A 2316-2026 FSC-klagomål.docx", "A 2316-2026")</f>
        <v/>
      </c>
      <c r="W38">
        <f>HYPERLINK("https://klasma.github.io/Logging_2303/klagomålsmail/A 2316-2026 FSC-klagomål mail.docx", "A 2316-2026")</f>
        <v/>
      </c>
      <c r="X38">
        <f>HYPERLINK("https://klasma.github.io/Logging_2303/tillsyn/A 2316-2026 tillsynsbegäran.docx", "A 2316-2026")</f>
        <v/>
      </c>
      <c r="Y38">
        <f>HYPERLINK("https://klasma.github.io/Logging_2303/tillsynsmail/A 2316-2026 tillsynsbegäran mail.docx", "A 2316-2026")</f>
        <v/>
      </c>
      <c r="Z38">
        <f>HYPERLINK("https://klasma.github.io/Logging_2303/fåglar/A 2316-2026 prioriterade fågelarter.docx", "A 2316-2026")</f>
        <v/>
      </c>
    </row>
    <row r="39" ht="15" customHeight="1">
      <c r="A39" t="inlineStr">
        <is>
          <t>A 42393-2025</t>
        </is>
      </c>
      <c r="B39" s="1" t="n">
        <v>45905</v>
      </c>
      <c r="C39" s="1" t="n">
        <v>46102</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30876-2025</t>
        </is>
      </c>
      <c r="B40" s="1" t="n">
        <v>45832.34461805555</v>
      </c>
      <c r="C40" s="1" t="n">
        <v>46102</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45008-2023</t>
        </is>
      </c>
      <c r="B41" s="1" t="n">
        <v>45190.96092592592</v>
      </c>
      <c r="C41" s="1" t="n">
        <v>46102</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46102</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46102</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46102</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46102</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60129-2025</t>
        </is>
      </c>
      <c r="B46" s="1" t="n">
        <v>45994.34461805555</v>
      </c>
      <c r="C46" s="1" t="n">
        <v>46102</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46102</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46102</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46102</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51037-2025</t>
        </is>
      </c>
      <c r="B50" s="1" t="n">
        <v>45947.40729166667</v>
      </c>
      <c r="C50" s="1" t="n">
        <v>46102</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46102</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46102</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46102</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46102</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46102</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46102</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46102</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46102</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46102</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26750-2025</t>
        </is>
      </c>
      <c r="B60" s="1" t="n">
        <v>45810.55061342593</v>
      </c>
      <c r="C60" s="1" t="n">
        <v>46102</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46102</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24169-2021</t>
        </is>
      </c>
      <c r="B62" s="1" t="n">
        <v>44336</v>
      </c>
      <c r="C62" s="1" t="n">
        <v>46102</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46102</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46102</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46102</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46102</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46102</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9197-2026</t>
        </is>
      </c>
      <c r="B68" s="1" t="n">
        <v>46070.40322916667</v>
      </c>
      <c r="C68" s="1" t="n">
        <v>46102</v>
      </c>
      <c r="D68" t="inlineStr">
        <is>
          <t>JÄMTLANDS LÄN</t>
        </is>
      </c>
      <c r="E68" t="inlineStr">
        <is>
          <t>RAGUNDA</t>
        </is>
      </c>
      <c r="G68" t="n">
        <v>3.3</v>
      </c>
      <c r="H68" t="n">
        <v>5</v>
      </c>
      <c r="I68" t="n">
        <v>0</v>
      </c>
      <c r="J68" t="n">
        <v>4</v>
      </c>
      <c r="K68" t="n">
        <v>0</v>
      </c>
      <c r="L68" t="n">
        <v>0</v>
      </c>
      <c r="M68" t="n">
        <v>0</v>
      </c>
      <c r="N68" t="n">
        <v>0</v>
      </c>
      <c r="O68" t="n">
        <v>4</v>
      </c>
      <c r="P68" t="n">
        <v>0</v>
      </c>
      <c r="Q68" t="n">
        <v>6</v>
      </c>
      <c r="R68" s="2" t="inlineStr">
        <is>
          <t>Granticka
Järpe
Spillkråka
Talltita
Grönsiska
Kungsfågel</t>
        </is>
      </c>
      <c r="S68">
        <f>HYPERLINK("https://klasma.github.io/Logging_2303/artfynd/A 9197-2026 artfynd.xlsx", "A 9197-2026")</f>
        <v/>
      </c>
      <c r="T68">
        <f>HYPERLINK("https://klasma.github.io/Logging_2303/kartor/A 9197-2026 karta.png", "A 9197-2026")</f>
        <v/>
      </c>
      <c r="V68">
        <f>HYPERLINK("https://klasma.github.io/Logging_2303/klagomål/A 9197-2026 FSC-klagomål.docx", "A 9197-2026")</f>
        <v/>
      </c>
      <c r="W68">
        <f>HYPERLINK("https://klasma.github.io/Logging_2303/klagomålsmail/A 9197-2026 FSC-klagomål mail.docx", "A 9197-2026")</f>
        <v/>
      </c>
      <c r="X68">
        <f>HYPERLINK("https://klasma.github.io/Logging_2303/tillsyn/A 9197-2026 tillsynsbegäran.docx", "A 9197-2026")</f>
        <v/>
      </c>
      <c r="Y68">
        <f>HYPERLINK("https://klasma.github.io/Logging_2303/tillsynsmail/A 9197-2026 tillsynsbegäran mail.docx", "A 9197-2026")</f>
        <v/>
      </c>
      <c r="Z68">
        <f>HYPERLINK("https://klasma.github.io/Logging_2303/fåglar/A 9197-2026 prioriterade fågelarter.docx", "A 9197-2026")</f>
        <v/>
      </c>
    </row>
    <row r="69" ht="15" customHeight="1">
      <c r="A69" t="inlineStr">
        <is>
          <t>A 49291-2025</t>
        </is>
      </c>
      <c r="B69" s="1" t="n">
        <v>45938.53188657408</v>
      </c>
      <c r="C69" s="1" t="n">
        <v>46102</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53021-2022</t>
        </is>
      </c>
      <c r="B70" s="1" t="n">
        <v>44875</v>
      </c>
      <c r="C70" s="1" t="n">
        <v>46102</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2193-2026</t>
        </is>
      </c>
      <c r="B71" s="1" t="n">
        <v>46036.46946759259</v>
      </c>
      <c r="C71" s="1" t="n">
        <v>46102</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30637-2024</t>
        </is>
      </c>
      <c r="B72" s="1" t="n">
        <v>45495</v>
      </c>
      <c r="C72" s="1" t="n">
        <v>46102</v>
      </c>
      <c r="D72" t="inlineStr">
        <is>
          <t>JÄMTLANDS LÄN</t>
        </is>
      </c>
      <c r="E72" t="inlineStr">
        <is>
          <t>RAGUNDA</t>
        </is>
      </c>
      <c r="G72" t="n">
        <v>4.1</v>
      </c>
      <c r="H72" t="n">
        <v>5</v>
      </c>
      <c r="I72" t="n">
        <v>0</v>
      </c>
      <c r="J72" t="n">
        <v>4</v>
      </c>
      <c r="K72" t="n">
        <v>1</v>
      </c>
      <c r="L72" t="n">
        <v>0</v>
      </c>
      <c r="M72" t="n">
        <v>0</v>
      </c>
      <c r="N72" t="n">
        <v>0</v>
      </c>
      <c r="O72" t="n">
        <v>5</v>
      </c>
      <c r="P72" t="n">
        <v>1</v>
      </c>
      <c r="Q72" t="n">
        <v>6</v>
      </c>
      <c r="R72" s="2" t="inlineStr">
        <is>
          <t>Knärot
Lunglav
Spillkråka
Talltita
Tretåig hackspett
Vanlig groda</t>
        </is>
      </c>
      <c r="S72">
        <f>HYPERLINK("https://klasma.github.io/Logging_2303/artfynd/A 30637-2024 artfynd.xlsx", "A 30637-2024")</f>
        <v/>
      </c>
      <c r="T72">
        <f>HYPERLINK("https://klasma.github.io/Logging_2303/kartor/A 30637-2024 karta.png", "A 30637-2024")</f>
        <v/>
      </c>
      <c r="U72">
        <f>HYPERLINK("https://klasma.github.io/Logging_2303/knärot/A 30637-2024 karta knärot.png", "A 30637-2024")</f>
        <v/>
      </c>
      <c r="V72">
        <f>HYPERLINK("https://klasma.github.io/Logging_2303/klagomål/A 30637-2024 FSC-klagomål.docx", "A 30637-2024")</f>
        <v/>
      </c>
      <c r="W72">
        <f>HYPERLINK("https://klasma.github.io/Logging_2303/klagomålsmail/A 30637-2024 FSC-klagomål mail.docx", "A 30637-2024")</f>
        <v/>
      </c>
      <c r="X72">
        <f>HYPERLINK("https://klasma.github.io/Logging_2303/tillsyn/A 30637-2024 tillsynsbegäran.docx", "A 30637-2024")</f>
        <v/>
      </c>
      <c r="Y72">
        <f>HYPERLINK("https://klasma.github.io/Logging_2303/tillsynsmail/A 30637-2024 tillsynsbegäran mail.docx", "A 30637-2024")</f>
        <v/>
      </c>
      <c r="Z72">
        <f>HYPERLINK("https://klasma.github.io/Logging_2303/fåglar/A 30637-2024 prioriterade fågelarter.docx", "A 30637-2024")</f>
        <v/>
      </c>
    </row>
    <row r="73" ht="15" customHeight="1">
      <c r="A73" t="inlineStr">
        <is>
          <t>A 47115-2025</t>
        </is>
      </c>
      <c r="B73" s="1" t="n">
        <v>45929</v>
      </c>
      <c r="C73" s="1" t="n">
        <v>46102</v>
      </c>
      <c r="D73" t="inlineStr">
        <is>
          <t>JÄMTLANDS LÄN</t>
        </is>
      </c>
      <c r="E73" t="inlineStr">
        <is>
          <t>RAGUNDA</t>
        </is>
      </c>
      <c r="G73" t="n">
        <v>6.4</v>
      </c>
      <c r="H73" t="n">
        <v>4</v>
      </c>
      <c r="I73" t="n">
        <v>0</v>
      </c>
      <c r="J73" t="n">
        <v>3</v>
      </c>
      <c r="K73" t="n">
        <v>2</v>
      </c>
      <c r="L73" t="n">
        <v>0</v>
      </c>
      <c r="M73" t="n">
        <v>0</v>
      </c>
      <c r="N73" t="n">
        <v>0</v>
      </c>
      <c r="O73" t="n">
        <v>5</v>
      </c>
      <c r="P73" t="n">
        <v>2</v>
      </c>
      <c r="Q73" t="n">
        <v>6</v>
      </c>
      <c r="R73" s="2" t="inlineStr">
        <is>
          <t>Doftticka
Knärot
Garnlav
Lunglav
Tretåig hackspett
Lavskrika</t>
        </is>
      </c>
      <c r="S73">
        <f>HYPERLINK("https://klasma.github.io/Logging_2303/artfynd/A 47115-2025 artfynd.xlsx", "A 47115-2025")</f>
        <v/>
      </c>
      <c r="T73">
        <f>HYPERLINK("https://klasma.github.io/Logging_2303/kartor/A 47115-2025 karta.png", "A 47115-2025")</f>
        <v/>
      </c>
      <c r="U73">
        <f>HYPERLINK("https://klasma.github.io/Logging_2303/knärot/A 47115-2025 karta knärot.png", "A 47115-2025")</f>
        <v/>
      </c>
      <c r="V73">
        <f>HYPERLINK("https://klasma.github.io/Logging_2303/klagomål/A 47115-2025 FSC-klagomål.docx", "A 47115-2025")</f>
        <v/>
      </c>
      <c r="W73">
        <f>HYPERLINK("https://klasma.github.io/Logging_2303/klagomålsmail/A 47115-2025 FSC-klagomål mail.docx", "A 47115-2025")</f>
        <v/>
      </c>
      <c r="X73">
        <f>HYPERLINK("https://klasma.github.io/Logging_2303/tillsyn/A 47115-2025 tillsynsbegäran.docx", "A 47115-2025")</f>
        <v/>
      </c>
      <c r="Y73">
        <f>HYPERLINK("https://klasma.github.io/Logging_2303/tillsynsmail/A 47115-2025 tillsynsbegäran mail.docx", "A 47115-2025")</f>
        <v/>
      </c>
      <c r="Z73">
        <f>HYPERLINK("https://klasma.github.io/Logging_2303/fåglar/A 47115-2025 prioriterade fågelarter.docx", "A 47115-2025")</f>
        <v/>
      </c>
    </row>
    <row r="74" ht="15" customHeight="1">
      <c r="A74" t="inlineStr">
        <is>
          <t>A 19402-2025</t>
        </is>
      </c>
      <c r="B74" s="1" t="n">
        <v>45769.67778935185</v>
      </c>
      <c r="C74" s="1" t="n">
        <v>46102</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30884-2025</t>
        </is>
      </c>
      <c r="B75" s="1" t="n">
        <v>45832.34564814815</v>
      </c>
      <c r="C75" s="1" t="n">
        <v>46102</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11828-2023</t>
        </is>
      </c>
      <c r="B76" s="1" t="n">
        <v>44994</v>
      </c>
      <c r="C76" s="1" t="n">
        <v>46102</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36276-2025</t>
        </is>
      </c>
      <c r="B77" s="1" t="n">
        <v>45867.63619212963</v>
      </c>
      <c r="C77" s="1" t="n">
        <v>46102</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24431-2024</t>
        </is>
      </c>
      <c r="B78" s="1" t="n">
        <v>45457</v>
      </c>
      <c r="C78" s="1" t="n">
        <v>46102</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46102</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46102</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46102</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46102</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46102</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46102</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46102</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39365-2024</t>
        </is>
      </c>
      <c r="B86" s="1" t="n">
        <v>45551.46912037037</v>
      </c>
      <c r="C86" s="1" t="n">
        <v>46102</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57073-2023</t>
        </is>
      </c>
      <c r="B87" s="1" t="n">
        <v>45244</v>
      </c>
      <c r="C87" s="1" t="n">
        <v>46102</v>
      </c>
      <c r="D87" t="inlineStr">
        <is>
          <t>JÄMTLANDS LÄN</t>
        </is>
      </c>
      <c r="E87" t="inlineStr">
        <is>
          <t>RAGUNDA</t>
        </is>
      </c>
      <c r="F87" t="inlineStr">
        <is>
          <t>SCA</t>
        </is>
      </c>
      <c r="G87" t="n">
        <v>4.1</v>
      </c>
      <c r="H87" t="n">
        <v>1</v>
      </c>
      <c r="I87" t="n">
        <v>0</v>
      </c>
      <c r="J87" t="n">
        <v>4</v>
      </c>
      <c r="K87" t="n">
        <v>1</v>
      </c>
      <c r="L87" t="n">
        <v>0</v>
      </c>
      <c r="M87" t="n">
        <v>0</v>
      </c>
      <c r="N87" t="n">
        <v>0</v>
      </c>
      <c r="O87" t="n">
        <v>5</v>
      </c>
      <c r="P87" t="n">
        <v>1</v>
      </c>
      <c r="Q87" t="n">
        <v>5</v>
      </c>
      <c r="R87" s="2" t="inlineStr">
        <is>
          <t>Läderlappslav
Granticka
Lunglav
Tretåig hackspett
Ullticka</t>
        </is>
      </c>
      <c r="S87">
        <f>HYPERLINK("https://klasma.github.io/Logging_2303/artfynd/A 57073-2023 artfynd.xlsx", "A 57073-2023")</f>
        <v/>
      </c>
      <c r="T87">
        <f>HYPERLINK("https://klasma.github.io/Logging_2303/kartor/A 57073-2023 karta.png", "A 57073-2023")</f>
        <v/>
      </c>
      <c r="V87">
        <f>HYPERLINK("https://klasma.github.io/Logging_2303/klagomål/A 57073-2023 FSC-klagomål.docx", "A 57073-2023")</f>
        <v/>
      </c>
      <c r="W87">
        <f>HYPERLINK("https://klasma.github.io/Logging_2303/klagomålsmail/A 57073-2023 FSC-klagomål mail.docx", "A 57073-2023")</f>
        <v/>
      </c>
      <c r="X87">
        <f>HYPERLINK("https://klasma.github.io/Logging_2303/tillsyn/A 57073-2023 tillsynsbegäran.docx", "A 57073-2023")</f>
        <v/>
      </c>
      <c r="Y87">
        <f>HYPERLINK("https://klasma.github.io/Logging_2303/tillsynsmail/A 57073-2023 tillsynsbegäran mail.docx", "A 57073-2023")</f>
        <v/>
      </c>
      <c r="Z87">
        <f>HYPERLINK("https://klasma.github.io/Logging_2303/fåglar/A 57073-2023 prioriterade fågelarter.docx", "A 57073-2023")</f>
        <v/>
      </c>
    </row>
    <row r="88" ht="15" customHeight="1">
      <c r="A88" t="inlineStr">
        <is>
          <t>A 15244-2025</t>
        </is>
      </c>
      <c r="B88" s="1" t="n">
        <v>45744.61550925926</v>
      </c>
      <c r="C88" s="1" t="n">
        <v>46102</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27313-2024</t>
        </is>
      </c>
      <c r="B89" s="1" t="n">
        <v>45471.94623842592</v>
      </c>
      <c r="C89" s="1" t="n">
        <v>46102</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11641-2026</t>
        </is>
      </c>
      <c r="B90" s="1" t="n">
        <v>46084.50094907408</v>
      </c>
      <c r="C90" s="1" t="n">
        <v>46102</v>
      </c>
      <c r="D90" t="inlineStr">
        <is>
          <t>JÄMTLANDS LÄN</t>
        </is>
      </c>
      <c r="E90" t="inlineStr">
        <is>
          <t>RAGUNDA</t>
        </is>
      </c>
      <c r="G90" t="n">
        <v>1.8</v>
      </c>
      <c r="H90" t="n">
        <v>0</v>
      </c>
      <c r="I90" t="n">
        <v>2</v>
      </c>
      <c r="J90" t="n">
        <v>3</v>
      </c>
      <c r="K90" t="n">
        <v>0</v>
      </c>
      <c r="L90" t="n">
        <v>0</v>
      </c>
      <c r="M90" t="n">
        <v>0</v>
      </c>
      <c r="N90" t="n">
        <v>0</v>
      </c>
      <c r="O90" t="n">
        <v>3</v>
      </c>
      <c r="P90" t="n">
        <v>0</v>
      </c>
      <c r="Q90" t="n">
        <v>5</v>
      </c>
      <c r="R90" s="2" t="inlineStr">
        <is>
          <t>Lunglav
Skrovellav
Vitgrynig nållav
Bårdlav
Stuplav</t>
        </is>
      </c>
      <c r="S90">
        <f>HYPERLINK("https://klasma.github.io/Logging_2303/artfynd/A 11641-2026 artfynd.xlsx", "A 11641-2026")</f>
        <v/>
      </c>
      <c r="T90">
        <f>HYPERLINK("https://klasma.github.io/Logging_2303/kartor/A 11641-2026 karta.png", "A 11641-2026")</f>
        <v/>
      </c>
      <c r="U90">
        <f>HYPERLINK("https://klasma.github.io/Logging_2303/knärot/A 11641-2026 karta knärot.png", "A 11641-2026")</f>
        <v/>
      </c>
      <c r="V90">
        <f>HYPERLINK("https://klasma.github.io/Logging_2303/klagomål/A 11641-2026 FSC-klagomål.docx", "A 11641-2026")</f>
        <v/>
      </c>
      <c r="W90">
        <f>HYPERLINK("https://klasma.github.io/Logging_2303/klagomålsmail/A 11641-2026 FSC-klagomål mail.docx", "A 11641-2026")</f>
        <v/>
      </c>
      <c r="X90">
        <f>HYPERLINK("https://klasma.github.io/Logging_2303/tillsyn/A 11641-2026 tillsynsbegäran.docx", "A 11641-2026")</f>
        <v/>
      </c>
      <c r="Y90">
        <f>HYPERLINK("https://klasma.github.io/Logging_2303/tillsynsmail/A 11641-2026 tillsynsbegäran mail.docx", "A 11641-2026")</f>
        <v/>
      </c>
    </row>
    <row r="91" ht="15" customHeight="1">
      <c r="A91" t="inlineStr">
        <is>
          <t>A 13266-2023</t>
        </is>
      </c>
      <c r="B91" s="1" t="n">
        <v>45002.94356481481</v>
      </c>
      <c r="C91" s="1" t="n">
        <v>46102</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38169-2024</t>
        </is>
      </c>
      <c r="B92" s="1" t="n">
        <v>45545.45748842593</v>
      </c>
      <c r="C92" s="1" t="n">
        <v>46102</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46102</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30886-2025</t>
        </is>
      </c>
      <c r="B94" s="1" t="n">
        <v>45832.34578703704</v>
      </c>
      <c r="C94" s="1" t="n">
        <v>46102</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46102</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46102</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43106-2023</t>
        </is>
      </c>
      <c r="B97" s="1" t="n">
        <v>45182</v>
      </c>
      <c r="C97" s="1" t="n">
        <v>46102</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46102</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46102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46102</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46102</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46102</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46102</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12640-2024</t>
        </is>
      </c>
      <c r="B104" s="1" t="n">
        <v>45384</v>
      </c>
      <c r="C104" s="1" t="n">
        <v>46102</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46102</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32903-2024</t>
        </is>
      </c>
      <c r="B106" s="1" t="n">
        <v>45516.94723379629</v>
      </c>
      <c r="C106" s="1" t="n">
        <v>46102</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46102</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46102</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46102</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43960-2023</t>
        </is>
      </c>
      <c r="B110" s="1" t="n">
        <v>45187</v>
      </c>
      <c r="C110" s="1" t="n">
        <v>46102</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46102</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46102</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46102</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46102</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52168-2025</t>
        </is>
      </c>
      <c r="B115" s="1" t="n">
        <v>45953.365625</v>
      </c>
      <c r="C115" s="1" t="n">
        <v>46102</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2282-2026</t>
        </is>
      </c>
      <c r="B116" s="1" t="n">
        <v>46036.57798611111</v>
      </c>
      <c r="C116" s="1" t="n">
        <v>46102</v>
      </c>
      <c r="D116" t="inlineStr">
        <is>
          <t>JÄMTLANDS LÄN</t>
        </is>
      </c>
      <c r="E116" t="inlineStr">
        <is>
          <t>RAGUNDA</t>
        </is>
      </c>
      <c r="G116" t="n">
        <v>2</v>
      </c>
      <c r="H116" t="n">
        <v>1</v>
      </c>
      <c r="I116" t="n">
        <v>0</v>
      </c>
      <c r="J116" t="n">
        <v>4</v>
      </c>
      <c r="K116" t="n">
        <v>0</v>
      </c>
      <c r="L116" t="n">
        <v>0</v>
      </c>
      <c r="M116" t="n">
        <v>0</v>
      </c>
      <c r="N116" t="n">
        <v>0</v>
      </c>
      <c r="O116" t="n">
        <v>4</v>
      </c>
      <c r="P116" t="n">
        <v>0</v>
      </c>
      <c r="Q116" t="n">
        <v>4</v>
      </c>
      <c r="R116" s="2" t="inlineStr">
        <is>
          <t>Garnlav
Harticka
Lunglav
Tretåig hackspett</t>
        </is>
      </c>
      <c r="S116">
        <f>HYPERLINK("https://klasma.github.io/Logging_2303/artfynd/A 2282-2026 artfynd.xlsx", "A 2282-2026")</f>
        <v/>
      </c>
      <c r="T116">
        <f>HYPERLINK("https://klasma.github.io/Logging_2303/kartor/A 2282-2026 karta.png", "A 2282-2026")</f>
        <v/>
      </c>
      <c r="V116">
        <f>HYPERLINK("https://klasma.github.io/Logging_2303/klagomål/A 2282-2026 FSC-klagomål.docx", "A 2282-2026")</f>
        <v/>
      </c>
      <c r="W116">
        <f>HYPERLINK("https://klasma.github.io/Logging_2303/klagomålsmail/A 2282-2026 FSC-klagomål mail.docx", "A 2282-2026")</f>
        <v/>
      </c>
      <c r="X116">
        <f>HYPERLINK("https://klasma.github.io/Logging_2303/tillsyn/A 2282-2026 tillsynsbegäran.docx", "A 2282-2026")</f>
        <v/>
      </c>
      <c r="Y116">
        <f>HYPERLINK("https://klasma.github.io/Logging_2303/tillsynsmail/A 2282-2026 tillsynsbegäran mail.docx", "A 2282-2026")</f>
        <v/>
      </c>
      <c r="Z116">
        <f>HYPERLINK("https://klasma.github.io/Logging_2303/fåglar/A 2282-2026 prioriterade fågelarter.docx", "A 2282-2026")</f>
        <v/>
      </c>
    </row>
    <row r="117" ht="15" customHeight="1">
      <c r="A117" t="inlineStr">
        <is>
          <t>A 26082-2025</t>
        </is>
      </c>
      <c r="B117" s="1" t="n">
        <v>45805.34415509259</v>
      </c>
      <c r="C117" s="1" t="n">
        <v>46102</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3809-2026</t>
        </is>
      </c>
      <c r="B118" s="1" t="n">
        <v>46043.58364583334</v>
      </c>
      <c r="C118" s="1" t="n">
        <v>46102</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15836-2024</t>
        </is>
      </c>
      <c r="B119" s="1" t="n">
        <v>45404</v>
      </c>
      <c r="C119" s="1" t="n">
        <v>46102</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30465-2024</t>
        </is>
      </c>
      <c r="B120" s="1" t="n">
        <v>45491</v>
      </c>
      <c r="C120" s="1" t="n">
        <v>46102</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52644-2024</t>
        </is>
      </c>
      <c r="B121" s="1" t="n">
        <v>45610.34415509259</v>
      </c>
      <c r="C121" s="1" t="n">
        <v>46102</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19401-2025</t>
        </is>
      </c>
      <c r="B122" s="1" t="n">
        <v>45769.67767361111</v>
      </c>
      <c r="C122" s="1" t="n">
        <v>46102</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46102</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21372-2025</t>
        </is>
      </c>
      <c r="B124" s="1" t="n">
        <v>45782.44871527778</v>
      </c>
      <c r="C124" s="1" t="n">
        <v>46102</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46102</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46102</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46102</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46102</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46102</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57667-2025</t>
        </is>
      </c>
      <c r="B130" s="1" t="n">
        <v>45981.42767361111</v>
      </c>
      <c r="C130" s="1" t="n">
        <v>46102</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59179-2025</t>
        </is>
      </c>
      <c r="B131" s="1" t="n">
        <v>45988.57350694444</v>
      </c>
      <c r="C131" s="1" t="n">
        <v>46102</v>
      </c>
      <c r="D131" t="inlineStr">
        <is>
          <t>JÄMTLANDS LÄN</t>
        </is>
      </c>
      <c r="E131" t="inlineStr">
        <is>
          <t>RAGUNDA</t>
        </is>
      </c>
      <c r="F131" t="inlineStr">
        <is>
          <t>SCA</t>
        </is>
      </c>
      <c r="G131" t="n">
        <v>2.3</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HYPERLINK("https://klasma.github.io/Logging_2303/artfynd/A 59179-2025 artfynd.xlsx", "A 59179-2025")</f>
        <v/>
      </c>
      <c r="T131">
        <f>HYPERLINK("https://klasma.github.io/Logging_2303/kartor/A 59179-2025 karta.png", "A 59179-2025")</f>
        <v/>
      </c>
      <c r="V131">
        <f>HYPERLINK("https://klasma.github.io/Logging_2303/klagomål/A 59179-2025 FSC-klagomål.docx", "A 59179-2025")</f>
        <v/>
      </c>
      <c r="W131">
        <f>HYPERLINK("https://klasma.github.io/Logging_2303/klagomålsmail/A 59179-2025 FSC-klagomål mail.docx", "A 59179-2025")</f>
        <v/>
      </c>
      <c r="X131">
        <f>HYPERLINK("https://klasma.github.io/Logging_2303/tillsyn/A 59179-2025 tillsynsbegäran.docx", "A 59179-2025")</f>
        <v/>
      </c>
      <c r="Y131">
        <f>HYPERLINK("https://klasma.github.io/Logging_2303/tillsynsmail/A 59179-2025 tillsynsbegäran mail.docx", "A 59179-2025")</f>
        <v/>
      </c>
    </row>
    <row r="132" ht="15" customHeight="1">
      <c r="A132" t="inlineStr">
        <is>
          <t>A 53022-2022</t>
        </is>
      </c>
      <c r="B132" s="1" t="n">
        <v>44875</v>
      </c>
      <c r="C132" s="1" t="n">
        <v>46102</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61954-2025</t>
        </is>
      </c>
      <c r="B133" s="1" t="n">
        <v>46003.57381944444</v>
      </c>
      <c r="C133" s="1" t="n">
        <v>46102</v>
      </c>
      <c r="D133" t="inlineStr">
        <is>
          <t>JÄMTLANDS LÄN</t>
        </is>
      </c>
      <c r="E133" t="inlineStr">
        <is>
          <t>RAGUNDA</t>
        </is>
      </c>
      <c r="F133" t="inlineStr">
        <is>
          <t>SCA</t>
        </is>
      </c>
      <c r="G133" t="n">
        <v>6.5</v>
      </c>
      <c r="H133" t="n">
        <v>0</v>
      </c>
      <c r="I133" t="n">
        <v>1</v>
      </c>
      <c r="J133" t="n">
        <v>2</v>
      </c>
      <c r="K133" t="n">
        <v>0</v>
      </c>
      <c r="L133" t="n">
        <v>0</v>
      </c>
      <c r="M133" t="n">
        <v>0</v>
      </c>
      <c r="N133" t="n">
        <v>0</v>
      </c>
      <c r="O133" t="n">
        <v>2</v>
      </c>
      <c r="P133" t="n">
        <v>0</v>
      </c>
      <c r="Q133" t="n">
        <v>3</v>
      </c>
      <c r="R133" s="2" t="inlineStr">
        <is>
          <t>Garnlav
Lunglav
Trådticka</t>
        </is>
      </c>
      <c r="S133">
        <f>HYPERLINK("https://klasma.github.io/Logging_2303/artfynd/A 61954-2025 artfynd.xlsx", "A 61954-2025")</f>
        <v/>
      </c>
      <c r="T133">
        <f>HYPERLINK("https://klasma.github.io/Logging_2303/kartor/A 61954-2025 karta.png", "A 61954-2025")</f>
        <v/>
      </c>
      <c r="V133">
        <f>HYPERLINK("https://klasma.github.io/Logging_2303/klagomål/A 61954-2025 FSC-klagomål.docx", "A 61954-2025")</f>
        <v/>
      </c>
      <c r="W133">
        <f>HYPERLINK("https://klasma.github.io/Logging_2303/klagomålsmail/A 61954-2025 FSC-klagomål mail.docx", "A 61954-2025")</f>
        <v/>
      </c>
      <c r="X133">
        <f>HYPERLINK("https://klasma.github.io/Logging_2303/tillsyn/A 61954-2025 tillsynsbegäran.docx", "A 61954-2025")</f>
        <v/>
      </c>
      <c r="Y133">
        <f>HYPERLINK("https://klasma.github.io/Logging_2303/tillsynsmail/A 61954-2025 tillsynsbegäran mail.docx", "A 61954-2025")</f>
        <v/>
      </c>
    </row>
    <row r="134" ht="15" customHeight="1">
      <c r="A134" t="inlineStr">
        <is>
          <t>A 58737-2022</t>
        </is>
      </c>
      <c r="B134" s="1" t="n">
        <v>44902</v>
      </c>
      <c r="C134" s="1" t="n">
        <v>46102</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25769-2025</t>
        </is>
      </c>
      <c r="B135" s="1" t="n">
        <v>45804.34474537037</v>
      </c>
      <c r="C135" s="1" t="n">
        <v>46102</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28178-2023</t>
        </is>
      </c>
      <c r="B136" s="1" t="n">
        <v>45093</v>
      </c>
      <c r="C136" s="1" t="n">
        <v>46102</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57941-2024</t>
        </is>
      </c>
      <c r="B137" s="1" t="n">
        <v>45631</v>
      </c>
      <c r="C137" s="1" t="n">
        <v>46102</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49047-2023</t>
        </is>
      </c>
      <c r="B138" s="1" t="n">
        <v>45209</v>
      </c>
      <c r="C138" s="1" t="n">
        <v>46102</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5731-2026</t>
        </is>
      </c>
      <c r="B139" s="1" t="n">
        <v>46051.57355324074</v>
      </c>
      <c r="C139" s="1" t="n">
        <v>46102</v>
      </c>
      <c r="D139" t="inlineStr">
        <is>
          <t>JÄMTLANDS LÄN</t>
        </is>
      </c>
      <c r="E139" t="inlineStr">
        <is>
          <t>RAGUNDA</t>
        </is>
      </c>
      <c r="F139" t="inlineStr">
        <is>
          <t>SCA</t>
        </is>
      </c>
      <c r="G139" t="n">
        <v>2</v>
      </c>
      <c r="H139" t="n">
        <v>1</v>
      </c>
      <c r="I139" t="n">
        <v>0</v>
      </c>
      <c r="J139" t="n">
        <v>2</v>
      </c>
      <c r="K139" t="n">
        <v>0</v>
      </c>
      <c r="L139" t="n">
        <v>0</v>
      </c>
      <c r="M139" t="n">
        <v>0</v>
      </c>
      <c r="N139" t="n">
        <v>0</v>
      </c>
      <c r="O139" t="n">
        <v>2</v>
      </c>
      <c r="P139" t="n">
        <v>0</v>
      </c>
      <c r="Q139" t="n">
        <v>3</v>
      </c>
      <c r="R139" s="2" t="inlineStr">
        <is>
          <t>Garnlav
Lunglav
Lavskrika</t>
        </is>
      </c>
      <c r="S139">
        <f>HYPERLINK("https://klasma.github.io/Logging_2303/artfynd/A 5731-2026 artfynd.xlsx", "A 5731-2026")</f>
        <v/>
      </c>
      <c r="T139">
        <f>HYPERLINK("https://klasma.github.io/Logging_2303/kartor/A 5731-2026 karta.png", "A 5731-2026")</f>
        <v/>
      </c>
      <c r="V139">
        <f>HYPERLINK("https://klasma.github.io/Logging_2303/klagomål/A 5731-2026 FSC-klagomål.docx", "A 5731-2026")</f>
        <v/>
      </c>
      <c r="W139">
        <f>HYPERLINK("https://klasma.github.io/Logging_2303/klagomålsmail/A 5731-2026 FSC-klagomål mail.docx", "A 5731-2026")</f>
        <v/>
      </c>
      <c r="X139">
        <f>HYPERLINK("https://klasma.github.io/Logging_2303/tillsyn/A 5731-2026 tillsynsbegäran.docx", "A 5731-2026")</f>
        <v/>
      </c>
      <c r="Y139">
        <f>HYPERLINK("https://klasma.github.io/Logging_2303/tillsynsmail/A 5731-2026 tillsynsbegäran mail.docx", "A 5731-2026")</f>
        <v/>
      </c>
      <c r="Z139">
        <f>HYPERLINK("https://klasma.github.io/Logging_2303/fåglar/A 5731-2026 prioriterade fågelarter.docx", "A 5731-2026")</f>
        <v/>
      </c>
    </row>
    <row r="140" ht="15" customHeight="1">
      <c r="A140" t="inlineStr">
        <is>
          <t>A 30470-2024</t>
        </is>
      </c>
      <c r="B140" s="1" t="n">
        <v>45491</v>
      </c>
      <c r="C140" s="1" t="n">
        <v>46102</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14814-2024</t>
        </is>
      </c>
      <c r="B141" s="1" t="n">
        <v>45397.95748842593</v>
      </c>
      <c r="C141" s="1" t="n">
        <v>46102</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46102</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7519-2023</t>
        </is>
      </c>
      <c r="B143" s="1" t="n">
        <v>44971</v>
      </c>
      <c r="C143" s="1" t="n">
        <v>46102</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12737-2025</t>
        </is>
      </c>
      <c r="B144" s="1" t="n">
        <v>45733</v>
      </c>
      <c r="C144" s="1" t="n">
        <v>46102</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22571-2025</t>
        </is>
      </c>
      <c r="B145" s="1" t="n">
        <v>45789.36503472222</v>
      </c>
      <c r="C145" s="1" t="n">
        <v>46102</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5048-2025</t>
        </is>
      </c>
      <c r="B146" s="1" t="n">
        <v>45691.44769675926</v>
      </c>
      <c r="C146" s="1" t="n">
        <v>46102</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34585-2025</t>
        </is>
      </c>
      <c r="B147" s="1" t="n">
        <v>45847.61498842593</v>
      </c>
      <c r="C147" s="1" t="n">
        <v>46102</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46102</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61790-2023</t>
        </is>
      </c>
      <c r="B149" s="1" t="n">
        <v>45265</v>
      </c>
      <c r="C149" s="1" t="n">
        <v>46102</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46102</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46102</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46102</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46102</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46102</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46102</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46102</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46102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46102</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46102</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62636-2025</t>
        </is>
      </c>
      <c r="B161" s="1" t="n">
        <v>46008.3653587963</v>
      </c>
      <c r="C161" s="1" t="n">
        <v>46102</v>
      </c>
      <c r="D161" t="inlineStr">
        <is>
          <t>JÄMTLANDS LÄN</t>
        </is>
      </c>
      <c r="E161" t="inlineStr">
        <is>
          <t>RAGUNDA</t>
        </is>
      </c>
      <c r="G161" t="n">
        <v>3.1</v>
      </c>
      <c r="H161" t="n">
        <v>1</v>
      </c>
      <c r="I161" t="n">
        <v>0</v>
      </c>
      <c r="J161" t="n">
        <v>2</v>
      </c>
      <c r="K161" t="n">
        <v>0</v>
      </c>
      <c r="L161" t="n">
        <v>0</v>
      </c>
      <c r="M161" t="n">
        <v>0</v>
      </c>
      <c r="N161" t="n">
        <v>0</v>
      </c>
      <c r="O161" t="n">
        <v>2</v>
      </c>
      <c r="P161" t="n">
        <v>0</v>
      </c>
      <c r="Q161" t="n">
        <v>2</v>
      </c>
      <c r="R161" s="2" t="inlineStr">
        <is>
          <t>Garnlav
Talltita</t>
        </is>
      </c>
      <c r="S161">
        <f>HYPERLINK("https://klasma.github.io/Logging_2303/artfynd/A 62636-2025 artfynd.xlsx", "A 62636-2025")</f>
        <v/>
      </c>
      <c r="T161">
        <f>HYPERLINK("https://klasma.github.io/Logging_2303/kartor/A 62636-2025 karta.png", "A 62636-2025")</f>
        <v/>
      </c>
      <c r="V161">
        <f>HYPERLINK("https://klasma.github.io/Logging_2303/klagomål/A 62636-2025 FSC-klagomål.docx", "A 62636-2025")</f>
        <v/>
      </c>
      <c r="W161">
        <f>HYPERLINK("https://klasma.github.io/Logging_2303/klagomålsmail/A 62636-2025 FSC-klagomål mail.docx", "A 62636-2025")</f>
        <v/>
      </c>
      <c r="X161">
        <f>HYPERLINK("https://klasma.github.io/Logging_2303/tillsyn/A 62636-2025 tillsynsbegäran.docx", "A 62636-2025")</f>
        <v/>
      </c>
      <c r="Y161">
        <f>HYPERLINK("https://klasma.github.io/Logging_2303/tillsynsmail/A 62636-2025 tillsynsbegäran mail.docx", "A 62636-2025")</f>
        <v/>
      </c>
      <c r="Z161">
        <f>HYPERLINK("https://klasma.github.io/Logging_2303/fåglar/A 62636-2025 prioriterade fågelarter.docx", "A 62636-2025")</f>
        <v/>
      </c>
    </row>
    <row r="162" ht="15" customHeight="1">
      <c r="A162" t="inlineStr">
        <is>
          <t>A 55647-2023</t>
        </is>
      </c>
      <c r="B162" s="1" t="n">
        <v>45238</v>
      </c>
      <c r="C162" s="1" t="n">
        <v>46102</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56634-2025</t>
        </is>
      </c>
      <c r="B163" s="1" t="n">
        <v>45975.61619212963</v>
      </c>
      <c r="C163" s="1" t="n">
        <v>46102</v>
      </c>
      <c r="D163" t="inlineStr">
        <is>
          <t>JÄMTLANDS LÄN</t>
        </is>
      </c>
      <c r="E163" t="inlineStr">
        <is>
          <t>RAGUNDA</t>
        </is>
      </c>
      <c r="F163" t="inlineStr">
        <is>
          <t>SCA</t>
        </is>
      </c>
      <c r="G163" t="n">
        <v>86.59999999999999</v>
      </c>
      <c r="H163" t="n">
        <v>0</v>
      </c>
      <c r="I163" t="n">
        <v>1</v>
      </c>
      <c r="J163" t="n">
        <v>1</v>
      </c>
      <c r="K163" t="n">
        <v>0</v>
      </c>
      <c r="L163" t="n">
        <v>0</v>
      </c>
      <c r="M163" t="n">
        <v>0</v>
      </c>
      <c r="N163" t="n">
        <v>0</v>
      </c>
      <c r="O163" t="n">
        <v>1</v>
      </c>
      <c r="P163" t="n">
        <v>0</v>
      </c>
      <c r="Q163" t="n">
        <v>2</v>
      </c>
      <c r="R163" s="2" t="inlineStr">
        <is>
          <t>Garnlav
Skuggblåslav</t>
        </is>
      </c>
      <c r="S163">
        <f>HYPERLINK("https://klasma.github.io/Logging_2303/artfynd/A 56634-2025 artfynd.xlsx", "A 56634-2025")</f>
        <v/>
      </c>
      <c r="T163">
        <f>HYPERLINK("https://klasma.github.io/Logging_2303/kartor/A 56634-2025 karta.png", "A 56634-2025")</f>
        <v/>
      </c>
      <c r="V163">
        <f>HYPERLINK("https://klasma.github.io/Logging_2303/klagomål/A 56634-2025 FSC-klagomål.docx", "A 56634-2025")</f>
        <v/>
      </c>
      <c r="W163">
        <f>HYPERLINK("https://klasma.github.io/Logging_2303/klagomålsmail/A 56634-2025 FSC-klagomål mail.docx", "A 56634-2025")</f>
        <v/>
      </c>
      <c r="X163">
        <f>HYPERLINK("https://klasma.github.io/Logging_2303/tillsyn/A 56634-2025 tillsynsbegäran.docx", "A 56634-2025")</f>
        <v/>
      </c>
      <c r="Y163">
        <f>HYPERLINK("https://klasma.github.io/Logging_2303/tillsynsmail/A 56634-2025 tillsynsbegäran mail.docx", "A 56634-2025")</f>
        <v/>
      </c>
    </row>
    <row r="164" ht="15" customHeight="1">
      <c r="A164" t="inlineStr">
        <is>
          <t>A 47267-2022</t>
        </is>
      </c>
      <c r="B164" s="1" t="n">
        <v>44852</v>
      </c>
      <c r="C164" s="1" t="n">
        <v>46102</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46102</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46102</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9749-2026</t>
        </is>
      </c>
      <c r="B167" s="1" t="n">
        <v>46072.53167824074</v>
      </c>
      <c r="C167" s="1" t="n">
        <v>46102</v>
      </c>
      <c r="D167" t="inlineStr">
        <is>
          <t>JÄMTLANDS LÄN</t>
        </is>
      </c>
      <c r="E167" t="inlineStr">
        <is>
          <t>RAGUNDA</t>
        </is>
      </c>
      <c r="F167" t="inlineStr">
        <is>
          <t>SCA</t>
        </is>
      </c>
      <c r="G167" t="n">
        <v>2.7</v>
      </c>
      <c r="H167" t="n">
        <v>1</v>
      </c>
      <c r="I167" t="n">
        <v>0</v>
      </c>
      <c r="J167" t="n">
        <v>2</v>
      </c>
      <c r="K167" t="n">
        <v>0</v>
      </c>
      <c r="L167" t="n">
        <v>0</v>
      </c>
      <c r="M167" t="n">
        <v>0</v>
      </c>
      <c r="N167" t="n">
        <v>0</v>
      </c>
      <c r="O167" t="n">
        <v>2</v>
      </c>
      <c r="P167" t="n">
        <v>0</v>
      </c>
      <c r="Q167" t="n">
        <v>2</v>
      </c>
      <c r="R167" s="2" t="inlineStr">
        <is>
          <t>Järpe
Ullticka</t>
        </is>
      </c>
      <c r="S167">
        <f>HYPERLINK("https://klasma.github.io/Logging_2303/artfynd/A 9749-2026 artfynd.xlsx", "A 9749-2026")</f>
        <v/>
      </c>
      <c r="T167">
        <f>HYPERLINK("https://klasma.github.io/Logging_2303/kartor/A 9749-2026 karta.png", "A 9749-2026")</f>
        <v/>
      </c>
      <c r="V167">
        <f>HYPERLINK("https://klasma.github.io/Logging_2303/klagomål/A 9749-2026 FSC-klagomål.docx", "A 9749-2026")</f>
        <v/>
      </c>
      <c r="W167">
        <f>HYPERLINK("https://klasma.github.io/Logging_2303/klagomålsmail/A 9749-2026 FSC-klagomål mail.docx", "A 9749-2026")</f>
        <v/>
      </c>
      <c r="X167">
        <f>HYPERLINK("https://klasma.github.io/Logging_2303/tillsyn/A 9749-2026 tillsynsbegäran.docx", "A 9749-2026")</f>
        <v/>
      </c>
      <c r="Y167">
        <f>HYPERLINK("https://klasma.github.io/Logging_2303/tillsynsmail/A 9749-2026 tillsynsbegäran mail.docx", "A 9749-2026")</f>
        <v/>
      </c>
      <c r="Z167">
        <f>HYPERLINK("https://klasma.github.io/Logging_2303/fåglar/A 9749-2026 prioriterade fågelarter.docx", "A 9749-2026")</f>
        <v/>
      </c>
    </row>
    <row r="168" ht="15" customHeight="1">
      <c r="A168" t="inlineStr">
        <is>
          <t>A 25155-2025</t>
        </is>
      </c>
      <c r="B168" s="1" t="n">
        <v>45800.42782407408</v>
      </c>
      <c r="C168" s="1" t="n">
        <v>46102</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Kötticka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57940-2024</t>
        </is>
      </c>
      <c r="B169" s="1" t="n">
        <v>45631</v>
      </c>
      <c r="C169" s="1" t="n">
        <v>46102</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30053-2024</t>
        </is>
      </c>
      <c r="B170" s="1" t="n">
        <v>45488.94747685185</v>
      </c>
      <c r="C170" s="1" t="n">
        <v>46102</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46102</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11086-2025</t>
        </is>
      </c>
      <c r="B172" s="1" t="n">
        <v>45723.57329861111</v>
      </c>
      <c r="C172" s="1" t="n">
        <v>46102</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46102</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46102</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46102</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48427-2023</t>
        </is>
      </c>
      <c r="B176" s="1" t="n">
        <v>45205</v>
      </c>
      <c r="C176" s="1" t="n">
        <v>46102</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46771-2024</t>
        </is>
      </c>
      <c r="B177" s="1" t="n">
        <v>45583.49642361111</v>
      </c>
      <c r="C177" s="1" t="n">
        <v>46102</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31960-2025</t>
        </is>
      </c>
      <c r="B178" s="1" t="n">
        <v>45835.344375</v>
      </c>
      <c r="C178" s="1" t="n">
        <v>46102</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44409-2023</t>
        </is>
      </c>
      <c r="B179" s="1" t="n">
        <v>45188</v>
      </c>
      <c r="C179" s="1" t="n">
        <v>46102</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46102</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46102</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46102</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46102</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35131-2025</t>
        </is>
      </c>
      <c r="B184" s="1" t="n">
        <v>45852.63597222222</v>
      </c>
      <c r="C184" s="1" t="n">
        <v>46102</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3838-2024</t>
        </is>
      </c>
      <c r="B185" s="1" t="n">
        <v>45321</v>
      </c>
      <c r="C185" s="1" t="n">
        <v>46102</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46102</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46102</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46102</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46102</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46102</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46102</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46102</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46102</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46102</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46102</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46102</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46102</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46102</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46102</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46102</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46102</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46102</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46102</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46102</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46102</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46102</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46102</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46102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46102</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46102</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55756-2025</t>
        </is>
      </c>
      <c r="B211" s="1" t="n">
        <v>45972.59438657408</v>
      </c>
      <c r="C211" s="1" t="n">
        <v>46102</v>
      </c>
      <c r="D211" t="inlineStr">
        <is>
          <t>JÄMTLANDS LÄN</t>
        </is>
      </c>
      <c r="E211" t="inlineStr">
        <is>
          <t>RAGUNDA</t>
        </is>
      </c>
      <c r="G211" t="n">
        <v>1.6</v>
      </c>
      <c r="H211" t="n">
        <v>0</v>
      </c>
      <c r="I211" t="n">
        <v>0</v>
      </c>
      <c r="J211" t="n">
        <v>1</v>
      </c>
      <c r="K211" t="n">
        <v>0</v>
      </c>
      <c r="L211" t="n">
        <v>0</v>
      </c>
      <c r="M211" t="n">
        <v>0</v>
      </c>
      <c r="N211" t="n">
        <v>0</v>
      </c>
      <c r="O211" t="n">
        <v>1</v>
      </c>
      <c r="P211" t="n">
        <v>0</v>
      </c>
      <c r="Q211" t="n">
        <v>1</v>
      </c>
      <c r="R211" s="2" t="inlineStr">
        <is>
          <t>Garnlav</t>
        </is>
      </c>
      <c r="S211">
        <f>HYPERLINK("https://klasma.github.io/Logging_2303/artfynd/A 55756-2025 artfynd.xlsx", "A 55756-2025")</f>
        <v/>
      </c>
      <c r="T211">
        <f>HYPERLINK("https://klasma.github.io/Logging_2303/kartor/A 55756-2025 karta.png", "A 55756-2025")</f>
        <v/>
      </c>
      <c r="V211">
        <f>HYPERLINK("https://klasma.github.io/Logging_2303/klagomål/A 55756-2025 FSC-klagomål.docx", "A 55756-2025")</f>
        <v/>
      </c>
      <c r="W211">
        <f>HYPERLINK("https://klasma.github.io/Logging_2303/klagomålsmail/A 55756-2025 FSC-klagomål mail.docx", "A 55756-2025")</f>
        <v/>
      </c>
      <c r="X211">
        <f>HYPERLINK("https://klasma.github.io/Logging_2303/tillsyn/A 55756-2025 tillsynsbegäran.docx", "A 55756-2025")</f>
        <v/>
      </c>
      <c r="Y211">
        <f>HYPERLINK("https://klasma.github.io/Logging_2303/tillsynsmail/A 55756-2025 tillsynsbegäran mail.docx", "A 55756-2025")</f>
        <v/>
      </c>
    </row>
    <row r="212" ht="15" customHeight="1">
      <c r="A212" t="inlineStr">
        <is>
          <t>A 44066-2024</t>
        </is>
      </c>
      <c r="B212" s="1" t="n">
        <v>45572.60363425926</v>
      </c>
      <c r="C212" s="1" t="n">
        <v>46102</v>
      </c>
      <c r="D212" t="inlineStr">
        <is>
          <t>JÄMTLANDS LÄN</t>
        </is>
      </c>
      <c r="E212" t="inlineStr">
        <is>
          <t>RAGUNDA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44066-2024 artfynd.xlsx", "A 44066-2024")</f>
        <v/>
      </c>
      <c r="T212">
        <f>HYPERLINK("https://klasma.github.io/Logging_2303/kartor/A 44066-2024 karta.png", "A 44066-2024")</f>
        <v/>
      </c>
      <c r="V212">
        <f>HYPERLINK("https://klasma.github.io/Logging_2303/klagomål/A 44066-2024 FSC-klagomål.docx", "A 44066-2024")</f>
        <v/>
      </c>
      <c r="W212">
        <f>HYPERLINK("https://klasma.github.io/Logging_2303/klagomålsmail/A 44066-2024 FSC-klagomål mail.docx", "A 44066-2024")</f>
        <v/>
      </c>
      <c r="X212">
        <f>HYPERLINK("https://klasma.github.io/Logging_2303/tillsyn/A 44066-2024 tillsynsbegäran.docx", "A 44066-2024")</f>
        <v/>
      </c>
      <c r="Y212">
        <f>HYPERLINK("https://klasma.github.io/Logging_2303/tillsynsmail/A 44066-2024 tillsynsbegäran mail.docx", "A 44066-2024")</f>
        <v/>
      </c>
      <c r="Z212">
        <f>HYPERLINK("https://klasma.github.io/Logging_2303/fåglar/A 44066-2024 prioriterade fågelarter.docx", "A 44066-2024")</f>
        <v/>
      </c>
    </row>
    <row r="213" ht="15" customHeight="1">
      <c r="A213" t="inlineStr">
        <is>
          <t>A 56599-2025</t>
        </is>
      </c>
      <c r="B213" s="1" t="n">
        <v>45975.5734837963</v>
      </c>
      <c r="C213" s="1" t="n">
        <v>46102</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Lunglav</t>
        </is>
      </c>
      <c r="S213">
        <f>HYPERLINK("https://klasma.github.io/Logging_2303/artfynd/A 56599-2025 artfynd.xlsx", "A 56599-2025")</f>
        <v/>
      </c>
      <c r="T213">
        <f>HYPERLINK("https://klasma.github.io/Logging_2303/kartor/A 56599-2025 karta.png", "A 56599-2025")</f>
        <v/>
      </c>
      <c r="V213">
        <f>HYPERLINK("https://klasma.github.io/Logging_2303/klagomål/A 56599-2025 FSC-klagomål.docx", "A 56599-2025")</f>
        <v/>
      </c>
      <c r="W213">
        <f>HYPERLINK("https://klasma.github.io/Logging_2303/klagomålsmail/A 56599-2025 FSC-klagomål mail.docx", "A 56599-2025")</f>
        <v/>
      </c>
      <c r="X213">
        <f>HYPERLINK("https://klasma.github.io/Logging_2303/tillsyn/A 56599-2025 tillsynsbegäran.docx", "A 56599-2025")</f>
        <v/>
      </c>
      <c r="Y213">
        <f>HYPERLINK("https://klasma.github.io/Logging_2303/tillsynsmail/A 56599-2025 tillsynsbegäran mail.docx", "A 56599-2025")</f>
        <v/>
      </c>
    </row>
    <row r="214" ht="15" customHeight="1">
      <c r="A214" t="inlineStr">
        <is>
          <t>A 50233-2024</t>
        </is>
      </c>
      <c r="B214" s="1" t="n">
        <v>45600.55265046296</v>
      </c>
      <c r="C214" s="1" t="n">
        <v>46102</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57253-2025</t>
        </is>
      </c>
      <c r="B215" s="1" t="n">
        <v>45979.64381944444</v>
      </c>
      <c r="C215" s="1" t="n">
        <v>46102</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Skinnlav</t>
        </is>
      </c>
      <c r="S215">
        <f>HYPERLINK("https://klasma.github.io/Logging_2303/artfynd/A 57253-2025 artfynd.xlsx", "A 57253-2025")</f>
        <v/>
      </c>
      <c r="T215">
        <f>HYPERLINK("https://klasma.github.io/Logging_2303/kartor/A 57253-2025 karta.png", "A 57253-2025")</f>
        <v/>
      </c>
      <c r="V215">
        <f>HYPERLINK("https://klasma.github.io/Logging_2303/klagomål/A 57253-2025 FSC-klagomål.docx", "A 57253-2025")</f>
        <v/>
      </c>
      <c r="W215">
        <f>HYPERLINK("https://klasma.github.io/Logging_2303/klagomålsmail/A 57253-2025 FSC-klagomål mail.docx", "A 57253-2025")</f>
        <v/>
      </c>
      <c r="X215">
        <f>HYPERLINK("https://klasma.github.io/Logging_2303/tillsyn/A 57253-2025 tillsynsbegäran.docx", "A 57253-2025")</f>
        <v/>
      </c>
      <c r="Y215">
        <f>HYPERLINK("https://klasma.github.io/Logging_2303/tillsynsmail/A 57253-2025 tillsynsbegäran mail.docx", "A 57253-2025")</f>
        <v/>
      </c>
    </row>
    <row r="216" ht="15" customHeight="1">
      <c r="A216" t="inlineStr">
        <is>
          <t>A 57479-2025</t>
        </is>
      </c>
      <c r="B216" s="1" t="n">
        <v>45980.5737037037</v>
      </c>
      <c r="C216" s="1" t="n">
        <v>46102</v>
      </c>
      <c r="D216" t="inlineStr">
        <is>
          <t>JÄMTLANDS LÄN</t>
        </is>
      </c>
      <c r="E216" t="inlineStr">
        <is>
          <t>RAGUNDA</t>
        </is>
      </c>
      <c r="F216" t="inlineStr">
        <is>
          <t>SCA</t>
        </is>
      </c>
      <c r="G216" t="n">
        <v>12</v>
      </c>
      <c r="H216" t="n">
        <v>0</v>
      </c>
      <c r="I216" t="n">
        <v>0</v>
      </c>
      <c r="J216" t="n">
        <v>1</v>
      </c>
      <c r="K216" t="n">
        <v>0</v>
      </c>
      <c r="L216" t="n">
        <v>0</v>
      </c>
      <c r="M216" t="n">
        <v>0</v>
      </c>
      <c r="N216" t="n">
        <v>0</v>
      </c>
      <c r="O216" t="n">
        <v>1</v>
      </c>
      <c r="P216" t="n">
        <v>0</v>
      </c>
      <c r="Q216" t="n">
        <v>1</v>
      </c>
      <c r="R216" s="2" t="inlineStr">
        <is>
          <t>Kolflarnlav</t>
        </is>
      </c>
      <c r="S216">
        <f>HYPERLINK("https://klasma.github.io/Logging_2303/artfynd/A 57479-2025 artfynd.xlsx", "A 57479-2025")</f>
        <v/>
      </c>
      <c r="T216">
        <f>HYPERLINK("https://klasma.github.io/Logging_2303/kartor/A 57479-2025 karta.png", "A 57479-2025")</f>
        <v/>
      </c>
      <c r="V216">
        <f>HYPERLINK("https://klasma.github.io/Logging_2303/klagomål/A 57479-2025 FSC-klagomål.docx", "A 57479-2025")</f>
        <v/>
      </c>
      <c r="W216">
        <f>HYPERLINK("https://klasma.github.io/Logging_2303/klagomålsmail/A 57479-2025 FSC-klagomål mail.docx", "A 57479-2025")</f>
        <v/>
      </c>
      <c r="X216">
        <f>HYPERLINK("https://klasma.github.io/Logging_2303/tillsyn/A 57479-2025 tillsynsbegäran.docx", "A 57479-2025")</f>
        <v/>
      </c>
      <c r="Y216">
        <f>HYPERLINK("https://klasma.github.io/Logging_2303/tillsynsmail/A 57479-2025 tillsynsbegäran mail.docx", "A 57479-2025")</f>
        <v/>
      </c>
    </row>
    <row r="217" ht="15" customHeight="1">
      <c r="A217" t="inlineStr">
        <is>
          <t>A 57478-2025</t>
        </is>
      </c>
      <c r="B217" s="1" t="n">
        <v>45980.57349537037</v>
      </c>
      <c r="C217" s="1" t="n">
        <v>46102</v>
      </c>
      <c r="D217" t="inlineStr">
        <is>
          <t>JÄMTLANDS LÄN</t>
        </is>
      </c>
      <c r="E217" t="inlineStr">
        <is>
          <t>RAGUNDA</t>
        </is>
      </c>
      <c r="F217" t="inlineStr">
        <is>
          <t>SCA</t>
        </is>
      </c>
      <c r="G217" t="n">
        <v>3.3</v>
      </c>
      <c r="H217" t="n">
        <v>0</v>
      </c>
      <c r="I217" t="n">
        <v>0</v>
      </c>
      <c r="J217" t="n">
        <v>1</v>
      </c>
      <c r="K217" t="n">
        <v>0</v>
      </c>
      <c r="L217" t="n">
        <v>0</v>
      </c>
      <c r="M217" t="n">
        <v>0</v>
      </c>
      <c r="N217" t="n">
        <v>0</v>
      </c>
      <c r="O217" t="n">
        <v>1</v>
      </c>
      <c r="P217" t="n">
        <v>0</v>
      </c>
      <c r="Q217" t="n">
        <v>1</v>
      </c>
      <c r="R217" s="2" t="inlineStr">
        <is>
          <t>Lunglav</t>
        </is>
      </c>
      <c r="S217">
        <f>HYPERLINK("https://klasma.github.io/Logging_2303/artfynd/A 57478-2025 artfynd.xlsx", "A 57478-2025")</f>
        <v/>
      </c>
      <c r="T217">
        <f>HYPERLINK("https://klasma.github.io/Logging_2303/kartor/A 57478-2025 karta.png", "A 57478-2025")</f>
        <v/>
      </c>
      <c r="V217">
        <f>HYPERLINK("https://klasma.github.io/Logging_2303/klagomål/A 57478-2025 FSC-klagomål.docx", "A 57478-2025")</f>
        <v/>
      </c>
      <c r="W217">
        <f>HYPERLINK("https://klasma.github.io/Logging_2303/klagomålsmail/A 57478-2025 FSC-klagomål mail.docx", "A 57478-2025")</f>
        <v/>
      </c>
      <c r="X217">
        <f>HYPERLINK("https://klasma.github.io/Logging_2303/tillsyn/A 57478-2025 tillsynsbegäran.docx", "A 57478-2025")</f>
        <v/>
      </c>
      <c r="Y217">
        <f>HYPERLINK("https://klasma.github.io/Logging_2303/tillsynsmail/A 57478-2025 tillsynsbegäran mail.docx", "A 57478-2025")</f>
        <v/>
      </c>
    </row>
    <row r="218" ht="15" customHeight="1">
      <c r="A218" t="inlineStr">
        <is>
          <t>A 58990-2025</t>
        </is>
      </c>
      <c r="B218" s="1" t="n">
        <v>45987</v>
      </c>
      <c r="C218" s="1" t="n">
        <v>46102</v>
      </c>
      <c r="D218" t="inlineStr">
        <is>
          <t>JÄMTLANDS LÄN</t>
        </is>
      </c>
      <c r="E218" t="inlineStr">
        <is>
          <t>RAGUNDA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58990-2025 artfynd.xlsx", "A 58990-2025")</f>
        <v/>
      </c>
      <c r="T218">
        <f>HYPERLINK("https://klasma.github.io/Logging_2303/kartor/A 58990-2025 karta.png", "A 58990-2025")</f>
        <v/>
      </c>
      <c r="V218">
        <f>HYPERLINK("https://klasma.github.io/Logging_2303/klagomål/A 58990-2025 FSC-klagomål.docx", "A 58990-2025")</f>
        <v/>
      </c>
      <c r="W218">
        <f>HYPERLINK("https://klasma.github.io/Logging_2303/klagomålsmail/A 58990-2025 FSC-klagomål mail.docx", "A 58990-2025")</f>
        <v/>
      </c>
      <c r="X218">
        <f>HYPERLINK("https://klasma.github.io/Logging_2303/tillsyn/A 58990-2025 tillsynsbegäran.docx", "A 58990-2025")</f>
        <v/>
      </c>
      <c r="Y218">
        <f>HYPERLINK("https://klasma.github.io/Logging_2303/tillsynsmail/A 58990-2025 tillsynsbegäran mail.docx", "A 58990-2025")</f>
        <v/>
      </c>
      <c r="Z218">
        <f>HYPERLINK("https://klasma.github.io/Logging_2303/fåglar/A 58990-2025 prioriterade fågelarter.docx", "A 58990-2025")</f>
        <v/>
      </c>
    </row>
    <row r="219" ht="15" customHeight="1">
      <c r="A219" t="inlineStr">
        <is>
          <t>A 36224-2023</t>
        </is>
      </c>
      <c r="B219" s="1" t="n">
        <v>45149</v>
      </c>
      <c r="C219" s="1" t="n">
        <v>46102</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29921-2024</t>
        </is>
      </c>
      <c r="B220" s="1" t="n">
        <v>45487.92863425926</v>
      </c>
      <c r="C220" s="1" t="n">
        <v>46102</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30485-2024</t>
        </is>
      </c>
      <c r="B221" s="1" t="n">
        <v>45491.95008101852</v>
      </c>
      <c r="C221" s="1" t="n">
        <v>46102</v>
      </c>
      <c r="D221" t="inlineStr">
        <is>
          <t>JÄMTLANDS LÄN</t>
        </is>
      </c>
      <c r="E221" t="inlineStr">
        <is>
          <t>RAGUNDA</t>
        </is>
      </c>
      <c r="F221" t="inlineStr">
        <is>
          <t>SCA</t>
        </is>
      </c>
      <c r="G221" t="n">
        <v>2</v>
      </c>
      <c r="H221" t="n">
        <v>0</v>
      </c>
      <c r="I221" t="n">
        <v>0</v>
      </c>
      <c r="J221" t="n">
        <v>1</v>
      </c>
      <c r="K221" t="n">
        <v>0</v>
      </c>
      <c r="L221" t="n">
        <v>0</v>
      </c>
      <c r="M221" t="n">
        <v>0</v>
      </c>
      <c r="N221" t="n">
        <v>0</v>
      </c>
      <c r="O221" t="n">
        <v>1</v>
      </c>
      <c r="P221" t="n">
        <v>0</v>
      </c>
      <c r="Q221" t="n">
        <v>1</v>
      </c>
      <c r="R221" s="2" t="inlineStr">
        <is>
          <t>Garnlav</t>
        </is>
      </c>
      <c r="S221">
        <f>HYPERLINK("https://klasma.github.io/Logging_2303/artfynd/A 30485-2024 artfynd.xlsx", "A 30485-2024")</f>
        <v/>
      </c>
      <c r="T221">
        <f>HYPERLINK("https://klasma.github.io/Logging_2303/kartor/A 30485-2024 karta.png", "A 30485-2024")</f>
        <v/>
      </c>
      <c r="V221">
        <f>HYPERLINK("https://klasma.github.io/Logging_2303/klagomål/A 30485-2024 FSC-klagomål.docx", "A 30485-2024")</f>
        <v/>
      </c>
      <c r="W221">
        <f>HYPERLINK("https://klasma.github.io/Logging_2303/klagomålsmail/A 30485-2024 FSC-klagomål mail.docx", "A 30485-2024")</f>
        <v/>
      </c>
      <c r="X221">
        <f>HYPERLINK("https://klasma.github.io/Logging_2303/tillsyn/A 30485-2024 tillsynsbegäran.docx", "A 30485-2024")</f>
        <v/>
      </c>
      <c r="Y221">
        <f>HYPERLINK("https://klasma.github.io/Logging_2303/tillsynsmail/A 30485-2024 tillsynsbegäran mail.docx", "A 30485-2024")</f>
        <v/>
      </c>
    </row>
    <row r="222" ht="15" customHeight="1">
      <c r="A222" t="inlineStr">
        <is>
          <t>A 40841-2025</t>
        </is>
      </c>
      <c r="B222" s="1" t="n">
        <v>45897.531875</v>
      </c>
      <c r="C222" s="1" t="n">
        <v>46102</v>
      </c>
      <c r="D222" t="inlineStr">
        <is>
          <t>JÄMTLANDS LÄN</t>
        </is>
      </c>
      <c r="E222" t="inlineStr">
        <is>
          <t>RAGUNDA</t>
        </is>
      </c>
      <c r="F222" t="inlineStr">
        <is>
          <t>SCA</t>
        </is>
      </c>
      <c r="G222" t="n">
        <v>1.1</v>
      </c>
      <c r="H222" t="n">
        <v>0</v>
      </c>
      <c r="I222" t="n">
        <v>0</v>
      </c>
      <c r="J222" t="n">
        <v>1</v>
      </c>
      <c r="K222" t="n">
        <v>0</v>
      </c>
      <c r="L222" t="n">
        <v>0</v>
      </c>
      <c r="M222" t="n">
        <v>0</v>
      </c>
      <c r="N222" t="n">
        <v>0</v>
      </c>
      <c r="O222" t="n">
        <v>1</v>
      </c>
      <c r="P222" t="n">
        <v>0</v>
      </c>
      <c r="Q222" t="n">
        <v>1</v>
      </c>
      <c r="R222" s="2" t="inlineStr">
        <is>
          <t>Garnlav</t>
        </is>
      </c>
      <c r="S222">
        <f>HYPERLINK("https://klasma.github.io/Logging_2303/artfynd/A 40841-2025 artfynd.xlsx", "A 40841-2025")</f>
        <v/>
      </c>
      <c r="T222">
        <f>HYPERLINK("https://klasma.github.io/Logging_2303/kartor/A 40841-2025 karta.png", "A 40841-2025")</f>
        <v/>
      </c>
      <c r="V222">
        <f>HYPERLINK("https://klasma.github.io/Logging_2303/klagomål/A 40841-2025 FSC-klagomål.docx", "A 40841-2025")</f>
        <v/>
      </c>
      <c r="W222">
        <f>HYPERLINK("https://klasma.github.io/Logging_2303/klagomålsmail/A 40841-2025 FSC-klagomål mail.docx", "A 40841-2025")</f>
        <v/>
      </c>
      <c r="X222">
        <f>HYPERLINK("https://klasma.github.io/Logging_2303/tillsyn/A 40841-2025 tillsynsbegäran.docx", "A 40841-2025")</f>
        <v/>
      </c>
      <c r="Y222">
        <f>HYPERLINK("https://klasma.github.io/Logging_2303/tillsynsmail/A 40841-2025 tillsynsbegäran mail.docx", "A 40841-2025")</f>
        <v/>
      </c>
    </row>
    <row r="223" ht="15" customHeight="1">
      <c r="A223" t="inlineStr">
        <is>
          <t>A 43404-2023</t>
        </is>
      </c>
      <c r="B223" s="1" t="n">
        <v>45183</v>
      </c>
      <c r="C223" s="1" t="n">
        <v>46102</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43526-2025</t>
        </is>
      </c>
      <c r="B224" s="1" t="n">
        <v>45911</v>
      </c>
      <c r="C224" s="1" t="n">
        <v>46102</v>
      </c>
      <c r="D224" t="inlineStr">
        <is>
          <t>JÄMTLANDS LÄN</t>
        </is>
      </c>
      <c r="E224" t="inlineStr">
        <is>
          <t>RAGUNDA</t>
        </is>
      </c>
      <c r="G224" t="n">
        <v>5.5</v>
      </c>
      <c r="H224" t="n">
        <v>0</v>
      </c>
      <c r="I224" t="n">
        <v>0</v>
      </c>
      <c r="J224" t="n">
        <v>1</v>
      </c>
      <c r="K224" t="n">
        <v>0</v>
      </c>
      <c r="L224" t="n">
        <v>0</v>
      </c>
      <c r="M224" t="n">
        <v>0</v>
      </c>
      <c r="N224" t="n">
        <v>0</v>
      </c>
      <c r="O224" t="n">
        <v>1</v>
      </c>
      <c r="P224" t="n">
        <v>0</v>
      </c>
      <c r="Q224" t="n">
        <v>1</v>
      </c>
      <c r="R224" s="2" t="inlineStr">
        <is>
          <t>Lunglav</t>
        </is>
      </c>
      <c r="S224">
        <f>HYPERLINK("https://klasma.github.io/Logging_2303/artfynd/A 43526-2025 artfynd.xlsx", "A 43526-2025")</f>
        <v/>
      </c>
      <c r="T224">
        <f>HYPERLINK("https://klasma.github.io/Logging_2303/kartor/A 43526-2025 karta.png", "A 43526-2025")</f>
        <v/>
      </c>
      <c r="V224">
        <f>HYPERLINK("https://klasma.github.io/Logging_2303/klagomål/A 43526-2025 FSC-klagomål.docx", "A 43526-2025")</f>
        <v/>
      </c>
      <c r="W224">
        <f>HYPERLINK("https://klasma.github.io/Logging_2303/klagomålsmail/A 43526-2025 FSC-klagomål mail.docx", "A 43526-2025")</f>
        <v/>
      </c>
      <c r="X224">
        <f>HYPERLINK("https://klasma.github.io/Logging_2303/tillsyn/A 43526-2025 tillsynsbegäran.docx", "A 43526-2025")</f>
        <v/>
      </c>
      <c r="Y224">
        <f>HYPERLINK("https://klasma.github.io/Logging_2303/tillsynsmail/A 43526-2025 tillsynsbegäran mail.docx", "A 43526-2025")</f>
        <v/>
      </c>
    </row>
    <row r="225" ht="15" customHeight="1">
      <c r="A225" t="inlineStr">
        <is>
          <t>A 24443-2024</t>
        </is>
      </c>
      <c r="B225" s="1" t="n">
        <v>45457.9640625</v>
      </c>
      <c r="C225" s="1" t="n">
        <v>46102</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46102</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978-2024</t>
        </is>
      </c>
      <c r="B227" s="1" t="n">
        <v>45301</v>
      </c>
      <c r="C227" s="1" t="n">
        <v>46102</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46102</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49053-2025</t>
        </is>
      </c>
      <c r="B229" s="1" t="n">
        <v>45937.64009259259</v>
      </c>
      <c r="C229" s="1" t="n">
        <v>46102</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10358-2026</t>
        </is>
      </c>
      <c r="B230" s="1" t="n">
        <v>46076</v>
      </c>
      <c r="C230" s="1" t="n">
        <v>46102</v>
      </c>
      <c r="D230" t="inlineStr">
        <is>
          <t>JÄMTLANDS LÄN</t>
        </is>
      </c>
      <c r="E230" t="inlineStr">
        <is>
          <t>RAGUNDA</t>
        </is>
      </c>
      <c r="G230" t="n">
        <v>5.4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10358-2026 artfynd.xlsx", "A 10358-2026")</f>
        <v/>
      </c>
      <c r="T230">
        <f>HYPERLINK("https://klasma.github.io/Logging_2303/kartor/A 10358-2026 karta.png", "A 10358-2026")</f>
        <v/>
      </c>
      <c r="V230">
        <f>HYPERLINK("https://klasma.github.io/Logging_2303/klagomål/A 10358-2026 FSC-klagomål.docx", "A 10358-2026")</f>
        <v/>
      </c>
      <c r="W230">
        <f>HYPERLINK("https://klasma.github.io/Logging_2303/klagomålsmail/A 10358-2026 FSC-klagomål mail.docx", "A 10358-2026")</f>
        <v/>
      </c>
      <c r="X230">
        <f>HYPERLINK("https://klasma.github.io/Logging_2303/tillsyn/A 10358-2026 tillsynsbegäran.docx", "A 10358-2026")</f>
        <v/>
      </c>
      <c r="Y230">
        <f>HYPERLINK("https://klasma.github.io/Logging_2303/tillsynsmail/A 10358-2026 tillsynsbegäran mail.docx", "A 10358-2026")</f>
        <v/>
      </c>
      <c r="Z230">
        <f>HYPERLINK("https://klasma.github.io/Logging_2303/fåglar/A 10358-2026 prioriterade fågelarter.docx", "A 10358-2026")</f>
        <v/>
      </c>
    </row>
    <row r="231" ht="15" customHeight="1">
      <c r="A231" t="inlineStr">
        <is>
          <t>A 31773-2021</t>
        </is>
      </c>
      <c r="B231" s="1" t="n">
        <v>44369</v>
      </c>
      <c r="C231" s="1" t="n">
        <v>46102</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2097-2026</t>
        </is>
      </c>
      <c r="B232" s="1" t="n">
        <v>46036.36556712963</v>
      </c>
      <c r="C232" s="1" t="n">
        <v>46102</v>
      </c>
      <c r="D232" t="inlineStr">
        <is>
          <t>JÄMTLANDS LÄN</t>
        </is>
      </c>
      <c r="E232" t="inlineStr">
        <is>
          <t>RAGUNDA</t>
        </is>
      </c>
      <c r="F232" t="inlineStr">
        <is>
          <t>SCA</t>
        </is>
      </c>
      <c r="G232" t="n">
        <v>0.9</v>
      </c>
      <c r="H232" t="n">
        <v>0</v>
      </c>
      <c r="I232" t="n">
        <v>0</v>
      </c>
      <c r="J232" t="n">
        <v>0</v>
      </c>
      <c r="K232" t="n">
        <v>0</v>
      </c>
      <c r="L232" t="n">
        <v>1</v>
      </c>
      <c r="M232" t="n">
        <v>0</v>
      </c>
      <c r="N232" t="n">
        <v>0</v>
      </c>
      <c r="O232" t="n">
        <v>1</v>
      </c>
      <c r="P232" t="n">
        <v>1</v>
      </c>
      <c r="Q232" t="n">
        <v>1</v>
      </c>
      <c r="R232" s="2" t="inlineStr">
        <is>
          <t>Trolldruvemätare</t>
        </is>
      </c>
      <c r="S232">
        <f>HYPERLINK("https://klasma.github.io/Logging_2303/artfynd/A 2097-2026 artfynd.xlsx", "A 2097-2026")</f>
        <v/>
      </c>
      <c r="T232">
        <f>HYPERLINK("https://klasma.github.io/Logging_2303/kartor/A 2097-2026 karta.png", "A 2097-2026")</f>
        <v/>
      </c>
      <c r="V232">
        <f>HYPERLINK("https://klasma.github.io/Logging_2303/klagomål/A 2097-2026 FSC-klagomål.docx", "A 2097-2026")</f>
        <v/>
      </c>
      <c r="W232">
        <f>HYPERLINK("https://klasma.github.io/Logging_2303/klagomålsmail/A 2097-2026 FSC-klagomål mail.docx", "A 2097-2026")</f>
        <v/>
      </c>
      <c r="X232">
        <f>HYPERLINK("https://klasma.github.io/Logging_2303/tillsyn/A 2097-2026 tillsynsbegäran.docx", "A 2097-2026")</f>
        <v/>
      </c>
      <c r="Y232">
        <f>HYPERLINK("https://klasma.github.io/Logging_2303/tillsynsmail/A 2097-2026 tillsynsbegäran mail.docx", "A 2097-2026")</f>
        <v/>
      </c>
    </row>
    <row r="233" ht="15" customHeight="1">
      <c r="A233" t="inlineStr">
        <is>
          <t>A 51912-2025</t>
        </is>
      </c>
      <c r="B233" s="1" t="n">
        <v>45952.46939814815</v>
      </c>
      <c r="C233" s="1" t="n">
        <v>46102</v>
      </c>
      <c r="D233" t="inlineStr">
        <is>
          <t>JÄMTLANDS LÄN</t>
        </is>
      </c>
      <c r="E233" t="inlineStr">
        <is>
          <t>RAGUNDA</t>
        </is>
      </c>
      <c r="F233" t="inlineStr">
        <is>
          <t>SCA</t>
        </is>
      </c>
      <c r="G233" t="n">
        <v>24.2</v>
      </c>
      <c r="H233" t="n">
        <v>1</v>
      </c>
      <c r="I233" t="n">
        <v>0</v>
      </c>
      <c r="J233" t="n">
        <v>0</v>
      </c>
      <c r="K233" t="n">
        <v>1</v>
      </c>
      <c r="L233" t="n">
        <v>0</v>
      </c>
      <c r="M233" t="n">
        <v>0</v>
      </c>
      <c r="N233" t="n">
        <v>0</v>
      </c>
      <c r="O233" t="n">
        <v>1</v>
      </c>
      <c r="P233" t="n">
        <v>1</v>
      </c>
      <c r="Q233" t="n">
        <v>1</v>
      </c>
      <c r="R233" s="2" t="inlineStr">
        <is>
          <t>Norna</t>
        </is>
      </c>
      <c r="S233">
        <f>HYPERLINK("https://klasma.github.io/Logging_2303/artfynd/A 51912-2025 artfynd.xlsx", "A 51912-2025")</f>
        <v/>
      </c>
      <c r="T233">
        <f>HYPERLINK("https://klasma.github.io/Logging_2303/kartor/A 51912-2025 karta.png", "A 51912-2025")</f>
        <v/>
      </c>
      <c r="V233">
        <f>HYPERLINK("https://klasma.github.io/Logging_2303/klagomål/A 51912-2025 FSC-klagomål.docx", "A 51912-2025")</f>
        <v/>
      </c>
      <c r="W233">
        <f>HYPERLINK("https://klasma.github.io/Logging_2303/klagomålsmail/A 51912-2025 FSC-klagomål mail.docx", "A 51912-2025")</f>
        <v/>
      </c>
      <c r="X233">
        <f>HYPERLINK("https://klasma.github.io/Logging_2303/tillsyn/A 51912-2025 tillsynsbegäran.docx", "A 51912-2025")</f>
        <v/>
      </c>
      <c r="Y233">
        <f>HYPERLINK("https://klasma.github.io/Logging_2303/tillsynsmail/A 51912-2025 tillsynsbegäran mail.docx", "A 51912-2025")</f>
        <v/>
      </c>
    </row>
    <row r="234" ht="15" customHeight="1">
      <c r="A234" t="inlineStr">
        <is>
          <t>A 22054-2025</t>
        </is>
      </c>
      <c r="B234" s="1" t="n">
        <v>45785.36525462963</v>
      </c>
      <c r="C234" s="1" t="n">
        <v>46102</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26317-2024</t>
        </is>
      </c>
      <c r="B235" s="1" t="n">
        <v>45468</v>
      </c>
      <c r="C235" s="1" t="n">
        <v>46102</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4157-2026</t>
        </is>
      </c>
      <c r="B236" s="1" t="n">
        <v>46044.65694444445</v>
      </c>
      <c r="C236" s="1" t="n">
        <v>46102</v>
      </c>
      <c r="D236" t="inlineStr">
        <is>
          <t>JÄMTLANDS LÄN</t>
        </is>
      </c>
      <c r="E236" t="inlineStr">
        <is>
          <t>RAGUNDA</t>
        </is>
      </c>
      <c r="F236" t="inlineStr">
        <is>
          <t>SCA</t>
        </is>
      </c>
      <c r="G236" t="n">
        <v>2.6</v>
      </c>
      <c r="H236" t="n">
        <v>1</v>
      </c>
      <c r="I236" t="n">
        <v>1</v>
      </c>
      <c r="J236" t="n">
        <v>0</v>
      </c>
      <c r="K236" t="n">
        <v>0</v>
      </c>
      <c r="L236" t="n">
        <v>0</v>
      </c>
      <c r="M236" t="n">
        <v>0</v>
      </c>
      <c r="N236" t="n">
        <v>0</v>
      </c>
      <c r="O236" t="n">
        <v>0</v>
      </c>
      <c r="P236" t="n">
        <v>0</v>
      </c>
      <c r="Q236" t="n">
        <v>1</v>
      </c>
      <c r="R236" s="2" t="inlineStr">
        <is>
          <t>Tvåblad</t>
        </is>
      </c>
      <c r="S236">
        <f>HYPERLINK("https://klasma.github.io/Logging_2303/artfynd/A 4157-2026 artfynd.xlsx", "A 4157-2026")</f>
        <v/>
      </c>
      <c r="T236">
        <f>HYPERLINK("https://klasma.github.io/Logging_2303/kartor/A 4157-2026 karta.png", "A 4157-2026")</f>
        <v/>
      </c>
      <c r="V236">
        <f>HYPERLINK("https://klasma.github.io/Logging_2303/klagomål/A 4157-2026 FSC-klagomål.docx", "A 4157-2026")</f>
        <v/>
      </c>
      <c r="W236">
        <f>HYPERLINK("https://klasma.github.io/Logging_2303/klagomålsmail/A 4157-2026 FSC-klagomål mail.docx", "A 4157-2026")</f>
        <v/>
      </c>
      <c r="X236">
        <f>HYPERLINK("https://klasma.github.io/Logging_2303/tillsyn/A 4157-2026 tillsynsbegäran.docx", "A 4157-2026")</f>
        <v/>
      </c>
      <c r="Y236">
        <f>HYPERLINK("https://klasma.github.io/Logging_2303/tillsynsmail/A 4157-2026 tillsynsbegäran mail.docx", "A 4157-2026")</f>
        <v/>
      </c>
    </row>
    <row r="237" ht="15" customHeight="1">
      <c r="A237" t="inlineStr">
        <is>
          <t>A 49091-2022</t>
        </is>
      </c>
      <c r="B237" s="1" t="n">
        <v>44860</v>
      </c>
      <c r="C237" s="1" t="n">
        <v>46102</v>
      </c>
      <c r="D237" t="inlineStr">
        <is>
          <t>JÄMTLANDS LÄN</t>
        </is>
      </c>
      <c r="E237" t="inlineStr">
        <is>
          <t>RAGUNDA</t>
        </is>
      </c>
      <c r="G237" t="n">
        <v>3.5</v>
      </c>
      <c r="H237" t="n">
        <v>1</v>
      </c>
      <c r="I237" t="n">
        <v>0</v>
      </c>
      <c r="J237" t="n">
        <v>0</v>
      </c>
      <c r="K237" t="n">
        <v>1</v>
      </c>
      <c r="L237" t="n">
        <v>0</v>
      </c>
      <c r="M237" t="n">
        <v>0</v>
      </c>
      <c r="N237" t="n">
        <v>0</v>
      </c>
      <c r="O237" t="n">
        <v>1</v>
      </c>
      <c r="P237" t="n">
        <v>1</v>
      </c>
      <c r="Q237" t="n">
        <v>1</v>
      </c>
      <c r="R237" s="2" t="inlineStr">
        <is>
          <t>Doftticka</t>
        </is>
      </c>
      <c r="S237">
        <f>HYPERLINK("https://klasma.github.io/Logging_2303/artfynd/A 49091-2022 artfynd.xlsx", "A 49091-2022")</f>
        <v/>
      </c>
      <c r="T237">
        <f>HYPERLINK("https://klasma.github.io/Logging_2303/kartor/A 49091-2022 karta.png", "A 49091-2022")</f>
        <v/>
      </c>
      <c r="V237">
        <f>HYPERLINK("https://klasma.github.io/Logging_2303/klagomål/A 49091-2022 FSC-klagomål.docx", "A 49091-2022")</f>
        <v/>
      </c>
      <c r="W237">
        <f>HYPERLINK("https://klasma.github.io/Logging_2303/klagomålsmail/A 49091-2022 FSC-klagomål mail.docx", "A 49091-2022")</f>
        <v/>
      </c>
      <c r="X237">
        <f>HYPERLINK("https://klasma.github.io/Logging_2303/tillsyn/A 49091-2022 tillsynsbegäran.docx", "A 49091-2022")</f>
        <v/>
      </c>
      <c r="Y237">
        <f>HYPERLINK("https://klasma.github.io/Logging_2303/tillsynsmail/A 49091-2022 tillsynsbegäran mail.docx", "A 49091-2022")</f>
        <v/>
      </c>
    </row>
    <row r="238" ht="15" customHeight="1">
      <c r="A238" t="inlineStr">
        <is>
          <t>A 48429-2023</t>
        </is>
      </c>
      <c r="B238" s="1" t="n">
        <v>45205</v>
      </c>
      <c r="C238" s="1" t="n">
        <v>46102</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27573-2025</t>
        </is>
      </c>
      <c r="B239" s="1" t="n">
        <v>45813.49061342593</v>
      </c>
      <c r="C239" s="1" t="n">
        <v>46102</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17340-2023</t>
        </is>
      </c>
      <c r="B240" s="1" t="n">
        <v>45033</v>
      </c>
      <c r="C240" s="1" t="n">
        <v>46102</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26322-2024</t>
        </is>
      </c>
      <c r="B241" s="1" t="n">
        <v>45468.97461805555</v>
      </c>
      <c r="C241" s="1" t="n">
        <v>46102</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30390-2025</t>
        </is>
      </c>
      <c r="B242" s="1" t="n">
        <v>45827.57371527778</v>
      </c>
      <c r="C242" s="1" t="n">
        <v>46102</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48477-2023</t>
        </is>
      </c>
      <c r="B243" s="1" t="n">
        <v>45206</v>
      </c>
      <c r="C243" s="1" t="n">
        <v>46102</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46102</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46102</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32445-2025</t>
        </is>
      </c>
      <c r="B246" s="1" t="n">
        <v>45838.38627314815</v>
      </c>
      <c r="C246" s="1" t="n">
        <v>46102</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34474-2025</t>
        </is>
      </c>
      <c r="B247" s="1" t="n">
        <v>45847.36528935185</v>
      </c>
      <c r="C247" s="1" t="n">
        <v>46102</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61324-2024</t>
        </is>
      </c>
      <c r="B248" s="1" t="n">
        <v>45646.34438657408</v>
      </c>
      <c r="C248" s="1" t="n">
        <v>46102</v>
      </c>
      <c r="D248" t="inlineStr">
        <is>
          <t>JÄMTLANDS LÄN</t>
        </is>
      </c>
      <c r="E248" t="inlineStr">
        <is>
          <t>RAGUNDA</t>
        </is>
      </c>
      <c r="F248" t="inlineStr">
        <is>
          <t>SCA</t>
        </is>
      </c>
      <c r="G248" t="n">
        <v>11.2</v>
      </c>
      <c r="H248" t="n">
        <v>1</v>
      </c>
      <c r="I248" t="n">
        <v>0</v>
      </c>
      <c r="J248" t="n">
        <v>0</v>
      </c>
      <c r="K248" t="n">
        <v>0</v>
      </c>
      <c r="L248" t="n">
        <v>0</v>
      </c>
      <c r="M248" t="n">
        <v>0</v>
      </c>
      <c r="N248" t="n">
        <v>0</v>
      </c>
      <c r="O248" t="n">
        <v>0</v>
      </c>
      <c r="P248" t="n">
        <v>0</v>
      </c>
      <c r="Q248" t="n">
        <v>1</v>
      </c>
      <c r="R248" s="2" t="inlineStr">
        <is>
          <t>Trana</t>
        </is>
      </c>
      <c r="S248">
        <f>HYPERLINK("https://klasma.github.io/Logging_2303/artfynd/A 61324-2024 artfynd.xlsx", "A 61324-2024")</f>
        <v/>
      </c>
      <c r="T248">
        <f>HYPERLINK("https://klasma.github.io/Logging_2303/kartor/A 61324-2024 karta.png", "A 61324-2024")</f>
        <v/>
      </c>
      <c r="V248">
        <f>HYPERLINK("https://klasma.github.io/Logging_2303/klagomål/A 61324-2024 FSC-klagomål.docx", "A 61324-2024")</f>
        <v/>
      </c>
      <c r="W248">
        <f>HYPERLINK("https://klasma.github.io/Logging_2303/klagomålsmail/A 61324-2024 FSC-klagomål mail.docx", "A 61324-2024")</f>
        <v/>
      </c>
      <c r="X248">
        <f>HYPERLINK("https://klasma.github.io/Logging_2303/tillsyn/A 61324-2024 tillsynsbegäran.docx", "A 61324-2024")</f>
        <v/>
      </c>
      <c r="Y248">
        <f>HYPERLINK("https://klasma.github.io/Logging_2303/tillsynsmail/A 61324-2024 tillsynsbegäran mail.docx", "A 61324-2024")</f>
        <v/>
      </c>
      <c r="Z248">
        <f>HYPERLINK("https://klasma.github.io/Logging_2303/fåglar/A 61324-2024 prioriterade fågelarter.docx", "A 61324-2024")</f>
        <v/>
      </c>
    </row>
    <row r="249" ht="15" customHeight="1">
      <c r="A249" t="inlineStr">
        <is>
          <t>A 32069-2024</t>
        </is>
      </c>
      <c r="B249" s="1" t="n">
        <v>45510</v>
      </c>
      <c r="C249" s="1" t="n">
        <v>46102</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19751-2025</t>
        </is>
      </c>
      <c r="B250" s="1" t="n">
        <v>45771.3859837963</v>
      </c>
      <c r="C250" s="1" t="n">
        <v>46102</v>
      </c>
      <c r="D250" t="inlineStr">
        <is>
          <t>JÄMTLANDS LÄN</t>
        </is>
      </c>
      <c r="E250" t="inlineStr">
        <is>
          <t>RAGUNDA</t>
        </is>
      </c>
      <c r="F250" t="inlineStr">
        <is>
          <t>SCA</t>
        </is>
      </c>
      <c r="G250" t="n">
        <v>1.1</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19751-2025 artfynd.xlsx", "A 19751-2025")</f>
        <v/>
      </c>
      <c r="T250">
        <f>HYPERLINK("https://klasma.github.io/Logging_2303/kartor/A 19751-2025 karta.png", "A 19751-2025")</f>
        <v/>
      </c>
      <c r="V250">
        <f>HYPERLINK("https://klasma.github.io/Logging_2303/klagomål/A 19751-2025 FSC-klagomål.docx", "A 19751-2025")</f>
        <v/>
      </c>
      <c r="W250">
        <f>HYPERLINK("https://klasma.github.io/Logging_2303/klagomålsmail/A 19751-2025 FSC-klagomål mail.docx", "A 19751-2025")</f>
        <v/>
      </c>
      <c r="X250">
        <f>HYPERLINK("https://klasma.github.io/Logging_2303/tillsyn/A 19751-2025 tillsynsbegäran.docx", "A 19751-2025")</f>
        <v/>
      </c>
      <c r="Y250">
        <f>HYPERLINK("https://klasma.github.io/Logging_2303/tillsynsmail/A 19751-2025 tillsynsbegäran mail.docx", "A 19751-2025")</f>
        <v/>
      </c>
      <c r="Z250">
        <f>HYPERLINK("https://klasma.github.io/Logging_2303/fåglar/A 19751-2025 prioriterade fågelarter.docx", "A 19751-2025")</f>
        <v/>
      </c>
    </row>
    <row r="251" ht="15" customHeight="1">
      <c r="A251" t="inlineStr">
        <is>
          <t>A 19387-2025</t>
        </is>
      </c>
      <c r="B251" s="1" t="n">
        <v>45769.65736111111</v>
      </c>
      <c r="C251" s="1" t="n">
        <v>46102</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2929-2024</t>
        </is>
      </c>
      <c r="B252" s="1" t="n">
        <v>45315</v>
      </c>
      <c r="C252" s="1" t="n">
        <v>46102</v>
      </c>
      <c r="D252" t="inlineStr">
        <is>
          <t>JÄMTLANDS LÄN</t>
        </is>
      </c>
      <c r="E252" t="inlineStr">
        <is>
          <t>RAGUNDA</t>
        </is>
      </c>
      <c r="G252" t="n">
        <v>1</v>
      </c>
      <c r="H252" t="n">
        <v>0</v>
      </c>
      <c r="I252" t="n">
        <v>0</v>
      </c>
      <c r="J252" t="n">
        <v>1</v>
      </c>
      <c r="K252" t="n">
        <v>0</v>
      </c>
      <c r="L252" t="n">
        <v>0</v>
      </c>
      <c r="M252" t="n">
        <v>0</v>
      </c>
      <c r="N252" t="n">
        <v>0</v>
      </c>
      <c r="O252" t="n">
        <v>1</v>
      </c>
      <c r="P252" t="n">
        <v>0</v>
      </c>
      <c r="Q252" t="n">
        <v>1</v>
      </c>
      <c r="R252" s="2" t="inlineStr">
        <is>
          <t>Klådris</t>
        </is>
      </c>
      <c r="S252">
        <f>HYPERLINK("https://klasma.github.io/Logging_2303/artfynd/A 2929-2024 artfynd.xlsx", "A 2929-2024")</f>
        <v/>
      </c>
      <c r="T252">
        <f>HYPERLINK("https://klasma.github.io/Logging_2303/kartor/A 2929-2024 karta.png", "A 2929-2024")</f>
        <v/>
      </c>
      <c r="V252">
        <f>HYPERLINK("https://klasma.github.io/Logging_2303/klagomål/A 2929-2024 FSC-klagomål.docx", "A 2929-2024")</f>
        <v/>
      </c>
      <c r="W252">
        <f>HYPERLINK("https://klasma.github.io/Logging_2303/klagomålsmail/A 2929-2024 FSC-klagomål mail.docx", "A 2929-2024")</f>
        <v/>
      </c>
      <c r="X252">
        <f>HYPERLINK("https://klasma.github.io/Logging_2303/tillsyn/A 2929-2024 tillsynsbegäran.docx", "A 2929-2024")</f>
        <v/>
      </c>
      <c r="Y252">
        <f>HYPERLINK("https://klasma.github.io/Logging_2303/tillsynsmail/A 2929-2024 tillsynsbegäran mail.docx", "A 2929-2024")</f>
        <v/>
      </c>
    </row>
    <row r="253" ht="15" customHeight="1">
      <c r="A253" t="inlineStr">
        <is>
          <t>A 58846-2024</t>
        </is>
      </c>
      <c r="B253" s="1" t="n">
        <v>45636.3863425926</v>
      </c>
      <c r="C253" s="1" t="n">
        <v>46102</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36854-2023</t>
        </is>
      </c>
      <c r="B254" s="1" t="n">
        <v>45153</v>
      </c>
      <c r="C254" s="1" t="n">
        <v>46102</v>
      </c>
      <c r="D254" t="inlineStr">
        <is>
          <t>JÄMTLANDS LÄN</t>
        </is>
      </c>
      <c r="E254" t="inlineStr">
        <is>
          <t>RAGUNDA</t>
        </is>
      </c>
      <c r="G254" t="n">
        <v>4</v>
      </c>
      <c r="H254" t="n">
        <v>1</v>
      </c>
      <c r="I254" t="n">
        <v>0</v>
      </c>
      <c r="J254" t="n">
        <v>1</v>
      </c>
      <c r="K254" t="n">
        <v>0</v>
      </c>
      <c r="L254" t="n">
        <v>0</v>
      </c>
      <c r="M254" t="n">
        <v>0</v>
      </c>
      <c r="N254" t="n">
        <v>0</v>
      </c>
      <c r="O254" t="n">
        <v>1</v>
      </c>
      <c r="P254" t="n">
        <v>0</v>
      </c>
      <c r="Q254" t="n">
        <v>1</v>
      </c>
      <c r="R254" s="2" t="inlineStr">
        <is>
          <t>Talltita</t>
        </is>
      </c>
      <c r="S254">
        <f>HYPERLINK("https://klasma.github.io/Logging_2303/artfynd/A 36854-2023 artfynd.xlsx", "A 36854-2023")</f>
        <v/>
      </c>
      <c r="T254">
        <f>HYPERLINK("https://klasma.github.io/Logging_2303/kartor/A 36854-2023 karta.png", "A 36854-2023")</f>
        <v/>
      </c>
      <c r="V254">
        <f>HYPERLINK("https://klasma.github.io/Logging_2303/klagomål/A 36854-2023 FSC-klagomål.docx", "A 36854-2023")</f>
        <v/>
      </c>
      <c r="W254">
        <f>HYPERLINK("https://klasma.github.io/Logging_2303/klagomålsmail/A 36854-2023 FSC-klagomål mail.docx", "A 36854-2023")</f>
        <v/>
      </c>
      <c r="X254">
        <f>HYPERLINK("https://klasma.github.io/Logging_2303/tillsyn/A 36854-2023 tillsynsbegäran.docx", "A 36854-2023")</f>
        <v/>
      </c>
      <c r="Y254">
        <f>HYPERLINK("https://klasma.github.io/Logging_2303/tillsynsmail/A 36854-2023 tillsynsbegäran mail.docx", "A 36854-2023")</f>
        <v/>
      </c>
      <c r="Z254">
        <f>HYPERLINK("https://klasma.github.io/Logging_2303/fåglar/A 36854-2023 prioriterade fågelarter.docx", "A 36854-2023")</f>
        <v/>
      </c>
    </row>
    <row r="255" ht="15" customHeight="1">
      <c r="A255" t="inlineStr">
        <is>
          <t>A 18985-2023</t>
        </is>
      </c>
      <c r="B255" s="1" t="n">
        <v>45044</v>
      </c>
      <c r="C255" s="1" t="n">
        <v>46102</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Doftskinn</t>
        </is>
      </c>
      <c r="S255">
        <f>HYPERLINK("https://klasma.github.io/Logging_2303/artfynd/A 18985-2023 artfynd.xlsx", "A 18985-2023")</f>
        <v/>
      </c>
      <c r="T255">
        <f>HYPERLINK("https://klasma.github.io/Logging_2303/kartor/A 18985-2023 karta.png", "A 18985-2023")</f>
        <v/>
      </c>
      <c r="V255">
        <f>HYPERLINK("https://klasma.github.io/Logging_2303/klagomål/A 18985-2023 FSC-klagomål.docx", "A 18985-2023")</f>
        <v/>
      </c>
      <c r="W255">
        <f>HYPERLINK("https://klasma.github.io/Logging_2303/klagomålsmail/A 18985-2023 FSC-klagomål mail.docx", "A 18985-2023")</f>
        <v/>
      </c>
      <c r="X255">
        <f>HYPERLINK("https://klasma.github.io/Logging_2303/tillsyn/A 18985-2023 tillsynsbegäran.docx", "A 18985-2023")</f>
        <v/>
      </c>
      <c r="Y255">
        <f>HYPERLINK("https://klasma.github.io/Logging_2303/tillsynsmail/A 18985-2023 tillsynsbegäran mail.docx", "A 18985-2023")</f>
        <v/>
      </c>
    </row>
    <row r="256" ht="15" customHeight="1">
      <c r="A256" t="inlineStr">
        <is>
          <t>A 35750-2023</t>
        </is>
      </c>
      <c r="B256" s="1" t="n">
        <v>45147</v>
      </c>
      <c r="C256" s="1" t="n">
        <v>46102</v>
      </c>
      <c r="D256" t="inlineStr">
        <is>
          <t>JÄMTLANDS LÄN</t>
        </is>
      </c>
      <c r="E256" t="inlineStr">
        <is>
          <t>RAGUNDA</t>
        </is>
      </c>
      <c r="F256" t="inlineStr">
        <is>
          <t>SCA</t>
        </is>
      </c>
      <c r="G256" t="n">
        <v>4.8</v>
      </c>
      <c r="H256" t="n">
        <v>0</v>
      </c>
      <c r="I256" t="n">
        <v>0</v>
      </c>
      <c r="J256" t="n">
        <v>1</v>
      </c>
      <c r="K256" t="n">
        <v>0</v>
      </c>
      <c r="L256" t="n">
        <v>0</v>
      </c>
      <c r="M256" t="n">
        <v>0</v>
      </c>
      <c r="N256" t="n">
        <v>0</v>
      </c>
      <c r="O256" t="n">
        <v>1</v>
      </c>
      <c r="P256" t="n">
        <v>0</v>
      </c>
      <c r="Q256" t="n">
        <v>1</v>
      </c>
      <c r="R256" s="2" t="inlineStr">
        <is>
          <t>Grantaggsvamp</t>
        </is>
      </c>
      <c r="S256">
        <f>HYPERLINK("https://klasma.github.io/Logging_2303/artfynd/A 35750-2023 artfynd.xlsx", "A 35750-2023")</f>
        <v/>
      </c>
      <c r="T256">
        <f>HYPERLINK("https://klasma.github.io/Logging_2303/kartor/A 35750-2023 karta.png", "A 35750-2023")</f>
        <v/>
      </c>
      <c r="V256">
        <f>HYPERLINK("https://klasma.github.io/Logging_2303/klagomål/A 35750-2023 FSC-klagomål.docx", "A 35750-2023")</f>
        <v/>
      </c>
      <c r="W256">
        <f>HYPERLINK("https://klasma.github.io/Logging_2303/klagomålsmail/A 35750-2023 FSC-klagomål mail.docx", "A 35750-2023")</f>
        <v/>
      </c>
      <c r="X256">
        <f>HYPERLINK("https://klasma.github.io/Logging_2303/tillsyn/A 35750-2023 tillsynsbegäran.docx", "A 35750-2023")</f>
        <v/>
      </c>
      <c r="Y256">
        <f>HYPERLINK("https://klasma.github.io/Logging_2303/tillsynsmail/A 35750-2023 tillsynsbegäran mail.docx", "A 35750-2023")</f>
        <v/>
      </c>
    </row>
    <row r="257" ht="15" customHeight="1">
      <c r="A257" t="inlineStr">
        <is>
          <t>A 62072-2023</t>
        </is>
      </c>
      <c r="B257" s="1" t="n">
        <v>45266</v>
      </c>
      <c r="C257" s="1" t="n">
        <v>46102</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Lappuggla</t>
        </is>
      </c>
      <c r="S257">
        <f>HYPERLINK("https://klasma.github.io/Logging_2303/artfynd/A 62072-2023 artfynd.xlsx", "A 62072-2023")</f>
        <v/>
      </c>
      <c r="T257">
        <f>HYPERLINK("https://klasma.github.io/Logging_2303/kartor/A 62072-2023 karta.png", "A 62072-2023")</f>
        <v/>
      </c>
      <c r="V257">
        <f>HYPERLINK("https://klasma.github.io/Logging_2303/klagomål/A 62072-2023 FSC-klagomål.docx", "A 62072-2023")</f>
        <v/>
      </c>
      <c r="W257">
        <f>HYPERLINK("https://klasma.github.io/Logging_2303/klagomålsmail/A 62072-2023 FSC-klagomål mail.docx", "A 62072-2023")</f>
        <v/>
      </c>
      <c r="X257">
        <f>HYPERLINK("https://klasma.github.io/Logging_2303/tillsyn/A 62072-2023 tillsynsbegäran.docx", "A 62072-2023")</f>
        <v/>
      </c>
      <c r="Y257">
        <f>HYPERLINK("https://klasma.github.io/Logging_2303/tillsynsmail/A 62072-2023 tillsynsbegäran mail.docx", "A 62072-2023")</f>
        <v/>
      </c>
      <c r="Z257">
        <f>HYPERLINK("https://klasma.github.io/Logging_2303/fåglar/A 62072-2023 prioriterade fågelarter.docx", "A 62072-2023")</f>
        <v/>
      </c>
    </row>
    <row r="258" ht="15" customHeight="1">
      <c r="A258" t="inlineStr">
        <is>
          <t>A 20774-2024</t>
        </is>
      </c>
      <c r="B258" s="1" t="n">
        <v>45436.94644675926</v>
      </c>
      <c r="C258" s="1" t="n">
        <v>46102</v>
      </c>
      <c r="D258" t="inlineStr">
        <is>
          <t>JÄMTLANDS LÄN</t>
        </is>
      </c>
      <c r="E258" t="inlineStr">
        <is>
          <t>RAGUNDA</t>
        </is>
      </c>
      <c r="F258" t="inlineStr">
        <is>
          <t>SCA</t>
        </is>
      </c>
      <c r="G258" t="n">
        <v>2.3</v>
      </c>
      <c r="H258" t="n">
        <v>0</v>
      </c>
      <c r="I258" t="n">
        <v>1</v>
      </c>
      <c r="J258" t="n">
        <v>0</v>
      </c>
      <c r="K258" t="n">
        <v>0</v>
      </c>
      <c r="L258" t="n">
        <v>0</v>
      </c>
      <c r="M258" t="n">
        <v>0</v>
      </c>
      <c r="N258" t="n">
        <v>0</v>
      </c>
      <c r="O258" t="n">
        <v>0</v>
      </c>
      <c r="P258" t="n">
        <v>0</v>
      </c>
      <c r="Q258" t="n">
        <v>1</v>
      </c>
      <c r="R258" s="2" t="inlineStr">
        <is>
          <t>Fjällig taggsvamp s.str.</t>
        </is>
      </c>
      <c r="S258">
        <f>HYPERLINK("https://klasma.github.io/Logging_2303/artfynd/A 20774-2024 artfynd.xlsx", "A 20774-2024")</f>
        <v/>
      </c>
      <c r="T258">
        <f>HYPERLINK("https://klasma.github.io/Logging_2303/kartor/A 20774-2024 karta.png", "A 20774-2024")</f>
        <v/>
      </c>
      <c r="V258">
        <f>HYPERLINK("https://klasma.github.io/Logging_2303/klagomål/A 20774-2024 FSC-klagomål.docx", "A 20774-2024")</f>
        <v/>
      </c>
      <c r="W258">
        <f>HYPERLINK("https://klasma.github.io/Logging_2303/klagomålsmail/A 20774-2024 FSC-klagomål mail.docx", "A 20774-2024")</f>
        <v/>
      </c>
      <c r="X258">
        <f>HYPERLINK("https://klasma.github.io/Logging_2303/tillsyn/A 20774-2024 tillsynsbegäran.docx", "A 20774-2024")</f>
        <v/>
      </c>
      <c r="Y258">
        <f>HYPERLINK("https://klasma.github.io/Logging_2303/tillsynsmail/A 20774-2024 tillsynsbegäran mail.docx", "A 20774-2024")</f>
        <v/>
      </c>
    </row>
    <row r="259" ht="15" customHeight="1">
      <c r="A259" t="inlineStr">
        <is>
          <t>A 36757-2023</t>
        </is>
      </c>
      <c r="B259" s="1" t="n">
        <v>45153</v>
      </c>
      <c r="C259" s="1" t="n">
        <v>46102</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21212-2025</t>
        </is>
      </c>
      <c r="B260" s="1" t="n">
        <v>45779.48993055556</v>
      </c>
      <c r="C260" s="1" t="n">
        <v>46102</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46102</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46102</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46102</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46102</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46102</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46102</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46102</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46102</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46102</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46102</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46102</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46102</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46102</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46102</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46102</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46102</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46102</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46102</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46102</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46102</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46102</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46102</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46102</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46102</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46102</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46102</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46102</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46102</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46102</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46102</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46102</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46102</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46102</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46102</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46102</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46102</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46102</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46102</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46102</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46102</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46102</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46102</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46102</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46102</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46102</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46102</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46102</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46102</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46102</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46102</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46102</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46102</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46102</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46102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46102</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46102</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46102</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46102</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51012-2022</t>
        </is>
      </c>
      <c r="B319" s="1" t="n">
        <v>44867</v>
      </c>
      <c r="C319" s="1" t="n">
        <v>46102</v>
      </c>
      <c r="D319" t="inlineStr">
        <is>
          <t>JÄMTLANDS LÄN</t>
        </is>
      </c>
      <c r="E319" t="inlineStr">
        <is>
          <t>RAGUNDA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53288-2022</t>
        </is>
      </c>
      <c r="B320" s="1" t="n">
        <v>44876.95104166667</v>
      </c>
      <c r="C320" s="1" t="n">
        <v>46102</v>
      </c>
      <c r="D320" t="inlineStr">
        <is>
          <t>JÄMTLANDS LÄN</t>
        </is>
      </c>
      <c r="E320" t="inlineStr">
        <is>
          <t>RAGUNDA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55932-2021</t>
        </is>
      </c>
      <c r="B321" s="1" t="n">
        <v>44476</v>
      </c>
      <c r="C321" s="1" t="n">
        <v>46102</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46102</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6492-2022</t>
        </is>
      </c>
      <c r="B323" s="1" t="n">
        <v>44601</v>
      </c>
      <c r="C323" s="1" t="n">
        <v>46102</v>
      </c>
      <c r="D323" t="inlineStr">
        <is>
          <t>JÄMTLANDS LÄN</t>
        </is>
      </c>
      <c r="E323" t="inlineStr">
        <is>
          <t>RAGUNDA</t>
        </is>
      </c>
      <c r="G323" t="n">
        <v>0.8</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46102</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46102</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28887-2021</t>
        </is>
      </c>
      <c r="B326" s="1" t="n">
        <v>44357</v>
      </c>
      <c r="C326" s="1" t="n">
        <v>46102</v>
      </c>
      <c r="D326" t="inlineStr">
        <is>
          <t>JÄMTLANDS LÄN</t>
        </is>
      </c>
      <c r="E326" t="inlineStr">
        <is>
          <t>RAGUNDA</t>
        </is>
      </c>
      <c r="G326" t="n">
        <v>1.8</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46102</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46102</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46102</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46102</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46102</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46102</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46102</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46102</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46102</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46992-2022</t>
        </is>
      </c>
      <c r="B336" s="1" t="n">
        <v>44851.95488425926</v>
      </c>
      <c r="C336" s="1" t="n">
        <v>46102</v>
      </c>
      <c r="D336" t="inlineStr">
        <is>
          <t>JÄMTLANDS LÄN</t>
        </is>
      </c>
      <c r="E336" t="inlineStr">
        <is>
          <t>RAGUNDA</t>
        </is>
      </c>
      <c r="F336" t="inlineStr">
        <is>
          <t>SCA</t>
        </is>
      </c>
      <c r="G336" t="n">
        <v>26.4</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46102</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46102</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46102</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46102</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46102</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46102</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24741-2022</t>
        </is>
      </c>
      <c r="B343" s="1" t="n">
        <v>44727</v>
      </c>
      <c r="C343" s="1" t="n">
        <v>46102</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40978-2022</t>
        </is>
      </c>
      <c r="B344" s="1" t="n">
        <v>44823</v>
      </c>
      <c r="C344" s="1" t="n">
        <v>46102</v>
      </c>
      <c r="D344" t="inlineStr">
        <is>
          <t>JÄMTLANDS LÄN</t>
        </is>
      </c>
      <c r="E344" t="inlineStr">
        <is>
          <t>RAGUNDA</t>
        </is>
      </c>
      <c r="G344" t="n">
        <v>1.5</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46102</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46102</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46102</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46102</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46102</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46102</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46102</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46102</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46102</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46102</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46102</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46102</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46102</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46102</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46102</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46102</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46102</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46102</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46102</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46102</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46102</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46102</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46102</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46102</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47803-2022</t>
        </is>
      </c>
      <c r="B369" s="1" t="n">
        <v>44854.95390046296</v>
      </c>
      <c r="C369" s="1" t="n">
        <v>46102</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32986-2022</t>
        </is>
      </c>
      <c r="B370" s="1" t="n">
        <v>44784.94157407407</v>
      </c>
      <c r="C370" s="1" t="n">
        <v>46102</v>
      </c>
      <c r="D370" t="inlineStr">
        <is>
          <t>JÄMTLANDS LÄN</t>
        </is>
      </c>
      <c r="E370" t="inlineStr">
        <is>
          <t>RAGUNDA</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44831.9485300926</v>
      </c>
      <c r="C371" s="1" t="n">
        <v>46102</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42267-2022</t>
        </is>
      </c>
      <c r="B372" s="1" t="n">
        <v>44830</v>
      </c>
      <c r="C372" s="1" t="n">
        <v>46102</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44832.95300925926</v>
      </c>
      <c r="C373" s="1" t="n">
        <v>46102</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46102</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46102</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46102</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46102</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46102</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46102</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46102</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46102</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46102</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19600-2021</t>
        </is>
      </c>
      <c r="B383" s="1" t="n">
        <v>44308</v>
      </c>
      <c r="C383" s="1" t="n">
        <v>46102</v>
      </c>
      <c r="D383" t="inlineStr">
        <is>
          <t>JÄMTLANDS LÄN</t>
        </is>
      </c>
      <c r="E383" t="inlineStr">
        <is>
          <t>RAGUNDA</t>
        </is>
      </c>
      <c r="G383" t="n">
        <v>4.3</v>
      </c>
      <c r="H383" t="n">
        <v>0</v>
      </c>
      <c r="I383" t="n">
        <v>0</v>
      </c>
      <c r="J383" t="n">
        <v>0</v>
      </c>
      <c r="K383" t="n">
        <v>0</v>
      </c>
      <c r="L383" t="n">
        <v>0</v>
      </c>
      <c r="M383" t="n">
        <v>0</v>
      </c>
      <c r="N383" t="n">
        <v>0</v>
      </c>
      <c r="O383" t="n">
        <v>0</v>
      </c>
      <c r="P383" t="n">
        <v>0</v>
      </c>
      <c r="Q383" t="n">
        <v>0</v>
      </c>
      <c r="R383" s="2" t="inlineStr"/>
    </row>
    <row r="384" ht="15" customHeight="1">
      <c r="A384" t="inlineStr">
        <is>
          <t>A 26948-2021</t>
        </is>
      </c>
      <c r="B384" s="1" t="n">
        <v>44349.92013888889</v>
      </c>
      <c r="C384" s="1" t="n">
        <v>46102</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46102</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46102</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46102</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46102</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46102</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46102</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46102</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46102</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60313-2021</t>
        </is>
      </c>
      <c r="B393" s="1" t="n">
        <v>44495</v>
      </c>
      <c r="C393" s="1" t="n">
        <v>46102</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21194-2022</t>
        </is>
      </c>
      <c r="B394" s="1" t="n">
        <v>44704.9422337963</v>
      </c>
      <c r="C394" s="1" t="n">
        <v>46102</v>
      </c>
      <c r="D394" t="inlineStr">
        <is>
          <t>JÄMTLANDS LÄN</t>
        </is>
      </c>
      <c r="E394" t="inlineStr">
        <is>
          <t>RAGUNDA</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46102</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46102</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46102</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46102</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46102</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5175-2023</t>
        </is>
      </c>
      <c r="B400" s="1" t="n">
        <v>44958.94298611111</v>
      </c>
      <c r="C400" s="1" t="n">
        <v>46102</v>
      </c>
      <c r="D400" t="inlineStr">
        <is>
          <t>JÄMTLANDS LÄN</t>
        </is>
      </c>
      <c r="E400" t="inlineStr">
        <is>
          <t>RAGUNDA</t>
        </is>
      </c>
      <c r="F400" t="inlineStr">
        <is>
          <t>SCA</t>
        </is>
      </c>
      <c r="G400" t="n">
        <v>17.9</v>
      </c>
      <c r="H400" t="n">
        <v>0</v>
      </c>
      <c r="I400" t="n">
        <v>0</v>
      </c>
      <c r="J400" t="n">
        <v>0</v>
      </c>
      <c r="K400" t="n">
        <v>0</v>
      </c>
      <c r="L400" t="n">
        <v>0</v>
      </c>
      <c r="M400" t="n">
        <v>0</v>
      </c>
      <c r="N400" t="n">
        <v>0</v>
      </c>
      <c r="O400" t="n">
        <v>0</v>
      </c>
      <c r="P400" t="n">
        <v>0</v>
      </c>
      <c r="Q400" t="n">
        <v>0</v>
      </c>
      <c r="R400" s="2" t="inlineStr"/>
    </row>
    <row r="401" ht="15" customHeight="1">
      <c r="A401" t="inlineStr">
        <is>
          <t>A 14896-2022</t>
        </is>
      </c>
      <c r="B401" s="1" t="n">
        <v>44656</v>
      </c>
      <c r="C401" s="1" t="n">
        <v>46102</v>
      </c>
      <c r="D401" t="inlineStr">
        <is>
          <t>JÄMTLANDS LÄN</t>
        </is>
      </c>
      <c r="E401" t="inlineStr">
        <is>
          <t>RAGUNDA</t>
        </is>
      </c>
      <c r="F401" t="inlineStr">
        <is>
          <t>SCA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46102</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20574-2025</t>
        </is>
      </c>
      <c r="B403" s="1" t="n">
        <v>45775.67747685185</v>
      </c>
      <c r="C403" s="1" t="n">
        <v>46102</v>
      </c>
      <c r="D403" t="inlineStr">
        <is>
          <t>JÄMTLANDS LÄN</t>
        </is>
      </c>
      <c r="E403" t="inlineStr">
        <is>
          <t>RAGUNDA</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24197-2024</t>
        </is>
      </c>
      <c r="B404" s="1" t="n">
        <v>45456.96601851852</v>
      </c>
      <c r="C404" s="1" t="n">
        <v>46102</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46102</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36246-2024</t>
        </is>
      </c>
      <c r="B406" s="1" t="n">
        <v>45534</v>
      </c>
      <c r="C406" s="1" t="n">
        <v>46102</v>
      </c>
      <c r="D406" t="inlineStr">
        <is>
          <t>JÄMTLANDS LÄN</t>
        </is>
      </c>
      <c r="E406" t="inlineStr">
        <is>
          <t>RAGUNDA</t>
        </is>
      </c>
      <c r="G406" t="n">
        <v>1.6</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46102</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14156-2024</t>
        </is>
      </c>
      <c r="B408" s="1" t="n">
        <v>45392</v>
      </c>
      <c r="C408" s="1" t="n">
        <v>46102</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14157-2024</t>
        </is>
      </c>
      <c r="B409" s="1" t="n">
        <v>45392.92903935185</v>
      </c>
      <c r="C409" s="1" t="n">
        <v>46102</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11558-2023</t>
        </is>
      </c>
      <c r="B410" s="1" t="n">
        <v>44993.94958333333</v>
      </c>
      <c r="C410" s="1" t="n">
        <v>46102</v>
      </c>
      <c r="D410" t="inlineStr">
        <is>
          <t>JÄMTLANDS LÄN</t>
        </is>
      </c>
      <c r="E410" t="inlineStr">
        <is>
          <t>RAGUNDA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4882-2023</t>
        </is>
      </c>
      <c r="B411" s="1" t="n">
        <v>44957.94075231482</v>
      </c>
      <c r="C411" s="1" t="n">
        <v>46102</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15554-2025</t>
        </is>
      </c>
      <c r="B412" s="1" t="n">
        <v>45747.67739583334</v>
      </c>
      <c r="C412" s="1" t="n">
        <v>46102</v>
      </c>
      <c r="D412" t="inlineStr">
        <is>
          <t>JÄMTLANDS LÄN</t>
        </is>
      </c>
      <c r="E412" t="inlineStr">
        <is>
          <t>RAGUNDA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46102</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46102</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46102</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13276-2025</t>
        </is>
      </c>
      <c r="B416" s="1" t="n">
        <v>45735.5517824074</v>
      </c>
      <c r="C416" s="1" t="n">
        <v>46102</v>
      </c>
      <c r="D416" t="inlineStr">
        <is>
          <t>JÄMTLANDS LÄN</t>
        </is>
      </c>
      <c r="E416" t="inlineStr">
        <is>
          <t>RAGUNDA</t>
        </is>
      </c>
      <c r="G416" t="n">
        <v>16.6</v>
      </c>
      <c r="H416" t="n">
        <v>0</v>
      </c>
      <c r="I416" t="n">
        <v>0</v>
      </c>
      <c r="J416" t="n">
        <v>0</v>
      </c>
      <c r="K416" t="n">
        <v>0</v>
      </c>
      <c r="L416" t="n">
        <v>0</v>
      </c>
      <c r="M416" t="n">
        <v>0</v>
      </c>
      <c r="N416" t="n">
        <v>0</v>
      </c>
      <c r="O416" t="n">
        <v>0</v>
      </c>
      <c r="P416" t="n">
        <v>0</v>
      </c>
      <c r="Q416" t="n">
        <v>0</v>
      </c>
      <c r="R416" s="2" t="inlineStr"/>
    </row>
    <row r="417" ht="15" customHeight="1">
      <c r="A417" t="inlineStr">
        <is>
          <t>A 13767-2022</t>
        </is>
      </c>
      <c r="B417" s="1" t="n">
        <v>44649.47048611111</v>
      </c>
      <c r="C417" s="1" t="n">
        <v>46102</v>
      </c>
      <c r="D417" t="inlineStr">
        <is>
          <t>JÄMTLANDS LÄN</t>
        </is>
      </c>
      <c r="E417" t="inlineStr">
        <is>
          <t>RAGUNDA</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55487-2023</t>
        </is>
      </c>
      <c r="B418" s="1" t="n">
        <v>45238</v>
      </c>
      <c r="C418" s="1" t="n">
        <v>46102</v>
      </c>
      <c r="D418" t="inlineStr">
        <is>
          <t>JÄMTLANDS LÄN</t>
        </is>
      </c>
      <c r="E418" t="inlineStr">
        <is>
          <t>RAGUNDA</t>
        </is>
      </c>
      <c r="G418" t="n">
        <v>3</v>
      </c>
      <c r="H418" t="n">
        <v>0</v>
      </c>
      <c r="I418" t="n">
        <v>0</v>
      </c>
      <c r="J418" t="n">
        <v>0</v>
      </c>
      <c r="K418" t="n">
        <v>0</v>
      </c>
      <c r="L418" t="n">
        <v>0</v>
      </c>
      <c r="M418" t="n">
        <v>0</v>
      </c>
      <c r="N418" t="n">
        <v>0</v>
      </c>
      <c r="O418" t="n">
        <v>0</v>
      </c>
      <c r="P418" t="n">
        <v>0</v>
      </c>
      <c r="Q418" t="n">
        <v>0</v>
      </c>
      <c r="R418" s="2" t="inlineStr"/>
    </row>
    <row r="419" ht="15" customHeight="1">
      <c r="A419" t="inlineStr">
        <is>
          <t>A 18454-2021</t>
        </is>
      </c>
      <c r="B419" s="1" t="n">
        <v>44305.92047453704</v>
      </c>
      <c r="C419" s="1" t="n">
        <v>46102</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1308-2025</t>
        </is>
      </c>
      <c r="B420" s="1" t="n">
        <v>45667.55239583334</v>
      </c>
      <c r="C420" s="1" t="n">
        <v>46102</v>
      </c>
      <c r="D420" t="inlineStr">
        <is>
          <t>JÄMTLANDS LÄN</t>
        </is>
      </c>
      <c r="E420" t="inlineStr">
        <is>
          <t>RAGUNDA</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45335-2023</t>
        </is>
      </c>
      <c r="B421" s="1" t="n">
        <v>45191</v>
      </c>
      <c r="C421" s="1" t="n">
        <v>46102</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11048-2023</t>
        </is>
      </c>
      <c r="B422" s="1" t="n">
        <v>44991</v>
      </c>
      <c r="C422" s="1" t="n">
        <v>46102</v>
      </c>
      <c r="D422" t="inlineStr">
        <is>
          <t>JÄMTLANDS LÄN</t>
        </is>
      </c>
      <c r="E422" t="inlineStr">
        <is>
          <t>RAGUNDA</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11062-2023</t>
        </is>
      </c>
      <c r="B423" s="1" t="n">
        <v>44991</v>
      </c>
      <c r="C423" s="1" t="n">
        <v>46102</v>
      </c>
      <c r="D423" t="inlineStr">
        <is>
          <t>JÄMTLANDS LÄN</t>
        </is>
      </c>
      <c r="E423" t="inlineStr">
        <is>
          <t>RAGUNDA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11252-2025</t>
        </is>
      </c>
      <c r="B424" s="1" t="n">
        <v>45726.38615740741</v>
      </c>
      <c r="C424" s="1" t="n">
        <v>46102</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22569-2023</t>
        </is>
      </c>
      <c r="B425" s="1" t="n">
        <v>45069</v>
      </c>
      <c r="C425" s="1" t="n">
        <v>46102</v>
      </c>
      <c r="D425" t="inlineStr">
        <is>
          <t>JÄMTLANDS LÄN</t>
        </is>
      </c>
      <c r="E425" t="inlineStr">
        <is>
          <t>RAGUNDA</t>
        </is>
      </c>
      <c r="G425" t="n">
        <v>6.6</v>
      </c>
      <c r="H425" t="n">
        <v>0</v>
      </c>
      <c r="I425" t="n">
        <v>0</v>
      </c>
      <c r="J425" t="n">
        <v>0</v>
      </c>
      <c r="K425" t="n">
        <v>0</v>
      </c>
      <c r="L425" t="n">
        <v>0</v>
      </c>
      <c r="M425" t="n">
        <v>0</v>
      </c>
      <c r="N425" t="n">
        <v>0</v>
      </c>
      <c r="O425" t="n">
        <v>0</v>
      </c>
      <c r="P425" t="n">
        <v>0</v>
      </c>
      <c r="Q425" t="n">
        <v>0</v>
      </c>
      <c r="R425" s="2" t="inlineStr"/>
    </row>
    <row r="426" ht="15" customHeight="1">
      <c r="A426" t="inlineStr">
        <is>
          <t>A 44630-2023</t>
        </is>
      </c>
      <c r="B426" s="1" t="n">
        <v>45184</v>
      </c>
      <c r="C426" s="1" t="n">
        <v>46102</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46102</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46102</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57064-2024</t>
        </is>
      </c>
      <c r="B429" s="1" t="n">
        <v>45629.35326388889</v>
      </c>
      <c r="C429" s="1" t="n">
        <v>46102</v>
      </c>
      <c r="D429" t="inlineStr">
        <is>
          <t>JÄMTLANDS LÄN</t>
        </is>
      </c>
      <c r="E429" t="inlineStr">
        <is>
          <t>RAGUNDA</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25332-2023</t>
        </is>
      </c>
      <c r="B430" s="1" t="n">
        <v>45086.94010416666</v>
      </c>
      <c r="C430" s="1" t="n">
        <v>46102</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29920-2024</t>
        </is>
      </c>
      <c r="B431" s="1" t="n">
        <v>45487.92856481481</v>
      </c>
      <c r="C431" s="1" t="n">
        <v>46102</v>
      </c>
      <c r="D431" t="inlineStr">
        <is>
          <t>JÄMTLANDS LÄN</t>
        </is>
      </c>
      <c r="E431" t="inlineStr">
        <is>
          <t>RAGUNDA</t>
        </is>
      </c>
      <c r="G431" t="n">
        <v>3.4</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46102</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57889-2024</t>
        </is>
      </c>
      <c r="B433" s="1" t="n">
        <v>45631.46665509259</v>
      </c>
      <c r="C433" s="1" t="n">
        <v>46102</v>
      </c>
      <c r="D433" t="inlineStr">
        <is>
          <t>JÄMTLANDS LÄN</t>
        </is>
      </c>
      <c r="E433" t="inlineStr">
        <is>
          <t>RAGUNDA</t>
        </is>
      </c>
      <c r="G433" t="n">
        <v>11.1</v>
      </c>
      <c r="H433" t="n">
        <v>0</v>
      </c>
      <c r="I433" t="n">
        <v>0</v>
      </c>
      <c r="J433" t="n">
        <v>0</v>
      </c>
      <c r="K433" t="n">
        <v>0</v>
      </c>
      <c r="L433" t="n">
        <v>0</v>
      </c>
      <c r="M433" t="n">
        <v>0</v>
      </c>
      <c r="N433" t="n">
        <v>0</v>
      </c>
      <c r="O433" t="n">
        <v>0</v>
      </c>
      <c r="P433" t="n">
        <v>0</v>
      </c>
      <c r="Q433" t="n">
        <v>0</v>
      </c>
      <c r="R433" s="2" t="inlineStr"/>
    </row>
    <row r="434" ht="15" customHeight="1">
      <c r="A434" t="inlineStr">
        <is>
          <t>A 44778-2024</t>
        </is>
      </c>
      <c r="B434" s="1" t="n">
        <v>45574.63355324074</v>
      </c>
      <c r="C434" s="1" t="n">
        <v>46102</v>
      </c>
      <c r="D434" t="inlineStr">
        <is>
          <t>JÄMTLANDS LÄN</t>
        </is>
      </c>
      <c r="E434" t="inlineStr">
        <is>
          <t>RAGUNDA</t>
        </is>
      </c>
      <c r="G434" t="n">
        <v>5.5</v>
      </c>
      <c r="H434" t="n">
        <v>0</v>
      </c>
      <c r="I434" t="n">
        <v>0</v>
      </c>
      <c r="J434" t="n">
        <v>0</v>
      </c>
      <c r="K434" t="n">
        <v>0</v>
      </c>
      <c r="L434" t="n">
        <v>0</v>
      </c>
      <c r="M434" t="n">
        <v>0</v>
      </c>
      <c r="N434" t="n">
        <v>0</v>
      </c>
      <c r="O434" t="n">
        <v>0</v>
      </c>
      <c r="P434" t="n">
        <v>0</v>
      </c>
      <c r="Q434" t="n">
        <v>0</v>
      </c>
      <c r="R434" s="2" t="inlineStr"/>
    </row>
    <row r="435" ht="15" customHeight="1">
      <c r="A435" t="inlineStr">
        <is>
          <t>A 3767-2025</t>
        </is>
      </c>
      <c r="B435" s="1" t="n">
        <v>45681.60203703704</v>
      </c>
      <c r="C435" s="1" t="n">
        <v>46102</v>
      </c>
      <c r="D435" t="inlineStr">
        <is>
          <t>JÄMTLANDS LÄN</t>
        </is>
      </c>
      <c r="E435" t="inlineStr">
        <is>
          <t>RAGUNDA</t>
        </is>
      </c>
      <c r="G435" t="n">
        <v>4.9</v>
      </c>
      <c r="H435" t="n">
        <v>0</v>
      </c>
      <c r="I435" t="n">
        <v>0</v>
      </c>
      <c r="J435" t="n">
        <v>0</v>
      </c>
      <c r="K435" t="n">
        <v>0</v>
      </c>
      <c r="L435" t="n">
        <v>0</v>
      </c>
      <c r="M435" t="n">
        <v>0</v>
      </c>
      <c r="N435" t="n">
        <v>0</v>
      </c>
      <c r="O435" t="n">
        <v>0</v>
      </c>
      <c r="P435" t="n">
        <v>0</v>
      </c>
      <c r="Q435" t="n">
        <v>0</v>
      </c>
      <c r="R435" s="2" t="inlineStr"/>
    </row>
    <row r="436" ht="15" customHeight="1">
      <c r="A436" t="inlineStr">
        <is>
          <t>A 2673-2024</t>
        </is>
      </c>
      <c r="B436" s="1" t="n">
        <v>45314</v>
      </c>
      <c r="C436" s="1" t="n">
        <v>46102</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64492-2023</t>
        </is>
      </c>
      <c r="B437" s="1" t="n">
        <v>45280.92645833334</v>
      </c>
      <c r="C437" s="1" t="n">
        <v>46102</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60629-2023</t>
        </is>
      </c>
      <c r="B438" s="1" t="n">
        <v>45259</v>
      </c>
      <c r="C438" s="1" t="n">
        <v>46102</v>
      </c>
      <c r="D438" t="inlineStr">
        <is>
          <t>JÄMTLANDS LÄN</t>
        </is>
      </c>
      <c r="E438" t="inlineStr">
        <is>
          <t>RAGUNDA</t>
        </is>
      </c>
      <c r="G438" t="n">
        <v>3.4</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46102</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55897-2025</t>
        </is>
      </c>
      <c r="B440" s="1" t="n">
        <v>45973.38600694444</v>
      </c>
      <c r="C440" s="1" t="n">
        <v>46102</v>
      </c>
      <c r="D440" t="inlineStr">
        <is>
          <t>JÄMTLANDS LÄN</t>
        </is>
      </c>
      <c r="E440" t="inlineStr">
        <is>
          <t>RAGUNDA</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12783-2023</t>
        </is>
      </c>
      <c r="B441" s="1" t="n">
        <v>45000</v>
      </c>
      <c r="C441" s="1" t="n">
        <v>46102</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53171-2024</t>
        </is>
      </c>
      <c r="B442" s="1" t="n">
        <v>45611.65679398148</v>
      </c>
      <c r="C442" s="1" t="n">
        <v>46102</v>
      </c>
      <c r="D442" t="inlineStr">
        <is>
          <t>JÄMTLANDS LÄN</t>
        </is>
      </c>
      <c r="E442" t="inlineStr">
        <is>
          <t>RAGUNDA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7279-2024</t>
        </is>
      </c>
      <c r="B443" s="1" t="n">
        <v>45344.92822916667</v>
      </c>
      <c r="C443" s="1" t="n">
        <v>46102</v>
      </c>
      <c r="D443" t="inlineStr">
        <is>
          <t>JÄMTLANDS LÄN</t>
        </is>
      </c>
      <c r="E443" t="inlineStr">
        <is>
          <t>RAGUNDA</t>
        </is>
      </c>
      <c r="G443" t="n">
        <v>2.1</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46102</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56435-2025</t>
        </is>
      </c>
      <c r="B445" s="1" t="n">
        <v>45975.34679398148</v>
      </c>
      <c r="C445" s="1" t="n">
        <v>46102</v>
      </c>
      <c r="D445" t="inlineStr">
        <is>
          <t>JÄMTLANDS LÄN</t>
        </is>
      </c>
      <c r="E445" t="inlineStr">
        <is>
          <t>RAGUNDA</t>
        </is>
      </c>
      <c r="F445" t="inlineStr">
        <is>
          <t>SCA</t>
        </is>
      </c>
      <c r="G445" t="n">
        <v>9.199999999999999</v>
      </c>
      <c r="H445" t="n">
        <v>0</v>
      </c>
      <c r="I445" t="n">
        <v>0</v>
      </c>
      <c r="J445" t="n">
        <v>0</v>
      </c>
      <c r="K445" t="n">
        <v>0</v>
      </c>
      <c r="L445" t="n">
        <v>0</v>
      </c>
      <c r="M445" t="n">
        <v>0</v>
      </c>
      <c r="N445" t="n">
        <v>0</v>
      </c>
      <c r="O445" t="n">
        <v>0</v>
      </c>
      <c r="P445" t="n">
        <v>0</v>
      </c>
      <c r="Q445" t="n">
        <v>0</v>
      </c>
      <c r="R445" s="2" t="inlineStr"/>
      <c r="U445">
        <f>HYPERLINK("https://klasma.github.io/Logging_2303/knärot/A 56435-2025 karta knärot.png", "A 56435-2025")</f>
        <v/>
      </c>
      <c r="V445">
        <f>HYPERLINK("https://klasma.github.io/Logging_2303/klagomål/A 56435-2025 FSC-klagomål.docx", "A 56435-2025")</f>
        <v/>
      </c>
      <c r="W445">
        <f>HYPERLINK("https://klasma.github.io/Logging_2303/klagomålsmail/A 56435-2025 FSC-klagomål mail.docx", "A 56435-2025")</f>
        <v/>
      </c>
      <c r="X445">
        <f>HYPERLINK("https://klasma.github.io/Logging_2303/tillsyn/A 56435-2025 tillsynsbegäran.docx", "A 56435-2025")</f>
        <v/>
      </c>
      <c r="Y445">
        <f>HYPERLINK("https://klasma.github.io/Logging_2303/tillsynsmail/A 56435-2025 tillsynsbegäran mail.docx", "A 56435-2025")</f>
        <v/>
      </c>
    </row>
    <row r="446" ht="15" customHeight="1">
      <c r="A446" t="inlineStr">
        <is>
          <t>A 56170-2025</t>
        </is>
      </c>
      <c r="B446" s="1" t="n">
        <v>45974.39398148148</v>
      </c>
      <c r="C446" s="1" t="n">
        <v>46102</v>
      </c>
      <c r="D446" t="inlineStr">
        <is>
          <t>JÄMTLANDS LÄN</t>
        </is>
      </c>
      <c r="E446" t="inlineStr">
        <is>
          <t>RAGUNDA</t>
        </is>
      </c>
      <c r="G446" t="n">
        <v>2</v>
      </c>
      <c r="H446" t="n">
        <v>0</v>
      </c>
      <c r="I446" t="n">
        <v>0</v>
      </c>
      <c r="J446" t="n">
        <v>0</v>
      </c>
      <c r="K446" t="n">
        <v>0</v>
      </c>
      <c r="L446" t="n">
        <v>0</v>
      </c>
      <c r="M446" t="n">
        <v>0</v>
      </c>
      <c r="N446" t="n">
        <v>0</v>
      </c>
      <c r="O446" t="n">
        <v>0</v>
      </c>
      <c r="P446" t="n">
        <v>0</v>
      </c>
      <c r="Q446" t="n">
        <v>0</v>
      </c>
      <c r="R446" s="2" t="inlineStr"/>
    </row>
    <row r="447" ht="15" customHeight="1">
      <c r="A447" t="inlineStr">
        <is>
          <t>A 12660-2024</t>
        </is>
      </c>
      <c r="B447" s="1" t="n">
        <v>45384</v>
      </c>
      <c r="C447" s="1" t="n">
        <v>46102</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46102</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22388-2025</t>
        </is>
      </c>
      <c r="B449" s="1" t="n">
        <v>45786.51077546296</v>
      </c>
      <c r="C449" s="1" t="n">
        <v>46102</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57111-2025</t>
        </is>
      </c>
      <c r="B450" s="1" t="n">
        <v>45978</v>
      </c>
      <c r="C450" s="1" t="n">
        <v>46102</v>
      </c>
      <c r="D450" t="inlineStr">
        <is>
          <t>JÄMTLANDS LÄN</t>
        </is>
      </c>
      <c r="E450" t="inlineStr">
        <is>
          <t>RAGUNDA</t>
        </is>
      </c>
      <c r="G450" t="n">
        <v>2.3</v>
      </c>
      <c r="H450" t="n">
        <v>0</v>
      </c>
      <c r="I450" t="n">
        <v>0</v>
      </c>
      <c r="J450" t="n">
        <v>0</v>
      </c>
      <c r="K450" t="n">
        <v>0</v>
      </c>
      <c r="L450" t="n">
        <v>0</v>
      </c>
      <c r="M450" t="n">
        <v>0</v>
      </c>
      <c r="N450" t="n">
        <v>0</v>
      </c>
      <c r="O450" t="n">
        <v>0</v>
      </c>
      <c r="P450" t="n">
        <v>0</v>
      </c>
      <c r="Q450" t="n">
        <v>0</v>
      </c>
      <c r="R450" s="2" t="inlineStr"/>
    </row>
    <row r="451" ht="15" customHeight="1">
      <c r="A451" t="inlineStr">
        <is>
          <t>A 57117-2025</t>
        </is>
      </c>
      <c r="B451" s="1" t="n">
        <v>45978</v>
      </c>
      <c r="C451" s="1" t="n">
        <v>46102</v>
      </c>
      <c r="D451" t="inlineStr">
        <is>
          <t>JÄMTLANDS LÄN</t>
        </is>
      </c>
      <c r="E451" t="inlineStr">
        <is>
          <t>RAGUNDA</t>
        </is>
      </c>
      <c r="G451" t="n">
        <v>4.2</v>
      </c>
      <c r="H451" t="n">
        <v>0</v>
      </c>
      <c r="I451" t="n">
        <v>0</v>
      </c>
      <c r="J451" t="n">
        <v>0</v>
      </c>
      <c r="K451" t="n">
        <v>0</v>
      </c>
      <c r="L451" t="n">
        <v>0</v>
      </c>
      <c r="M451" t="n">
        <v>0</v>
      </c>
      <c r="N451" t="n">
        <v>0</v>
      </c>
      <c r="O451" t="n">
        <v>0</v>
      </c>
      <c r="P451" t="n">
        <v>0</v>
      </c>
      <c r="Q451" t="n">
        <v>0</v>
      </c>
      <c r="R451" s="2" t="inlineStr"/>
    </row>
    <row r="452" ht="15" customHeight="1">
      <c r="A452" t="inlineStr">
        <is>
          <t>A 56751-2025</t>
        </is>
      </c>
      <c r="B452" s="1" t="n">
        <v>45978.36538194444</v>
      </c>
      <c r="C452" s="1" t="n">
        <v>46102</v>
      </c>
      <c r="D452" t="inlineStr">
        <is>
          <t>JÄMTLANDS LÄN</t>
        </is>
      </c>
      <c r="E452" t="inlineStr">
        <is>
          <t>RAGUNDA</t>
        </is>
      </c>
      <c r="F452" t="inlineStr">
        <is>
          <t>SCA</t>
        </is>
      </c>
      <c r="G452" t="n">
        <v>34.5</v>
      </c>
      <c r="H452" t="n">
        <v>0</v>
      </c>
      <c r="I452" t="n">
        <v>0</v>
      </c>
      <c r="J452" t="n">
        <v>0</v>
      </c>
      <c r="K452" t="n">
        <v>0</v>
      </c>
      <c r="L452" t="n">
        <v>0</v>
      </c>
      <c r="M452" t="n">
        <v>0</v>
      </c>
      <c r="N452" t="n">
        <v>0</v>
      </c>
      <c r="O452" t="n">
        <v>0</v>
      </c>
      <c r="P452" t="n">
        <v>0</v>
      </c>
      <c r="Q452" t="n">
        <v>0</v>
      </c>
      <c r="R452" s="2" t="inlineStr"/>
    </row>
    <row r="453" ht="15" customHeight="1">
      <c r="A453" t="inlineStr">
        <is>
          <t>A 56806-2025</t>
        </is>
      </c>
      <c r="B453" s="1" t="n">
        <v>45978.44842592593</v>
      </c>
      <c r="C453" s="1" t="n">
        <v>46102</v>
      </c>
      <c r="D453" t="inlineStr">
        <is>
          <t>JÄMTLANDS LÄN</t>
        </is>
      </c>
      <c r="E453" t="inlineStr">
        <is>
          <t>RAGUNDA</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57184-2025</t>
        </is>
      </c>
      <c r="B454" s="1" t="n">
        <v>45979.57361111111</v>
      </c>
      <c r="C454" s="1" t="n">
        <v>46102</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12521-2023</t>
        </is>
      </c>
      <c r="B455" s="1" t="n">
        <v>45000</v>
      </c>
      <c r="C455" s="1" t="n">
        <v>46102</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57561-2025</t>
        </is>
      </c>
      <c r="B456" s="1" t="n">
        <v>45980.69885416667</v>
      </c>
      <c r="C456" s="1" t="n">
        <v>46102</v>
      </c>
      <c r="D456" t="inlineStr">
        <is>
          <t>JÄMTLANDS LÄN</t>
        </is>
      </c>
      <c r="E456" t="inlineStr">
        <is>
          <t>RAGUNDA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57332-2025</t>
        </is>
      </c>
      <c r="B457" s="1" t="n">
        <v>45980.34467592592</v>
      </c>
      <c r="C457" s="1" t="n">
        <v>46102</v>
      </c>
      <c r="D457" t="inlineStr">
        <is>
          <t>JÄMTLANDS LÄN</t>
        </is>
      </c>
      <c r="E457" t="inlineStr">
        <is>
          <t>RAGUNDA</t>
        </is>
      </c>
      <c r="F457" t="inlineStr">
        <is>
          <t>SCA</t>
        </is>
      </c>
      <c r="G457" t="n">
        <v>22.6</v>
      </c>
      <c r="H457" t="n">
        <v>0</v>
      </c>
      <c r="I457" t="n">
        <v>0</v>
      </c>
      <c r="J457" t="n">
        <v>0</v>
      </c>
      <c r="K457" t="n">
        <v>0</v>
      </c>
      <c r="L457" t="n">
        <v>0</v>
      </c>
      <c r="M457" t="n">
        <v>0</v>
      </c>
      <c r="N457" t="n">
        <v>0</v>
      </c>
      <c r="O457" t="n">
        <v>0</v>
      </c>
      <c r="P457" t="n">
        <v>0</v>
      </c>
      <c r="Q457" t="n">
        <v>0</v>
      </c>
      <c r="R457" s="2" t="inlineStr"/>
    </row>
    <row r="458" ht="15" customHeight="1">
      <c r="A458" t="inlineStr">
        <is>
          <t>A 57560-2025</t>
        </is>
      </c>
      <c r="B458" s="1" t="n">
        <v>45980.6987962963</v>
      </c>
      <c r="C458" s="1" t="n">
        <v>46102</v>
      </c>
      <c r="D458" t="inlineStr">
        <is>
          <t>JÄMTLANDS LÄN</t>
        </is>
      </c>
      <c r="E458" t="inlineStr">
        <is>
          <t>RAGUNDA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57916-2025</t>
        </is>
      </c>
      <c r="B459" s="1" t="n">
        <v>45981</v>
      </c>
      <c r="C459" s="1" t="n">
        <v>46102</v>
      </c>
      <c r="D459" t="inlineStr">
        <is>
          <t>JÄMTLANDS LÄN</t>
        </is>
      </c>
      <c r="E459" t="inlineStr">
        <is>
          <t>RAGUNDA</t>
        </is>
      </c>
      <c r="G459" t="n">
        <v>5.3</v>
      </c>
      <c r="H459" t="n">
        <v>0</v>
      </c>
      <c r="I459" t="n">
        <v>0</v>
      </c>
      <c r="J459" t="n">
        <v>0</v>
      </c>
      <c r="K459" t="n">
        <v>0</v>
      </c>
      <c r="L459" t="n">
        <v>0</v>
      </c>
      <c r="M459" t="n">
        <v>0</v>
      </c>
      <c r="N459" t="n">
        <v>0</v>
      </c>
      <c r="O459" t="n">
        <v>0</v>
      </c>
      <c r="P459" t="n">
        <v>0</v>
      </c>
      <c r="Q459" t="n">
        <v>0</v>
      </c>
      <c r="R459" s="2" t="inlineStr"/>
    </row>
    <row r="460" ht="15" customHeight="1">
      <c r="A460" t="inlineStr">
        <is>
          <t>A 29319-2023</t>
        </is>
      </c>
      <c r="B460" s="1" t="n">
        <v>45105</v>
      </c>
      <c r="C460" s="1" t="n">
        <v>46102</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57914-2025</t>
        </is>
      </c>
      <c r="B461" s="1" t="n">
        <v>45981</v>
      </c>
      <c r="C461" s="1" t="n">
        <v>46102</v>
      </c>
      <c r="D461" t="inlineStr">
        <is>
          <t>JÄMTLANDS LÄN</t>
        </is>
      </c>
      <c r="E461" t="inlineStr">
        <is>
          <t>RAGUNDA</t>
        </is>
      </c>
      <c r="G461" t="n">
        <v>3.2</v>
      </c>
      <c r="H461" t="n">
        <v>0</v>
      </c>
      <c r="I461" t="n">
        <v>0</v>
      </c>
      <c r="J461" t="n">
        <v>0</v>
      </c>
      <c r="K461" t="n">
        <v>0</v>
      </c>
      <c r="L461" t="n">
        <v>0</v>
      </c>
      <c r="M461" t="n">
        <v>0</v>
      </c>
      <c r="N461" t="n">
        <v>0</v>
      </c>
      <c r="O461" t="n">
        <v>0</v>
      </c>
      <c r="P461" t="n">
        <v>0</v>
      </c>
      <c r="Q461" t="n">
        <v>0</v>
      </c>
      <c r="R461" s="2" t="inlineStr"/>
    </row>
    <row r="462" ht="15" customHeight="1">
      <c r="A462" t="inlineStr">
        <is>
          <t>A 18612-2024</t>
        </is>
      </c>
      <c r="B462" s="1" t="n">
        <v>45425.96239583333</v>
      </c>
      <c r="C462" s="1" t="n">
        <v>46102</v>
      </c>
      <c r="D462" t="inlineStr">
        <is>
          <t>JÄMTLANDS LÄN</t>
        </is>
      </c>
      <c r="E462" t="inlineStr">
        <is>
          <t>RAGUNDA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57915-2025</t>
        </is>
      </c>
      <c r="B463" s="1" t="n">
        <v>45981</v>
      </c>
      <c r="C463" s="1" t="n">
        <v>46102</v>
      </c>
      <c r="D463" t="inlineStr">
        <is>
          <t>JÄMTLANDS LÄN</t>
        </is>
      </c>
      <c r="E463" t="inlineStr">
        <is>
          <t>RAGUNDA</t>
        </is>
      </c>
      <c r="G463" t="n">
        <v>6.4</v>
      </c>
      <c r="H463" t="n">
        <v>0</v>
      </c>
      <c r="I463" t="n">
        <v>0</v>
      </c>
      <c r="J463" t="n">
        <v>0</v>
      </c>
      <c r="K463" t="n">
        <v>0</v>
      </c>
      <c r="L463" t="n">
        <v>0</v>
      </c>
      <c r="M463" t="n">
        <v>0</v>
      </c>
      <c r="N463" t="n">
        <v>0</v>
      </c>
      <c r="O463" t="n">
        <v>0</v>
      </c>
      <c r="P463" t="n">
        <v>0</v>
      </c>
      <c r="Q463" t="n">
        <v>0</v>
      </c>
      <c r="R463" s="2" t="inlineStr"/>
    </row>
    <row r="464" ht="15" customHeight="1">
      <c r="A464" t="inlineStr">
        <is>
          <t>A 464-2023</t>
        </is>
      </c>
      <c r="B464" s="1" t="n">
        <v>44929.92489583333</v>
      </c>
      <c r="C464" s="1" t="n">
        <v>46102</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39192-2025</t>
        </is>
      </c>
      <c r="B465" s="1" t="n">
        <v>45888.6775</v>
      </c>
      <c r="C465" s="1" t="n">
        <v>46102</v>
      </c>
      <c r="D465" t="inlineStr">
        <is>
          <t>JÄMTLANDS LÄN</t>
        </is>
      </c>
      <c r="E465" t="inlineStr">
        <is>
          <t>RAGUNDA</t>
        </is>
      </c>
      <c r="F465" t="inlineStr">
        <is>
          <t>Naturvårdsverket</t>
        </is>
      </c>
      <c r="G465" t="n">
        <v>2.3</v>
      </c>
      <c r="H465" t="n">
        <v>0</v>
      </c>
      <c r="I465" t="n">
        <v>0</v>
      </c>
      <c r="J465" t="n">
        <v>0</v>
      </c>
      <c r="K465" t="n">
        <v>0</v>
      </c>
      <c r="L465" t="n">
        <v>0</v>
      </c>
      <c r="M465" t="n">
        <v>0</v>
      </c>
      <c r="N465" t="n">
        <v>0</v>
      </c>
      <c r="O465" t="n">
        <v>0</v>
      </c>
      <c r="P465" t="n">
        <v>0</v>
      </c>
      <c r="Q465" t="n">
        <v>0</v>
      </c>
      <c r="R465" s="2" t="inlineStr"/>
    </row>
    <row r="466" ht="15" customHeight="1">
      <c r="A466" t="inlineStr">
        <is>
          <t>A 53769-2023</t>
        </is>
      </c>
      <c r="B466" s="1" t="n">
        <v>45230</v>
      </c>
      <c r="C466" s="1" t="n">
        <v>46102</v>
      </c>
      <c r="D466" t="inlineStr">
        <is>
          <t>JÄMTLANDS LÄN</t>
        </is>
      </c>
      <c r="E466" t="inlineStr">
        <is>
          <t>RAGUNDA</t>
        </is>
      </c>
      <c r="F466" t="inlineStr">
        <is>
          <t>SCA</t>
        </is>
      </c>
      <c r="G466" t="n">
        <v>11.6</v>
      </c>
      <c r="H466" t="n">
        <v>0</v>
      </c>
      <c r="I466" t="n">
        <v>0</v>
      </c>
      <c r="J466" t="n">
        <v>0</v>
      </c>
      <c r="K466" t="n">
        <v>0</v>
      </c>
      <c r="L466" t="n">
        <v>0</v>
      </c>
      <c r="M466" t="n">
        <v>0</v>
      </c>
      <c r="N466" t="n">
        <v>0</v>
      </c>
      <c r="O466" t="n">
        <v>0</v>
      </c>
      <c r="P466" t="n">
        <v>0</v>
      </c>
      <c r="Q466" t="n">
        <v>0</v>
      </c>
      <c r="R466" s="2" t="inlineStr"/>
    </row>
    <row r="467" ht="15" customHeight="1">
      <c r="A467" t="inlineStr">
        <is>
          <t>A 57833-2025</t>
        </is>
      </c>
      <c r="B467" s="1" t="n">
        <v>45981.61541666667</v>
      </c>
      <c r="C467" s="1" t="n">
        <v>46102</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52228-2024</t>
        </is>
      </c>
      <c r="B468" s="1" t="n">
        <v>45608.6078587963</v>
      </c>
      <c r="C468" s="1" t="n">
        <v>46102</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64108-2025</t>
        </is>
      </c>
      <c r="B469" s="1" t="n">
        <v>46013</v>
      </c>
      <c r="C469" s="1" t="n">
        <v>46102</v>
      </c>
      <c r="D469" t="inlineStr">
        <is>
          <t>JÄMTLANDS LÄN</t>
        </is>
      </c>
      <c r="E469" t="inlineStr">
        <is>
          <t>RAGUNDA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57785-2025</t>
        </is>
      </c>
      <c r="B470" s="1" t="n">
        <v>45981.57393518519</v>
      </c>
      <c r="C470" s="1" t="n">
        <v>46102</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58093-2025</t>
        </is>
      </c>
      <c r="B471" s="1" t="n">
        <v>45982.5741087963</v>
      </c>
      <c r="C471" s="1" t="n">
        <v>46102</v>
      </c>
      <c r="D471" t="inlineStr">
        <is>
          <t>JÄMTLANDS LÄN</t>
        </is>
      </c>
      <c r="E471" t="inlineStr">
        <is>
          <t>RAGUNDA</t>
        </is>
      </c>
      <c r="G471" t="n">
        <v>22.2</v>
      </c>
      <c r="H471" t="n">
        <v>0</v>
      </c>
      <c r="I471" t="n">
        <v>0</v>
      </c>
      <c r="J471" t="n">
        <v>0</v>
      </c>
      <c r="K471" t="n">
        <v>0</v>
      </c>
      <c r="L471" t="n">
        <v>0</v>
      </c>
      <c r="M471" t="n">
        <v>0</v>
      </c>
      <c r="N471" t="n">
        <v>0</v>
      </c>
      <c r="O471" t="n">
        <v>0</v>
      </c>
      <c r="P471" t="n">
        <v>0</v>
      </c>
      <c r="Q471" t="n">
        <v>0</v>
      </c>
      <c r="R471" s="2" t="inlineStr"/>
    </row>
    <row r="472" ht="15" customHeight="1">
      <c r="A472" t="inlineStr">
        <is>
          <t>A 57970-2025</t>
        </is>
      </c>
      <c r="B472" s="1" t="n">
        <v>45982.38582175926</v>
      </c>
      <c r="C472" s="1" t="n">
        <v>46102</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46102</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2242-2024</t>
        </is>
      </c>
      <c r="B474" s="1" t="n">
        <v>45309</v>
      </c>
      <c r="C474" s="1" t="n">
        <v>46102</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2248-2024</t>
        </is>
      </c>
      <c r="B475" s="1" t="n">
        <v>45309</v>
      </c>
      <c r="C475" s="1" t="n">
        <v>46102</v>
      </c>
      <c r="D475" t="inlineStr">
        <is>
          <t>JÄMTLANDS LÄN</t>
        </is>
      </c>
      <c r="E475" t="inlineStr">
        <is>
          <t>RAGUNDA</t>
        </is>
      </c>
      <c r="G475" t="n">
        <v>4.2</v>
      </c>
      <c r="H475" t="n">
        <v>0</v>
      </c>
      <c r="I475" t="n">
        <v>0</v>
      </c>
      <c r="J475" t="n">
        <v>0</v>
      </c>
      <c r="K475" t="n">
        <v>0</v>
      </c>
      <c r="L475" t="n">
        <v>0</v>
      </c>
      <c r="M475" t="n">
        <v>0</v>
      </c>
      <c r="N475" t="n">
        <v>0</v>
      </c>
      <c r="O475" t="n">
        <v>0</v>
      </c>
      <c r="P475" t="n">
        <v>0</v>
      </c>
      <c r="Q475" t="n">
        <v>0</v>
      </c>
      <c r="R475" s="2" t="inlineStr"/>
    </row>
    <row r="476" ht="15" customHeight="1">
      <c r="A476" t="inlineStr">
        <is>
          <t>A 58076-2025</t>
        </is>
      </c>
      <c r="B476" s="1" t="n">
        <v>45982.55273148148</v>
      </c>
      <c r="C476" s="1" t="n">
        <v>46102</v>
      </c>
      <c r="D476" t="inlineStr">
        <is>
          <t>JÄMTLANDS LÄN</t>
        </is>
      </c>
      <c r="E476" t="inlineStr">
        <is>
          <t>RAGUNDA</t>
        </is>
      </c>
      <c r="G476" t="n">
        <v>0.1</v>
      </c>
      <c r="H476" t="n">
        <v>0</v>
      </c>
      <c r="I476" t="n">
        <v>0</v>
      </c>
      <c r="J476" t="n">
        <v>0</v>
      </c>
      <c r="K476" t="n">
        <v>0</v>
      </c>
      <c r="L476" t="n">
        <v>0</v>
      </c>
      <c r="M476" t="n">
        <v>0</v>
      </c>
      <c r="N476" t="n">
        <v>0</v>
      </c>
      <c r="O476" t="n">
        <v>0</v>
      </c>
      <c r="P476" t="n">
        <v>0</v>
      </c>
      <c r="Q476" t="n">
        <v>0</v>
      </c>
      <c r="R476" s="2" t="inlineStr"/>
    </row>
    <row r="477" ht="15" customHeight="1">
      <c r="A477" t="inlineStr">
        <is>
          <t>A 57963-2025</t>
        </is>
      </c>
      <c r="B477" s="1" t="n">
        <v>45982.37800925926</v>
      </c>
      <c r="C477" s="1" t="n">
        <v>46102</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28216-2025</t>
        </is>
      </c>
      <c r="B478" s="1" t="n">
        <v>45818.46898148148</v>
      </c>
      <c r="C478" s="1" t="n">
        <v>46102</v>
      </c>
      <c r="D478" t="inlineStr">
        <is>
          <t>JÄMTLANDS LÄN</t>
        </is>
      </c>
      <c r="E478" t="inlineStr">
        <is>
          <t>RAGUNDA</t>
        </is>
      </c>
      <c r="G478" t="n">
        <v>6.6</v>
      </c>
      <c r="H478" t="n">
        <v>0</v>
      </c>
      <c r="I478" t="n">
        <v>0</v>
      </c>
      <c r="J478" t="n">
        <v>0</v>
      </c>
      <c r="K478" t="n">
        <v>0</v>
      </c>
      <c r="L478" t="n">
        <v>0</v>
      </c>
      <c r="M478" t="n">
        <v>0</v>
      </c>
      <c r="N478" t="n">
        <v>0</v>
      </c>
      <c r="O478" t="n">
        <v>0</v>
      </c>
      <c r="P478" t="n">
        <v>0</v>
      </c>
      <c r="Q478" t="n">
        <v>0</v>
      </c>
      <c r="R478" s="2" t="inlineStr"/>
    </row>
    <row r="479" ht="15" customHeight="1">
      <c r="A479" t="inlineStr">
        <is>
          <t>A 19264-2025</t>
        </is>
      </c>
      <c r="B479" s="1" t="n">
        <v>45769.51087962963</v>
      </c>
      <c r="C479" s="1" t="n">
        <v>46102</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53109-2025</t>
        </is>
      </c>
      <c r="B480" s="1" t="n">
        <v>45958</v>
      </c>
      <c r="C480" s="1" t="n">
        <v>46102</v>
      </c>
      <c r="D480" t="inlineStr">
        <is>
          <t>JÄMTLANDS LÄN</t>
        </is>
      </c>
      <c r="E480" t="inlineStr">
        <is>
          <t>RAGUNDA</t>
        </is>
      </c>
      <c r="G480" t="n">
        <v>2.1</v>
      </c>
      <c r="H480" t="n">
        <v>0</v>
      </c>
      <c r="I480" t="n">
        <v>0</v>
      </c>
      <c r="J480" t="n">
        <v>0</v>
      </c>
      <c r="K480" t="n">
        <v>0</v>
      </c>
      <c r="L480" t="n">
        <v>0</v>
      </c>
      <c r="M480" t="n">
        <v>0</v>
      </c>
      <c r="N480" t="n">
        <v>0</v>
      </c>
      <c r="O480" t="n">
        <v>0</v>
      </c>
      <c r="P480" t="n">
        <v>0</v>
      </c>
      <c r="Q480" t="n">
        <v>0</v>
      </c>
      <c r="R480" s="2" t="inlineStr"/>
    </row>
    <row r="481" ht="15" customHeight="1">
      <c r="A481" t="inlineStr">
        <is>
          <t>A 22898-2025</t>
        </is>
      </c>
      <c r="B481" s="1" t="n">
        <v>45790.40670138889</v>
      </c>
      <c r="C481" s="1" t="n">
        <v>46102</v>
      </c>
      <c r="D481" t="inlineStr">
        <is>
          <t>JÄMTLANDS LÄN</t>
        </is>
      </c>
      <c r="E481" t="inlineStr">
        <is>
          <t>RAGUNDA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29263-2024</t>
        </is>
      </c>
      <c r="B482" s="1" t="n">
        <v>45482.94891203703</v>
      </c>
      <c r="C482" s="1" t="n">
        <v>46102</v>
      </c>
      <c r="D482" t="inlineStr">
        <is>
          <t>JÄMTLANDS LÄN</t>
        </is>
      </c>
      <c r="E482" t="inlineStr">
        <is>
          <t>RAGUNDA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58918-2025</t>
        </is>
      </c>
      <c r="B483" s="1" t="n">
        <v>45987.52952546296</v>
      </c>
      <c r="C483" s="1" t="n">
        <v>46102</v>
      </c>
      <c r="D483" t="inlineStr">
        <is>
          <t>JÄMTLANDS LÄN</t>
        </is>
      </c>
      <c r="E483" t="inlineStr">
        <is>
          <t>RAGUNDA</t>
        </is>
      </c>
      <c r="G483" t="n">
        <v>2</v>
      </c>
      <c r="H483" t="n">
        <v>0</v>
      </c>
      <c r="I483" t="n">
        <v>0</v>
      </c>
      <c r="J483" t="n">
        <v>0</v>
      </c>
      <c r="K483" t="n">
        <v>0</v>
      </c>
      <c r="L483" t="n">
        <v>0</v>
      </c>
      <c r="M483" t="n">
        <v>0</v>
      </c>
      <c r="N483" t="n">
        <v>0</v>
      </c>
      <c r="O483" t="n">
        <v>0</v>
      </c>
      <c r="P483" t="n">
        <v>0</v>
      </c>
      <c r="Q483" t="n">
        <v>0</v>
      </c>
      <c r="R483" s="2" t="inlineStr"/>
    </row>
    <row r="484" ht="15" customHeight="1">
      <c r="A484" t="inlineStr">
        <is>
          <t>A 8800-2025</t>
        </is>
      </c>
      <c r="B484" s="1" t="n">
        <v>45712.65671296296</v>
      </c>
      <c r="C484" s="1" t="n">
        <v>46102</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58638-2025</t>
        </is>
      </c>
      <c r="B485" s="1" t="n">
        <v>45986.49016203704</v>
      </c>
      <c r="C485" s="1" t="n">
        <v>46102</v>
      </c>
      <c r="D485" t="inlineStr">
        <is>
          <t>JÄMTLANDS LÄN</t>
        </is>
      </c>
      <c r="E485" t="inlineStr">
        <is>
          <t>RAGUNDA</t>
        </is>
      </c>
      <c r="G485" t="n">
        <v>1.3</v>
      </c>
      <c r="H485" t="n">
        <v>0</v>
      </c>
      <c r="I485" t="n">
        <v>0</v>
      </c>
      <c r="J485" t="n">
        <v>0</v>
      </c>
      <c r="K485" t="n">
        <v>0</v>
      </c>
      <c r="L485" t="n">
        <v>0</v>
      </c>
      <c r="M485" t="n">
        <v>0</v>
      </c>
      <c r="N485" t="n">
        <v>0</v>
      </c>
      <c r="O485" t="n">
        <v>0</v>
      </c>
      <c r="P485" t="n">
        <v>0</v>
      </c>
      <c r="Q485" t="n">
        <v>0</v>
      </c>
      <c r="R485" s="2" t="inlineStr"/>
    </row>
    <row r="486" ht="15" customHeight="1">
      <c r="A486" t="inlineStr">
        <is>
          <t>A 29265-2024</t>
        </is>
      </c>
      <c r="B486" s="1" t="n">
        <v>45482.9491087963</v>
      </c>
      <c r="C486" s="1" t="n">
        <v>46102</v>
      </c>
      <c r="D486" t="inlineStr">
        <is>
          <t>JÄMTLANDS LÄN</t>
        </is>
      </c>
      <c r="E486" t="inlineStr">
        <is>
          <t>RAGUNDA</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58559-2025</t>
        </is>
      </c>
      <c r="B487" s="1" t="n">
        <v>45986.34475694445</v>
      </c>
      <c r="C487" s="1" t="n">
        <v>46102</v>
      </c>
      <c r="D487" t="inlineStr">
        <is>
          <t>JÄMTLANDS LÄN</t>
        </is>
      </c>
      <c r="E487" t="inlineStr">
        <is>
          <t>RAGUNDA</t>
        </is>
      </c>
      <c r="F487" t="inlineStr">
        <is>
          <t>SCA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23253-2025</t>
        </is>
      </c>
      <c r="B488" s="1" t="n">
        <v>45791.53238425926</v>
      </c>
      <c r="C488" s="1" t="n">
        <v>46102</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27291-2022</t>
        </is>
      </c>
      <c r="B489" s="1" t="n">
        <v>44741.94070601852</v>
      </c>
      <c r="C489" s="1" t="n">
        <v>46102</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23413-2025</t>
        </is>
      </c>
      <c r="B490" s="1" t="n">
        <v>45792.34606481482</v>
      </c>
      <c r="C490" s="1" t="n">
        <v>46102</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8776-2025</t>
        </is>
      </c>
      <c r="B491" s="1" t="n">
        <v>45712.61510416667</v>
      </c>
      <c r="C491" s="1" t="n">
        <v>46102</v>
      </c>
      <c r="D491" t="inlineStr">
        <is>
          <t>JÄMTLANDS LÄN</t>
        </is>
      </c>
      <c r="E491" t="inlineStr">
        <is>
          <t>RAGUNDA</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23586-2025</t>
        </is>
      </c>
      <c r="B492" s="1" t="n">
        <v>45792.63584490741</v>
      </c>
      <c r="C492" s="1" t="n">
        <v>46102</v>
      </c>
      <c r="D492" t="inlineStr">
        <is>
          <t>JÄMTLANDS LÄN</t>
        </is>
      </c>
      <c r="E492" t="inlineStr">
        <is>
          <t>RAGUNDA</t>
        </is>
      </c>
      <c r="F492" t="inlineStr">
        <is>
          <t>SCA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23841-2025</t>
        </is>
      </c>
      <c r="B493" s="1" t="n">
        <v>45793.61523148148</v>
      </c>
      <c r="C493" s="1" t="n">
        <v>46102</v>
      </c>
      <c r="D493" t="inlineStr">
        <is>
          <t>JÄMTLANDS LÄN</t>
        </is>
      </c>
      <c r="E493" t="inlineStr">
        <is>
          <t>RAGUNDA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39947-2025</t>
        </is>
      </c>
      <c r="B494" s="1" t="n">
        <v>45892.34438657408</v>
      </c>
      <c r="C494" s="1" t="n">
        <v>46102</v>
      </c>
      <c r="D494" t="inlineStr">
        <is>
          <t>JÄMTLANDS LÄN</t>
        </is>
      </c>
      <c r="E494" t="inlineStr">
        <is>
          <t>RAGUNDA</t>
        </is>
      </c>
      <c r="G494" t="n">
        <v>6.6</v>
      </c>
      <c r="H494" t="n">
        <v>0</v>
      </c>
      <c r="I494" t="n">
        <v>0</v>
      </c>
      <c r="J494" t="n">
        <v>0</v>
      </c>
      <c r="K494" t="n">
        <v>0</v>
      </c>
      <c r="L494" t="n">
        <v>0</v>
      </c>
      <c r="M494" t="n">
        <v>0</v>
      </c>
      <c r="N494" t="n">
        <v>0</v>
      </c>
      <c r="O494" t="n">
        <v>0</v>
      </c>
      <c r="P494" t="n">
        <v>0</v>
      </c>
      <c r="Q494" t="n">
        <v>0</v>
      </c>
      <c r="R494" s="2" t="inlineStr"/>
    </row>
    <row r="495" ht="15" customHeight="1">
      <c r="A495" t="inlineStr">
        <is>
          <t>A 39951-2025</t>
        </is>
      </c>
      <c r="B495" s="1" t="n">
        <v>45892.38657407407</v>
      </c>
      <c r="C495" s="1" t="n">
        <v>46102</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39948-2025</t>
        </is>
      </c>
      <c r="B496" s="1" t="n">
        <v>45892.38591435185</v>
      </c>
      <c r="C496" s="1" t="n">
        <v>46102</v>
      </c>
      <c r="D496" t="inlineStr">
        <is>
          <t>JÄMTLANDS LÄN</t>
        </is>
      </c>
      <c r="E496" t="inlineStr">
        <is>
          <t>RAGUNDA</t>
        </is>
      </c>
      <c r="G496" t="n">
        <v>5</v>
      </c>
      <c r="H496" t="n">
        <v>0</v>
      </c>
      <c r="I496" t="n">
        <v>0</v>
      </c>
      <c r="J496" t="n">
        <v>0</v>
      </c>
      <c r="K496" t="n">
        <v>0</v>
      </c>
      <c r="L496" t="n">
        <v>0</v>
      </c>
      <c r="M496" t="n">
        <v>0</v>
      </c>
      <c r="N496" t="n">
        <v>0</v>
      </c>
      <c r="O496" t="n">
        <v>0</v>
      </c>
      <c r="P496" t="n">
        <v>0</v>
      </c>
      <c r="Q496" t="n">
        <v>0</v>
      </c>
      <c r="R496" s="2" t="inlineStr"/>
    </row>
    <row r="497" ht="15" customHeight="1">
      <c r="A497" t="inlineStr">
        <is>
          <t>A 39946-2025</t>
        </is>
      </c>
      <c r="B497" s="1" t="n">
        <v>45892.34423611111</v>
      </c>
      <c r="C497" s="1" t="n">
        <v>46102</v>
      </c>
      <c r="D497" t="inlineStr">
        <is>
          <t>JÄMTLANDS LÄN</t>
        </is>
      </c>
      <c r="E497" t="inlineStr">
        <is>
          <t>RAGUNDA</t>
        </is>
      </c>
      <c r="G497" t="n">
        <v>4.7</v>
      </c>
      <c r="H497" t="n">
        <v>0</v>
      </c>
      <c r="I497" t="n">
        <v>0</v>
      </c>
      <c r="J497" t="n">
        <v>0</v>
      </c>
      <c r="K497" t="n">
        <v>0</v>
      </c>
      <c r="L497" t="n">
        <v>0</v>
      </c>
      <c r="M497" t="n">
        <v>0</v>
      </c>
      <c r="N497" t="n">
        <v>0</v>
      </c>
      <c r="O497" t="n">
        <v>0</v>
      </c>
      <c r="P497" t="n">
        <v>0</v>
      </c>
      <c r="Q497" t="n">
        <v>0</v>
      </c>
      <c r="R497" s="2" t="inlineStr"/>
    </row>
    <row r="498" ht="15" customHeight="1">
      <c r="A498" t="inlineStr">
        <is>
          <t>A 39950-2025</t>
        </is>
      </c>
      <c r="B498" s="1" t="n">
        <v>45892.38641203703</v>
      </c>
      <c r="C498" s="1" t="n">
        <v>46102</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39955-2025</t>
        </is>
      </c>
      <c r="B499" s="1" t="n">
        <v>45892.44824074074</v>
      </c>
      <c r="C499" s="1" t="n">
        <v>46102</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39956-2025</t>
        </is>
      </c>
      <c r="B500" s="1" t="n">
        <v>45892.44840277778</v>
      </c>
      <c r="C500" s="1" t="n">
        <v>46102</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59214-2025</t>
        </is>
      </c>
      <c r="B501" s="1" t="n">
        <v>45988.61623842592</v>
      </c>
      <c r="C501" s="1" t="n">
        <v>46102</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59499-2025</t>
        </is>
      </c>
      <c r="B502" s="1" t="n">
        <v>45989.61846064815</v>
      </c>
      <c r="C502" s="1" t="n">
        <v>46102</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23507-2025</t>
        </is>
      </c>
      <c r="B503" s="1" t="n">
        <v>45792.49023148148</v>
      </c>
      <c r="C503" s="1" t="n">
        <v>46102</v>
      </c>
      <c r="D503" t="inlineStr">
        <is>
          <t>JÄMTLANDS LÄN</t>
        </is>
      </c>
      <c r="E503" t="inlineStr">
        <is>
          <t>RAGUNDA</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14821-2025</t>
        </is>
      </c>
      <c r="B504" s="1" t="n">
        <v>45743.36</v>
      </c>
      <c r="C504" s="1" t="n">
        <v>46102</v>
      </c>
      <c r="D504" t="inlineStr">
        <is>
          <t>JÄMTLANDS LÄN</t>
        </is>
      </c>
      <c r="E504" t="inlineStr">
        <is>
          <t>RAGUNDA</t>
        </is>
      </c>
      <c r="F504" t="inlineStr">
        <is>
          <t>Kyrkan</t>
        </is>
      </c>
      <c r="G504" t="n">
        <v>6.4</v>
      </c>
      <c r="H504" t="n">
        <v>0</v>
      </c>
      <c r="I504" t="n">
        <v>0</v>
      </c>
      <c r="J504" t="n">
        <v>0</v>
      </c>
      <c r="K504" t="n">
        <v>0</v>
      </c>
      <c r="L504" t="n">
        <v>0</v>
      </c>
      <c r="M504" t="n">
        <v>0</v>
      </c>
      <c r="N504" t="n">
        <v>0</v>
      </c>
      <c r="O504" t="n">
        <v>0</v>
      </c>
      <c r="P504" t="n">
        <v>0</v>
      </c>
      <c r="Q504" t="n">
        <v>0</v>
      </c>
      <c r="R504" s="2" t="inlineStr"/>
    </row>
    <row r="505" ht="15" customHeight="1">
      <c r="A505" t="inlineStr">
        <is>
          <t>A 23840-2025</t>
        </is>
      </c>
      <c r="B505" s="1" t="n">
        <v>45793</v>
      </c>
      <c r="C505" s="1" t="n">
        <v>46102</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23654-2025</t>
        </is>
      </c>
      <c r="B506" s="1" t="n">
        <v>45792.71905092592</v>
      </c>
      <c r="C506" s="1" t="n">
        <v>46102</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39949-2025</t>
        </is>
      </c>
      <c r="B507" s="1" t="n">
        <v>45892.38619212963</v>
      </c>
      <c r="C507" s="1" t="n">
        <v>46102</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59491-2025</t>
        </is>
      </c>
      <c r="B508" s="1" t="n">
        <v>45989.60376157407</v>
      </c>
      <c r="C508" s="1" t="n">
        <v>46102</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36375-2022</t>
        </is>
      </c>
      <c r="B509" s="1" t="n">
        <v>44803.94351851852</v>
      </c>
      <c r="C509" s="1" t="n">
        <v>46102</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59503-2025</t>
        </is>
      </c>
      <c r="B510" s="1" t="n">
        <v>45989.62703703704</v>
      </c>
      <c r="C510" s="1" t="n">
        <v>46102</v>
      </c>
      <c r="D510" t="inlineStr">
        <is>
          <t>JÄMTLANDS LÄN</t>
        </is>
      </c>
      <c r="E510" t="inlineStr">
        <is>
          <t>RAGUNDA</t>
        </is>
      </c>
      <c r="G510" t="n">
        <v>0.6</v>
      </c>
      <c r="H510" t="n">
        <v>0</v>
      </c>
      <c r="I510" t="n">
        <v>0</v>
      </c>
      <c r="J510" t="n">
        <v>0</v>
      </c>
      <c r="K510" t="n">
        <v>0</v>
      </c>
      <c r="L510" t="n">
        <v>0</v>
      </c>
      <c r="M510" t="n">
        <v>0</v>
      </c>
      <c r="N510" t="n">
        <v>0</v>
      </c>
      <c r="O510" t="n">
        <v>0</v>
      </c>
      <c r="P510" t="n">
        <v>0</v>
      </c>
      <c r="Q510" t="n">
        <v>0</v>
      </c>
      <c r="R510" s="2" t="inlineStr"/>
    </row>
    <row r="511" ht="15" customHeight="1">
      <c r="A511" t="inlineStr">
        <is>
          <t>A 8679-2023</t>
        </is>
      </c>
      <c r="B511" s="1" t="n">
        <v>44977.98670138889</v>
      </c>
      <c r="C511" s="1" t="n">
        <v>46102</v>
      </c>
      <c r="D511" t="inlineStr">
        <is>
          <t>JÄMTLANDS LÄN</t>
        </is>
      </c>
      <c r="E511" t="inlineStr">
        <is>
          <t>RAGUNDA</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9325-2024</t>
        </is>
      </c>
      <c r="B512" s="1" t="n">
        <v>45358.95813657407</v>
      </c>
      <c r="C512" s="1" t="n">
        <v>46102</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59692-2025</t>
        </is>
      </c>
      <c r="B513" s="1" t="n">
        <v>45992.49001157407</v>
      </c>
      <c r="C513" s="1" t="n">
        <v>46102</v>
      </c>
      <c r="D513" t="inlineStr">
        <is>
          <t>JÄMTLANDS LÄN</t>
        </is>
      </c>
      <c r="E513" t="inlineStr">
        <is>
          <t>RAGUNDA</t>
        </is>
      </c>
      <c r="G513" t="n">
        <v>2.7</v>
      </c>
      <c r="H513" t="n">
        <v>0</v>
      </c>
      <c r="I513" t="n">
        <v>0</v>
      </c>
      <c r="J513" t="n">
        <v>0</v>
      </c>
      <c r="K513" t="n">
        <v>0</v>
      </c>
      <c r="L513" t="n">
        <v>0</v>
      </c>
      <c r="M513" t="n">
        <v>0</v>
      </c>
      <c r="N513" t="n">
        <v>0</v>
      </c>
      <c r="O513" t="n">
        <v>0</v>
      </c>
      <c r="P513" t="n">
        <v>0</v>
      </c>
      <c r="Q513" t="n">
        <v>0</v>
      </c>
      <c r="R513" s="2" t="inlineStr"/>
    </row>
    <row r="514" ht="15" customHeight="1">
      <c r="A514" t="inlineStr">
        <is>
          <t>A 40586-2025</t>
        </is>
      </c>
      <c r="B514" s="1" t="n">
        <v>45896.52478009259</v>
      </c>
      <c r="C514" s="1" t="n">
        <v>46102</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5930-2025</t>
        </is>
      </c>
      <c r="B515" s="1" t="n">
        <v>45695.44724537037</v>
      </c>
      <c r="C515" s="1" t="n">
        <v>46102</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59738-2025</t>
        </is>
      </c>
      <c r="B516" s="1" t="n">
        <v>45992.57408564815</v>
      </c>
      <c r="C516" s="1" t="n">
        <v>46102</v>
      </c>
      <c r="D516" t="inlineStr">
        <is>
          <t>JÄMTLANDS LÄN</t>
        </is>
      </c>
      <c r="E516" t="inlineStr">
        <is>
          <t>RAGUNDA</t>
        </is>
      </c>
      <c r="F516" t="inlineStr">
        <is>
          <t>SCA</t>
        </is>
      </c>
      <c r="G516" t="n">
        <v>12.5</v>
      </c>
      <c r="H516" t="n">
        <v>0</v>
      </c>
      <c r="I516" t="n">
        <v>0</v>
      </c>
      <c r="J516" t="n">
        <v>0</v>
      </c>
      <c r="K516" t="n">
        <v>0</v>
      </c>
      <c r="L516" t="n">
        <v>0</v>
      </c>
      <c r="M516" t="n">
        <v>0</v>
      </c>
      <c r="N516" t="n">
        <v>0</v>
      </c>
      <c r="O516" t="n">
        <v>0</v>
      </c>
      <c r="P516" t="n">
        <v>0</v>
      </c>
      <c r="Q516" t="n">
        <v>0</v>
      </c>
      <c r="R516" s="2" t="inlineStr"/>
    </row>
    <row r="517" ht="15" customHeight="1">
      <c r="A517" t="inlineStr">
        <is>
          <t>A 59739-2025</t>
        </is>
      </c>
      <c r="B517" s="1" t="n">
        <v>45992.57417824074</v>
      </c>
      <c r="C517" s="1" t="n">
        <v>46102</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59740-2025</t>
        </is>
      </c>
      <c r="B518" s="1" t="n">
        <v>45992.5743287037</v>
      </c>
      <c r="C518" s="1" t="n">
        <v>46102</v>
      </c>
      <c r="D518" t="inlineStr">
        <is>
          <t>JÄMTLANDS LÄN</t>
        </is>
      </c>
      <c r="E518" t="inlineStr">
        <is>
          <t>RAGUNDA</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57170-2024</t>
        </is>
      </c>
      <c r="B519" s="1" t="n">
        <v>45629.42759259259</v>
      </c>
      <c r="C519" s="1" t="n">
        <v>46102</v>
      </c>
      <c r="D519" t="inlineStr">
        <is>
          <t>JÄMTLANDS LÄN</t>
        </is>
      </c>
      <c r="E519" t="inlineStr">
        <is>
          <t>RAGUNDA</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59931-2025</t>
        </is>
      </c>
      <c r="B520" s="1" t="n">
        <v>45993.40177083333</v>
      </c>
      <c r="C520" s="1" t="n">
        <v>46102</v>
      </c>
      <c r="D520" t="inlineStr">
        <is>
          <t>JÄMTLANDS LÄN</t>
        </is>
      </c>
      <c r="E520" t="inlineStr">
        <is>
          <t>RAGUNDA</t>
        </is>
      </c>
      <c r="G520" t="n">
        <v>4</v>
      </c>
      <c r="H520" t="n">
        <v>0</v>
      </c>
      <c r="I520" t="n">
        <v>0</v>
      </c>
      <c r="J520" t="n">
        <v>0</v>
      </c>
      <c r="K520" t="n">
        <v>0</v>
      </c>
      <c r="L520" t="n">
        <v>0</v>
      </c>
      <c r="M520" t="n">
        <v>0</v>
      </c>
      <c r="N520" t="n">
        <v>0</v>
      </c>
      <c r="O520" t="n">
        <v>0</v>
      </c>
      <c r="P520" t="n">
        <v>0</v>
      </c>
      <c r="Q520" t="n">
        <v>0</v>
      </c>
      <c r="R520" s="2" t="inlineStr"/>
    </row>
    <row r="521" ht="15" customHeight="1">
      <c r="A521" t="inlineStr">
        <is>
          <t>A 59693-2025</t>
        </is>
      </c>
      <c r="B521" s="1" t="n">
        <v>45992.49009259259</v>
      </c>
      <c r="C521" s="1" t="n">
        <v>46102</v>
      </c>
      <c r="D521" t="inlineStr">
        <is>
          <t>JÄMTLANDS LÄN</t>
        </is>
      </c>
      <c r="E521" t="inlineStr">
        <is>
          <t>RAGUNDA</t>
        </is>
      </c>
      <c r="G521" t="n">
        <v>0.7</v>
      </c>
      <c r="H521" t="n">
        <v>0</v>
      </c>
      <c r="I521" t="n">
        <v>0</v>
      </c>
      <c r="J521" t="n">
        <v>0</v>
      </c>
      <c r="K521" t="n">
        <v>0</v>
      </c>
      <c r="L521" t="n">
        <v>0</v>
      </c>
      <c r="M521" t="n">
        <v>0</v>
      </c>
      <c r="N521" t="n">
        <v>0</v>
      </c>
      <c r="O521" t="n">
        <v>0</v>
      </c>
      <c r="P521" t="n">
        <v>0</v>
      </c>
      <c r="Q521" t="n">
        <v>0</v>
      </c>
      <c r="R521" s="2" t="inlineStr"/>
    </row>
    <row r="522" ht="15" customHeight="1">
      <c r="A522" t="inlineStr">
        <is>
          <t>A 41161-2025</t>
        </is>
      </c>
      <c r="B522" s="1" t="n">
        <v>45898.53193287037</v>
      </c>
      <c r="C522" s="1" t="n">
        <v>46102</v>
      </c>
      <c r="D522" t="inlineStr">
        <is>
          <t>JÄMTLANDS LÄN</t>
        </is>
      </c>
      <c r="E522" t="inlineStr">
        <is>
          <t>RAGUNDA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23405-2025</t>
        </is>
      </c>
      <c r="B523" s="1" t="n">
        <v>45792.34527777778</v>
      </c>
      <c r="C523" s="1" t="n">
        <v>46102</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41233-2025</t>
        </is>
      </c>
      <c r="B524" s="1" t="n">
        <v>45898.59295138889</v>
      </c>
      <c r="C524" s="1" t="n">
        <v>46102</v>
      </c>
      <c r="D524" t="inlineStr">
        <is>
          <t>JÄMTLANDS LÄN</t>
        </is>
      </c>
      <c r="E524" t="inlineStr">
        <is>
          <t>RAGUNDA</t>
        </is>
      </c>
      <c r="G524" t="n">
        <v>1.7</v>
      </c>
      <c r="H524" t="n">
        <v>0</v>
      </c>
      <c r="I524" t="n">
        <v>0</v>
      </c>
      <c r="J524" t="n">
        <v>0</v>
      </c>
      <c r="K524" t="n">
        <v>0</v>
      </c>
      <c r="L524" t="n">
        <v>0</v>
      </c>
      <c r="M524" t="n">
        <v>0</v>
      </c>
      <c r="N524" t="n">
        <v>0</v>
      </c>
      <c r="O524" t="n">
        <v>0</v>
      </c>
      <c r="P524" t="n">
        <v>0</v>
      </c>
      <c r="Q524" t="n">
        <v>0</v>
      </c>
      <c r="R524" s="2" t="inlineStr"/>
    </row>
    <row r="525" ht="15" customHeight="1">
      <c r="A525" t="inlineStr">
        <is>
          <t>A 60062-2025</t>
        </is>
      </c>
      <c r="B525" s="1" t="n">
        <v>45993.65694444445</v>
      </c>
      <c r="C525" s="1" t="n">
        <v>46102</v>
      </c>
      <c r="D525" t="inlineStr">
        <is>
          <t>JÄMTLANDS LÄN</t>
        </is>
      </c>
      <c r="E525" t="inlineStr">
        <is>
          <t>RAGUNDA</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41262-2025</t>
        </is>
      </c>
      <c r="B526" s="1" t="n">
        <v>45898.61502314815</v>
      </c>
      <c r="C526" s="1" t="n">
        <v>46102</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60128-2025</t>
        </is>
      </c>
      <c r="B527" s="1" t="n">
        <v>45994.34456018519</v>
      </c>
      <c r="C527" s="1" t="n">
        <v>46102</v>
      </c>
      <c r="D527" t="inlineStr">
        <is>
          <t>JÄMTLANDS LÄN</t>
        </is>
      </c>
      <c r="E527" t="inlineStr">
        <is>
          <t>RAGUNDA</t>
        </is>
      </c>
      <c r="G527" t="n">
        <v>7.1</v>
      </c>
      <c r="H527" t="n">
        <v>0</v>
      </c>
      <c r="I527" t="n">
        <v>0</v>
      </c>
      <c r="J527" t="n">
        <v>0</v>
      </c>
      <c r="K527" t="n">
        <v>0</v>
      </c>
      <c r="L527" t="n">
        <v>0</v>
      </c>
      <c r="M527" t="n">
        <v>0</v>
      </c>
      <c r="N527" t="n">
        <v>0</v>
      </c>
      <c r="O527" t="n">
        <v>0</v>
      </c>
      <c r="P527" t="n">
        <v>0</v>
      </c>
      <c r="Q527" t="n">
        <v>0</v>
      </c>
      <c r="R527" s="2" t="inlineStr"/>
    </row>
    <row r="528" ht="15" customHeight="1">
      <c r="A528" t="inlineStr">
        <is>
          <t>A 41423-2025</t>
        </is>
      </c>
      <c r="B528" s="1" t="n">
        <v>45901.38578703703</v>
      </c>
      <c r="C528" s="1" t="n">
        <v>46102</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8795-2022</t>
        </is>
      </c>
      <c r="B529" s="1" t="n">
        <v>44614</v>
      </c>
      <c r="C529" s="1" t="n">
        <v>46102</v>
      </c>
      <c r="D529" t="inlineStr">
        <is>
          <t>JÄMTLANDS LÄN</t>
        </is>
      </c>
      <c r="E529" t="inlineStr">
        <is>
          <t>RAGUNDA</t>
        </is>
      </c>
      <c r="G529" t="n">
        <v>3.9</v>
      </c>
      <c r="H529" t="n">
        <v>0</v>
      </c>
      <c r="I529" t="n">
        <v>0</v>
      </c>
      <c r="J529" t="n">
        <v>0</v>
      </c>
      <c r="K529" t="n">
        <v>0</v>
      </c>
      <c r="L529" t="n">
        <v>0</v>
      </c>
      <c r="M529" t="n">
        <v>0</v>
      </c>
      <c r="N529" t="n">
        <v>0</v>
      </c>
      <c r="O529" t="n">
        <v>0</v>
      </c>
      <c r="P529" t="n">
        <v>0</v>
      </c>
      <c r="Q529" t="n">
        <v>0</v>
      </c>
      <c r="R529" s="2" t="inlineStr"/>
    </row>
    <row r="530" ht="15" customHeight="1">
      <c r="A530" t="inlineStr">
        <is>
          <t>A 60389-2025</t>
        </is>
      </c>
      <c r="B530" s="1" t="n">
        <v>45995.38628472222</v>
      </c>
      <c r="C530" s="1" t="n">
        <v>46102</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60387-2025</t>
        </is>
      </c>
      <c r="B531" s="1" t="n">
        <v>45995.38611111111</v>
      </c>
      <c r="C531" s="1" t="n">
        <v>46102</v>
      </c>
      <c r="D531" t="inlineStr">
        <is>
          <t>JÄMTLANDS LÄN</t>
        </is>
      </c>
      <c r="E531" t="inlineStr">
        <is>
          <t>RAGUNDA</t>
        </is>
      </c>
      <c r="G531" t="n">
        <v>8.5</v>
      </c>
      <c r="H531" t="n">
        <v>0</v>
      </c>
      <c r="I531" t="n">
        <v>0</v>
      </c>
      <c r="J531" t="n">
        <v>0</v>
      </c>
      <c r="K531" t="n">
        <v>0</v>
      </c>
      <c r="L531" t="n">
        <v>0</v>
      </c>
      <c r="M531" t="n">
        <v>0</v>
      </c>
      <c r="N531" t="n">
        <v>0</v>
      </c>
      <c r="O531" t="n">
        <v>0</v>
      </c>
      <c r="P531" t="n">
        <v>0</v>
      </c>
      <c r="Q531" t="n">
        <v>0</v>
      </c>
      <c r="R531" s="2" t="inlineStr"/>
    </row>
    <row r="532" ht="15" customHeight="1">
      <c r="A532" t="inlineStr">
        <is>
          <t>A 35265-2023</t>
        </is>
      </c>
      <c r="B532" s="1" t="n">
        <v>45145.95326388889</v>
      </c>
      <c r="C532" s="1" t="n">
        <v>46102</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41424-2025</t>
        </is>
      </c>
      <c r="B533" s="1" t="n">
        <v>45901.38584490741</v>
      </c>
      <c r="C533" s="1" t="n">
        <v>46102</v>
      </c>
      <c r="D533" t="inlineStr">
        <is>
          <t>JÄMTLANDS LÄN</t>
        </is>
      </c>
      <c r="E533" t="inlineStr">
        <is>
          <t>RAGUNDA</t>
        </is>
      </c>
      <c r="G533" t="n">
        <v>3</v>
      </c>
      <c r="H533" t="n">
        <v>0</v>
      </c>
      <c r="I533" t="n">
        <v>0</v>
      </c>
      <c r="J533" t="n">
        <v>0</v>
      </c>
      <c r="K533" t="n">
        <v>0</v>
      </c>
      <c r="L533" t="n">
        <v>0</v>
      </c>
      <c r="M533" t="n">
        <v>0</v>
      </c>
      <c r="N533" t="n">
        <v>0</v>
      </c>
      <c r="O533" t="n">
        <v>0</v>
      </c>
      <c r="P533" t="n">
        <v>0</v>
      </c>
      <c r="Q533" t="n">
        <v>0</v>
      </c>
      <c r="R533" s="2" t="inlineStr"/>
    </row>
    <row r="534" ht="15" customHeight="1">
      <c r="A534" t="inlineStr">
        <is>
          <t>A 60307-2025</t>
        </is>
      </c>
      <c r="B534" s="1" t="n">
        <v>45994.6842824074</v>
      </c>
      <c r="C534" s="1" t="n">
        <v>46102</v>
      </c>
      <c r="D534" t="inlineStr">
        <is>
          <t>JÄMTLANDS LÄN</t>
        </is>
      </c>
      <c r="E534" t="inlineStr">
        <is>
          <t>RAGUNDA</t>
        </is>
      </c>
      <c r="G534" t="n">
        <v>4</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46102</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5148-2023</t>
        </is>
      </c>
      <c r="B536" s="1" t="n">
        <v>44958</v>
      </c>
      <c r="C536" s="1" t="n">
        <v>46102</v>
      </c>
      <c r="D536" t="inlineStr">
        <is>
          <t>JÄMTLANDS LÄN</t>
        </is>
      </c>
      <c r="E536" t="inlineStr">
        <is>
          <t>RAGUNDA</t>
        </is>
      </c>
      <c r="G536" t="n">
        <v>2.9</v>
      </c>
      <c r="H536" t="n">
        <v>0</v>
      </c>
      <c r="I536" t="n">
        <v>0</v>
      </c>
      <c r="J536" t="n">
        <v>0</v>
      </c>
      <c r="K536" t="n">
        <v>0</v>
      </c>
      <c r="L536" t="n">
        <v>0</v>
      </c>
      <c r="M536" t="n">
        <v>0</v>
      </c>
      <c r="N536" t="n">
        <v>0</v>
      </c>
      <c r="O536" t="n">
        <v>0</v>
      </c>
      <c r="P536" t="n">
        <v>0</v>
      </c>
      <c r="Q536" t="n">
        <v>0</v>
      </c>
      <c r="R536" s="2" t="inlineStr"/>
    </row>
    <row r="537" ht="15" customHeight="1">
      <c r="A537" t="inlineStr">
        <is>
          <t>A 41422-2025</t>
        </is>
      </c>
      <c r="B537" s="1" t="n">
        <v>45901.38572916666</v>
      </c>
      <c r="C537" s="1" t="n">
        <v>46102</v>
      </c>
      <c r="D537" t="inlineStr">
        <is>
          <t>JÄMTLANDS LÄN</t>
        </is>
      </c>
      <c r="E537" t="inlineStr">
        <is>
          <t>RAGUNDA</t>
        </is>
      </c>
      <c r="G537" t="n">
        <v>4.3</v>
      </c>
      <c r="H537" t="n">
        <v>0</v>
      </c>
      <c r="I537" t="n">
        <v>0</v>
      </c>
      <c r="J537" t="n">
        <v>0</v>
      </c>
      <c r="K537" t="n">
        <v>0</v>
      </c>
      <c r="L537" t="n">
        <v>0</v>
      </c>
      <c r="M537" t="n">
        <v>0</v>
      </c>
      <c r="N537" t="n">
        <v>0</v>
      </c>
      <c r="O537" t="n">
        <v>0</v>
      </c>
      <c r="P537" t="n">
        <v>0</v>
      </c>
      <c r="Q537" t="n">
        <v>0</v>
      </c>
      <c r="R537" s="2" t="inlineStr"/>
    </row>
    <row r="538" ht="15" customHeight="1">
      <c r="A538" t="inlineStr">
        <is>
          <t>A 41876-2025</t>
        </is>
      </c>
      <c r="B538" s="1" t="n">
        <v>45903.34555555556</v>
      </c>
      <c r="C538" s="1" t="n">
        <v>46102</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66471-2021</t>
        </is>
      </c>
      <c r="B539" s="1" t="n">
        <v>44518</v>
      </c>
      <c r="C539" s="1" t="n">
        <v>46102</v>
      </c>
      <c r="D539" t="inlineStr">
        <is>
          <t>JÄMTLANDS LÄN</t>
        </is>
      </c>
      <c r="E539" t="inlineStr">
        <is>
          <t>RAGUNDA</t>
        </is>
      </c>
      <c r="G539" t="n">
        <v>13.4</v>
      </c>
      <c r="H539" t="n">
        <v>0</v>
      </c>
      <c r="I539" t="n">
        <v>0</v>
      </c>
      <c r="J539" t="n">
        <v>0</v>
      </c>
      <c r="K539" t="n">
        <v>0</v>
      </c>
      <c r="L539" t="n">
        <v>0</v>
      </c>
      <c r="M539" t="n">
        <v>0</v>
      </c>
      <c r="N539" t="n">
        <v>0</v>
      </c>
      <c r="O539" t="n">
        <v>0</v>
      </c>
      <c r="P539" t="n">
        <v>0</v>
      </c>
      <c r="Q539" t="n">
        <v>0</v>
      </c>
      <c r="R539" s="2" t="inlineStr"/>
    </row>
    <row r="540" ht="15" customHeight="1">
      <c r="A540" t="inlineStr">
        <is>
          <t>A 18778-2024</t>
        </is>
      </c>
      <c r="B540" s="1" t="n">
        <v>45426</v>
      </c>
      <c r="C540" s="1" t="n">
        <v>46102</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60130-2025</t>
        </is>
      </c>
      <c r="B541" s="1" t="n">
        <v>45994.34467592592</v>
      </c>
      <c r="C541" s="1" t="n">
        <v>46102</v>
      </c>
      <c r="D541" t="inlineStr">
        <is>
          <t>JÄMTLANDS LÄN</t>
        </is>
      </c>
      <c r="E541" t="inlineStr">
        <is>
          <t>RAGUNDA</t>
        </is>
      </c>
      <c r="G541" t="n">
        <v>4.9</v>
      </c>
      <c r="H541" t="n">
        <v>0</v>
      </c>
      <c r="I541" t="n">
        <v>0</v>
      </c>
      <c r="J541" t="n">
        <v>0</v>
      </c>
      <c r="K541" t="n">
        <v>0</v>
      </c>
      <c r="L541" t="n">
        <v>0</v>
      </c>
      <c r="M541" t="n">
        <v>0</v>
      </c>
      <c r="N541" t="n">
        <v>0</v>
      </c>
      <c r="O541" t="n">
        <v>0</v>
      </c>
      <c r="P541" t="n">
        <v>0</v>
      </c>
      <c r="Q541" t="n">
        <v>0</v>
      </c>
      <c r="R541" s="2" t="inlineStr"/>
    </row>
    <row r="542" ht="15" customHeight="1">
      <c r="A542" t="inlineStr">
        <is>
          <t>A 59556-2024</t>
        </is>
      </c>
      <c r="B542" s="1" t="n">
        <v>45638.63600694444</v>
      </c>
      <c r="C542" s="1" t="n">
        <v>46102</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46102</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60760-2025</t>
        </is>
      </c>
      <c r="B544" s="1" t="n">
        <v>45999.38597222222</v>
      </c>
      <c r="C544" s="1" t="n">
        <v>46102</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41656-2025</t>
        </is>
      </c>
      <c r="B545" s="1" t="n">
        <v>45902.34423611111</v>
      </c>
      <c r="C545" s="1" t="n">
        <v>46102</v>
      </c>
      <c r="D545" t="inlineStr">
        <is>
          <t>JÄMTLANDS LÄN</t>
        </is>
      </c>
      <c r="E545" t="inlineStr">
        <is>
          <t>RAGUNDA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60630-2025</t>
        </is>
      </c>
      <c r="B546" s="1" t="n">
        <v>45996.42120370371</v>
      </c>
      <c r="C546" s="1" t="n">
        <v>46102</v>
      </c>
      <c r="D546" t="inlineStr">
        <is>
          <t>JÄMTLANDS LÄN</t>
        </is>
      </c>
      <c r="E546" t="inlineStr">
        <is>
          <t>RAGUNDA</t>
        </is>
      </c>
      <c r="G546" t="n">
        <v>13.2</v>
      </c>
      <c r="H546" t="n">
        <v>0</v>
      </c>
      <c r="I546" t="n">
        <v>0</v>
      </c>
      <c r="J546" t="n">
        <v>0</v>
      </c>
      <c r="K546" t="n">
        <v>0</v>
      </c>
      <c r="L546" t="n">
        <v>0</v>
      </c>
      <c r="M546" t="n">
        <v>0</v>
      </c>
      <c r="N546" t="n">
        <v>0</v>
      </c>
      <c r="O546" t="n">
        <v>0</v>
      </c>
      <c r="P546" t="n">
        <v>0</v>
      </c>
      <c r="Q546" t="n">
        <v>0</v>
      </c>
      <c r="R546" s="2" t="inlineStr"/>
    </row>
    <row r="547" ht="15" customHeight="1">
      <c r="A547" t="inlineStr">
        <is>
          <t>A 16529-2022</t>
        </is>
      </c>
      <c r="B547" s="1" t="n">
        <v>44671</v>
      </c>
      <c r="C547" s="1" t="n">
        <v>46102</v>
      </c>
      <c r="D547" t="inlineStr">
        <is>
          <t>JÄMTLANDS LÄN</t>
        </is>
      </c>
      <c r="E547" t="inlineStr">
        <is>
          <t>RAGUNDA</t>
        </is>
      </c>
      <c r="G547" t="n">
        <v>1.5</v>
      </c>
      <c r="H547" t="n">
        <v>0</v>
      </c>
      <c r="I547" t="n">
        <v>0</v>
      </c>
      <c r="J547" t="n">
        <v>0</v>
      </c>
      <c r="K547" t="n">
        <v>0</v>
      </c>
      <c r="L547" t="n">
        <v>0</v>
      </c>
      <c r="M547" t="n">
        <v>0</v>
      </c>
      <c r="N547" t="n">
        <v>0</v>
      </c>
      <c r="O547" t="n">
        <v>0</v>
      </c>
      <c r="P547" t="n">
        <v>0</v>
      </c>
      <c r="Q547" t="n">
        <v>0</v>
      </c>
      <c r="R547" s="2" t="inlineStr"/>
    </row>
    <row r="548" ht="15" customHeight="1">
      <c r="A548" t="inlineStr">
        <is>
          <t>A 61233-2025</t>
        </is>
      </c>
      <c r="B548" s="1" t="n">
        <v>46000.6359837963</v>
      </c>
      <c r="C548" s="1" t="n">
        <v>46102</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61509-2025</t>
        </is>
      </c>
      <c r="B549" s="1" t="n">
        <v>46001.68189814815</v>
      </c>
      <c r="C549" s="1" t="n">
        <v>46102</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61266-2025</t>
        </is>
      </c>
      <c r="B550" s="1" t="n">
        <v>46000.67784722222</v>
      </c>
      <c r="C550" s="1" t="n">
        <v>46102</v>
      </c>
      <c r="D550" t="inlineStr">
        <is>
          <t>JÄMTLANDS LÄN</t>
        </is>
      </c>
      <c r="E550" t="inlineStr">
        <is>
          <t>RAGUNDA</t>
        </is>
      </c>
      <c r="G550" t="n">
        <v>7.9</v>
      </c>
      <c r="H550" t="n">
        <v>0</v>
      </c>
      <c r="I550" t="n">
        <v>0</v>
      </c>
      <c r="J550" t="n">
        <v>0</v>
      </c>
      <c r="K550" t="n">
        <v>0</v>
      </c>
      <c r="L550" t="n">
        <v>0</v>
      </c>
      <c r="M550" t="n">
        <v>0</v>
      </c>
      <c r="N550" t="n">
        <v>0</v>
      </c>
      <c r="O550" t="n">
        <v>0</v>
      </c>
      <c r="P550" t="n">
        <v>0</v>
      </c>
      <c r="Q550" t="n">
        <v>0</v>
      </c>
      <c r="R550" s="2" t="inlineStr"/>
    </row>
    <row r="551" ht="15" customHeight="1">
      <c r="A551" t="inlineStr">
        <is>
          <t>A 61934-2022</t>
        </is>
      </c>
      <c r="B551" s="1" t="n">
        <v>44917</v>
      </c>
      <c r="C551" s="1" t="n">
        <v>46102</v>
      </c>
      <c r="D551" t="inlineStr">
        <is>
          <t>JÄMTLANDS LÄN</t>
        </is>
      </c>
      <c r="E551" t="inlineStr">
        <is>
          <t>RAGUNDA</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8678-2023</t>
        </is>
      </c>
      <c r="B552" s="1" t="n">
        <v>44977.98660879629</v>
      </c>
      <c r="C552" s="1" t="n">
        <v>46102</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46102</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18284-2025</t>
        </is>
      </c>
      <c r="B554" s="1" t="n">
        <v>45762.39876157408</v>
      </c>
      <c r="C554" s="1" t="n">
        <v>46102</v>
      </c>
      <c r="D554" t="inlineStr">
        <is>
          <t>JÄMTLANDS LÄN</t>
        </is>
      </c>
      <c r="E554" t="inlineStr">
        <is>
          <t>RAGUNDA</t>
        </is>
      </c>
      <c r="G554" t="n">
        <v>0.2</v>
      </c>
      <c r="H554" t="n">
        <v>0</v>
      </c>
      <c r="I554" t="n">
        <v>0</v>
      </c>
      <c r="J554" t="n">
        <v>0</v>
      </c>
      <c r="K554" t="n">
        <v>0</v>
      </c>
      <c r="L554" t="n">
        <v>0</v>
      </c>
      <c r="M554" t="n">
        <v>0</v>
      </c>
      <c r="N554" t="n">
        <v>0</v>
      </c>
      <c r="O554" t="n">
        <v>0</v>
      </c>
      <c r="P554" t="n">
        <v>0</v>
      </c>
      <c r="Q554" t="n">
        <v>0</v>
      </c>
      <c r="R554" s="2" t="inlineStr"/>
      <c r="U554">
        <f>HYPERLINK("https://klasma.github.io/Logging_2303/knärot/A 18284-2025 karta knärot.png", "A 18284-2025")</f>
        <v/>
      </c>
      <c r="V554">
        <f>HYPERLINK("https://klasma.github.io/Logging_2303/klagomål/A 18284-2025 FSC-klagomål.docx", "A 18284-2025")</f>
        <v/>
      </c>
      <c r="W554">
        <f>HYPERLINK("https://klasma.github.io/Logging_2303/klagomålsmail/A 18284-2025 FSC-klagomål mail.docx", "A 18284-2025")</f>
        <v/>
      </c>
      <c r="X554">
        <f>HYPERLINK("https://klasma.github.io/Logging_2303/tillsyn/A 18284-2025 tillsynsbegäran.docx", "A 18284-2025")</f>
        <v/>
      </c>
      <c r="Y554">
        <f>HYPERLINK("https://klasma.github.io/Logging_2303/tillsynsmail/A 18284-2025 tillsynsbegäran mail.docx", "A 18284-2025")</f>
        <v/>
      </c>
    </row>
    <row r="555" ht="15" customHeight="1">
      <c r="A555" t="inlineStr">
        <is>
          <t>A 28742-2023</t>
        </is>
      </c>
      <c r="B555" s="1" t="n">
        <v>45103</v>
      </c>
      <c r="C555" s="1" t="n">
        <v>46102</v>
      </c>
      <c r="D555" t="inlineStr">
        <is>
          <t>JÄMTLANDS LÄN</t>
        </is>
      </c>
      <c r="E555" t="inlineStr">
        <is>
          <t>RAGUNDA</t>
        </is>
      </c>
      <c r="G555" t="n">
        <v>1.8</v>
      </c>
      <c r="H555" t="n">
        <v>0</v>
      </c>
      <c r="I555" t="n">
        <v>0</v>
      </c>
      <c r="J555" t="n">
        <v>0</v>
      </c>
      <c r="K555" t="n">
        <v>0</v>
      </c>
      <c r="L555" t="n">
        <v>0</v>
      </c>
      <c r="M555" t="n">
        <v>0</v>
      </c>
      <c r="N555" t="n">
        <v>0</v>
      </c>
      <c r="O555" t="n">
        <v>0</v>
      </c>
      <c r="P555" t="n">
        <v>0</v>
      </c>
      <c r="Q555" t="n">
        <v>0</v>
      </c>
      <c r="R555" s="2" t="inlineStr"/>
    </row>
    <row r="556" ht="15" customHeight="1">
      <c r="A556" t="inlineStr">
        <is>
          <t>A 17323-2025</t>
        </is>
      </c>
      <c r="B556" s="1" t="n">
        <v>45756.63601851852</v>
      </c>
      <c r="C556" s="1" t="n">
        <v>46102</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46102</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16364-2023</t>
        </is>
      </c>
      <c r="B558" s="1" t="n">
        <v>45028</v>
      </c>
      <c r="C558" s="1" t="n">
        <v>46102</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46102</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c r="U559">
        <f>HYPERLINK("https://klasma.github.io/Logging_2303/knärot/A 24158-2025 karta knärot.png", "A 24158-2025")</f>
        <v/>
      </c>
      <c r="V559">
        <f>HYPERLINK("https://klasma.github.io/Logging_2303/klagomål/A 24158-2025 FSC-klagomål.docx", "A 24158-2025")</f>
        <v/>
      </c>
      <c r="W559">
        <f>HYPERLINK("https://klasma.github.io/Logging_2303/klagomålsmail/A 24158-2025 FSC-klagomål mail.docx", "A 24158-2025")</f>
        <v/>
      </c>
      <c r="X559">
        <f>HYPERLINK("https://klasma.github.io/Logging_2303/tillsyn/A 24158-2025 tillsynsbegäran.docx", "A 24158-2025")</f>
        <v/>
      </c>
      <c r="Y559">
        <f>HYPERLINK("https://klasma.github.io/Logging_2303/tillsynsmail/A 24158-2025 tillsynsbegäran mail.docx", "A 24158-2025")</f>
        <v/>
      </c>
    </row>
    <row r="560" ht="15" customHeight="1">
      <c r="A560" t="inlineStr">
        <is>
          <t>A 24161-2025</t>
        </is>
      </c>
      <c r="B560" s="1" t="n">
        <v>45796</v>
      </c>
      <c r="C560" s="1" t="n">
        <v>46102</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59136-2023</t>
        </is>
      </c>
      <c r="B561" s="1" t="n">
        <v>45251</v>
      </c>
      <c r="C561" s="1" t="n">
        <v>46102</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33763-2025</t>
        </is>
      </c>
      <c r="B562" s="1" t="n">
        <v>45842.38579861111</v>
      </c>
      <c r="C562" s="1" t="n">
        <v>46102</v>
      </c>
      <c r="D562" t="inlineStr">
        <is>
          <t>JÄMTLANDS LÄN</t>
        </is>
      </c>
      <c r="E562" t="inlineStr">
        <is>
          <t>RAGUNDA</t>
        </is>
      </c>
      <c r="F562" t="inlineStr">
        <is>
          <t>SCA</t>
        </is>
      </c>
      <c r="G562" t="n">
        <v>13.4</v>
      </c>
      <c r="H562" t="n">
        <v>0</v>
      </c>
      <c r="I562" t="n">
        <v>0</v>
      </c>
      <c r="J562" t="n">
        <v>0</v>
      </c>
      <c r="K562" t="n">
        <v>0</v>
      </c>
      <c r="L562" t="n">
        <v>0</v>
      </c>
      <c r="M562" t="n">
        <v>0</v>
      </c>
      <c r="N562" t="n">
        <v>0</v>
      </c>
      <c r="O562" t="n">
        <v>0</v>
      </c>
      <c r="P562" t="n">
        <v>0</v>
      </c>
      <c r="Q562" t="n">
        <v>0</v>
      </c>
      <c r="R562" s="2" t="inlineStr"/>
    </row>
    <row r="563" ht="15" customHeight="1">
      <c r="A563" t="inlineStr">
        <is>
          <t>A 49659-2023</t>
        </is>
      </c>
      <c r="B563" s="1" t="n">
        <v>45211.95134259259</v>
      </c>
      <c r="C563" s="1" t="n">
        <v>46102</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61755-2025</t>
        </is>
      </c>
      <c r="B564" s="1" t="n">
        <v>46002</v>
      </c>
      <c r="C564" s="1" t="n">
        <v>46102</v>
      </c>
      <c r="D564" t="inlineStr">
        <is>
          <t>JÄMTLANDS LÄN</t>
        </is>
      </c>
      <c r="E564" t="inlineStr">
        <is>
          <t>RAGUNDA</t>
        </is>
      </c>
      <c r="G564" t="n">
        <v>0.9</v>
      </c>
      <c r="H564" t="n">
        <v>0</v>
      </c>
      <c r="I564" t="n">
        <v>0</v>
      </c>
      <c r="J564" t="n">
        <v>0</v>
      </c>
      <c r="K564" t="n">
        <v>0</v>
      </c>
      <c r="L564" t="n">
        <v>0</v>
      </c>
      <c r="M564" t="n">
        <v>0</v>
      </c>
      <c r="N564" t="n">
        <v>0</v>
      </c>
      <c r="O564" t="n">
        <v>0</v>
      </c>
      <c r="P564" t="n">
        <v>0</v>
      </c>
      <c r="Q564" t="n">
        <v>0</v>
      </c>
      <c r="R564" s="2" t="inlineStr"/>
    </row>
    <row r="565" ht="15" customHeight="1">
      <c r="A565" t="inlineStr">
        <is>
          <t>A 43177-2025</t>
        </is>
      </c>
      <c r="B565" s="1" t="n">
        <v>45910.40667824074</v>
      </c>
      <c r="C565" s="1" t="n">
        <v>46102</v>
      </c>
      <c r="D565" t="inlineStr">
        <is>
          <t>JÄMTLANDS LÄN</t>
        </is>
      </c>
      <c r="E565" t="inlineStr">
        <is>
          <t>RAGUNDA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43181-2025</t>
        </is>
      </c>
      <c r="B566" s="1" t="n">
        <v>45910.40721064815</v>
      </c>
      <c r="C566" s="1" t="n">
        <v>46102</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3841-2026</t>
        </is>
      </c>
      <c r="B567" s="1" t="n">
        <v>46043</v>
      </c>
      <c r="C567" s="1" t="n">
        <v>46102</v>
      </c>
      <c r="D567" t="inlineStr">
        <is>
          <t>JÄMTLANDS LÄN</t>
        </is>
      </c>
      <c r="E567" t="inlineStr">
        <is>
          <t>RAGUNDA</t>
        </is>
      </c>
      <c r="F567" t="inlineStr">
        <is>
          <t>Kommuner</t>
        </is>
      </c>
      <c r="G567" t="n">
        <v>0.6</v>
      </c>
      <c r="H567" t="n">
        <v>0</v>
      </c>
      <c r="I567" t="n">
        <v>0</v>
      </c>
      <c r="J567" t="n">
        <v>0</v>
      </c>
      <c r="K567" t="n">
        <v>0</v>
      </c>
      <c r="L567" t="n">
        <v>0</v>
      </c>
      <c r="M567" t="n">
        <v>0</v>
      </c>
      <c r="N567" t="n">
        <v>0</v>
      </c>
      <c r="O567" t="n">
        <v>0</v>
      </c>
      <c r="P567" t="n">
        <v>0</v>
      </c>
      <c r="Q567" t="n">
        <v>0</v>
      </c>
      <c r="R567" s="2" t="inlineStr"/>
    </row>
    <row r="568" ht="15" customHeight="1">
      <c r="A568" t="inlineStr">
        <is>
          <t>A 50521-2024</t>
        </is>
      </c>
      <c r="B568" s="1" t="n">
        <v>45601.55331018518</v>
      </c>
      <c r="C568" s="1" t="n">
        <v>46102</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4916-2025</t>
        </is>
      </c>
      <c r="B569" s="1" t="n">
        <v>45688.68196759259</v>
      </c>
      <c r="C569" s="1" t="n">
        <v>46102</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43330-2025</t>
        </is>
      </c>
      <c r="B570" s="1" t="n">
        <v>45910.67766203704</v>
      </c>
      <c r="C570" s="1" t="n">
        <v>46102</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59557-2023</t>
        </is>
      </c>
      <c r="B571" s="1" t="n">
        <v>45253</v>
      </c>
      <c r="C571" s="1" t="n">
        <v>46102</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61697-2025</t>
        </is>
      </c>
      <c r="B572" s="1" t="n">
        <v>46002</v>
      </c>
      <c r="C572" s="1" t="n">
        <v>46102</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57112-2024</t>
        </is>
      </c>
      <c r="B573" s="1" t="n">
        <v>45629.36486111111</v>
      </c>
      <c r="C573" s="1" t="n">
        <v>46102</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53136-2024</t>
        </is>
      </c>
      <c r="B574" s="1" t="n">
        <v>45611.5953125</v>
      </c>
      <c r="C574" s="1" t="n">
        <v>46102</v>
      </c>
      <c r="D574" t="inlineStr">
        <is>
          <t>JÄMTLANDS LÄN</t>
        </is>
      </c>
      <c r="E574" t="inlineStr">
        <is>
          <t>RAGUNDA</t>
        </is>
      </c>
      <c r="G574" t="n">
        <v>3.8</v>
      </c>
      <c r="H574" t="n">
        <v>0</v>
      </c>
      <c r="I574" t="n">
        <v>0</v>
      </c>
      <c r="J574" t="n">
        <v>0</v>
      </c>
      <c r="K574" t="n">
        <v>0</v>
      </c>
      <c r="L574" t="n">
        <v>0</v>
      </c>
      <c r="M574" t="n">
        <v>0</v>
      </c>
      <c r="N574" t="n">
        <v>0</v>
      </c>
      <c r="O574" t="n">
        <v>0</v>
      </c>
      <c r="P574" t="n">
        <v>0</v>
      </c>
      <c r="Q574" t="n">
        <v>0</v>
      </c>
      <c r="R574" s="2" t="inlineStr"/>
    </row>
    <row r="575" ht="15" customHeight="1">
      <c r="A575" t="inlineStr">
        <is>
          <t>A 33621-2023</t>
        </is>
      </c>
      <c r="B575" s="1" t="n">
        <v>45119</v>
      </c>
      <c r="C575" s="1" t="n">
        <v>46102</v>
      </c>
      <c r="D575" t="inlineStr">
        <is>
          <t>JÄMTLANDS LÄN</t>
        </is>
      </c>
      <c r="E575" t="inlineStr">
        <is>
          <t>RAGUNDA</t>
        </is>
      </c>
      <c r="G575" t="n">
        <v>0.5</v>
      </c>
      <c r="H575" t="n">
        <v>0</v>
      </c>
      <c r="I575" t="n">
        <v>0</v>
      </c>
      <c r="J575" t="n">
        <v>0</v>
      </c>
      <c r="K575" t="n">
        <v>0</v>
      </c>
      <c r="L575" t="n">
        <v>0</v>
      </c>
      <c r="M575" t="n">
        <v>0</v>
      </c>
      <c r="N575" t="n">
        <v>0</v>
      </c>
      <c r="O575" t="n">
        <v>0</v>
      </c>
      <c r="P575" t="n">
        <v>0</v>
      </c>
      <c r="Q575" t="n">
        <v>0</v>
      </c>
      <c r="R575" s="2" t="inlineStr"/>
    </row>
    <row r="576" ht="15" customHeight="1">
      <c r="A576" t="inlineStr">
        <is>
          <t>A 6694-2024</t>
        </is>
      </c>
      <c r="B576" s="1" t="n">
        <v>45341.95381944445</v>
      </c>
      <c r="C576" s="1" t="n">
        <v>46102</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62490-2025</t>
        </is>
      </c>
      <c r="B577" s="1" t="n">
        <v>46007.5697337963</v>
      </c>
      <c r="C577" s="1" t="n">
        <v>46102</v>
      </c>
      <c r="D577" t="inlineStr">
        <is>
          <t>JÄMTLANDS LÄN</t>
        </is>
      </c>
      <c r="E577" t="inlineStr">
        <is>
          <t>RAGUNDA</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1537-2024</t>
        </is>
      </c>
      <c r="B578" s="1" t="n">
        <v>45306</v>
      </c>
      <c r="C578" s="1" t="n">
        <v>46102</v>
      </c>
      <c r="D578" t="inlineStr">
        <is>
          <t>JÄMTLANDS LÄN</t>
        </is>
      </c>
      <c r="E578" t="inlineStr">
        <is>
          <t>RAGUNDA</t>
        </is>
      </c>
      <c r="G578" t="n">
        <v>0.2</v>
      </c>
      <c r="H578" t="n">
        <v>0</v>
      </c>
      <c r="I578" t="n">
        <v>0</v>
      </c>
      <c r="J578" t="n">
        <v>0</v>
      </c>
      <c r="K578" t="n">
        <v>0</v>
      </c>
      <c r="L578" t="n">
        <v>0</v>
      </c>
      <c r="M578" t="n">
        <v>0</v>
      </c>
      <c r="N578" t="n">
        <v>0</v>
      </c>
      <c r="O578" t="n">
        <v>0</v>
      </c>
      <c r="P578" t="n">
        <v>0</v>
      </c>
      <c r="Q578" t="n">
        <v>0</v>
      </c>
      <c r="R578" s="2" t="inlineStr"/>
    </row>
    <row r="579" ht="15" customHeight="1">
      <c r="A579" t="inlineStr">
        <is>
          <t>A 62436-2025</t>
        </is>
      </c>
      <c r="B579" s="1" t="n">
        <v>46007</v>
      </c>
      <c r="C579" s="1" t="n">
        <v>46102</v>
      </c>
      <c r="D579" t="inlineStr">
        <is>
          <t>JÄMTLANDS LÄN</t>
        </is>
      </c>
      <c r="E579" t="inlineStr">
        <is>
          <t>RAGUNDA</t>
        </is>
      </c>
      <c r="G579" t="n">
        <v>0.7</v>
      </c>
      <c r="H579" t="n">
        <v>0</v>
      </c>
      <c r="I579" t="n">
        <v>0</v>
      </c>
      <c r="J579" t="n">
        <v>0</v>
      </c>
      <c r="K579" t="n">
        <v>0</v>
      </c>
      <c r="L579" t="n">
        <v>0</v>
      </c>
      <c r="M579" t="n">
        <v>0</v>
      </c>
      <c r="N579" t="n">
        <v>0</v>
      </c>
      <c r="O579" t="n">
        <v>0</v>
      </c>
      <c r="P579" t="n">
        <v>0</v>
      </c>
      <c r="Q579" t="n">
        <v>0</v>
      </c>
      <c r="R579" s="2" t="inlineStr"/>
    </row>
    <row r="580" ht="15" customHeight="1">
      <c r="A580" t="inlineStr">
        <is>
          <t>A 60935-2024</t>
        </is>
      </c>
      <c r="B580" s="1" t="n">
        <v>45645.36740740741</v>
      </c>
      <c r="C580" s="1" t="n">
        <v>46102</v>
      </c>
      <c r="D580" t="inlineStr">
        <is>
          <t>JÄMTLANDS LÄN</t>
        </is>
      </c>
      <c r="E580" t="inlineStr">
        <is>
          <t>RAGUNDA</t>
        </is>
      </c>
      <c r="G580" t="n">
        <v>2.6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46102</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46102</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46102</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62432-2025</t>
        </is>
      </c>
      <c r="B584" s="1" t="n">
        <v>46007</v>
      </c>
      <c r="C584" s="1" t="n">
        <v>46102</v>
      </c>
      <c r="D584" t="inlineStr">
        <is>
          <t>JÄMTLANDS LÄN</t>
        </is>
      </c>
      <c r="E584" t="inlineStr">
        <is>
          <t>RAGUNDA</t>
        </is>
      </c>
      <c r="G584" t="n">
        <v>4.7</v>
      </c>
      <c r="H584" t="n">
        <v>0</v>
      </c>
      <c r="I584" t="n">
        <v>0</v>
      </c>
      <c r="J584" t="n">
        <v>0</v>
      </c>
      <c r="K584" t="n">
        <v>0</v>
      </c>
      <c r="L584" t="n">
        <v>0</v>
      </c>
      <c r="M584" t="n">
        <v>0</v>
      </c>
      <c r="N584" t="n">
        <v>0</v>
      </c>
      <c r="O584" t="n">
        <v>0</v>
      </c>
      <c r="P584" t="n">
        <v>0</v>
      </c>
      <c r="Q584" t="n">
        <v>0</v>
      </c>
      <c r="R584" s="2" t="inlineStr"/>
    </row>
    <row r="585" ht="15" customHeight="1">
      <c r="A585" t="inlineStr">
        <is>
          <t>A 24159-2025</t>
        </is>
      </c>
      <c r="B585" s="1" t="n">
        <v>45796</v>
      </c>
      <c r="C585" s="1" t="n">
        <v>46102</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6257-2025</t>
        </is>
      </c>
      <c r="B586" s="1" t="n">
        <v>45698.59409722222</v>
      </c>
      <c r="C586" s="1" t="n">
        <v>46102</v>
      </c>
      <c r="D586" t="inlineStr">
        <is>
          <t>JÄMTLANDS LÄN</t>
        </is>
      </c>
      <c r="E586" t="inlineStr">
        <is>
          <t>RAGUNDA</t>
        </is>
      </c>
      <c r="F586" t="inlineStr">
        <is>
          <t>SCA</t>
        </is>
      </c>
      <c r="G586" t="n">
        <v>7</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46102</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63057-2025</t>
        </is>
      </c>
      <c r="B588" s="1" t="n">
        <v>46009.63837962963</v>
      </c>
      <c r="C588" s="1" t="n">
        <v>46102</v>
      </c>
      <c r="D588" t="inlineStr">
        <is>
          <t>JÄMTLANDS LÄN</t>
        </is>
      </c>
      <c r="E588" t="inlineStr">
        <is>
          <t>RAGUNDA</t>
        </is>
      </c>
      <c r="G588" t="n">
        <v>13.7</v>
      </c>
      <c r="H588" t="n">
        <v>0</v>
      </c>
      <c r="I588" t="n">
        <v>0</v>
      </c>
      <c r="J588" t="n">
        <v>0</v>
      </c>
      <c r="K588" t="n">
        <v>0</v>
      </c>
      <c r="L588" t="n">
        <v>0</v>
      </c>
      <c r="M588" t="n">
        <v>0</v>
      </c>
      <c r="N588" t="n">
        <v>0</v>
      </c>
      <c r="O588" t="n">
        <v>0</v>
      </c>
      <c r="P588" t="n">
        <v>0</v>
      </c>
      <c r="Q588" t="n">
        <v>0</v>
      </c>
      <c r="R588" s="2" t="inlineStr"/>
    </row>
    <row r="589" ht="15" customHeight="1">
      <c r="A589" t="inlineStr">
        <is>
          <t>A 24391-2025</t>
        </is>
      </c>
      <c r="B589" s="1" t="n">
        <v>45797.63627314815</v>
      </c>
      <c r="C589" s="1" t="n">
        <v>46102</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14074-2023</t>
        </is>
      </c>
      <c r="B590" s="1" t="n">
        <v>45009.089375</v>
      </c>
      <c r="C590" s="1" t="n">
        <v>46102</v>
      </c>
      <c r="D590" t="inlineStr">
        <is>
          <t>JÄMTLANDS LÄN</t>
        </is>
      </c>
      <c r="E590" t="inlineStr">
        <is>
          <t>RAGUNDA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37265-2024</t>
        </is>
      </c>
      <c r="B591" s="1" t="n">
        <v>45540.38564814815</v>
      </c>
      <c r="C591" s="1" t="n">
        <v>46102</v>
      </c>
      <c r="D591" t="inlineStr">
        <is>
          <t>JÄMTLANDS LÄN</t>
        </is>
      </c>
      <c r="E591" t="inlineStr">
        <is>
          <t>RAGUNDA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62691-2025</t>
        </is>
      </c>
      <c r="B592" s="1" t="n">
        <v>46008.4759837963</v>
      </c>
      <c r="C592" s="1" t="n">
        <v>46102</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62927-2025</t>
        </is>
      </c>
      <c r="B593" s="1" t="n">
        <v>46009.38609953703</v>
      </c>
      <c r="C593" s="1" t="n">
        <v>46102</v>
      </c>
      <c r="D593" t="inlineStr">
        <is>
          <t>JÄMTLANDS LÄN</t>
        </is>
      </c>
      <c r="E593" t="inlineStr">
        <is>
          <t>RAGUNDA</t>
        </is>
      </c>
      <c r="G593" t="n">
        <v>6.3</v>
      </c>
      <c r="H593" t="n">
        <v>0</v>
      </c>
      <c r="I593" t="n">
        <v>0</v>
      </c>
      <c r="J593" t="n">
        <v>0</v>
      </c>
      <c r="K593" t="n">
        <v>0</v>
      </c>
      <c r="L593" t="n">
        <v>0</v>
      </c>
      <c r="M593" t="n">
        <v>0</v>
      </c>
      <c r="N593" t="n">
        <v>0</v>
      </c>
      <c r="O593" t="n">
        <v>0</v>
      </c>
      <c r="P593" t="n">
        <v>0</v>
      </c>
      <c r="Q593" t="n">
        <v>0</v>
      </c>
      <c r="R593" s="2" t="inlineStr"/>
      <c r="U593">
        <f>HYPERLINK("https://klasma.github.io/Logging_2303/knärot/A 62927-2025 karta knärot.png", "A 62927-2025")</f>
        <v/>
      </c>
      <c r="V593">
        <f>HYPERLINK("https://klasma.github.io/Logging_2303/klagomål/A 62927-2025 FSC-klagomål.docx", "A 62927-2025")</f>
        <v/>
      </c>
      <c r="W593">
        <f>HYPERLINK("https://klasma.github.io/Logging_2303/klagomålsmail/A 62927-2025 FSC-klagomål mail.docx", "A 62927-2025")</f>
        <v/>
      </c>
      <c r="X593">
        <f>HYPERLINK("https://klasma.github.io/Logging_2303/tillsyn/A 62927-2025 tillsynsbegäran.docx", "A 62927-2025")</f>
        <v/>
      </c>
      <c r="Y593">
        <f>HYPERLINK("https://klasma.github.io/Logging_2303/tillsynsmail/A 62927-2025 tillsynsbegäran mail.docx", "A 62927-2025")</f>
        <v/>
      </c>
    </row>
    <row r="594" ht="15" customHeight="1">
      <c r="A594" t="inlineStr">
        <is>
          <t>A 62638-2025</t>
        </is>
      </c>
      <c r="B594" s="1" t="n">
        <v>46008.36564814814</v>
      </c>
      <c r="C594" s="1" t="n">
        <v>46102</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63060-2025</t>
        </is>
      </c>
      <c r="B595" s="1" t="n">
        <v>46009.64414351852</v>
      </c>
      <c r="C595" s="1" t="n">
        <v>46102</v>
      </c>
      <c r="D595" t="inlineStr">
        <is>
          <t>JÄMTLANDS LÄN</t>
        </is>
      </c>
      <c r="E595" t="inlineStr">
        <is>
          <t>RAGUNDA</t>
        </is>
      </c>
      <c r="G595" t="n">
        <v>6.5</v>
      </c>
      <c r="H595" t="n">
        <v>0</v>
      </c>
      <c r="I595" t="n">
        <v>0</v>
      </c>
      <c r="J595" t="n">
        <v>0</v>
      </c>
      <c r="K595" t="n">
        <v>0</v>
      </c>
      <c r="L595" t="n">
        <v>0</v>
      </c>
      <c r="M595" t="n">
        <v>0</v>
      </c>
      <c r="N595" t="n">
        <v>0</v>
      </c>
      <c r="O595" t="n">
        <v>0</v>
      </c>
      <c r="P595" t="n">
        <v>0</v>
      </c>
      <c r="Q595" t="n">
        <v>0</v>
      </c>
      <c r="R595" s="2" t="inlineStr"/>
    </row>
    <row r="596" ht="15" customHeight="1">
      <c r="A596" t="inlineStr">
        <is>
          <t>A 62819-2025</t>
        </is>
      </c>
      <c r="B596" s="1" t="n">
        <v>46008</v>
      </c>
      <c r="C596" s="1" t="n">
        <v>46102</v>
      </c>
      <c r="D596" t="inlineStr">
        <is>
          <t>JÄMTLANDS LÄN</t>
        </is>
      </c>
      <c r="E596" t="inlineStr">
        <is>
          <t>RAGUNDA</t>
        </is>
      </c>
      <c r="G596" t="n">
        <v>3.5</v>
      </c>
      <c r="H596" t="n">
        <v>0</v>
      </c>
      <c r="I596" t="n">
        <v>0</v>
      </c>
      <c r="J596" t="n">
        <v>0</v>
      </c>
      <c r="K596" t="n">
        <v>0</v>
      </c>
      <c r="L596" t="n">
        <v>0</v>
      </c>
      <c r="M596" t="n">
        <v>0</v>
      </c>
      <c r="N596" t="n">
        <v>0</v>
      </c>
      <c r="O596" t="n">
        <v>0</v>
      </c>
      <c r="P596" t="n">
        <v>0</v>
      </c>
      <c r="Q596" t="n">
        <v>0</v>
      </c>
      <c r="R596" s="2" t="inlineStr"/>
    </row>
    <row r="597" ht="15" customHeight="1">
      <c r="A597" t="inlineStr">
        <is>
          <t>A 18777-2024</t>
        </is>
      </c>
      <c r="B597" s="1" t="n">
        <v>45426</v>
      </c>
      <c r="C597" s="1" t="n">
        <v>46102</v>
      </c>
      <c r="D597" t="inlineStr">
        <is>
          <t>JÄMTLANDS LÄN</t>
        </is>
      </c>
      <c r="E597" t="inlineStr">
        <is>
          <t>RAGUNDA</t>
        </is>
      </c>
      <c r="G597" t="n">
        <v>1.9</v>
      </c>
      <c r="H597" t="n">
        <v>0</v>
      </c>
      <c r="I597" t="n">
        <v>0</v>
      </c>
      <c r="J597" t="n">
        <v>0</v>
      </c>
      <c r="K597" t="n">
        <v>0</v>
      </c>
      <c r="L597" t="n">
        <v>0</v>
      </c>
      <c r="M597" t="n">
        <v>0</v>
      </c>
      <c r="N597" t="n">
        <v>0</v>
      </c>
      <c r="O597" t="n">
        <v>0</v>
      </c>
      <c r="P597" t="n">
        <v>0</v>
      </c>
      <c r="Q597" t="n">
        <v>0</v>
      </c>
      <c r="R597" s="2" t="inlineStr"/>
    </row>
    <row r="598" ht="15" customHeight="1">
      <c r="A598" t="inlineStr">
        <is>
          <t>A 45279-2025</t>
        </is>
      </c>
      <c r="B598" s="1" t="n">
        <v>45919.71912037037</v>
      </c>
      <c r="C598" s="1" t="n">
        <v>46102</v>
      </c>
      <c r="D598" t="inlineStr">
        <is>
          <t>JÄMTLANDS LÄN</t>
        </is>
      </c>
      <c r="E598" t="inlineStr">
        <is>
          <t>RAGUNDA</t>
        </is>
      </c>
      <c r="F598" t="inlineStr">
        <is>
          <t>SCA</t>
        </is>
      </c>
      <c r="G598" t="n">
        <v>11.5</v>
      </c>
      <c r="H598" t="n">
        <v>0</v>
      </c>
      <c r="I598" t="n">
        <v>0</v>
      </c>
      <c r="J598" t="n">
        <v>0</v>
      </c>
      <c r="K598" t="n">
        <v>0</v>
      </c>
      <c r="L598" t="n">
        <v>0</v>
      </c>
      <c r="M598" t="n">
        <v>0</v>
      </c>
      <c r="N598" t="n">
        <v>0</v>
      </c>
      <c r="O598" t="n">
        <v>0</v>
      </c>
      <c r="P598" t="n">
        <v>0</v>
      </c>
      <c r="Q598" t="n">
        <v>0</v>
      </c>
      <c r="R598" s="2" t="inlineStr"/>
    </row>
    <row r="599" ht="15" customHeight="1">
      <c r="A599" t="inlineStr">
        <is>
          <t>A 58564-2024</t>
        </is>
      </c>
      <c r="B599" s="1" t="n">
        <v>45635.47243055556</v>
      </c>
      <c r="C599" s="1" t="n">
        <v>46102</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63578-2025</t>
        </is>
      </c>
      <c r="B600" s="1" t="n">
        <v>46013.67690972222</v>
      </c>
      <c r="C600" s="1" t="n">
        <v>46102</v>
      </c>
      <c r="D600" t="inlineStr">
        <is>
          <t>JÄMTLANDS LÄN</t>
        </is>
      </c>
      <c r="E600" t="inlineStr">
        <is>
          <t>RAGUNDA</t>
        </is>
      </c>
      <c r="G600" t="n">
        <v>2.7</v>
      </c>
      <c r="H600" t="n">
        <v>0</v>
      </c>
      <c r="I600" t="n">
        <v>0</v>
      </c>
      <c r="J600" t="n">
        <v>0</v>
      </c>
      <c r="K600" t="n">
        <v>0</v>
      </c>
      <c r="L600" t="n">
        <v>0</v>
      </c>
      <c r="M600" t="n">
        <v>0</v>
      </c>
      <c r="N600" t="n">
        <v>0</v>
      </c>
      <c r="O600" t="n">
        <v>0</v>
      </c>
      <c r="P600" t="n">
        <v>0</v>
      </c>
      <c r="Q600" t="n">
        <v>0</v>
      </c>
      <c r="R600" s="2" t="inlineStr"/>
    </row>
    <row r="601" ht="15" customHeight="1">
      <c r="A601" t="inlineStr">
        <is>
          <t>A 8243-2024</t>
        </is>
      </c>
      <c r="B601" s="1" t="n">
        <v>45351.98532407408</v>
      </c>
      <c r="C601" s="1" t="n">
        <v>46102</v>
      </c>
      <c r="D601" t="inlineStr">
        <is>
          <t>JÄMTLANDS LÄN</t>
        </is>
      </c>
      <c r="E601" t="inlineStr">
        <is>
          <t>RAGUNDA</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44954-2025</t>
        </is>
      </c>
      <c r="B602" s="1" t="n">
        <v>45918.61203703703</v>
      </c>
      <c r="C602" s="1" t="n">
        <v>46102</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1325-2025</t>
        </is>
      </c>
      <c r="B603" s="1" t="n">
        <v>45667.57342592593</v>
      </c>
      <c r="C603" s="1" t="n">
        <v>46102</v>
      </c>
      <c r="D603" t="inlineStr">
        <is>
          <t>JÄMTLANDS LÄN</t>
        </is>
      </c>
      <c r="E603" t="inlineStr">
        <is>
          <t>RAGUNDA</t>
        </is>
      </c>
      <c r="F603" t="inlineStr">
        <is>
          <t>SCA</t>
        </is>
      </c>
      <c r="G603" t="n">
        <v>20.2</v>
      </c>
      <c r="H603" t="n">
        <v>0</v>
      </c>
      <c r="I603" t="n">
        <v>0</v>
      </c>
      <c r="J603" t="n">
        <v>0</v>
      </c>
      <c r="K603" t="n">
        <v>0</v>
      </c>
      <c r="L603" t="n">
        <v>0</v>
      </c>
      <c r="M603" t="n">
        <v>0</v>
      </c>
      <c r="N603" t="n">
        <v>0</v>
      </c>
      <c r="O603" t="n">
        <v>0</v>
      </c>
      <c r="P603" t="n">
        <v>0</v>
      </c>
      <c r="Q603" t="n">
        <v>0</v>
      </c>
      <c r="R603" s="2" t="inlineStr"/>
    </row>
    <row r="604" ht="15" customHeight="1">
      <c r="A604" t="inlineStr">
        <is>
          <t>A 62407-2023</t>
        </is>
      </c>
      <c r="B604" s="1" t="n">
        <v>45266</v>
      </c>
      <c r="C604" s="1" t="n">
        <v>46102</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63141-2025</t>
        </is>
      </c>
      <c r="B605" s="1" t="n">
        <v>46010.34440972222</v>
      </c>
      <c r="C605" s="1" t="n">
        <v>46102</v>
      </c>
      <c r="D605" t="inlineStr">
        <is>
          <t>JÄMTLANDS LÄN</t>
        </is>
      </c>
      <c r="E605" t="inlineStr">
        <is>
          <t>RAGUNDA</t>
        </is>
      </c>
      <c r="F605" t="inlineStr">
        <is>
          <t>SCA</t>
        </is>
      </c>
      <c r="G605" t="n">
        <v>24.4</v>
      </c>
      <c r="H605" t="n">
        <v>0</v>
      </c>
      <c r="I605" t="n">
        <v>0</v>
      </c>
      <c r="J605" t="n">
        <v>0</v>
      </c>
      <c r="K605" t="n">
        <v>0</v>
      </c>
      <c r="L605" t="n">
        <v>0</v>
      </c>
      <c r="M605" t="n">
        <v>0</v>
      </c>
      <c r="N605" t="n">
        <v>0</v>
      </c>
      <c r="O605" t="n">
        <v>0</v>
      </c>
      <c r="P605" t="n">
        <v>0</v>
      </c>
      <c r="Q605" t="n">
        <v>0</v>
      </c>
      <c r="R605" s="2" t="inlineStr"/>
    </row>
    <row r="606" ht="15" customHeight="1">
      <c r="A606" t="inlineStr">
        <is>
          <t>A 18159-2023</t>
        </is>
      </c>
      <c r="B606" s="1" t="n">
        <v>45040.94277777777</v>
      </c>
      <c r="C606" s="1" t="n">
        <v>46102</v>
      </c>
      <c r="D606" t="inlineStr">
        <is>
          <t>JÄMTLANDS LÄN</t>
        </is>
      </c>
      <c r="E606" t="inlineStr">
        <is>
          <t>RAGUNDA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19486-2024</t>
        </is>
      </c>
      <c r="B607" s="1" t="n">
        <v>45429</v>
      </c>
      <c r="C607" s="1" t="n">
        <v>46102</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1326-2025</t>
        </is>
      </c>
      <c r="B608" s="1" t="n">
        <v>45667.57347222222</v>
      </c>
      <c r="C608" s="1" t="n">
        <v>46102</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30642-2024</t>
        </is>
      </c>
      <c r="B609" s="1" t="n">
        <v>45495.57677083334</v>
      </c>
      <c r="C609" s="1" t="n">
        <v>46102</v>
      </c>
      <c r="D609" t="inlineStr">
        <is>
          <t>JÄMTLANDS LÄN</t>
        </is>
      </c>
      <c r="E609" t="inlineStr">
        <is>
          <t>RAGUNDA</t>
        </is>
      </c>
      <c r="G609" t="n">
        <v>2.7</v>
      </c>
      <c r="H609" t="n">
        <v>0</v>
      </c>
      <c r="I609" t="n">
        <v>0</v>
      </c>
      <c r="J609" t="n">
        <v>0</v>
      </c>
      <c r="K609" t="n">
        <v>0</v>
      </c>
      <c r="L609" t="n">
        <v>0</v>
      </c>
      <c r="M609" t="n">
        <v>0</v>
      </c>
      <c r="N609" t="n">
        <v>0</v>
      </c>
      <c r="O609" t="n">
        <v>0</v>
      </c>
      <c r="P609" t="n">
        <v>0</v>
      </c>
      <c r="Q609" t="n">
        <v>0</v>
      </c>
      <c r="R609" s="2" t="inlineStr"/>
    </row>
    <row r="610" ht="15" customHeight="1">
      <c r="A610" t="inlineStr">
        <is>
          <t>A 993-2025</t>
        </is>
      </c>
      <c r="B610" s="1" t="n">
        <v>45666.44943287037</v>
      </c>
      <c r="C610" s="1" t="n">
        <v>46102</v>
      </c>
      <c r="D610" t="inlineStr">
        <is>
          <t>JÄMTLANDS LÄN</t>
        </is>
      </c>
      <c r="E610" t="inlineStr">
        <is>
          <t>RAGUNDA</t>
        </is>
      </c>
      <c r="G610" t="n">
        <v>11.3</v>
      </c>
      <c r="H610" t="n">
        <v>0</v>
      </c>
      <c r="I610" t="n">
        <v>0</v>
      </c>
      <c r="J610" t="n">
        <v>0</v>
      </c>
      <c r="K610" t="n">
        <v>0</v>
      </c>
      <c r="L610" t="n">
        <v>0</v>
      </c>
      <c r="M610" t="n">
        <v>0</v>
      </c>
      <c r="N610" t="n">
        <v>0</v>
      </c>
      <c r="O610" t="n">
        <v>0</v>
      </c>
      <c r="P610" t="n">
        <v>0</v>
      </c>
      <c r="Q610" t="n">
        <v>0</v>
      </c>
      <c r="R610" s="2" t="inlineStr"/>
    </row>
    <row r="611" ht="15" customHeight="1">
      <c r="A611" t="inlineStr">
        <is>
          <t>A 63672-2025</t>
        </is>
      </c>
      <c r="B611" s="1" t="n">
        <v>46014.47575231481</v>
      </c>
      <c r="C611" s="1" t="n">
        <v>46102</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63714-2025</t>
        </is>
      </c>
      <c r="B612" s="1" t="n">
        <v>46014</v>
      </c>
      <c r="C612" s="1" t="n">
        <v>46102</v>
      </c>
      <c r="D612" t="inlineStr">
        <is>
          <t>JÄMTLANDS LÄN</t>
        </is>
      </c>
      <c r="E612" t="inlineStr">
        <is>
          <t>RAGUNDA</t>
        </is>
      </c>
      <c r="F612" t="inlineStr">
        <is>
          <t>Sveaskog</t>
        </is>
      </c>
      <c r="G612" t="n">
        <v>8.5</v>
      </c>
      <c r="H612" t="n">
        <v>0</v>
      </c>
      <c r="I612" t="n">
        <v>0</v>
      </c>
      <c r="J612" t="n">
        <v>0</v>
      </c>
      <c r="K612" t="n">
        <v>0</v>
      </c>
      <c r="L612" t="n">
        <v>0</v>
      </c>
      <c r="M612" t="n">
        <v>0</v>
      </c>
      <c r="N612" t="n">
        <v>0</v>
      </c>
      <c r="O612" t="n">
        <v>0</v>
      </c>
      <c r="P612" t="n">
        <v>0</v>
      </c>
      <c r="Q612" t="n">
        <v>0</v>
      </c>
      <c r="R612" s="2" t="inlineStr"/>
    </row>
    <row r="613" ht="15" customHeight="1">
      <c r="A613" t="inlineStr">
        <is>
          <t>A 58193-2022</t>
        </is>
      </c>
      <c r="B613" s="1" t="n">
        <v>44900.95700231481</v>
      </c>
      <c r="C613" s="1" t="n">
        <v>46102</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63671-2025</t>
        </is>
      </c>
      <c r="B614" s="1" t="n">
        <v>46014.46555555556</v>
      </c>
      <c r="C614" s="1" t="n">
        <v>46102</v>
      </c>
      <c r="D614" t="inlineStr">
        <is>
          <t>JÄMTLANDS LÄN</t>
        </is>
      </c>
      <c r="E614" t="inlineStr">
        <is>
          <t>RAGUNDA</t>
        </is>
      </c>
      <c r="G614" t="n">
        <v>0.9</v>
      </c>
      <c r="H614" t="n">
        <v>0</v>
      </c>
      <c r="I614" t="n">
        <v>0</v>
      </c>
      <c r="J614" t="n">
        <v>0</v>
      </c>
      <c r="K614" t="n">
        <v>0</v>
      </c>
      <c r="L614" t="n">
        <v>0</v>
      </c>
      <c r="M614" t="n">
        <v>0</v>
      </c>
      <c r="N614" t="n">
        <v>0</v>
      </c>
      <c r="O614" t="n">
        <v>0</v>
      </c>
      <c r="P614" t="n">
        <v>0</v>
      </c>
      <c r="Q614" t="n">
        <v>0</v>
      </c>
      <c r="R614" s="2" t="inlineStr"/>
    </row>
    <row r="615" ht="15" customHeight="1">
      <c r="A615" t="inlineStr">
        <is>
          <t>A 55547-2025</t>
        </is>
      </c>
      <c r="B615" s="1" t="n">
        <v>45971</v>
      </c>
      <c r="C615" s="1" t="n">
        <v>46102</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45894-2025</t>
        </is>
      </c>
      <c r="B616" s="1" t="n">
        <v>45923.67765046296</v>
      </c>
      <c r="C616" s="1" t="n">
        <v>46102</v>
      </c>
      <c r="D616" t="inlineStr">
        <is>
          <t>JÄMTLANDS LÄN</t>
        </is>
      </c>
      <c r="E616" t="inlineStr">
        <is>
          <t>RAGUNDA</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46102</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55633-2025</t>
        </is>
      </c>
      <c r="B618" s="1" t="n">
        <v>45972</v>
      </c>
      <c r="C618" s="1" t="n">
        <v>46102</v>
      </c>
      <c r="D618" t="inlineStr">
        <is>
          <t>JÄMTLANDS LÄN</t>
        </is>
      </c>
      <c r="E618" t="inlineStr">
        <is>
          <t>RAGUNDA</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55671-2025</t>
        </is>
      </c>
      <c r="B619" s="1" t="n">
        <v>45972</v>
      </c>
      <c r="C619" s="1" t="n">
        <v>46102</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55797-2025</t>
        </is>
      </c>
      <c r="B620" s="1" t="n">
        <v>45972.65693287037</v>
      </c>
      <c r="C620" s="1" t="n">
        <v>46102</v>
      </c>
      <c r="D620" t="inlineStr">
        <is>
          <t>JÄMTLANDS LÄN</t>
        </is>
      </c>
      <c r="E620" t="inlineStr">
        <is>
          <t>RAGUNDA</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46192-2025</t>
        </is>
      </c>
      <c r="B621" s="1" t="n">
        <v>45924.67789351852</v>
      </c>
      <c r="C621" s="1" t="n">
        <v>46102</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53727-2025</t>
        </is>
      </c>
      <c r="B622" s="1" t="n">
        <v>45960.63630787037</v>
      </c>
      <c r="C622" s="1" t="n">
        <v>46102</v>
      </c>
      <c r="D622" t="inlineStr">
        <is>
          <t>JÄMTLANDS LÄN</t>
        </is>
      </c>
      <c r="E622" t="inlineStr">
        <is>
          <t>RAGUNDA</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33650-2025</t>
        </is>
      </c>
      <c r="B623" s="1" t="n">
        <v>45841</v>
      </c>
      <c r="C623" s="1" t="n">
        <v>46102</v>
      </c>
      <c r="D623" t="inlineStr">
        <is>
          <t>JÄMTLANDS LÄN</t>
        </is>
      </c>
      <c r="E623" t="inlineStr">
        <is>
          <t>RAGUNDA</t>
        </is>
      </c>
      <c r="G623" t="n">
        <v>1.4</v>
      </c>
      <c r="H623" t="n">
        <v>0</v>
      </c>
      <c r="I623" t="n">
        <v>0</v>
      </c>
      <c r="J623" t="n">
        <v>0</v>
      </c>
      <c r="K623" t="n">
        <v>0</v>
      </c>
      <c r="L623" t="n">
        <v>0</v>
      </c>
      <c r="M623" t="n">
        <v>0</v>
      </c>
      <c r="N623" t="n">
        <v>0</v>
      </c>
      <c r="O623" t="n">
        <v>0</v>
      </c>
      <c r="P623" t="n">
        <v>0</v>
      </c>
      <c r="Q623" t="n">
        <v>0</v>
      </c>
      <c r="R623" s="2" t="inlineStr"/>
    </row>
    <row r="624" ht="15" customHeight="1">
      <c r="A624" t="inlineStr">
        <is>
          <t>A 63828-2025</t>
        </is>
      </c>
      <c r="B624" s="1" t="n">
        <v>46020.37814814815</v>
      </c>
      <c r="C624" s="1" t="n">
        <v>46102</v>
      </c>
      <c r="D624" t="inlineStr">
        <is>
          <t>JÄMTLANDS LÄN</t>
        </is>
      </c>
      <c r="E624" t="inlineStr">
        <is>
          <t>RAGUNDA</t>
        </is>
      </c>
      <c r="G624" t="n">
        <v>4.7</v>
      </c>
      <c r="H624" t="n">
        <v>0</v>
      </c>
      <c r="I624" t="n">
        <v>0</v>
      </c>
      <c r="J624" t="n">
        <v>0</v>
      </c>
      <c r="K624" t="n">
        <v>0</v>
      </c>
      <c r="L624" t="n">
        <v>0</v>
      </c>
      <c r="M624" t="n">
        <v>0</v>
      </c>
      <c r="N624" t="n">
        <v>0</v>
      </c>
      <c r="O624" t="n">
        <v>0</v>
      </c>
      <c r="P624" t="n">
        <v>0</v>
      </c>
      <c r="Q624" t="n">
        <v>0</v>
      </c>
      <c r="R624" s="2" t="inlineStr"/>
    </row>
    <row r="625" ht="15" customHeight="1">
      <c r="A625" t="inlineStr">
        <is>
          <t>A 51049-2024</t>
        </is>
      </c>
      <c r="B625" s="1" t="n">
        <v>45603.44644675926</v>
      </c>
      <c r="C625" s="1" t="n">
        <v>46102</v>
      </c>
      <c r="D625" t="inlineStr">
        <is>
          <t>JÄMTLANDS LÄN</t>
        </is>
      </c>
      <c r="E625" t="inlineStr">
        <is>
          <t>RAGUNDA</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44759-2024</t>
        </is>
      </c>
      <c r="B626" s="1" t="n">
        <v>45574.61634259259</v>
      </c>
      <c r="C626" s="1" t="n">
        <v>46102</v>
      </c>
      <c r="D626" t="inlineStr">
        <is>
          <t>JÄMTLANDS LÄN</t>
        </is>
      </c>
      <c r="E626" t="inlineStr">
        <is>
          <t>RAGUNDA</t>
        </is>
      </c>
      <c r="G626" t="n">
        <v>1.9</v>
      </c>
      <c r="H626" t="n">
        <v>0</v>
      </c>
      <c r="I626" t="n">
        <v>0</v>
      </c>
      <c r="J626" t="n">
        <v>0</v>
      </c>
      <c r="K626" t="n">
        <v>0</v>
      </c>
      <c r="L626" t="n">
        <v>0</v>
      </c>
      <c r="M626" t="n">
        <v>0</v>
      </c>
      <c r="N626" t="n">
        <v>0</v>
      </c>
      <c r="O626" t="n">
        <v>0</v>
      </c>
      <c r="P626" t="n">
        <v>0</v>
      </c>
      <c r="Q626" t="n">
        <v>0</v>
      </c>
      <c r="R626" s="2" t="inlineStr"/>
    </row>
    <row r="627" ht="15" customHeight="1">
      <c r="A627" t="inlineStr">
        <is>
          <t>A 46275-2025</t>
        </is>
      </c>
      <c r="B627" s="1" t="n">
        <v>45925.3711574074</v>
      </c>
      <c r="C627" s="1" t="n">
        <v>46102</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37324-2022</t>
        </is>
      </c>
      <c r="B628" s="1" t="n">
        <v>44806</v>
      </c>
      <c r="C628" s="1" t="n">
        <v>46102</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46102</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21524-2024</t>
        </is>
      </c>
      <c r="B630" s="1" t="n">
        <v>45441</v>
      </c>
      <c r="C630" s="1" t="n">
        <v>46102</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41343-2024</t>
        </is>
      </c>
      <c r="B631" s="1" t="n">
        <v>45559.67745370371</v>
      </c>
      <c r="C631" s="1" t="n">
        <v>46102</v>
      </c>
      <c r="D631" t="inlineStr">
        <is>
          <t>JÄMTLANDS LÄN</t>
        </is>
      </c>
      <c r="E631" t="inlineStr">
        <is>
          <t>RAGUNDA</t>
        </is>
      </c>
      <c r="F631" t="inlineStr">
        <is>
          <t>SCA</t>
        </is>
      </c>
      <c r="G631" t="n">
        <v>25.1</v>
      </c>
      <c r="H631" t="n">
        <v>0</v>
      </c>
      <c r="I631" t="n">
        <v>0</v>
      </c>
      <c r="J631" t="n">
        <v>0</v>
      </c>
      <c r="K631" t="n">
        <v>0</v>
      </c>
      <c r="L631" t="n">
        <v>0</v>
      </c>
      <c r="M631" t="n">
        <v>0</v>
      </c>
      <c r="N631" t="n">
        <v>0</v>
      </c>
      <c r="O631" t="n">
        <v>0</v>
      </c>
      <c r="P631" t="n">
        <v>0</v>
      </c>
      <c r="Q631" t="n">
        <v>0</v>
      </c>
      <c r="R631" s="2" t="inlineStr"/>
    </row>
    <row r="632" ht="15" customHeight="1">
      <c r="A632" t="inlineStr">
        <is>
          <t>A 7777-2026</t>
        </is>
      </c>
      <c r="B632" s="1" t="n">
        <v>46062.57324074074</v>
      </c>
      <c r="C632" s="1" t="n">
        <v>46102</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45953-2023</t>
        </is>
      </c>
      <c r="B633" s="1" t="n">
        <v>45195.94672453704</v>
      </c>
      <c r="C633" s="1" t="n">
        <v>46102</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16982-2024</t>
        </is>
      </c>
      <c r="B634" s="1" t="n">
        <v>45412.02506944445</v>
      </c>
      <c r="C634" s="1" t="n">
        <v>46102</v>
      </c>
      <c r="D634" t="inlineStr">
        <is>
          <t>JÄMTLANDS LÄN</t>
        </is>
      </c>
      <c r="E634" t="inlineStr">
        <is>
          <t>RAGUNDA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8067-2026</t>
        </is>
      </c>
      <c r="B635" s="1" t="n">
        <v>46063.6358912037</v>
      </c>
      <c r="C635" s="1" t="n">
        <v>46102</v>
      </c>
      <c r="D635" t="inlineStr">
        <is>
          <t>JÄMTLANDS LÄN</t>
        </is>
      </c>
      <c r="E635" t="inlineStr">
        <is>
          <t>RAGUNDA</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49650-2024</t>
        </is>
      </c>
      <c r="B636" s="1" t="n">
        <v>45596.61569444444</v>
      </c>
      <c r="C636" s="1" t="n">
        <v>46102</v>
      </c>
      <c r="D636" t="inlineStr">
        <is>
          <t>JÄMTLANDS LÄN</t>
        </is>
      </c>
      <c r="E636" t="inlineStr">
        <is>
          <t>RAGUNDA</t>
        </is>
      </c>
      <c r="F636" t="inlineStr">
        <is>
          <t>Naturvårdsverket</t>
        </is>
      </c>
      <c r="G636" t="n">
        <v>3</v>
      </c>
      <c r="H636" t="n">
        <v>0</v>
      </c>
      <c r="I636" t="n">
        <v>0</v>
      </c>
      <c r="J636" t="n">
        <v>0</v>
      </c>
      <c r="K636" t="n">
        <v>0</v>
      </c>
      <c r="L636" t="n">
        <v>0</v>
      </c>
      <c r="M636" t="n">
        <v>0</v>
      </c>
      <c r="N636" t="n">
        <v>0</v>
      </c>
      <c r="O636" t="n">
        <v>0</v>
      </c>
      <c r="P636" t="n">
        <v>0</v>
      </c>
      <c r="Q636" t="n">
        <v>0</v>
      </c>
      <c r="R636" s="2" t="inlineStr"/>
    </row>
    <row r="637" ht="15" customHeight="1">
      <c r="A637" t="inlineStr">
        <is>
          <t>A 49651-2024</t>
        </is>
      </c>
      <c r="B637" s="1" t="n">
        <v>45596.61582175926</v>
      </c>
      <c r="C637" s="1" t="n">
        <v>46102</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46825-2025</t>
        </is>
      </c>
      <c r="B638" s="1" t="n">
        <v>45926.92506944444</v>
      </c>
      <c r="C638" s="1" t="n">
        <v>46102</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46710-2025</t>
        </is>
      </c>
      <c r="B639" s="1" t="n">
        <v>45926.57337962963</v>
      </c>
      <c r="C639" s="1" t="n">
        <v>46102</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47075-2025</t>
        </is>
      </c>
      <c r="B640" s="1" t="n">
        <v>45929.63728009259</v>
      </c>
      <c r="C640" s="1" t="n">
        <v>46102</v>
      </c>
      <c r="D640" t="inlineStr">
        <is>
          <t>JÄMTLANDS LÄN</t>
        </is>
      </c>
      <c r="E640" t="inlineStr">
        <is>
          <t>RAGUNDA</t>
        </is>
      </c>
      <c r="F640" t="inlineStr">
        <is>
          <t>SCA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47119-2025</t>
        </is>
      </c>
      <c r="B641" s="1" t="n">
        <v>45929.67795138889</v>
      </c>
      <c r="C641" s="1" t="n">
        <v>46102</v>
      </c>
      <c r="D641" t="inlineStr">
        <is>
          <t>JÄMTLANDS LÄN</t>
        </is>
      </c>
      <c r="E641" t="inlineStr">
        <is>
          <t>RAGUNDA</t>
        </is>
      </c>
      <c r="F641" t="inlineStr">
        <is>
          <t>SCA</t>
        </is>
      </c>
      <c r="G641" t="n">
        <v>22.7</v>
      </c>
      <c r="H641" t="n">
        <v>0</v>
      </c>
      <c r="I641" t="n">
        <v>0</v>
      </c>
      <c r="J641" t="n">
        <v>0</v>
      </c>
      <c r="K641" t="n">
        <v>0</v>
      </c>
      <c r="L641" t="n">
        <v>0</v>
      </c>
      <c r="M641" t="n">
        <v>0</v>
      </c>
      <c r="N641" t="n">
        <v>0</v>
      </c>
      <c r="O641" t="n">
        <v>0</v>
      </c>
      <c r="P641" t="n">
        <v>0</v>
      </c>
      <c r="Q641" t="n">
        <v>0</v>
      </c>
      <c r="R641" s="2" t="inlineStr"/>
    </row>
    <row r="642" ht="15" customHeight="1">
      <c r="A642" t="inlineStr">
        <is>
          <t>A 38191-2024</t>
        </is>
      </c>
      <c r="B642" s="1" t="n">
        <v>45545.49078703704</v>
      </c>
      <c r="C642" s="1" t="n">
        <v>46102</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46689-2025</t>
        </is>
      </c>
      <c r="B643" s="1" t="n">
        <v>45926.55307870371</v>
      </c>
      <c r="C643" s="1" t="n">
        <v>46102</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46909-2025</t>
        </is>
      </c>
      <c r="B644" s="1" t="n">
        <v>45929.40673611111</v>
      </c>
      <c r="C644" s="1" t="n">
        <v>46102</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47122-2025</t>
        </is>
      </c>
      <c r="B645" s="1" t="n">
        <v>45929.67878472222</v>
      </c>
      <c r="C645" s="1" t="n">
        <v>46102</v>
      </c>
      <c r="D645" t="inlineStr">
        <is>
          <t>JÄMTLANDS LÄN</t>
        </is>
      </c>
      <c r="E645" t="inlineStr">
        <is>
          <t>RAGUNDA</t>
        </is>
      </c>
      <c r="F645" t="inlineStr">
        <is>
          <t>SCA</t>
        </is>
      </c>
      <c r="G645" t="n">
        <v>31.1</v>
      </c>
      <c r="H645" t="n">
        <v>0</v>
      </c>
      <c r="I645" t="n">
        <v>0</v>
      </c>
      <c r="J645" t="n">
        <v>0</v>
      </c>
      <c r="K645" t="n">
        <v>0</v>
      </c>
      <c r="L645" t="n">
        <v>0</v>
      </c>
      <c r="M645" t="n">
        <v>0</v>
      </c>
      <c r="N645" t="n">
        <v>0</v>
      </c>
      <c r="O645" t="n">
        <v>0</v>
      </c>
      <c r="P645" t="n">
        <v>0</v>
      </c>
      <c r="Q645" t="n">
        <v>0</v>
      </c>
      <c r="R645" s="2" t="inlineStr"/>
    </row>
    <row r="646" ht="15" customHeight="1">
      <c r="A646" t="inlineStr">
        <is>
          <t>A 46974-2025</t>
        </is>
      </c>
      <c r="B646" s="1" t="n">
        <v>45929.51104166666</v>
      </c>
      <c r="C646" s="1" t="n">
        <v>46102</v>
      </c>
      <c r="D646" t="inlineStr">
        <is>
          <t>JÄMTLANDS LÄN</t>
        </is>
      </c>
      <c r="E646" t="inlineStr">
        <is>
          <t>RAGUNDA</t>
        </is>
      </c>
      <c r="F646" t="inlineStr">
        <is>
          <t>SCA</t>
        </is>
      </c>
      <c r="G646" t="n">
        <v>12.1</v>
      </c>
      <c r="H646" t="n">
        <v>0</v>
      </c>
      <c r="I646" t="n">
        <v>0</v>
      </c>
      <c r="J646" t="n">
        <v>0</v>
      </c>
      <c r="K646" t="n">
        <v>0</v>
      </c>
      <c r="L646" t="n">
        <v>0</v>
      </c>
      <c r="M646" t="n">
        <v>0</v>
      </c>
      <c r="N646" t="n">
        <v>0</v>
      </c>
      <c r="O646" t="n">
        <v>0</v>
      </c>
      <c r="P646" t="n">
        <v>0</v>
      </c>
      <c r="Q646" t="n">
        <v>0</v>
      </c>
      <c r="R646" s="2" t="inlineStr"/>
    </row>
    <row r="647" ht="15" customHeight="1">
      <c r="A647" t="inlineStr">
        <is>
          <t>A 64264-2023</t>
        </is>
      </c>
      <c r="B647" s="1" t="n">
        <v>45279.94564814815</v>
      </c>
      <c r="C647" s="1" t="n">
        <v>46102</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46751-2025</t>
        </is>
      </c>
      <c r="B648" s="1" t="n">
        <v>45926.6153125</v>
      </c>
      <c r="C648" s="1" t="n">
        <v>46102</v>
      </c>
      <c r="D648" t="inlineStr">
        <is>
          <t>JÄMTLANDS LÄN</t>
        </is>
      </c>
      <c r="E648" t="inlineStr">
        <is>
          <t>RAGUNDA</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46753-2025</t>
        </is>
      </c>
      <c r="B649" s="1" t="n">
        <v>45926.61552083334</v>
      </c>
      <c r="C649" s="1" t="n">
        <v>46102</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47037-2025</t>
        </is>
      </c>
      <c r="B650" s="1" t="n">
        <v>45929.59456018519</v>
      </c>
      <c r="C650" s="1" t="n">
        <v>46102</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222-2026</t>
        </is>
      </c>
      <c r="B651" s="1" t="n">
        <v>46026.84054398148</v>
      </c>
      <c r="C651" s="1" t="n">
        <v>46102</v>
      </c>
      <c r="D651" t="inlineStr">
        <is>
          <t>JÄMTLANDS LÄN</t>
        </is>
      </c>
      <c r="E651" t="inlineStr">
        <is>
          <t>RAGUNDA</t>
        </is>
      </c>
      <c r="G651" t="n">
        <v>10.6</v>
      </c>
      <c r="H651" t="n">
        <v>0</v>
      </c>
      <c r="I651" t="n">
        <v>0</v>
      </c>
      <c r="J651" t="n">
        <v>0</v>
      </c>
      <c r="K651" t="n">
        <v>0</v>
      </c>
      <c r="L651" t="n">
        <v>0</v>
      </c>
      <c r="M651" t="n">
        <v>0</v>
      </c>
      <c r="N651" t="n">
        <v>0</v>
      </c>
      <c r="O651" t="n">
        <v>0</v>
      </c>
      <c r="P651" t="n">
        <v>0</v>
      </c>
      <c r="Q651" t="n">
        <v>0</v>
      </c>
      <c r="R651" s="2" t="inlineStr"/>
    </row>
    <row r="652" ht="15" customHeight="1">
      <c r="A652" t="inlineStr">
        <is>
          <t>A 265-2026</t>
        </is>
      </c>
      <c r="B652" s="1" t="n">
        <v>46027.44956018519</v>
      </c>
      <c r="C652" s="1" t="n">
        <v>46102</v>
      </c>
      <c r="D652" t="inlineStr">
        <is>
          <t>JÄMTLANDS LÄN</t>
        </is>
      </c>
      <c r="E652" t="inlineStr">
        <is>
          <t>RAGUNDA</t>
        </is>
      </c>
      <c r="G652" t="n">
        <v>3.8</v>
      </c>
      <c r="H652" t="n">
        <v>0</v>
      </c>
      <c r="I652" t="n">
        <v>0</v>
      </c>
      <c r="J652" t="n">
        <v>0</v>
      </c>
      <c r="K652" t="n">
        <v>0</v>
      </c>
      <c r="L652" t="n">
        <v>0</v>
      </c>
      <c r="M652" t="n">
        <v>0</v>
      </c>
      <c r="N652" t="n">
        <v>0</v>
      </c>
      <c r="O652" t="n">
        <v>0</v>
      </c>
      <c r="P652" t="n">
        <v>0</v>
      </c>
      <c r="Q652" t="n">
        <v>0</v>
      </c>
      <c r="R652" s="2" t="inlineStr"/>
    </row>
    <row r="653" ht="15" customHeight="1">
      <c r="A653" t="inlineStr">
        <is>
          <t>A 122-2026</t>
        </is>
      </c>
      <c r="B653" s="1" t="n">
        <v>46024.57335648148</v>
      </c>
      <c r="C653" s="1" t="n">
        <v>46102</v>
      </c>
      <c r="D653" t="inlineStr">
        <is>
          <t>JÄMTLANDS LÄN</t>
        </is>
      </c>
      <c r="E653" t="inlineStr">
        <is>
          <t>RAGUNDA</t>
        </is>
      </c>
      <c r="F653" t="inlineStr">
        <is>
          <t>SCA</t>
        </is>
      </c>
      <c r="G653" t="n">
        <v>15.3</v>
      </c>
      <c r="H653" t="n">
        <v>0</v>
      </c>
      <c r="I653" t="n">
        <v>0</v>
      </c>
      <c r="J653" t="n">
        <v>0</v>
      </c>
      <c r="K653" t="n">
        <v>0</v>
      </c>
      <c r="L653" t="n">
        <v>0</v>
      </c>
      <c r="M653" t="n">
        <v>0</v>
      </c>
      <c r="N653" t="n">
        <v>0</v>
      </c>
      <c r="O653" t="n">
        <v>0</v>
      </c>
      <c r="P653" t="n">
        <v>0</v>
      </c>
      <c r="Q653" t="n">
        <v>0</v>
      </c>
      <c r="R653" s="2" t="inlineStr"/>
    </row>
    <row r="654" ht="15" customHeight="1">
      <c r="A654" t="inlineStr">
        <is>
          <t>A 9042-2026</t>
        </is>
      </c>
      <c r="B654" s="1" t="n">
        <v>46069.54721064815</v>
      </c>
      <c r="C654" s="1" t="n">
        <v>46102</v>
      </c>
      <c r="D654" t="inlineStr">
        <is>
          <t>JÄMTLANDS LÄN</t>
        </is>
      </c>
      <c r="E654" t="inlineStr">
        <is>
          <t>RAGUNDA</t>
        </is>
      </c>
      <c r="G654" t="n">
        <v>1.7</v>
      </c>
      <c r="H654" t="n">
        <v>0</v>
      </c>
      <c r="I654" t="n">
        <v>0</v>
      </c>
      <c r="J654" t="n">
        <v>0</v>
      </c>
      <c r="K654" t="n">
        <v>0</v>
      </c>
      <c r="L654" t="n">
        <v>0</v>
      </c>
      <c r="M654" t="n">
        <v>0</v>
      </c>
      <c r="N654" t="n">
        <v>0</v>
      </c>
      <c r="O654" t="n">
        <v>0</v>
      </c>
      <c r="P654" t="n">
        <v>0</v>
      </c>
      <c r="Q654" t="n">
        <v>0</v>
      </c>
      <c r="R654" s="2" t="inlineStr"/>
    </row>
    <row r="655" ht="15" customHeight="1">
      <c r="A655" t="inlineStr">
        <is>
          <t>A 9097-2026</t>
        </is>
      </c>
      <c r="B655" s="1" t="n">
        <v>46069.63592592593</v>
      </c>
      <c r="C655" s="1" t="n">
        <v>46102</v>
      </c>
      <c r="D655" t="inlineStr">
        <is>
          <t>JÄMTLANDS LÄN</t>
        </is>
      </c>
      <c r="E655" t="inlineStr">
        <is>
          <t>RAGUNDA</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19438-2023</t>
        </is>
      </c>
      <c r="B656" s="1" t="n">
        <v>45049</v>
      </c>
      <c r="C656" s="1" t="n">
        <v>46102</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47749-2025</t>
        </is>
      </c>
      <c r="B657" s="1" t="n">
        <v>45931.65711805555</v>
      </c>
      <c r="C657" s="1" t="n">
        <v>46102</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47228-2025</t>
        </is>
      </c>
      <c r="B658" s="1" t="n">
        <v>45930.3990162037</v>
      </c>
      <c r="C658" s="1" t="n">
        <v>46102</v>
      </c>
      <c r="D658" t="inlineStr">
        <is>
          <t>JÄMTLANDS LÄN</t>
        </is>
      </c>
      <c r="E658" t="inlineStr">
        <is>
          <t>RAGUNDA</t>
        </is>
      </c>
      <c r="G658" t="n">
        <v>2.6</v>
      </c>
      <c r="H658" t="n">
        <v>0</v>
      </c>
      <c r="I658" t="n">
        <v>0</v>
      </c>
      <c r="J658" t="n">
        <v>0</v>
      </c>
      <c r="K658" t="n">
        <v>0</v>
      </c>
      <c r="L658" t="n">
        <v>0</v>
      </c>
      <c r="M658" t="n">
        <v>0</v>
      </c>
      <c r="N658" t="n">
        <v>0</v>
      </c>
      <c r="O658" t="n">
        <v>0</v>
      </c>
      <c r="P658" t="n">
        <v>0</v>
      </c>
      <c r="Q658" t="n">
        <v>0</v>
      </c>
      <c r="R658" s="2" t="inlineStr"/>
    </row>
    <row r="659" ht="15" customHeight="1">
      <c r="A659" t="inlineStr">
        <is>
          <t>A 42893-2022</t>
        </is>
      </c>
      <c r="B659" s="1" t="n">
        <v>44832</v>
      </c>
      <c r="C659" s="1" t="n">
        <v>46102</v>
      </c>
      <c r="D659" t="inlineStr">
        <is>
          <t>JÄMTLANDS LÄN</t>
        </is>
      </c>
      <c r="E659" t="inlineStr">
        <is>
          <t>RAGUNDA</t>
        </is>
      </c>
      <c r="F659" t="inlineStr">
        <is>
          <t>SCA</t>
        </is>
      </c>
      <c r="G659" t="n">
        <v>28.4</v>
      </c>
      <c r="H659" t="n">
        <v>0</v>
      </c>
      <c r="I659" t="n">
        <v>0</v>
      </c>
      <c r="J659" t="n">
        <v>0</v>
      </c>
      <c r="K659" t="n">
        <v>0</v>
      </c>
      <c r="L659" t="n">
        <v>0</v>
      </c>
      <c r="M659" t="n">
        <v>0</v>
      </c>
      <c r="N659" t="n">
        <v>0</v>
      </c>
      <c r="O659" t="n">
        <v>0</v>
      </c>
      <c r="P659" t="n">
        <v>0</v>
      </c>
      <c r="Q659" t="n">
        <v>0</v>
      </c>
      <c r="R659" s="2" t="inlineStr"/>
    </row>
    <row r="660" ht="15" customHeight="1">
      <c r="A660" t="inlineStr">
        <is>
          <t>A 47229-2025</t>
        </is>
      </c>
      <c r="B660" s="1" t="n">
        <v>45930.40166666666</v>
      </c>
      <c r="C660" s="1" t="n">
        <v>46102</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47748-2025</t>
        </is>
      </c>
      <c r="B661" s="1" t="n">
        <v>45931.65693287037</v>
      </c>
      <c r="C661" s="1" t="n">
        <v>46102</v>
      </c>
      <c r="D661" t="inlineStr">
        <is>
          <t>JÄMTLANDS LÄN</t>
        </is>
      </c>
      <c r="E661" t="inlineStr">
        <is>
          <t>RAGUNDA</t>
        </is>
      </c>
      <c r="F661" t="inlineStr">
        <is>
          <t>SCA</t>
        </is>
      </c>
      <c r="G661" t="n">
        <v>8.6</v>
      </c>
      <c r="H661" t="n">
        <v>0</v>
      </c>
      <c r="I661" t="n">
        <v>0</v>
      </c>
      <c r="J661" t="n">
        <v>0</v>
      </c>
      <c r="K661" t="n">
        <v>0</v>
      </c>
      <c r="L661" t="n">
        <v>0</v>
      </c>
      <c r="M661" t="n">
        <v>0</v>
      </c>
      <c r="N661" t="n">
        <v>0</v>
      </c>
      <c r="O661" t="n">
        <v>0</v>
      </c>
      <c r="P661" t="n">
        <v>0</v>
      </c>
      <c r="Q661" t="n">
        <v>0</v>
      </c>
      <c r="R661" s="2" t="inlineStr"/>
    </row>
    <row r="662" ht="15" customHeight="1">
      <c r="A662" t="inlineStr">
        <is>
          <t>A 8312-2026</t>
        </is>
      </c>
      <c r="B662" s="1" t="n">
        <v>46064</v>
      </c>
      <c r="C662" s="1" t="n">
        <v>46102</v>
      </c>
      <c r="D662" t="inlineStr">
        <is>
          <t>JÄMTLANDS LÄN</t>
        </is>
      </c>
      <c r="E662" t="inlineStr">
        <is>
          <t>RAGUNDA</t>
        </is>
      </c>
      <c r="G662" t="n">
        <v>4.8</v>
      </c>
      <c r="H662" t="n">
        <v>0</v>
      </c>
      <c r="I662" t="n">
        <v>0</v>
      </c>
      <c r="J662" t="n">
        <v>0</v>
      </c>
      <c r="K662" t="n">
        <v>0</v>
      </c>
      <c r="L662" t="n">
        <v>0</v>
      </c>
      <c r="M662" t="n">
        <v>0</v>
      </c>
      <c r="N662" t="n">
        <v>0</v>
      </c>
      <c r="O662" t="n">
        <v>0</v>
      </c>
      <c r="P662" t="n">
        <v>0</v>
      </c>
      <c r="Q662" t="n">
        <v>0</v>
      </c>
      <c r="R662" s="2" t="inlineStr"/>
    </row>
    <row r="663" ht="15" customHeight="1">
      <c r="A663" t="inlineStr">
        <is>
          <t>A 21332-2025</t>
        </is>
      </c>
      <c r="B663" s="1" t="n">
        <v>45782.36506944444</v>
      </c>
      <c r="C663" s="1" t="n">
        <v>46102</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29940-2023</t>
        </is>
      </c>
      <c r="B664" s="1" t="n">
        <v>45107</v>
      </c>
      <c r="C664" s="1" t="n">
        <v>46102</v>
      </c>
      <c r="D664" t="inlineStr">
        <is>
          <t>JÄMTLANDS LÄN</t>
        </is>
      </c>
      <c r="E664" t="inlineStr">
        <is>
          <t>RAGUNDA</t>
        </is>
      </c>
      <c r="G664" t="n">
        <v>13.5</v>
      </c>
      <c r="H664" t="n">
        <v>0</v>
      </c>
      <c r="I664" t="n">
        <v>0</v>
      </c>
      <c r="J664" t="n">
        <v>0</v>
      </c>
      <c r="K664" t="n">
        <v>0</v>
      </c>
      <c r="L664" t="n">
        <v>0</v>
      </c>
      <c r="M664" t="n">
        <v>0</v>
      </c>
      <c r="N664" t="n">
        <v>0</v>
      </c>
      <c r="O664" t="n">
        <v>0</v>
      </c>
      <c r="P664" t="n">
        <v>0</v>
      </c>
      <c r="Q664" t="n">
        <v>0</v>
      </c>
      <c r="R664" s="2" t="inlineStr"/>
    </row>
    <row r="665" ht="15" customHeight="1">
      <c r="A665" t="inlineStr">
        <is>
          <t>A 9566-2026</t>
        </is>
      </c>
      <c r="B665" s="1" t="n">
        <v>46071.65679398148</v>
      </c>
      <c r="C665" s="1" t="n">
        <v>46102</v>
      </c>
      <c r="D665" t="inlineStr">
        <is>
          <t>JÄMTLANDS LÄN</t>
        </is>
      </c>
      <c r="E665" t="inlineStr">
        <is>
          <t>RAGUNDA</t>
        </is>
      </c>
      <c r="F665" t="inlineStr">
        <is>
          <t>SCA</t>
        </is>
      </c>
      <c r="G665" t="n">
        <v>18.9</v>
      </c>
      <c r="H665" t="n">
        <v>0</v>
      </c>
      <c r="I665" t="n">
        <v>0</v>
      </c>
      <c r="J665" t="n">
        <v>0</v>
      </c>
      <c r="K665" t="n">
        <v>0</v>
      </c>
      <c r="L665" t="n">
        <v>0</v>
      </c>
      <c r="M665" t="n">
        <v>0</v>
      </c>
      <c r="N665" t="n">
        <v>0</v>
      </c>
      <c r="O665" t="n">
        <v>0</v>
      </c>
      <c r="P665" t="n">
        <v>0</v>
      </c>
      <c r="Q665" t="n">
        <v>0</v>
      </c>
      <c r="R665" s="2" t="inlineStr"/>
    </row>
    <row r="666" ht="15" customHeight="1">
      <c r="A666" t="inlineStr">
        <is>
          <t>A 9538-2026</t>
        </is>
      </c>
      <c r="B666" s="1" t="n">
        <v>46071.61511574074</v>
      </c>
      <c r="C666" s="1" t="n">
        <v>46102</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647-2026</t>
        </is>
      </c>
      <c r="B667" s="1" t="n">
        <v>46029.57357638889</v>
      </c>
      <c r="C667" s="1" t="n">
        <v>46102</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9316-2026</t>
        </is>
      </c>
      <c r="B668" s="1" t="n">
        <v>46070.62200231481</v>
      </c>
      <c r="C668" s="1" t="n">
        <v>46102</v>
      </c>
      <c r="D668" t="inlineStr">
        <is>
          <t>JÄMTLANDS LÄN</t>
        </is>
      </c>
      <c r="E668" t="inlineStr">
        <is>
          <t>RAGUNDA</t>
        </is>
      </c>
      <c r="G668" t="n">
        <v>3</v>
      </c>
      <c r="H668" t="n">
        <v>0</v>
      </c>
      <c r="I668" t="n">
        <v>0</v>
      </c>
      <c r="J668" t="n">
        <v>0</v>
      </c>
      <c r="K668" t="n">
        <v>0</v>
      </c>
      <c r="L668" t="n">
        <v>0</v>
      </c>
      <c r="M668" t="n">
        <v>0</v>
      </c>
      <c r="N668" t="n">
        <v>0</v>
      </c>
      <c r="O668" t="n">
        <v>0</v>
      </c>
      <c r="P668" t="n">
        <v>0</v>
      </c>
      <c r="Q668" t="n">
        <v>0</v>
      </c>
      <c r="R668" s="2" t="inlineStr"/>
    </row>
    <row r="669" ht="15" customHeight="1">
      <c r="A669" t="inlineStr">
        <is>
          <t>A 23303-2024</t>
        </is>
      </c>
      <c r="B669" s="1" t="n">
        <v>45453.4444212963</v>
      </c>
      <c r="C669" s="1" t="n">
        <v>46102</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179-2025</t>
        </is>
      </c>
      <c r="B670" s="1" t="n">
        <v>45659.69822916666</v>
      </c>
      <c r="C670" s="1" t="n">
        <v>46102</v>
      </c>
      <c r="D670" t="inlineStr">
        <is>
          <t>JÄMTLANDS LÄN</t>
        </is>
      </c>
      <c r="E670" t="inlineStr">
        <is>
          <t>RAGUNDA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22412-2024</t>
        </is>
      </c>
      <c r="B671" s="1" t="n">
        <v>45446.68947916666</v>
      </c>
      <c r="C671" s="1" t="n">
        <v>46102</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48748-2025</t>
        </is>
      </c>
      <c r="B672" s="1" t="n">
        <v>45936.67912037037</v>
      </c>
      <c r="C672" s="1" t="n">
        <v>46102</v>
      </c>
      <c r="D672" t="inlineStr">
        <is>
          <t>JÄMTLANDS LÄN</t>
        </is>
      </c>
      <c r="E672" t="inlineStr">
        <is>
          <t>RAGUNDA</t>
        </is>
      </c>
      <c r="F672" t="inlineStr">
        <is>
          <t>SCA</t>
        </is>
      </c>
      <c r="G672" t="n">
        <v>11.1</v>
      </c>
      <c r="H672" t="n">
        <v>0</v>
      </c>
      <c r="I672" t="n">
        <v>0</v>
      </c>
      <c r="J672" t="n">
        <v>0</v>
      </c>
      <c r="K672" t="n">
        <v>0</v>
      </c>
      <c r="L672" t="n">
        <v>0</v>
      </c>
      <c r="M672" t="n">
        <v>0</v>
      </c>
      <c r="N672" t="n">
        <v>0</v>
      </c>
      <c r="O672" t="n">
        <v>0</v>
      </c>
      <c r="P672" t="n">
        <v>0</v>
      </c>
      <c r="Q672" t="n">
        <v>0</v>
      </c>
      <c r="R672" s="2" t="inlineStr"/>
    </row>
    <row r="673" ht="15" customHeight="1">
      <c r="A673" t="inlineStr">
        <is>
          <t>A 9513-2026</t>
        </is>
      </c>
      <c r="B673" s="1" t="n">
        <v>46071.59444444445</v>
      </c>
      <c r="C673" s="1" t="n">
        <v>46102</v>
      </c>
      <c r="D673" t="inlineStr">
        <is>
          <t>JÄMTLANDS LÄN</t>
        </is>
      </c>
      <c r="E673" t="inlineStr">
        <is>
          <t>RAGUNDA</t>
        </is>
      </c>
      <c r="F673" t="inlineStr">
        <is>
          <t>SCA</t>
        </is>
      </c>
      <c r="G673" t="n">
        <v>26.1</v>
      </c>
      <c r="H673" t="n">
        <v>0</v>
      </c>
      <c r="I673" t="n">
        <v>0</v>
      </c>
      <c r="J673" t="n">
        <v>0</v>
      </c>
      <c r="K673" t="n">
        <v>0</v>
      </c>
      <c r="L673" t="n">
        <v>0</v>
      </c>
      <c r="M673" t="n">
        <v>0</v>
      </c>
      <c r="N673" t="n">
        <v>0</v>
      </c>
      <c r="O673" t="n">
        <v>0</v>
      </c>
      <c r="P673" t="n">
        <v>0</v>
      </c>
      <c r="Q673" t="n">
        <v>0</v>
      </c>
      <c r="R673" s="2" t="inlineStr"/>
    </row>
    <row r="674" ht="15" customHeight="1">
      <c r="A674" t="inlineStr">
        <is>
          <t>A 13334-2024</t>
        </is>
      </c>
      <c r="B674" s="1" t="n">
        <v>45386</v>
      </c>
      <c r="C674" s="1" t="n">
        <v>46102</v>
      </c>
      <c r="D674" t="inlineStr">
        <is>
          <t>JÄMTLANDS LÄN</t>
        </is>
      </c>
      <c r="E674" t="inlineStr">
        <is>
          <t>RAGUNDA</t>
        </is>
      </c>
      <c r="G674" t="n">
        <v>8.6</v>
      </c>
      <c r="H674" t="n">
        <v>0</v>
      </c>
      <c r="I674" t="n">
        <v>0</v>
      </c>
      <c r="J674" t="n">
        <v>0</v>
      </c>
      <c r="K674" t="n">
        <v>0</v>
      </c>
      <c r="L674" t="n">
        <v>0</v>
      </c>
      <c r="M674" t="n">
        <v>0</v>
      </c>
      <c r="N674" t="n">
        <v>0</v>
      </c>
      <c r="O674" t="n">
        <v>0</v>
      </c>
      <c r="P674" t="n">
        <v>0</v>
      </c>
      <c r="Q674" t="n">
        <v>0</v>
      </c>
      <c r="R674" s="2" t="inlineStr"/>
    </row>
    <row r="675" ht="15" customHeight="1">
      <c r="A675" t="inlineStr">
        <is>
          <t>A 25631-2025</t>
        </is>
      </c>
      <c r="B675" s="1" t="n">
        <v>45803.5946875</v>
      </c>
      <c r="C675" s="1" t="n">
        <v>46102</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60443-2023</t>
        </is>
      </c>
      <c r="B676" s="1" t="n">
        <v>45258</v>
      </c>
      <c r="C676" s="1" t="n">
        <v>46102</v>
      </c>
      <c r="D676" t="inlineStr">
        <is>
          <t>JÄMTLANDS LÄN</t>
        </is>
      </c>
      <c r="E676" t="inlineStr">
        <is>
          <t>RAGUNDA</t>
        </is>
      </c>
      <c r="G676" t="n">
        <v>2.9</v>
      </c>
      <c r="H676" t="n">
        <v>0</v>
      </c>
      <c r="I676" t="n">
        <v>0</v>
      </c>
      <c r="J676" t="n">
        <v>0</v>
      </c>
      <c r="K676" t="n">
        <v>0</v>
      </c>
      <c r="L676" t="n">
        <v>0</v>
      </c>
      <c r="M676" t="n">
        <v>0</v>
      </c>
      <c r="N676" t="n">
        <v>0</v>
      </c>
      <c r="O676" t="n">
        <v>0</v>
      </c>
      <c r="P676" t="n">
        <v>0</v>
      </c>
      <c r="Q676" t="n">
        <v>0</v>
      </c>
      <c r="R676" s="2" t="inlineStr"/>
    </row>
    <row r="677" ht="15" customHeight="1">
      <c r="A677" t="inlineStr">
        <is>
          <t>A 9537-2026</t>
        </is>
      </c>
      <c r="B677" s="1" t="n">
        <v>46071.61503472222</v>
      </c>
      <c r="C677" s="1" t="n">
        <v>46102</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48528-2025</t>
        </is>
      </c>
      <c r="B678" s="1" t="n">
        <v>45936.40758101852</v>
      </c>
      <c r="C678" s="1" t="n">
        <v>46102</v>
      </c>
      <c r="D678" t="inlineStr">
        <is>
          <t>JÄMTLANDS LÄN</t>
        </is>
      </c>
      <c r="E678" t="inlineStr">
        <is>
          <t>RAGUNDA</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21726-2023</t>
        </is>
      </c>
      <c r="B679" s="1" t="n">
        <v>45065.42894675926</v>
      </c>
      <c r="C679" s="1" t="n">
        <v>46102</v>
      </c>
      <c r="D679" t="inlineStr">
        <is>
          <t>JÄMTLANDS LÄN</t>
        </is>
      </c>
      <c r="E679" t="inlineStr">
        <is>
          <t>RAGUNDA</t>
        </is>
      </c>
      <c r="G679" t="n">
        <v>0.4</v>
      </c>
      <c r="H679" t="n">
        <v>0</v>
      </c>
      <c r="I679" t="n">
        <v>0</v>
      </c>
      <c r="J679" t="n">
        <v>0</v>
      </c>
      <c r="K679" t="n">
        <v>0</v>
      </c>
      <c r="L679" t="n">
        <v>0</v>
      </c>
      <c r="M679" t="n">
        <v>0</v>
      </c>
      <c r="N679" t="n">
        <v>0</v>
      </c>
      <c r="O679" t="n">
        <v>0</v>
      </c>
      <c r="P679" t="n">
        <v>0</v>
      </c>
      <c r="Q679" t="n">
        <v>0</v>
      </c>
      <c r="R679" s="2" t="inlineStr"/>
    </row>
    <row r="680" ht="15" customHeight="1">
      <c r="A680" t="inlineStr">
        <is>
          <t>A 48742-2025</t>
        </is>
      </c>
      <c r="B680" s="1" t="n">
        <v>45936.67810185185</v>
      </c>
      <c r="C680" s="1" t="n">
        <v>46102</v>
      </c>
      <c r="D680" t="inlineStr">
        <is>
          <t>JÄMTLANDS LÄN</t>
        </is>
      </c>
      <c r="E680" t="inlineStr">
        <is>
          <t>RAGUNDA</t>
        </is>
      </c>
      <c r="F680" t="inlineStr">
        <is>
          <t>SCA</t>
        </is>
      </c>
      <c r="G680" t="n">
        <v>8.9</v>
      </c>
      <c r="H680" t="n">
        <v>0</v>
      </c>
      <c r="I680" t="n">
        <v>0</v>
      </c>
      <c r="J680" t="n">
        <v>0</v>
      </c>
      <c r="K680" t="n">
        <v>0</v>
      </c>
      <c r="L680" t="n">
        <v>0</v>
      </c>
      <c r="M680" t="n">
        <v>0</v>
      </c>
      <c r="N680" t="n">
        <v>0</v>
      </c>
      <c r="O680" t="n">
        <v>0</v>
      </c>
      <c r="P680" t="n">
        <v>0</v>
      </c>
      <c r="Q680" t="n">
        <v>0</v>
      </c>
      <c r="R680" s="2" t="inlineStr"/>
    </row>
    <row r="681" ht="15" customHeight="1">
      <c r="A681" t="inlineStr">
        <is>
          <t>A 48746-2025</t>
        </is>
      </c>
      <c r="B681" s="1" t="n">
        <v>45936.67878472222</v>
      </c>
      <c r="C681" s="1" t="n">
        <v>46102</v>
      </c>
      <c r="D681" t="inlineStr">
        <is>
          <t>JÄMTLANDS LÄN</t>
        </is>
      </c>
      <c r="E681" t="inlineStr">
        <is>
          <t>RAGUNDA</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45952-2023</t>
        </is>
      </c>
      <c r="B682" s="1" t="n">
        <v>45195</v>
      </c>
      <c r="C682" s="1" t="n">
        <v>46102</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45954-2023</t>
        </is>
      </c>
      <c r="B683" s="1" t="n">
        <v>45195.94679398148</v>
      </c>
      <c r="C683" s="1" t="n">
        <v>46102</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45955-2023</t>
        </is>
      </c>
      <c r="B684" s="1" t="n">
        <v>45195.94685185186</v>
      </c>
      <c r="C684" s="1" t="n">
        <v>46102</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10090-2026</t>
        </is>
      </c>
      <c r="B685" s="1" t="n">
        <v>46073.69875</v>
      </c>
      <c r="C685" s="1" t="n">
        <v>46102</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60456-2023</t>
        </is>
      </c>
      <c r="B686" s="1" t="n">
        <v>45258</v>
      </c>
      <c r="C686" s="1" t="n">
        <v>46102</v>
      </c>
      <c r="D686" t="inlineStr">
        <is>
          <t>JÄMTLANDS LÄN</t>
        </is>
      </c>
      <c r="E686" t="inlineStr">
        <is>
          <t>RAGUNDA</t>
        </is>
      </c>
      <c r="G686" t="n">
        <v>1.8</v>
      </c>
      <c r="H686" t="n">
        <v>0</v>
      </c>
      <c r="I686" t="n">
        <v>0</v>
      </c>
      <c r="J686" t="n">
        <v>0</v>
      </c>
      <c r="K686" t="n">
        <v>0</v>
      </c>
      <c r="L686" t="n">
        <v>0</v>
      </c>
      <c r="M686" t="n">
        <v>0</v>
      </c>
      <c r="N686" t="n">
        <v>0</v>
      </c>
      <c r="O686" t="n">
        <v>0</v>
      </c>
      <c r="P686" t="n">
        <v>0</v>
      </c>
      <c r="Q686" t="n">
        <v>0</v>
      </c>
      <c r="R686" s="2" t="inlineStr"/>
    </row>
    <row r="687" ht="15" customHeight="1">
      <c r="A687" t="inlineStr">
        <is>
          <t>A 16334-2025</t>
        </is>
      </c>
      <c r="B687" s="1" t="n">
        <v>45751.36490740741</v>
      </c>
      <c r="C687" s="1" t="n">
        <v>46102</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25376-2025</t>
        </is>
      </c>
      <c r="B688" s="1" t="n">
        <v>45800.63619212963</v>
      </c>
      <c r="C688" s="1" t="n">
        <v>46102</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58438-2022</t>
        </is>
      </c>
      <c r="B689" s="1" t="n">
        <v>44901</v>
      </c>
      <c r="C689" s="1" t="n">
        <v>46102</v>
      </c>
      <c r="D689" t="inlineStr">
        <is>
          <t>JÄMTLANDS LÄN</t>
        </is>
      </c>
      <c r="E689" t="inlineStr">
        <is>
          <t>RAGUNDA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58442-2022</t>
        </is>
      </c>
      <c r="B690" s="1" t="n">
        <v>44901</v>
      </c>
      <c r="C690" s="1" t="n">
        <v>46102</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5806-2025</t>
        </is>
      </c>
      <c r="B691" s="1" t="n">
        <v>45694.69826388889</v>
      </c>
      <c r="C691" s="1" t="n">
        <v>46102</v>
      </c>
      <c r="D691" t="inlineStr">
        <is>
          <t>JÄMTLANDS LÄN</t>
        </is>
      </c>
      <c r="E691" t="inlineStr">
        <is>
          <t>RAGUNDA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41179-2022</t>
        </is>
      </c>
      <c r="B692" s="1" t="n">
        <v>44825</v>
      </c>
      <c r="C692" s="1" t="n">
        <v>46102</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25175-2025</t>
        </is>
      </c>
      <c r="B693" s="1" t="n">
        <v>45800.44822916666</v>
      </c>
      <c r="C693" s="1" t="n">
        <v>46102</v>
      </c>
      <c r="D693" t="inlineStr">
        <is>
          <t>JÄMTLANDS LÄN</t>
        </is>
      </c>
      <c r="E693" t="inlineStr">
        <is>
          <t>RAGUNDA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25177-2025</t>
        </is>
      </c>
      <c r="B694" s="1" t="n">
        <v>45800.44862268519</v>
      </c>
      <c r="C694" s="1" t="n">
        <v>46102</v>
      </c>
      <c r="D694" t="inlineStr">
        <is>
          <t>JÄMTLANDS LÄN</t>
        </is>
      </c>
      <c r="E694" t="inlineStr">
        <is>
          <t>RAGUNDA</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49639-2025</t>
        </is>
      </c>
      <c r="B695" s="1" t="n">
        <v>45939.61253472222</v>
      </c>
      <c r="C695" s="1" t="n">
        <v>46102</v>
      </c>
      <c r="D695" t="inlineStr">
        <is>
          <t>JÄMTLANDS LÄN</t>
        </is>
      </c>
      <c r="E695" t="inlineStr">
        <is>
          <t>RAGUNDA</t>
        </is>
      </c>
      <c r="F695" t="inlineStr">
        <is>
          <t>Kommuner</t>
        </is>
      </c>
      <c r="G695" t="n">
        <v>13.6</v>
      </c>
      <c r="H695" t="n">
        <v>0</v>
      </c>
      <c r="I695" t="n">
        <v>0</v>
      </c>
      <c r="J695" t="n">
        <v>0</v>
      </c>
      <c r="K695" t="n">
        <v>0</v>
      </c>
      <c r="L695" t="n">
        <v>0</v>
      </c>
      <c r="M695" t="n">
        <v>0</v>
      </c>
      <c r="N695" t="n">
        <v>0</v>
      </c>
      <c r="O695" t="n">
        <v>0</v>
      </c>
      <c r="P695" t="n">
        <v>0</v>
      </c>
      <c r="Q695" t="n">
        <v>0</v>
      </c>
      <c r="R695" s="2" t="inlineStr"/>
    </row>
    <row r="696" ht="15" customHeight="1">
      <c r="A696" t="inlineStr">
        <is>
          <t>A 49059-2025</t>
        </is>
      </c>
      <c r="B696" s="1" t="n">
        <v>45937.64123842592</v>
      </c>
      <c r="C696" s="1" t="n">
        <v>46102</v>
      </c>
      <c r="D696" t="inlineStr">
        <is>
          <t>JÄMTLANDS LÄN</t>
        </is>
      </c>
      <c r="E696" t="inlineStr">
        <is>
          <t>RAGUNDA</t>
        </is>
      </c>
      <c r="G696" t="n">
        <v>2.1</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46102</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46102</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17667-2025</t>
        </is>
      </c>
      <c r="B699" s="1" t="n">
        <v>45758.36487268518</v>
      </c>
      <c r="C699" s="1" t="n">
        <v>46102</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9736-2026</t>
        </is>
      </c>
      <c r="B700" s="1" t="n">
        <v>46072.49005787037</v>
      </c>
      <c r="C700" s="1" t="n">
        <v>46102</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1333-2026</t>
        </is>
      </c>
      <c r="B701" s="1" t="n">
        <v>46031.57340277778</v>
      </c>
      <c r="C701" s="1" t="n">
        <v>46102</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49238-2025</t>
        </is>
      </c>
      <c r="B702" s="1" t="n">
        <v>45938.48231481481</v>
      </c>
      <c r="C702" s="1" t="n">
        <v>46102</v>
      </c>
      <c r="D702" t="inlineStr">
        <is>
          <t>JÄMTLANDS LÄN</t>
        </is>
      </c>
      <c r="E702" t="inlineStr">
        <is>
          <t>RAGUNDA</t>
        </is>
      </c>
      <c r="G702" t="n">
        <v>4.7</v>
      </c>
      <c r="H702" t="n">
        <v>0</v>
      </c>
      <c r="I702" t="n">
        <v>0</v>
      </c>
      <c r="J702" t="n">
        <v>0</v>
      </c>
      <c r="K702" t="n">
        <v>0</v>
      </c>
      <c r="L702" t="n">
        <v>0</v>
      </c>
      <c r="M702" t="n">
        <v>0</v>
      </c>
      <c r="N702" t="n">
        <v>0</v>
      </c>
      <c r="O702" t="n">
        <v>0</v>
      </c>
      <c r="P702" t="n">
        <v>0</v>
      </c>
      <c r="Q702" t="n">
        <v>0</v>
      </c>
      <c r="R702" s="2" t="inlineStr"/>
    </row>
    <row r="703" ht="15" customHeight="1">
      <c r="A703" t="inlineStr">
        <is>
          <t>A 12405-2025</t>
        </is>
      </c>
      <c r="B703" s="1" t="n">
        <v>45730.42738425926</v>
      </c>
      <c r="C703" s="1" t="n">
        <v>46102</v>
      </c>
      <c r="D703" t="inlineStr">
        <is>
          <t>JÄMTLANDS LÄN</t>
        </is>
      </c>
      <c r="E703" t="inlineStr">
        <is>
          <t>RAGUNDA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49290-2025</t>
        </is>
      </c>
      <c r="B704" s="1" t="n">
        <v>45938.53168981482</v>
      </c>
      <c r="C704" s="1" t="n">
        <v>46102</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49092-2025</t>
        </is>
      </c>
      <c r="B705" s="1" t="n">
        <v>45937.67792824074</v>
      </c>
      <c r="C705" s="1" t="n">
        <v>46102</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34088-2025</t>
        </is>
      </c>
      <c r="B706" s="1" t="n">
        <v>45845</v>
      </c>
      <c r="C706" s="1" t="n">
        <v>46102</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10344-2026</t>
        </is>
      </c>
      <c r="B707" s="1" t="n">
        <v>46076.68523148148</v>
      </c>
      <c r="C707" s="1" t="n">
        <v>46102</v>
      </c>
      <c r="D707" t="inlineStr">
        <is>
          <t>JÄMTLANDS LÄN</t>
        </is>
      </c>
      <c r="E707" t="inlineStr">
        <is>
          <t>RAGUNDA</t>
        </is>
      </c>
      <c r="G707" t="n">
        <v>2.6</v>
      </c>
      <c r="H707" t="n">
        <v>0</v>
      </c>
      <c r="I707" t="n">
        <v>0</v>
      </c>
      <c r="J707" t="n">
        <v>0</v>
      </c>
      <c r="K707" t="n">
        <v>0</v>
      </c>
      <c r="L707" t="n">
        <v>0</v>
      </c>
      <c r="M707" t="n">
        <v>0</v>
      </c>
      <c r="N707" t="n">
        <v>0</v>
      </c>
      <c r="O707" t="n">
        <v>0</v>
      </c>
      <c r="P707" t="n">
        <v>0</v>
      </c>
      <c r="Q707" t="n">
        <v>0</v>
      </c>
      <c r="R707" s="2" t="inlineStr"/>
    </row>
    <row r="708" ht="15" customHeight="1">
      <c r="A708" t="inlineStr">
        <is>
          <t>A 36986-2023</t>
        </is>
      </c>
      <c r="B708" s="1" t="n">
        <v>45154.95525462963</v>
      </c>
      <c r="C708" s="1" t="n">
        <v>46102</v>
      </c>
      <c r="D708" t="inlineStr">
        <is>
          <t>JÄMTLANDS LÄN</t>
        </is>
      </c>
      <c r="E708" t="inlineStr">
        <is>
          <t>RAGUNDA</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50215-2025</t>
        </is>
      </c>
      <c r="B709" s="1" t="n">
        <v>45943.67842592593</v>
      </c>
      <c r="C709" s="1" t="n">
        <v>46102</v>
      </c>
      <c r="D709" t="inlineStr">
        <is>
          <t>JÄMTLANDS LÄN</t>
        </is>
      </c>
      <c r="E709" t="inlineStr">
        <is>
          <t>RAGUNDA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25659-2025</t>
        </is>
      </c>
      <c r="B710" s="1" t="n">
        <v>45803.61552083334</v>
      </c>
      <c r="C710" s="1" t="n">
        <v>46102</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25661-2025</t>
        </is>
      </c>
      <c r="B711" s="1" t="n">
        <v>45803.61557870371</v>
      </c>
      <c r="C711" s="1" t="n">
        <v>46102</v>
      </c>
      <c r="D711" t="inlineStr">
        <is>
          <t>JÄMTLANDS LÄN</t>
        </is>
      </c>
      <c r="E711" t="inlineStr">
        <is>
          <t>RAGUNDA</t>
        </is>
      </c>
      <c r="G711" t="n">
        <v>1.4</v>
      </c>
      <c r="H711" t="n">
        <v>0</v>
      </c>
      <c r="I711" t="n">
        <v>0</v>
      </c>
      <c r="J711" t="n">
        <v>0</v>
      </c>
      <c r="K711" t="n">
        <v>0</v>
      </c>
      <c r="L711" t="n">
        <v>0</v>
      </c>
      <c r="M711" t="n">
        <v>0</v>
      </c>
      <c r="N711" t="n">
        <v>0</v>
      </c>
      <c r="O711" t="n">
        <v>0</v>
      </c>
      <c r="P711" t="n">
        <v>0</v>
      </c>
      <c r="Q711" t="n">
        <v>0</v>
      </c>
      <c r="R711" s="2" t="inlineStr"/>
    </row>
    <row r="712" ht="15" customHeight="1">
      <c r="A712" t="inlineStr">
        <is>
          <t>A 49991-2025</t>
        </is>
      </c>
      <c r="B712" s="1" t="n">
        <v>45942.91568287037</v>
      </c>
      <c r="C712" s="1" t="n">
        <v>46102</v>
      </c>
      <c r="D712" t="inlineStr">
        <is>
          <t>JÄMTLANDS LÄN</t>
        </is>
      </c>
      <c r="E712" t="inlineStr">
        <is>
          <t>RAGUNDA</t>
        </is>
      </c>
      <c r="G712" t="n">
        <v>9</v>
      </c>
      <c r="H712" t="n">
        <v>0</v>
      </c>
      <c r="I712" t="n">
        <v>0</v>
      </c>
      <c r="J712" t="n">
        <v>0</v>
      </c>
      <c r="K712" t="n">
        <v>0</v>
      </c>
      <c r="L712" t="n">
        <v>0</v>
      </c>
      <c r="M712" t="n">
        <v>0</v>
      </c>
      <c r="N712" t="n">
        <v>0</v>
      </c>
      <c r="O712" t="n">
        <v>0</v>
      </c>
      <c r="P712" t="n">
        <v>0</v>
      </c>
      <c r="Q712" t="n">
        <v>0</v>
      </c>
      <c r="R712" s="2" t="inlineStr"/>
    </row>
    <row r="713" ht="15" customHeight="1">
      <c r="A713" t="inlineStr">
        <is>
          <t>A 49993-2025</t>
        </is>
      </c>
      <c r="B713" s="1" t="n">
        <v>45942.94371527778</v>
      </c>
      <c r="C713" s="1" t="n">
        <v>46102</v>
      </c>
      <c r="D713" t="inlineStr">
        <is>
          <t>JÄMTLANDS LÄN</t>
        </is>
      </c>
      <c r="E713" t="inlineStr">
        <is>
          <t>RAGUNDA</t>
        </is>
      </c>
      <c r="G713" t="n">
        <v>1.5</v>
      </c>
      <c r="H713" t="n">
        <v>0</v>
      </c>
      <c r="I713" t="n">
        <v>0</v>
      </c>
      <c r="J713" t="n">
        <v>0</v>
      </c>
      <c r="K713" t="n">
        <v>0</v>
      </c>
      <c r="L713" t="n">
        <v>0</v>
      </c>
      <c r="M713" t="n">
        <v>0</v>
      </c>
      <c r="N713" t="n">
        <v>0</v>
      </c>
      <c r="O713" t="n">
        <v>0</v>
      </c>
      <c r="P713" t="n">
        <v>0</v>
      </c>
      <c r="Q713" t="n">
        <v>0</v>
      </c>
      <c r="R713" s="2" t="inlineStr"/>
    </row>
    <row r="714" ht="15" customHeight="1">
      <c r="A714" t="inlineStr">
        <is>
          <t>A 49994-2025</t>
        </is>
      </c>
      <c r="B714" s="1" t="n">
        <v>45942.96922453704</v>
      </c>
      <c r="C714" s="1" t="n">
        <v>46102</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49995-2025</t>
        </is>
      </c>
      <c r="B715" s="1" t="n">
        <v>45943.00986111111</v>
      </c>
      <c r="C715" s="1" t="n">
        <v>46102</v>
      </c>
      <c r="D715" t="inlineStr">
        <is>
          <t>JÄMTLANDS LÄN</t>
        </is>
      </c>
      <c r="E715" t="inlineStr">
        <is>
          <t>RAGUNDA</t>
        </is>
      </c>
      <c r="G715" t="n">
        <v>2.5</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46102</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50098-2025</t>
        </is>
      </c>
      <c r="B717" s="1" t="n">
        <v>45943.51086805556</v>
      </c>
      <c r="C717" s="1" t="n">
        <v>46102</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50125-2025</t>
        </is>
      </c>
      <c r="B718" s="1" t="n">
        <v>45943.55262731481</v>
      </c>
      <c r="C718" s="1" t="n">
        <v>46102</v>
      </c>
      <c r="D718" t="inlineStr">
        <is>
          <t>JÄMTLANDS LÄN</t>
        </is>
      </c>
      <c r="E718" t="inlineStr">
        <is>
          <t>RAGUNDA</t>
        </is>
      </c>
      <c r="F718" t="inlineStr">
        <is>
          <t>Sveaskog</t>
        </is>
      </c>
      <c r="G718" t="n">
        <v>23.2</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46102</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50080-2025</t>
        </is>
      </c>
      <c r="B720" s="1" t="n">
        <v>45943.469375</v>
      </c>
      <c r="C720" s="1" t="n">
        <v>46102</v>
      </c>
      <c r="D720" t="inlineStr">
        <is>
          <t>JÄMTLANDS LÄN</t>
        </is>
      </c>
      <c r="E720" t="inlineStr">
        <is>
          <t>RAGUNDA</t>
        </is>
      </c>
      <c r="F720" t="inlineStr">
        <is>
          <t>Naturvårdsverket</t>
        </is>
      </c>
      <c r="G720" t="n">
        <v>6.1</v>
      </c>
      <c r="H720" t="n">
        <v>0</v>
      </c>
      <c r="I720" t="n">
        <v>0</v>
      </c>
      <c r="J720" t="n">
        <v>0</v>
      </c>
      <c r="K720" t="n">
        <v>0</v>
      </c>
      <c r="L720" t="n">
        <v>0</v>
      </c>
      <c r="M720" t="n">
        <v>0</v>
      </c>
      <c r="N720" t="n">
        <v>0</v>
      </c>
      <c r="O720" t="n">
        <v>0</v>
      </c>
      <c r="P720" t="n">
        <v>0</v>
      </c>
      <c r="Q720" t="n">
        <v>0</v>
      </c>
      <c r="R720" s="2" t="inlineStr"/>
    </row>
    <row r="721" ht="15" customHeight="1">
      <c r="A721" t="inlineStr">
        <is>
          <t>A 10410-2026</t>
        </is>
      </c>
      <c r="B721" s="1" t="n">
        <v>46077.34527777778</v>
      </c>
      <c r="C721" s="1" t="n">
        <v>46102</v>
      </c>
      <c r="D721" t="inlineStr">
        <is>
          <t>JÄMTLANDS LÄN</t>
        </is>
      </c>
      <c r="E721" t="inlineStr">
        <is>
          <t>RAGUNDA</t>
        </is>
      </c>
      <c r="F721" t="inlineStr">
        <is>
          <t>SCA</t>
        </is>
      </c>
      <c r="G721" t="n">
        <v>46.5</v>
      </c>
      <c r="H721" t="n">
        <v>0</v>
      </c>
      <c r="I721" t="n">
        <v>0</v>
      </c>
      <c r="J721" t="n">
        <v>0</v>
      </c>
      <c r="K721" t="n">
        <v>0</v>
      </c>
      <c r="L721" t="n">
        <v>0</v>
      </c>
      <c r="M721" t="n">
        <v>0</v>
      </c>
      <c r="N721" t="n">
        <v>0</v>
      </c>
      <c r="O721" t="n">
        <v>0</v>
      </c>
      <c r="P721" t="n">
        <v>0</v>
      </c>
      <c r="Q721" t="n">
        <v>0</v>
      </c>
      <c r="R721" s="2" t="inlineStr"/>
    </row>
    <row r="722" ht="15" customHeight="1">
      <c r="A722" t="inlineStr">
        <is>
          <t>A 10570-2026</t>
        </is>
      </c>
      <c r="B722" s="1" t="n">
        <v>46077.6568287037</v>
      </c>
      <c r="C722" s="1" t="n">
        <v>46102</v>
      </c>
      <c r="D722" t="inlineStr">
        <is>
          <t>JÄMTLANDS LÄN</t>
        </is>
      </c>
      <c r="E722" t="inlineStr">
        <is>
          <t>RAGUNDA</t>
        </is>
      </c>
      <c r="F722" t="inlineStr">
        <is>
          <t>SCA</t>
        </is>
      </c>
      <c r="G722" t="n">
        <v>22.9</v>
      </c>
      <c r="H722" t="n">
        <v>0</v>
      </c>
      <c r="I722" t="n">
        <v>0</v>
      </c>
      <c r="J722" t="n">
        <v>0</v>
      </c>
      <c r="K722" t="n">
        <v>0</v>
      </c>
      <c r="L722" t="n">
        <v>0</v>
      </c>
      <c r="M722" t="n">
        <v>0</v>
      </c>
      <c r="N722" t="n">
        <v>0</v>
      </c>
      <c r="O722" t="n">
        <v>0</v>
      </c>
      <c r="P722" t="n">
        <v>0</v>
      </c>
      <c r="Q722" t="n">
        <v>0</v>
      </c>
      <c r="R722" s="2" t="inlineStr"/>
    </row>
    <row r="723" ht="15" customHeight="1">
      <c r="A723" t="inlineStr">
        <is>
          <t>A 50260-2025</t>
        </is>
      </c>
      <c r="B723" s="1" t="n">
        <v>45944.34515046296</v>
      </c>
      <c r="C723" s="1" t="n">
        <v>46102</v>
      </c>
      <c r="D723" t="inlineStr">
        <is>
          <t>JÄMTLANDS LÄN</t>
        </is>
      </c>
      <c r="E723" t="inlineStr">
        <is>
          <t>RAGUNDA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2224-2024</t>
        </is>
      </c>
      <c r="B724" s="1" t="n">
        <v>45309.92524305556</v>
      </c>
      <c r="C724" s="1" t="n">
        <v>46102</v>
      </c>
      <c r="D724" t="inlineStr">
        <is>
          <t>JÄMTLANDS LÄN</t>
        </is>
      </c>
      <c r="E724" t="inlineStr">
        <is>
          <t>RAGUNDA</t>
        </is>
      </c>
      <c r="G724" t="n">
        <v>0.9</v>
      </c>
      <c r="H724" t="n">
        <v>0</v>
      </c>
      <c r="I724" t="n">
        <v>0</v>
      </c>
      <c r="J724" t="n">
        <v>0</v>
      </c>
      <c r="K724" t="n">
        <v>0</v>
      </c>
      <c r="L724" t="n">
        <v>0</v>
      </c>
      <c r="M724" t="n">
        <v>0</v>
      </c>
      <c r="N724" t="n">
        <v>0</v>
      </c>
      <c r="O724" t="n">
        <v>0</v>
      </c>
      <c r="P724" t="n">
        <v>0</v>
      </c>
      <c r="Q724" t="n">
        <v>0</v>
      </c>
      <c r="R724" s="2" t="inlineStr"/>
    </row>
    <row r="725" ht="15" customHeight="1">
      <c r="A725" t="inlineStr">
        <is>
          <t>A 50473-2025</t>
        </is>
      </c>
      <c r="B725" s="1" t="n">
        <v>45945.36520833334</v>
      </c>
      <c r="C725" s="1" t="n">
        <v>46102</v>
      </c>
      <c r="D725" t="inlineStr">
        <is>
          <t>JÄMTLANDS LÄN</t>
        </is>
      </c>
      <c r="E725" t="inlineStr">
        <is>
          <t>RAGUNDA</t>
        </is>
      </c>
      <c r="F725" t="inlineStr">
        <is>
          <t>SCA</t>
        </is>
      </c>
      <c r="G725" t="n">
        <v>11.2</v>
      </c>
      <c r="H725" t="n">
        <v>0</v>
      </c>
      <c r="I725" t="n">
        <v>0</v>
      </c>
      <c r="J725" t="n">
        <v>0</v>
      </c>
      <c r="K725" t="n">
        <v>0</v>
      </c>
      <c r="L725" t="n">
        <v>0</v>
      </c>
      <c r="M725" t="n">
        <v>0</v>
      </c>
      <c r="N725" t="n">
        <v>0</v>
      </c>
      <c r="O725" t="n">
        <v>0</v>
      </c>
      <c r="P725" t="n">
        <v>0</v>
      </c>
      <c r="Q725" t="n">
        <v>0</v>
      </c>
      <c r="R725" s="2" t="inlineStr"/>
    </row>
    <row r="726" ht="15" customHeight="1">
      <c r="A726" t="inlineStr">
        <is>
          <t>A 1523-2024</t>
        </is>
      </c>
      <c r="B726" s="1" t="n">
        <v>45306</v>
      </c>
      <c r="C726" s="1" t="n">
        <v>46102</v>
      </c>
      <c r="D726" t="inlineStr">
        <is>
          <t>JÄMTLANDS LÄN</t>
        </is>
      </c>
      <c r="E726" t="inlineStr">
        <is>
          <t>RAGUNDA</t>
        </is>
      </c>
      <c r="G726" t="n">
        <v>4.1</v>
      </c>
      <c r="H726" t="n">
        <v>0</v>
      </c>
      <c r="I726" t="n">
        <v>0</v>
      </c>
      <c r="J726" t="n">
        <v>0</v>
      </c>
      <c r="K726" t="n">
        <v>0</v>
      </c>
      <c r="L726" t="n">
        <v>0</v>
      </c>
      <c r="M726" t="n">
        <v>0</v>
      </c>
      <c r="N726" t="n">
        <v>0</v>
      </c>
      <c r="O726" t="n">
        <v>0</v>
      </c>
      <c r="P726" t="n">
        <v>0</v>
      </c>
      <c r="Q726" t="n">
        <v>0</v>
      </c>
      <c r="R726" s="2" t="inlineStr"/>
    </row>
    <row r="727" ht="15" customHeight="1">
      <c r="A727" t="inlineStr">
        <is>
          <t>A 50504-2025</t>
        </is>
      </c>
      <c r="B727" s="1" t="n">
        <v>45945.4284837963</v>
      </c>
      <c r="C727" s="1" t="n">
        <v>46102</v>
      </c>
      <c r="D727" t="inlineStr">
        <is>
          <t>JÄMTLANDS LÄN</t>
        </is>
      </c>
      <c r="E727" t="inlineStr">
        <is>
          <t>RAGUNDA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58630-2024</t>
        </is>
      </c>
      <c r="B728" s="1" t="n">
        <v>45635.57331018519</v>
      </c>
      <c r="C728" s="1" t="n">
        <v>46102</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25350-2025</t>
        </is>
      </c>
      <c r="B729" s="1" t="n">
        <v>45800</v>
      </c>
      <c r="C729" s="1" t="n">
        <v>46102</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50503-2025</t>
        </is>
      </c>
      <c r="B730" s="1" t="n">
        <v>45945.42746527777</v>
      </c>
      <c r="C730" s="1" t="n">
        <v>46102</v>
      </c>
      <c r="D730" t="inlineStr">
        <is>
          <t>JÄMTLANDS LÄN</t>
        </is>
      </c>
      <c r="E730" t="inlineStr">
        <is>
          <t>RAGUNDA</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46549-2023</t>
        </is>
      </c>
      <c r="B731" s="1" t="n">
        <v>45197.94171296297</v>
      </c>
      <c r="C731" s="1" t="n">
        <v>46102</v>
      </c>
      <c r="D731" t="inlineStr">
        <is>
          <t>JÄMTLANDS LÄN</t>
        </is>
      </c>
      <c r="E731" t="inlineStr">
        <is>
          <t>RAGUNDA</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25152-2025</t>
        </is>
      </c>
      <c r="B732" s="1" t="n">
        <v>45800.42743055556</v>
      </c>
      <c r="C732" s="1" t="n">
        <v>46102</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50711-2025</t>
        </is>
      </c>
      <c r="B733" s="1" t="n">
        <v>45946.34431712963</v>
      </c>
      <c r="C733" s="1" t="n">
        <v>46102</v>
      </c>
      <c r="D733" t="inlineStr">
        <is>
          <t>JÄMTLANDS LÄN</t>
        </is>
      </c>
      <c r="E733" t="inlineStr">
        <is>
          <t>RAGUNDA</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50716-2025</t>
        </is>
      </c>
      <c r="B734" s="1" t="n">
        <v>45946.34572916666</v>
      </c>
      <c r="C734" s="1" t="n">
        <v>46102</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2123-2026</t>
        </is>
      </c>
      <c r="B735" s="1" t="n">
        <v>46036.38618055556</v>
      </c>
      <c r="C735" s="1" t="n">
        <v>46102</v>
      </c>
      <c r="D735" t="inlineStr">
        <is>
          <t>JÄMTLANDS LÄN</t>
        </is>
      </c>
      <c r="E735" t="inlineStr">
        <is>
          <t>RAGUNDA</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32258-2024</t>
        </is>
      </c>
      <c r="B736" s="1" t="n">
        <v>45511</v>
      </c>
      <c r="C736" s="1" t="n">
        <v>46102</v>
      </c>
      <c r="D736" t="inlineStr">
        <is>
          <t>JÄMTLANDS LÄN</t>
        </is>
      </c>
      <c r="E736" t="inlineStr">
        <is>
          <t>RAGUNDA</t>
        </is>
      </c>
      <c r="F736" t="inlineStr">
        <is>
          <t>SCA</t>
        </is>
      </c>
      <c r="G736" t="n">
        <v>5.5</v>
      </c>
      <c r="H736" t="n">
        <v>0</v>
      </c>
      <c r="I736" t="n">
        <v>0</v>
      </c>
      <c r="J736" t="n">
        <v>0</v>
      </c>
      <c r="K736" t="n">
        <v>0</v>
      </c>
      <c r="L736" t="n">
        <v>0</v>
      </c>
      <c r="M736" t="n">
        <v>0</v>
      </c>
      <c r="N736" t="n">
        <v>0</v>
      </c>
      <c r="O736" t="n">
        <v>0</v>
      </c>
      <c r="P736" t="n">
        <v>0</v>
      </c>
      <c r="Q736" t="n">
        <v>0</v>
      </c>
      <c r="R736" s="2" t="inlineStr"/>
    </row>
    <row r="737" ht="15" customHeight="1">
      <c r="A737" t="inlineStr">
        <is>
          <t>A 38270-2021</t>
        </is>
      </c>
      <c r="B737" s="1" t="n">
        <v>44405.92065972222</v>
      </c>
      <c r="C737" s="1" t="n">
        <v>46102</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2233-2026</t>
        </is>
      </c>
      <c r="B738" s="1" t="n">
        <v>46036.53207175926</v>
      </c>
      <c r="C738" s="1" t="n">
        <v>46102</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50719-2025</t>
        </is>
      </c>
      <c r="B739" s="1" t="n">
        <v>45946.34642361111</v>
      </c>
      <c r="C739" s="1" t="n">
        <v>46102</v>
      </c>
      <c r="D739" t="inlineStr">
        <is>
          <t>JÄMTLANDS LÄN</t>
        </is>
      </c>
      <c r="E739" t="inlineStr">
        <is>
          <t>RAGUNDA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29257-2024</t>
        </is>
      </c>
      <c r="B740" s="1" t="n">
        <v>45482.94815972223</v>
      </c>
      <c r="C740" s="1" t="n">
        <v>46102</v>
      </c>
      <c r="D740" t="inlineStr">
        <is>
          <t>JÄMTLANDS LÄN</t>
        </is>
      </c>
      <c r="E740" t="inlineStr">
        <is>
          <t>RAGUNDA</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27373-2023</t>
        </is>
      </c>
      <c r="B741" s="1" t="n">
        <v>45096.93866898148</v>
      </c>
      <c r="C741" s="1" t="n">
        <v>46102</v>
      </c>
      <c r="D741" t="inlineStr">
        <is>
          <t>JÄMTLANDS LÄN</t>
        </is>
      </c>
      <c r="E741" t="inlineStr">
        <is>
          <t>RAGUNDA</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62115-2024</t>
        </is>
      </c>
      <c r="B742" s="1" t="n">
        <v>45656</v>
      </c>
      <c r="C742" s="1" t="n">
        <v>46102</v>
      </c>
      <c r="D742" t="inlineStr">
        <is>
          <t>JÄMTLANDS LÄN</t>
        </is>
      </c>
      <c r="E742" t="inlineStr">
        <is>
          <t>RAGUNDA</t>
        </is>
      </c>
      <c r="G742" t="n">
        <v>3.3</v>
      </c>
      <c r="H742" t="n">
        <v>0</v>
      </c>
      <c r="I742" t="n">
        <v>0</v>
      </c>
      <c r="J742" t="n">
        <v>0</v>
      </c>
      <c r="K742" t="n">
        <v>0</v>
      </c>
      <c r="L742" t="n">
        <v>0</v>
      </c>
      <c r="M742" t="n">
        <v>0</v>
      </c>
      <c r="N742" t="n">
        <v>0</v>
      </c>
      <c r="O742" t="n">
        <v>0</v>
      </c>
      <c r="P742" t="n">
        <v>0</v>
      </c>
      <c r="Q742" t="n">
        <v>0</v>
      </c>
      <c r="R742" s="2" t="inlineStr"/>
    </row>
    <row r="743" ht="15" customHeight="1">
      <c r="A743" t="inlineStr">
        <is>
          <t>A 12653-2024</t>
        </is>
      </c>
      <c r="B743" s="1" t="n">
        <v>45384</v>
      </c>
      <c r="C743" s="1" t="n">
        <v>46102</v>
      </c>
      <c r="D743" t="inlineStr">
        <is>
          <t>JÄMTLANDS LÄN</t>
        </is>
      </c>
      <c r="E743" t="inlineStr">
        <is>
          <t>RAGUNDA</t>
        </is>
      </c>
      <c r="G743" t="n">
        <v>1.1</v>
      </c>
      <c r="H743" t="n">
        <v>0</v>
      </c>
      <c r="I743" t="n">
        <v>0</v>
      </c>
      <c r="J743" t="n">
        <v>0</v>
      </c>
      <c r="K743" t="n">
        <v>0</v>
      </c>
      <c r="L743" t="n">
        <v>0</v>
      </c>
      <c r="M743" t="n">
        <v>0</v>
      </c>
      <c r="N743" t="n">
        <v>0</v>
      </c>
      <c r="O743" t="n">
        <v>0</v>
      </c>
      <c r="P743" t="n">
        <v>0</v>
      </c>
      <c r="Q743" t="n">
        <v>0</v>
      </c>
      <c r="R743" s="2" t="inlineStr"/>
    </row>
    <row r="744" ht="15" customHeight="1">
      <c r="A744" t="inlineStr">
        <is>
          <t>A 50211-2023</t>
        </is>
      </c>
      <c r="B744" s="1" t="n">
        <v>45215.94657407407</v>
      </c>
      <c r="C744" s="1" t="n">
        <v>46102</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51019-2025</t>
        </is>
      </c>
      <c r="B745" s="1" t="n">
        <v>45947.38623842593</v>
      </c>
      <c r="C745" s="1" t="n">
        <v>46102</v>
      </c>
      <c r="D745" t="inlineStr">
        <is>
          <t>JÄMTLANDS LÄN</t>
        </is>
      </c>
      <c r="E745" t="inlineStr">
        <is>
          <t>RAGUNDA</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2156-2026</t>
        </is>
      </c>
      <c r="B746" s="1" t="n">
        <v>46036.42771990741</v>
      </c>
      <c r="C746" s="1" t="n">
        <v>46102</v>
      </c>
      <c r="D746" t="inlineStr">
        <is>
          <t>JÄMTLANDS LÄN</t>
        </is>
      </c>
      <c r="E746" t="inlineStr">
        <is>
          <t>RAGUNDA</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46102</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46102</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9232-2025</t>
        </is>
      </c>
      <c r="B749" s="1" t="n">
        <v>45714.55064814815</v>
      </c>
      <c r="C749" s="1" t="n">
        <v>46102</v>
      </c>
      <c r="D749" t="inlineStr">
        <is>
          <t>JÄMTLANDS LÄN</t>
        </is>
      </c>
      <c r="E749" t="inlineStr">
        <is>
          <t>RAGUNDA</t>
        </is>
      </c>
      <c r="G749" t="n">
        <v>1.9</v>
      </c>
      <c r="H749" t="n">
        <v>0</v>
      </c>
      <c r="I749" t="n">
        <v>0</v>
      </c>
      <c r="J749" t="n">
        <v>0</v>
      </c>
      <c r="K749" t="n">
        <v>0</v>
      </c>
      <c r="L749" t="n">
        <v>0</v>
      </c>
      <c r="M749" t="n">
        <v>0</v>
      </c>
      <c r="N749" t="n">
        <v>0</v>
      </c>
      <c r="O749" t="n">
        <v>0</v>
      </c>
      <c r="P749" t="n">
        <v>0</v>
      </c>
      <c r="Q749" t="n">
        <v>0</v>
      </c>
      <c r="R749" s="2" t="inlineStr"/>
    </row>
    <row r="750" ht="15" customHeight="1">
      <c r="A750" t="inlineStr">
        <is>
          <t>A 51592-2025</t>
        </is>
      </c>
      <c r="B750" s="1" t="n">
        <v>45951.36541666667</v>
      </c>
      <c r="C750" s="1" t="n">
        <v>46102</v>
      </c>
      <c r="D750" t="inlineStr">
        <is>
          <t>JÄMTLANDS LÄN</t>
        </is>
      </c>
      <c r="E750" t="inlineStr">
        <is>
          <t>RAGUNDA</t>
        </is>
      </c>
      <c r="G750" t="n">
        <v>1.3</v>
      </c>
      <c r="H750" t="n">
        <v>0</v>
      </c>
      <c r="I750" t="n">
        <v>0</v>
      </c>
      <c r="J750" t="n">
        <v>0</v>
      </c>
      <c r="K750" t="n">
        <v>0</v>
      </c>
      <c r="L750" t="n">
        <v>0</v>
      </c>
      <c r="M750" t="n">
        <v>0</v>
      </c>
      <c r="N750" t="n">
        <v>0</v>
      </c>
      <c r="O750" t="n">
        <v>0</v>
      </c>
      <c r="P750" t="n">
        <v>0</v>
      </c>
      <c r="Q750" t="n">
        <v>0</v>
      </c>
      <c r="R750" s="2" t="inlineStr"/>
    </row>
    <row r="751" ht="15" customHeight="1">
      <c r="A751" t="inlineStr">
        <is>
          <t>A 10649-2026</t>
        </is>
      </c>
      <c r="B751" s="1" t="n">
        <v>46078.34486111111</v>
      </c>
      <c r="C751" s="1" t="n">
        <v>46102</v>
      </c>
      <c r="D751" t="inlineStr">
        <is>
          <t>JÄMTLANDS LÄN</t>
        </is>
      </c>
      <c r="E751" t="inlineStr">
        <is>
          <t>RAGUNDA</t>
        </is>
      </c>
      <c r="F751" t="inlineStr">
        <is>
          <t>SCA</t>
        </is>
      </c>
      <c r="G751" t="n">
        <v>45.5</v>
      </c>
      <c r="H751" t="n">
        <v>0</v>
      </c>
      <c r="I751" t="n">
        <v>0</v>
      </c>
      <c r="J751" t="n">
        <v>0</v>
      </c>
      <c r="K751" t="n">
        <v>0</v>
      </c>
      <c r="L751" t="n">
        <v>0</v>
      </c>
      <c r="M751" t="n">
        <v>0</v>
      </c>
      <c r="N751" t="n">
        <v>0</v>
      </c>
      <c r="O751" t="n">
        <v>0</v>
      </c>
      <c r="P751" t="n">
        <v>0</v>
      </c>
      <c r="Q751" t="n">
        <v>0</v>
      </c>
      <c r="R751" s="2" t="inlineStr"/>
    </row>
    <row r="752" ht="15" customHeight="1">
      <c r="A752" t="inlineStr">
        <is>
          <t>A 29775-2023</t>
        </is>
      </c>
      <c r="B752" s="1" t="n">
        <v>45098</v>
      </c>
      <c r="C752" s="1" t="n">
        <v>46102</v>
      </c>
      <c r="D752" t="inlineStr">
        <is>
          <t>JÄMTLANDS LÄN</t>
        </is>
      </c>
      <c r="E752" t="inlineStr">
        <is>
          <t>RAGUNDA</t>
        </is>
      </c>
      <c r="G752" t="n">
        <v>3.6</v>
      </c>
      <c r="H752" t="n">
        <v>0</v>
      </c>
      <c r="I752" t="n">
        <v>0</v>
      </c>
      <c r="J752" t="n">
        <v>0</v>
      </c>
      <c r="K752" t="n">
        <v>0</v>
      </c>
      <c r="L752" t="n">
        <v>0</v>
      </c>
      <c r="M752" t="n">
        <v>0</v>
      </c>
      <c r="N752" t="n">
        <v>0</v>
      </c>
      <c r="O752" t="n">
        <v>0</v>
      </c>
      <c r="P752" t="n">
        <v>0</v>
      </c>
      <c r="Q752" t="n">
        <v>0</v>
      </c>
      <c r="R752" s="2" t="inlineStr"/>
    </row>
    <row r="753" ht="15" customHeight="1">
      <c r="A753" t="inlineStr">
        <is>
          <t>A 19613-2023</t>
        </is>
      </c>
      <c r="B753" s="1" t="n">
        <v>45050.94020833333</v>
      </c>
      <c r="C753" s="1" t="n">
        <v>46102</v>
      </c>
      <c r="D753" t="inlineStr">
        <is>
          <t>JÄMTLANDS LÄN</t>
        </is>
      </c>
      <c r="E753" t="inlineStr">
        <is>
          <t>RAGUNDA</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2271-2026</t>
        </is>
      </c>
      <c r="B754" s="1" t="n">
        <v>46036.57347222222</v>
      </c>
      <c r="C754" s="1" t="n">
        <v>46102</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51395-2025</t>
        </is>
      </c>
      <c r="B755" s="1" t="n">
        <v>45950.46989583333</v>
      </c>
      <c r="C755" s="1" t="n">
        <v>46102</v>
      </c>
      <c r="D755" t="inlineStr">
        <is>
          <t>JÄMTLANDS LÄN</t>
        </is>
      </c>
      <c r="E755" t="inlineStr">
        <is>
          <t>RAGUNDA</t>
        </is>
      </c>
      <c r="F755" t="inlineStr">
        <is>
          <t>SCA</t>
        </is>
      </c>
      <c r="G755" t="n">
        <v>30.7</v>
      </c>
      <c r="H755" t="n">
        <v>0</v>
      </c>
      <c r="I755" t="n">
        <v>0</v>
      </c>
      <c r="J755" t="n">
        <v>0</v>
      </c>
      <c r="K755" t="n">
        <v>0</v>
      </c>
      <c r="L755" t="n">
        <v>0</v>
      </c>
      <c r="M755" t="n">
        <v>0</v>
      </c>
      <c r="N755" t="n">
        <v>0</v>
      </c>
      <c r="O755" t="n">
        <v>0</v>
      </c>
      <c r="P755" t="n">
        <v>0</v>
      </c>
      <c r="Q755" t="n">
        <v>0</v>
      </c>
      <c r="R755" s="2" t="inlineStr"/>
    </row>
    <row r="756" ht="15" customHeight="1">
      <c r="A756" t="inlineStr">
        <is>
          <t>A 51678-2025</t>
        </is>
      </c>
      <c r="B756" s="1" t="n">
        <v>45951.51106481482</v>
      </c>
      <c r="C756" s="1" t="n">
        <v>46102</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25814-2025</t>
        </is>
      </c>
      <c r="B757" s="1" t="n">
        <v>45804.42642361111</v>
      </c>
      <c r="C757" s="1" t="n">
        <v>46102</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44494-2024</t>
        </is>
      </c>
      <c r="B758" s="1" t="n">
        <v>45574.39081018518</v>
      </c>
      <c r="C758" s="1" t="n">
        <v>46102</v>
      </c>
      <c r="D758" t="inlineStr">
        <is>
          <t>JÄMTLANDS LÄN</t>
        </is>
      </c>
      <c r="E758" t="inlineStr">
        <is>
          <t>RAGUNDA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51593-2025</t>
        </is>
      </c>
      <c r="B759" s="1" t="n">
        <v>45951.36548611111</v>
      </c>
      <c r="C759" s="1" t="n">
        <v>46102</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51484-2025</t>
        </is>
      </c>
      <c r="B760" s="1" t="n">
        <v>45950.62196759259</v>
      </c>
      <c r="C760" s="1" t="n">
        <v>46102</v>
      </c>
      <c r="D760" t="inlineStr">
        <is>
          <t>JÄMTLANDS LÄN</t>
        </is>
      </c>
      <c r="E760" t="inlineStr">
        <is>
          <t>RAGUNDA</t>
        </is>
      </c>
      <c r="F760" t="inlineStr">
        <is>
          <t>SCA</t>
        </is>
      </c>
      <c r="G760" t="n">
        <v>23.1</v>
      </c>
      <c r="H760" t="n">
        <v>0</v>
      </c>
      <c r="I760" t="n">
        <v>0</v>
      </c>
      <c r="J760" t="n">
        <v>0</v>
      </c>
      <c r="K760" t="n">
        <v>0</v>
      </c>
      <c r="L760" t="n">
        <v>0</v>
      </c>
      <c r="M760" t="n">
        <v>0</v>
      </c>
      <c r="N760" t="n">
        <v>0</v>
      </c>
      <c r="O760" t="n">
        <v>0</v>
      </c>
      <c r="P760" t="n">
        <v>0</v>
      </c>
      <c r="Q760" t="n">
        <v>0</v>
      </c>
      <c r="R760" s="2" t="inlineStr"/>
    </row>
    <row r="761" ht="15" customHeight="1">
      <c r="A761" t="inlineStr">
        <is>
          <t>A 51491-2025</t>
        </is>
      </c>
      <c r="B761" s="1" t="n">
        <v>45950.63362268519</v>
      </c>
      <c r="C761" s="1" t="n">
        <v>46102</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2173-2026</t>
        </is>
      </c>
      <c r="B762" s="1" t="n">
        <v>46036.44984953704</v>
      </c>
      <c r="C762" s="1" t="n">
        <v>46102</v>
      </c>
      <c r="D762" t="inlineStr">
        <is>
          <t>JÄMTLANDS LÄN</t>
        </is>
      </c>
      <c r="E762" t="inlineStr">
        <is>
          <t>RAGUNDA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13898-2023</t>
        </is>
      </c>
      <c r="B763" s="1" t="n">
        <v>45008.01408564814</v>
      </c>
      <c r="C763" s="1" t="n">
        <v>46102</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10740-2026</t>
        </is>
      </c>
      <c r="B764" s="1" t="n">
        <v>46078.5109375</v>
      </c>
      <c r="C764" s="1" t="n">
        <v>46102</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51791-2025</t>
        </is>
      </c>
      <c r="B765" s="1" t="n">
        <v>45951.69833333333</v>
      </c>
      <c r="C765" s="1" t="n">
        <v>46102</v>
      </c>
      <c r="D765" t="inlineStr">
        <is>
          <t>JÄMTLANDS LÄN</t>
        </is>
      </c>
      <c r="E765" t="inlineStr">
        <is>
          <t>RAGUNDA</t>
        </is>
      </c>
      <c r="F765" t="inlineStr">
        <is>
          <t>SCA</t>
        </is>
      </c>
      <c r="G765" t="n">
        <v>43.3</v>
      </c>
      <c r="H765" t="n">
        <v>0</v>
      </c>
      <c r="I765" t="n">
        <v>0</v>
      </c>
      <c r="J765" t="n">
        <v>0</v>
      </c>
      <c r="K765" t="n">
        <v>0</v>
      </c>
      <c r="L765" t="n">
        <v>0</v>
      </c>
      <c r="M765" t="n">
        <v>0</v>
      </c>
      <c r="N765" t="n">
        <v>0</v>
      </c>
      <c r="O765" t="n">
        <v>0</v>
      </c>
      <c r="P765" t="n">
        <v>0</v>
      </c>
      <c r="Q765" t="n">
        <v>0</v>
      </c>
      <c r="R765" s="2" t="inlineStr"/>
    </row>
    <row r="766" ht="15" customHeight="1">
      <c r="A766" t="inlineStr">
        <is>
          <t>A 51702-2025</t>
        </is>
      </c>
      <c r="B766" s="1" t="n">
        <v>45951.55305555555</v>
      </c>
      <c r="C766" s="1" t="n">
        <v>46102</v>
      </c>
      <c r="D766" t="inlineStr">
        <is>
          <t>JÄMTLANDS LÄN</t>
        </is>
      </c>
      <c r="E766" t="inlineStr">
        <is>
          <t>RAGUNDA</t>
        </is>
      </c>
      <c r="G766" t="n">
        <v>11.4</v>
      </c>
      <c r="H766" t="n">
        <v>0</v>
      </c>
      <c r="I766" t="n">
        <v>0</v>
      </c>
      <c r="J766" t="n">
        <v>0</v>
      </c>
      <c r="K766" t="n">
        <v>0</v>
      </c>
      <c r="L766" t="n">
        <v>0</v>
      </c>
      <c r="M766" t="n">
        <v>0</v>
      </c>
      <c r="N766" t="n">
        <v>0</v>
      </c>
      <c r="O766" t="n">
        <v>0</v>
      </c>
      <c r="P766" t="n">
        <v>0</v>
      </c>
      <c r="Q766" t="n">
        <v>0</v>
      </c>
      <c r="R766" s="2" t="inlineStr"/>
    </row>
    <row r="767" ht="15" customHeight="1">
      <c r="A767" t="inlineStr">
        <is>
          <t>A 11243-2026</t>
        </is>
      </c>
      <c r="B767" s="1" t="n">
        <v>46080.53181712963</v>
      </c>
      <c r="C767" s="1" t="n">
        <v>46102</v>
      </c>
      <c r="D767" t="inlineStr">
        <is>
          <t>JÄMTLANDS LÄN</t>
        </is>
      </c>
      <c r="E767" t="inlineStr">
        <is>
          <t>RAGUNDA</t>
        </is>
      </c>
      <c r="F767" t="inlineStr">
        <is>
          <t>SCA</t>
        </is>
      </c>
      <c r="G767" t="n">
        <v>52.9</v>
      </c>
      <c r="H767" t="n">
        <v>0</v>
      </c>
      <c r="I767" t="n">
        <v>0</v>
      </c>
      <c r="J767" t="n">
        <v>0</v>
      </c>
      <c r="K767" t="n">
        <v>0</v>
      </c>
      <c r="L767" t="n">
        <v>0</v>
      </c>
      <c r="M767" t="n">
        <v>0</v>
      </c>
      <c r="N767" t="n">
        <v>0</v>
      </c>
      <c r="O767" t="n">
        <v>0</v>
      </c>
      <c r="P767" t="n">
        <v>0</v>
      </c>
      <c r="Q767" t="n">
        <v>0</v>
      </c>
      <c r="R767" s="2" t="inlineStr"/>
    </row>
    <row r="768" ht="15" customHeight="1">
      <c r="A768" t="inlineStr">
        <is>
          <t>A 51394-2025</t>
        </is>
      </c>
      <c r="B768" s="1" t="n">
        <v>45950.46972222222</v>
      </c>
      <c r="C768" s="1" t="n">
        <v>46102</v>
      </c>
      <c r="D768" t="inlineStr">
        <is>
          <t>JÄMTLANDS LÄN</t>
        </is>
      </c>
      <c r="E768" t="inlineStr">
        <is>
          <t>RAGUNDA</t>
        </is>
      </c>
      <c r="F768" t="inlineStr">
        <is>
          <t>SCA</t>
        </is>
      </c>
      <c r="G768" t="n">
        <v>36.5</v>
      </c>
      <c r="H768" t="n">
        <v>0</v>
      </c>
      <c r="I768" t="n">
        <v>0</v>
      </c>
      <c r="J768" t="n">
        <v>0</v>
      </c>
      <c r="K768" t="n">
        <v>0</v>
      </c>
      <c r="L768" t="n">
        <v>0</v>
      </c>
      <c r="M768" t="n">
        <v>0</v>
      </c>
      <c r="N768" t="n">
        <v>0</v>
      </c>
      <c r="O768" t="n">
        <v>0</v>
      </c>
      <c r="P768" t="n">
        <v>0</v>
      </c>
      <c r="Q768" t="n">
        <v>0</v>
      </c>
      <c r="R768" s="2" t="inlineStr"/>
    </row>
    <row r="769" ht="15" customHeight="1">
      <c r="A769" t="inlineStr">
        <is>
          <t>A 52317-2025</t>
        </is>
      </c>
      <c r="B769" s="1" t="n">
        <v>45953.65675925926</v>
      </c>
      <c r="C769" s="1" t="n">
        <v>46102</v>
      </c>
      <c r="D769" t="inlineStr">
        <is>
          <t>JÄMTLANDS LÄN</t>
        </is>
      </c>
      <c r="E769" t="inlineStr">
        <is>
          <t>RAGUNDA</t>
        </is>
      </c>
      <c r="F769" t="inlineStr">
        <is>
          <t>SCA</t>
        </is>
      </c>
      <c r="G769" t="n">
        <v>27.2</v>
      </c>
      <c r="H769" t="n">
        <v>0</v>
      </c>
      <c r="I769" t="n">
        <v>0</v>
      </c>
      <c r="J769" t="n">
        <v>0</v>
      </c>
      <c r="K769" t="n">
        <v>0</v>
      </c>
      <c r="L769" t="n">
        <v>0</v>
      </c>
      <c r="M769" t="n">
        <v>0</v>
      </c>
      <c r="N769" t="n">
        <v>0</v>
      </c>
      <c r="O769" t="n">
        <v>0</v>
      </c>
      <c r="P769" t="n">
        <v>0</v>
      </c>
      <c r="Q769" t="n">
        <v>0</v>
      </c>
      <c r="R769" s="2" t="inlineStr"/>
    </row>
    <row r="770" ht="15" customHeight="1">
      <c r="A770" t="inlineStr">
        <is>
          <t>A 52122-2025</t>
        </is>
      </c>
      <c r="B770" s="1" t="n">
        <v>45952.71946759259</v>
      </c>
      <c r="C770" s="1" t="n">
        <v>46102</v>
      </c>
      <c r="D770" t="inlineStr">
        <is>
          <t>JÄMTLANDS LÄN</t>
        </is>
      </c>
      <c r="E770" t="inlineStr">
        <is>
          <t>RAGUNDA</t>
        </is>
      </c>
      <c r="F770" t="inlineStr">
        <is>
          <t>SCA</t>
        </is>
      </c>
      <c r="G770" t="n">
        <v>8</v>
      </c>
      <c r="H770" t="n">
        <v>0</v>
      </c>
      <c r="I770" t="n">
        <v>0</v>
      </c>
      <c r="J770" t="n">
        <v>0</v>
      </c>
      <c r="K770" t="n">
        <v>0</v>
      </c>
      <c r="L770" t="n">
        <v>0</v>
      </c>
      <c r="M770" t="n">
        <v>0</v>
      </c>
      <c r="N770" t="n">
        <v>0</v>
      </c>
      <c r="O770" t="n">
        <v>0</v>
      </c>
      <c r="P770" t="n">
        <v>0</v>
      </c>
      <c r="Q770" t="n">
        <v>0</v>
      </c>
      <c r="R770" s="2" t="inlineStr"/>
    </row>
    <row r="771" ht="15" customHeight="1">
      <c r="A771" t="inlineStr">
        <is>
          <t>A 26026-2024</t>
        </is>
      </c>
      <c r="B771" s="1" t="n">
        <v>45467.96207175926</v>
      </c>
      <c r="C771" s="1" t="n">
        <v>46102</v>
      </c>
      <c r="D771" t="inlineStr">
        <is>
          <t>JÄMTLANDS LÄN</t>
        </is>
      </c>
      <c r="E771" t="inlineStr">
        <is>
          <t>RAGUNDA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52330-2025</t>
        </is>
      </c>
      <c r="B772" s="1" t="n">
        <v>45953.67752314815</v>
      </c>
      <c r="C772" s="1" t="n">
        <v>46102</v>
      </c>
      <c r="D772" t="inlineStr">
        <is>
          <t>JÄMTLANDS LÄN</t>
        </is>
      </c>
      <c r="E772" t="inlineStr">
        <is>
          <t>RAGUNDA</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52093-2025</t>
        </is>
      </c>
      <c r="B773" s="1" t="n">
        <v>45952.67865740741</v>
      </c>
      <c r="C773" s="1" t="n">
        <v>46102</v>
      </c>
      <c r="D773" t="inlineStr">
        <is>
          <t>JÄMTLANDS LÄN</t>
        </is>
      </c>
      <c r="E773" t="inlineStr">
        <is>
          <t>RAGUNDA</t>
        </is>
      </c>
      <c r="F773" t="inlineStr">
        <is>
          <t>SCA</t>
        </is>
      </c>
      <c r="G773" t="n">
        <v>22.7</v>
      </c>
      <c r="H773" t="n">
        <v>0</v>
      </c>
      <c r="I773" t="n">
        <v>0</v>
      </c>
      <c r="J773" t="n">
        <v>0</v>
      </c>
      <c r="K773" t="n">
        <v>0</v>
      </c>
      <c r="L773" t="n">
        <v>0</v>
      </c>
      <c r="M773" t="n">
        <v>0</v>
      </c>
      <c r="N773" t="n">
        <v>0</v>
      </c>
      <c r="O773" t="n">
        <v>0</v>
      </c>
      <c r="P773" t="n">
        <v>0</v>
      </c>
      <c r="Q773" t="n">
        <v>0</v>
      </c>
      <c r="R773" s="2" t="inlineStr"/>
    </row>
    <row r="774" ht="15" customHeight="1">
      <c r="A774" t="inlineStr">
        <is>
          <t>A 51882-2025</t>
        </is>
      </c>
      <c r="B774" s="1" t="n">
        <v>45952.40685185185</v>
      </c>
      <c r="C774" s="1" t="n">
        <v>46102</v>
      </c>
      <c r="D774" t="inlineStr">
        <is>
          <t>JÄMTLANDS LÄN</t>
        </is>
      </c>
      <c r="E774" t="inlineStr">
        <is>
          <t>RAGUNDA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51903-2025</t>
        </is>
      </c>
      <c r="B775" s="1" t="n">
        <v>45952.44857638889</v>
      </c>
      <c r="C775" s="1" t="n">
        <v>46102</v>
      </c>
      <c r="D775" t="inlineStr">
        <is>
          <t>JÄMTLANDS LÄN</t>
        </is>
      </c>
      <c r="E775" t="inlineStr">
        <is>
          <t>RAGUNDA</t>
        </is>
      </c>
      <c r="F775" t="inlineStr">
        <is>
          <t>SCA</t>
        </is>
      </c>
      <c r="G775" t="n">
        <v>20.8</v>
      </c>
      <c r="H775" t="n">
        <v>0</v>
      </c>
      <c r="I775" t="n">
        <v>0</v>
      </c>
      <c r="J775" t="n">
        <v>0</v>
      </c>
      <c r="K775" t="n">
        <v>0</v>
      </c>
      <c r="L775" t="n">
        <v>0</v>
      </c>
      <c r="M775" t="n">
        <v>0</v>
      </c>
      <c r="N775" t="n">
        <v>0</v>
      </c>
      <c r="O775" t="n">
        <v>0</v>
      </c>
      <c r="P775" t="n">
        <v>0</v>
      </c>
      <c r="Q775" t="n">
        <v>0</v>
      </c>
      <c r="R775" s="2" t="inlineStr"/>
    </row>
    <row r="776" ht="15" customHeight="1">
      <c r="A776" t="inlineStr">
        <is>
          <t>A 5429-2024</t>
        </is>
      </c>
      <c r="B776" s="1" t="n">
        <v>45331.92746527777</v>
      </c>
      <c r="C776" s="1" t="n">
        <v>46102</v>
      </c>
      <c r="D776" t="inlineStr">
        <is>
          <t>JÄMTLANDS LÄN</t>
        </is>
      </c>
      <c r="E776" t="inlineStr">
        <is>
          <t>RAGUNDA</t>
        </is>
      </c>
      <c r="G776" t="n">
        <v>1.1</v>
      </c>
      <c r="H776" t="n">
        <v>0</v>
      </c>
      <c r="I776" t="n">
        <v>0</v>
      </c>
      <c r="J776" t="n">
        <v>0</v>
      </c>
      <c r="K776" t="n">
        <v>0</v>
      </c>
      <c r="L776" t="n">
        <v>0</v>
      </c>
      <c r="M776" t="n">
        <v>0</v>
      </c>
      <c r="N776" t="n">
        <v>0</v>
      </c>
      <c r="O776" t="n">
        <v>0</v>
      </c>
      <c r="P776" t="n">
        <v>0</v>
      </c>
      <c r="Q776" t="n">
        <v>0</v>
      </c>
      <c r="R776" s="2" t="inlineStr"/>
    </row>
    <row r="777" ht="15" customHeight="1">
      <c r="A777" t="inlineStr">
        <is>
          <t>A 51932-2025</t>
        </is>
      </c>
      <c r="B777" s="1" t="n">
        <v>45952.51094907407</v>
      </c>
      <c r="C777" s="1" t="n">
        <v>46102</v>
      </c>
      <c r="D777" t="inlineStr">
        <is>
          <t>JÄMTLANDS LÄN</t>
        </is>
      </c>
      <c r="E777" t="inlineStr">
        <is>
          <t>RAGUNDA</t>
        </is>
      </c>
      <c r="F777" t="inlineStr">
        <is>
          <t>SCA</t>
        </is>
      </c>
      <c r="G777" t="n">
        <v>39.2</v>
      </c>
      <c r="H777" t="n">
        <v>0</v>
      </c>
      <c r="I777" t="n">
        <v>0</v>
      </c>
      <c r="J777" t="n">
        <v>0</v>
      </c>
      <c r="K777" t="n">
        <v>0</v>
      </c>
      <c r="L777" t="n">
        <v>0</v>
      </c>
      <c r="M777" t="n">
        <v>0</v>
      </c>
      <c r="N777" t="n">
        <v>0</v>
      </c>
      <c r="O777" t="n">
        <v>0</v>
      </c>
      <c r="P777" t="n">
        <v>0</v>
      </c>
      <c r="Q777" t="n">
        <v>0</v>
      </c>
      <c r="R777" s="2" t="inlineStr"/>
    </row>
    <row r="778" ht="15" customHeight="1">
      <c r="A778" t="inlineStr">
        <is>
          <t>A 51906-2025</t>
        </is>
      </c>
      <c r="B778" s="1" t="n">
        <v>45952.4615162037</v>
      </c>
      <c r="C778" s="1" t="n">
        <v>46102</v>
      </c>
      <c r="D778" t="inlineStr">
        <is>
          <t>JÄMTLANDS LÄN</t>
        </is>
      </c>
      <c r="E778" t="inlineStr">
        <is>
          <t>RAGUNDA</t>
        </is>
      </c>
      <c r="G778" t="n">
        <v>4.5</v>
      </c>
      <c r="H778" t="n">
        <v>0</v>
      </c>
      <c r="I778" t="n">
        <v>0</v>
      </c>
      <c r="J778" t="n">
        <v>0</v>
      </c>
      <c r="K778" t="n">
        <v>0</v>
      </c>
      <c r="L778" t="n">
        <v>0</v>
      </c>
      <c r="M778" t="n">
        <v>0</v>
      </c>
      <c r="N778" t="n">
        <v>0</v>
      </c>
      <c r="O778" t="n">
        <v>0</v>
      </c>
      <c r="P778" t="n">
        <v>0</v>
      </c>
      <c r="Q778" t="n">
        <v>0</v>
      </c>
      <c r="R778" s="2" t="inlineStr"/>
    </row>
    <row r="779" ht="15" customHeight="1">
      <c r="A779" t="inlineStr">
        <is>
          <t>A 52972-2025</t>
        </is>
      </c>
      <c r="B779" s="1" t="n">
        <v>45957.67783564814</v>
      </c>
      <c r="C779" s="1" t="n">
        <v>46102</v>
      </c>
      <c r="D779" t="inlineStr">
        <is>
          <t>JÄMTLANDS LÄN</t>
        </is>
      </c>
      <c r="E779" t="inlineStr">
        <is>
          <t>RAGUNDA</t>
        </is>
      </c>
      <c r="F779" t="inlineStr">
        <is>
          <t>SCA</t>
        </is>
      </c>
      <c r="G779" t="n">
        <v>53.4</v>
      </c>
      <c r="H779" t="n">
        <v>0</v>
      </c>
      <c r="I779" t="n">
        <v>0</v>
      </c>
      <c r="J779" t="n">
        <v>0</v>
      </c>
      <c r="K779" t="n">
        <v>0</v>
      </c>
      <c r="L779" t="n">
        <v>0</v>
      </c>
      <c r="M779" t="n">
        <v>0</v>
      </c>
      <c r="N779" t="n">
        <v>0</v>
      </c>
      <c r="O779" t="n">
        <v>0</v>
      </c>
      <c r="P779" t="n">
        <v>0</v>
      </c>
      <c r="Q779" t="n">
        <v>0</v>
      </c>
      <c r="R779" s="2" t="inlineStr"/>
    </row>
    <row r="780" ht="15" customHeight="1">
      <c r="A780" t="inlineStr">
        <is>
          <t>A 25944-2025</t>
        </is>
      </c>
      <c r="B780" s="1" t="n">
        <v>45804.59487268519</v>
      </c>
      <c r="C780" s="1" t="n">
        <v>46102</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46102</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3720-2025</t>
        </is>
      </c>
      <c r="B782" s="1" t="n">
        <v>45681.5315625</v>
      </c>
      <c r="C782" s="1" t="n">
        <v>46102</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3770-2025</t>
        </is>
      </c>
      <c r="B783" s="1" t="n">
        <v>45681.6050925926</v>
      </c>
      <c r="C783" s="1" t="n">
        <v>46102</v>
      </c>
      <c r="D783" t="inlineStr">
        <is>
          <t>JÄMTLANDS LÄN</t>
        </is>
      </c>
      <c r="E783" t="inlineStr">
        <is>
          <t>RAGUNDA</t>
        </is>
      </c>
      <c r="G783" t="n">
        <v>2.7</v>
      </c>
      <c r="H783" t="n">
        <v>0</v>
      </c>
      <c r="I783" t="n">
        <v>0</v>
      </c>
      <c r="J783" t="n">
        <v>0</v>
      </c>
      <c r="K783" t="n">
        <v>0</v>
      </c>
      <c r="L783" t="n">
        <v>0</v>
      </c>
      <c r="M783" t="n">
        <v>0</v>
      </c>
      <c r="N783" t="n">
        <v>0</v>
      </c>
      <c r="O783" t="n">
        <v>0</v>
      </c>
      <c r="P783" t="n">
        <v>0</v>
      </c>
      <c r="Q783" t="n">
        <v>0</v>
      </c>
      <c r="R783" s="2" t="inlineStr"/>
    </row>
    <row r="784" ht="15" customHeight="1">
      <c r="A784" t="inlineStr">
        <is>
          <t>A 52430-2025</t>
        </is>
      </c>
      <c r="B784" s="1" t="n">
        <v>45954.38592592593</v>
      </c>
      <c r="C784" s="1" t="n">
        <v>46102</v>
      </c>
      <c r="D784" t="inlineStr">
        <is>
          <t>JÄMTLANDS LÄN</t>
        </is>
      </c>
      <c r="E784" t="inlineStr">
        <is>
          <t>RAGUNDA</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51579-2024</t>
        </is>
      </c>
      <c r="B785" s="1" t="n">
        <v>45604.63575231482</v>
      </c>
      <c r="C785" s="1" t="n">
        <v>46102</v>
      </c>
      <c r="D785" t="inlineStr">
        <is>
          <t>JÄMTLANDS LÄN</t>
        </is>
      </c>
      <c r="E785" t="inlineStr">
        <is>
          <t>RAGUNDA</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52875-2025</t>
        </is>
      </c>
      <c r="B786" s="1" t="n">
        <v>45957.53211805555</v>
      </c>
      <c r="C786" s="1" t="n">
        <v>46102</v>
      </c>
      <c r="D786" t="inlineStr">
        <is>
          <t>JÄMTLANDS LÄN</t>
        </is>
      </c>
      <c r="E786" t="inlineStr">
        <is>
          <t>RAGUNDA</t>
        </is>
      </c>
      <c r="F786" t="inlineStr">
        <is>
          <t>SCA</t>
        </is>
      </c>
      <c r="G786" t="n">
        <v>34.3</v>
      </c>
      <c r="H786" t="n">
        <v>0</v>
      </c>
      <c r="I786" t="n">
        <v>0</v>
      </c>
      <c r="J786" t="n">
        <v>0</v>
      </c>
      <c r="K786" t="n">
        <v>0</v>
      </c>
      <c r="L786" t="n">
        <v>0</v>
      </c>
      <c r="M786" t="n">
        <v>0</v>
      </c>
      <c r="N786" t="n">
        <v>0</v>
      </c>
      <c r="O786" t="n">
        <v>0</v>
      </c>
      <c r="P786" t="n">
        <v>0</v>
      </c>
      <c r="Q786" t="n">
        <v>0</v>
      </c>
      <c r="R786" s="2" t="inlineStr"/>
    </row>
    <row r="787" ht="15" customHeight="1">
      <c r="A787" t="inlineStr">
        <is>
          <t>A 8775-2025</t>
        </is>
      </c>
      <c r="B787" s="1" t="n">
        <v>45712.61502314815</v>
      </c>
      <c r="C787" s="1" t="n">
        <v>46102</v>
      </c>
      <c r="D787" t="inlineStr">
        <is>
          <t>JÄMTLANDS LÄN</t>
        </is>
      </c>
      <c r="E787" t="inlineStr">
        <is>
          <t>RAGUNDA</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11832-2026</t>
        </is>
      </c>
      <c r="B788" s="1" t="n">
        <v>46085.42788194444</v>
      </c>
      <c r="C788" s="1" t="n">
        <v>46102</v>
      </c>
      <c r="D788" t="inlineStr">
        <is>
          <t>JÄMTLANDS LÄN</t>
        </is>
      </c>
      <c r="E788" t="inlineStr">
        <is>
          <t>RAGUNDA</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52394-2025</t>
        </is>
      </c>
      <c r="B789" s="1" t="n">
        <v>45954.34466435185</v>
      </c>
      <c r="C789" s="1" t="n">
        <v>46102</v>
      </c>
      <c r="D789" t="inlineStr">
        <is>
          <t>JÄMTLANDS LÄN</t>
        </is>
      </c>
      <c r="E789" t="inlineStr">
        <is>
          <t>RAGUNDA</t>
        </is>
      </c>
      <c r="F789" t="inlineStr">
        <is>
          <t>SCA</t>
        </is>
      </c>
      <c r="G789" t="n">
        <v>53.8</v>
      </c>
      <c r="H789" t="n">
        <v>0</v>
      </c>
      <c r="I789" t="n">
        <v>0</v>
      </c>
      <c r="J789" t="n">
        <v>0</v>
      </c>
      <c r="K789" t="n">
        <v>0</v>
      </c>
      <c r="L789" t="n">
        <v>0</v>
      </c>
      <c r="M789" t="n">
        <v>0</v>
      </c>
      <c r="N789" t="n">
        <v>0</v>
      </c>
      <c r="O789" t="n">
        <v>0</v>
      </c>
      <c r="P789" t="n">
        <v>0</v>
      </c>
      <c r="Q789" t="n">
        <v>0</v>
      </c>
      <c r="R789" s="2" t="inlineStr"/>
    </row>
    <row r="790" ht="15" customHeight="1">
      <c r="A790" t="inlineStr">
        <is>
          <t>A 52395-2025</t>
        </is>
      </c>
      <c r="B790" s="1" t="n">
        <v>45954.34487268519</v>
      </c>
      <c r="C790" s="1" t="n">
        <v>46102</v>
      </c>
      <c r="D790" t="inlineStr">
        <is>
          <t>JÄMTLANDS LÄN</t>
        </is>
      </c>
      <c r="E790" t="inlineStr">
        <is>
          <t>RAGUNDA</t>
        </is>
      </c>
      <c r="F790" t="inlineStr">
        <is>
          <t>SCA</t>
        </is>
      </c>
      <c r="G790" t="n">
        <v>14.2</v>
      </c>
      <c r="H790" t="n">
        <v>0</v>
      </c>
      <c r="I790" t="n">
        <v>0</v>
      </c>
      <c r="J790" t="n">
        <v>0</v>
      </c>
      <c r="K790" t="n">
        <v>0</v>
      </c>
      <c r="L790" t="n">
        <v>0</v>
      </c>
      <c r="M790" t="n">
        <v>0</v>
      </c>
      <c r="N790" t="n">
        <v>0</v>
      </c>
      <c r="O790" t="n">
        <v>0</v>
      </c>
      <c r="P790" t="n">
        <v>0</v>
      </c>
      <c r="Q790" t="n">
        <v>0</v>
      </c>
      <c r="R790" s="2" t="inlineStr"/>
    </row>
    <row r="791" ht="15" customHeight="1">
      <c r="A791" t="inlineStr">
        <is>
          <t>A 2339-2025</t>
        </is>
      </c>
      <c r="B791" s="1" t="n">
        <v>45673.66358796296</v>
      </c>
      <c r="C791" s="1" t="n">
        <v>46102</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46102</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53032-2025</t>
        </is>
      </c>
      <c r="B793" s="1" t="n">
        <v>45958.34462962963</v>
      </c>
      <c r="C793" s="1" t="n">
        <v>46102</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11882-2026</t>
        </is>
      </c>
      <c r="B794" s="1" t="n">
        <v>46085.504375</v>
      </c>
      <c r="C794" s="1" t="n">
        <v>46102</v>
      </c>
      <c r="D794" t="inlineStr">
        <is>
          <t>JÄMTLANDS LÄN</t>
        </is>
      </c>
      <c r="E794" t="inlineStr">
        <is>
          <t>RAGUNDA</t>
        </is>
      </c>
      <c r="G794" t="n">
        <v>7</v>
      </c>
      <c r="H794" t="n">
        <v>0</v>
      </c>
      <c r="I794" t="n">
        <v>0</v>
      </c>
      <c r="J794" t="n">
        <v>0</v>
      </c>
      <c r="K794" t="n">
        <v>0</v>
      </c>
      <c r="L794" t="n">
        <v>0</v>
      </c>
      <c r="M794" t="n">
        <v>0</v>
      </c>
      <c r="N794" t="n">
        <v>0</v>
      </c>
      <c r="O794" t="n">
        <v>0</v>
      </c>
      <c r="P794" t="n">
        <v>0</v>
      </c>
      <c r="Q794" t="n">
        <v>0</v>
      </c>
      <c r="R794" s="2" t="inlineStr"/>
    </row>
    <row r="795" ht="15" customHeight="1">
      <c r="A795" t="inlineStr">
        <is>
          <t>A 27499-2024</t>
        </is>
      </c>
      <c r="B795" s="1" t="n">
        <v>45474.50608796296</v>
      </c>
      <c r="C795" s="1" t="n">
        <v>46102</v>
      </c>
      <c r="D795" t="inlineStr">
        <is>
          <t>JÄMTLANDS LÄN</t>
        </is>
      </c>
      <c r="E795" t="inlineStr">
        <is>
          <t>RAGUNDA</t>
        </is>
      </c>
      <c r="G795" t="n">
        <v>1.3</v>
      </c>
      <c r="H795" t="n">
        <v>0</v>
      </c>
      <c r="I795" t="n">
        <v>0</v>
      </c>
      <c r="J795" t="n">
        <v>0</v>
      </c>
      <c r="K795" t="n">
        <v>0</v>
      </c>
      <c r="L795" t="n">
        <v>0</v>
      </c>
      <c r="M795" t="n">
        <v>0</v>
      </c>
      <c r="N795" t="n">
        <v>0</v>
      </c>
      <c r="O795" t="n">
        <v>0</v>
      </c>
      <c r="P795" t="n">
        <v>0</v>
      </c>
      <c r="Q795" t="n">
        <v>0</v>
      </c>
      <c r="R795" s="2" t="inlineStr"/>
    </row>
    <row r="796" ht="15" customHeight="1">
      <c r="A796" t="inlineStr">
        <is>
          <t>A 57078-2023</t>
        </is>
      </c>
      <c r="B796" s="1" t="n">
        <v>45244.96774305555</v>
      </c>
      <c r="C796" s="1" t="n">
        <v>46102</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53075-2025</t>
        </is>
      </c>
      <c r="B797" s="1" t="n">
        <v>45958.38584490741</v>
      </c>
      <c r="C797" s="1" t="n">
        <v>46102</v>
      </c>
      <c r="D797" t="inlineStr">
        <is>
          <t>JÄMTLANDS LÄN</t>
        </is>
      </c>
      <c r="E797" t="inlineStr">
        <is>
          <t>RAGUNDA</t>
        </is>
      </c>
      <c r="F797" t="inlineStr">
        <is>
          <t>SCA</t>
        </is>
      </c>
      <c r="G797" t="n">
        <v>28.9</v>
      </c>
      <c r="H797" t="n">
        <v>0</v>
      </c>
      <c r="I797" t="n">
        <v>0</v>
      </c>
      <c r="J797" t="n">
        <v>0</v>
      </c>
      <c r="K797" t="n">
        <v>0</v>
      </c>
      <c r="L797" t="n">
        <v>0</v>
      </c>
      <c r="M797" t="n">
        <v>0</v>
      </c>
      <c r="N797" t="n">
        <v>0</v>
      </c>
      <c r="O797" t="n">
        <v>0</v>
      </c>
      <c r="P797" t="n">
        <v>0</v>
      </c>
      <c r="Q797" t="n">
        <v>0</v>
      </c>
      <c r="R797" s="2" t="inlineStr"/>
    </row>
    <row r="798" ht="15" customHeight="1">
      <c r="A798" t="inlineStr">
        <is>
          <t>A 59368-2022</t>
        </is>
      </c>
      <c r="B798" s="1" t="n">
        <v>44904.94824074074</v>
      </c>
      <c r="C798" s="1" t="n">
        <v>46102</v>
      </c>
      <c r="D798" t="inlineStr">
        <is>
          <t>JÄMTLANDS LÄN</t>
        </is>
      </c>
      <c r="E798" t="inlineStr">
        <is>
          <t>RAGUNDA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6801-2023</t>
        </is>
      </c>
      <c r="B799" s="1" t="n">
        <v>44966.95328703704</v>
      </c>
      <c r="C799" s="1" t="n">
        <v>46102</v>
      </c>
      <c r="D799" t="inlineStr">
        <is>
          <t>JÄMTLANDS LÄN</t>
        </is>
      </c>
      <c r="E799" t="inlineStr">
        <is>
          <t>RAGUNDA</t>
        </is>
      </c>
      <c r="F799" t="inlineStr">
        <is>
          <t>SCA</t>
        </is>
      </c>
      <c r="G799" t="n">
        <v>10.6</v>
      </c>
      <c r="H799" t="n">
        <v>0</v>
      </c>
      <c r="I799" t="n">
        <v>0</v>
      </c>
      <c r="J799" t="n">
        <v>0</v>
      </c>
      <c r="K799" t="n">
        <v>0</v>
      </c>
      <c r="L799" t="n">
        <v>0</v>
      </c>
      <c r="M799" t="n">
        <v>0</v>
      </c>
      <c r="N799" t="n">
        <v>0</v>
      </c>
      <c r="O799" t="n">
        <v>0</v>
      </c>
      <c r="P799" t="n">
        <v>0</v>
      </c>
      <c r="Q799" t="n">
        <v>0</v>
      </c>
      <c r="R799" s="2" t="inlineStr"/>
    </row>
    <row r="800" ht="15" customHeight="1">
      <c r="A800" t="inlineStr">
        <is>
          <t>A 52578-2025</t>
        </is>
      </c>
      <c r="B800" s="1" t="n">
        <v>45954.61508101852</v>
      </c>
      <c r="C800" s="1" t="n">
        <v>46102</v>
      </c>
      <c r="D800" t="inlineStr">
        <is>
          <t>JÄMTLANDS LÄN</t>
        </is>
      </c>
      <c r="E800" t="inlineStr">
        <is>
          <t>RAGUNDA</t>
        </is>
      </c>
      <c r="F800" t="inlineStr">
        <is>
          <t>SCA</t>
        </is>
      </c>
      <c r="G800" t="n">
        <v>25.2</v>
      </c>
      <c r="H800" t="n">
        <v>0</v>
      </c>
      <c r="I800" t="n">
        <v>0</v>
      </c>
      <c r="J800" t="n">
        <v>0</v>
      </c>
      <c r="K800" t="n">
        <v>0</v>
      </c>
      <c r="L800" t="n">
        <v>0</v>
      </c>
      <c r="M800" t="n">
        <v>0</v>
      </c>
      <c r="N800" t="n">
        <v>0</v>
      </c>
      <c r="O800" t="n">
        <v>0</v>
      </c>
      <c r="P800" t="n">
        <v>0</v>
      </c>
      <c r="Q800" t="n">
        <v>0</v>
      </c>
      <c r="R800" s="2" t="inlineStr"/>
    </row>
    <row r="801" ht="15" customHeight="1">
      <c r="A801" t="inlineStr">
        <is>
          <t>A 11876-2026</t>
        </is>
      </c>
      <c r="B801" s="1" t="n">
        <v>46085.50024305555</v>
      </c>
      <c r="C801" s="1" t="n">
        <v>46102</v>
      </c>
      <c r="D801" t="inlineStr">
        <is>
          <t>JÄMTLANDS LÄN</t>
        </is>
      </c>
      <c r="E801" t="inlineStr">
        <is>
          <t>RAGUNDA</t>
        </is>
      </c>
      <c r="G801" t="n">
        <v>2.4</v>
      </c>
      <c r="H801" t="n">
        <v>0</v>
      </c>
      <c r="I801" t="n">
        <v>0</v>
      </c>
      <c r="J801" t="n">
        <v>0</v>
      </c>
      <c r="K801" t="n">
        <v>0</v>
      </c>
      <c r="L801" t="n">
        <v>0</v>
      </c>
      <c r="M801" t="n">
        <v>0</v>
      </c>
      <c r="N801" t="n">
        <v>0</v>
      </c>
      <c r="O801" t="n">
        <v>0</v>
      </c>
      <c r="P801" t="n">
        <v>0</v>
      </c>
      <c r="Q801" t="n">
        <v>0</v>
      </c>
      <c r="R801" s="2" t="inlineStr"/>
    </row>
    <row r="802" ht="15" customHeight="1">
      <c r="A802" t="inlineStr">
        <is>
          <t>A 41656-2023</t>
        </is>
      </c>
      <c r="B802" s="1" t="n">
        <v>45175</v>
      </c>
      <c r="C802" s="1" t="n">
        <v>46102</v>
      </c>
      <c r="D802" t="inlineStr">
        <is>
          <t>JÄMTLANDS LÄN</t>
        </is>
      </c>
      <c r="E802" t="inlineStr">
        <is>
          <t>RAGUNDA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53076-2025</t>
        </is>
      </c>
      <c r="B803" s="1" t="n">
        <v>45958.38604166666</v>
      </c>
      <c r="C803" s="1" t="n">
        <v>46102</v>
      </c>
      <c r="D803" t="inlineStr">
        <is>
          <t>JÄMTLANDS LÄN</t>
        </is>
      </c>
      <c r="E803" t="inlineStr">
        <is>
          <t>RAGUNDA</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51646-2023</t>
        </is>
      </c>
      <c r="B804" s="1" t="n">
        <v>45215</v>
      </c>
      <c r="C804" s="1" t="n">
        <v>46102</v>
      </c>
      <c r="D804" t="inlineStr">
        <is>
          <t>JÄMTLANDS LÄN</t>
        </is>
      </c>
      <c r="E804" t="inlineStr">
        <is>
          <t>RAGUNDA</t>
        </is>
      </c>
      <c r="G804" t="n">
        <v>0.7</v>
      </c>
      <c r="H804" t="n">
        <v>0</v>
      </c>
      <c r="I804" t="n">
        <v>0</v>
      </c>
      <c r="J804" t="n">
        <v>0</v>
      </c>
      <c r="K804" t="n">
        <v>0</v>
      </c>
      <c r="L804" t="n">
        <v>0</v>
      </c>
      <c r="M804" t="n">
        <v>0</v>
      </c>
      <c r="N804" t="n">
        <v>0</v>
      </c>
      <c r="O804" t="n">
        <v>0</v>
      </c>
      <c r="P804" t="n">
        <v>0</v>
      </c>
      <c r="Q804" t="n">
        <v>0</v>
      </c>
      <c r="R804" s="2" t="inlineStr"/>
    </row>
    <row r="805" ht="15" customHeight="1">
      <c r="A805" t="inlineStr">
        <is>
          <t>A 25304-2023</t>
        </is>
      </c>
      <c r="B805" s="1" t="n">
        <v>45086</v>
      </c>
      <c r="C805" s="1" t="n">
        <v>46102</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3813-2026</t>
        </is>
      </c>
      <c r="B806" s="1" t="n">
        <v>46043.58447916667</v>
      </c>
      <c r="C806" s="1" t="n">
        <v>46102</v>
      </c>
      <c r="D806" t="inlineStr">
        <is>
          <t>JÄMTLANDS LÄN</t>
        </is>
      </c>
      <c r="E806" t="inlineStr">
        <is>
          <t>RAGUNDA</t>
        </is>
      </c>
      <c r="F806" t="inlineStr">
        <is>
          <t>SCA</t>
        </is>
      </c>
      <c r="G806" t="n">
        <v>23.2</v>
      </c>
      <c r="H806" t="n">
        <v>0</v>
      </c>
      <c r="I806" t="n">
        <v>0</v>
      </c>
      <c r="J806" t="n">
        <v>0</v>
      </c>
      <c r="K806" t="n">
        <v>0</v>
      </c>
      <c r="L806" t="n">
        <v>0</v>
      </c>
      <c r="M806" t="n">
        <v>0</v>
      </c>
      <c r="N806" t="n">
        <v>0</v>
      </c>
      <c r="O806" t="n">
        <v>0</v>
      </c>
      <c r="P806" t="n">
        <v>0</v>
      </c>
      <c r="Q806" t="n">
        <v>0</v>
      </c>
      <c r="R806" s="2" t="inlineStr"/>
    </row>
    <row r="807" ht="15" customHeight="1">
      <c r="A807" t="inlineStr">
        <is>
          <t>A 3561-2026</t>
        </is>
      </c>
      <c r="B807" s="1" t="n">
        <v>46042.67142361111</v>
      </c>
      <c r="C807" s="1" t="n">
        <v>46102</v>
      </c>
      <c r="D807" t="inlineStr">
        <is>
          <t>JÄMTLANDS LÄN</t>
        </is>
      </c>
      <c r="E807" t="inlineStr">
        <is>
          <t>RAGUNDA</t>
        </is>
      </c>
      <c r="G807" t="n">
        <v>3.8</v>
      </c>
      <c r="H807" t="n">
        <v>0</v>
      </c>
      <c r="I807" t="n">
        <v>0</v>
      </c>
      <c r="J807" t="n">
        <v>0</v>
      </c>
      <c r="K807" t="n">
        <v>0</v>
      </c>
      <c r="L807" t="n">
        <v>0</v>
      </c>
      <c r="M807" t="n">
        <v>0</v>
      </c>
      <c r="N807" t="n">
        <v>0</v>
      </c>
      <c r="O807" t="n">
        <v>0</v>
      </c>
      <c r="P807" t="n">
        <v>0</v>
      </c>
      <c r="Q807" t="n">
        <v>0</v>
      </c>
      <c r="R807" s="2" t="inlineStr"/>
    </row>
    <row r="808" ht="15" customHeight="1">
      <c r="A808" t="inlineStr">
        <is>
          <t>A 37268-2024</t>
        </is>
      </c>
      <c r="B808" s="1" t="n">
        <v>45540.38586805556</v>
      </c>
      <c r="C808" s="1" t="n">
        <v>46102</v>
      </c>
      <c r="D808" t="inlineStr">
        <is>
          <t>JÄMTLANDS LÄN</t>
        </is>
      </c>
      <c r="E808" t="inlineStr">
        <is>
          <t>RAGUNDA</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53986-2025</t>
        </is>
      </c>
      <c r="B809" s="1" t="n">
        <v>45961.57381944444</v>
      </c>
      <c r="C809" s="1" t="n">
        <v>46102</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53973-2025</t>
        </is>
      </c>
      <c r="B810" s="1" t="n">
        <v>45961.55246527777</v>
      </c>
      <c r="C810" s="1" t="n">
        <v>46102</v>
      </c>
      <c r="D810" t="inlineStr">
        <is>
          <t>JÄMTLANDS LÄN</t>
        </is>
      </c>
      <c r="E810" t="inlineStr">
        <is>
          <t>RAGUNDA</t>
        </is>
      </c>
      <c r="G810" t="n">
        <v>2.4</v>
      </c>
      <c r="H810" t="n">
        <v>0</v>
      </c>
      <c r="I810" t="n">
        <v>0</v>
      </c>
      <c r="J810" t="n">
        <v>0</v>
      </c>
      <c r="K810" t="n">
        <v>0</v>
      </c>
      <c r="L810" t="n">
        <v>0</v>
      </c>
      <c r="M810" t="n">
        <v>0</v>
      </c>
      <c r="N810" t="n">
        <v>0</v>
      </c>
      <c r="O810" t="n">
        <v>0</v>
      </c>
      <c r="P810" t="n">
        <v>0</v>
      </c>
      <c r="Q810" t="n">
        <v>0</v>
      </c>
      <c r="R810" s="2" t="inlineStr"/>
    </row>
    <row r="811" ht="15" customHeight="1">
      <c r="A811" t="inlineStr">
        <is>
          <t>A 53549-2025</t>
        </is>
      </c>
      <c r="B811" s="1" t="n">
        <v>45960.38576388889</v>
      </c>
      <c r="C811" s="1" t="n">
        <v>46102</v>
      </c>
      <c r="D811" t="inlineStr">
        <is>
          <t>JÄMTLANDS LÄN</t>
        </is>
      </c>
      <c r="E811" t="inlineStr">
        <is>
          <t>RAGUNDA</t>
        </is>
      </c>
      <c r="G811" t="n">
        <v>5.4</v>
      </c>
      <c r="H811" t="n">
        <v>0</v>
      </c>
      <c r="I811" t="n">
        <v>0</v>
      </c>
      <c r="J811" t="n">
        <v>0</v>
      </c>
      <c r="K811" t="n">
        <v>0</v>
      </c>
      <c r="L811" t="n">
        <v>0</v>
      </c>
      <c r="M811" t="n">
        <v>0</v>
      </c>
      <c r="N811" t="n">
        <v>0</v>
      </c>
      <c r="O811" t="n">
        <v>0</v>
      </c>
      <c r="P811" t="n">
        <v>0</v>
      </c>
      <c r="Q811" t="n">
        <v>0</v>
      </c>
      <c r="R811" s="2" t="inlineStr"/>
    </row>
    <row r="812" ht="15" customHeight="1">
      <c r="A812" t="inlineStr">
        <is>
          <t>A 53975-2025</t>
        </is>
      </c>
      <c r="B812" s="1" t="n">
        <v>45961.55277777778</v>
      </c>
      <c r="C812" s="1" t="n">
        <v>46102</v>
      </c>
      <c r="D812" t="inlineStr">
        <is>
          <t>JÄMTLANDS LÄN</t>
        </is>
      </c>
      <c r="E812" t="inlineStr">
        <is>
          <t>RAGUNDA</t>
        </is>
      </c>
      <c r="F812" t="inlineStr">
        <is>
          <t>SCA</t>
        </is>
      </c>
      <c r="G812" t="n">
        <v>21.9</v>
      </c>
      <c r="H812" t="n">
        <v>0</v>
      </c>
      <c r="I812" t="n">
        <v>0</v>
      </c>
      <c r="J812" t="n">
        <v>0</v>
      </c>
      <c r="K812" t="n">
        <v>0</v>
      </c>
      <c r="L812" t="n">
        <v>0</v>
      </c>
      <c r="M812" t="n">
        <v>0</v>
      </c>
      <c r="N812" t="n">
        <v>0</v>
      </c>
      <c r="O812" t="n">
        <v>0</v>
      </c>
      <c r="P812" t="n">
        <v>0</v>
      </c>
      <c r="Q812" t="n">
        <v>0</v>
      </c>
      <c r="R812" s="2" t="inlineStr"/>
    </row>
    <row r="813" ht="15" customHeight="1">
      <c r="A813" t="inlineStr">
        <is>
          <t>A 26283-2025</t>
        </is>
      </c>
      <c r="B813" s="1" t="n">
        <v>45805.61495370371</v>
      </c>
      <c r="C813" s="1" t="n">
        <v>46102</v>
      </c>
      <c r="D813" t="inlineStr">
        <is>
          <t>JÄMTLANDS LÄN</t>
        </is>
      </c>
      <c r="E813" t="inlineStr">
        <is>
          <t>RAGUNDA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14512-2025</t>
        </is>
      </c>
      <c r="B814" s="1" t="n">
        <v>45741.63659722222</v>
      </c>
      <c r="C814" s="1" t="n">
        <v>46102</v>
      </c>
      <c r="D814" t="inlineStr">
        <is>
          <t>JÄMTLANDS LÄN</t>
        </is>
      </c>
      <c r="E814" t="inlineStr">
        <is>
          <t>RAGUNDA</t>
        </is>
      </c>
      <c r="F814" t="inlineStr">
        <is>
          <t>SCA</t>
        </is>
      </c>
      <c r="G814" t="n">
        <v>8.9</v>
      </c>
      <c r="H814" t="n">
        <v>0</v>
      </c>
      <c r="I814" t="n">
        <v>0</v>
      </c>
      <c r="J814" t="n">
        <v>0</v>
      </c>
      <c r="K814" t="n">
        <v>0</v>
      </c>
      <c r="L814" t="n">
        <v>0</v>
      </c>
      <c r="M814" t="n">
        <v>0</v>
      </c>
      <c r="N814" t="n">
        <v>0</v>
      </c>
      <c r="O814" t="n">
        <v>0</v>
      </c>
      <c r="P814" t="n">
        <v>0</v>
      </c>
      <c r="Q814" t="n">
        <v>0</v>
      </c>
      <c r="R814" s="2" t="inlineStr"/>
    </row>
    <row r="815" ht="15" customHeight="1">
      <c r="A815" t="inlineStr">
        <is>
          <t>A 53726-2025</t>
        </is>
      </c>
      <c r="B815" s="1" t="n">
        <v>45960.63597222222</v>
      </c>
      <c r="C815" s="1" t="n">
        <v>46102</v>
      </c>
      <c r="D815" t="inlineStr">
        <is>
          <t>JÄMTLANDS LÄN</t>
        </is>
      </c>
      <c r="E815" t="inlineStr">
        <is>
          <t>RAGUNDA</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53748-2025</t>
        </is>
      </c>
      <c r="B816" s="1" t="n">
        <v>45960.65673611111</v>
      </c>
      <c r="C816" s="1" t="n">
        <v>46102</v>
      </c>
      <c r="D816" t="inlineStr">
        <is>
          <t>JÄMTLANDS LÄN</t>
        </is>
      </c>
      <c r="E816" t="inlineStr">
        <is>
          <t>RAGUNDA</t>
        </is>
      </c>
      <c r="F816" t="inlineStr">
        <is>
          <t>SCA</t>
        </is>
      </c>
      <c r="G816" t="n">
        <v>14.9</v>
      </c>
      <c r="H816" t="n">
        <v>0</v>
      </c>
      <c r="I816" t="n">
        <v>0</v>
      </c>
      <c r="J816" t="n">
        <v>0</v>
      </c>
      <c r="K816" t="n">
        <v>0</v>
      </c>
      <c r="L816" t="n">
        <v>0</v>
      </c>
      <c r="M816" t="n">
        <v>0</v>
      </c>
      <c r="N816" t="n">
        <v>0</v>
      </c>
      <c r="O816" t="n">
        <v>0</v>
      </c>
      <c r="P816" t="n">
        <v>0</v>
      </c>
      <c r="Q816" t="n">
        <v>0</v>
      </c>
      <c r="R816" s="2" t="inlineStr"/>
    </row>
    <row r="817" ht="15" customHeight="1">
      <c r="A817" t="inlineStr">
        <is>
          <t>A 50649-2022</t>
        </is>
      </c>
      <c r="B817" s="1" t="n">
        <v>44866</v>
      </c>
      <c r="C817" s="1" t="n">
        <v>46102</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11878-2026</t>
        </is>
      </c>
      <c r="B818" s="1" t="n">
        <v>46085.50053240741</v>
      </c>
      <c r="C818" s="1" t="n">
        <v>46102</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10788-2025</t>
        </is>
      </c>
      <c r="B819" s="1" t="n">
        <v>45722.48982638889</v>
      </c>
      <c r="C819" s="1" t="n">
        <v>46102</v>
      </c>
      <c r="D819" t="inlineStr">
        <is>
          <t>JÄMTLANDS LÄN</t>
        </is>
      </c>
      <c r="E819" t="inlineStr">
        <is>
          <t>RAGUNDA</t>
        </is>
      </c>
      <c r="G819" t="n">
        <v>3.5</v>
      </c>
      <c r="H819" t="n">
        <v>0</v>
      </c>
      <c r="I819" t="n">
        <v>0</v>
      </c>
      <c r="J819" t="n">
        <v>0</v>
      </c>
      <c r="K819" t="n">
        <v>0</v>
      </c>
      <c r="L819" t="n">
        <v>0</v>
      </c>
      <c r="M819" t="n">
        <v>0</v>
      </c>
      <c r="N819" t="n">
        <v>0</v>
      </c>
      <c r="O819" t="n">
        <v>0</v>
      </c>
      <c r="P819" t="n">
        <v>0</v>
      </c>
      <c r="Q819" t="n">
        <v>0</v>
      </c>
      <c r="R819" s="2" t="inlineStr"/>
    </row>
    <row r="820" ht="15" customHeight="1">
      <c r="A820" t="inlineStr">
        <is>
          <t>A 11880-2026</t>
        </is>
      </c>
      <c r="B820" s="1" t="n">
        <v>46085.50150462963</v>
      </c>
      <c r="C820" s="1" t="n">
        <v>46102</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4237-2026</t>
        </is>
      </c>
      <c r="B821" s="1" t="n">
        <v>46044.92743055556</v>
      </c>
      <c r="C821" s="1" t="n">
        <v>46102</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4142-2026</t>
        </is>
      </c>
      <c r="B822" s="1" t="n">
        <v>46044.63607638889</v>
      </c>
      <c r="C822" s="1" t="n">
        <v>46102</v>
      </c>
      <c r="D822" t="inlineStr">
        <is>
          <t>JÄMTLANDS LÄN</t>
        </is>
      </c>
      <c r="E822" t="inlineStr">
        <is>
          <t>RAGUNDA</t>
        </is>
      </c>
      <c r="F822" t="inlineStr">
        <is>
          <t>SCA</t>
        </is>
      </c>
      <c r="G822" t="n">
        <v>19.3</v>
      </c>
      <c r="H822" t="n">
        <v>0</v>
      </c>
      <c r="I822" t="n">
        <v>0</v>
      </c>
      <c r="J822" t="n">
        <v>0</v>
      </c>
      <c r="K822" t="n">
        <v>0</v>
      </c>
      <c r="L822" t="n">
        <v>0</v>
      </c>
      <c r="M822" t="n">
        <v>0</v>
      </c>
      <c r="N822" t="n">
        <v>0</v>
      </c>
      <c r="O822" t="n">
        <v>0</v>
      </c>
      <c r="P822" t="n">
        <v>0</v>
      </c>
      <c r="Q822" t="n">
        <v>0</v>
      </c>
      <c r="R822" s="2" t="inlineStr"/>
    </row>
    <row r="823" ht="15" customHeight="1">
      <c r="A823" t="inlineStr">
        <is>
          <t>A 59759-2024</t>
        </is>
      </c>
      <c r="B823" s="1" t="n">
        <v>45639.55240740741</v>
      </c>
      <c r="C823" s="1" t="n">
        <v>46102</v>
      </c>
      <c r="D823" t="inlineStr">
        <is>
          <t>JÄMTLANDS LÄN</t>
        </is>
      </c>
      <c r="E823" t="inlineStr">
        <is>
          <t>RAGUNDA</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53765-2025</t>
        </is>
      </c>
      <c r="B824" s="1" t="n">
        <v>45960.67753472222</v>
      </c>
      <c r="C824" s="1" t="n">
        <v>46102</v>
      </c>
      <c r="D824" t="inlineStr">
        <is>
          <t>JÄMTLANDS LÄN</t>
        </is>
      </c>
      <c r="E824" t="inlineStr">
        <is>
          <t>RAGUNDA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35537-2021</t>
        </is>
      </c>
      <c r="B825" s="1" t="n">
        <v>44384</v>
      </c>
      <c r="C825" s="1" t="n">
        <v>46102</v>
      </c>
      <c r="D825" t="inlineStr">
        <is>
          <t>JÄMTLANDS LÄN</t>
        </is>
      </c>
      <c r="E825" t="inlineStr">
        <is>
          <t>RAGUNDA</t>
        </is>
      </c>
      <c r="G825" t="n">
        <v>3.1</v>
      </c>
      <c r="H825" t="n">
        <v>0</v>
      </c>
      <c r="I825" t="n">
        <v>0</v>
      </c>
      <c r="J825" t="n">
        <v>0</v>
      </c>
      <c r="K825" t="n">
        <v>0</v>
      </c>
      <c r="L825" t="n">
        <v>0</v>
      </c>
      <c r="M825" t="n">
        <v>0</v>
      </c>
      <c r="N825" t="n">
        <v>0</v>
      </c>
      <c r="O825" t="n">
        <v>0</v>
      </c>
      <c r="P825" t="n">
        <v>0</v>
      </c>
      <c r="Q825" t="n">
        <v>0</v>
      </c>
      <c r="R825" s="2" t="inlineStr"/>
    </row>
    <row r="826" ht="15" customHeight="1">
      <c r="A826" t="inlineStr">
        <is>
          <t>A 2819-2023</t>
        </is>
      </c>
      <c r="B826" s="1" t="n">
        <v>44944</v>
      </c>
      <c r="C826" s="1" t="n">
        <v>46102</v>
      </c>
      <c r="D826" t="inlineStr">
        <is>
          <t>JÄMTLANDS LÄN</t>
        </is>
      </c>
      <c r="E826" t="inlineStr">
        <is>
          <t>RAGUNDA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53951-2025</t>
        </is>
      </c>
      <c r="B827" s="1" t="n">
        <v>45961.50200231482</v>
      </c>
      <c r="C827" s="1" t="n">
        <v>46102</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53948-2025</t>
        </is>
      </c>
      <c r="B828" s="1" t="n">
        <v>45961.50033564815</v>
      </c>
      <c r="C828" s="1" t="n">
        <v>46102</v>
      </c>
      <c r="D828" t="inlineStr">
        <is>
          <t>JÄMTLANDS LÄN</t>
        </is>
      </c>
      <c r="E828" t="inlineStr">
        <is>
          <t>RAGUNDA</t>
        </is>
      </c>
      <c r="G828" t="n">
        <v>7.9</v>
      </c>
      <c r="H828" t="n">
        <v>0</v>
      </c>
      <c r="I828" t="n">
        <v>0</v>
      </c>
      <c r="J828" t="n">
        <v>0</v>
      </c>
      <c r="K828" t="n">
        <v>0</v>
      </c>
      <c r="L828" t="n">
        <v>0</v>
      </c>
      <c r="M828" t="n">
        <v>0</v>
      </c>
      <c r="N828" t="n">
        <v>0</v>
      </c>
      <c r="O828" t="n">
        <v>0</v>
      </c>
      <c r="P828" t="n">
        <v>0</v>
      </c>
      <c r="Q828" t="n">
        <v>0</v>
      </c>
      <c r="R828" s="2" t="inlineStr"/>
    </row>
    <row r="829" ht="15" customHeight="1">
      <c r="A829" t="inlineStr">
        <is>
          <t>A 54195-2025</t>
        </is>
      </c>
      <c r="B829" s="1" t="n">
        <v>45964.57413194444</v>
      </c>
      <c r="C829" s="1" t="n">
        <v>46102</v>
      </c>
      <c r="D829" t="inlineStr">
        <is>
          <t>JÄMTLANDS LÄN</t>
        </is>
      </c>
      <c r="E829" t="inlineStr">
        <is>
          <t>RAGUNDA</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44536-2022</t>
        </is>
      </c>
      <c r="B830" s="1" t="n">
        <v>44839</v>
      </c>
      <c r="C830" s="1" t="n">
        <v>46102</v>
      </c>
      <c r="D830" t="inlineStr">
        <is>
          <t>JÄMTLANDS LÄN</t>
        </is>
      </c>
      <c r="E830" t="inlineStr">
        <is>
          <t>RAGUNDA</t>
        </is>
      </c>
      <c r="G830" t="n">
        <v>4</v>
      </c>
      <c r="H830" t="n">
        <v>0</v>
      </c>
      <c r="I830" t="n">
        <v>0</v>
      </c>
      <c r="J830" t="n">
        <v>0</v>
      </c>
      <c r="K830" t="n">
        <v>0</v>
      </c>
      <c r="L830" t="n">
        <v>0</v>
      </c>
      <c r="M830" t="n">
        <v>0</v>
      </c>
      <c r="N830" t="n">
        <v>0</v>
      </c>
      <c r="O830" t="n">
        <v>0</v>
      </c>
      <c r="P830" t="n">
        <v>0</v>
      </c>
      <c r="Q830" t="n">
        <v>0</v>
      </c>
      <c r="R830" s="2" t="inlineStr"/>
    </row>
    <row r="831" ht="15" customHeight="1">
      <c r="A831" t="inlineStr">
        <is>
          <t>A 12344-2026</t>
        </is>
      </c>
      <c r="B831" s="1" t="n">
        <v>46087.67763888889</v>
      </c>
      <c r="C831" s="1" t="n">
        <v>46102</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54396-2025</t>
        </is>
      </c>
      <c r="B832" s="1" t="n">
        <v>45965.44849537037</v>
      </c>
      <c r="C832" s="1" t="n">
        <v>46102</v>
      </c>
      <c r="D832" t="inlineStr">
        <is>
          <t>JÄMTLANDS LÄN</t>
        </is>
      </c>
      <c r="E832" t="inlineStr">
        <is>
          <t>RAGUNDA</t>
        </is>
      </c>
      <c r="F832" t="inlineStr">
        <is>
          <t>SCA</t>
        </is>
      </c>
      <c r="G832" t="n">
        <v>35.2</v>
      </c>
      <c r="H832" t="n">
        <v>0</v>
      </c>
      <c r="I832" t="n">
        <v>0</v>
      </c>
      <c r="J832" t="n">
        <v>0</v>
      </c>
      <c r="K832" t="n">
        <v>0</v>
      </c>
      <c r="L832" t="n">
        <v>0</v>
      </c>
      <c r="M832" t="n">
        <v>0</v>
      </c>
      <c r="N832" t="n">
        <v>0</v>
      </c>
      <c r="O832" t="n">
        <v>0</v>
      </c>
      <c r="P832" t="n">
        <v>0</v>
      </c>
      <c r="Q832" t="n">
        <v>0</v>
      </c>
      <c r="R832" s="2" t="inlineStr"/>
    </row>
    <row r="833" ht="15" customHeight="1">
      <c r="A833" t="inlineStr">
        <is>
          <t>A 12179-2026</t>
        </is>
      </c>
      <c r="B833" s="1" t="n">
        <v>46086.69835648148</v>
      </c>
      <c r="C833" s="1" t="n">
        <v>46102</v>
      </c>
      <c r="D833" t="inlineStr">
        <is>
          <t>JÄMTLANDS LÄN</t>
        </is>
      </c>
      <c r="E833" t="inlineStr">
        <is>
          <t>RAGUNDA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12346-2026</t>
        </is>
      </c>
      <c r="B834" s="1" t="n">
        <v>46087.6778587963</v>
      </c>
      <c r="C834" s="1" t="n">
        <v>46102</v>
      </c>
      <c r="D834" t="inlineStr">
        <is>
          <t>JÄMTLANDS LÄN</t>
        </is>
      </c>
      <c r="E834" t="inlineStr">
        <is>
          <t>RAGUNDA</t>
        </is>
      </c>
      <c r="F834" t="inlineStr">
        <is>
          <t>SCA</t>
        </is>
      </c>
      <c r="G834" t="n">
        <v>38.3</v>
      </c>
      <c r="H834" t="n">
        <v>0</v>
      </c>
      <c r="I834" t="n">
        <v>0</v>
      </c>
      <c r="J834" t="n">
        <v>0</v>
      </c>
      <c r="K834" t="n">
        <v>0</v>
      </c>
      <c r="L834" t="n">
        <v>0</v>
      </c>
      <c r="M834" t="n">
        <v>0</v>
      </c>
      <c r="N834" t="n">
        <v>0</v>
      </c>
      <c r="O834" t="n">
        <v>0</v>
      </c>
      <c r="P834" t="n">
        <v>0</v>
      </c>
      <c r="Q834" t="n">
        <v>0</v>
      </c>
      <c r="R834" s="2" t="inlineStr"/>
    </row>
    <row r="835" ht="15" customHeight="1">
      <c r="A835" t="inlineStr">
        <is>
          <t>A 4046-2026</t>
        </is>
      </c>
      <c r="B835" s="1" t="n">
        <v>46044.46921296296</v>
      </c>
      <c r="C835" s="1" t="n">
        <v>46102</v>
      </c>
      <c r="D835" t="inlineStr">
        <is>
          <t>JÄMTLANDS LÄN</t>
        </is>
      </c>
      <c r="E835" t="inlineStr">
        <is>
          <t>RAGUNDA</t>
        </is>
      </c>
      <c r="G835" t="n">
        <v>5.3</v>
      </c>
      <c r="H835" t="n">
        <v>0</v>
      </c>
      <c r="I835" t="n">
        <v>0</v>
      </c>
      <c r="J835" t="n">
        <v>0</v>
      </c>
      <c r="K835" t="n">
        <v>0</v>
      </c>
      <c r="L835" t="n">
        <v>0</v>
      </c>
      <c r="M835" t="n">
        <v>0</v>
      </c>
      <c r="N835" t="n">
        <v>0</v>
      </c>
      <c r="O835" t="n">
        <v>0</v>
      </c>
      <c r="P835" t="n">
        <v>0</v>
      </c>
      <c r="Q835" t="n">
        <v>0</v>
      </c>
      <c r="R835" s="2" t="inlineStr"/>
    </row>
    <row r="836" ht="15" customHeight="1">
      <c r="A836" t="inlineStr">
        <is>
          <t>A 4073-2026</t>
        </is>
      </c>
      <c r="B836" s="1" t="n">
        <v>46044.53168981482</v>
      </c>
      <c r="C836" s="1" t="n">
        <v>46102</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30459-2021</t>
        </is>
      </c>
      <c r="B837" s="1" t="n">
        <v>44362</v>
      </c>
      <c r="C837" s="1" t="n">
        <v>46102</v>
      </c>
      <c r="D837" t="inlineStr">
        <is>
          <t>JÄMTLANDS LÄN</t>
        </is>
      </c>
      <c r="E837" t="inlineStr">
        <is>
          <t>RAGUNDA</t>
        </is>
      </c>
      <c r="G837" t="n">
        <v>1</v>
      </c>
      <c r="H837" t="n">
        <v>0</v>
      </c>
      <c r="I837" t="n">
        <v>0</v>
      </c>
      <c r="J837" t="n">
        <v>0</v>
      </c>
      <c r="K837" t="n">
        <v>0</v>
      </c>
      <c r="L837" t="n">
        <v>0</v>
      </c>
      <c r="M837" t="n">
        <v>0</v>
      </c>
      <c r="N837" t="n">
        <v>0</v>
      </c>
      <c r="O837" t="n">
        <v>0</v>
      </c>
      <c r="P837" t="n">
        <v>0</v>
      </c>
      <c r="Q837" t="n">
        <v>0</v>
      </c>
      <c r="R837" s="2" t="inlineStr"/>
    </row>
    <row r="838" ht="15" customHeight="1">
      <c r="A838" t="inlineStr">
        <is>
          <t>A 12347-2026</t>
        </is>
      </c>
      <c r="B838" s="1" t="n">
        <v>46087.67805555555</v>
      </c>
      <c r="C838" s="1" t="n">
        <v>46102</v>
      </c>
      <c r="D838" t="inlineStr">
        <is>
          <t>JÄMTLANDS LÄN</t>
        </is>
      </c>
      <c r="E838" t="inlineStr">
        <is>
          <t>RAGUNDA</t>
        </is>
      </c>
      <c r="F838" t="inlineStr">
        <is>
          <t>SCA</t>
        </is>
      </c>
      <c r="G838" t="n">
        <v>33.1</v>
      </c>
      <c r="H838" t="n">
        <v>0</v>
      </c>
      <c r="I838" t="n">
        <v>0</v>
      </c>
      <c r="J838" t="n">
        <v>0</v>
      </c>
      <c r="K838" t="n">
        <v>0</v>
      </c>
      <c r="L838" t="n">
        <v>0</v>
      </c>
      <c r="M838" t="n">
        <v>0</v>
      </c>
      <c r="N838" t="n">
        <v>0</v>
      </c>
      <c r="O838" t="n">
        <v>0</v>
      </c>
      <c r="P838" t="n">
        <v>0</v>
      </c>
      <c r="Q838" t="n">
        <v>0</v>
      </c>
      <c r="R838" s="2" t="inlineStr"/>
    </row>
    <row r="839" ht="15" customHeight="1">
      <c r="A839" t="inlineStr">
        <is>
          <t>A 4047-2026</t>
        </is>
      </c>
      <c r="B839" s="1" t="n">
        <v>46044.46944444445</v>
      </c>
      <c r="C839" s="1" t="n">
        <v>46102</v>
      </c>
      <c r="D839" t="inlineStr">
        <is>
          <t>JÄMTLANDS LÄN</t>
        </is>
      </c>
      <c r="E839" t="inlineStr">
        <is>
          <t>RAGUNDA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54794-2025</t>
        </is>
      </c>
      <c r="B840" s="1" t="n">
        <v>45966.63592592593</v>
      </c>
      <c r="C840" s="1" t="n">
        <v>46102</v>
      </c>
      <c r="D840" t="inlineStr">
        <is>
          <t>JÄMTLANDS LÄN</t>
        </is>
      </c>
      <c r="E840" t="inlineStr">
        <is>
          <t>RAGUNDA</t>
        </is>
      </c>
      <c r="G840" t="n">
        <v>4</v>
      </c>
      <c r="H840" t="n">
        <v>0</v>
      </c>
      <c r="I840" t="n">
        <v>0</v>
      </c>
      <c r="J840" t="n">
        <v>0</v>
      </c>
      <c r="K840" t="n">
        <v>0</v>
      </c>
      <c r="L840" t="n">
        <v>0</v>
      </c>
      <c r="M840" t="n">
        <v>0</v>
      </c>
      <c r="N840" t="n">
        <v>0</v>
      </c>
      <c r="O840" t="n">
        <v>0</v>
      </c>
      <c r="P840" t="n">
        <v>0</v>
      </c>
      <c r="Q840" t="n">
        <v>0</v>
      </c>
      <c r="R840" s="2" t="inlineStr"/>
    </row>
    <row r="841" ht="15" customHeight="1">
      <c r="A841" t="inlineStr">
        <is>
          <t>A 4099-2026</t>
        </is>
      </c>
      <c r="B841" s="1" t="n">
        <v>46044.57357638889</v>
      </c>
      <c r="C841" s="1" t="n">
        <v>46102</v>
      </c>
      <c r="D841" t="inlineStr">
        <is>
          <t>JÄMTLANDS LÄN</t>
        </is>
      </c>
      <c r="E841" t="inlineStr">
        <is>
          <t>RAGUNDA</t>
        </is>
      </c>
      <c r="G841" t="n">
        <v>8.4</v>
      </c>
      <c r="H841" t="n">
        <v>0</v>
      </c>
      <c r="I841" t="n">
        <v>0</v>
      </c>
      <c r="J841" t="n">
        <v>0</v>
      </c>
      <c r="K841" t="n">
        <v>0</v>
      </c>
      <c r="L841" t="n">
        <v>0</v>
      </c>
      <c r="M841" t="n">
        <v>0</v>
      </c>
      <c r="N841" t="n">
        <v>0</v>
      </c>
      <c r="O841" t="n">
        <v>0</v>
      </c>
      <c r="P841" t="n">
        <v>0</v>
      </c>
      <c r="Q841" t="n">
        <v>0</v>
      </c>
      <c r="R841" s="2" t="inlineStr"/>
    </row>
    <row r="842" ht="15" customHeight="1">
      <c r="A842" t="inlineStr">
        <is>
          <t>A 37543-2023</t>
        </is>
      </c>
      <c r="B842" s="1" t="n">
        <v>45158.94231481481</v>
      </c>
      <c r="C842" s="1" t="n">
        <v>46102</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54820-2025</t>
        </is>
      </c>
      <c r="B843" s="1" t="n">
        <v>45966.65728009259</v>
      </c>
      <c r="C843" s="1" t="n">
        <v>46102</v>
      </c>
      <c r="D843" t="inlineStr">
        <is>
          <t>JÄMTLANDS LÄN</t>
        </is>
      </c>
      <c r="E843" t="inlineStr">
        <is>
          <t>RAGUNDA</t>
        </is>
      </c>
      <c r="G843" t="n">
        <v>15.3</v>
      </c>
      <c r="H843" t="n">
        <v>0</v>
      </c>
      <c r="I843" t="n">
        <v>0</v>
      </c>
      <c r="J843" t="n">
        <v>0</v>
      </c>
      <c r="K843" t="n">
        <v>0</v>
      </c>
      <c r="L843" t="n">
        <v>0</v>
      </c>
      <c r="M843" t="n">
        <v>0</v>
      </c>
      <c r="N843" t="n">
        <v>0</v>
      </c>
      <c r="O843" t="n">
        <v>0</v>
      </c>
      <c r="P843" t="n">
        <v>0</v>
      </c>
      <c r="Q843" t="n">
        <v>0</v>
      </c>
      <c r="R843" s="2" t="inlineStr"/>
    </row>
    <row r="844" ht="15" customHeight="1">
      <c r="A844" t="inlineStr">
        <is>
          <t>A 58909-2025</t>
        </is>
      </c>
      <c r="B844" s="1" t="n">
        <v>45987</v>
      </c>
      <c r="C844" s="1" t="n">
        <v>46102</v>
      </c>
      <c r="D844" t="inlineStr">
        <is>
          <t>JÄMTLANDS LÄN</t>
        </is>
      </c>
      <c r="E844" t="inlineStr">
        <is>
          <t>RAGUNDA</t>
        </is>
      </c>
      <c r="G844" t="n">
        <v>9.5</v>
      </c>
      <c r="H844" t="n">
        <v>0</v>
      </c>
      <c r="I844" t="n">
        <v>0</v>
      </c>
      <c r="J844" t="n">
        <v>0</v>
      </c>
      <c r="K844" t="n">
        <v>0</v>
      </c>
      <c r="L844" t="n">
        <v>0</v>
      </c>
      <c r="M844" t="n">
        <v>0</v>
      </c>
      <c r="N844" t="n">
        <v>0</v>
      </c>
      <c r="O844" t="n">
        <v>0</v>
      </c>
      <c r="P844" t="n">
        <v>0</v>
      </c>
      <c r="Q844" t="n">
        <v>0</v>
      </c>
      <c r="R844" s="2" t="inlineStr"/>
    </row>
    <row r="845" ht="15" customHeight="1">
      <c r="A845" t="inlineStr">
        <is>
          <t>A 24258-2025</t>
        </is>
      </c>
      <c r="B845" s="1" t="n">
        <v>45797.40800925926</v>
      </c>
      <c r="C845" s="1" t="n">
        <v>46102</v>
      </c>
      <c r="D845" t="inlineStr">
        <is>
          <t>JÄMTLANDS LÄN</t>
        </is>
      </c>
      <c r="E845" t="inlineStr">
        <is>
          <t>RAGUNDA</t>
        </is>
      </c>
      <c r="G845" t="n">
        <v>1.2</v>
      </c>
      <c r="H845" t="n">
        <v>0</v>
      </c>
      <c r="I845" t="n">
        <v>0</v>
      </c>
      <c r="J845" t="n">
        <v>0</v>
      </c>
      <c r="K845" t="n">
        <v>0</v>
      </c>
      <c r="L845" t="n">
        <v>0</v>
      </c>
      <c r="M845" t="n">
        <v>0</v>
      </c>
      <c r="N845" t="n">
        <v>0</v>
      </c>
      <c r="O845" t="n">
        <v>0</v>
      </c>
      <c r="P845" t="n">
        <v>0</v>
      </c>
      <c r="Q845" t="n">
        <v>0</v>
      </c>
      <c r="R845" s="2" t="inlineStr"/>
    </row>
    <row r="846" ht="15" customHeight="1">
      <c r="A846" t="inlineStr">
        <is>
          <t>A 4627-2026</t>
        </is>
      </c>
      <c r="B846" s="1" t="n">
        <v>46048.3860300926</v>
      </c>
      <c r="C846" s="1" t="n">
        <v>46102</v>
      </c>
      <c r="D846" t="inlineStr">
        <is>
          <t>JÄMTLANDS LÄN</t>
        </is>
      </c>
      <c r="E846" t="inlineStr">
        <is>
          <t>RAGUNDA</t>
        </is>
      </c>
      <c r="G846" t="n">
        <v>0.5</v>
      </c>
      <c r="H846" t="n">
        <v>0</v>
      </c>
      <c r="I846" t="n">
        <v>0</v>
      </c>
      <c r="J846" t="n">
        <v>0</v>
      </c>
      <c r="K846" t="n">
        <v>0</v>
      </c>
      <c r="L846" t="n">
        <v>0</v>
      </c>
      <c r="M846" t="n">
        <v>0</v>
      </c>
      <c r="N846" t="n">
        <v>0</v>
      </c>
      <c r="O846" t="n">
        <v>0</v>
      </c>
      <c r="P846" t="n">
        <v>0</v>
      </c>
      <c r="Q846" t="n">
        <v>0</v>
      </c>
      <c r="R846" s="2" t="inlineStr"/>
    </row>
    <row r="847" ht="15" customHeight="1">
      <c r="A847" t="inlineStr">
        <is>
          <t>A 4628-2026</t>
        </is>
      </c>
      <c r="B847" s="1" t="n">
        <v>46048.3862037037</v>
      </c>
      <c r="C847" s="1" t="n">
        <v>46102</v>
      </c>
      <c r="D847" t="inlineStr">
        <is>
          <t>JÄMTLANDS LÄN</t>
        </is>
      </c>
      <c r="E847" t="inlineStr">
        <is>
          <t>RAGUNDA</t>
        </is>
      </c>
      <c r="G847" t="n">
        <v>0.3</v>
      </c>
      <c r="H847" t="n">
        <v>0</v>
      </c>
      <c r="I847" t="n">
        <v>0</v>
      </c>
      <c r="J847" t="n">
        <v>0</v>
      </c>
      <c r="K847" t="n">
        <v>0</v>
      </c>
      <c r="L847" t="n">
        <v>0</v>
      </c>
      <c r="M847" t="n">
        <v>0</v>
      </c>
      <c r="N847" t="n">
        <v>0</v>
      </c>
      <c r="O847" t="n">
        <v>0</v>
      </c>
      <c r="P847" t="n">
        <v>0</v>
      </c>
      <c r="Q847" t="n">
        <v>0</v>
      </c>
      <c r="R847" s="2" t="inlineStr"/>
    </row>
    <row r="848" ht="15" customHeight="1">
      <c r="A848" t="inlineStr">
        <is>
          <t>A 7668-2025</t>
        </is>
      </c>
      <c r="B848" s="1" t="n">
        <v>45706.34450231482</v>
      </c>
      <c r="C848" s="1" t="n">
        <v>46102</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36046-2023</t>
        </is>
      </c>
      <c r="B849" s="1" t="n">
        <v>45148</v>
      </c>
      <c r="C849" s="1" t="n">
        <v>46102</v>
      </c>
      <c r="D849" t="inlineStr">
        <is>
          <t>JÄMTLANDS LÄN</t>
        </is>
      </c>
      <c r="E849" t="inlineStr">
        <is>
          <t>RAGUNDA</t>
        </is>
      </c>
      <c r="G849" t="n">
        <v>1.9</v>
      </c>
      <c r="H849" t="n">
        <v>0</v>
      </c>
      <c r="I849" t="n">
        <v>0</v>
      </c>
      <c r="J849" t="n">
        <v>0</v>
      </c>
      <c r="K849" t="n">
        <v>0</v>
      </c>
      <c r="L849" t="n">
        <v>0</v>
      </c>
      <c r="M849" t="n">
        <v>0</v>
      </c>
      <c r="N849" t="n">
        <v>0</v>
      </c>
      <c r="O849" t="n">
        <v>0</v>
      </c>
      <c r="P849" t="n">
        <v>0</v>
      </c>
      <c r="Q849" t="n">
        <v>0</v>
      </c>
      <c r="R849" s="2" t="inlineStr"/>
    </row>
    <row r="850" ht="15" customHeight="1">
      <c r="A850" t="inlineStr">
        <is>
          <t>A 4616-2026</t>
        </is>
      </c>
      <c r="B850" s="1" t="n">
        <v>46048.37070601852</v>
      </c>
      <c r="C850" s="1" t="n">
        <v>46102</v>
      </c>
      <c r="D850" t="inlineStr">
        <is>
          <t>JÄMTLANDS LÄN</t>
        </is>
      </c>
      <c r="E850" t="inlineStr">
        <is>
          <t>RAGUNDA</t>
        </is>
      </c>
      <c r="G850" t="n">
        <v>2.4</v>
      </c>
      <c r="H850" t="n">
        <v>0</v>
      </c>
      <c r="I850" t="n">
        <v>0</v>
      </c>
      <c r="J850" t="n">
        <v>0</v>
      </c>
      <c r="K850" t="n">
        <v>0</v>
      </c>
      <c r="L850" t="n">
        <v>0</v>
      </c>
      <c r="M850" t="n">
        <v>0</v>
      </c>
      <c r="N850" t="n">
        <v>0</v>
      </c>
      <c r="O850" t="n">
        <v>0</v>
      </c>
      <c r="P850" t="n">
        <v>0</v>
      </c>
      <c r="Q850" t="n">
        <v>0</v>
      </c>
      <c r="R850" s="2" t="inlineStr"/>
    </row>
    <row r="851" ht="15" customHeight="1">
      <c r="A851" t="inlineStr">
        <is>
          <t>A 4629-2026</t>
        </is>
      </c>
      <c r="B851" s="1" t="n">
        <v>46048.38622685185</v>
      </c>
      <c r="C851" s="1" t="n">
        <v>46102</v>
      </c>
      <c r="D851" t="inlineStr">
        <is>
          <t>JÄMTLANDS LÄN</t>
        </is>
      </c>
      <c r="E851" t="inlineStr">
        <is>
          <t>RAGUNDA</t>
        </is>
      </c>
      <c r="G851" t="n">
        <v>1</v>
      </c>
      <c r="H851" t="n">
        <v>0</v>
      </c>
      <c r="I851" t="n">
        <v>0</v>
      </c>
      <c r="J851" t="n">
        <v>0</v>
      </c>
      <c r="K851" t="n">
        <v>0</v>
      </c>
      <c r="L851" t="n">
        <v>0</v>
      </c>
      <c r="M851" t="n">
        <v>0</v>
      </c>
      <c r="N851" t="n">
        <v>0</v>
      </c>
      <c r="O851" t="n">
        <v>0</v>
      </c>
      <c r="P851" t="n">
        <v>0</v>
      </c>
      <c r="Q851" t="n">
        <v>0</v>
      </c>
      <c r="R851" s="2" t="inlineStr"/>
    </row>
    <row r="852" ht="15" customHeight="1">
      <c r="A852" t="inlineStr">
        <is>
          <t>A 25994-2025</t>
        </is>
      </c>
      <c r="B852" s="1" t="n">
        <v>45804.65672453704</v>
      </c>
      <c r="C852" s="1" t="n">
        <v>46102</v>
      </c>
      <c r="D852" t="inlineStr">
        <is>
          <t>JÄMTLANDS LÄN</t>
        </is>
      </c>
      <c r="E852" t="inlineStr">
        <is>
          <t>RAGUNDA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5073-2026</t>
        </is>
      </c>
      <c r="B853" s="1" t="n">
        <v>46049.51126157407</v>
      </c>
      <c r="C853" s="1" t="n">
        <v>46102</v>
      </c>
      <c r="D853" t="inlineStr">
        <is>
          <t>JÄMTLANDS LÄN</t>
        </is>
      </c>
      <c r="E853" t="inlineStr">
        <is>
          <t>RAGUNDA</t>
        </is>
      </c>
      <c r="G853" t="n">
        <v>5.9</v>
      </c>
      <c r="H853" t="n">
        <v>0</v>
      </c>
      <c r="I853" t="n">
        <v>0</v>
      </c>
      <c r="J853" t="n">
        <v>0</v>
      </c>
      <c r="K853" t="n">
        <v>0</v>
      </c>
      <c r="L853" t="n">
        <v>0</v>
      </c>
      <c r="M853" t="n">
        <v>0</v>
      </c>
      <c r="N853" t="n">
        <v>0</v>
      </c>
      <c r="O853" t="n">
        <v>0</v>
      </c>
      <c r="P853" t="n">
        <v>0</v>
      </c>
      <c r="Q853" t="n">
        <v>0</v>
      </c>
      <c r="R853" s="2" t="inlineStr"/>
    </row>
    <row r="854" ht="15" customHeight="1">
      <c r="A854" t="inlineStr">
        <is>
          <t>A 5009-2026</t>
        </is>
      </c>
      <c r="B854" s="1" t="n">
        <v>46049.42839120371</v>
      </c>
      <c r="C854" s="1" t="n">
        <v>46102</v>
      </c>
      <c r="D854" t="inlineStr">
        <is>
          <t>JÄMTLANDS LÄN</t>
        </is>
      </c>
      <c r="E854" t="inlineStr">
        <is>
          <t>RAGUNDA</t>
        </is>
      </c>
      <c r="F854" t="inlineStr">
        <is>
          <t>SCA</t>
        </is>
      </c>
      <c r="G854" t="n">
        <v>37.4</v>
      </c>
      <c r="H854" t="n">
        <v>0</v>
      </c>
      <c r="I854" t="n">
        <v>0</v>
      </c>
      <c r="J854" t="n">
        <v>0</v>
      </c>
      <c r="K854" t="n">
        <v>0</v>
      </c>
      <c r="L854" t="n">
        <v>0</v>
      </c>
      <c r="M854" t="n">
        <v>0</v>
      </c>
      <c r="N854" t="n">
        <v>0</v>
      </c>
      <c r="O854" t="n">
        <v>0</v>
      </c>
      <c r="P854" t="n">
        <v>0</v>
      </c>
      <c r="Q854" t="n">
        <v>0</v>
      </c>
      <c r="R854" s="2" t="inlineStr"/>
    </row>
    <row r="855" ht="15" customHeight="1">
      <c r="A855" t="inlineStr">
        <is>
          <t>A 8654-2024</t>
        </is>
      </c>
      <c r="B855" s="1" t="n">
        <v>45356.03784722222</v>
      </c>
      <c r="C855" s="1" t="n">
        <v>46102</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6902-2024</t>
        </is>
      </c>
      <c r="B856" s="1" t="n">
        <v>45342</v>
      </c>
      <c r="C856" s="1" t="n">
        <v>46102</v>
      </c>
      <c r="D856" t="inlineStr">
        <is>
          <t>JÄMTLANDS LÄN</t>
        </is>
      </c>
      <c r="E856" t="inlineStr">
        <is>
          <t>RAGUNDA</t>
        </is>
      </c>
      <c r="F856" t="inlineStr">
        <is>
          <t>SCA</t>
        </is>
      </c>
      <c r="G856" t="n">
        <v>18.7</v>
      </c>
      <c r="H856" t="n">
        <v>0</v>
      </c>
      <c r="I856" t="n">
        <v>0</v>
      </c>
      <c r="J856" t="n">
        <v>0</v>
      </c>
      <c r="K856" t="n">
        <v>0</v>
      </c>
      <c r="L856" t="n">
        <v>0</v>
      </c>
      <c r="M856" t="n">
        <v>0</v>
      </c>
      <c r="N856" t="n">
        <v>0</v>
      </c>
      <c r="O856" t="n">
        <v>0</v>
      </c>
      <c r="P856" t="n">
        <v>0</v>
      </c>
      <c r="Q856" t="n">
        <v>0</v>
      </c>
      <c r="R856" s="2" t="inlineStr"/>
    </row>
    <row r="857" ht="15" customHeight="1">
      <c r="A857" t="inlineStr">
        <is>
          <t>A 6905-2024</t>
        </is>
      </c>
      <c r="B857" s="1" t="n">
        <v>45342.9462037037</v>
      </c>
      <c r="C857" s="1" t="n">
        <v>46102</v>
      </c>
      <c r="D857" t="inlineStr">
        <is>
          <t>JÄMTLANDS LÄN</t>
        </is>
      </c>
      <c r="E857" t="inlineStr">
        <is>
          <t>RAGUNDA</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22731-2023</t>
        </is>
      </c>
      <c r="B858" s="1" t="n">
        <v>45071</v>
      </c>
      <c r="C858" s="1" t="n">
        <v>46102</v>
      </c>
      <c r="D858" t="inlineStr">
        <is>
          <t>JÄMTLANDS LÄN</t>
        </is>
      </c>
      <c r="E858" t="inlineStr">
        <is>
          <t>RAGUNDA</t>
        </is>
      </c>
      <c r="G858" t="n">
        <v>1.5</v>
      </c>
      <c r="H858" t="n">
        <v>0</v>
      </c>
      <c r="I858" t="n">
        <v>0</v>
      </c>
      <c r="J858" t="n">
        <v>0</v>
      </c>
      <c r="K858" t="n">
        <v>0</v>
      </c>
      <c r="L858" t="n">
        <v>0</v>
      </c>
      <c r="M858" t="n">
        <v>0</v>
      </c>
      <c r="N858" t="n">
        <v>0</v>
      </c>
      <c r="O858" t="n">
        <v>0</v>
      </c>
      <c r="P858" t="n">
        <v>0</v>
      </c>
      <c r="Q858" t="n">
        <v>0</v>
      </c>
      <c r="R858" s="2" t="inlineStr"/>
    </row>
    <row r="859" ht="15" customHeight="1">
      <c r="A859" t="inlineStr">
        <is>
          <t>A 12499-2026</t>
        </is>
      </c>
      <c r="B859" s="1" t="n">
        <v>46090.57364583333</v>
      </c>
      <c r="C859" s="1" t="n">
        <v>46102</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4839-2026</t>
        </is>
      </c>
      <c r="B860" s="1" t="n">
        <v>46048.61520833334</v>
      </c>
      <c r="C860" s="1" t="n">
        <v>46102</v>
      </c>
      <c r="D860" t="inlineStr">
        <is>
          <t>JÄMTLANDS LÄN</t>
        </is>
      </c>
      <c r="E860" t="inlineStr">
        <is>
          <t>RAGUNDA</t>
        </is>
      </c>
      <c r="F860" t="inlineStr">
        <is>
          <t>SCA</t>
        </is>
      </c>
      <c r="G860" t="n">
        <v>51</v>
      </c>
      <c r="H860" t="n">
        <v>0</v>
      </c>
      <c r="I860" t="n">
        <v>0</v>
      </c>
      <c r="J860" t="n">
        <v>0</v>
      </c>
      <c r="K860" t="n">
        <v>0</v>
      </c>
      <c r="L860" t="n">
        <v>0</v>
      </c>
      <c r="M860" t="n">
        <v>0</v>
      </c>
      <c r="N860" t="n">
        <v>0</v>
      </c>
      <c r="O860" t="n">
        <v>0</v>
      </c>
      <c r="P860" t="n">
        <v>0</v>
      </c>
      <c r="Q860" t="n">
        <v>0</v>
      </c>
      <c r="R860" s="2" t="inlineStr"/>
    </row>
    <row r="861" ht="15" customHeight="1">
      <c r="A861" t="inlineStr">
        <is>
          <t>A 11245-2025</t>
        </is>
      </c>
      <c r="B861" s="1" t="n">
        <v>45726.38575231482</v>
      </c>
      <c r="C861" s="1" t="n">
        <v>46102</v>
      </c>
      <c r="D861" t="inlineStr">
        <is>
          <t>JÄMTLANDS LÄN</t>
        </is>
      </c>
      <c r="E861" t="inlineStr">
        <is>
          <t>RAGUNDA</t>
        </is>
      </c>
      <c r="G861" t="n">
        <v>2.3</v>
      </c>
      <c r="H861" t="n">
        <v>0</v>
      </c>
      <c r="I861" t="n">
        <v>0</v>
      </c>
      <c r="J861" t="n">
        <v>0</v>
      </c>
      <c r="K861" t="n">
        <v>0</v>
      </c>
      <c r="L861" t="n">
        <v>0</v>
      </c>
      <c r="M861" t="n">
        <v>0</v>
      </c>
      <c r="N861" t="n">
        <v>0</v>
      </c>
      <c r="O861" t="n">
        <v>0</v>
      </c>
      <c r="P861" t="n">
        <v>0</v>
      </c>
      <c r="Q861" t="n">
        <v>0</v>
      </c>
      <c r="R861" s="2" t="inlineStr"/>
    </row>
    <row r="862" ht="15" customHeight="1">
      <c r="A862" t="inlineStr">
        <is>
          <t>A 4841-2026</t>
        </is>
      </c>
      <c r="B862" s="1" t="n">
        <v>46048.61550925926</v>
      </c>
      <c r="C862" s="1" t="n">
        <v>46102</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61923-2024</t>
        </is>
      </c>
      <c r="B863" s="1" t="n">
        <v>45653.44836805556</v>
      </c>
      <c r="C863" s="1" t="n">
        <v>46102</v>
      </c>
      <c r="D863" t="inlineStr">
        <is>
          <t>JÄMTLANDS LÄN</t>
        </is>
      </c>
      <c r="E863" t="inlineStr">
        <is>
          <t>RAGUNDA</t>
        </is>
      </c>
      <c r="F863" t="inlineStr">
        <is>
          <t>SCA</t>
        </is>
      </c>
      <c r="G863" t="n">
        <v>11.1</v>
      </c>
      <c r="H863" t="n">
        <v>0</v>
      </c>
      <c r="I863" t="n">
        <v>0</v>
      </c>
      <c r="J863" t="n">
        <v>0</v>
      </c>
      <c r="K863" t="n">
        <v>0</v>
      </c>
      <c r="L863" t="n">
        <v>0</v>
      </c>
      <c r="M863" t="n">
        <v>0</v>
      </c>
      <c r="N863" t="n">
        <v>0</v>
      </c>
      <c r="O863" t="n">
        <v>0</v>
      </c>
      <c r="P863" t="n">
        <v>0</v>
      </c>
      <c r="Q863" t="n">
        <v>0</v>
      </c>
      <c r="R863" s="2" t="inlineStr"/>
    </row>
    <row r="864" ht="15" customHeight="1">
      <c r="A864" t="inlineStr">
        <is>
          <t>A 23567-2024</t>
        </is>
      </c>
      <c r="B864" s="1" t="n">
        <v>45453.95538194444</v>
      </c>
      <c r="C864" s="1" t="n">
        <v>46102</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19246-2023</t>
        </is>
      </c>
      <c r="B865" s="1" t="n">
        <v>45048.94340277778</v>
      </c>
      <c r="C865" s="1" t="n">
        <v>46102</v>
      </c>
      <c r="D865" t="inlineStr">
        <is>
          <t>JÄMTLANDS LÄN</t>
        </is>
      </c>
      <c r="E865" t="inlineStr">
        <is>
          <t>RAGUNDA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61109-2024</t>
        </is>
      </c>
      <c r="B866" s="1" t="n">
        <v>45645.55672453704</v>
      </c>
      <c r="C866" s="1" t="n">
        <v>46102</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58955-2024</t>
        </is>
      </c>
      <c r="B867" s="1" t="n">
        <v>45636.57329861111</v>
      </c>
      <c r="C867" s="1" t="n">
        <v>46102</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33877-2023</t>
        </is>
      </c>
      <c r="B868" s="1" t="n">
        <v>45133</v>
      </c>
      <c r="C868" s="1" t="n">
        <v>46102</v>
      </c>
      <c r="D868" t="inlineStr">
        <is>
          <t>JÄMTLANDS LÄN</t>
        </is>
      </c>
      <c r="E868" t="inlineStr">
        <is>
          <t>RAGUNDA</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12960-2026</t>
        </is>
      </c>
      <c r="B869" s="1" t="n">
        <v>46092.64105324074</v>
      </c>
      <c r="C869" s="1" t="n">
        <v>46102</v>
      </c>
      <c r="D869" t="inlineStr">
        <is>
          <t>JÄMTLANDS LÄN</t>
        </is>
      </c>
      <c r="E869" t="inlineStr">
        <is>
          <t>RAGUNDA</t>
        </is>
      </c>
      <c r="G869" t="n">
        <v>3.8</v>
      </c>
      <c r="H869" t="n">
        <v>0</v>
      </c>
      <c r="I869" t="n">
        <v>0</v>
      </c>
      <c r="J869" t="n">
        <v>0</v>
      </c>
      <c r="K869" t="n">
        <v>0</v>
      </c>
      <c r="L869" t="n">
        <v>0</v>
      </c>
      <c r="M869" t="n">
        <v>0</v>
      </c>
      <c r="N869" t="n">
        <v>0</v>
      </c>
      <c r="O869" t="n">
        <v>0</v>
      </c>
      <c r="P869" t="n">
        <v>0</v>
      </c>
      <c r="Q869" t="n">
        <v>0</v>
      </c>
      <c r="R869" s="2" t="inlineStr"/>
    </row>
    <row r="870" ht="15" customHeight="1">
      <c r="A870" t="inlineStr">
        <is>
          <t>A 62541-2022</t>
        </is>
      </c>
      <c r="B870" s="1" t="n">
        <v>44917</v>
      </c>
      <c r="C870" s="1" t="n">
        <v>46102</v>
      </c>
      <c r="D870" t="inlineStr">
        <is>
          <t>JÄMTLANDS LÄN</t>
        </is>
      </c>
      <c r="E870" t="inlineStr">
        <is>
          <t>RAGUNDA</t>
        </is>
      </c>
      <c r="G870" t="n">
        <v>2.6</v>
      </c>
      <c r="H870" t="n">
        <v>0</v>
      </c>
      <c r="I870" t="n">
        <v>0</v>
      </c>
      <c r="J870" t="n">
        <v>0</v>
      </c>
      <c r="K870" t="n">
        <v>0</v>
      </c>
      <c r="L870" t="n">
        <v>0</v>
      </c>
      <c r="M870" t="n">
        <v>0</v>
      </c>
      <c r="N870" t="n">
        <v>0</v>
      </c>
      <c r="O870" t="n">
        <v>0</v>
      </c>
      <c r="P870" t="n">
        <v>0</v>
      </c>
      <c r="Q870" t="n">
        <v>0</v>
      </c>
      <c r="R870" s="2" t="inlineStr"/>
    </row>
    <row r="871" ht="15" customHeight="1">
      <c r="A871" t="inlineStr">
        <is>
          <t>A 9567-2025</t>
        </is>
      </c>
      <c r="B871" s="1" t="n">
        <v>45715.61523148148</v>
      </c>
      <c r="C871" s="1" t="n">
        <v>46102</v>
      </c>
      <c r="D871" t="inlineStr">
        <is>
          <t>JÄMTLANDS LÄN</t>
        </is>
      </c>
      <c r="E871" t="inlineStr">
        <is>
          <t>RAGUNDA</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5359-2026</t>
        </is>
      </c>
      <c r="B872" s="1" t="n">
        <v>46050.4484837963</v>
      </c>
      <c r="C872" s="1" t="n">
        <v>46102</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21661-2023</t>
        </is>
      </c>
      <c r="B873" s="1" t="n">
        <v>45063</v>
      </c>
      <c r="C873" s="1" t="n">
        <v>46102</v>
      </c>
      <c r="D873" t="inlineStr">
        <is>
          <t>JÄMTLANDS LÄN</t>
        </is>
      </c>
      <c r="E873" t="inlineStr">
        <is>
          <t>RAGUNDA</t>
        </is>
      </c>
      <c r="G873" t="n">
        <v>1.5</v>
      </c>
      <c r="H873" t="n">
        <v>0</v>
      </c>
      <c r="I873" t="n">
        <v>0</v>
      </c>
      <c r="J873" t="n">
        <v>0</v>
      </c>
      <c r="K873" t="n">
        <v>0</v>
      </c>
      <c r="L873" t="n">
        <v>0</v>
      </c>
      <c r="M873" t="n">
        <v>0</v>
      </c>
      <c r="N873" t="n">
        <v>0</v>
      </c>
      <c r="O873" t="n">
        <v>0</v>
      </c>
      <c r="P873" t="n">
        <v>0</v>
      </c>
      <c r="Q873" t="n">
        <v>0</v>
      </c>
      <c r="R873" s="2" t="inlineStr"/>
    </row>
    <row r="874" ht="15" customHeight="1">
      <c r="A874" t="inlineStr">
        <is>
          <t>A 26172-2025</t>
        </is>
      </c>
      <c r="B874" s="1" t="n">
        <v>45805.46613425926</v>
      </c>
      <c r="C874" s="1" t="n">
        <v>46102</v>
      </c>
      <c r="D874" t="inlineStr">
        <is>
          <t>JÄMTLANDS LÄN</t>
        </is>
      </c>
      <c r="E874" t="inlineStr">
        <is>
          <t>RAGUNDA</t>
        </is>
      </c>
      <c r="G874" t="n">
        <v>2.1</v>
      </c>
      <c r="H874" t="n">
        <v>0</v>
      </c>
      <c r="I874" t="n">
        <v>0</v>
      </c>
      <c r="J874" t="n">
        <v>0</v>
      </c>
      <c r="K874" t="n">
        <v>0</v>
      </c>
      <c r="L874" t="n">
        <v>0</v>
      </c>
      <c r="M874" t="n">
        <v>0</v>
      </c>
      <c r="N874" t="n">
        <v>0</v>
      </c>
      <c r="O874" t="n">
        <v>0</v>
      </c>
      <c r="P874" t="n">
        <v>0</v>
      </c>
      <c r="Q874" t="n">
        <v>0</v>
      </c>
      <c r="R874" s="2" t="inlineStr"/>
    </row>
    <row r="875" ht="15" customHeight="1">
      <c r="A875" t="inlineStr">
        <is>
          <t>A 12794-2026</t>
        </is>
      </c>
      <c r="B875" s="1" t="n">
        <v>46092.34559027778</v>
      </c>
      <c r="C875" s="1" t="n">
        <v>46102</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12985-2026</t>
        </is>
      </c>
      <c r="B876" s="1" t="n">
        <v>46092.66290509259</v>
      </c>
      <c r="C876" s="1" t="n">
        <v>46102</v>
      </c>
      <c r="D876" t="inlineStr">
        <is>
          <t>JÄMTLANDS LÄN</t>
        </is>
      </c>
      <c r="E876" t="inlineStr">
        <is>
          <t>RAGUNDA</t>
        </is>
      </c>
      <c r="G876" t="n">
        <v>5.9</v>
      </c>
      <c r="H876" t="n">
        <v>0</v>
      </c>
      <c r="I876" t="n">
        <v>0</v>
      </c>
      <c r="J876" t="n">
        <v>0</v>
      </c>
      <c r="K876" t="n">
        <v>0</v>
      </c>
      <c r="L876" t="n">
        <v>0</v>
      </c>
      <c r="M876" t="n">
        <v>0</v>
      </c>
      <c r="N876" t="n">
        <v>0</v>
      </c>
      <c r="O876" t="n">
        <v>0</v>
      </c>
      <c r="P876" t="n">
        <v>0</v>
      </c>
      <c r="Q876" t="n">
        <v>0</v>
      </c>
      <c r="R876" s="2" t="inlineStr"/>
    </row>
    <row r="877" ht="15" customHeight="1">
      <c r="A877" t="inlineStr">
        <is>
          <t>A 26246-2025</t>
        </is>
      </c>
      <c r="B877" s="1" t="n">
        <v>45805.57390046296</v>
      </c>
      <c r="C877" s="1" t="n">
        <v>46102</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13326-2026</t>
        </is>
      </c>
      <c r="B878" s="1" t="n">
        <v>46094.35868055555</v>
      </c>
      <c r="C878" s="1" t="n">
        <v>46102</v>
      </c>
      <c r="D878" t="inlineStr">
        <is>
          <t>JÄMTLANDS LÄN</t>
        </is>
      </c>
      <c r="E878" t="inlineStr">
        <is>
          <t>RAGUNDA</t>
        </is>
      </c>
      <c r="G878" t="n">
        <v>3.7</v>
      </c>
      <c r="H878" t="n">
        <v>0</v>
      </c>
      <c r="I878" t="n">
        <v>0</v>
      </c>
      <c r="J878" t="n">
        <v>0</v>
      </c>
      <c r="K878" t="n">
        <v>0</v>
      </c>
      <c r="L878" t="n">
        <v>0</v>
      </c>
      <c r="M878" t="n">
        <v>0</v>
      </c>
      <c r="N878" t="n">
        <v>0</v>
      </c>
      <c r="O878" t="n">
        <v>0</v>
      </c>
      <c r="P878" t="n">
        <v>0</v>
      </c>
      <c r="Q878" t="n">
        <v>0</v>
      </c>
      <c r="R878" s="2" t="inlineStr"/>
    </row>
    <row r="879" ht="15" customHeight="1">
      <c r="A879" t="inlineStr">
        <is>
          <t>A 69153-2021</t>
        </is>
      </c>
      <c r="B879" s="1" t="n">
        <v>44530.94694444445</v>
      </c>
      <c r="C879" s="1" t="n">
        <v>46102</v>
      </c>
      <c r="D879" t="inlineStr">
        <is>
          <t>JÄMTLANDS LÄN</t>
        </is>
      </c>
      <c r="E879" t="inlineStr">
        <is>
          <t>RAGUNDA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12585-2024</t>
        </is>
      </c>
      <c r="B880" s="1" t="n">
        <v>45379.93637731481</v>
      </c>
      <c r="C880" s="1" t="n">
        <v>46102</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55489-2024</t>
        </is>
      </c>
      <c r="B881" s="1" t="n">
        <v>45622.44774305556</v>
      </c>
      <c r="C881" s="1" t="n">
        <v>46102</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18631-2024</t>
        </is>
      </c>
      <c r="B882" s="1" t="n">
        <v>45425.96494212963</v>
      </c>
      <c r="C882" s="1" t="n">
        <v>46102</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6174-2026</t>
        </is>
      </c>
      <c r="B883" s="1" t="n">
        <v>46055.34457175926</v>
      </c>
      <c r="C883" s="1" t="n">
        <v>46102</v>
      </c>
      <c r="D883" t="inlineStr">
        <is>
          <t>JÄMTLANDS LÄN</t>
        </is>
      </c>
      <c r="E883" t="inlineStr">
        <is>
          <t>RAGUNDA</t>
        </is>
      </c>
      <c r="F883" t="inlineStr">
        <is>
          <t>SCA</t>
        </is>
      </c>
      <c r="G883" t="n">
        <v>24.3</v>
      </c>
      <c r="H883" t="n">
        <v>0</v>
      </c>
      <c r="I883" t="n">
        <v>0</v>
      </c>
      <c r="J883" t="n">
        <v>0</v>
      </c>
      <c r="K883" t="n">
        <v>0</v>
      </c>
      <c r="L883" t="n">
        <v>0</v>
      </c>
      <c r="M883" t="n">
        <v>0</v>
      </c>
      <c r="N883" t="n">
        <v>0</v>
      </c>
      <c r="O883" t="n">
        <v>0</v>
      </c>
      <c r="P883" t="n">
        <v>0</v>
      </c>
      <c r="Q883" t="n">
        <v>0</v>
      </c>
      <c r="R883" s="2" t="inlineStr"/>
    </row>
    <row r="884" ht="15" customHeight="1">
      <c r="A884" t="inlineStr">
        <is>
          <t>A 26646-2023</t>
        </is>
      </c>
      <c r="B884" s="1" t="n">
        <v>45092</v>
      </c>
      <c r="C884" s="1" t="n">
        <v>46102</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13752-2026</t>
        </is>
      </c>
      <c r="B885" s="1" t="n">
        <v>46097.63755787037</v>
      </c>
      <c r="C885" s="1" t="n">
        <v>46102</v>
      </c>
      <c r="D885" t="inlineStr">
        <is>
          <t>JÄMTLANDS LÄN</t>
        </is>
      </c>
      <c r="E885" t="inlineStr">
        <is>
          <t>RAGUNDA</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43405-2023</t>
        </is>
      </c>
      <c r="B886" s="1" t="n">
        <v>45183.95563657407</v>
      </c>
      <c r="C886" s="1" t="n">
        <v>46102</v>
      </c>
      <c r="D886" t="inlineStr">
        <is>
          <t>JÄMTLANDS LÄN</t>
        </is>
      </c>
      <c r="E886" t="inlineStr">
        <is>
          <t>RAGUNDA</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59496-2024</t>
        </is>
      </c>
      <c r="B887" s="1" t="n">
        <v>45638</v>
      </c>
      <c r="C887" s="1" t="n">
        <v>46102</v>
      </c>
      <c r="D887" t="inlineStr">
        <is>
          <t>JÄMTLANDS LÄN</t>
        </is>
      </c>
      <c r="E887" t="inlineStr">
        <is>
          <t>RAGUNDA</t>
        </is>
      </c>
      <c r="G887" t="n">
        <v>13.1</v>
      </c>
      <c r="H887" t="n">
        <v>0</v>
      </c>
      <c r="I887" t="n">
        <v>0</v>
      </c>
      <c r="J887" t="n">
        <v>0</v>
      </c>
      <c r="K887" t="n">
        <v>0</v>
      </c>
      <c r="L887" t="n">
        <v>0</v>
      </c>
      <c r="M887" t="n">
        <v>0</v>
      </c>
      <c r="N887" t="n">
        <v>0</v>
      </c>
      <c r="O887" t="n">
        <v>0</v>
      </c>
      <c r="P887" t="n">
        <v>0</v>
      </c>
      <c r="Q887" t="n">
        <v>0</v>
      </c>
      <c r="R887" s="2" t="inlineStr"/>
    </row>
    <row r="888" ht="15" customHeight="1">
      <c r="A888" t="inlineStr">
        <is>
          <t>A 62106-2023</t>
        </is>
      </c>
      <c r="B888" s="1" t="n">
        <v>45266.95082175926</v>
      </c>
      <c r="C888" s="1" t="n">
        <v>46102</v>
      </c>
      <c r="D888" t="inlineStr">
        <is>
          <t>JÄMTLANDS LÄN</t>
        </is>
      </c>
      <c r="E888" t="inlineStr">
        <is>
          <t>RAGUNDA</t>
        </is>
      </c>
      <c r="F888" t="inlineStr">
        <is>
          <t>SCA</t>
        </is>
      </c>
      <c r="G888" t="n">
        <v>6.6</v>
      </c>
      <c r="H888" t="n">
        <v>0</v>
      </c>
      <c r="I888" t="n">
        <v>0</v>
      </c>
      <c r="J888" t="n">
        <v>0</v>
      </c>
      <c r="K888" t="n">
        <v>0</v>
      </c>
      <c r="L888" t="n">
        <v>0</v>
      </c>
      <c r="M888" t="n">
        <v>0</v>
      </c>
      <c r="N888" t="n">
        <v>0</v>
      </c>
      <c r="O888" t="n">
        <v>0</v>
      </c>
      <c r="P888" t="n">
        <v>0</v>
      </c>
      <c r="Q888" t="n">
        <v>0</v>
      </c>
      <c r="R888" s="2" t="inlineStr"/>
    </row>
    <row r="889" ht="15" customHeight="1">
      <c r="A889" t="inlineStr">
        <is>
          <t>A 18781-2024</t>
        </is>
      </c>
      <c r="B889" s="1" t="n">
        <v>45426</v>
      </c>
      <c r="C889" s="1" t="n">
        <v>46102</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73278-2021</t>
        </is>
      </c>
      <c r="B890" s="1" t="n">
        <v>44550.92168981482</v>
      </c>
      <c r="C890" s="1" t="n">
        <v>46102</v>
      </c>
      <c r="D890" t="inlineStr">
        <is>
          <t>JÄMTLANDS LÄN</t>
        </is>
      </c>
      <c r="E890" t="inlineStr">
        <is>
          <t>RAGUNDA</t>
        </is>
      </c>
      <c r="G890" t="n">
        <v>4.4</v>
      </c>
      <c r="H890" t="n">
        <v>0</v>
      </c>
      <c r="I890" t="n">
        <v>0</v>
      </c>
      <c r="J890" t="n">
        <v>0</v>
      </c>
      <c r="K890" t="n">
        <v>0</v>
      </c>
      <c r="L890" t="n">
        <v>0</v>
      </c>
      <c r="M890" t="n">
        <v>0</v>
      </c>
      <c r="N890" t="n">
        <v>0</v>
      </c>
      <c r="O890" t="n">
        <v>0</v>
      </c>
      <c r="P890" t="n">
        <v>0</v>
      </c>
      <c r="Q890" t="n">
        <v>0</v>
      </c>
      <c r="R890" s="2" t="inlineStr"/>
    </row>
    <row r="891" ht="15" customHeight="1">
      <c r="A891" t="inlineStr">
        <is>
          <t>A 62081-2022</t>
        </is>
      </c>
      <c r="B891" s="1" t="n">
        <v>44918</v>
      </c>
      <c r="C891" s="1" t="n">
        <v>46102</v>
      </c>
      <c r="D891" t="inlineStr">
        <is>
          <t>JÄMTLANDS LÄN</t>
        </is>
      </c>
      <c r="E891" t="inlineStr">
        <is>
          <t>RAGUNDA</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46102</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51396-2024</t>
        </is>
      </c>
      <c r="B893" s="1" t="n">
        <v>45604.4190625</v>
      </c>
      <c r="C893" s="1" t="n">
        <v>46102</v>
      </c>
      <c r="D893" t="inlineStr">
        <is>
          <t>JÄMTLANDS LÄN</t>
        </is>
      </c>
      <c r="E893" t="inlineStr">
        <is>
          <t>RAGUNDA</t>
        </is>
      </c>
      <c r="G893" t="n">
        <v>0.8</v>
      </c>
      <c r="H893" t="n">
        <v>0</v>
      </c>
      <c r="I893" t="n">
        <v>0</v>
      </c>
      <c r="J893" t="n">
        <v>0</v>
      </c>
      <c r="K893" t="n">
        <v>0</v>
      </c>
      <c r="L893" t="n">
        <v>0</v>
      </c>
      <c r="M893" t="n">
        <v>0</v>
      </c>
      <c r="N893" t="n">
        <v>0</v>
      </c>
      <c r="O893" t="n">
        <v>0</v>
      </c>
      <c r="P893" t="n">
        <v>0</v>
      </c>
      <c r="Q893" t="n">
        <v>0</v>
      </c>
      <c r="R893" s="2" t="inlineStr"/>
    </row>
    <row r="894" ht="15" customHeight="1">
      <c r="A894" t="inlineStr">
        <is>
          <t>A 30826-2023</t>
        </is>
      </c>
      <c r="B894" s="1" t="n">
        <v>45112</v>
      </c>
      <c r="C894" s="1" t="n">
        <v>46102</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53263-2024</t>
        </is>
      </c>
      <c r="B895" s="1" t="n">
        <v>45614.34541666666</v>
      </c>
      <c r="C895" s="1" t="n">
        <v>46102</v>
      </c>
      <c r="D895" t="inlineStr">
        <is>
          <t>JÄMTLANDS LÄN</t>
        </is>
      </c>
      <c r="E895" t="inlineStr">
        <is>
          <t>RAGUNDA</t>
        </is>
      </c>
      <c r="G895" t="n">
        <v>1.9</v>
      </c>
      <c r="H895" t="n">
        <v>0</v>
      </c>
      <c r="I895" t="n">
        <v>0</v>
      </c>
      <c r="J895" t="n">
        <v>0</v>
      </c>
      <c r="K895" t="n">
        <v>0</v>
      </c>
      <c r="L895" t="n">
        <v>0</v>
      </c>
      <c r="M895" t="n">
        <v>0</v>
      </c>
      <c r="N895" t="n">
        <v>0</v>
      </c>
      <c r="O895" t="n">
        <v>0</v>
      </c>
      <c r="P895" t="n">
        <v>0</v>
      </c>
      <c r="Q895" t="n">
        <v>0</v>
      </c>
      <c r="R895" s="2" t="inlineStr"/>
    </row>
    <row r="896" ht="15" customHeight="1">
      <c r="A896" t="inlineStr">
        <is>
          <t>A 6569-2026</t>
        </is>
      </c>
      <c r="B896" s="1" t="n">
        <v>46052</v>
      </c>
      <c r="C896" s="1" t="n">
        <v>46102</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26640-2025</t>
        </is>
      </c>
      <c r="B897" s="1" t="n">
        <v>45810.36495370371</v>
      </c>
      <c r="C897" s="1" t="n">
        <v>46102</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26645-2024</t>
        </is>
      </c>
      <c r="B898" s="1" t="n">
        <v>45469.94667824074</v>
      </c>
      <c r="C898" s="1" t="n">
        <v>46102</v>
      </c>
      <c r="D898" t="inlineStr">
        <is>
          <t>JÄMTLANDS LÄN</t>
        </is>
      </c>
      <c r="E898" t="inlineStr">
        <is>
          <t>RAGUNDA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13751-2026</t>
        </is>
      </c>
      <c r="B899" s="1" t="n">
        <v>46097.6374074074</v>
      </c>
      <c r="C899" s="1" t="n">
        <v>46102</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893-2025</t>
        </is>
      </c>
      <c r="B900" s="1" t="n">
        <v>45665.65684027778</v>
      </c>
      <c r="C900" s="1" t="n">
        <v>46102</v>
      </c>
      <c r="D900" t="inlineStr">
        <is>
          <t>JÄMTLANDS LÄN</t>
        </is>
      </c>
      <c r="E900" t="inlineStr">
        <is>
          <t>RAGUNDA</t>
        </is>
      </c>
      <c r="F900" t="inlineStr">
        <is>
          <t>SCA</t>
        </is>
      </c>
      <c r="G900" t="n">
        <v>45.1</v>
      </c>
      <c r="H900" t="n">
        <v>0</v>
      </c>
      <c r="I900" t="n">
        <v>0</v>
      </c>
      <c r="J900" t="n">
        <v>0</v>
      </c>
      <c r="K900" t="n">
        <v>0</v>
      </c>
      <c r="L900" t="n">
        <v>0</v>
      </c>
      <c r="M900" t="n">
        <v>0</v>
      </c>
      <c r="N900" t="n">
        <v>0</v>
      </c>
      <c r="O900" t="n">
        <v>0</v>
      </c>
      <c r="P900" t="n">
        <v>0</v>
      </c>
      <c r="Q900" t="n">
        <v>0</v>
      </c>
      <c r="R900" s="2" t="inlineStr"/>
    </row>
    <row r="901" ht="15" customHeight="1">
      <c r="A901" t="inlineStr">
        <is>
          <t>A 31135-2023</t>
        </is>
      </c>
      <c r="B901" s="1" t="n">
        <v>45103</v>
      </c>
      <c r="C901" s="1" t="n">
        <v>46102</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13620-2026</t>
        </is>
      </c>
      <c r="B902" s="1" t="n">
        <v>46097.34435185185</v>
      </c>
      <c r="C902" s="1" t="n">
        <v>46102</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2001-2025</t>
        </is>
      </c>
      <c r="B903" s="1" t="n">
        <v>45672.44898148148</v>
      </c>
      <c r="C903" s="1" t="n">
        <v>46102</v>
      </c>
      <c r="D903" t="inlineStr">
        <is>
          <t>JÄMTLANDS LÄN</t>
        </is>
      </c>
      <c r="E903" t="inlineStr">
        <is>
          <t>RAGUNDA</t>
        </is>
      </c>
      <c r="F903" t="inlineStr">
        <is>
          <t>SCA</t>
        </is>
      </c>
      <c r="G903" t="n">
        <v>16.2</v>
      </c>
      <c r="H903" t="n">
        <v>0</v>
      </c>
      <c r="I903" t="n">
        <v>0</v>
      </c>
      <c r="J903" t="n">
        <v>0</v>
      </c>
      <c r="K903" t="n">
        <v>0</v>
      </c>
      <c r="L903" t="n">
        <v>0</v>
      </c>
      <c r="M903" t="n">
        <v>0</v>
      </c>
      <c r="N903" t="n">
        <v>0</v>
      </c>
      <c r="O903" t="n">
        <v>0</v>
      </c>
      <c r="P903" t="n">
        <v>0</v>
      </c>
      <c r="Q903" t="n">
        <v>0</v>
      </c>
      <c r="R903" s="2" t="inlineStr"/>
    </row>
    <row r="904" ht="15" customHeight="1">
      <c r="A904" t="inlineStr">
        <is>
          <t>A 53762-2023</t>
        </is>
      </c>
      <c r="B904" s="1" t="n">
        <v>45230.96376157407</v>
      </c>
      <c r="C904" s="1" t="n">
        <v>46102</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19089-2024</t>
        </is>
      </c>
      <c r="B905" s="1" t="n">
        <v>45428.00471064815</v>
      </c>
      <c r="C905" s="1" t="n">
        <v>46102</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13712-2026</t>
        </is>
      </c>
      <c r="B906" s="1" t="n">
        <v>46097.58015046296</v>
      </c>
      <c r="C906" s="1" t="n">
        <v>46102</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43132-2023</t>
        </is>
      </c>
      <c r="B907" s="1" t="n">
        <v>45182</v>
      </c>
      <c r="C907" s="1" t="n">
        <v>46102</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6693-2026</t>
        </is>
      </c>
      <c r="B908" s="1" t="n">
        <v>46056</v>
      </c>
      <c r="C908" s="1" t="n">
        <v>46102</v>
      </c>
      <c r="D908" t="inlineStr">
        <is>
          <t>JÄMTLANDS LÄN</t>
        </is>
      </c>
      <c r="E908" t="inlineStr">
        <is>
          <t>RAGUNDA</t>
        </is>
      </c>
      <c r="G908" t="n">
        <v>4.3</v>
      </c>
      <c r="H908" t="n">
        <v>0</v>
      </c>
      <c r="I908" t="n">
        <v>0</v>
      </c>
      <c r="J908" t="n">
        <v>0</v>
      </c>
      <c r="K908" t="n">
        <v>0</v>
      </c>
      <c r="L908" t="n">
        <v>0</v>
      </c>
      <c r="M908" t="n">
        <v>0</v>
      </c>
      <c r="N908" t="n">
        <v>0</v>
      </c>
      <c r="O908" t="n">
        <v>0</v>
      </c>
      <c r="P908" t="n">
        <v>0</v>
      </c>
      <c r="Q908" t="n">
        <v>0</v>
      </c>
      <c r="R908" s="2" t="inlineStr"/>
    </row>
    <row r="909" ht="15" customHeight="1">
      <c r="A909" t="inlineStr">
        <is>
          <t>A 27510-2025</t>
        </is>
      </c>
      <c r="B909" s="1" t="n">
        <v>45813.42790509259</v>
      </c>
      <c r="C909" s="1" t="n">
        <v>46102</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19404-2025</t>
        </is>
      </c>
      <c r="B910" s="1" t="n">
        <v>45769.67802083334</v>
      </c>
      <c r="C910" s="1" t="n">
        <v>46102</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c r="U910">
        <f>HYPERLINK("https://klasma.github.io/Logging_2303/knärot/A 19404-2025 karta knärot.png", "A 19404-2025")</f>
        <v/>
      </c>
      <c r="V910">
        <f>HYPERLINK("https://klasma.github.io/Logging_2303/klagomål/A 19404-2025 FSC-klagomål.docx", "A 19404-2025")</f>
        <v/>
      </c>
      <c r="W910">
        <f>HYPERLINK("https://klasma.github.io/Logging_2303/klagomålsmail/A 19404-2025 FSC-klagomål mail.docx", "A 19404-2025")</f>
        <v/>
      </c>
      <c r="X910">
        <f>HYPERLINK("https://klasma.github.io/Logging_2303/tillsyn/A 19404-2025 tillsynsbegäran.docx", "A 19404-2025")</f>
        <v/>
      </c>
      <c r="Y910">
        <f>HYPERLINK("https://klasma.github.io/Logging_2303/tillsynsmail/A 19404-2025 tillsynsbegäran mail.docx", "A 19404-2025")</f>
        <v/>
      </c>
    </row>
    <row r="911" ht="15" customHeight="1">
      <c r="A911" t="inlineStr">
        <is>
          <t>A 56284-2023</t>
        </is>
      </c>
      <c r="B911" s="1" t="n">
        <v>45241.95724537037</v>
      </c>
      <c r="C911" s="1" t="n">
        <v>46102</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61045-2022</t>
        </is>
      </c>
      <c r="B912" s="1" t="n">
        <v>44914</v>
      </c>
      <c r="C912" s="1" t="n">
        <v>46102</v>
      </c>
      <c r="D912" t="inlineStr">
        <is>
          <t>JÄMTLANDS LÄN</t>
        </is>
      </c>
      <c r="E912" t="inlineStr">
        <is>
          <t>RAGUNDA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13719-2026</t>
        </is>
      </c>
      <c r="B913" s="1" t="n">
        <v>46097.60271990741</v>
      </c>
      <c r="C913" s="1" t="n">
        <v>46102</v>
      </c>
      <c r="D913" t="inlineStr">
        <is>
          <t>JÄMTLANDS LÄN</t>
        </is>
      </c>
      <c r="E913" t="inlineStr">
        <is>
          <t>RAGUNDA</t>
        </is>
      </c>
      <c r="G913" t="n">
        <v>4.1</v>
      </c>
      <c r="H913" t="n">
        <v>0</v>
      </c>
      <c r="I913" t="n">
        <v>0</v>
      </c>
      <c r="J913" t="n">
        <v>0</v>
      </c>
      <c r="K913" t="n">
        <v>0</v>
      </c>
      <c r="L913" t="n">
        <v>0</v>
      </c>
      <c r="M913" t="n">
        <v>0</v>
      </c>
      <c r="N913" t="n">
        <v>0</v>
      </c>
      <c r="O913" t="n">
        <v>0</v>
      </c>
      <c r="P913" t="n">
        <v>0</v>
      </c>
      <c r="Q913" t="n">
        <v>0</v>
      </c>
      <c r="R913" s="2" t="inlineStr"/>
    </row>
    <row r="914" ht="15" customHeight="1">
      <c r="A914" t="inlineStr">
        <is>
          <t>A 61197-2023</t>
        </is>
      </c>
      <c r="B914" s="1" t="n">
        <v>45260</v>
      </c>
      <c r="C914" s="1" t="n">
        <v>46102</v>
      </c>
      <c r="D914" t="inlineStr">
        <is>
          <t>JÄMTLANDS LÄN</t>
        </is>
      </c>
      <c r="E914" t="inlineStr">
        <is>
          <t>RAGUNDA</t>
        </is>
      </c>
      <c r="G914" t="n">
        <v>2.5</v>
      </c>
      <c r="H914" t="n">
        <v>0</v>
      </c>
      <c r="I914" t="n">
        <v>0</v>
      </c>
      <c r="J914" t="n">
        <v>0</v>
      </c>
      <c r="K914" t="n">
        <v>0</v>
      </c>
      <c r="L914" t="n">
        <v>0</v>
      </c>
      <c r="M914" t="n">
        <v>0</v>
      </c>
      <c r="N914" t="n">
        <v>0</v>
      </c>
      <c r="O914" t="n">
        <v>0</v>
      </c>
      <c r="P914" t="n">
        <v>0</v>
      </c>
      <c r="Q914" t="n">
        <v>0</v>
      </c>
      <c r="R914" s="2" t="inlineStr"/>
    </row>
    <row r="915" ht="15" customHeight="1">
      <c r="A915" t="inlineStr">
        <is>
          <t>A 13263-2025</t>
        </is>
      </c>
      <c r="B915" s="1" t="n">
        <v>45735.53177083333</v>
      </c>
      <c r="C915" s="1" t="n">
        <v>46102</v>
      </c>
      <c r="D915" t="inlineStr">
        <is>
          <t>JÄMTLANDS LÄN</t>
        </is>
      </c>
      <c r="E915" t="inlineStr">
        <is>
          <t>RAGUNDA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48066-2022</t>
        </is>
      </c>
      <c r="B916" s="1" t="n">
        <v>44855</v>
      </c>
      <c r="C916" s="1" t="n">
        <v>46102</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13725-2026</t>
        </is>
      </c>
      <c r="B917" s="1" t="n">
        <v>46097.61016203704</v>
      </c>
      <c r="C917" s="1" t="n">
        <v>46102</v>
      </c>
      <c r="D917" t="inlineStr">
        <is>
          <t>JÄMTLANDS LÄN</t>
        </is>
      </c>
      <c r="E917" t="inlineStr">
        <is>
          <t>RAGUNDA</t>
        </is>
      </c>
      <c r="G917" t="n">
        <v>3.7</v>
      </c>
      <c r="H917" t="n">
        <v>0</v>
      </c>
      <c r="I917" t="n">
        <v>0</v>
      </c>
      <c r="J917" t="n">
        <v>0</v>
      </c>
      <c r="K917" t="n">
        <v>0</v>
      </c>
      <c r="L917" t="n">
        <v>0</v>
      </c>
      <c r="M917" t="n">
        <v>0</v>
      </c>
      <c r="N917" t="n">
        <v>0</v>
      </c>
      <c r="O917" t="n">
        <v>0</v>
      </c>
      <c r="P917" t="n">
        <v>0</v>
      </c>
      <c r="Q917" t="n">
        <v>0</v>
      </c>
      <c r="R917" s="2" t="inlineStr"/>
    </row>
    <row r="918" ht="15" customHeight="1">
      <c r="A918" t="inlineStr">
        <is>
          <t>A 64415-2023</t>
        </is>
      </c>
      <c r="B918" s="1" t="n">
        <v>45280</v>
      </c>
      <c r="C918" s="1" t="n">
        <v>46102</v>
      </c>
      <c r="D918" t="inlineStr">
        <is>
          <t>JÄMTLANDS LÄN</t>
        </is>
      </c>
      <c r="E918" t="inlineStr">
        <is>
          <t>RAGUNDA</t>
        </is>
      </c>
      <c r="G918" t="n">
        <v>5.1</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46102</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15864-2024</t>
        </is>
      </c>
      <c r="B920" s="1" t="n">
        <v>45404.99792824074</v>
      </c>
      <c r="C920" s="1" t="n">
        <v>46102</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c r="U920">
        <f>HYPERLINK("https://klasma.github.io/Logging_2303/knärot/A 15864-2024 karta knärot.png", "A 15864-2024")</f>
        <v/>
      </c>
      <c r="V920">
        <f>HYPERLINK("https://klasma.github.io/Logging_2303/klagomål/A 15864-2024 FSC-klagomål.docx", "A 15864-2024")</f>
        <v/>
      </c>
      <c r="W920">
        <f>HYPERLINK("https://klasma.github.io/Logging_2303/klagomålsmail/A 15864-2024 FSC-klagomål mail.docx", "A 15864-2024")</f>
        <v/>
      </c>
      <c r="X920">
        <f>HYPERLINK("https://klasma.github.io/Logging_2303/tillsyn/A 15864-2024 tillsynsbegäran.docx", "A 15864-2024")</f>
        <v/>
      </c>
      <c r="Y920">
        <f>HYPERLINK("https://klasma.github.io/Logging_2303/tillsynsmail/A 15864-2024 tillsynsbegäran mail.docx", "A 15864-2024")</f>
        <v/>
      </c>
    </row>
    <row r="921" ht="15" customHeight="1">
      <c r="A921" t="inlineStr">
        <is>
          <t>A 14443-2026</t>
        </is>
      </c>
      <c r="B921" s="1" t="n">
        <v>46100.50819444445</v>
      </c>
      <c r="C921" s="1" t="n">
        <v>46102</v>
      </c>
      <c r="D921" t="inlineStr">
        <is>
          <t>JÄMTLANDS LÄN</t>
        </is>
      </c>
      <c r="E921" t="inlineStr">
        <is>
          <t>RAGUNDA</t>
        </is>
      </c>
      <c r="G921" t="n">
        <v>5.1</v>
      </c>
      <c r="H921" t="n">
        <v>0</v>
      </c>
      <c r="I921" t="n">
        <v>0</v>
      </c>
      <c r="J921" t="n">
        <v>0</v>
      </c>
      <c r="K921" t="n">
        <v>0</v>
      </c>
      <c r="L921" t="n">
        <v>0</v>
      </c>
      <c r="M921" t="n">
        <v>0</v>
      </c>
      <c r="N921" t="n">
        <v>0</v>
      </c>
      <c r="O921" t="n">
        <v>0</v>
      </c>
      <c r="P921" t="n">
        <v>0</v>
      </c>
      <c r="Q921" t="n">
        <v>0</v>
      </c>
      <c r="R921" s="2" t="inlineStr"/>
    </row>
    <row r="922" ht="15" customHeight="1">
      <c r="A922" t="inlineStr">
        <is>
          <t>A 57749-2024</t>
        </is>
      </c>
      <c r="B922" s="1" t="n">
        <v>45630.7862037037</v>
      </c>
      <c r="C922" s="1" t="n">
        <v>46102</v>
      </c>
      <c r="D922" t="inlineStr">
        <is>
          <t>JÄMTLANDS LÄN</t>
        </is>
      </c>
      <c r="E922" t="inlineStr">
        <is>
          <t>RAGUNDA</t>
        </is>
      </c>
      <c r="G922" t="n">
        <v>1.3</v>
      </c>
      <c r="H922" t="n">
        <v>0</v>
      </c>
      <c r="I922" t="n">
        <v>0</v>
      </c>
      <c r="J922" t="n">
        <v>0</v>
      </c>
      <c r="K922" t="n">
        <v>0</v>
      </c>
      <c r="L922" t="n">
        <v>0</v>
      </c>
      <c r="M922" t="n">
        <v>0</v>
      </c>
      <c r="N922" t="n">
        <v>0</v>
      </c>
      <c r="O922" t="n">
        <v>0</v>
      </c>
      <c r="P922" t="n">
        <v>0</v>
      </c>
      <c r="Q922" t="n">
        <v>0</v>
      </c>
      <c r="R922" s="2" t="inlineStr"/>
    </row>
    <row r="923" ht="15" customHeight="1">
      <c r="A923" t="inlineStr">
        <is>
          <t>A 18989-2025</t>
        </is>
      </c>
      <c r="B923" s="1" t="n">
        <v>45764</v>
      </c>
      <c r="C923" s="1" t="n">
        <v>46102</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24280-2021</t>
        </is>
      </c>
      <c r="B924" s="1" t="n">
        <v>44336</v>
      </c>
      <c r="C924" s="1" t="n">
        <v>46102</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8886-2024</t>
        </is>
      </c>
      <c r="B925" s="1" t="n">
        <v>45357.05300925926</v>
      </c>
      <c r="C925" s="1" t="n">
        <v>46102</v>
      </c>
      <c r="D925" t="inlineStr">
        <is>
          <t>JÄMTLANDS LÄN</t>
        </is>
      </c>
      <c r="E925" t="inlineStr">
        <is>
          <t>RAGUNDA</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14668-2026</t>
        </is>
      </c>
      <c r="B926" s="1" t="n">
        <v>46101.4575462963</v>
      </c>
      <c r="C926" s="1" t="n">
        <v>46102</v>
      </c>
      <c r="D926" t="inlineStr">
        <is>
          <t>JÄMTLANDS LÄN</t>
        </is>
      </c>
      <c r="E926" t="inlineStr">
        <is>
          <t>RAGUNDA</t>
        </is>
      </c>
      <c r="G926" t="n">
        <v>12.8</v>
      </c>
      <c r="H926" t="n">
        <v>0</v>
      </c>
      <c r="I926" t="n">
        <v>0</v>
      </c>
      <c r="J926" t="n">
        <v>0</v>
      </c>
      <c r="K926" t="n">
        <v>0</v>
      </c>
      <c r="L926" t="n">
        <v>0</v>
      </c>
      <c r="M926" t="n">
        <v>0</v>
      </c>
      <c r="N926" t="n">
        <v>0</v>
      </c>
      <c r="O926" t="n">
        <v>0</v>
      </c>
      <c r="P926" t="n">
        <v>0</v>
      </c>
      <c r="Q926" t="n">
        <v>0</v>
      </c>
      <c r="R926" s="2" t="inlineStr"/>
    </row>
    <row r="927" ht="15" customHeight="1">
      <c r="A927" t="inlineStr">
        <is>
          <t>A 28596-2021</t>
        </is>
      </c>
      <c r="B927" s="1" t="n">
        <v>44356</v>
      </c>
      <c r="C927" s="1" t="n">
        <v>46102</v>
      </c>
      <c r="D927" t="inlineStr">
        <is>
          <t>JÄMTLANDS LÄN</t>
        </is>
      </c>
      <c r="E927" t="inlineStr">
        <is>
          <t>RAGUNDA</t>
        </is>
      </c>
      <c r="G927" t="n">
        <v>5.4</v>
      </c>
      <c r="H927" t="n">
        <v>0</v>
      </c>
      <c r="I927" t="n">
        <v>0</v>
      </c>
      <c r="J927" t="n">
        <v>0</v>
      </c>
      <c r="K927" t="n">
        <v>0</v>
      </c>
      <c r="L927" t="n">
        <v>0</v>
      </c>
      <c r="M927" t="n">
        <v>0</v>
      </c>
      <c r="N927" t="n">
        <v>0</v>
      </c>
      <c r="O927" t="n">
        <v>0</v>
      </c>
      <c r="P927" t="n">
        <v>0</v>
      </c>
      <c r="Q927" t="n">
        <v>0</v>
      </c>
      <c r="R927" s="2" t="inlineStr"/>
    </row>
    <row r="928" ht="15" customHeight="1">
      <c r="A928" t="inlineStr">
        <is>
          <t>A 11058-2025</t>
        </is>
      </c>
      <c r="B928" s="1" t="n">
        <v>45723.51079861111</v>
      </c>
      <c r="C928" s="1" t="n">
        <v>46102</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14412-2026</t>
        </is>
      </c>
      <c r="B929" s="1" t="n">
        <v>46100.44820601852</v>
      </c>
      <c r="C929" s="1" t="n">
        <v>46102</v>
      </c>
      <c r="D929" t="inlineStr">
        <is>
          <t>JÄMTLANDS LÄN</t>
        </is>
      </c>
      <c r="E929" t="inlineStr">
        <is>
          <t>RAGUNDA</t>
        </is>
      </c>
      <c r="G929" t="n">
        <v>13.5</v>
      </c>
      <c r="H929" t="n">
        <v>0</v>
      </c>
      <c r="I929" t="n">
        <v>0</v>
      </c>
      <c r="J929" t="n">
        <v>0</v>
      </c>
      <c r="K929" t="n">
        <v>0</v>
      </c>
      <c r="L929" t="n">
        <v>0</v>
      </c>
      <c r="M929" t="n">
        <v>0</v>
      </c>
      <c r="N929" t="n">
        <v>0</v>
      </c>
      <c r="O929" t="n">
        <v>0</v>
      </c>
      <c r="P929" t="n">
        <v>0</v>
      </c>
      <c r="Q929" t="n">
        <v>0</v>
      </c>
      <c r="R929" s="2" t="inlineStr"/>
    </row>
    <row r="930" ht="15" customHeight="1">
      <c r="A930" t="inlineStr">
        <is>
          <t>A 38664-2022</t>
        </is>
      </c>
      <c r="B930" s="1" t="n">
        <v>44813</v>
      </c>
      <c r="C930" s="1" t="n">
        <v>46102</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14387-2026</t>
        </is>
      </c>
      <c r="B931" s="1" t="n">
        <v>46100.38605324074</v>
      </c>
      <c r="C931" s="1" t="n">
        <v>46102</v>
      </c>
      <c r="D931" t="inlineStr">
        <is>
          <t>JÄMTLANDS LÄN</t>
        </is>
      </c>
      <c r="E931" t="inlineStr">
        <is>
          <t>RAGUNDA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24441-2024</t>
        </is>
      </c>
      <c r="B932" s="1" t="n">
        <v>45457.96372685185</v>
      </c>
      <c r="C932" s="1" t="n">
        <v>46102</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40801-2023</t>
        </is>
      </c>
      <c r="B933" s="1" t="n">
        <v>45170</v>
      </c>
      <c r="C933" s="1" t="n">
        <v>46102</v>
      </c>
      <c r="D933" t="inlineStr">
        <is>
          <t>JÄMTLANDS LÄN</t>
        </is>
      </c>
      <c r="E933" t="inlineStr">
        <is>
          <t>RAGUNDA</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48065-2023</t>
        </is>
      </c>
      <c r="B934" s="1" t="n">
        <v>45204.94399305555</v>
      </c>
      <c r="C934" s="1" t="n">
        <v>46102</v>
      </c>
      <c r="D934" t="inlineStr">
        <is>
          <t>JÄMTLANDS LÄN</t>
        </is>
      </c>
      <c r="E934" t="inlineStr">
        <is>
          <t>RAGUNDA</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28637-2025</t>
        </is>
      </c>
      <c r="B935" s="1" t="n">
        <v>45819.6359375</v>
      </c>
      <c r="C935" s="1" t="n">
        <v>46102</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4592-2024</t>
        </is>
      </c>
      <c r="B936" s="1" t="n">
        <v>45327.94443287037</v>
      </c>
      <c r="C936" s="1" t="n">
        <v>46102</v>
      </c>
      <c r="D936" t="inlineStr">
        <is>
          <t>JÄMTLANDS LÄN</t>
        </is>
      </c>
      <c r="E936" t="inlineStr">
        <is>
          <t>RAGUNDA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60195-2023</t>
        </is>
      </c>
      <c r="B937" s="1" t="n">
        <v>45257</v>
      </c>
      <c r="C937" s="1" t="n">
        <v>46102</v>
      </c>
      <c r="D937" t="inlineStr">
        <is>
          <t>JÄMTLANDS LÄN</t>
        </is>
      </c>
      <c r="E937" t="inlineStr">
        <is>
          <t>RAGUNDA</t>
        </is>
      </c>
      <c r="G937" t="n">
        <v>1.7</v>
      </c>
      <c r="H937" t="n">
        <v>0</v>
      </c>
      <c r="I937" t="n">
        <v>0</v>
      </c>
      <c r="J937" t="n">
        <v>0</v>
      </c>
      <c r="K937" t="n">
        <v>0</v>
      </c>
      <c r="L937" t="n">
        <v>0</v>
      </c>
      <c r="M937" t="n">
        <v>0</v>
      </c>
      <c r="N937" t="n">
        <v>0</v>
      </c>
      <c r="O937" t="n">
        <v>0</v>
      </c>
      <c r="P937" t="n">
        <v>0</v>
      </c>
      <c r="Q937" t="n">
        <v>0</v>
      </c>
      <c r="R937" s="2" t="inlineStr"/>
    </row>
    <row r="938" ht="15" customHeight="1">
      <c r="A938" t="inlineStr">
        <is>
          <t>A 28973-2025</t>
        </is>
      </c>
      <c r="B938" s="1" t="n">
        <v>45821.34513888889</v>
      </c>
      <c r="C938" s="1" t="n">
        <v>46102</v>
      </c>
      <c r="D938" t="inlineStr">
        <is>
          <t>JÄMTLANDS LÄN</t>
        </is>
      </c>
      <c r="E938" t="inlineStr">
        <is>
          <t>RAGUNDA</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22981-2023</t>
        </is>
      </c>
      <c r="B939" s="1" t="n">
        <v>45072.92737268518</v>
      </c>
      <c r="C939" s="1" t="n">
        <v>46102</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26942-2021</t>
        </is>
      </c>
      <c r="B940" s="1" t="n">
        <v>44349.91978009259</v>
      </c>
      <c r="C940" s="1" t="n">
        <v>46102</v>
      </c>
      <c r="D940" t="inlineStr">
        <is>
          <t>JÄMTLANDS LÄN</t>
        </is>
      </c>
      <c r="E940" t="inlineStr">
        <is>
          <t>RAGUNDA</t>
        </is>
      </c>
      <c r="G940" t="n">
        <v>6.2</v>
      </c>
      <c r="H940" t="n">
        <v>0</v>
      </c>
      <c r="I940" t="n">
        <v>0</v>
      </c>
      <c r="J940" t="n">
        <v>0</v>
      </c>
      <c r="K940" t="n">
        <v>0</v>
      </c>
      <c r="L940" t="n">
        <v>0</v>
      </c>
      <c r="M940" t="n">
        <v>0</v>
      </c>
      <c r="N940" t="n">
        <v>0</v>
      </c>
      <c r="O940" t="n">
        <v>0</v>
      </c>
      <c r="P940" t="n">
        <v>0</v>
      </c>
      <c r="Q940" t="n">
        <v>0</v>
      </c>
      <c r="R940" s="2" t="inlineStr"/>
    </row>
    <row r="941" ht="15" customHeight="1">
      <c r="A941" t="inlineStr">
        <is>
          <t>A 29731-2025</t>
        </is>
      </c>
      <c r="B941" s="1" t="n">
        <v>45825.58252314815</v>
      </c>
      <c r="C941" s="1" t="n">
        <v>46102</v>
      </c>
      <c r="D941" t="inlineStr">
        <is>
          <t>JÄMTLANDS LÄN</t>
        </is>
      </c>
      <c r="E941" t="inlineStr">
        <is>
          <t>RAGUNDA</t>
        </is>
      </c>
      <c r="G941" t="n">
        <v>2.3</v>
      </c>
      <c r="H941" t="n">
        <v>0</v>
      </c>
      <c r="I941" t="n">
        <v>0</v>
      </c>
      <c r="J941" t="n">
        <v>0</v>
      </c>
      <c r="K941" t="n">
        <v>0</v>
      </c>
      <c r="L941" t="n">
        <v>0</v>
      </c>
      <c r="M941" t="n">
        <v>0</v>
      </c>
      <c r="N941" t="n">
        <v>0</v>
      </c>
      <c r="O941" t="n">
        <v>0</v>
      </c>
      <c r="P941" t="n">
        <v>0</v>
      </c>
      <c r="Q941" t="n">
        <v>0</v>
      </c>
      <c r="R941" s="2" t="inlineStr"/>
    </row>
    <row r="942" ht="15" customHeight="1">
      <c r="A942" t="inlineStr">
        <is>
          <t>A 46546-2023</t>
        </is>
      </c>
      <c r="B942" s="1" t="n">
        <v>45197.94152777778</v>
      </c>
      <c r="C942" s="1" t="n">
        <v>46102</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19865-2023</t>
        </is>
      </c>
      <c r="B943" s="1" t="n">
        <v>45053.94305555556</v>
      </c>
      <c r="C943" s="1" t="n">
        <v>46102</v>
      </c>
      <c r="D943" t="inlineStr">
        <is>
          <t>JÄMTLANDS LÄN</t>
        </is>
      </c>
      <c r="E943" t="inlineStr">
        <is>
          <t>RAGUNDA</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29723-2025</t>
        </is>
      </c>
      <c r="B944" s="1" t="n">
        <v>45825.57675925926</v>
      </c>
      <c r="C944" s="1" t="n">
        <v>46102</v>
      </c>
      <c r="D944" t="inlineStr">
        <is>
          <t>JÄMTLANDS LÄN</t>
        </is>
      </c>
      <c r="E944" t="inlineStr">
        <is>
          <t>RAGUNDA</t>
        </is>
      </c>
      <c r="G944" t="n">
        <v>3.1</v>
      </c>
      <c r="H944" t="n">
        <v>0</v>
      </c>
      <c r="I944" t="n">
        <v>0</v>
      </c>
      <c r="J944" t="n">
        <v>0</v>
      </c>
      <c r="K944" t="n">
        <v>0</v>
      </c>
      <c r="L944" t="n">
        <v>0</v>
      </c>
      <c r="M944" t="n">
        <v>0</v>
      </c>
      <c r="N944" t="n">
        <v>0</v>
      </c>
      <c r="O944" t="n">
        <v>0</v>
      </c>
      <c r="P944" t="n">
        <v>0</v>
      </c>
      <c r="Q944" t="n">
        <v>0</v>
      </c>
      <c r="R944" s="2" t="inlineStr"/>
    </row>
    <row r="945" ht="15" customHeight="1">
      <c r="A945" t="inlineStr">
        <is>
          <t>A 564-2025</t>
        </is>
      </c>
      <c r="B945" s="1" t="n">
        <v>45664.55241898148</v>
      </c>
      <c r="C945" s="1" t="n">
        <v>46102</v>
      </c>
      <c r="D945" t="inlineStr">
        <is>
          <t>JÄMTLANDS LÄN</t>
        </is>
      </c>
      <c r="E945" t="inlineStr">
        <is>
          <t>RAGUNDA</t>
        </is>
      </c>
      <c r="F945" t="inlineStr">
        <is>
          <t>SCA</t>
        </is>
      </c>
      <c r="G945" t="n">
        <v>7</v>
      </c>
      <c r="H945" t="n">
        <v>0</v>
      </c>
      <c r="I945" t="n">
        <v>0</v>
      </c>
      <c r="J945" t="n">
        <v>0</v>
      </c>
      <c r="K945" t="n">
        <v>0</v>
      </c>
      <c r="L945" t="n">
        <v>0</v>
      </c>
      <c r="M945" t="n">
        <v>0</v>
      </c>
      <c r="N945" t="n">
        <v>0</v>
      </c>
      <c r="O945" t="n">
        <v>0</v>
      </c>
      <c r="P945" t="n">
        <v>0</v>
      </c>
      <c r="Q945" t="n">
        <v>0</v>
      </c>
      <c r="R945" s="2" t="inlineStr"/>
    </row>
    <row r="946" ht="15" customHeight="1">
      <c r="A946" t="inlineStr">
        <is>
          <t>A 50555-2024</t>
        </is>
      </c>
      <c r="B946" s="1" t="n">
        <v>45601.59518518519</v>
      </c>
      <c r="C946" s="1" t="n">
        <v>46102</v>
      </c>
      <c r="D946" t="inlineStr">
        <is>
          <t>JÄMTLANDS LÄN</t>
        </is>
      </c>
      <c r="E946" t="inlineStr">
        <is>
          <t>RAGUNDA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30088-2025</t>
        </is>
      </c>
      <c r="B947" s="1" t="n">
        <v>45826.65759259259</v>
      </c>
      <c r="C947" s="1" t="n">
        <v>46102</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30348-2025</t>
        </is>
      </c>
      <c r="B948" s="1" t="n">
        <v>45827.53178240741</v>
      </c>
      <c r="C948" s="1" t="n">
        <v>46102</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59658-2023</t>
        </is>
      </c>
      <c r="B949" s="1" t="n">
        <v>45254.96402777778</v>
      </c>
      <c r="C949" s="1" t="n">
        <v>46102</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49649-2024</t>
        </is>
      </c>
      <c r="B950" s="1" t="n">
        <v>45596.61553240741</v>
      </c>
      <c r="C950" s="1" t="n">
        <v>46102</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30434-2025</t>
        </is>
      </c>
      <c r="B951" s="1" t="n">
        <v>45827.63582175926</v>
      </c>
      <c r="C951" s="1" t="n">
        <v>46102</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2831-2024</t>
        </is>
      </c>
      <c r="B952" s="1" t="n">
        <v>45314.92758101852</v>
      </c>
      <c r="C952" s="1" t="n">
        <v>46102</v>
      </c>
      <c r="D952" t="inlineStr">
        <is>
          <t>JÄMTLANDS LÄN</t>
        </is>
      </c>
      <c r="E952" t="inlineStr">
        <is>
          <t>RAGUNDA</t>
        </is>
      </c>
      <c r="G952" t="n">
        <v>0.6</v>
      </c>
      <c r="H952" t="n">
        <v>0</v>
      </c>
      <c r="I952" t="n">
        <v>0</v>
      </c>
      <c r="J952" t="n">
        <v>0</v>
      </c>
      <c r="K952" t="n">
        <v>0</v>
      </c>
      <c r="L952" t="n">
        <v>0</v>
      </c>
      <c r="M952" t="n">
        <v>0</v>
      </c>
      <c r="N952" t="n">
        <v>0</v>
      </c>
      <c r="O952" t="n">
        <v>0</v>
      </c>
      <c r="P952" t="n">
        <v>0</v>
      </c>
      <c r="Q952" t="n">
        <v>0</v>
      </c>
      <c r="R952" s="2" t="inlineStr"/>
    </row>
    <row r="953" ht="15" customHeight="1">
      <c r="A953" t="inlineStr">
        <is>
          <t>A 31463-2024</t>
        </is>
      </c>
      <c r="B953" s="1" t="n">
        <v>45505</v>
      </c>
      <c r="C953" s="1" t="n">
        <v>46102</v>
      </c>
      <c r="D953" t="inlineStr">
        <is>
          <t>JÄMTLANDS LÄN</t>
        </is>
      </c>
      <c r="E953" t="inlineStr">
        <is>
          <t>RAGUNDA</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53740-2024</t>
        </is>
      </c>
      <c r="B954" s="1" t="n">
        <v>45615.47091435185</v>
      </c>
      <c r="C954" s="1" t="n">
        <v>46102</v>
      </c>
      <c r="D954" t="inlineStr">
        <is>
          <t>JÄMTLANDS LÄN</t>
        </is>
      </c>
      <c r="E954" t="inlineStr">
        <is>
          <t>RAGUNDA</t>
        </is>
      </c>
      <c r="G954" t="n">
        <v>2.7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46102</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30887-2025</t>
        </is>
      </c>
      <c r="B956" s="1" t="n">
        <v>45832.3459375</v>
      </c>
      <c r="C956" s="1" t="n">
        <v>46102</v>
      </c>
      <c r="D956" t="inlineStr">
        <is>
          <t>JÄMTLANDS LÄN</t>
        </is>
      </c>
      <c r="E956" t="inlineStr">
        <is>
          <t>RAGUNDA</t>
        </is>
      </c>
      <c r="F956" t="inlineStr">
        <is>
          <t>SCA</t>
        </is>
      </c>
      <c r="G956" t="n">
        <v>10.1</v>
      </c>
      <c r="H956" t="n">
        <v>0</v>
      </c>
      <c r="I956" t="n">
        <v>0</v>
      </c>
      <c r="J956" t="n">
        <v>0</v>
      </c>
      <c r="K956" t="n">
        <v>0</v>
      </c>
      <c r="L956" t="n">
        <v>0</v>
      </c>
      <c r="M956" t="n">
        <v>0</v>
      </c>
      <c r="N956" t="n">
        <v>0</v>
      </c>
      <c r="O956" t="n">
        <v>0</v>
      </c>
      <c r="P956" t="n">
        <v>0</v>
      </c>
      <c r="Q956" t="n">
        <v>0</v>
      </c>
      <c r="R956" s="2" t="inlineStr"/>
    </row>
    <row r="957" ht="15" customHeight="1">
      <c r="A957" t="inlineStr">
        <is>
          <t>A 30883-2025</t>
        </is>
      </c>
      <c r="B957" s="1" t="n">
        <v>45832.34552083333</v>
      </c>
      <c r="C957" s="1" t="n">
        <v>46102</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46102</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46102</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24861-2023</t>
        </is>
      </c>
      <c r="B960" s="1" t="n">
        <v>45078</v>
      </c>
      <c r="C960" s="1" t="n">
        <v>46102</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13905-2025</t>
        </is>
      </c>
      <c r="B961" s="1" t="n">
        <v>45737.63574074074</v>
      </c>
      <c r="C961" s="1" t="n">
        <v>46102</v>
      </c>
      <c r="D961" t="inlineStr">
        <is>
          <t>JÄMTLANDS LÄN</t>
        </is>
      </c>
      <c r="E961" t="inlineStr">
        <is>
          <t>RAGUNDA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13941-2025</t>
        </is>
      </c>
      <c r="B962" s="1" t="n">
        <v>45737.69822916666</v>
      </c>
      <c r="C962" s="1" t="n">
        <v>46102</v>
      </c>
      <c r="D962" t="inlineStr">
        <is>
          <t>JÄMTLANDS LÄN</t>
        </is>
      </c>
      <c r="E962" t="inlineStr">
        <is>
          <t>RAGUNDA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30880-2025</t>
        </is>
      </c>
      <c r="B963" s="1" t="n">
        <v>45832.34524305556</v>
      </c>
      <c r="C963" s="1" t="n">
        <v>46102</v>
      </c>
      <c r="D963" t="inlineStr">
        <is>
          <t>JÄMTLANDS LÄN</t>
        </is>
      </c>
      <c r="E963" t="inlineStr">
        <is>
          <t>RAGUNDA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32096-2025</t>
        </is>
      </c>
      <c r="B964" s="1" t="n">
        <v>45835.46334490741</v>
      </c>
      <c r="C964" s="1" t="n">
        <v>46102</v>
      </c>
      <c r="D964" t="inlineStr">
        <is>
          <t>JÄMTLANDS LÄN</t>
        </is>
      </c>
      <c r="E964" t="inlineStr">
        <is>
          <t>RAGUNDA</t>
        </is>
      </c>
      <c r="G964" t="n">
        <v>0.9</v>
      </c>
      <c r="H964" t="n">
        <v>0</v>
      </c>
      <c r="I964" t="n">
        <v>0</v>
      </c>
      <c r="J964" t="n">
        <v>0</v>
      </c>
      <c r="K964" t="n">
        <v>0</v>
      </c>
      <c r="L964" t="n">
        <v>0</v>
      </c>
      <c r="M964" t="n">
        <v>0</v>
      </c>
      <c r="N964" t="n">
        <v>0</v>
      </c>
      <c r="O964" t="n">
        <v>0</v>
      </c>
      <c r="P964" t="n">
        <v>0</v>
      </c>
      <c r="Q964" t="n">
        <v>0</v>
      </c>
      <c r="R964" s="2" t="inlineStr"/>
    </row>
    <row r="965" ht="15" customHeight="1">
      <c r="A965" t="inlineStr">
        <is>
          <t>A 32151-2025</t>
        </is>
      </c>
      <c r="B965" s="1" t="n">
        <v>45835.53166666667</v>
      </c>
      <c r="C965" s="1" t="n">
        <v>46102</v>
      </c>
      <c r="D965" t="inlineStr">
        <is>
          <t>JÄMTLANDS LÄN</t>
        </is>
      </c>
      <c r="E965" t="inlineStr">
        <is>
          <t>RAGUNDA</t>
        </is>
      </c>
      <c r="F965" t="inlineStr">
        <is>
          <t>SCA</t>
        </is>
      </c>
      <c r="G965" t="n">
        <v>12.3</v>
      </c>
      <c r="H965" t="n">
        <v>0</v>
      </c>
      <c r="I965" t="n">
        <v>0</v>
      </c>
      <c r="J965" t="n">
        <v>0</v>
      </c>
      <c r="K965" t="n">
        <v>0</v>
      </c>
      <c r="L965" t="n">
        <v>0</v>
      </c>
      <c r="M965" t="n">
        <v>0</v>
      </c>
      <c r="N965" t="n">
        <v>0</v>
      </c>
      <c r="O965" t="n">
        <v>0</v>
      </c>
      <c r="P965" t="n">
        <v>0</v>
      </c>
      <c r="Q965" t="n">
        <v>0</v>
      </c>
      <c r="R965" s="2" t="inlineStr"/>
    </row>
    <row r="966" ht="15" customHeight="1">
      <c r="A966" t="inlineStr">
        <is>
          <t>A 32306-2025</t>
        </is>
      </c>
      <c r="B966" s="1" t="n">
        <v>45835.72046296296</v>
      </c>
      <c r="C966" s="1" t="n">
        <v>46102</v>
      </c>
      <c r="D966" t="inlineStr">
        <is>
          <t>JÄMTLANDS LÄN</t>
        </is>
      </c>
      <c r="E966" t="inlineStr">
        <is>
          <t>RAGUNDA</t>
        </is>
      </c>
      <c r="G966" t="n">
        <v>10.2</v>
      </c>
      <c r="H966" t="n">
        <v>0</v>
      </c>
      <c r="I966" t="n">
        <v>0</v>
      </c>
      <c r="J966" t="n">
        <v>0</v>
      </c>
      <c r="K966" t="n">
        <v>0</v>
      </c>
      <c r="L966" t="n">
        <v>0</v>
      </c>
      <c r="M966" t="n">
        <v>0</v>
      </c>
      <c r="N966" t="n">
        <v>0</v>
      </c>
      <c r="O966" t="n">
        <v>0</v>
      </c>
      <c r="P966" t="n">
        <v>0</v>
      </c>
      <c r="Q966" t="n">
        <v>0</v>
      </c>
      <c r="R966" s="2" t="inlineStr"/>
    </row>
    <row r="967" ht="15" customHeight="1">
      <c r="A967" t="inlineStr">
        <is>
          <t>A 51245-2024</t>
        </is>
      </c>
      <c r="B967" s="1" t="n">
        <v>45603.67850694444</v>
      </c>
      <c r="C967" s="1" t="n">
        <v>46102</v>
      </c>
      <c r="D967" t="inlineStr">
        <is>
          <t>JÄMTLANDS LÄN</t>
        </is>
      </c>
      <c r="E967" t="inlineStr">
        <is>
          <t>RAGUNDA</t>
        </is>
      </c>
      <c r="G967" t="n">
        <v>0.9</v>
      </c>
      <c r="H967" t="n">
        <v>0</v>
      </c>
      <c r="I967" t="n">
        <v>0</v>
      </c>
      <c r="J967" t="n">
        <v>0</v>
      </c>
      <c r="K967" t="n">
        <v>0</v>
      </c>
      <c r="L967" t="n">
        <v>0</v>
      </c>
      <c r="M967" t="n">
        <v>0</v>
      </c>
      <c r="N967" t="n">
        <v>0</v>
      </c>
      <c r="O967" t="n">
        <v>0</v>
      </c>
      <c r="P967" t="n">
        <v>0</v>
      </c>
      <c r="Q967" t="n">
        <v>0</v>
      </c>
      <c r="R967" s="2" t="inlineStr"/>
    </row>
    <row r="968" ht="15" customHeight="1">
      <c r="A968" t="inlineStr">
        <is>
          <t>A 32021-2025</t>
        </is>
      </c>
      <c r="B968" s="1" t="n">
        <v>45835.40668981482</v>
      </c>
      <c r="C968" s="1" t="n">
        <v>46102</v>
      </c>
      <c r="D968" t="inlineStr">
        <is>
          <t>JÄMTLANDS LÄN</t>
        </is>
      </c>
      <c r="E968" t="inlineStr">
        <is>
          <t>RAGUNDA</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31882-2025</t>
        </is>
      </c>
      <c r="B969" s="1" t="n">
        <v>45834.65662037037</v>
      </c>
      <c r="C969" s="1" t="n">
        <v>46102</v>
      </c>
      <c r="D969" t="inlineStr">
        <is>
          <t>JÄMTLANDS LÄN</t>
        </is>
      </c>
      <c r="E969" t="inlineStr">
        <is>
          <t>RAGUNDA</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53955-2022</t>
        </is>
      </c>
      <c r="B970" s="1" t="n">
        <v>44880.95741898148</v>
      </c>
      <c r="C970" s="1" t="n">
        <v>46102</v>
      </c>
      <c r="D970" t="inlineStr">
        <is>
          <t>JÄMTLANDS LÄN</t>
        </is>
      </c>
      <c r="E970" t="inlineStr">
        <is>
          <t>RAGUNDA</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32796-2025</t>
        </is>
      </c>
      <c r="B971" s="1" t="n">
        <v>45839.49082175926</v>
      </c>
      <c r="C971" s="1" t="n">
        <v>46102</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46102</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32751-2025</t>
        </is>
      </c>
      <c r="B973" s="1" t="n">
        <v>45839.42864583333</v>
      </c>
      <c r="C973" s="1" t="n">
        <v>46102</v>
      </c>
      <c r="D973" t="inlineStr">
        <is>
          <t>JÄMTLANDS LÄN</t>
        </is>
      </c>
      <c r="E973" t="inlineStr">
        <is>
          <t>RAGUNDA</t>
        </is>
      </c>
      <c r="F973" t="inlineStr">
        <is>
          <t>SCA</t>
        </is>
      </c>
      <c r="G973" t="n">
        <v>10</v>
      </c>
      <c r="H973" t="n">
        <v>0</v>
      </c>
      <c r="I973" t="n">
        <v>0</v>
      </c>
      <c r="J973" t="n">
        <v>0</v>
      </c>
      <c r="K973" t="n">
        <v>0</v>
      </c>
      <c r="L973" t="n">
        <v>0</v>
      </c>
      <c r="M973" t="n">
        <v>0</v>
      </c>
      <c r="N973" t="n">
        <v>0</v>
      </c>
      <c r="O973" t="n">
        <v>0</v>
      </c>
      <c r="P973" t="n">
        <v>0</v>
      </c>
      <c r="Q973" t="n">
        <v>0</v>
      </c>
      <c r="R973" s="2" t="inlineStr"/>
    </row>
    <row r="974" ht="15" customHeight="1">
      <c r="A974" t="inlineStr">
        <is>
          <t>A 32777-2025</t>
        </is>
      </c>
      <c r="B974" s="1" t="n">
        <v>45839.46915509259</v>
      </c>
      <c r="C974" s="1" t="n">
        <v>46102</v>
      </c>
      <c r="D974" t="inlineStr">
        <is>
          <t>JÄMTLANDS LÄN</t>
        </is>
      </c>
      <c r="E974" t="inlineStr">
        <is>
          <t>RAGUNDA</t>
        </is>
      </c>
      <c r="F974" t="inlineStr">
        <is>
          <t>SCA</t>
        </is>
      </c>
      <c r="G974" t="n">
        <v>21.7</v>
      </c>
      <c r="H974" t="n">
        <v>0</v>
      </c>
      <c r="I974" t="n">
        <v>0</v>
      </c>
      <c r="J974" t="n">
        <v>0</v>
      </c>
      <c r="K974" t="n">
        <v>0</v>
      </c>
      <c r="L974" t="n">
        <v>0</v>
      </c>
      <c r="M974" t="n">
        <v>0</v>
      </c>
      <c r="N974" t="n">
        <v>0</v>
      </c>
      <c r="O974" t="n">
        <v>0</v>
      </c>
      <c r="P974" t="n">
        <v>0</v>
      </c>
      <c r="Q974" t="n">
        <v>0</v>
      </c>
      <c r="R974" s="2" t="inlineStr"/>
    </row>
    <row r="975" ht="15" customHeight="1">
      <c r="A975" t="inlineStr">
        <is>
          <t>A 41772-2024</t>
        </is>
      </c>
      <c r="B975" s="1" t="n">
        <v>45561.34663194444</v>
      </c>
      <c r="C975" s="1" t="n">
        <v>46102</v>
      </c>
      <c r="D975" t="inlineStr">
        <is>
          <t>JÄMTLANDS LÄN</t>
        </is>
      </c>
      <c r="E975" t="inlineStr">
        <is>
          <t>RAGUNDA</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32430-2025</t>
        </is>
      </c>
      <c r="B976" s="1" t="n">
        <v>45838.36532407408</v>
      </c>
      <c r="C976" s="1" t="n">
        <v>46102</v>
      </c>
      <c r="D976" t="inlineStr">
        <is>
          <t>JÄMTLANDS LÄN</t>
        </is>
      </c>
      <c r="E976" t="inlineStr">
        <is>
          <t>RAGUNDA</t>
        </is>
      </c>
      <c r="F976" t="inlineStr">
        <is>
          <t>SCA</t>
        </is>
      </c>
      <c r="G976" t="n">
        <v>4.3</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46102</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32747-2025</t>
        </is>
      </c>
      <c r="B978" s="1" t="n">
        <v>45839.42810185185</v>
      </c>
      <c r="C978" s="1" t="n">
        <v>46102</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32757-2025</t>
        </is>
      </c>
      <c r="B979" s="1" t="n">
        <v>45838</v>
      </c>
      <c r="C979" s="1" t="n">
        <v>46102</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11834-2023</t>
        </is>
      </c>
      <c r="B980" s="1" t="n">
        <v>44994.94296296296</v>
      </c>
      <c r="C980" s="1" t="n">
        <v>46102</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46102</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32748-2025</t>
        </is>
      </c>
      <c r="B982" s="1" t="n">
        <v>45839.42822916667</v>
      </c>
      <c r="C982" s="1" t="n">
        <v>46102</v>
      </c>
      <c r="D982" t="inlineStr">
        <is>
          <t>JÄMTLANDS LÄN</t>
        </is>
      </c>
      <c r="E982" t="inlineStr">
        <is>
          <t>RAGUNDA</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32762-2025</t>
        </is>
      </c>
      <c r="B983" s="1" t="n">
        <v>45838</v>
      </c>
      <c r="C983" s="1" t="n">
        <v>46102</v>
      </c>
      <c r="D983" t="inlineStr">
        <is>
          <t>JÄMTLANDS LÄN</t>
        </is>
      </c>
      <c r="E983" t="inlineStr">
        <is>
          <t>RAGUNDA</t>
        </is>
      </c>
      <c r="G983" t="n">
        <v>0.6</v>
      </c>
      <c r="H983" t="n">
        <v>0</v>
      </c>
      <c r="I983" t="n">
        <v>0</v>
      </c>
      <c r="J983" t="n">
        <v>0</v>
      </c>
      <c r="K983" t="n">
        <v>0</v>
      </c>
      <c r="L983" t="n">
        <v>0</v>
      </c>
      <c r="M983" t="n">
        <v>0</v>
      </c>
      <c r="N983" t="n">
        <v>0</v>
      </c>
      <c r="O983" t="n">
        <v>0</v>
      </c>
      <c r="P983" t="n">
        <v>0</v>
      </c>
      <c r="Q983" t="n">
        <v>0</v>
      </c>
      <c r="R983" s="2" t="inlineStr"/>
    </row>
    <row r="984" ht="15" customHeight="1">
      <c r="A984" t="inlineStr">
        <is>
          <t>A 32660-2025</t>
        </is>
      </c>
      <c r="B984" s="1" t="n">
        <v>45838.67887731481</v>
      </c>
      <c r="C984" s="1" t="n">
        <v>46102</v>
      </c>
      <c r="D984" t="inlineStr">
        <is>
          <t>JÄMTLANDS LÄN</t>
        </is>
      </c>
      <c r="E984" t="inlineStr">
        <is>
          <t>RAGUNDA</t>
        </is>
      </c>
      <c r="F984" t="inlineStr">
        <is>
          <t>SCA</t>
        </is>
      </c>
      <c r="G984" t="n">
        <v>10.3</v>
      </c>
      <c r="H984" t="n">
        <v>0</v>
      </c>
      <c r="I984" t="n">
        <v>0</v>
      </c>
      <c r="J984" t="n">
        <v>0</v>
      </c>
      <c r="K984" t="n">
        <v>0</v>
      </c>
      <c r="L984" t="n">
        <v>0</v>
      </c>
      <c r="M984" t="n">
        <v>0</v>
      </c>
      <c r="N984" t="n">
        <v>0</v>
      </c>
      <c r="O984" t="n">
        <v>0</v>
      </c>
      <c r="P984" t="n">
        <v>0</v>
      </c>
      <c r="Q984" t="n">
        <v>0</v>
      </c>
      <c r="R984" s="2" t="inlineStr"/>
    </row>
    <row r="985" ht="15" customHeight="1">
      <c r="A985" t="inlineStr">
        <is>
          <t>A 17559-2023</t>
        </is>
      </c>
      <c r="B985" s="1" t="n">
        <v>45034</v>
      </c>
      <c r="C985" s="1" t="n">
        <v>46102</v>
      </c>
      <c r="D985" t="inlineStr">
        <is>
          <t>JÄMTLANDS LÄN</t>
        </is>
      </c>
      <c r="E985" t="inlineStr">
        <is>
          <t>RAGUNDA</t>
        </is>
      </c>
      <c r="G985" t="n">
        <v>7.5</v>
      </c>
      <c r="H985" t="n">
        <v>0</v>
      </c>
      <c r="I985" t="n">
        <v>0</v>
      </c>
      <c r="J985" t="n">
        <v>0</v>
      </c>
      <c r="K985" t="n">
        <v>0</v>
      </c>
      <c r="L985" t="n">
        <v>0</v>
      </c>
      <c r="M985" t="n">
        <v>0</v>
      </c>
      <c r="N985" t="n">
        <v>0</v>
      </c>
      <c r="O985" t="n">
        <v>0</v>
      </c>
      <c r="P985" t="n">
        <v>0</v>
      </c>
      <c r="Q985" t="n">
        <v>0</v>
      </c>
      <c r="R985" s="2" t="inlineStr"/>
    </row>
    <row r="986" ht="15" customHeight="1">
      <c r="A986" t="inlineStr">
        <is>
          <t>A 38312-2024</t>
        </is>
      </c>
      <c r="B986" s="1" t="n">
        <v>45545.64957175926</v>
      </c>
      <c r="C986" s="1" t="n">
        <v>46102</v>
      </c>
      <c r="D986" t="inlineStr">
        <is>
          <t>JÄMTLANDS LÄN</t>
        </is>
      </c>
      <c r="E986" t="inlineStr">
        <is>
          <t>RAGUNDA</t>
        </is>
      </c>
      <c r="G986" t="n">
        <v>1.2</v>
      </c>
      <c r="H986" t="n">
        <v>0</v>
      </c>
      <c r="I986" t="n">
        <v>0</v>
      </c>
      <c r="J986" t="n">
        <v>0</v>
      </c>
      <c r="K986" t="n">
        <v>0</v>
      </c>
      <c r="L986" t="n">
        <v>0</v>
      </c>
      <c r="M986" t="n">
        <v>0</v>
      </c>
      <c r="N986" t="n">
        <v>0</v>
      </c>
      <c r="O986" t="n">
        <v>0</v>
      </c>
      <c r="P986" t="n">
        <v>0</v>
      </c>
      <c r="Q986" t="n">
        <v>0</v>
      </c>
      <c r="R986" s="2" t="inlineStr"/>
    </row>
    <row r="987" ht="15" customHeight="1">
      <c r="A987" t="inlineStr">
        <is>
          <t>A 32527-2025</t>
        </is>
      </c>
      <c r="B987" s="1" t="n">
        <v>45838.48996527777</v>
      </c>
      <c r="C987" s="1" t="n">
        <v>46102</v>
      </c>
      <c r="D987" t="inlineStr">
        <is>
          <t>JÄMTLANDS LÄN</t>
        </is>
      </c>
      <c r="E987" t="inlineStr">
        <is>
          <t>RAGUNDA</t>
        </is>
      </c>
      <c r="G987" t="n">
        <v>5</v>
      </c>
      <c r="H987" t="n">
        <v>0</v>
      </c>
      <c r="I987" t="n">
        <v>0</v>
      </c>
      <c r="J987" t="n">
        <v>0</v>
      </c>
      <c r="K987" t="n">
        <v>0</v>
      </c>
      <c r="L987" t="n">
        <v>0</v>
      </c>
      <c r="M987" t="n">
        <v>0</v>
      </c>
      <c r="N987" t="n">
        <v>0</v>
      </c>
      <c r="O987" t="n">
        <v>0</v>
      </c>
      <c r="P987" t="n">
        <v>0</v>
      </c>
      <c r="Q987" t="n">
        <v>0</v>
      </c>
      <c r="R987" s="2" t="inlineStr"/>
    </row>
    <row r="988" ht="15" customHeight="1">
      <c r="A988" t="inlineStr">
        <is>
          <t>A 32832-2021</t>
        </is>
      </c>
      <c r="B988" s="1" t="n">
        <v>44375</v>
      </c>
      <c r="C988" s="1" t="n">
        <v>46102</v>
      </c>
      <c r="D988" t="inlineStr">
        <is>
          <t>JÄMTLANDS LÄN</t>
        </is>
      </c>
      <c r="E988" t="inlineStr">
        <is>
          <t>RAGUNDA</t>
        </is>
      </c>
      <c r="G988" t="n">
        <v>3</v>
      </c>
      <c r="H988" t="n">
        <v>0</v>
      </c>
      <c r="I988" t="n">
        <v>0</v>
      </c>
      <c r="J988" t="n">
        <v>0</v>
      </c>
      <c r="K988" t="n">
        <v>0</v>
      </c>
      <c r="L988" t="n">
        <v>0</v>
      </c>
      <c r="M988" t="n">
        <v>0</v>
      </c>
      <c r="N988" t="n">
        <v>0</v>
      </c>
      <c r="O988" t="n">
        <v>0</v>
      </c>
      <c r="P988" t="n">
        <v>0</v>
      </c>
      <c r="Q988" t="n">
        <v>0</v>
      </c>
      <c r="R988" s="2" t="inlineStr"/>
    </row>
    <row r="989" ht="15" customHeight="1">
      <c r="A989" t="inlineStr">
        <is>
          <t>A 22011-2023</t>
        </is>
      </c>
      <c r="B989" s="1" t="n">
        <v>45068</v>
      </c>
      <c r="C989" s="1" t="n">
        <v>46102</v>
      </c>
      <c r="D989" t="inlineStr">
        <is>
          <t>JÄMTLANDS LÄN</t>
        </is>
      </c>
      <c r="E989" t="inlineStr">
        <is>
          <t>RAGUNDA</t>
        </is>
      </c>
      <c r="F989" t="inlineStr">
        <is>
          <t>SCA</t>
        </is>
      </c>
      <c r="G989" t="n">
        <v>12.2</v>
      </c>
      <c r="H989" t="n">
        <v>0</v>
      </c>
      <c r="I989" t="n">
        <v>0</v>
      </c>
      <c r="J989" t="n">
        <v>0</v>
      </c>
      <c r="K989" t="n">
        <v>0</v>
      </c>
      <c r="L989" t="n">
        <v>0</v>
      </c>
      <c r="M989" t="n">
        <v>0</v>
      </c>
      <c r="N989" t="n">
        <v>0</v>
      </c>
      <c r="O989" t="n">
        <v>0</v>
      </c>
      <c r="P989" t="n">
        <v>0</v>
      </c>
      <c r="Q989" t="n">
        <v>0</v>
      </c>
      <c r="R989" s="2" t="inlineStr"/>
    </row>
    <row r="990" ht="15" customHeight="1">
      <c r="A990" t="inlineStr">
        <is>
          <t>A 33140-2025</t>
        </is>
      </c>
      <c r="B990" s="1" t="n">
        <v>45840.52225694444</v>
      </c>
      <c r="C990" s="1" t="n">
        <v>46102</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33556-2025</t>
        </is>
      </c>
      <c r="B991" s="1" t="n">
        <v>45841.57427083333</v>
      </c>
      <c r="C991" s="1" t="n">
        <v>46102</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14158-2024</t>
        </is>
      </c>
      <c r="B992" s="1" t="n">
        <v>45392</v>
      </c>
      <c r="C992" s="1" t="n">
        <v>46102</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42508-2023</t>
        </is>
      </c>
      <c r="B993" s="1" t="n">
        <v>45180.95907407408</v>
      </c>
      <c r="C993" s="1" t="n">
        <v>46102</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46102</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12983-2025</t>
        </is>
      </c>
      <c r="B995" s="1" t="n">
        <v>45734.4633912037</v>
      </c>
      <c r="C995" s="1" t="n">
        <v>46102</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17598-2021</t>
        </is>
      </c>
      <c r="B996" s="1" t="n">
        <v>44299</v>
      </c>
      <c r="C996" s="1" t="n">
        <v>46102</v>
      </c>
      <c r="D996" t="inlineStr">
        <is>
          <t>JÄMTLANDS LÄN</t>
        </is>
      </c>
      <c r="E996" t="inlineStr">
        <is>
          <t>RAGUNDA</t>
        </is>
      </c>
      <c r="G996" t="n">
        <v>4.6</v>
      </c>
      <c r="H996" t="n">
        <v>0</v>
      </c>
      <c r="I996" t="n">
        <v>0</v>
      </c>
      <c r="J996" t="n">
        <v>0</v>
      </c>
      <c r="K996" t="n">
        <v>0</v>
      </c>
      <c r="L996" t="n">
        <v>0</v>
      </c>
      <c r="M996" t="n">
        <v>0</v>
      </c>
      <c r="N996" t="n">
        <v>0</v>
      </c>
      <c r="O996" t="n">
        <v>0</v>
      </c>
      <c r="P996" t="n">
        <v>0</v>
      </c>
      <c r="Q996" t="n">
        <v>0</v>
      </c>
      <c r="R996" s="2" t="inlineStr"/>
    </row>
    <row r="997" ht="15" customHeight="1">
      <c r="A997" t="inlineStr">
        <is>
          <t>A 3938-2024</t>
        </is>
      </c>
      <c r="B997" s="1" t="n">
        <v>45322</v>
      </c>
      <c r="C997" s="1" t="n">
        <v>46102</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33790-2025</t>
        </is>
      </c>
      <c r="B998" s="1" t="n">
        <v>45842.42608796297</v>
      </c>
      <c r="C998" s="1" t="n">
        <v>46102</v>
      </c>
      <c r="D998" t="inlineStr">
        <is>
          <t>JÄMTLANDS LÄN</t>
        </is>
      </c>
      <c r="E998" t="inlineStr">
        <is>
          <t>RAGUNDA</t>
        </is>
      </c>
      <c r="G998" t="n">
        <v>0.3</v>
      </c>
      <c r="H998" t="n">
        <v>0</v>
      </c>
      <c r="I998" t="n">
        <v>0</v>
      </c>
      <c r="J998" t="n">
        <v>0</v>
      </c>
      <c r="K998" t="n">
        <v>0</v>
      </c>
      <c r="L998" t="n">
        <v>0</v>
      </c>
      <c r="M998" t="n">
        <v>0</v>
      </c>
      <c r="N998" t="n">
        <v>0</v>
      </c>
      <c r="O998" t="n">
        <v>0</v>
      </c>
      <c r="P998" t="n">
        <v>0</v>
      </c>
      <c r="Q998" t="n">
        <v>0</v>
      </c>
      <c r="R998" s="2" t="inlineStr"/>
    </row>
    <row r="999" ht="15" customHeight="1">
      <c r="A999" t="inlineStr">
        <is>
          <t>A 34607-2025</t>
        </is>
      </c>
      <c r="B999" s="1" t="n">
        <v>45847.65703703704</v>
      </c>
      <c r="C999" s="1" t="n">
        <v>46102</v>
      </c>
      <c r="D999" t="inlineStr">
        <is>
          <t>JÄMTLANDS LÄN</t>
        </is>
      </c>
      <c r="E999" t="inlineStr">
        <is>
          <t>RAGUNDA</t>
        </is>
      </c>
      <c r="F999" t="inlineStr">
        <is>
          <t>SCA</t>
        </is>
      </c>
      <c r="G999" t="n">
        <v>31.4</v>
      </c>
      <c r="H999" t="n">
        <v>0</v>
      </c>
      <c r="I999" t="n">
        <v>0</v>
      </c>
      <c r="J999" t="n">
        <v>0</v>
      </c>
      <c r="K999" t="n">
        <v>0</v>
      </c>
      <c r="L999" t="n">
        <v>0</v>
      </c>
      <c r="M999" t="n">
        <v>0</v>
      </c>
      <c r="N999" t="n">
        <v>0</v>
      </c>
      <c r="O999" t="n">
        <v>0</v>
      </c>
      <c r="P999" t="n">
        <v>0</v>
      </c>
      <c r="Q999" t="n">
        <v>0</v>
      </c>
      <c r="R999" s="2" t="inlineStr"/>
    </row>
    <row r="1000" ht="15" customHeight="1">
      <c r="A1000" t="inlineStr">
        <is>
          <t>A 34461-2025</t>
        </is>
      </c>
      <c r="B1000" s="1" t="n">
        <v>45847.34474537037</v>
      </c>
      <c r="C1000" s="1" t="n">
        <v>46102</v>
      </c>
      <c r="D1000" t="inlineStr">
        <is>
          <t>JÄMTLANDS LÄN</t>
        </is>
      </c>
      <c r="E1000" t="inlineStr">
        <is>
          <t>RAGUNDA</t>
        </is>
      </c>
      <c r="F1000" t="inlineStr">
        <is>
          <t>SCA</t>
        </is>
      </c>
      <c r="G1000" t="n">
        <v>44.8</v>
      </c>
      <c r="H1000" t="n">
        <v>0</v>
      </c>
      <c r="I1000" t="n">
        <v>0</v>
      </c>
      <c r="J1000" t="n">
        <v>0</v>
      </c>
      <c r="K1000" t="n">
        <v>0</v>
      </c>
      <c r="L1000" t="n">
        <v>0</v>
      </c>
      <c r="M1000" t="n">
        <v>0</v>
      </c>
      <c r="N1000" t="n">
        <v>0</v>
      </c>
      <c r="O1000" t="n">
        <v>0</v>
      </c>
      <c r="P1000" t="n">
        <v>0</v>
      </c>
      <c r="Q1000" t="n">
        <v>0</v>
      </c>
      <c r="R1000" s="2" t="inlineStr"/>
    </row>
    <row r="1001" ht="15" customHeight="1">
      <c r="A1001" t="inlineStr">
        <is>
          <t>A 34464-2025</t>
        </is>
      </c>
      <c r="B1001" s="1" t="n">
        <v>45847.34528935186</v>
      </c>
      <c r="C1001" s="1" t="n">
        <v>46102</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34468-2025</t>
        </is>
      </c>
      <c r="B1002" s="1" t="n">
        <v>45847.34597222223</v>
      </c>
      <c r="C1002" s="1" t="n">
        <v>46102</v>
      </c>
      <c r="D1002" t="inlineStr">
        <is>
          <t>JÄMTLANDS LÄN</t>
        </is>
      </c>
      <c r="E1002" t="inlineStr">
        <is>
          <t>RAGUNDA</t>
        </is>
      </c>
      <c r="F1002" t="inlineStr">
        <is>
          <t>SCA</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34466-2025</t>
        </is>
      </c>
      <c r="B1003" s="1" t="n">
        <v>45847.34565972222</v>
      </c>
      <c r="C1003" s="1" t="n">
        <v>46102</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53144-2024</t>
        </is>
      </c>
      <c r="B1004" s="1" t="n">
        <v>45611</v>
      </c>
      <c r="C1004" s="1" t="n">
        <v>46102</v>
      </c>
      <c r="D1004" t="inlineStr">
        <is>
          <t>JÄMTLANDS LÄN</t>
        </is>
      </c>
      <c r="E1004" t="inlineStr">
        <is>
          <t>RAGUNDA</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34463-2025</t>
        </is>
      </c>
      <c r="B1005" s="1" t="n">
        <v>45847.34515046296</v>
      </c>
      <c r="C1005" s="1" t="n">
        <v>46102</v>
      </c>
      <c r="D1005" t="inlineStr">
        <is>
          <t>JÄMTLANDS LÄN</t>
        </is>
      </c>
      <c r="E1005" t="inlineStr">
        <is>
          <t>RAGUNDA</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34586-2025</t>
        </is>
      </c>
      <c r="B1006" s="1" t="n">
        <v>45847.61513888889</v>
      </c>
      <c r="C1006" s="1" t="n">
        <v>46102</v>
      </c>
      <c r="D1006" t="inlineStr">
        <is>
          <t>JÄMTLANDS LÄN</t>
        </is>
      </c>
      <c r="E1006" t="inlineStr">
        <is>
          <t>RAGUNDA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34588-2025</t>
        </is>
      </c>
      <c r="B1007" s="1" t="n">
        <v>45847.61548611111</v>
      </c>
      <c r="C1007" s="1" t="n">
        <v>46102</v>
      </c>
      <c r="D1007" t="inlineStr">
        <is>
          <t>JÄMTLANDS LÄN</t>
        </is>
      </c>
      <c r="E1007" t="inlineStr">
        <is>
          <t>RAGUNDA</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34296-2025</t>
        </is>
      </c>
      <c r="B1008" s="1" t="n">
        <v>45846.34454861111</v>
      </c>
      <c r="C1008" s="1" t="n">
        <v>46102</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34709-2025</t>
        </is>
      </c>
      <c r="B1009" s="1" t="n">
        <v>45848.49761574074</v>
      </c>
      <c r="C1009" s="1" t="n">
        <v>46102</v>
      </c>
      <c r="D1009" t="inlineStr">
        <is>
          <t>JÄMTLANDS LÄN</t>
        </is>
      </c>
      <c r="E1009" t="inlineStr">
        <is>
          <t>RAGUNDA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22311-2024</t>
        </is>
      </c>
      <c r="B1010" s="1" t="n">
        <v>45446.57052083333</v>
      </c>
      <c r="C1010" s="1" t="n">
        <v>46102</v>
      </c>
      <c r="D1010" t="inlineStr">
        <is>
          <t>JÄMTLANDS LÄN</t>
        </is>
      </c>
      <c r="E1010" t="inlineStr">
        <is>
          <t>RAGUNDA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34772-2025</t>
        </is>
      </c>
      <c r="B1011" s="1" t="n">
        <v>45848.65658564815</v>
      </c>
      <c r="C1011" s="1" t="n">
        <v>46102</v>
      </c>
      <c r="D1011" t="inlineStr">
        <is>
          <t>JÄMTLANDS LÄN</t>
        </is>
      </c>
      <c r="E1011" t="inlineStr">
        <is>
          <t>RAGUNDA</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34710-2025</t>
        </is>
      </c>
      <c r="B1012" s="1" t="n">
        <v>45848.49774305556</v>
      </c>
      <c r="C1012" s="1" t="n">
        <v>46102</v>
      </c>
      <c r="D1012" t="inlineStr">
        <is>
          <t>JÄMTLANDS LÄN</t>
        </is>
      </c>
      <c r="E1012" t="inlineStr">
        <is>
          <t>RAGUNDA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34968-2025</t>
        </is>
      </c>
      <c r="B1013" s="1" t="n">
        <v>45849.65663194445</v>
      </c>
      <c r="C1013" s="1" t="n">
        <v>46102</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19403-2025</t>
        </is>
      </c>
      <c r="B1014" s="1" t="n">
        <v>45769.67790509259</v>
      </c>
      <c r="C1014" s="1" t="n">
        <v>46102</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34998-2025</t>
        </is>
      </c>
      <c r="B1015" s="1" t="n">
        <v>45850.34434027778</v>
      </c>
      <c r="C1015" s="1" t="n">
        <v>46102</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34999-2025</t>
        </is>
      </c>
      <c r="B1016" s="1" t="n">
        <v>45850.34450231482</v>
      </c>
      <c r="C1016" s="1" t="n">
        <v>46102</v>
      </c>
      <c r="D1016" t="inlineStr">
        <is>
          <t>JÄMTLANDS LÄN</t>
        </is>
      </c>
      <c r="E1016" t="inlineStr">
        <is>
          <t>RAGUNDA</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35092-2025</t>
        </is>
      </c>
      <c r="B1017" s="1" t="n">
        <v>45852.53185185185</v>
      </c>
      <c r="C1017" s="1" t="n">
        <v>46102</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35091-2025</t>
        </is>
      </c>
      <c r="B1018" s="1" t="n">
        <v>45852.53168981482</v>
      </c>
      <c r="C1018" s="1" t="n">
        <v>46102</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11147-2025</t>
        </is>
      </c>
      <c r="B1019" s="1" t="n">
        <v>45723.67777777778</v>
      </c>
      <c r="C1019" s="1" t="n">
        <v>46102</v>
      </c>
      <c r="D1019" t="inlineStr">
        <is>
          <t>JÄMTLANDS LÄN</t>
        </is>
      </c>
      <c r="E1019" t="inlineStr">
        <is>
          <t>RAGUNDA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35462-2025</t>
        </is>
      </c>
      <c r="B1020" s="1" t="n">
        <v>45855.61523148148</v>
      </c>
      <c r="C1020" s="1" t="n">
        <v>46102</v>
      </c>
      <c r="D1020" t="inlineStr">
        <is>
          <t>JÄMTLANDS LÄN</t>
        </is>
      </c>
      <c r="E1020" t="inlineStr">
        <is>
          <t>RAGUNDA</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35355-2025</t>
        </is>
      </c>
      <c r="B1021" s="1" t="n">
        <v>45854.65663194445</v>
      </c>
      <c r="C1021" s="1" t="n">
        <v>46102</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35477-2025</t>
        </is>
      </c>
      <c r="B1022" s="1" t="n">
        <v>45855.67899305555</v>
      </c>
      <c r="C1022" s="1" t="n">
        <v>46102</v>
      </c>
      <c r="D1022" t="inlineStr">
        <is>
          <t>JÄMTLANDS LÄN</t>
        </is>
      </c>
      <c r="E1022" t="inlineStr">
        <is>
          <t>RAGUNDA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9847-2025</t>
        </is>
      </c>
      <c r="B1023" s="1" t="n">
        <v>45716.61487268518</v>
      </c>
      <c r="C1023" s="1" t="n">
        <v>46102</v>
      </c>
      <c r="D1023" t="inlineStr">
        <is>
          <t>JÄMTLANDS LÄN</t>
        </is>
      </c>
      <c r="E1023" t="inlineStr">
        <is>
          <t>RAGUNDA</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35541-2025</t>
        </is>
      </c>
      <c r="B1024" s="1" t="n">
        <v>45856.46931712963</v>
      </c>
      <c r="C1024" s="1" t="n">
        <v>46102</v>
      </c>
      <c r="D1024" t="inlineStr">
        <is>
          <t>JÄMTLANDS LÄN</t>
        </is>
      </c>
      <c r="E1024" t="inlineStr">
        <is>
          <t>RAGUNDA</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28173-2024</t>
        </is>
      </c>
      <c r="B1025" s="1" t="n">
        <v>45476.94533564815</v>
      </c>
      <c r="C1025" s="1" t="n">
        <v>46102</v>
      </c>
      <c r="D1025" t="inlineStr">
        <is>
          <t>JÄMTLANDS LÄN</t>
        </is>
      </c>
      <c r="E1025" t="inlineStr">
        <is>
          <t>RAGUNDA</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23734-2024</t>
        </is>
      </c>
      <c r="B1026" s="1" t="n">
        <v>45454.95960648148</v>
      </c>
      <c r="C1026" s="1" t="n">
        <v>46102</v>
      </c>
      <c r="D1026" t="inlineStr">
        <is>
          <t>JÄMTLANDS LÄN</t>
        </is>
      </c>
      <c r="E1026" t="inlineStr">
        <is>
          <t>RAGUNDA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35658-2025</t>
        </is>
      </c>
      <c r="B1027" s="1" t="n">
        <v>45859.594375</v>
      </c>
      <c r="C1027" s="1" t="n">
        <v>46102</v>
      </c>
      <c r="D1027" t="inlineStr">
        <is>
          <t>JÄMTLANDS LÄN</t>
        </is>
      </c>
      <c r="E1027" t="inlineStr">
        <is>
          <t>RAGUNDA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38425-2022</t>
        </is>
      </c>
      <c r="B1028" s="1" t="n">
        <v>44812.94709490741</v>
      </c>
      <c r="C1028" s="1" t="n">
        <v>46102</v>
      </c>
      <c r="D1028" t="inlineStr">
        <is>
          <t>JÄMTLANDS LÄN</t>
        </is>
      </c>
      <c r="E1028" t="inlineStr">
        <is>
          <t>RAGUNDA</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12995-2023</t>
        </is>
      </c>
      <c r="B1029" s="1" t="n">
        <v>45002.0328125</v>
      </c>
      <c r="C1029" s="1" t="n">
        <v>46102</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44755-2024</t>
        </is>
      </c>
      <c r="B1030" s="1" t="n">
        <v>45574.61184027778</v>
      </c>
      <c r="C1030" s="1" t="n">
        <v>46102</v>
      </c>
      <c r="D1030" t="inlineStr">
        <is>
          <t>JÄMTLANDS LÄN</t>
        </is>
      </c>
      <c r="E1030" t="inlineStr">
        <is>
          <t>RAGUNDA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44766-2024</t>
        </is>
      </c>
      <c r="B1031" s="1" t="n">
        <v>45574.62297453704</v>
      </c>
      <c r="C1031" s="1" t="n">
        <v>46102</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35689-2025</t>
        </is>
      </c>
      <c r="B1032" s="1" t="n">
        <v>45860.30229166667</v>
      </c>
      <c r="C1032" s="1" t="n">
        <v>46102</v>
      </c>
      <c r="D1032" t="inlineStr">
        <is>
          <t>JÄMTLANDS LÄN</t>
        </is>
      </c>
      <c r="E1032" t="inlineStr">
        <is>
          <t>RAGUNDA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16676-2022</t>
        </is>
      </c>
      <c r="B1033" s="1" t="n">
        <v>44672.94018518519</v>
      </c>
      <c r="C1033" s="1" t="n">
        <v>46102</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55536-2024</t>
        </is>
      </c>
      <c r="B1034" s="1" t="n">
        <v>45622</v>
      </c>
      <c r="C1034" s="1" t="n">
        <v>46102</v>
      </c>
      <c r="D1034" t="inlineStr">
        <is>
          <t>JÄMTLANDS LÄN</t>
        </is>
      </c>
      <c r="E1034" t="inlineStr">
        <is>
          <t>RAGUNDA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44597-2024</t>
        </is>
      </c>
      <c r="B1035" s="1" t="n">
        <v>45574.51087962963</v>
      </c>
      <c r="C1035" s="1" t="n">
        <v>46102</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44598-2024</t>
        </is>
      </c>
      <c r="B1036" s="1" t="n">
        <v>45574.51090277778</v>
      </c>
      <c r="C1036" s="1" t="n">
        <v>46102</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54092-2024</t>
        </is>
      </c>
      <c r="B1037" s="1" t="n">
        <v>45616.5108912037</v>
      </c>
      <c r="C1037" s="1" t="n">
        <v>46102</v>
      </c>
      <c r="D1037" t="inlineStr">
        <is>
          <t>JÄMTLANDS LÄN</t>
        </is>
      </c>
      <c r="E1037" t="inlineStr">
        <is>
          <t>RAGUNDA</t>
        </is>
      </c>
      <c r="F1037" t="inlineStr">
        <is>
          <t>Naturvårdsverket</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18610-2024</t>
        </is>
      </c>
      <c r="B1038" s="1" t="n">
        <v>45425.96230324074</v>
      </c>
      <c r="C1038" s="1" t="n">
        <v>46102</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57116-2024</t>
        </is>
      </c>
      <c r="B1039" s="1" t="n">
        <v>45629.36513888889</v>
      </c>
      <c r="C1039" s="1" t="n">
        <v>46102</v>
      </c>
      <c r="D1039" t="inlineStr">
        <is>
          <t>JÄMTLANDS LÄN</t>
        </is>
      </c>
      <c r="E1039" t="inlineStr">
        <is>
          <t>RAGUNDA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3104-2025</t>
        </is>
      </c>
      <c r="B1040" s="1" t="n">
        <v>45678.67761574074</v>
      </c>
      <c r="C1040" s="1" t="n">
        <v>46102</v>
      </c>
      <c r="D1040" t="inlineStr">
        <is>
          <t>JÄMTLANDS LÄN</t>
        </is>
      </c>
      <c r="E1040" t="inlineStr">
        <is>
          <t>RAGUNDA</t>
        </is>
      </c>
      <c r="F1040" t="inlineStr">
        <is>
          <t>SCA</t>
        </is>
      </c>
      <c r="G1040" t="n">
        <v>46.2</v>
      </c>
      <c r="H1040" t="n">
        <v>0</v>
      </c>
      <c r="I1040" t="n">
        <v>0</v>
      </c>
      <c r="J1040" t="n">
        <v>0</v>
      </c>
      <c r="K1040" t="n">
        <v>0</v>
      </c>
      <c r="L1040" t="n">
        <v>0</v>
      </c>
      <c r="M1040" t="n">
        <v>0</v>
      </c>
      <c r="N1040" t="n">
        <v>0</v>
      </c>
      <c r="O1040" t="n">
        <v>0</v>
      </c>
      <c r="P1040" t="n">
        <v>0</v>
      </c>
      <c r="Q1040" t="n">
        <v>0</v>
      </c>
      <c r="R1040" s="2" t="inlineStr"/>
    </row>
    <row r="1041" ht="15" customHeight="1">
      <c r="A1041" t="inlineStr">
        <is>
          <t>A 36541-2025</t>
        </is>
      </c>
      <c r="B1041" s="1" t="n">
        <v>45869.65666666667</v>
      </c>
      <c r="C1041" s="1" t="n">
        <v>46102</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36544-2025</t>
        </is>
      </c>
      <c r="B1042" s="1" t="n">
        <v>45869.67744212963</v>
      </c>
      <c r="C1042" s="1" t="n">
        <v>46102</v>
      </c>
      <c r="D1042" t="inlineStr">
        <is>
          <t>JÄMTLANDS LÄN</t>
        </is>
      </c>
      <c r="E1042" t="inlineStr">
        <is>
          <t>RAGUNDA</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40246-2024</t>
        </is>
      </c>
      <c r="B1043" s="1" t="n">
        <v>45554.61583333334</v>
      </c>
      <c r="C1043" s="1" t="n">
        <v>46102</v>
      </c>
      <c r="D1043" t="inlineStr">
        <is>
          <t>JÄMTLANDS LÄN</t>
        </is>
      </c>
      <c r="E1043" t="inlineStr">
        <is>
          <t>RAGUNDA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36553-2025</t>
        </is>
      </c>
      <c r="B1044" s="1" t="n">
        <v>45870.34439814815</v>
      </c>
      <c r="C1044" s="1" t="n">
        <v>46102</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4878-2022</t>
        </is>
      </c>
      <c r="B1045" s="1" t="n">
        <v>44593</v>
      </c>
      <c r="C1045" s="1" t="n">
        <v>46102</v>
      </c>
      <c r="D1045" t="inlineStr">
        <is>
          <t>JÄMTLANDS LÄN</t>
        </is>
      </c>
      <c r="E1045" t="inlineStr">
        <is>
          <t>RAGUNDA</t>
        </is>
      </c>
      <c r="G1045" t="n">
        <v>21.7</v>
      </c>
      <c r="H1045" t="n">
        <v>0</v>
      </c>
      <c r="I1045" t="n">
        <v>0</v>
      </c>
      <c r="J1045" t="n">
        <v>0</v>
      </c>
      <c r="K1045" t="n">
        <v>0</v>
      </c>
      <c r="L1045" t="n">
        <v>0</v>
      </c>
      <c r="M1045" t="n">
        <v>0</v>
      </c>
      <c r="N1045" t="n">
        <v>0</v>
      </c>
      <c r="O1045" t="n">
        <v>0</v>
      </c>
      <c r="P1045" t="n">
        <v>0</v>
      </c>
      <c r="Q1045" t="n">
        <v>0</v>
      </c>
      <c r="R1045" s="2" t="inlineStr"/>
    </row>
    <row r="1046" ht="15" customHeight="1">
      <c r="A1046" t="inlineStr">
        <is>
          <t>A 57237-2022</t>
        </is>
      </c>
      <c r="B1046" s="1" t="n">
        <v>44889</v>
      </c>
      <c r="C1046" s="1" t="n">
        <v>46102</v>
      </c>
      <c r="D1046" t="inlineStr">
        <is>
          <t>JÄMTLANDS LÄN</t>
        </is>
      </c>
      <c r="E1046" t="inlineStr">
        <is>
          <t>RAGUNDA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2133-2023</t>
        </is>
      </c>
      <c r="B1047" s="1" t="n">
        <v>44939</v>
      </c>
      <c r="C1047" s="1" t="n">
        <v>46102</v>
      </c>
      <c r="D1047" t="inlineStr">
        <is>
          <t>JÄMTLANDS LÄN</t>
        </is>
      </c>
      <c r="E1047" t="inlineStr">
        <is>
          <t>RAGUNDA</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19419-2024</t>
        </is>
      </c>
      <c r="B1048" s="1" t="n">
        <v>45429</v>
      </c>
      <c r="C1048" s="1" t="n">
        <v>46102</v>
      </c>
      <c r="D1048" t="inlineStr">
        <is>
          <t>JÄMTLANDS LÄN</t>
        </is>
      </c>
      <c r="E1048" t="inlineStr">
        <is>
          <t>RAGUNDA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32075-2025</t>
        </is>
      </c>
      <c r="B1049" s="1" t="n">
        <v>45835.4506712963</v>
      </c>
      <c r="C1049" s="1" t="n">
        <v>46102</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19383-2025</t>
        </is>
      </c>
      <c r="B1050" s="1" t="n">
        <v>45769.65688657408</v>
      </c>
      <c r="C1050" s="1" t="n">
        <v>46102</v>
      </c>
      <c r="D1050" t="inlineStr">
        <is>
          <t>JÄMTLANDS LÄN</t>
        </is>
      </c>
      <c r="E1050" t="inlineStr">
        <is>
          <t>RAGUNDA</t>
        </is>
      </c>
      <c r="F1050" t="inlineStr">
        <is>
          <t>SCA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49229-2024</t>
        </is>
      </c>
      <c r="B1051" s="1" t="n">
        <v>45595.42738425926</v>
      </c>
      <c r="C1051" s="1" t="n">
        <v>46102</v>
      </c>
      <c r="D1051" t="inlineStr">
        <is>
          <t>JÄMTLANDS LÄN</t>
        </is>
      </c>
      <c r="E1051" t="inlineStr">
        <is>
          <t>RAGUNDA</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46102</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51389-2024</t>
        </is>
      </c>
      <c r="B1053" s="1" t="n">
        <v>45604.40540509259</v>
      </c>
      <c r="C1053" s="1" t="n">
        <v>46102</v>
      </c>
      <c r="D1053" t="inlineStr">
        <is>
          <t>JÄMTLANDS LÄN</t>
        </is>
      </c>
      <c r="E1053" t="inlineStr">
        <is>
          <t>RAGUNDA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51393-2024</t>
        </is>
      </c>
      <c r="B1054" s="1" t="n">
        <v>45604.41625</v>
      </c>
      <c r="C1054" s="1" t="n">
        <v>46102</v>
      </c>
      <c r="D1054" t="inlineStr">
        <is>
          <t>JÄMTLANDS LÄN</t>
        </is>
      </c>
      <c r="E1054" t="inlineStr">
        <is>
          <t>RAGUNDA</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32874-2025</t>
        </is>
      </c>
      <c r="B1055" s="1" t="n">
        <v>45839</v>
      </c>
      <c r="C1055" s="1" t="n">
        <v>46102</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36994-2025</t>
        </is>
      </c>
      <c r="B1056" s="1" t="n">
        <v>45874.67746527777</v>
      </c>
      <c r="C1056" s="1" t="n">
        <v>46102</v>
      </c>
      <c r="D1056" t="inlineStr">
        <is>
          <t>JÄMTLANDS LÄN</t>
        </is>
      </c>
      <c r="E1056" t="inlineStr">
        <is>
          <t>RAGUNDA</t>
        </is>
      </c>
      <c r="F1056" t="inlineStr">
        <is>
          <t>SCA</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37008-2025</t>
        </is>
      </c>
      <c r="B1057" s="1" t="n">
        <v>45874.69844907407</v>
      </c>
      <c r="C1057" s="1" t="n">
        <v>46102</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36947-2025</t>
        </is>
      </c>
      <c r="B1058" s="1" t="n">
        <v>45874.59496527778</v>
      </c>
      <c r="C1058" s="1" t="n">
        <v>46102</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20987-2023</t>
        </is>
      </c>
      <c r="B1059" s="1" t="n">
        <v>45056</v>
      </c>
      <c r="C1059" s="1" t="n">
        <v>46102</v>
      </c>
      <c r="D1059" t="inlineStr">
        <is>
          <t>JÄMTLANDS LÄN</t>
        </is>
      </c>
      <c r="E1059" t="inlineStr">
        <is>
          <t>RAGUNDA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20994-2023</t>
        </is>
      </c>
      <c r="B1060" s="1" t="n">
        <v>45056</v>
      </c>
      <c r="C1060" s="1" t="n">
        <v>46102</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37292-2025</t>
        </is>
      </c>
      <c r="B1061" s="1" t="n">
        <v>45876.53188657408</v>
      </c>
      <c r="C1061" s="1" t="n">
        <v>46102</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55669-2023</t>
        </is>
      </c>
      <c r="B1062" s="1" t="n">
        <v>45238.96797453704</v>
      </c>
      <c r="C1062" s="1" t="n">
        <v>46102</v>
      </c>
      <c r="D1062" t="inlineStr">
        <is>
          <t>JÄMTLANDS LÄN</t>
        </is>
      </c>
      <c r="E1062" t="inlineStr">
        <is>
          <t>RAGUNDA</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32063-2024</t>
        </is>
      </c>
      <c r="B1063" s="1" t="n">
        <v>45510</v>
      </c>
      <c r="C1063" s="1" t="n">
        <v>46102</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10641-2024</t>
        </is>
      </c>
      <c r="B1064" s="1" t="n">
        <v>45367.69850694444</v>
      </c>
      <c r="C1064" s="1" t="n">
        <v>46102</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10644-2024</t>
        </is>
      </c>
      <c r="B1065" s="1" t="n">
        <v>45367.71348379629</v>
      </c>
      <c r="C1065" s="1" t="n">
        <v>46102</v>
      </c>
      <c r="D1065" t="inlineStr">
        <is>
          <t>JÄMTLANDS LÄN</t>
        </is>
      </c>
      <c r="E1065" t="inlineStr">
        <is>
          <t>RAGUNDA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20426-2024</t>
        </is>
      </c>
      <c r="B1066" s="1" t="n">
        <v>45435</v>
      </c>
      <c r="C1066" s="1" t="n">
        <v>46102</v>
      </c>
      <c r="D1066" t="inlineStr">
        <is>
          <t>JÄMTLANDS LÄN</t>
        </is>
      </c>
      <c r="E1066" t="inlineStr">
        <is>
          <t>RAGUNDA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17742-2022</t>
        </is>
      </c>
      <c r="B1067" s="1" t="n">
        <v>44680.95246527778</v>
      </c>
      <c r="C1067" s="1" t="n">
        <v>46102</v>
      </c>
      <c r="D1067" t="inlineStr">
        <is>
          <t>JÄMTLANDS LÄN</t>
        </is>
      </c>
      <c r="E1067" t="inlineStr">
        <is>
          <t>RAGUNDA</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30825-2023</t>
        </is>
      </c>
      <c r="B1068" s="1" t="n">
        <v>45112.94310185185</v>
      </c>
      <c r="C1068" s="1" t="n">
        <v>46102</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9084-2023</t>
        </is>
      </c>
      <c r="B1069" s="1" t="n">
        <v>44979</v>
      </c>
      <c r="C1069" s="1" t="n">
        <v>46102</v>
      </c>
      <c r="D1069" t="inlineStr">
        <is>
          <t>JÄMTLANDS LÄN</t>
        </is>
      </c>
      <c r="E1069" t="inlineStr">
        <is>
          <t>RAGUNDA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9326-2024</t>
        </is>
      </c>
      <c r="B1070" s="1" t="n">
        <v>45358.95818287037</v>
      </c>
      <c r="C1070" s="1" t="n">
        <v>46102</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7520-2023</t>
        </is>
      </c>
      <c r="B1071" s="1" t="n">
        <v>44971</v>
      </c>
      <c r="C1071" s="1" t="n">
        <v>46102</v>
      </c>
      <c r="D1071" t="inlineStr">
        <is>
          <t>JÄMTLANDS LÄN</t>
        </is>
      </c>
      <c r="E1071" t="inlineStr">
        <is>
          <t>RAGUNDA</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9504-2025</t>
        </is>
      </c>
      <c r="B1072" s="1" t="n">
        <v>45714</v>
      </c>
      <c r="C1072" s="1" t="n">
        <v>46102</v>
      </c>
      <c r="D1072" t="inlineStr">
        <is>
          <t>JÄMTLANDS LÄN</t>
        </is>
      </c>
      <c r="E1072" t="inlineStr">
        <is>
          <t>RAGUNDA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21662-2023</t>
        </is>
      </c>
      <c r="B1073" s="1" t="n">
        <v>45063</v>
      </c>
      <c r="C1073" s="1" t="n">
        <v>46102</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44727-2024</t>
        </is>
      </c>
      <c r="B1074" s="1" t="n">
        <v>45574.57967592592</v>
      </c>
      <c r="C1074" s="1" t="n">
        <v>46102</v>
      </c>
      <c r="D1074" t="inlineStr">
        <is>
          <t>JÄMTLANDS LÄN</t>
        </is>
      </c>
      <c r="E1074" t="inlineStr">
        <is>
          <t>RAGUNDA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21083-2024</t>
        </is>
      </c>
      <c r="B1075" s="1" t="n">
        <v>45439.92752314815</v>
      </c>
      <c r="C1075" s="1" t="n">
        <v>46102</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462-2023</t>
        </is>
      </c>
      <c r="B1076" s="1" t="n">
        <v>44929</v>
      </c>
      <c r="C1076" s="1" t="n">
        <v>46102</v>
      </c>
      <c r="D1076" t="inlineStr">
        <is>
          <t>JÄMTLANDS LÄN</t>
        </is>
      </c>
      <c r="E1076" t="inlineStr">
        <is>
          <t>RAGUNDA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12050-2023</t>
        </is>
      </c>
      <c r="B1077" s="1" t="n">
        <v>44995.98644675926</v>
      </c>
      <c r="C1077" s="1" t="n">
        <v>46102</v>
      </c>
      <c r="D1077" t="inlineStr">
        <is>
          <t>JÄMTLANDS LÄN</t>
        </is>
      </c>
      <c r="E1077" t="inlineStr">
        <is>
          <t>RAGUNDA</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62358-2023</t>
        </is>
      </c>
      <c r="B1078" s="1" t="n">
        <v>45267</v>
      </c>
      <c r="C1078" s="1" t="n">
        <v>46102</v>
      </c>
      <c r="D1078" t="inlineStr">
        <is>
          <t>JÄMTLANDS LÄN</t>
        </is>
      </c>
      <c r="E1078" t="inlineStr">
        <is>
          <t>RAGUNDA</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18820-2023</t>
        </is>
      </c>
      <c r="B1079" s="1" t="n">
        <v>45042</v>
      </c>
      <c r="C1079" s="1" t="n">
        <v>46102</v>
      </c>
      <c r="D1079" t="inlineStr">
        <is>
          <t>JÄMTLANDS LÄN</t>
        </is>
      </c>
      <c r="E1079" t="inlineStr">
        <is>
          <t>RAGUNDA</t>
        </is>
      </c>
      <c r="G1079" t="n">
        <v>18.8</v>
      </c>
      <c r="H1079" t="n">
        <v>0</v>
      </c>
      <c r="I1079" t="n">
        <v>0</v>
      </c>
      <c r="J1079" t="n">
        <v>0</v>
      </c>
      <c r="K1079" t="n">
        <v>0</v>
      </c>
      <c r="L1079" t="n">
        <v>0</v>
      </c>
      <c r="M1079" t="n">
        <v>0</v>
      </c>
      <c r="N1079" t="n">
        <v>0</v>
      </c>
      <c r="O1079" t="n">
        <v>0</v>
      </c>
      <c r="P1079" t="n">
        <v>0</v>
      </c>
      <c r="Q1079" t="n">
        <v>0</v>
      </c>
      <c r="R1079" s="2" t="inlineStr"/>
    </row>
    <row r="1080" ht="15" customHeight="1">
      <c r="A1080" t="inlineStr">
        <is>
          <t>A 49648-2023</t>
        </is>
      </c>
      <c r="B1080" s="1" t="n">
        <v>45211.95061342593</v>
      </c>
      <c r="C1080" s="1" t="n">
        <v>46102</v>
      </c>
      <c r="D1080" t="inlineStr">
        <is>
          <t>JÄMTLANDS LÄN</t>
        </is>
      </c>
      <c r="E1080" t="inlineStr">
        <is>
          <t>RAGUNDA</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51537-2022</t>
        </is>
      </c>
      <c r="B1081" s="1" t="n">
        <v>44869</v>
      </c>
      <c r="C1081" s="1" t="n">
        <v>46102</v>
      </c>
      <c r="D1081" t="inlineStr">
        <is>
          <t>JÄMTLANDS LÄN</t>
        </is>
      </c>
      <c r="E1081" t="inlineStr">
        <is>
          <t>RAGUNDA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59044-2022</t>
        </is>
      </c>
      <c r="B1082" s="1" t="n">
        <v>44903</v>
      </c>
      <c r="C1082" s="1" t="n">
        <v>46102</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5958-2023</t>
        </is>
      </c>
      <c r="B1083" s="1" t="n">
        <v>44963</v>
      </c>
      <c r="C1083" s="1" t="n">
        <v>46102</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8779-2025</t>
        </is>
      </c>
      <c r="B1084" s="1" t="n">
        <v>45712.61552083334</v>
      </c>
      <c r="C1084" s="1" t="n">
        <v>46102</v>
      </c>
      <c r="D1084" t="inlineStr">
        <is>
          <t>JÄMTLANDS LÄN</t>
        </is>
      </c>
      <c r="E1084" t="inlineStr">
        <is>
          <t>RAGUNDA</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61400-2022</t>
        </is>
      </c>
      <c r="B1085" s="1" t="n">
        <v>44915</v>
      </c>
      <c r="C1085" s="1" t="n">
        <v>46102</v>
      </c>
      <c r="D1085" t="inlineStr">
        <is>
          <t>JÄMTLANDS LÄN</t>
        </is>
      </c>
      <c r="E1085" t="inlineStr">
        <is>
          <t>RAGUNDA</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4348-2023</t>
        </is>
      </c>
      <c r="B1086" s="1" t="n">
        <v>44953</v>
      </c>
      <c r="C1086" s="1" t="n">
        <v>46102</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56286-2023</t>
        </is>
      </c>
      <c r="B1087" s="1" t="n">
        <v>45241.95741898148</v>
      </c>
      <c r="C1087" s="1" t="n">
        <v>46102</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56287-2023</t>
        </is>
      </c>
      <c r="B1088" s="1" t="n">
        <v>45241</v>
      </c>
      <c r="C1088" s="1" t="n">
        <v>46102</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62135-2024</t>
        </is>
      </c>
      <c r="B1089" s="1" t="n">
        <v>45656.64223379629</v>
      </c>
      <c r="C1089" s="1" t="n">
        <v>46102</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18248-2023</t>
        </is>
      </c>
      <c r="B1090" s="1" t="n">
        <v>45040</v>
      </c>
      <c r="C1090" s="1" t="n">
        <v>46102</v>
      </c>
      <c r="D1090" t="inlineStr">
        <is>
          <t>JÄMTLANDS LÄN</t>
        </is>
      </c>
      <c r="E1090" t="inlineStr">
        <is>
          <t>RAGUNDA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8802-2022</t>
        </is>
      </c>
      <c r="B1091" s="1" t="n">
        <v>44614</v>
      </c>
      <c r="C1091" s="1" t="n">
        <v>46102</v>
      </c>
      <c r="D1091" t="inlineStr">
        <is>
          <t>JÄMTLANDS LÄN</t>
        </is>
      </c>
      <c r="E1091" t="inlineStr">
        <is>
          <t>RAGUNDA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39489-2023</t>
        </is>
      </c>
      <c r="B1092" s="1" t="n">
        <v>45166</v>
      </c>
      <c r="C1092" s="1" t="n">
        <v>46102</v>
      </c>
      <c r="D1092" t="inlineStr">
        <is>
          <t>JÄMTLANDS LÄN</t>
        </is>
      </c>
      <c r="E1092" t="inlineStr">
        <is>
          <t>RAGUNDA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55214-2022</t>
        </is>
      </c>
      <c r="B1093" s="1" t="n">
        <v>44886</v>
      </c>
      <c r="C1093" s="1" t="n">
        <v>46102</v>
      </c>
      <c r="D1093" t="inlineStr">
        <is>
          <t>JÄMTLANDS LÄN</t>
        </is>
      </c>
      <c r="E1093" t="inlineStr">
        <is>
          <t>RAGUNDA</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7722-2023</t>
        </is>
      </c>
      <c r="B1094" s="1" t="n">
        <v>44972.94140046297</v>
      </c>
      <c r="C1094" s="1" t="n">
        <v>46102</v>
      </c>
      <c r="D1094" t="inlineStr">
        <is>
          <t>JÄMTLANDS LÄN</t>
        </is>
      </c>
      <c r="E1094" t="inlineStr">
        <is>
          <t>RAGUNDA</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12204-2025</t>
        </is>
      </c>
      <c r="B1095" s="1" t="n">
        <v>45729.51074074074</v>
      </c>
      <c r="C1095" s="1" t="n">
        <v>46102</v>
      </c>
      <c r="D1095" t="inlineStr">
        <is>
          <t>JÄMTLANDS LÄN</t>
        </is>
      </c>
      <c r="E1095" t="inlineStr">
        <is>
          <t>RAGUNDA</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13299-2024</t>
        </is>
      </c>
      <c r="B1096" s="1" t="n">
        <v>45386.68003472222</v>
      </c>
      <c r="C1096" s="1" t="n">
        <v>46102</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15024-2022</t>
        </is>
      </c>
      <c r="B1097" s="1" t="n">
        <v>44657</v>
      </c>
      <c r="C1097" s="1" t="n">
        <v>46102</v>
      </c>
      <c r="D1097" t="inlineStr">
        <is>
          <t>JÄMTLANDS LÄN</t>
        </is>
      </c>
      <c r="E1097" t="inlineStr">
        <is>
          <t>RAGUNDA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891-2022</t>
        </is>
      </c>
      <c r="B1098" s="1" t="n">
        <v>44571</v>
      </c>
      <c r="C1098" s="1" t="n">
        <v>46102</v>
      </c>
      <c r="D1098" t="inlineStr">
        <is>
          <t>JÄMTLANDS LÄN</t>
        </is>
      </c>
      <c r="E1098" t="inlineStr">
        <is>
          <t>RAGUNDA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36371-2023</t>
        </is>
      </c>
      <c r="B1099" s="1" t="n">
        <v>45149</v>
      </c>
      <c r="C1099" s="1" t="n">
        <v>46102</v>
      </c>
      <c r="D1099" t="inlineStr">
        <is>
          <t>JÄMTLANDS LÄN</t>
        </is>
      </c>
      <c r="E1099" t="inlineStr">
        <is>
          <t>RAGUNDA</t>
        </is>
      </c>
      <c r="G1099" t="n">
        <v>25.7</v>
      </c>
      <c r="H1099" t="n">
        <v>0</v>
      </c>
      <c r="I1099" t="n">
        <v>0</v>
      </c>
      <c r="J1099" t="n">
        <v>0</v>
      </c>
      <c r="K1099" t="n">
        <v>0</v>
      </c>
      <c r="L1099" t="n">
        <v>0</v>
      </c>
      <c r="M1099" t="n">
        <v>0</v>
      </c>
      <c r="N1099" t="n">
        <v>0</v>
      </c>
      <c r="O1099" t="n">
        <v>0</v>
      </c>
      <c r="P1099" t="n">
        <v>0</v>
      </c>
      <c r="Q1099" t="n">
        <v>0</v>
      </c>
      <c r="R1099" s="2" t="inlineStr"/>
    </row>
    <row r="1100" ht="15" customHeight="1">
      <c r="A1100" t="inlineStr">
        <is>
          <t>A 56702-2023</t>
        </is>
      </c>
      <c r="B1100" s="1" t="n">
        <v>45243</v>
      </c>
      <c r="C1100" s="1" t="n">
        <v>46102</v>
      </c>
      <c r="D1100" t="inlineStr">
        <is>
          <t>JÄMTLANDS LÄN</t>
        </is>
      </c>
      <c r="E1100" t="inlineStr">
        <is>
          <t>RAGUNDA</t>
        </is>
      </c>
      <c r="F1100" t="inlineStr">
        <is>
          <t>SCA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32259-2024</t>
        </is>
      </c>
      <c r="B1101" s="1" t="n">
        <v>45511</v>
      </c>
      <c r="C1101" s="1" t="n">
        <v>46102</v>
      </c>
      <c r="D1101" t="inlineStr">
        <is>
          <t>JÄMTLANDS LÄN</t>
        </is>
      </c>
      <c r="E1101" t="inlineStr">
        <is>
          <t>RAGUNDA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5313-2025</t>
        </is>
      </c>
      <c r="B1102" s="1" t="n">
        <v>45692.51069444444</v>
      </c>
      <c r="C1102" s="1" t="n">
        <v>46102</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5357-2025</t>
        </is>
      </c>
      <c r="B1103" s="1" t="n">
        <v>45692.57326388889</v>
      </c>
      <c r="C1103" s="1" t="n">
        <v>46102</v>
      </c>
      <c r="D1103" t="inlineStr">
        <is>
          <t>JÄMTLANDS LÄN</t>
        </is>
      </c>
      <c r="E1103" t="inlineStr">
        <is>
          <t>RAGUNDA</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3018-2024</t>
        </is>
      </c>
      <c r="B1104" s="1" t="n">
        <v>45315.9492824074</v>
      </c>
      <c r="C1104" s="1" t="n">
        <v>46102</v>
      </c>
      <c r="D1104" t="inlineStr">
        <is>
          <t>JÄMTLANDS LÄN</t>
        </is>
      </c>
      <c r="E1104" t="inlineStr">
        <is>
          <t>RAGUNDA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44605-2024</t>
        </is>
      </c>
      <c r="B1105" s="1" t="n">
        <v>45574.51185185185</v>
      </c>
      <c r="C1105" s="1" t="n">
        <v>46102</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20773-2024</t>
        </is>
      </c>
      <c r="B1106" s="1" t="n">
        <v>45436.94636574074</v>
      </c>
      <c r="C1106" s="1" t="n">
        <v>46102</v>
      </c>
      <c r="D1106" t="inlineStr">
        <is>
          <t>JÄMTLANDS LÄN</t>
        </is>
      </c>
      <c r="E1106" t="inlineStr">
        <is>
          <t>RAGUNDA</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34323-2023</t>
        </is>
      </c>
      <c r="B1107" s="1" t="n">
        <v>45138.94925925926</v>
      </c>
      <c r="C1107" s="1" t="n">
        <v>46102</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50486-2023</t>
        </is>
      </c>
      <c r="B1108" s="1" t="n">
        <v>45216.92424768519</v>
      </c>
      <c r="C1108" s="1" t="n">
        <v>46102</v>
      </c>
      <c r="D1108" t="inlineStr">
        <is>
          <t>JÄMTLANDS LÄN</t>
        </is>
      </c>
      <c r="E1108" t="inlineStr">
        <is>
          <t>RAGUNDA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51538-2022</t>
        </is>
      </c>
      <c r="B1109" s="1" t="n">
        <v>44869</v>
      </c>
      <c r="C1109" s="1" t="n">
        <v>46102</v>
      </c>
      <c r="D1109" t="inlineStr">
        <is>
          <t>JÄMTLANDS LÄN</t>
        </is>
      </c>
      <c r="E1109" t="inlineStr">
        <is>
          <t>RAGUNDA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19854-2025</t>
        </is>
      </c>
      <c r="B1110" s="1" t="n">
        <v>45771.51074074074</v>
      </c>
      <c r="C1110" s="1" t="n">
        <v>46102</v>
      </c>
      <c r="D1110" t="inlineStr">
        <is>
          <t>JÄMTLANDS LÄN</t>
        </is>
      </c>
      <c r="E1110" t="inlineStr">
        <is>
          <t>RAGUNDA</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50503-2024</t>
        </is>
      </c>
      <c r="B1111" s="1" t="n">
        <v>45601.5315625</v>
      </c>
      <c r="C1111" s="1" t="n">
        <v>46102</v>
      </c>
      <c r="D1111" t="inlineStr">
        <is>
          <t>JÄMTLANDS LÄN</t>
        </is>
      </c>
      <c r="E1111" t="inlineStr">
        <is>
          <t>RAGUNDA</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10610-2024</t>
        </is>
      </c>
      <c r="B1112" s="1" t="n">
        <v>45367.04693287037</v>
      </c>
      <c r="C1112" s="1" t="n">
        <v>46102</v>
      </c>
      <c r="D1112" t="inlineStr">
        <is>
          <t>JÄMTLANDS LÄN</t>
        </is>
      </c>
      <c r="E1112" t="inlineStr">
        <is>
          <t>RAGUNDA</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10706-2023</t>
        </is>
      </c>
      <c r="B1113" s="1" t="n">
        <v>44984</v>
      </c>
      <c r="C1113" s="1" t="n">
        <v>46102</v>
      </c>
      <c r="D1113" t="inlineStr">
        <is>
          <t>JÄMTLANDS LÄN</t>
        </is>
      </c>
      <c r="E1113" t="inlineStr">
        <is>
          <t>RAGUNDA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63708-2023</t>
        </is>
      </c>
      <c r="B1114" s="1" t="n">
        <v>45275.95060185185</v>
      </c>
      <c r="C1114" s="1" t="n">
        <v>46102</v>
      </c>
      <c r="D1114" t="inlineStr">
        <is>
          <t>JÄMTLANDS LÄN</t>
        </is>
      </c>
      <c r="E1114" t="inlineStr">
        <is>
          <t>RAGUNDA</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16250-2022</t>
        </is>
      </c>
      <c r="B1115" s="1" t="n">
        <v>44670</v>
      </c>
      <c r="C1115" s="1" t="n">
        <v>46102</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60663-2022</t>
        </is>
      </c>
      <c r="B1116" s="1" t="n">
        <v>44911.93846064815</v>
      </c>
      <c r="C1116" s="1" t="n">
        <v>46102</v>
      </c>
      <c r="D1116" t="inlineStr">
        <is>
          <t>JÄMTLANDS LÄN</t>
        </is>
      </c>
      <c r="E1116" t="inlineStr">
        <is>
          <t>RAGUNDA</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58847-2024</t>
        </is>
      </c>
      <c r="B1117" s="1" t="n">
        <v>45636.3864699074</v>
      </c>
      <c r="C1117" s="1" t="n">
        <v>46102</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27777-2022</t>
        </is>
      </c>
      <c r="B1118" s="1" t="n">
        <v>44743</v>
      </c>
      <c r="C1118" s="1" t="n">
        <v>46102</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42875-2024</t>
        </is>
      </c>
      <c r="B1119" s="1" t="n">
        <v>45566.68125</v>
      </c>
      <c r="C1119" s="1" t="n">
        <v>46102</v>
      </c>
      <c r="D1119" t="inlineStr">
        <is>
          <t>JÄMTLANDS LÄN</t>
        </is>
      </c>
      <c r="E1119" t="inlineStr">
        <is>
          <t>RAGUNDA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53935-2022</t>
        </is>
      </c>
      <c r="B1120" s="1" t="n">
        <v>44880</v>
      </c>
      <c r="C1120" s="1" t="n">
        <v>46102</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41262-2021</t>
        </is>
      </c>
      <c r="B1121" s="1" t="n">
        <v>44424</v>
      </c>
      <c r="C1121" s="1" t="n">
        <v>46102</v>
      </c>
      <c r="D1121" t="inlineStr">
        <is>
          <t>JÄMTLANDS LÄN</t>
        </is>
      </c>
      <c r="E1121" t="inlineStr">
        <is>
          <t>RAGUNDA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20221-2025</t>
        </is>
      </c>
      <c r="B1122" s="1" t="n">
        <v>45772.6565625</v>
      </c>
      <c r="C1122" s="1" t="n">
        <v>46102</v>
      </c>
      <c r="D1122" t="inlineStr">
        <is>
          <t>JÄMTLANDS LÄN</t>
        </is>
      </c>
      <c r="E1122" t="inlineStr">
        <is>
          <t>RAGUNDA</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4015-2022</t>
        </is>
      </c>
      <c r="B1123" s="1" t="n">
        <v>44587.92149305555</v>
      </c>
      <c r="C1123" s="1" t="n">
        <v>46102</v>
      </c>
      <c r="D1123" t="inlineStr">
        <is>
          <t>JÄMTLANDS LÄN</t>
        </is>
      </c>
      <c r="E1123" t="inlineStr">
        <is>
          <t>RAGUNDA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8416-2023</t>
        </is>
      </c>
      <c r="B1124" s="1" t="n">
        <v>44977.44373842593</v>
      </c>
      <c r="C1124" s="1" t="n">
        <v>46102</v>
      </c>
      <c r="D1124" t="inlineStr">
        <is>
          <t>JÄMTLANDS LÄN</t>
        </is>
      </c>
      <c r="E1124" t="inlineStr">
        <is>
          <t>RAGUNDA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45253-2023</t>
        </is>
      </c>
      <c r="B1125" s="1" t="n">
        <v>45187</v>
      </c>
      <c r="C1125" s="1" t="n">
        <v>46102</v>
      </c>
      <c r="D1125" t="inlineStr">
        <is>
          <t>JÄMTLANDS LÄN</t>
        </is>
      </c>
      <c r="E1125" t="inlineStr">
        <is>
          <t>RAGUNDA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14369-2024</t>
        </is>
      </c>
      <c r="B1126" s="1" t="n">
        <v>45393.94459490741</v>
      </c>
      <c r="C1126" s="1" t="n">
        <v>46102</v>
      </c>
      <c r="D1126" t="inlineStr">
        <is>
          <t>JÄMTLANDS LÄN</t>
        </is>
      </c>
      <c r="E1126" t="inlineStr">
        <is>
          <t>RAGUNDA</t>
        </is>
      </c>
      <c r="F1126" t="inlineStr">
        <is>
          <t>Naturvårdsverket</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182-2023</t>
        </is>
      </c>
      <c r="B1127" s="1" t="n">
        <v>44922</v>
      </c>
      <c r="C1127" s="1" t="n">
        <v>46102</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6490-2022</t>
        </is>
      </c>
      <c r="B1128" s="1" t="n">
        <v>44601</v>
      </c>
      <c r="C1128" s="1" t="n">
        <v>46102</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6477-2024</t>
        </is>
      </c>
      <c r="B1129" s="1" t="n">
        <v>45338.95405092592</v>
      </c>
      <c r="C1129" s="1" t="n">
        <v>46102</v>
      </c>
      <c r="D1129" t="inlineStr">
        <is>
          <t>JÄMTLANDS LÄN</t>
        </is>
      </c>
      <c r="E1129" t="inlineStr">
        <is>
          <t>RAGUNDA</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18193-2022</t>
        </is>
      </c>
      <c r="B1130" s="1" t="n">
        <v>44684.94032407407</v>
      </c>
      <c r="C1130" s="1" t="n">
        <v>46102</v>
      </c>
      <c r="D1130" t="inlineStr">
        <is>
          <t>JÄMTLANDS LÄN</t>
        </is>
      </c>
      <c r="E1130" t="inlineStr">
        <is>
          <t>RAGUNDA</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11551-2024</t>
        </is>
      </c>
      <c r="B1131" s="1" t="n">
        <v>45372.95762731481</v>
      </c>
      <c r="C1131" s="1" t="n">
        <v>46102</v>
      </c>
      <c r="D1131" t="inlineStr">
        <is>
          <t>JÄMTLANDS LÄN</t>
        </is>
      </c>
      <c r="E1131" t="inlineStr">
        <is>
          <t>RAGUNDA</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49647-2024</t>
        </is>
      </c>
      <c r="B1132" s="1" t="n">
        <v>45596.61533564814</v>
      </c>
      <c r="C1132" s="1" t="n">
        <v>46102</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53264-2024</t>
        </is>
      </c>
      <c r="B1133" s="1" t="n">
        <v>45614.34545138889</v>
      </c>
      <c r="C1133" s="1" t="n">
        <v>46102</v>
      </c>
      <c r="D1133" t="inlineStr">
        <is>
          <t>JÄMTLANDS LÄN</t>
        </is>
      </c>
      <c r="E1133" t="inlineStr">
        <is>
          <t>RAGUNDA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13389-2025</t>
        </is>
      </c>
      <c r="B1134" s="1" t="n">
        <v>45735.69842592593</v>
      </c>
      <c r="C1134" s="1" t="n">
        <v>46102</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45631-2024</t>
        </is>
      </c>
      <c r="B1135" s="1" t="n">
        <v>45579.47052083333</v>
      </c>
      <c r="C1135" s="1" t="n">
        <v>46102</v>
      </c>
      <c r="D1135" t="inlineStr">
        <is>
          <t>JÄMTLANDS LÄN</t>
        </is>
      </c>
      <c r="E1135" t="inlineStr">
        <is>
          <t>RAGUNDA</t>
        </is>
      </c>
      <c r="G1135" t="n">
        <v>15.1</v>
      </c>
      <c r="H1135" t="n">
        <v>0</v>
      </c>
      <c r="I1135" t="n">
        <v>0</v>
      </c>
      <c r="J1135" t="n">
        <v>0</v>
      </c>
      <c r="K1135" t="n">
        <v>0</v>
      </c>
      <c r="L1135" t="n">
        <v>0</v>
      </c>
      <c r="M1135" t="n">
        <v>0</v>
      </c>
      <c r="N1135" t="n">
        <v>0</v>
      </c>
      <c r="O1135" t="n">
        <v>0</v>
      </c>
      <c r="P1135" t="n">
        <v>0</v>
      </c>
      <c r="Q1135" t="n">
        <v>0</v>
      </c>
      <c r="R1135" s="2" t="inlineStr"/>
    </row>
    <row r="1136" ht="15" customHeight="1">
      <c r="A1136" t="inlineStr">
        <is>
          <t>A 55701-2021</t>
        </is>
      </c>
      <c r="B1136" s="1" t="n">
        <v>44475</v>
      </c>
      <c r="C1136" s="1" t="n">
        <v>46102</v>
      </c>
      <c r="D1136" t="inlineStr">
        <is>
          <t>JÄMTLANDS LÄN</t>
        </is>
      </c>
      <c r="E1136" t="inlineStr">
        <is>
          <t>RAGUNDA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30484-2024</t>
        </is>
      </c>
      <c r="B1137" s="1" t="n">
        <v>45491</v>
      </c>
      <c r="C1137" s="1" t="n">
        <v>46102</v>
      </c>
      <c r="D1137" t="inlineStr">
        <is>
          <t>JÄMTLANDS LÄN</t>
        </is>
      </c>
      <c r="E1137" t="inlineStr">
        <is>
          <t>RAGUNDA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14513-2025</t>
        </is>
      </c>
      <c r="B1138" s="1" t="n">
        <v>45741.63675925926</v>
      </c>
      <c r="C1138" s="1" t="n">
        <v>46102</v>
      </c>
      <c r="D1138" t="inlineStr">
        <is>
          <t>JÄMTLANDS LÄN</t>
        </is>
      </c>
      <c r="E1138" t="inlineStr">
        <is>
          <t>RAGUNDA</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55904-2022</t>
        </is>
      </c>
      <c r="B1139" s="1" t="n">
        <v>44888</v>
      </c>
      <c r="C1139" s="1" t="n">
        <v>46102</v>
      </c>
      <c r="D1139" t="inlineStr">
        <is>
          <t>JÄMTLANDS LÄN</t>
        </is>
      </c>
      <c r="E1139" t="inlineStr">
        <is>
          <t>RAGUNDA</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7281-2025</t>
        </is>
      </c>
      <c r="B1140" s="1" t="n">
        <v>45702.63572916666</v>
      </c>
      <c r="C1140" s="1" t="n">
        <v>46102</v>
      </c>
      <c r="D1140" t="inlineStr">
        <is>
          <t>JÄMTLANDS LÄN</t>
        </is>
      </c>
      <c r="E1140" t="inlineStr">
        <is>
          <t>RAGUNDA</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48192-2024</t>
        </is>
      </c>
      <c r="B1141" s="1" t="n">
        <v>45590</v>
      </c>
      <c r="C1141" s="1" t="n">
        <v>46102</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2599-2023</t>
        </is>
      </c>
      <c r="B1142" s="1" t="n">
        <v>44943.94802083333</v>
      </c>
      <c r="C1142" s="1" t="n">
        <v>46102</v>
      </c>
      <c r="D1142" t="inlineStr">
        <is>
          <t>JÄMTLANDS LÄN</t>
        </is>
      </c>
      <c r="E1142" t="inlineStr">
        <is>
          <t>RAGUNDA</t>
        </is>
      </c>
      <c r="F1142" t="inlineStr">
        <is>
          <t>SCA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48249-2024</t>
        </is>
      </c>
      <c r="B1143" s="1" t="n">
        <v>45590.40675925926</v>
      </c>
      <c r="C1143" s="1" t="n">
        <v>46102</v>
      </c>
      <c r="D1143" t="inlineStr">
        <is>
          <t>JÄMTLANDS LÄN</t>
        </is>
      </c>
      <c r="E1143" t="inlineStr">
        <is>
          <t>RAGUNDA</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64265-2023</t>
        </is>
      </c>
      <c r="B1144" s="1" t="n">
        <v>45279.94572916667</v>
      </c>
      <c r="C1144" s="1" t="n">
        <v>46102</v>
      </c>
      <c r="D1144" t="inlineStr">
        <is>
          <t>JÄMTLANDS LÄN</t>
        </is>
      </c>
      <c r="E1144" t="inlineStr">
        <is>
          <t>RAGUNDA</t>
        </is>
      </c>
      <c r="F1144" t="inlineStr">
        <is>
          <t>SCA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66706-2021</t>
        </is>
      </c>
      <c r="B1145" s="1" t="n">
        <v>44519.94440972222</v>
      </c>
      <c r="C1145" s="1" t="n">
        <v>46102</v>
      </c>
      <c r="D1145" t="inlineStr">
        <is>
          <t>JÄMTLANDS LÄN</t>
        </is>
      </c>
      <c r="E1145" t="inlineStr">
        <is>
          <t>RAGUNDA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55222-2024</t>
        </is>
      </c>
      <c r="B1146" s="1" t="n">
        <v>45621.57395833333</v>
      </c>
      <c r="C1146" s="1" t="n">
        <v>46102</v>
      </c>
      <c r="D1146" t="inlineStr">
        <is>
          <t>JÄMTLANDS LÄN</t>
        </is>
      </c>
      <c r="E1146" t="inlineStr">
        <is>
          <t>RAGUNDA</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46211-2024</t>
        </is>
      </c>
      <c r="B1147" s="1" t="n">
        <v>45581.55260416667</v>
      </c>
      <c r="C1147" s="1" t="n">
        <v>46102</v>
      </c>
      <c r="D1147" t="inlineStr">
        <is>
          <t>JÄMTLANDS LÄN</t>
        </is>
      </c>
      <c r="E1147" t="inlineStr">
        <is>
          <t>RAGUNDA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31435-2022</t>
        </is>
      </c>
      <c r="B1148" s="1" t="n">
        <v>44774</v>
      </c>
      <c r="C1148" s="1" t="n">
        <v>46102</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39608-2024</t>
        </is>
      </c>
      <c r="B1149" s="1" t="n">
        <v>45552.39113425926</v>
      </c>
      <c r="C1149" s="1" t="n">
        <v>46102</v>
      </c>
      <c r="D1149" t="inlineStr">
        <is>
          <t>JÄMTLANDS LÄN</t>
        </is>
      </c>
      <c r="E1149" t="inlineStr">
        <is>
          <t>RAGUNDA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39626-2024</t>
        </is>
      </c>
      <c r="B1150" s="1" t="n">
        <v>45552.44096064815</v>
      </c>
      <c r="C1150" s="1" t="n">
        <v>46102</v>
      </c>
      <c r="D1150" t="inlineStr">
        <is>
          <t>JÄMTLANDS LÄN</t>
        </is>
      </c>
      <c r="E1150" t="inlineStr">
        <is>
          <t>RAGUNDA</t>
        </is>
      </c>
      <c r="G1150" t="n">
        <v>23.5</v>
      </c>
      <c r="H1150" t="n">
        <v>0</v>
      </c>
      <c r="I1150" t="n">
        <v>0</v>
      </c>
      <c r="J1150" t="n">
        <v>0</v>
      </c>
      <c r="K1150" t="n">
        <v>0</v>
      </c>
      <c r="L1150" t="n">
        <v>0</v>
      </c>
      <c r="M1150" t="n">
        <v>0</v>
      </c>
      <c r="N1150" t="n">
        <v>0</v>
      </c>
      <c r="O1150" t="n">
        <v>0</v>
      </c>
      <c r="P1150" t="n">
        <v>0</v>
      </c>
      <c r="Q1150" t="n">
        <v>0</v>
      </c>
      <c r="R1150" s="2" t="inlineStr"/>
    </row>
    <row r="1151" ht="15" customHeight="1">
      <c r="A1151" t="inlineStr">
        <is>
          <t>A 56984-2022</t>
        </is>
      </c>
      <c r="B1151" s="1" t="n">
        <v>44894.79018518519</v>
      </c>
      <c r="C1151" s="1" t="n">
        <v>46102</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13264-2025</t>
        </is>
      </c>
      <c r="B1152" s="1" t="n">
        <v>45735</v>
      </c>
      <c r="C1152" s="1" t="n">
        <v>46102</v>
      </c>
      <c r="D1152" t="inlineStr">
        <is>
          <t>JÄMTLANDS LÄN</t>
        </is>
      </c>
      <c r="E1152" t="inlineStr">
        <is>
          <t>RAGUNDA</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5307-2025</t>
        </is>
      </c>
      <c r="B1153" s="1" t="n">
        <v>45692.48993055556</v>
      </c>
      <c r="C1153" s="1" t="n">
        <v>46102</v>
      </c>
      <c r="D1153" t="inlineStr">
        <is>
          <t>JÄMTLANDS LÄN</t>
        </is>
      </c>
      <c r="E1153" t="inlineStr">
        <is>
          <t>RAGUNDA</t>
        </is>
      </c>
      <c r="F1153" t="inlineStr">
        <is>
          <t>SCA</t>
        </is>
      </c>
      <c r="G1153" t="n">
        <v>20.9</v>
      </c>
      <c r="H1153" t="n">
        <v>0</v>
      </c>
      <c r="I1153" t="n">
        <v>0</v>
      </c>
      <c r="J1153" t="n">
        <v>0</v>
      </c>
      <c r="K1153" t="n">
        <v>0</v>
      </c>
      <c r="L1153" t="n">
        <v>0</v>
      </c>
      <c r="M1153" t="n">
        <v>0</v>
      </c>
      <c r="N1153" t="n">
        <v>0</v>
      </c>
      <c r="O1153" t="n">
        <v>0</v>
      </c>
      <c r="P1153" t="n">
        <v>0</v>
      </c>
      <c r="Q1153" t="n">
        <v>0</v>
      </c>
      <c r="R1153" s="2" t="inlineStr"/>
    </row>
    <row r="1154" ht="15" customHeight="1">
      <c r="A1154" t="inlineStr">
        <is>
          <t>A 38548-2024</t>
        </is>
      </c>
      <c r="B1154" s="1" t="n">
        <v>45546</v>
      </c>
      <c r="C1154" s="1" t="n">
        <v>46102</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2411-2023</t>
        </is>
      </c>
      <c r="B1155" s="1" t="n">
        <v>44942</v>
      </c>
      <c r="C1155" s="1" t="n">
        <v>46102</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13935-2024</t>
        </is>
      </c>
      <c r="B1156" s="1" t="n">
        <v>45391.95329861111</v>
      </c>
      <c r="C1156" s="1" t="n">
        <v>46102</v>
      </c>
      <c r="D1156" t="inlineStr">
        <is>
          <t>JÄMTLANDS LÄN</t>
        </is>
      </c>
      <c r="E1156" t="inlineStr">
        <is>
          <t>RAGUNDA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5308-2025</t>
        </is>
      </c>
      <c r="B1157" s="1" t="n">
        <v>45692.49008101852</v>
      </c>
      <c r="C1157" s="1" t="n">
        <v>46102</v>
      </c>
      <c r="D1157" t="inlineStr">
        <is>
          <t>JÄMTLANDS LÄN</t>
        </is>
      </c>
      <c r="E1157" t="inlineStr">
        <is>
          <t>RAGUNDA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58194-2022</t>
        </is>
      </c>
      <c r="B1158" s="1" t="n">
        <v>44900</v>
      </c>
      <c r="C1158" s="1" t="n">
        <v>46102</v>
      </c>
      <c r="D1158" t="inlineStr">
        <is>
          <t>JÄMTLANDS LÄN</t>
        </is>
      </c>
      <c r="E1158" t="inlineStr">
        <is>
          <t>RAGUNDA</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24171-2021</t>
        </is>
      </c>
      <c r="B1159" s="1" t="n">
        <v>44336</v>
      </c>
      <c r="C1159" s="1" t="n">
        <v>46102</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58843-2024</t>
        </is>
      </c>
      <c r="B1160" s="1" t="n">
        <v>45636.38599537037</v>
      </c>
      <c r="C1160" s="1" t="n">
        <v>46102</v>
      </c>
      <c r="D1160" t="inlineStr">
        <is>
          <t>JÄMTLANDS LÄN</t>
        </is>
      </c>
      <c r="E1160" t="inlineStr">
        <is>
          <t>RAGUNDA</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53287-2022</t>
        </is>
      </c>
      <c r="B1161" s="1" t="n">
        <v>44876</v>
      </c>
      <c r="C1161" s="1" t="n">
        <v>46102</v>
      </c>
      <c r="D1161" t="inlineStr">
        <is>
          <t>JÄMTLANDS LÄN</t>
        </is>
      </c>
      <c r="E1161" t="inlineStr">
        <is>
          <t>RAGUNDA</t>
        </is>
      </c>
      <c r="F1161" t="inlineStr">
        <is>
          <t>SCA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16320-2025</t>
        </is>
      </c>
      <c r="B1162" s="1" t="n">
        <v>45751.34859953704</v>
      </c>
      <c r="C1162" s="1" t="n">
        <v>46102</v>
      </c>
      <c r="D1162" t="inlineStr">
        <is>
          <t>JÄMTLANDS LÄN</t>
        </is>
      </c>
      <c r="E1162" t="inlineStr">
        <is>
          <t>RAGUNDA</t>
        </is>
      </c>
      <c r="F1162" t="inlineStr">
        <is>
          <t>SCA</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16321-2025</t>
        </is>
      </c>
      <c r="B1163" s="1" t="n">
        <v>45751.34873842593</v>
      </c>
      <c r="C1163" s="1" t="n">
        <v>46102</v>
      </c>
      <c r="D1163" t="inlineStr">
        <is>
          <t>JÄMTLANDS LÄN</t>
        </is>
      </c>
      <c r="E1163" t="inlineStr">
        <is>
          <t>RAGUNDA</t>
        </is>
      </c>
      <c r="F1163" t="inlineStr">
        <is>
          <t>SCA</t>
        </is>
      </c>
      <c r="G1163" t="n">
        <v>63.3</v>
      </c>
      <c r="H1163" t="n">
        <v>0</v>
      </c>
      <c r="I1163" t="n">
        <v>0</v>
      </c>
      <c r="J1163" t="n">
        <v>0</v>
      </c>
      <c r="K1163" t="n">
        <v>0</v>
      </c>
      <c r="L1163" t="n">
        <v>0</v>
      </c>
      <c r="M1163" t="n">
        <v>0</v>
      </c>
      <c r="N1163" t="n">
        <v>0</v>
      </c>
      <c r="O1163" t="n">
        <v>0</v>
      </c>
      <c r="P1163" t="n">
        <v>0</v>
      </c>
      <c r="Q1163" t="n">
        <v>0</v>
      </c>
      <c r="R1163" s="2" t="inlineStr"/>
    </row>
    <row r="1164" ht="15" customHeight="1">
      <c r="A1164" t="inlineStr">
        <is>
          <t>A 14696-2022</t>
        </is>
      </c>
      <c r="B1164" s="1" t="n">
        <v>44655</v>
      </c>
      <c r="C1164" s="1" t="n">
        <v>46102</v>
      </c>
      <c r="D1164" t="inlineStr">
        <is>
          <t>JÄMTLANDS LÄN</t>
        </is>
      </c>
      <c r="E1164" t="inlineStr">
        <is>
          <t>RAGUNDA</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55514-2024</t>
        </is>
      </c>
      <c r="B1165" s="1" t="n">
        <v>45622.46910879629</v>
      </c>
      <c r="C1165" s="1" t="n">
        <v>46102</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18375-2022</t>
        </is>
      </c>
      <c r="B1166" s="1" t="n">
        <v>44685</v>
      </c>
      <c r="C1166" s="1" t="n">
        <v>46102</v>
      </c>
      <c r="D1166" t="inlineStr">
        <is>
          <t>JÄMTLANDS LÄN</t>
        </is>
      </c>
      <c r="E1166" t="inlineStr">
        <is>
          <t>RAGUNDA</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17248-2023</t>
        </is>
      </c>
      <c r="B1167" s="1" t="n">
        <v>45033</v>
      </c>
      <c r="C1167" s="1" t="n">
        <v>46102</v>
      </c>
      <c r="D1167" t="inlineStr">
        <is>
          <t>JÄMTLANDS LÄN</t>
        </is>
      </c>
      <c r="E1167" t="inlineStr">
        <is>
          <t>RAGUNDA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62011-2022</t>
        </is>
      </c>
      <c r="B1168" s="1" t="n">
        <v>44914</v>
      </c>
      <c r="C1168" s="1" t="n">
        <v>46102</v>
      </c>
      <c r="D1168" t="inlineStr">
        <is>
          <t>JÄMTLANDS LÄN</t>
        </is>
      </c>
      <c r="E1168" t="inlineStr">
        <is>
          <t>RAGUNDA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11557-2023</t>
        </is>
      </c>
      <c r="B1169" s="1" t="n">
        <v>44993.94950231481</v>
      </c>
      <c r="C1169" s="1" t="n">
        <v>46102</v>
      </c>
      <c r="D1169" t="inlineStr">
        <is>
          <t>JÄMTLANDS LÄN</t>
        </is>
      </c>
      <c r="E1169" t="inlineStr">
        <is>
          <t>RAGUNDA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11562-2023</t>
        </is>
      </c>
      <c r="B1170" s="1" t="n">
        <v>44993</v>
      </c>
      <c r="C1170" s="1" t="n">
        <v>46102</v>
      </c>
      <c r="D1170" t="inlineStr">
        <is>
          <t>JÄMTLANDS LÄN</t>
        </is>
      </c>
      <c r="E1170" t="inlineStr">
        <is>
          <t>RAGUNDA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22131-2021</t>
        </is>
      </c>
      <c r="B1171" s="1" t="n">
        <v>44323</v>
      </c>
      <c r="C1171" s="1" t="n">
        <v>46102</v>
      </c>
      <c r="D1171" t="inlineStr">
        <is>
          <t>JÄMTLANDS LÄN</t>
        </is>
      </c>
      <c r="E1171" t="inlineStr">
        <is>
          <t>RAGUNDA</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5971-2025</t>
        </is>
      </c>
      <c r="B1172" s="1" t="n">
        <v>45695.51070601852</v>
      </c>
      <c r="C1172" s="1" t="n">
        <v>46102</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30563-2023</t>
        </is>
      </c>
      <c r="B1173" s="1" t="n">
        <v>45111.92793981481</v>
      </c>
      <c r="C1173" s="1" t="n">
        <v>46102</v>
      </c>
      <c r="D1173" t="inlineStr">
        <is>
          <t>JÄMTLANDS LÄN</t>
        </is>
      </c>
      <c r="E1173" t="inlineStr">
        <is>
          <t>RAGUNDA</t>
        </is>
      </c>
      <c r="F1173" t="inlineStr">
        <is>
          <t>Övriga Aktiebolag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36212-2023</t>
        </is>
      </c>
      <c r="B1174" s="1" t="n">
        <v>45149.95241898148</v>
      </c>
      <c r="C1174" s="1" t="n">
        <v>46102</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12768-2022</t>
        </is>
      </c>
      <c r="B1175" s="1" t="n">
        <v>44641</v>
      </c>
      <c r="C1175" s="1" t="n">
        <v>46102</v>
      </c>
      <c r="D1175" t="inlineStr">
        <is>
          <t>JÄMTLANDS LÄN</t>
        </is>
      </c>
      <c r="E1175" t="inlineStr">
        <is>
          <t>RAGUNDA</t>
        </is>
      </c>
      <c r="F1175" t="inlineStr">
        <is>
          <t>SCA</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12773-2022</t>
        </is>
      </c>
      <c r="B1176" s="1" t="n">
        <v>44641</v>
      </c>
      <c r="C1176" s="1" t="n">
        <v>46102</v>
      </c>
      <c r="D1176" t="inlineStr">
        <is>
          <t>JÄMTLANDS LÄN</t>
        </is>
      </c>
      <c r="E1176" t="inlineStr">
        <is>
          <t>RAGUNDA</t>
        </is>
      </c>
      <c r="F1176" t="inlineStr">
        <is>
          <t>SCA</t>
        </is>
      </c>
      <c r="G1176" t="n">
        <v>14.7</v>
      </c>
      <c r="H1176" t="n">
        <v>0</v>
      </c>
      <c r="I1176" t="n">
        <v>0</v>
      </c>
      <c r="J1176" t="n">
        <v>0</v>
      </c>
      <c r="K1176" t="n">
        <v>0</v>
      </c>
      <c r="L1176" t="n">
        <v>0</v>
      </c>
      <c r="M1176" t="n">
        <v>0</v>
      </c>
      <c r="N1176" t="n">
        <v>0</v>
      </c>
      <c r="O1176" t="n">
        <v>0</v>
      </c>
      <c r="P1176" t="n">
        <v>0</v>
      </c>
      <c r="Q1176" t="n">
        <v>0</v>
      </c>
      <c r="R1176" s="2" t="inlineStr"/>
    </row>
    <row r="1177" ht="15" customHeight="1">
      <c r="A1177" t="inlineStr">
        <is>
          <t>A 5067-2024</t>
        </is>
      </c>
      <c r="B1177" s="1" t="n">
        <v>45329.95806712963</v>
      </c>
      <c r="C1177" s="1" t="n">
        <v>46102</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14905-2022</t>
        </is>
      </c>
      <c r="B1178" s="1" t="n">
        <v>44656.94708333333</v>
      </c>
      <c r="C1178" s="1" t="n">
        <v>46102</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29766-2023</t>
        </is>
      </c>
      <c r="B1179" s="1" t="n">
        <v>45098</v>
      </c>
      <c r="C1179" s="1" t="n">
        <v>46102</v>
      </c>
      <c r="D1179" t="inlineStr">
        <is>
          <t>JÄMTLANDS LÄN</t>
        </is>
      </c>
      <c r="E1179" t="inlineStr">
        <is>
          <t>RAGUNDA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61107-2024</t>
        </is>
      </c>
      <c r="B1180" s="1" t="n">
        <v>45645.55665509259</v>
      </c>
      <c r="C1180" s="1" t="n">
        <v>46102</v>
      </c>
      <c r="D1180" t="inlineStr">
        <is>
          <t>JÄMTLANDS LÄN</t>
        </is>
      </c>
      <c r="E1180" t="inlineStr">
        <is>
          <t>RAGUNDA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23287-2024</t>
        </is>
      </c>
      <c r="B1181" s="1" t="n">
        <v>45453.42041666667</v>
      </c>
      <c r="C1181" s="1" t="n">
        <v>46102</v>
      </c>
      <c r="D1181" t="inlineStr">
        <is>
          <t>JÄMTLANDS LÄN</t>
        </is>
      </c>
      <c r="E1181" t="inlineStr">
        <is>
          <t>RAGUNDA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36922-2022</t>
        </is>
      </c>
      <c r="B1182" s="1" t="n">
        <v>44805.94592592592</v>
      </c>
      <c r="C1182" s="1" t="n">
        <v>46102</v>
      </c>
      <c r="D1182" t="inlineStr">
        <is>
          <t>JÄMTLANDS LÄN</t>
        </is>
      </c>
      <c r="E1182" t="inlineStr">
        <is>
          <t>RAGUNDA</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26347-2023</t>
        </is>
      </c>
      <c r="B1183" s="1" t="n">
        <v>45091</v>
      </c>
      <c r="C1183" s="1" t="n">
        <v>46102</v>
      </c>
      <c r="D1183" t="inlineStr">
        <is>
          <t>JÄMTLANDS LÄN</t>
        </is>
      </c>
      <c r="E1183" t="inlineStr">
        <is>
          <t>RAGUNDA</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34483-2023</t>
        </is>
      </c>
      <c r="B1184" s="1" t="n">
        <v>45139.94681712963</v>
      </c>
      <c r="C1184" s="1" t="n">
        <v>46102</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22948-2024</t>
        </is>
      </c>
      <c r="B1185" s="1" t="n">
        <v>45448.94600694445</v>
      </c>
      <c r="C1185" s="1" t="n">
        <v>46102</v>
      </c>
      <c r="D1185" t="inlineStr">
        <is>
          <t>JÄMTLANDS LÄN</t>
        </is>
      </c>
      <c r="E1185" t="inlineStr">
        <is>
          <t>RAGUNDA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23304-2023</t>
        </is>
      </c>
      <c r="B1186" s="1" t="n">
        <v>45075.945</v>
      </c>
      <c r="C1186" s="1" t="n">
        <v>46102</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45149.95372685185</v>
      </c>
      <c r="C1187" s="1" t="n">
        <v>46102</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18615-2024</t>
        </is>
      </c>
      <c r="B1188" s="1" t="n">
        <v>45425.96275462963</v>
      </c>
      <c r="C1188" s="1" t="n">
        <v>46102</v>
      </c>
      <c r="D1188" t="inlineStr">
        <is>
          <t>JÄMTLANDS LÄN</t>
        </is>
      </c>
      <c r="E1188" t="inlineStr">
        <is>
          <t>RAGUNDA</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40269-2022</t>
        </is>
      </c>
      <c r="B1189" s="1" t="n">
        <v>44820</v>
      </c>
      <c r="C1189" s="1" t="n">
        <v>46102</v>
      </c>
      <c r="D1189" t="inlineStr">
        <is>
          <t>JÄMTLANDS LÄN</t>
        </is>
      </c>
      <c r="E1189" t="inlineStr">
        <is>
          <t>RAGUNDA</t>
        </is>
      </c>
      <c r="F1189" t="inlineStr">
        <is>
          <t>SCA</t>
        </is>
      </c>
      <c r="G1189" t="n">
        <v>77.8</v>
      </c>
      <c r="H1189" t="n">
        <v>0</v>
      </c>
      <c r="I1189" t="n">
        <v>0</v>
      </c>
      <c r="J1189" t="n">
        <v>0</v>
      </c>
      <c r="K1189" t="n">
        <v>0</v>
      </c>
      <c r="L1189" t="n">
        <v>0</v>
      </c>
      <c r="M1189" t="n">
        <v>0</v>
      </c>
      <c r="N1189" t="n">
        <v>0</v>
      </c>
      <c r="O1189" t="n">
        <v>0</v>
      </c>
      <c r="P1189" t="n">
        <v>0</v>
      </c>
      <c r="Q1189" t="n">
        <v>0</v>
      </c>
      <c r="R1189" s="2" t="inlineStr"/>
    </row>
    <row r="1190" ht="15" customHeight="1">
      <c r="A1190" t="inlineStr">
        <is>
          <t>A 37242-2024</t>
        </is>
      </c>
      <c r="B1190" s="1" t="n">
        <v>45540.34428240741</v>
      </c>
      <c r="C1190" s="1" t="n">
        <v>46102</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45438-2022</t>
        </is>
      </c>
      <c r="B1191" s="1" t="n">
        <v>44844.95368055555</v>
      </c>
      <c r="C1191" s="1" t="n">
        <v>46102</v>
      </c>
      <c r="D1191" t="inlineStr">
        <is>
          <t>JÄMTLANDS LÄN</t>
        </is>
      </c>
      <c r="E1191" t="inlineStr">
        <is>
          <t>RAGUNDA</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56191-2022</t>
        </is>
      </c>
      <c r="B1192" s="1" t="n">
        <v>44889.95015046297</v>
      </c>
      <c r="C1192" s="1" t="n">
        <v>46102</v>
      </c>
      <c r="D1192" t="inlineStr">
        <is>
          <t>JÄMTLANDS LÄN</t>
        </is>
      </c>
      <c r="E1192" t="inlineStr">
        <is>
          <t>RAGUNDA</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30823-2023</t>
        </is>
      </c>
      <c r="B1193" s="1" t="n">
        <v>45112</v>
      </c>
      <c r="C1193" s="1" t="n">
        <v>46102</v>
      </c>
      <c r="D1193" t="inlineStr">
        <is>
          <t>JÄMTLANDS LÄN</t>
        </is>
      </c>
      <c r="E1193" t="inlineStr">
        <is>
          <t>RAGUNDA</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43339-2024</t>
        </is>
      </c>
      <c r="B1194" s="1" t="n">
        <v>45568.51075231482</v>
      </c>
      <c r="C1194" s="1" t="n">
        <v>46102</v>
      </c>
      <c r="D1194" t="inlineStr">
        <is>
          <t>JÄMTLANDS LÄN</t>
        </is>
      </c>
      <c r="E1194" t="inlineStr">
        <is>
          <t>RAGUNDA</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43102-2023</t>
        </is>
      </c>
      <c r="B1195" s="1" t="n">
        <v>45182</v>
      </c>
      <c r="C1195" s="1" t="n">
        <v>46102</v>
      </c>
      <c r="D1195" t="inlineStr">
        <is>
          <t>JÄMTLANDS LÄN</t>
        </is>
      </c>
      <c r="E1195" t="inlineStr">
        <is>
          <t>RAGUNDA</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9823-2025</t>
        </is>
      </c>
      <c r="B1196" s="1" t="n">
        <v>45716</v>
      </c>
      <c r="C1196" s="1" t="n">
        <v>46102</v>
      </c>
      <c r="D1196" t="inlineStr">
        <is>
          <t>JÄMTLANDS LÄN</t>
        </is>
      </c>
      <c r="E1196" t="inlineStr">
        <is>
          <t>RAGUNDA</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13917-2023</t>
        </is>
      </c>
      <c r="B1197" s="1" t="n">
        <v>45007</v>
      </c>
      <c r="C1197" s="1" t="n">
        <v>46102</v>
      </c>
      <c r="D1197" t="inlineStr">
        <is>
          <t>JÄMTLANDS LÄN</t>
        </is>
      </c>
      <c r="E1197" t="inlineStr">
        <is>
          <t>RAGUNDA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53019-2023</t>
        </is>
      </c>
      <c r="B1198" s="1" t="n">
        <v>45222</v>
      </c>
      <c r="C1198" s="1" t="n">
        <v>46102</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14212-2023</t>
        </is>
      </c>
      <c r="B1199" s="1" t="n">
        <v>45009</v>
      </c>
      <c r="C1199" s="1" t="n">
        <v>46102</v>
      </c>
      <c r="D1199" t="inlineStr">
        <is>
          <t>JÄMTLANDS LÄN</t>
        </is>
      </c>
      <c r="E1199" t="inlineStr">
        <is>
          <t>RAGUNDA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59996-2023</t>
        </is>
      </c>
      <c r="B1200" s="1" t="n">
        <v>45257.92826388889</v>
      </c>
      <c r="C1200" s="1" t="n">
        <v>46102</v>
      </c>
      <c r="D1200" t="inlineStr">
        <is>
          <t>JÄMTLANDS LÄN</t>
        </is>
      </c>
      <c r="E1200" t="inlineStr">
        <is>
          <t>RAGUNDA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44980-2023</t>
        </is>
      </c>
      <c r="B1201" s="1" t="n">
        <v>45190</v>
      </c>
      <c r="C1201" s="1" t="n">
        <v>46102</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14076-2023</t>
        </is>
      </c>
      <c r="B1202" s="1" t="n">
        <v>45009.0897337963</v>
      </c>
      <c r="C1202" s="1" t="n">
        <v>46102</v>
      </c>
      <c r="D1202" t="inlineStr">
        <is>
          <t>JÄMTLANDS LÄN</t>
        </is>
      </c>
      <c r="E1202" t="inlineStr">
        <is>
          <t>RAGUNDA</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12805-2025</t>
        </is>
      </c>
      <c r="B1203" s="1" t="n">
        <v>45733.61497685185</v>
      </c>
      <c r="C1203" s="1" t="n">
        <v>46102</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12808-2025</t>
        </is>
      </c>
      <c r="B1204" s="1" t="n">
        <v>45733.61554398148</v>
      </c>
      <c r="C1204" s="1" t="n">
        <v>46102</v>
      </c>
      <c r="D1204" t="inlineStr">
        <is>
          <t>JÄMTLANDS LÄN</t>
        </is>
      </c>
      <c r="E1204" t="inlineStr">
        <is>
          <t>RAGUNDA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4615-2023</t>
        </is>
      </c>
      <c r="B1205" s="1" t="n">
        <v>44956.93924768519</v>
      </c>
      <c r="C1205" s="1" t="n">
        <v>46102</v>
      </c>
      <c r="D1205" t="inlineStr">
        <is>
          <t>JÄMTLANDS LÄN</t>
        </is>
      </c>
      <c r="E1205" t="inlineStr">
        <is>
          <t>RAGUNDA</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5938-2025</t>
        </is>
      </c>
      <c r="B1206" s="1" t="n">
        <v>45695.45868055556</v>
      </c>
      <c r="C1206" s="1" t="n">
        <v>46102</v>
      </c>
      <c r="D1206" t="inlineStr">
        <is>
          <t>JÄMTLANDS LÄN</t>
        </is>
      </c>
      <c r="E1206" t="inlineStr">
        <is>
          <t>RAGUNDA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4125-2024</t>
        </is>
      </c>
      <c r="B1207" s="1" t="n">
        <v>45323</v>
      </c>
      <c r="C1207" s="1" t="n">
        <v>46102</v>
      </c>
      <c r="D1207" t="inlineStr">
        <is>
          <t>JÄMTLANDS LÄN</t>
        </is>
      </c>
      <c r="E1207" t="inlineStr">
        <is>
          <t>RAGUNDA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53549-2024</t>
        </is>
      </c>
      <c r="B1208" s="1" t="n">
        <v>45614.63869212963</v>
      </c>
      <c r="C1208" s="1" t="n">
        <v>46102</v>
      </c>
      <c r="D1208" t="inlineStr">
        <is>
          <t>JÄMTLANDS LÄN</t>
        </is>
      </c>
      <c r="E1208" t="inlineStr">
        <is>
          <t>RAGUNDA</t>
        </is>
      </c>
      <c r="F1208" t="inlineStr">
        <is>
          <t>Kyrkan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7284-2025</t>
        </is>
      </c>
      <c r="B1209" s="1" t="n">
        <v>45702.63604166666</v>
      </c>
      <c r="C1209" s="1" t="n">
        <v>46102</v>
      </c>
      <c r="D1209" t="inlineStr">
        <is>
          <t>JÄMTLANDS LÄN</t>
        </is>
      </c>
      <c r="E1209" t="inlineStr">
        <is>
          <t>RAGUNDA</t>
        </is>
      </c>
      <c r="F1209" t="inlineStr">
        <is>
          <t>SCA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31506-2024</t>
        </is>
      </c>
      <c r="B1210" s="1" t="n">
        <v>45505</v>
      </c>
      <c r="C1210" s="1" t="n">
        <v>46102</v>
      </c>
      <c r="D1210" t="inlineStr">
        <is>
          <t>JÄMTLANDS LÄN</t>
        </is>
      </c>
      <c r="E1210" t="inlineStr">
        <is>
          <t>RAGUNDA</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19382-2025</t>
        </is>
      </c>
      <c r="B1211" s="1" t="n">
        <v>45769.65659722222</v>
      </c>
      <c r="C1211" s="1" t="n">
        <v>46102</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37479-2023</t>
        </is>
      </c>
      <c r="B1212" s="1" t="n">
        <v>45156</v>
      </c>
      <c r="C1212" s="1" t="n">
        <v>46102</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4866-2025</t>
        </is>
      </c>
      <c r="B1213" s="1" t="n">
        <v>45688.67542824074</v>
      </c>
      <c r="C1213" s="1" t="n">
        <v>46102</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11780-2024</t>
        </is>
      </c>
      <c r="B1214" s="1" t="n">
        <v>45374</v>
      </c>
      <c r="C1214" s="1" t="n">
        <v>46102</v>
      </c>
      <c r="D1214" t="inlineStr">
        <is>
          <t>JÄMTLANDS LÄN</t>
        </is>
      </c>
      <c r="E1214" t="inlineStr">
        <is>
          <t>RAGUNDA</t>
        </is>
      </c>
      <c r="G1214" t="n">
        <v>14.6</v>
      </c>
      <c r="H1214" t="n">
        <v>0</v>
      </c>
      <c r="I1214" t="n">
        <v>0</v>
      </c>
      <c r="J1214" t="n">
        <v>0</v>
      </c>
      <c r="K1214" t="n">
        <v>0</v>
      </c>
      <c r="L1214" t="n">
        <v>0</v>
      </c>
      <c r="M1214" t="n">
        <v>0</v>
      </c>
      <c r="N1214" t="n">
        <v>0</v>
      </c>
      <c r="O1214" t="n">
        <v>0</v>
      </c>
      <c r="P1214" t="n">
        <v>0</v>
      </c>
      <c r="Q1214" t="n">
        <v>0</v>
      </c>
      <c r="R1214" s="2" t="inlineStr"/>
    </row>
    <row r="1215" ht="15" customHeight="1">
      <c r="A1215" t="inlineStr">
        <is>
          <t>A 11288-2022</t>
        </is>
      </c>
      <c r="B1215" s="1" t="n">
        <v>44629</v>
      </c>
      <c r="C1215" s="1" t="n">
        <v>46102</v>
      </c>
      <c r="D1215" t="inlineStr">
        <is>
          <t>JÄMTLANDS LÄN</t>
        </is>
      </c>
      <c r="E1215" t="inlineStr">
        <is>
          <t>RAGUNDA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18984-2023</t>
        </is>
      </c>
      <c r="B1216" s="1" t="n">
        <v>45044</v>
      </c>
      <c r="C1216" s="1" t="n">
        <v>46102</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66011-2021</t>
        </is>
      </c>
      <c r="B1217" s="1" t="n">
        <v>44517.58137731482</v>
      </c>
      <c r="C1217" s="1" t="n">
        <v>46102</v>
      </c>
      <c r="D1217" t="inlineStr">
        <is>
          <t>JÄMTLANDS LÄN</t>
        </is>
      </c>
      <c r="E1217" t="inlineStr">
        <is>
          <t>RAGUNDA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42509-2023</t>
        </is>
      </c>
      <c r="B1218" s="1" t="n">
        <v>45180</v>
      </c>
      <c r="C1218" s="1" t="n">
        <v>46102</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33615-2023</t>
        </is>
      </c>
      <c r="B1219" s="1" t="n">
        <v>45119</v>
      </c>
      <c r="C1219" s="1" t="n">
        <v>46102</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42510-2023</t>
        </is>
      </c>
      <c r="B1220" s="1" t="n">
        <v>45180.95927083334</v>
      </c>
      <c r="C1220" s="1" t="n">
        <v>46102</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53860-2023</t>
        </is>
      </c>
      <c r="B1221" s="1" t="n">
        <v>45224</v>
      </c>
      <c r="C1221" s="1" t="n">
        <v>46102</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12039-2023</t>
        </is>
      </c>
      <c r="B1222" s="1" t="n">
        <v>44995.98341435185</v>
      </c>
      <c r="C1222" s="1" t="n">
        <v>46102</v>
      </c>
      <c r="D1222" t="inlineStr">
        <is>
          <t>JÄMTLANDS LÄN</t>
        </is>
      </c>
      <c r="E1222" t="inlineStr">
        <is>
          <t>RAGUNDA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26991-2023</t>
        </is>
      </c>
      <c r="B1223" s="1" t="n">
        <v>45093.92207175926</v>
      </c>
      <c r="C1223" s="1" t="n">
        <v>46102</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13302-2022</t>
        </is>
      </c>
      <c r="B1224" s="1" t="n">
        <v>44644</v>
      </c>
      <c r="C1224" s="1" t="n">
        <v>46102</v>
      </c>
      <c r="D1224" t="inlineStr">
        <is>
          <t>JÄMTLANDS LÄN</t>
        </is>
      </c>
      <c r="E1224" t="inlineStr">
        <is>
          <t>RAGUNDA</t>
        </is>
      </c>
      <c r="F1224" t="inlineStr">
        <is>
          <t>SCA</t>
        </is>
      </c>
      <c r="G1224" t="n">
        <v>35.6</v>
      </c>
      <c r="H1224" t="n">
        <v>0</v>
      </c>
      <c r="I1224" t="n">
        <v>0</v>
      </c>
      <c r="J1224" t="n">
        <v>0</v>
      </c>
      <c r="K1224" t="n">
        <v>0</v>
      </c>
      <c r="L1224" t="n">
        <v>0</v>
      </c>
      <c r="M1224" t="n">
        <v>0</v>
      </c>
      <c r="N1224" t="n">
        <v>0</v>
      </c>
      <c r="O1224" t="n">
        <v>0</v>
      </c>
      <c r="P1224" t="n">
        <v>0</v>
      </c>
      <c r="Q1224" t="n">
        <v>0</v>
      </c>
      <c r="R1224" s="2" t="inlineStr"/>
    </row>
    <row r="1225" ht="15" customHeight="1">
      <c r="A1225" t="inlineStr">
        <is>
          <t>A 26651-2024</t>
        </is>
      </c>
      <c r="B1225" s="1" t="n">
        <v>45469.94876157407</v>
      </c>
      <c r="C1225" s="1" t="n">
        <v>46102</v>
      </c>
      <c r="D1225" t="inlineStr">
        <is>
          <t>JÄMTLANDS LÄN</t>
        </is>
      </c>
      <c r="E1225" t="inlineStr">
        <is>
          <t>RAGUNDA</t>
        </is>
      </c>
      <c r="F1225" t="inlineStr">
        <is>
          <t>SCA</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40919-2024</t>
        </is>
      </c>
      <c r="B1226" s="1" t="n">
        <v>45558.63575231482</v>
      </c>
      <c r="C1226" s="1" t="n">
        <v>46102</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3186-2025</t>
        </is>
      </c>
      <c r="B1227" s="1" t="n">
        <v>45679.40362268518</v>
      </c>
      <c r="C1227" s="1" t="n">
        <v>46102</v>
      </c>
      <c r="D1227" t="inlineStr">
        <is>
          <t>JÄMTLANDS LÄN</t>
        </is>
      </c>
      <c r="E1227" t="inlineStr">
        <is>
          <t>RAGUNDA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465-2023</t>
        </is>
      </c>
      <c r="B1228" s="1" t="n">
        <v>44929</v>
      </c>
      <c r="C1228" s="1" t="n">
        <v>46102</v>
      </c>
      <c r="D1228" t="inlineStr">
        <is>
          <t>JÄMTLANDS LÄN</t>
        </is>
      </c>
      <c r="E1228" t="inlineStr">
        <is>
          <t>RAGUNDA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26455-2023</t>
        </is>
      </c>
      <c r="B1229" s="1" t="n">
        <v>45092</v>
      </c>
      <c r="C1229" s="1" t="n">
        <v>46102</v>
      </c>
      <c r="D1229" t="inlineStr">
        <is>
          <t>JÄMTLANDS LÄN</t>
        </is>
      </c>
      <c r="E1229" t="inlineStr">
        <is>
          <t>RAGUNDA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10639-2024</t>
        </is>
      </c>
      <c r="B1230" s="1" t="n">
        <v>45367.67256944445</v>
      </c>
      <c r="C1230" s="1" t="n">
        <v>46102</v>
      </c>
      <c r="D1230" t="inlineStr">
        <is>
          <t>JÄMTLANDS LÄN</t>
        </is>
      </c>
      <c r="E1230" t="inlineStr">
        <is>
          <t>RAGUNDA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2751-2024</t>
        </is>
      </c>
      <c r="B1231" s="1" t="n">
        <v>45314</v>
      </c>
      <c r="C1231" s="1" t="n">
        <v>46102</v>
      </c>
      <c r="D1231" t="inlineStr">
        <is>
          <t>JÄMTLANDS LÄN</t>
        </is>
      </c>
      <c r="E1231" t="inlineStr">
        <is>
          <t>RAGUNDA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36317-2024</t>
        </is>
      </c>
      <c r="B1232" s="1" t="n">
        <v>45534.63537037037</v>
      </c>
      <c r="C1232" s="1" t="n">
        <v>46102</v>
      </c>
      <c r="D1232" t="inlineStr">
        <is>
          <t>JÄMTLANDS LÄN</t>
        </is>
      </c>
      <c r="E1232" t="inlineStr">
        <is>
          <t>RAGUNDA</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18614-2024</t>
        </is>
      </c>
      <c r="B1233" s="1" t="n">
        <v>45425.96263888889</v>
      </c>
      <c r="C1233" s="1" t="n">
        <v>46102</v>
      </c>
      <c r="D1233" t="inlineStr">
        <is>
          <t>JÄMTLANDS LÄN</t>
        </is>
      </c>
      <c r="E1233" t="inlineStr">
        <is>
          <t>RAGUNDA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8787-2022</t>
        </is>
      </c>
      <c r="B1234" s="1" t="n">
        <v>44614</v>
      </c>
      <c r="C1234" s="1" t="n">
        <v>46102</v>
      </c>
      <c r="D1234" t="inlineStr">
        <is>
          <t>JÄMTLANDS LÄN</t>
        </is>
      </c>
      <c r="E1234" t="inlineStr">
        <is>
          <t>RAGUNDA</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50431-2024</t>
        </is>
      </c>
      <c r="B1235" s="1" t="n">
        <v>45601.40686342592</v>
      </c>
      <c r="C1235" s="1" t="n">
        <v>46102</v>
      </c>
      <c r="D1235" t="inlineStr">
        <is>
          <t>JÄMTLANDS LÄN</t>
        </is>
      </c>
      <c r="E1235" t="inlineStr">
        <is>
          <t>RAGUNDA</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60936-2024</t>
        </is>
      </c>
      <c r="B1236" s="1" t="n">
        <v>45645.36743055555</v>
      </c>
      <c r="C1236" s="1" t="n">
        <v>46102</v>
      </c>
      <c r="D1236" t="inlineStr">
        <is>
          <t>JÄMTLANDS LÄN</t>
        </is>
      </c>
      <c r="E1236" t="inlineStr">
        <is>
          <t>RAGUNDA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4212-2024</t>
        </is>
      </c>
      <c r="B1237" s="1" t="n">
        <v>45324</v>
      </c>
      <c r="C1237" s="1" t="n">
        <v>46102</v>
      </c>
      <c r="D1237" t="inlineStr">
        <is>
          <t>JÄMTLANDS LÄN</t>
        </is>
      </c>
      <c r="E1237" t="inlineStr">
        <is>
          <t>RAGUNDA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9262-2025</t>
        </is>
      </c>
      <c r="B1238" s="1" t="n">
        <v>45714.60649305556</v>
      </c>
      <c r="C1238" s="1" t="n">
        <v>46102</v>
      </c>
      <c r="D1238" t="inlineStr">
        <is>
          <t>JÄMTLANDS LÄN</t>
        </is>
      </c>
      <c r="E1238" t="inlineStr">
        <is>
          <t>RAGUNDA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60012-2023</t>
        </is>
      </c>
      <c r="B1239" s="1" t="n">
        <v>45257</v>
      </c>
      <c r="C1239" s="1" t="n">
        <v>46102</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53676-2022</t>
        </is>
      </c>
      <c r="B1240" s="1" t="n">
        <v>44879</v>
      </c>
      <c r="C1240" s="1" t="n">
        <v>46102</v>
      </c>
      <c r="D1240" t="inlineStr">
        <is>
          <t>JÄMTLANDS LÄN</t>
        </is>
      </c>
      <c r="E1240" t="inlineStr">
        <is>
          <t>RAGUNDA</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56504-2024</t>
        </is>
      </c>
      <c r="B1241" s="1" t="n">
        <v>45625.51068287037</v>
      </c>
      <c r="C1241" s="1" t="n">
        <v>46102</v>
      </c>
      <c r="D1241" t="inlineStr">
        <is>
          <t>JÄMTLANDS LÄN</t>
        </is>
      </c>
      <c r="E1241" t="inlineStr">
        <is>
          <t>RAGUNDA</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934-2023</t>
        </is>
      </c>
      <c r="B1242" s="1" t="n">
        <v>44932.93927083333</v>
      </c>
      <c r="C1242" s="1" t="n">
        <v>46102</v>
      </c>
      <c r="D1242" t="inlineStr">
        <is>
          <t>JÄMTLANDS LÄN</t>
        </is>
      </c>
      <c r="E1242" t="inlineStr">
        <is>
          <t>RAGUNDA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36106-2022</t>
        </is>
      </c>
      <c r="B1243" s="1" t="n">
        <v>44802.94811342593</v>
      </c>
      <c r="C1243" s="1" t="n">
        <v>46102</v>
      </c>
      <c r="D1243" t="inlineStr">
        <is>
          <t>JÄMTLANDS LÄN</t>
        </is>
      </c>
      <c r="E1243" t="inlineStr">
        <is>
          <t>RAGUNDA</t>
        </is>
      </c>
      <c r="F1243" t="inlineStr">
        <is>
          <t>SCA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57839-2022</t>
        </is>
      </c>
      <c r="B1244" s="1" t="n">
        <v>44897</v>
      </c>
      <c r="C1244" s="1" t="n">
        <v>46102</v>
      </c>
      <c r="D1244" t="inlineStr">
        <is>
          <t>JÄMTLANDS LÄN</t>
        </is>
      </c>
      <c r="E1244" t="inlineStr">
        <is>
          <t>RAGUNDA</t>
        </is>
      </c>
      <c r="F1244" t="inlineStr">
        <is>
          <t>SCA</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46102</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53678-2022</t>
        </is>
      </c>
      <c r="B1246" s="1" t="n">
        <v>44879.95768518518</v>
      </c>
      <c r="C1246" s="1" t="n">
        <v>46102</v>
      </c>
      <c r="D1246" t="inlineStr">
        <is>
          <t>JÄMTLANDS LÄN</t>
        </is>
      </c>
      <c r="E1246" t="inlineStr">
        <is>
          <t>RAGUNDA</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23305-2023</t>
        </is>
      </c>
      <c r="B1247" s="1" t="n">
        <v>45075.94506944445</v>
      </c>
      <c r="C1247" s="1" t="n">
        <v>46102</v>
      </c>
      <c r="D1247" t="inlineStr">
        <is>
          <t>JÄMTLANDS LÄN</t>
        </is>
      </c>
      <c r="E1247" t="inlineStr">
        <is>
          <t>RAGUNDA</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18194-2025</t>
        </is>
      </c>
      <c r="B1248" s="1" t="n">
        <v>45761.67744212963</v>
      </c>
      <c r="C1248" s="1" t="n">
        <v>46102</v>
      </c>
      <c r="D1248" t="inlineStr">
        <is>
          <t>JÄMTLANDS LÄN</t>
        </is>
      </c>
      <c r="E1248" t="inlineStr">
        <is>
          <t>RAGUNDA</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18225-2024</t>
        </is>
      </c>
      <c r="B1249" s="1" t="n">
        <v>45420</v>
      </c>
      <c r="C1249" s="1" t="n">
        <v>46102</v>
      </c>
      <c r="D1249" t="inlineStr">
        <is>
          <t>JÄMTLANDS LÄN</t>
        </is>
      </c>
      <c r="E1249" t="inlineStr">
        <is>
          <t>RAGUNDA</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54764-2024</t>
        </is>
      </c>
      <c r="B1250" s="1" t="n">
        <v>45618.46921296296</v>
      </c>
      <c r="C1250" s="1" t="n">
        <v>46102</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32904-2024</t>
        </is>
      </c>
      <c r="B1251" s="1" t="n">
        <v>45516.94732638889</v>
      </c>
      <c r="C1251" s="1" t="n">
        <v>46102</v>
      </c>
      <c r="D1251" t="inlineStr">
        <is>
          <t>JÄMTLANDS LÄN</t>
        </is>
      </c>
      <c r="E1251" t="inlineStr">
        <is>
          <t>RAGUNDA</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12976-2025</t>
        </is>
      </c>
      <c r="B1252" s="1" t="n">
        <v>45734.45268518518</v>
      </c>
      <c r="C1252" s="1" t="n">
        <v>46102</v>
      </c>
      <c r="D1252" t="inlineStr">
        <is>
          <t>JÄMTLANDS LÄN</t>
        </is>
      </c>
      <c r="E1252" t="inlineStr">
        <is>
          <t>RAGUNDA</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59286-2023</t>
        </is>
      </c>
      <c r="B1253" s="1" t="n">
        <v>45253</v>
      </c>
      <c r="C1253" s="1" t="n">
        <v>46102</v>
      </c>
      <c r="D1253" t="inlineStr">
        <is>
          <t>JÄMTLANDS LÄN</t>
        </is>
      </c>
      <c r="E1253" t="inlineStr">
        <is>
          <t>RAGUNDA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15672-2021</t>
        </is>
      </c>
      <c r="B1254" s="1" t="n">
        <v>44286</v>
      </c>
      <c r="C1254" s="1" t="n">
        <v>46102</v>
      </c>
      <c r="D1254" t="inlineStr">
        <is>
          <t>JÄMTLANDS LÄN</t>
        </is>
      </c>
      <c r="E1254" t="inlineStr">
        <is>
          <t>RAGUNDA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6688-2024</t>
        </is>
      </c>
      <c r="B1255" s="1" t="n">
        <v>45341</v>
      </c>
      <c r="C1255" s="1" t="n">
        <v>46102</v>
      </c>
      <c r="D1255" t="inlineStr">
        <is>
          <t>JÄMTLANDS LÄN</t>
        </is>
      </c>
      <c r="E1255" t="inlineStr">
        <is>
          <t>RAGUNDA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46102</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41344-2024</t>
        </is>
      </c>
      <c r="B1257" s="1" t="n">
        <v>45559.67759259259</v>
      </c>
      <c r="C1257" s="1" t="n">
        <v>46102</v>
      </c>
      <c r="D1257" t="inlineStr">
        <is>
          <t>JÄMTLANDS LÄN</t>
        </is>
      </c>
      <c r="E1257" t="inlineStr">
        <is>
          <t>RAGUNDA</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59670-2023</t>
        </is>
      </c>
      <c r="B1258" s="1" t="n">
        <v>45254.96516203704</v>
      </c>
      <c r="C1258" s="1" t="n">
        <v>46102</v>
      </c>
      <c r="D1258" t="inlineStr">
        <is>
          <t>JÄMTLANDS LÄN</t>
        </is>
      </c>
      <c r="E1258" t="inlineStr">
        <is>
          <t>RAGUNDA</t>
        </is>
      </c>
      <c r="F1258" t="inlineStr">
        <is>
          <t>SCA</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55508-2024</t>
        </is>
      </c>
      <c r="B1259" s="1" t="n">
        <v>45622.46200231482</v>
      </c>
      <c r="C1259" s="1" t="n">
        <v>46102</v>
      </c>
      <c r="D1259" t="inlineStr">
        <is>
          <t>JÄMTLANDS LÄN</t>
        </is>
      </c>
      <c r="E1259" t="inlineStr">
        <is>
          <t>RAGUNDA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59492-2024</t>
        </is>
      </c>
      <c r="B1260" s="1" t="n">
        <v>45638</v>
      </c>
      <c r="C1260" s="1" t="n">
        <v>46102</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20772-2024</t>
        </is>
      </c>
      <c r="B1261" s="1" t="n">
        <v>45436.94628472222</v>
      </c>
      <c r="C1261" s="1" t="n">
        <v>46102</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53757-2024</t>
        </is>
      </c>
      <c r="B1262" s="1" t="n">
        <v>45615.50034722222</v>
      </c>
      <c r="C1262" s="1" t="n">
        <v>46102</v>
      </c>
      <c r="D1262" t="inlineStr">
        <is>
          <t>JÄMTLANDS LÄN</t>
        </is>
      </c>
      <c r="E1262" t="inlineStr">
        <is>
          <t>RAGUNDA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6716-2025</t>
        </is>
      </c>
      <c r="B1263" s="1" t="n">
        <v>45700.57324074074</v>
      </c>
      <c r="C1263" s="1" t="n">
        <v>46102</v>
      </c>
      <c r="D1263" t="inlineStr">
        <is>
          <t>JÄMTLANDS LÄN</t>
        </is>
      </c>
      <c r="E1263" t="inlineStr">
        <is>
          <t>RAGUNDA</t>
        </is>
      </c>
      <c r="F1263" t="inlineStr">
        <is>
          <t>SCA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19866-2023</t>
        </is>
      </c>
      <c r="B1264" s="1" t="n">
        <v>45053.94313657407</v>
      </c>
      <c r="C1264" s="1" t="n">
        <v>46102</v>
      </c>
      <c r="D1264" t="inlineStr">
        <is>
          <t>JÄMTLANDS LÄN</t>
        </is>
      </c>
      <c r="E1264" t="inlineStr">
        <is>
          <t>RAGUNDA</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21853-2024</t>
        </is>
      </c>
      <c r="B1265" s="1" t="n">
        <v>45442.96296296296</v>
      </c>
      <c r="C1265" s="1" t="n">
        <v>46102</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8241-2024</t>
        </is>
      </c>
      <c r="B1266" s="1" t="n">
        <v>45351.98496527778</v>
      </c>
      <c r="C1266" s="1" t="n">
        <v>46102</v>
      </c>
      <c r="D1266" t="inlineStr">
        <is>
          <t>JÄMTLANDS LÄN</t>
        </is>
      </c>
      <c r="E1266" t="inlineStr">
        <is>
          <t>RAGUNDA</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40365-2024</t>
        </is>
      </c>
      <c r="B1267" s="1" t="n">
        <v>45555.38509259259</v>
      </c>
      <c r="C1267" s="1" t="n">
        <v>46102</v>
      </c>
      <c r="D1267" t="inlineStr">
        <is>
          <t>JÄMTLANDS LÄN</t>
        </is>
      </c>
      <c r="E1267" t="inlineStr">
        <is>
          <t>RAGUNDA</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20770-2024</t>
        </is>
      </c>
      <c r="B1268" s="1" t="n">
        <v>45436.94613425926</v>
      </c>
      <c r="C1268" s="1" t="n">
        <v>46102</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7281-2024</t>
        </is>
      </c>
      <c r="B1269" s="1" t="n">
        <v>45344</v>
      </c>
      <c r="C1269" s="1" t="n">
        <v>46102</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7284-2024</t>
        </is>
      </c>
      <c r="B1270" s="1" t="n">
        <v>45344.92865740741</v>
      </c>
      <c r="C1270" s="1" t="n">
        <v>46102</v>
      </c>
      <c r="D1270" t="inlineStr">
        <is>
          <t>JÄMTLANDS LÄN</t>
        </is>
      </c>
      <c r="E1270" t="inlineStr">
        <is>
          <t>RAGUNDA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7285-2024</t>
        </is>
      </c>
      <c r="B1271" s="1" t="n">
        <v>45344.92873842592</v>
      </c>
      <c r="C1271" s="1" t="n">
        <v>46102</v>
      </c>
      <c r="D1271" t="inlineStr">
        <is>
          <t>JÄMTLANDS LÄN</t>
        </is>
      </c>
      <c r="E1271" t="inlineStr">
        <is>
          <t>RAGUNDA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53347-2023</t>
        </is>
      </c>
      <c r="B1272" s="1" t="n">
        <v>45223</v>
      </c>
      <c r="C1272" s="1" t="n">
        <v>46102</v>
      </c>
      <c r="D1272" t="inlineStr">
        <is>
          <t>JÄMTLANDS LÄN</t>
        </is>
      </c>
      <c r="E1272" t="inlineStr">
        <is>
          <t>RAGUNDA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60838-2023</t>
        </is>
      </c>
      <c r="B1273" s="1" t="n">
        <v>45260.92561342593</v>
      </c>
      <c r="C1273" s="1" t="n">
        <v>46102</v>
      </c>
      <c r="D1273" t="inlineStr">
        <is>
          <t>JÄMTLANDS LÄN</t>
        </is>
      </c>
      <c r="E1273" t="inlineStr">
        <is>
          <t>RAGUNDA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9548-2025</t>
        </is>
      </c>
      <c r="B1274" s="1" t="n">
        <v>45715.59405092592</v>
      </c>
      <c r="C1274" s="1" t="n">
        <v>46102</v>
      </c>
      <c r="D1274" t="inlineStr">
        <is>
          <t>JÄMTLANDS LÄN</t>
        </is>
      </c>
      <c r="E1274" t="inlineStr">
        <is>
          <t>RAGUNDA</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53989-2024</t>
        </is>
      </c>
      <c r="B1275" s="1" t="n">
        <v>45616.34479166667</v>
      </c>
      <c r="C1275" s="1" t="n">
        <v>46102</v>
      </c>
      <c r="D1275" t="inlineStr">
        <is>
          <t>JÄMTLANDS LÄN</t>
        </is>
      </c>
      <c r="E1275" t="inlineStr">
        <is>
          <t>RAGUNDA</t>
        </is>
      </c>
      <c r="F1275" t="inlineStr">
        <is>
          <t>SCA</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15581-2024</t>
        </is>
      </c>
      <c r="B1276" s="1" t="n">
        <v>45401</v>
      </c>
      <c r="C1276" s="1" t="n">
        <v>46102</v>
      </c>
      <c r="D1276" t="inlineStr">
        <is>
          <t>JÄMTLANDS LÄN</t>
        </is>
      </c>
      <c r="E1276" t="inlineStr">
        <is>
          <t>RAGUNDA</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15611-2024</t>
        </is>
      </c>
      <c r="B1277" s="1" t="n">
        <v>45401</v>
      </c>
      <c r="C1277" s="1" t="n">
        <v>46102</v>
      </c>
      <c r="D1277" t="inlineStr">
        <is>
          <t>JÄMTLANDS LÄN</t>
        </is>
      </c>
      <c r="E1277" t="inlineStr">
        <is>
          <t>RAGUNDA</t>
        </is>
      </c>
      <c r="F1277" t="inlineStr">
        <is>
          <t>SCA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23528-2024</t>
        </is>
      </c>
      <c r="B1278" s="1" t="n">
        <v>45453.95016203704</v>
      </c>
      <c r="C1278" s="1" t="n">
        <v>46102</v>
      </c>
      <c r="D1278" t="inlineStr">
        <is>
          <t>JÄMTLANDS LÄN</t>
        </is>
      </c>
      <c r="E1278" t="inlineStr">
        <is>
          <t>RAGUNDA</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4594-2024</t>
        </is>
      </c>
      <c r="B1279" s="1" t="n">
        <v>45327.94459490741</v>
      </c>
      <c r="C1279" s="1" t="n">
        <v>46102</v>
      </c>
      <c r="D1279" t="inlineStr">
        <is>
          <t>JÄMTLANDS LÄN</t>
        </is>
      </c>
      <c r="E1279" t="inlineStr">
        <is>
          <t>RAGUNDA</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30824-2023</t>
        </is>
      </c>
      <c r="B1280" s="1" t="n">
        <v>45112.94303240741</v>
      </c>
      <c r="C1280" s="1" t="n">
        <v>46102</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16635-2025</t>
        </is>
      </c>
      <c r="B1281" s="1" t="n">
        <v>45754</v>
      </c>
      <c r="C1281" s="1" t="n">
        <v>46102</v>
      </c>
      <c r="D1281" t="inlineStr">
        <is>
          <t>JÄMTLANDS LÄN</t>
        </is>
      </c>
      <c r="E1281" t="inlineStr">
        <is>
          <t>RAGUNDA</t>
        </is>
      </c>
      <c r="F1281" t="inlineStr">
        <is>
          <t>SCA</t>
        </is>
      </c>
      <c r="G1281" t="n">
        <v>55.4</v>
      </c>
      <c r="H1281" t="n">
        <v>0</v>
      </c>
      <c r="I1281" t="n">
        <v>0</v>
      </c>
      <c r="J1281" t="n">
        <v>0</v>
      </c>
      <c r="K1281" t="n">
        <v>0</v>
      </c>
      <c r="L1281" t="n">
        <v>0</v>
      </c>
      <c r="M1281" t="n">
        <v>0</v>
      </c>
      <c r="N1281" t="n">
        <v>0</v>
      </c>
      <c r="O1281" t="n">
        <v>0</v>
      </c>
      <c r="P1281" t="n">
        <v>0</v>
      </c>
      <c r="Q1281" t="n">
        <v>0</v>
      </c>
      <c r="R1281" s="2" t="inlineStr"/>
    </row>
    <row r="1282" ht="15" customHeight="1">
      <c r="A1282" t="inlineStr">
        <is>
          <t>A 4014-2022</t>
        </is>
      </c>
      <c r="B1282" s="1" t="n">
        <v>44587.92144675926</v>
      </c>
      <c r="C1282" s="1" t="n">
        <v>46102</v>
      </c>
      <c r="D1282" t="inlineStr">
        <is>
          <t>JÄMTLANDS LÄN</t>
        </is>
      </c>
      <c r="E1282" t="inlineStr">
        <is>
          <t>RAGUNDA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1554-2024</t>
        </is>
      </c>
      <c r="B1283" s="1" t="n">
        <v>45306</v>
      </c>
      <c r="C1283" s="1" t="n">
        <v>46102</v>
      </c>
      <c r="D1283" t="inlineStr">
        <is>
          <t>JÄMTLANDS LÄN</t>
        </is>
      </c>
      <c r="E1283" t="inlineStr">
        <is>
          <t>RAGUNDA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38782-2021</t>
        </is>
      </c>
      <c r="B1284" s="1" t="n">
        <v>44410</v>
      </c>
      <c r="C1284" s="1" t="n">
        <v>46102</v>
      </c>
      <c r="D1284" t="inlineStr">
        <is>
          <t>JÄMTLANDS LÄN</t>
        </is>
      </c>
      <c r="E1284" t="inlineStr">
        <is>
          <t>RAGUNDA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20728-2025</t>
        </is>
      </c>
      <c r="B1285" s="1" t="n">
        <v>45776.51130787037</v>
      </c>
      <c r="C1285" s="1" t="n">
        <v>46102</v>
      </c>
      <c r="D1285" t="inlineStr">
        <is>
          <t>JÄMTLANDS LÄN</t>
        </is>
      </c>
      <c r="E1285" t="inlineStr">
        <is>
          <t>RAGUNDA</t>
        </is>
      </c>
      <c r="F1285" t="inlineStr">
        <is>
          <t>Kommuner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20653-2025</t>
        </is>
      </c>
      <c r="B1286" s="1" t="n">
        <v>45776.40311342593</v>
      </c>
      <c r="C1286" s="1" t="n">
        <v>46102</v>
      </c>
      <c r="D1286" t="inlineStr">
        <is>
          <t>JÄMTLANDS LÄN</t>
        </is>
      </c>
      <c r="E1286" t="inlineStr">
        <is>
          <t>RAGUNDA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20722-2025</t>
        </is>
      </c>
      <c r="B1287" s="1" t="n">
        <v>45776.50651620371</v>
      </c>
      <c r="C1287" s="1" t="n">
        <v>46102</v>
      </c>
      <c r="D1287" t="inlineStr">
        <is>
          <t>JÄMTLANDS LÄN</t>
        </is>
      </c>
      <c r="E1287" t="inlineStr">
        <is>
          <t>RAGUNDA</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20777-2025</t>
        </is>
      </c>
      <c r="B1288" s="1" t="n">
        <v>45776.59422453704</v>
      </c>
      <c r="C1288" s="1" t="n">
        <v>46102</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21150-2025</t>
        </is>
      </c>
      <c r="B1289" s="1" t="n">
        <v>45779.34417824074</v>
      </c>
      <c r="C1289" s="1" t="n">
        <v>46102</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21214-2025</t>
        </is>
      </c>
      <c r="B1290" s="1" t="n">
        <v>45779.49025462963</v>
      </c>
      <c r="C1290" s="1" t="n">
        <v>46102</v>
      </c>
      <c r="D1290" t="inlineStr">
        <is>
          <t>JÄMTLANDS LÄN</t>
        </is>
      </c>
      <c r="E1290" t="inlineStr">
        <is>
          <t>RAGUNDA</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22941-2024</t>
        </is>
      </c>
      <c r="B1291" s="1" t="n">
        <v>45448.94520833333</v>
      </c>
      <c r="C1291" s="1" t="n">
        <v>46102</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21430-2025</t>
        </is>
      </c>
      <c r="B1292" s="1" t="n">
        <v>45782.51099537037</v>
      </c>
      <c r="C1292" s="1" t="n">
        <v>46102</v>
      </c>
      <c r="D1292" t="inlineStr">
        <is>
          <t>JÄMTLANDS LÄN</t>
        </is>
      </c>
      <c r="E1292" t="inlineStr">
        <is>
          <t>RAGUNDA</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44881-2023</t>
        </is>
      </c>
      <c r="B1293" s="1" t="n">
        <v>45187</v>
      </c>
      <c r="C1293" s="1" t="n">
        <v>46102</v>
      </c>
      <c r="D1293" t="inlineStr">
        <is>
          <t>JÄMTLANDS LÄN</t>
        </is>
      </c>
      <c r="E1293" t="inlineStr">
        <is>
          <t>RAGUNDA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21451-2025</t>
        </is>
      </c>
      <c r="B1294" s="1" t="n">
        <v>45782.55287037037</v>
      </c>
      <c r="C1294" s="1" t="n">
        <v>46102</v>
      </c>
      <c r="D1294" t="inlineStr">
        <is>
          <t>JÄMTLANDS LÄN</t>
        </is>
      </c>
      <c r="E1294" t="inlineStr">
        <is>
          <t>RAGUNDA</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21432-2025</t>
        </is>
      </c>
      <c r="B1295" s="1" t="n">
        <v>45782.51109953703</v>
      </c>
      <c r="C1295" s="1" t="n">
        <v>46102</v>
      </c>
      <c r="D1295" t="inlineStr">
        <is>
          <t>JÄMTLANDS LÄN</t>
        </is>
      </c>
      <c r="E1295" t="inlineStr">
        <is>
          <t>RAGUNDA</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21331-2025</t>
        </is>
      </c>
      <c r="B1296" s="1" t="n">
        <v>45782.36494212963</v>
      </c>
      <c r="C1296" s="1" t="n">
        <v>46102</v>
      </c>
      <c r="D1296" t="inlineStr">
        <is>
          <t>JÄMTLANDS LÄN</t>
        </is>
      </c>
      <c r="E1296" t="inlineStr">
        <is>
          <t>RAGUNDA</t>
        </is>
      </c>
      <c r="F1296" t="inlineStr">
        <is>
          <t>SCA</t>
        </is>
      </c>
      <c r="G1296" t="n">
        <v>23.1</v>
      </c>
      <c r="H1296" t="n">
        <v>0</v>
      </c>
      <c r="I1296" t="n">
        <v>0</v>
      </c>
      <c r="J1296" t="n">
        <v>0</v>
      </c>
      <c r="K1296" t="n">
        <v>0</v>
      </c>
      <c r="L1296" t="n">
        <v>0</v>
      </c>
      <c r="M1296" t="n">
        <v>0</v>
      </c>
      <c r="N1296" t="n">
        <v>0</v>
      </c>
      <c r="O1296" t="n">
        <v>0</v>
      </c>
      <c r="P1296" t="n">
        <v>0</v>
      </c>
      <c r="Q1296" t="n">
        <v>0</v>
      </c>
      <c r="R1296" s="2" t="inlineStr"/>
      <c r="U1296">
        <f>HYPERLINK("https://klasma.github.io/Logging_2303/knärot/A 21331-2025 karta knärot.png", "A 21331-2025")</f>
        <v/>
      </c>
      <c r="V1296">
        <f>HYPERLINK("https://klasma.github.io/Logging_2303/klagomål/A 21331-2025 FSC-klagomål.docx", "A 21331-2025")</f>
        <v/>
      </c>
      <c r="W1296">
        <f>HYPERLINK("https://klasma.github.io/Logging_2303/klagomålsmail/A 21331-2025 FSC-klagomål mail.docx", "A 21331-2025")</f>
        <v/>
      </c>
      <c r="X1296">
        <f>HYPERLINK("https://klasma.github.io/Logging_2303/tillsyn/A 21331-2025 tillsynsbegäran.docx", "A 21331-2025")</f>
        <v/>
      </c>
      <c r="Y1296">
        <f>HYPERLINK("https://klasma.github.io/Logging_2303/tillsynsmail/A 21331-2025 tillsynsbegäran mail.docx", "A 21331-2025")</f>
        <v/>
      </c>
    </row>
    <row r="1297">
      <c r="A1297" t="inlineStr">
        <is>
          <t>A 21550-2025</t>
        </is>
      </c>
      <c r="B1297" s="1" t="n">
        <v>45782.67758101852</v>
      </c>
      <c r="C1297" s="1" t="n">
        <v>46102</v>
      </c>
      <c r="D1297" t="inlineStr">
        <is>
          <t>JÄMTLANDS LÄN</t>
        </is>
      </c>
      <c r="E1297" t="inlineStr">
        <is>
          <t>RAGUNDA</t>
        </is>
      </c>
      <c r="F1297" t="inlineStr">
        <is>
          <t>SCA</t>
        </is>
      </c>
      <c r="G1297" t="n">
        <v>1.3</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2026-03-21T11:29:30Z</dcterms:created>
  <dcterms:modified xmlns:dcterms="http://purl.org/dc/terms/" xmlns:xsi="http://www.w3.org/2001/XMLSchema-instance" xsi:type="dcterms:W3CDTF">2026-03-21T11:29:31Z</dcterms:modified>
</cp:coreProperties>
</file>